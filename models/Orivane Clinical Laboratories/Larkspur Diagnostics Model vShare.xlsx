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IM Output" sheetId="2" state="visible" r:id="rId2"/>
    <sheet xmlns:r="http://schemas.openxmlformats.org/officeDocument/2006/relationships" name="Historical &amp; Projected P&amp;L" sheetId="3" state="visible" r:id="rId3"/>
    <sheet xmlns:r="http://schemas.openxmlformats.org/officeDocument/2006/relationships" name="Separate Line Item Builds" sheetId="4" state="visible" r:id="rId4"/>
    <sheet xmlns:r="http://schemas.openxmlformats.org/officeDocument/2006/relationships" name="QoE PF Adj. P&amp;L Aug-26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Sep - Nov P&amp;L" sheetId="7" state="visible" r:id="rId7"/>
    <sheet xmlns:r="http://schemas.openxmlformats.org/officeDocument/2006/relationships" name="GL 2026" sheetId="8" state="visible" r:id="rId8"/>
  </sheets>
  <definedNames>
    <definedName name="Project_Name">"Project Larkspur"</definedName>
    <definedName name="Rev_Total">'Revenue Build'!$I$41:$BP$41</definedName>
    <definedName name="QoE_Aug">'QoE PF Adj. P&amp;L Aug-26'!$AI$8</definedName>
    <definedName name="wrn.CIM">'CIM Output'!$B$2:$K$40</definedName>
    <definedName name="\a">'Historical &amp; Projected P&amp;L'!$J$8</definedName>
    <definedName name="\b">'Historical &amp; Projected P&amp;L'!$BQ$8</definedName>
    <definedName name="Rev_2024">'CIM Output'!$D$9</definedName>
    <definedName name="Rev_2025">'CIM Output'!$E$9</definedName>
    <definedName name="Rev_2026">'CIM Output'!$F$9</definedName>
    <definedName name="Rev_2027">'CIM Output'!$G$9</definedName>
    <definedName name="Rev_2028">'CIM Output'!$H$9</definedName>
    <definedName name="EBITDA_2024">'CIM Output'!$D$36</definedName>
    <definedName name="EBITDA_2025">'CIM Output'!$E$36</definedName>
    <definedName name="EBITDA_2026">'CIM Output'!$F$36</definedName>
    <definedName name="EBITDA_2027">'CIM Output'!$G$36</definedName>
    <definedName name="EBITDA_2028">'CIM Output'!$H$36</definedName>
    <definedName name="Acc_Total">'Revenue Build'!$I$51:$BP$51</definedName>
    <definedName name="Acc_Current">'Revenue Build'!$I$6:$BP$6</definedName>
    <definedName name="Acc_SL">'Revenue Build'!$I$24:$BP$24</definedName>
    <definedName name="Acc_New">'Revenue Build'!$I$34:$BP$34</definedName>
    <definedName name="Months">'Historical &amp; Projected P&amp;L'!$J$8:$BQ$8</definedName>
    <definedName name="Years">'Historical &amp; Projected P&amp;L'!$J$7:$BQ$7</definedName>
    <definedName name="Model_Start">'Historical &amp; Projected P&amp;L'!$J$8</definedName>
    <definedName name="Proj_Start">'Historical &amp; Projected P&amp;L'!$AS$8</definedName>
    <definedName name="Model_End">'Historical &amp; Projected P&amp;L'!$BQ$8</definedName>
    <definedName name="CIM_Table">'CIM Output'!$B$3:$K$39</definedName>
    <definedName name="QoE_LTM">'QoE PF Adj. P&amp;L Aug-26'!$AK$8:$AK$118</definedName>
    <definedName name="QoE_Rev">'QoE PF Adj. P&amp;L Aug-26'!$D$15:$AI$15</definedName>
    <definedName name="QoE_EBITDA">'QoE PF Adj. P&amp;L Aug-26'!$D$108:$AI$108</definedName>
    <definedName name="SW_Build">'Separate Line Item Builds'!$J$22:$BQ$22</definedName>
    <definedName name="SW_Increase">'Separate Line Item Builds'!$AS$24:$BQ$24</definedName>
    <definedName name="Ins_Table">'Separate Line Item Builds'!$C$46:$D$50</definedName>
    <definedName name="Holidays">'Revenue Build'!$AQ$61:$AQ$70</definedName>
    <definedName name="GL_Data">'GL 2026'!$B$5:$M$4548</definedName>
    <definedName name="SepNov_Map">'Sep - Nov P&amp;L'!$D$6:$D$83</definedName>
    <definedName name="SepNov_Sep">'Sep - Nov P&amp;L'!$I$6:$I$83</definedName>
    <definedName name="SepNov_Oct">'Sep - Nov P&amp;L'!$J$6:$J$83</definedName>
    <definedName name="SepNov_Nov">'Sep - Nov P&amp;L'!$K$6:$K$83</definedName>
    <definedName name="Cap_Max">'Revenue Build'!$I$44</definedName>
    <definedName name="Coll_Rate">'Revenue Build'!$I$56:$BP$56</definedName>
    <definedName name="Infl_M">'Historical &amp; Projected P&amp;L'!$D$121</definedName>
    <definedName name="Sen_Living">'Revenue Build'!$I$22:$BP$28</definedName>
    <definedName name="New_Team">'Revenue Build'!$I$31:$BP$38</definedName>
    <definedName name="check_1">'CIM Output'!$D$33:$H$33</definedName>
    <definedName name="check_2">'CIM Output'!$D$39:$H$39</definedName>
    <definedName name="check_3">'Historical &amp; Projected P&amp;L'!$J$117:$AO$117</definedName>
    <definedName name="Opex_Total">'Historical &amp; Projected P&amp;L'!$D$95:$H$95</definedName>
    <definedName name="EBITDA_Row">'Historical &amp; Projected P&amp;L'!$D$105:$H$105</definedName>
    <definedName name="Rev_Row">'Historical &amp; Projected P&amp;L'!$D$10:$H$10</definedName>
    <definedName name="Assumptions_Block">'Historical &amp; Projected P&amp;L'!$C$120:$BQ$211</definedName>
    <definedName name="Accessioner_Cost">'Separate Line Item Builds'!$B$20</definedName>
    <definedName name="Acc_per_Accessioner">'Separate Line Item Builds'!$B$29</definedName>
    <definedName name="NewRep_Pct">'Separate Line Item Builds'!$B$32</definedName>
    <definedName name="Hires_Table">'Separate Line Item Builds'!$C$13:$E$19</definedName>
    <definedName name="Ramp_Anchor">'Revenue Build'!$AW$10</definedName>
    <definedName name="Ramp_Target">'Revenue Build'!$BD$10</definedName>
    <definedName name="NewTeam_Ramp">'Revenue Build'!$AU$32:$BF$32</definedName>
    <definedName name="Workdays">'Revenue Build'!$I$9:$BP$9</definedName>
    <definedName name="Gross_Charges">'Revenue Build'!$I$58:$BP$58</definedName>
    <definedName name="Units">'Historical &amp; Projected P&amp;L'!$C$8</definedName>
    <definedName name="Title_Cell">Cover!$B$4</definedName>
    <definedName name="Notes">Cover!$B$10:$B$15</definedName>
    <definedName name="Logo_Anchor">Cover!$B$1</definedName>
    <definedName name="old_rev">'Revenue Build'!$C$41:$G$41</definedName>
    <definedName name="old_ebitda">'CIM Output'!$D$36:$H$36</definedName>
    <definedName name="tmp_1">'Historical &amp; Projected P&amp;L'!$AS$10</definedName>
    <definedName name="tmp_2">'Historical &amp; Projected P&amp;L'!$AS$105</definedName>
    <definedName name="Print_Range_CIM">'CIM Output'!$B$2:$K$40</definedName>
    <definedName name="_xlnm.Print_Area" localSheetId="1">'CIM Output'!$B$2:$K$40</definedName>
    <definedName name="_xlnm.Print_Area" localSheetId="2">'Historical &amp; Projected P&amp;L'!$A$2:$H$117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_);(#,##0);&quot;-&quot;_)"/>
    <numFmt numFmtId="166" formatCode="0.0%_);(0.0%);&quot;-&quot;_)"/>
    <numFmt numFmtId="167" formatCode="#,##0.0_);(#,##0.0);&quot;-&quot;_)"/>
    <numFmt numFmtId="168" formatCode="#,##0.00_);(#,##0.00);&quot;-&quot;_)"/>
    <numFmt numFmtId="169" formatCode="mm/dd/yyyy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color rgb="00000000"/>
      <sz val="9"/>
    </font>
    <font>
      <name val="Arial"/>
      <i val="1"/>
      <color rgb="007F7F7F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color rgb="00008000"/>
      <sz val="9"/>
    </font>
    <font>
      <name val="Arial"/>
      <b val="1"/>
      <color rgb="00000000"/>
      <sz val="9"/>
    </font>
    <font>
      <name val="Arial"/>
      <i val="1"/>
      <color rgb="00008000"/>
      <sz val="9"/>
    </font>
    <font>
      <name val="Arial"/>
      <b val="1"/>
      <sz val="11"/>
    </font>
    <font>
      <name val="Arial"/>
      <b val="1"/>
      <color rgb="00008000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7" fillId="2" borderId="0" pivotButton="0" quotePrefix="0" xfId="0"/>
    <xf numFmtId="165" fontId="8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8" fontId="3" fillId="0" borderId="0" pivotButton="0" quotePrefix="0" xfId="0"/>
    <xf numFmtId="165" fontId="12" fillId="0" borderId="0" pivotButton="0" quotePrefix="0" xfId="0"/>
    <xf numFmtId="165" fontId="9" fillId="0" borderId="1" pivotButton="0" quotePrefix="0" xfId="0"/>
    <xf numFmtId="165" fontId="12" fillId="0" borderId="2" pivotButton="0" quotePrefix="0" xfId="0"/>
    <xf numFmtId="1" fontId="3" fillId="0" borderId="0" pivotButton="0" quotePrefix="0" xfId="0"/>
    <xf numFmtId="17" fontId="5" fillId="0" borderId="0" pivotButton="0" quotePrefix="0" xfId="0"/>
    <xf numFmtId="17" fontId="3" fillId="0" borderId="0" pivotButton="0" quotePrefix="0" xfId="0"/>
    <xf numFmtId="165" fontId="3" fillId="0" borderId="0" pivotButton="0" quotePrefix="0" xfId="0"/>
    <xf numFmtId="165" fontId="9" fillId="0" borderId="0" pivotButton="0" quotePrefix="0" xfId="0"/>
    <xf numFmtId="165" fontId="9" fillId="0" borderId="2" pivotButton="0" quotePrefix="0" xfId="0"/>
    <xf numFmtId="165" fontId="10" fillId="0" borderId="0" pivotButton="0" quotePrefix="0" xfId="0"/>
    <xf numFmtId="10" fontId="5" fillId="0" borderId="0" pivotButton="0" quotePrefix="0" xfId="0"/>
    <xf numFmtId="166" fontId="5" fillId="0" borderId="0" pivotButton="0" quotePrefix="0" xfId="0"/>
    <xf numFmtId="165" fontId="5" fillId="0" borderId="0" pivotButton="0" quotePrefix="0" xfId="0"/>
    <xf numFmtId="167" fontId="3" fillId="0" borderId="0" pivotButton="0" quotePrefix="0" xfId="0"/>
    <xf numFmtId="165" fontId="5" fillId="0" borderId="0" applyAlignment="1" pivotButton="0" quotePrefix="0" xfId="0">
      <alignment horizontal="right"/>
    </xf>
    <xf numFmtId="167" fontId="5" fillId="0" borderId="0" pivotButton="0" quotePrefix="0" xfId="0"/>
    <xf numFmtId="167" fontId="9" fillId="0" borderId="1" pivotButton="0" quotePrefix="0" xfId="0"/>
    <xf numFmtId="167" fontId="9" fillId="0" borderId="0" pivotButton="0" quotePrefix="0" xfId="0"/>
    <xf numFmtId="167" fontId="9" fillId="0" borderId="2" pivotButton="0" quotePrefix="0" xfId="0"/>
    <xf numFmtId="168" fontId="5" fillId="0" borderId="0" pivotButton="0" quotePrefix="0" xfId="0"/>
    <xf numFmtId="15" fontId="3" fillId="0" borderId="0" pivotButton="0" quotePrefix="0" xfId="0"/>
    <xf numFmtId="168" fontId="9" fillId="0" borderId="1" pivotButton="0" quotePrefix="0" xfId="0"/>
    <xf numFmtId="168" fontId="9" fillId="0" borderId="0" pivotButton="0" quotePrefix="0" xfId="0"/>
    <xf numFmtId="168" fontId="9" fillId="0" borderId="2" pivotButton="0" quotePrefix="0" xfId="0"/>
    <xf numFmtId="168" fontId="0" fillId="0" borderId="0" pivotButton="0" quotePrefix="0" xfId="0"/>
    <xf numFmtId="169" fontId="3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E0"/>
          <bgColor rgb="00FFF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Analyst</author>
  </authors>
  <commentList>
    <comment ref="D121" authorId="0" shapeId="0">
      <text>
        <t>hardcoded input – c.4% p.a. simple, per banker assumption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AT17" authorId="0" shapeId="0">
      <text>
        <t>hardcoded input – departure per mgmt, Jan-27</t>
      </text>
    </comment>
    <comment ref="AS24" authorId="0" shapeId="0">
      <text>
        <t>per mgmt – 3% merit increase each Jan</t>
      </text>
    </comment>
  </commentList>
</comments>
</file>

<file path=xl/comments/comment3.xml><?xml version="1.0" encoding="utf-8"?>
<comments xmlns="http://schemas.openxmlformats.org/spreadsheetml/2006/main">
  <authors>
    <author>Analyst</author>
  </authors>
  <commentList>
    <comment ref="BD10" authorId="0" shapeId="0">
      <text>
        <t>target daily accessions for current sales force by Dec-27 – linear ramp from May-27</t>
      </text>
    </comment>
    <comment ref="I44" authorId="0" shapeId="0">
      <text>
        <t>capacity per site tour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8575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5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26" customHeight="1"/>
    <row r="2" ht="26" customHeight="1"/>
    <row r="3" ht="26" customHeight="1"/>
    <row r="4">
      <c r="B4" s="1" t="inlineStr">
        <is>
          <t>Orivane Clinical Laboratories</t>
        </is>
      </c>
    </row>
    <row r="5">
      <c r="B5" s="2" t="inlineStr">
        <is>
          <t>Financial Model</t>
        </is>
      </c>
    </row>
    <row r="6">
      <c r="B6" s="3" t="inlineStr">
        <is>
          <t>QoE financials through Aug-26, Management reported Sep – Nov-26, projections from Dec-26</t>
        </is>
      </c>
    </row>
    <row r="8">
      <c r="B8" s="4" t="inlineStr">
        <is>
          <t>Prepared by Falkmere Advisory – draft for discussion</t>
        </is>
      </c>
    </row>
    <row r="10">
      <c r="B10" s="2" t="inlineStr">
        <is>
          <t>Notes / Disclaimer</t>
        </is>
      </c>
    </row>
    <row r="11">
      <c r="B11" s="3" t="inlineStr">
        <is>
          <t>(1) All figures are synthetic and illustrative; no real company data.</t>
        </is>
      </c>
    </row>
    <row r="12">
      <c r="B12" s="3" t="inlineStr">
        <is>
          <t>(2) Monthly model; annual roll-ups via SUMIFS on the year row. No debt schedule, no returns – CIM output only.</t>
        </is>
      </c>
    </row>
    <row r="13">
      <c r="B13" s="3" t="inlineStr">
        <is>
          <t>(3) Workdays use NETWORKDAYS(prior month-end, month-end) as in the original build; holiday list applies from Dec-26.</t>
        </is>
      </c>
    </row>
    <row r="14">
      <c r="B14" s="3" t="inlineStr">
        <is>
          <t>(4) Sep–Nov-26 S&amp;W, payroll taxes and processing fees are restated from the reported gross payroll figure (see builds tab).</t>
        </is>
      </c>
    </row>
    <row r="15">
      <c r="B15" s="3" t="inlineStr">
        <is>
          <t>(5) No circular references; fixed-cost projections = trailing 12-month average grown at a monthly inflation input.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zoomScale="85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  <col width="12" customWidth="1" min="10" max="10"/>
    <col width="12" customWidth="1" min="11" max="11"/>
  </cols>
  <sheetData>
    <row r="2">
      <c r="B2" s="5" t="inlineStr">
        <is>
          <t>Orivane Clinical Laboratories – Summary Financials</t>
        </is>
      </c>
      <c r="J2" s="6" t="inlineStr">
        <is>
          <t>CAGR</t>
        </is>
      </c>
    </row>
    <row r="3">
      <c r="C3" s="4" t="inlineStr">
        <is>
          <t>$ in actual</t>
        </is>
      </c>
      <c r="D3" s="7" t="n">
        <v>2024</v>
      </c>
      <c r="E3" s="7" t="n">
        <v>2025</v>
      </c>
      <c r="F3" s="7" t="n">
        <v>2026</v>
      </c>
      <c r="G3" s="7" t="n">
        <v>2027</v>
      </c>
      <c r="H3" s="7" t="n">
        <v>2028</v>
      </c>
      <c r="J3" s="8" t="inlineStr">
        <is>
          <t>2024 - 2026</t>
        </is>
      </c>
      <c r="K3" s="8" t="inlineStr">
        <is>
          <t>2026 - 2028</t>
        </is>
      </c>
    </row>
    <row r="4">
      <c r="B4" s="9" t="inlineStr">
        <is>
          <t>Summary Financials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B5" s="3" t="inlineStr">
        <is>
          <t>Total Accessions</t>
        </is>
      </c>
      <c r="D5" s="10">
        <f>+'Revenue Build'!C51</f>
        <v>85204</v>
      </c>
      <c r="E5" s="10">
        <f>+'Revenue Build'!D51</f>
        <v>92761</v>
      </c>
      <c r="F5" s="10">
        <f>+'Revenue Build'!E51</f>
        <v>101458</v>
      </c>
      <c r="G5" s="10">
        <f>+'Revenue Build'!F51</f>
        <v>113147</v>
      </c>
      <c r="H5" s="10">
        <f>+'Revenue Build'!G51</f>
        <v>136217</v>
      </c>
      <c r="J5" s="11">
        <f>+(F5/D5)^(1/(F$3-D$3))-1</f>
        <v>0.0912221092662855</v>
      </c>
      <c r="K5" s="11">
        <f>+(H5/F5)^(1/(H$3-F$3))-1</f>
        <v>0.158704002497792</v>
      </c>
    </row>
    <row r="6">
      <c r="B6" s="4" t="inlineStr">
        <is>
          <t>YoY % Growth</t>
        </is>
      </c>
      <c r="E6" s="12">
        <f>+IFERROR(E5/D5-1,)</f>
        <v>0.0886930191070843</v>
      </c>
      <c r="F6" s="12">
        <f>+IFERROR(F5/E5-1,)</f>
        <v>0.0937570746326581</v>
      </c>
      <c r="G6" s="12">
        <f>+IFERROR(G5/F5-1,)</f>
        <v>0.115210234776952</v>
      </c>
      <c r="H6" s="12">
        <f>+IFERROR(H5/G5-1,)</f>
        <v>0.203894049334052</v>
      </c>
    </row>
    <row r="7">
      <c r="B7" s="3" t="inlineStr">
        <is>
          <t>Implied Reimbursement per Accession</t>
        </is>
      </c>
      <c r="D7" s="13">
        <f>+IFERROR(D9/D5,)</f>
        <v>149.193699826299</v>
      </c>
      <c r="E7" s="13">
        <f>+IFERROR(E9/E5,)</f>
        <v>148.310173456517</v>
      </c>
      <c r="F7" s="13">
        <f>+IFERROR(F9/F5,)</f>
        <v>147.382348264318</v>
      </c>
      <c r="G7" s="13">
        <f>+IFERROR(G9/G5,)</f>
        <v>143.5270836456</v>
      </c>
      <c r="H7" s="13">
        <f>+IFERROR(H9/H5,)</f>
        <v>139.079861389246</v>
      </c>
    </row>
    <row r="9">
      <c r="B9" s="2" t="inlineStr">
        <is>
          <t>Net Operating Revenue</t>
        </is>
      </c>
      <c r="D9" s="14">
        <f>+'Historical &amp; Projected P&amp;L'!D10</f>
        <v>12711900</v>
      </c>
      <c r="E9" s="14">
        <f>+'Historical &amp; Projected P&amp;L'!E10</f>
        <v>13757400</v>
      </c>
      <c r="F9" s="14">
        <f>+'Historical &amp; Projected P&amp;L'!F10</f>
        <v>14953118.2902012</v>
      </c>
      <c r="G9" s="14">
        <f>+'Historical &amp; Projected P&amp;L'!G10</f>
        <v>16239658.9332487</v>
      </c>
      <c r="H9" s="14">
        <f>+'Historical &amp; Projected P&amp;L'!H10</f>
        <v>18945041.4788589</v>
      </c>
      <c r="J9" s="11">
        <f>+(F9/D9)^(1/(F$3-D$3))-1</f>
        <v>0.0845776498242044</v>
      </c>
      <c r="K9" s="11">
        <f>+(H9/F9)^(1/(H$3-F$3))-1</f>
        <v>0.125594327494986</v>
      </c>
    </row>
    <row r="10">
      <c r="B10" s="4" t="inlineStr">
        <is>
          <t>YoY % Growth</t>
        </is>
      </c>
      <c r="E10" s="12">
        <f>+IFERROR(E9/D9-1,)</f>
        <v>0.0822457697118448</v>
      </c>
      <c r="F10" s="12">
        <f>+IFERROR(F9/E9-1,)</f>
        <v>0.0869145543635568</v>
      </c>
      <c r="G10" s="12">
        <f>+IFERROR(G9/F9-1,)</f>
        <v>0.0860382843283287</v>
      </c>
      <c r="H10" s="12">
        <f>+IFERROR(H9/G9-1,)</f>
        <v>0.16659109386043</v>
      </c>
    </row>
    <row r="12">
      <c r="B12" s="2" t="inlineStr">
        <is>
          <t>Operating Expenses</t>
        </is>
      </c>
    </row>
    <row r="13">
      <c r="B13" s="2" t="inlineStr">
        <is>
          <t>Drugs &amp; Medical Supplies</t>
        </is>
      </c>
    </row>
    <row r="14">
      <c r="C14" s="3" t="inlineStr">
        <is>
          <t>Medical Supplies</t>
        </is>
      </c>
      <c r="D14" s="10">
        <f>+SUMIFS('Historical &amp; Projected P&amp;L'!D$10:D$115,'Historical &amp; Projected P&amp;L'!$C$10:$C$115,'CIM Output'!$C14)</f>
        <v>317200</v>
      </c>
      <c r="E14" s="10">
        <f>+SUMIFS('Historical &amp; Projected P&amp;L'!E$10:E$115,'Historical &amp; Projected P&amp;L'!$C$10:$C$115,'CIM Output'!$C14)</f>
        <v>343800</v>
      </c>
      <c r="F14" s="10">
        <f>+SUMIFS('Historical &amp; Projected P&amp;L'!F$10:F$115,'Historical &amp; Projected P&amp;L'!$C$10:$C$115,'CIM Output'!$C14)</f>
        <v>430923.070925131</v>
      </c>
      <c r="G14" s="10">
        <f>+SUMIFS('Historical &amp; Projected P&amp;L'!G$10:G$115,'Historical &amp; Projected P&amp;L'!$C$10:$C$115,'CIM Output'!$C14)</f>
        <v>414111.302797841</v>
      </c>
      <c r="H14" s="10">
        <f>+SUMIFS('Historical &amp; Projected P&amp;L'!H$10:H$115,'Historical &amp; Projected P&amp;L'!$C$10:$C$115,'CIM Output'!$C14)</f>
        <v>483098.557710901</v>
      </c>
    </row>
    <row r="15">
      <c r="C15" s="3" t="inlineStr">
        <is>
          <t>Lab Supplies</t>
        </is>
      </c>
      <c r="D15" s="10">
        <f>+SUMIFS('Historical &amp; Projected P&amp;L'!D$10:D$115,'Historical &amp; Projected P&amp;L'!$C$10:$C$115,'CIM Output'!$C15)</f>
        <v>1073300</v>
      </c>
      <c r="E15" s="10">
        <f>+SUMIFS('Historical &amp; Projected P&amp;L'!E$10:E$115,'Historical &amp; Projected P&amp;L'!$C$10:$C$115,'CIM Output'!$C15)</f>
        <v>1164300</v>
      </c>
      <c r="F15" s="10">
        <f>+SUMIFS('Historical &amp; Projected P&amp;L'!F$10:F$115,'Historical &amp; Projected P&amp;L'!$C$10:$C$115,'CIM Output'!$C15)</f>
        <v>1264791.22619338</v>
      </c>
      <c r="G15" s="10">
        <f>+SUMIFS('Historical &amp; Projected P&amp;L'!G$10:G$115,'Historical &amp; Projected P&amp;L'!$C$10:$C$115,'CIM Output'!$C15)</f>
        <v>1403106.53183268</v>
      </c>
      <c r="H15" s="10">
        <f>+SUMIFS('Historical &amp; Projected P&amp;L'!H$10:H$115,'Historical &amp; Projected P&amp;L'!$C$10:$C$115,'CIM Output'!$C15)</f>
        <v>1636851.58377341</v>
      </c>
    </row>
    <row r="16">
      <c r="C16" s="3" t="inlineStr">
        <is>
          <t>Drugs</t>
        </is>
      </c>
      <c r="D16" s="10">
        <f>+SUMIFS('Historical &amp; Projected P&amp;L'!D$10:D$115,'Historical &amp; Projected P&amp;L'!$C$10:$C$115,'CIM Output'!$C16)</f>
        <v>114800</v>
      </c>
      <c r="E16" s="10">
        <f>+SUMIFS('Historical &amp; Projected P&amp;L'!E$10:E$115,'Historical &amp; Projected P&amp;L'!$C$10:$C$115,'CIM Output'!$C16)</f>
        <v>123600</v>
      </c>
      <c r="F16" s="10">
        <f>+SUMIFS('Historical &amp; Projected P&amp;L'!F$10:F$115,'Historical &amp; Projected P&amp;L'!$C$10:$C$115,'CIM Output'!$C16)</f>
        <v>100193.013577791</v>
      </c>
      <c r="G16" s="10">
        <f>+SUMIFS('Historical &amp; Projected P&amp;L'!G$10:G$115,'Historical &amp; Projected P&amp;L'!$C$10:$C$115,'CIM Output'!$C16)</f>
        <v>144532.964505913</v>
      </c>
      <c r="H16" s="10">
        <f>+SUMIFS('Historical &amp; Projected P&amp;L'!H$10:H$115,'Historical &amp; Projected P&amp;L'!$C$10:$C$115,'CIM Output'!$C16)</f>
        <v>168610.869161844</v>
      </c>
    </row>
    <row r="17">
      <c r="C17" s="3" t="inlineStr">
        <is>
          <t>Pharmacy</t>
        </is>
      </c>
      <c r="D17" s="10">
        <f>+SUMIFS('Historical &amp; Projected P&amp;L'!D$10:D$115,'Historical &amp; Projected P&amp;L'!$C$10:$C$115,'CIM Output'!$C17)</f>
        <v>75600</v>
      </c>
      <c r="E17" s="10">
        <f>+SUMIFS('Historical &amp; Projected P&amp;L'!E$10:E$115,'Historical &amp; Projected P&amp;L'!$C$10:$C$115,'CIM Output'!$C17)</f>
        <v>82400</v>
      </c>
      <c r="F17" s="10">
        <f>+SUMIFS('Historical &amp; Projected P&amp;L'!F$10:F$115,'Historical &amp; Projected P&amp;L'!$C$10:$C$115,'CIM Output'!$C17)</f>
        <v>65089.8290731669</v>
      </c>
      <c r="G17" s="10">
        <f>+SUMIFS('Historical &amp; Projected P&amp;L'!G$10:G$115,'Historical &amp; Projected P&amp;L'!$C$10:$C$115,'CIM Output'!$C17)</f>
        <v>94190.0218128422</v>
      </c>
      <c r="H17" s="10">
        <f>+SUMIFS('Historical &amp; Projected P&amp;L'!H$10:H$115,'Historical &amp; Projected P&amp;L'!$C$10:$C$115,'CIM Output'!$C17)</f>
        <v>109881.240577381</v>
      </c>
    </row>
    <row r="18">
      <c r="B18" s="2" t="inlineStr">
        <is>
          <t>Total Drugs &amp; Medical Supplies</t>
        </is>
      </c>
      <c r="D18" s="15">
        <f>SUM(D14:D17)</f>
        <v>1580900</v>
      </c>
      <c r="E18" s="15">
        <f>SUM(E14:E17)</f>
        <v>1714100</v>
      </c>
      <c r="F18" s="15">
        <f>SUM(F14:F17)</f>
        <v>1860997.13976947</v>
      </c>
      <c r="G18" s="15">
        <f>SUM(G14:G17)</f>
        <v>2055940.82094928</v>
      </c>
      <c r="H18" s="15">
        <f>SUM(H14:H17)</f>
        <v>2398442.25122353</v>
      </c>
    </row>
    <row r="20">
      <c r="B20" s="2" t="inlineStr">
        <is>
          <t>Employee Salaries &amp; Wages</t>
        </is>
      </c>
    </row>
    <row r="21">
      <c r="C21" s="3" t="inlineStr">
        <is>
          <t>Salaries &amp; Wages</t>
        </is>
      </c>
      <c r="D21" s="10">
        <f>+SUMIFS('Historical &amp; Projected P&amp;L'!D$10:D$115,'Historical &amp; Projected P&amp;L'!$C$10:$C$115,'CIM Output'!$C21)</f>
        <v>3317600</v>
      </c>
      <c r="E21" s="10">
        <f>+SUMIFS('Historical &amp; Projected P&amp;L'!E$10:E$115,'Historical &amp; Projected P&amp;L'!$C$10:$C$115,'CIM Output'!$C21)</f>
        <v>3509800</v>
      </c>
      <c r="F21" s="10">
        <f>+SUMIFS('Historical &amp; Projected P&amp;L'!F$10:F$115,'Historical &amp; Projected P&amp;L'!$C$10:$C$115,'CIM Output'!$C21)</f>
        <v>3716855.58545661</v>
      </c>
      <c r="G21" s="10">
        <f>+SUMIFS('Historical &amp; Projected P&amp;L'!G$10:G$115,'Historical &amp; Projected P&amp;L'!$C$10:$C$115,'CIM Output'!$C21)</f>
        <v>4327258.52492685</v>
      </c>
      <c r="H21" s="10">
        <f>+SUMIFS('Historical &amp; Projected P&amp;L'!H$10:H$115,'Historical &amp; Projected P&amp;L'!$C$10:$C$115,'CIM Output'!$C21)</f>
        <v>4610459.61400799</v>
      </c>
    </row>
    <row r="22">
      <c r="C22" s="3" t="inlineStr">
        <is>
          <t>Contract Labor</t>
        </is>
      </c>
      <c r="D22" s="10">
        <f>+SUMIFS('Historical &amp; Projected P&amp;L'!D$10:D$115,'Historical &amp; Projected P&amp;L'!$C$10:$C$115,'CIM Output'!$C22)</f>
        <v>187900</v>
      </c>
      <c r="E22" s="10">
        <f>+SUMIFS('Historical &amp; Projected P&amp;L'!E$10:E$115,'Historical &amp; Projected P&amp;L'!$C$10:$C$115,'CIM Output'!$C22)</f>
        <v>205500</v>
      </c>
      <c r="F22" s="10">
        <f>+SUMIFS('Historical &amp; Projected P&amp;L'!F$10:F$115,'Historical &amp; Projected P&amp;L'!$C$10:$C$115,'CIM Output'!$C22)</f>
        <v>249542.072618998</v>
      </c>
      <c r="G22" s="10">
        <f>+SUMIFS('Historical &amp; Projected P&amp;L'!G$10:G$115,'Historical &amp; Projected P&amp;L'!$C$10:$C$115,'CIM Output'!$C22)</f>
        <v>241970.918105405</v>
      </c>
      <c r="H22" s="10">
        <f>+SUMIFS('Historical &amp; Projected P&amp;L'!H$10:H$115,'Historical &amp; Projected P&amp;L'!$C$10:$C$115,'CIM Output'!$C22)</f>
        <v>282281.118034997</v>
      </c>
    </row>
    <row r="23">
      <c r="C23" s="3" t="inlineStr">
        <is>
          <t>Sales Rep Expense</t>
        </is>
      </c>
      <c r="D23" s="10">
        <f>+SUMIFS('Historical &amp; Projected P&amp;L'!D$10:D$115,'Historical &amp; Projected P&amp;L'!$C$10:$C$115,'CIM Output'!$C23)</f>
        <v>636600</v>
      </c>
      <c r="E23" s="10">
        <f>+SUMIFS('Historical &amp; Projected P&amp;L'!E$10:E$115,'Historical &amp; Projected P&amp;L'!$C$10:$C$115,'CIM Output'!$C23)</f>
        <v>684700</v>
      </c>
      <c r="F23" s="10">
        <f>+SUMIFS('Historical &amp; Projected P&amp;L'!F$10:F$115,'Historical &amp; Projected P&amp;L'!$C$10:$C$115,'CIM Output'!$C23)</f>
        <v>747121.01</v>
      </c>
      <c r="G23" s="10">
        <f>+SUMIFS('Historical &amp; Projected P&amp;L'!G$10:G$115,'Historical &amp; Projected P&amp;L'!$C$10:$C$115,'CIM Output'!$C23)</f>
        <v>873223.8992</v>
      </c>
      <c r="H23" s="10">
        <f>+SUMIFS('Historical &amp; Projected P&amp;L'!H$10:H$115,'Historical &amp; Projected P&amp;L'!$C$10:$C$115,'CIM Output'!$C23)</f>
        <v>1116103.656176</v>
      </c>
    </row>
    <row r="24">
      <c r="C24" s="3" t="inlineStr">
        <is>
          <t>Other Personnel Costs</t>
        </is>
      </c>
      <c r="D24" s="10">
        <f>+SUMIFS('Historical &amp; Projected P&amp;L'!D$10:D$115,'Historical &amp; Projected P&amp;L'!$C$10:$C$115,'CIM Output'!$C24)</f>
        <v>88400</v>
      </c>
      <c r="E24" s="10">
        <f>+SUMIFS('Historical &amp; Projected P&amp;L'!E$10:E$115,'Historical &amp; Projected P&amp;L'!$C$10:$C$115,'CIM Output'!$C24)</f>
        <v>95900</v>
      </c>
      <c r="F24" s="10">
        <f>+SUMIFS('Historical &amp; Projected P&amp;L'!F$10:F$115,'Historical &amp; Projected P&amp;L'!$C$10:$C$115,'CIM Output'!$C24)</f>
        <v>74791.6666666667</v>
      </c>
      <c r="G24" s="10">
        <f>+SUMIFS('Historical &amp; Projected P&amp;L'!G$10:G$115,'Historical &amp; Projected P&amp;L'!$C$10:$C$115,'CIM Output'!$C24)</f>
        <v>78467.5153849094</v>
      </c>
      <c r="H24" s="10">
        <f>+SUMIFS('Historical &amp; Projected P&amp;L'!H$10:H$115,'Historical &amp; Projected P&amp;L'!$C$10:$C$115,'CIM Output'!$C24)</f>
        <v>81827.3380235179</v>
      </c>
    </row>
    <row r="25">
      <c r="B25" s="2" t="inlineStr">
        <is>
          <t>Total Employee Salaries &amp; Wages</t>
        </is>
      </c>
      <c r="D25" s="15">
        <f>SUM(D21:D24)</f>
        <v>4230500</v>
      </c>
      <c r="E25" s="15">
        <f>SUM(E21:E24)</f>
        <v>4495900</v>
      </c>
      <c r="F25" s="15">
        <f>SUM(F21:F24)</f>
        <v>4788310.33474227</v>
      </c>
      <c r="G25" s="15">
        <f>SUM(G21:G24)</f>
        <v>5520920.85761716</v>
      </c>
      <c r="H25" s="15">
        <f>SUM(H21:H24)</f>
        <v>6090671.7262425</v>
      </c>
    </row>
    <row r="27">
      <c r="B27" s="3" t="inlineStr">
        <is>
          <t>Laboratory Fees</t>
        </is>
      </c>
      <c r="D27" s="10">
        <f>+SUMIFS('Historical &amp; Projected P&amp;L'!D$10:D$115,'Historical &amp; Projected P&amp;L'!$C$10:$C$115,'CIM Output'!$B27)</f>
        <v>729800</v>
      </c>
      <c r="E27" s="10">
        <f>+SUMIFS('Historical &amp; Projected P&amp;L'!E$10:E$115,'Historical &amp; Projected P&amp;L'!$C$10:$C$115,'CIM Output'!$B27)</f>
        <v>792200</v>
      </c>
      <c r="F27" s="10">
        <f>+SUMIFS('Historical &amp; Projected P&amp;L'!F$10:F$115,'Historical &amp; Projected P&amp;L'!$C$10:$C$115,'CIM Output'!$B27)</f>
        <v>863135.37066775</v>
      </c>
      <c r="G27" s="10">
        <f>+SUMIFS('Historical &amp; Projected P&amp;L'!G$10:G$115,'Historical &amp; Projected P&amp;L'!$C$10:$C$115,'CIM Output'!$B27)</f>
        <v>948396.081701722</v>
      </c>
      <c r="H27" s="10">
        <f>+SUMIFS('Historical &amp; Projected P&amp;L'!H$10:H$115,'Historical &amp; Projected P&amp;L'!$C$10:$C$115,'CIM Output'!$B27)</f>
        <v>1106390.42236536</v>
      </c>
    </row>
    <row r="28">
      <c r="B28" s="3" t="inlineStr">
        <is>
          <t>Billing &amp; Collection Fees</t>
        </is>
      </c>
      <c r="D28" s="10">
        <f>+SUMIFS('Historical &amp; Projected P&amp;L'!D$10:D$115,'Historical &amp; Projected P&amp;L'!$C$10:$C$115,'CIM Output'!$B28)</f>
        <v>448300</v>
      </c>
      <c r="E28" s="10">
        <f>+SUMIFS('Historical &amp; Projected P&amp;L'!E$10:E$115,'Historical &amp; Projected P&amp;L'!$C$10:$C$115,'CIM Output'!$B28)</f>
        <v>476000</v>
      </c>
      <c r="F28" s="10">
        <f>+SUMIFS('Historical &amp; Projected P&amp;L'!F$10:F$115,'Historical &amp; Projected P&amp;L'!$C$10:$C$115,'CIM Output'!$B28)</f>
        <v>581873.314311163</v>
      </c>
      <c r="G28" s="10">
        <f>+SUMIFS('Historical &amp; Projected P&amp;L'!G$10:G$115,'Historical &amp; Projected P&amp;L'!$C$10:$C$115,'CIM Output'!$B28)</f>
        <v>578131.858023652</v>
      </c>
      <c r="H28" s="10">
        <f>+SUMIFS('Historical &amp; Projected P&amp;L'!H$10:H$115,'Historical &amp; Projected P&amp;L'!$C$10:$C$115,'CIM Output'!$B28)</f>
        <v>674443.476647375</v>
      </c>
    </row>
    <row r="29">
      <c r="B29" s="3" t="inlineStr">
        <is>
          <t>Total Employee Taxes &amp; Benefits</t>
        </is>
      </c>
      <c r="D29" s="10">
        <f>+SUMIFS('Historical &amp; Projected P&amp;L'!D$10:D$115,'Historical &amp; Projected P&amp;L'!$C$10:$C$115,'CIM Output'!$B29)</f>
        <v>522000</v>
      </c>
      <c r="E29" s="10">
        <f>+SUMIFS('Historical &amp; Projected P&amp;L'!E$10:E$115,'Historical &amp; Projected P&amp;L'!$C$10:$C$115,'CIM Output'!$B29)</f>
        <v>549300</v>
      </c>
      <c r="F29" s="10">
        <f>+SUMIFS('Historical &amp; Projected P&amp;L'!F$10:F$115,'Historical &amp; Projected P&amp;L'!$C$10:$C$115,'CIM Output'!$B29)</f>
        <v>592903.896641881</v>
      </c>
      <c r="G29" s="10">
        <f>+SUMIFS('Historical &amp; Projected P&amp;L'!G$10:G$115,'Historical &amp; Projected P&amp;L'!$C$10:$C$115,'CIM Output'!$B29)</f>
        <v>682997.785168875</v>
      </c>
      <c r="H29" s="10">
        <f>+SUMIFS('Historical &amp; Projected P&amp;L'!H$10:H$115,'Historical &amp; Projected P&amp;L'!$C$10:$C$115,'CIM Output'!$B29)</f>
        <v>753482.146637716</v>
      </c>
    </row>
    <row r="30">
      <c r="B30" s="3" t="inlineStr">
        <is>
          <t>Total Occupancy Costs</t>
        </is>
      </c>
      <c r="D30" s="10">
        <f>+SUMIFS('Historical &amp; Projected P&amp;L'!D$10:D$115,'Historical &amp; Projected P&amp;L'!$C$10:$C$115,'CIM Output'!$B30)</f>
        <v>710400</v>
      </c>
      <c r="E30" s="10">
        <f>+SUMIFS('Historical &amp; Projected P&amp;L'!E$10:E$115,'Historical &amp; Projected P&amp;L'!$C$10:$C$115,'CIM Output'!$B30)</f>
        <v>768100</v>
      </c>
      <c r="F30" s="10">
        <f>+SUMIFS('Historical &amp; Projected P&amp;L'!F$10:F$115,'Historical &amp; Projected P&amp;L'!$C$10:$C$115,'CIM Output'!$B30)</f>
        <v>806806.721666667</v>
      </c>
      <c r="G30" s="10">
        <f>+SUMIFS('Historical &amp; Projected P&amp;L'!G$10:G$115,'Historical &amp; Projected P&amp;L'!$C$10:$C$115,'CIM Output'!$B30)</f>
        <v>825178.325654194</v>
      </c>
      <c r="H30" s="10">
        <f>+SUMIFS('Historical &amp; Projected P&amp;L'!H$10:H$115,'Historical &amp; Projected P&amp;L'!$C$10:$C$115,'CIM Output'!$B30)</f>
        <v>860510.817142197</v>
      </c>
    </row>
    <row r="31">
      <c r="B31" s="3" t="inlineStr">
        <is>
          <t>All Other Operating Expenses</t>
        </is>
      </c>
      <c r="D31" s="10">
        <f>+'Historical &amp; Projected P&amp;L'!D95-(D18+D25+SUM(D27:D30))</f>
        <v>1996400</v>
      </c>
      <c r="E31" s="10">
        <f>+'Historical &amp; Projected P&amp;L'!E95-(E18+E25+SUM(E27:E30))</f>
        <v>2143600</v>
      </c>
      <c r="F31" s="10">
        <f>+'Historical &amp; Projected P&amp;L'!F95-(F18+F25+SUM(F27:F30))</f>
        <v>2237574.67120155</v>
      </c>
      <c r="G31" s="10">
        <f>+'Historical &amp; Projected P&amp;L'!G95-(G18+G25+SUM(G27:G30))</f>
        <v>2357629.13172288</v>
      </c>
      <c r="H31" s="10">
        <f>+'Historical &amp; Projected P&amp;L'!H95-(H18+H25+SUM(H27:H30))</f>
        <v>2594093.03790761</v>
      </c>
    </row>
    <row r="32">
      <c r="B32" s="2" t="inlineStr">
        <is>
          <t>Total Operating Expenses</t>
        </is>
      </c>
      <c r="D32" s="15">
        <f>+D18+D25+SUM(D27:D31)</f>
        <v>10218300</v>
      </c>
      <c r="E32" s="15">
        <f>+E18+E25+SUM(E27:E31)</f>
        <v>10939200</v>
      </c>
      <c r="F32" s="15">
        <f>+F18+F25+SUM(F27:F31)</f>
        <v>11731601.4490008</v>
      </c>
      <c r="G32" s="15">
        <f>+G18+G25+SUM(G27:G31)</f>
        <v>12969194.8608378</v>
      </c>
      <c r="H32" s="15">
        <f>+H18+H25+SUM(H27:H31)</f>
        <v>14478033.8781663</v>
      </c>
      <c r="J32" s="11">
        <f>+(F32/D32)^(1/(F$3-D$3))-1</f>
        <v>0.0714929693594553</v>
      </c>
      <c r="K32" s="11">
        <f>+(H32/F32)^(1/(H$3-F$3))-1</f>
        <v>0.110903011303834</v>
      </c>
    </row>
    <row r="33">
      <c r="B33" s="4" t="inlineStr">
        <is>
          <t>check</t>
        </is>
      </c>
      <c r="D33" s="10">
        <f>+D32-'Historical &amp; Projected P&amp;L'!D95</f>
        <v>0</v>
      </c>
      <c r="E33" s="10">
        <f>+E32-'Historical &amp; Projected P&amp;L'!E95</f>
        <v>0</v>
      </c>
      <c r="F33" s="10">
        <f>+F32-'Historical &amp; Projected P&amp;L'!F95</f>
        <v>0</v>
      </c>
      <c r="G33" s="10">
        <f>+G32-'Historical &amp; Projected P&amp;L'!G95</f>
        <v>0</v>
      </c>
      <c r="H33" s="10">
        <f>+H32-'Historical &amp; Projected P&amp;L'!H95</f>
        <v>0</v>
      </c>
    </row>
    <row r="34">
      <c r="B34" s="4" t="inlineStr">
        <is>
          <t>% of Revenue</t>
        </is>
      </c>
      <c r="D34" s="11">
        <f>+IFERROR(D32/D9,)</f>
        <v>0.803837349255422</v>
      </c>
      <c r="E34" s="11">
        <f>+IFERROR(E32/E9,)</f>
        <v>0.79515024641284</v>
      </c>
      <c r="F34" s="11">
        <f>+IFERROR(F32/F9,)</f>
        <v>0.784558860655071</v>
      </c>
      <c r="G34" s="11">
        <f>+IFERROR(G32/G9,)</f>
        <v>0.79861251484075</v>
      </c>
      <c r="H34" s="11">
        <f>+IFERROR(H32/H9,)</f>
        <v>0.764212308234986</v>
      </c>
    </row>
    <row r="36">
      <c r="B36" s="2" t="inlineStr">
        <is>
          <t>EBITDA, as adjusted</t>
        </is>
      </c>
      <c r="D36" s="16">
        <f>+D9-D32-SUMIFS('Historical &amp; Projected P&amp;L'!D$10:D$115,'Historical &amp; Projected P&amp;L'!$C$10:$C$115,"Non-Operating Expense / (Income)")+SUMIFS('Historical &amp; Projected P&amp;L'!D$10:D$115,'Historical &amp; Projected P&amp;L'!$C$10:$C$115,"Non-Operating Income / (Expense)")</f>
        <v>2475500</v>
      </c>
      <c r="E36" s="16">
        <f>+E9-E32-SUMIFS('Historical &amp; Projected P&amp;L'!E$10:E$115,'Historical &amp; Projected P&amp;L'!$C$10:$C$115,"Non-Operating Expense / (Income)")+SUMIFS('Historical &amp; Projected P&amp;L'!E$10:E$115,'Historical &amp; Projected P&amp;L'!$C$10:$C$115,"Non-Operating Income / (Expense)")</f>
        <v>2800700</v>
      </c>
      <c r="F36" s="16">
        <f>+F9-F32-SUMIFS('Historical &amp; Projected P&amp;L'!F$10:F$115,'Historical &amp; Projected P&amp;L'!$C$10:$C$115,"Non-Operating Expense / (Income)")+SUMIFS('Historical &amp; Projected P&amp;L'!F$10:F$115,'Historical &amp; Projected P&amp;L'!$C$10:$C$115,"Non-Operating Income / (Expense)")</f>
        <v>3207266.84120045</v>
      </c>
      <c r="G36" s="16">
        <f>+G9-G32-SUMIFS('Historical &amp; Projected P&amp;L'!G$10:G$115,'Historical &amp; Projected P&amp;L'!$C$10:$C$115,"Non-Operating Expense / (Income)")+SUMIFS('Historical &amp; Projected P&amp;L'!G$10:G$115,'Historical &amp; Projected P&amp;L'!$C$10:$C$115,"Non-Operating Income / (Expense)")</f>
        <v>3255118.40447382</v>
      </c>
      <c r="H36" s="16">
        <f>+H9-H32-SUMIFS('Historical &amp; Projected P&amp;L'!H$10:H$115,'Historical &amp; Projected P&amp;L'!$C$10:$C$115,"Non-Operating Expense / (Income)")+SUMIFS('Historical &amp; Projected P&amp;L'!H$10:H$115,'Historical &amp; Projected P&amp;L'!$C$10:$C$115,"Non-Operating Income / (Expense)")</f>
        <v>4451004.8618353</v>
      </c>
      <c r="J36" s="11">
        <f>+(F36/D36)^(1/(F$3-D$3))-1</f>
        <v>0.138245866354211</v>
      </c>
      <c r="K36" s="11">
        <f>+(H36/F36)^(1/(H$3-F$3))-1</f>
        <v>0.178043933601353</v>
      </c>
    </row>
    <row r="37">
      <c r="B37" s="4" t="inlineStr">
        <is>
          <t>YoY % Growth</t>
        </is>
      </c>
      <c r="E37" s="12">
        <f>+IFERROR(E36/D36-1,)</f>
        <v>0.131367400525146</v>
      </c>
      <c r="F37" s="12">
        <f>+IFERROR(F36/E36-1,)</f>
        <v>0.145166151747937</v>
      </c>
      <c r="G37" s="12">
        <f>+IFERROR(G36/F36-1,)</f>
        <v>0.0149197324833312</v>
      </c>
      <c r="H37" s="12">
        <f>+IFERROR(H36/G36-1,)</f>
        <v>0.367386469173553</v>
      </c>
    </row>
    <row r="38">
      <c r="B38" s="4" t="inlineStr">
        <is>
          <t>% Margin</t>
        </is>
      </c>
      <c r="D38" s="11">
        <f>+IFERROR(D36/D9,)</f>
        <v>0.194738788064727</v>
      </c>
      <c r="E38" s="11">
        <f>+IFERROR(E36/E9,)</f>
        <v>0.203577710904677</v>
      </c>
      <c r="F38" s="11">
        <f>+IFERROR(F36/F9,)</f>
        <v>0.21448816086088</v>
      </c>
      <c r="G38" s="11">
        <f>+IFERROR(G36/G9,)</f>
        <v>0.200442535022048</v>
      </c>
      <c r="H38" s="11">
        <f>+IFERROR(H36/H9,)</f>
        <v>0.234942999032347</v>
      </c>
    </row>
    <row r="39">
      <c r="B39" s="4" t="inlineStr">
        <is>
          <t>check</t>
        </is>
      </c>
      <c r="D39" s="10">
        <f>+D36-'Historical &amp; Projected P&amp;L'!D105</f>
        <v>0</v>
      </c>
      <c r="E39" s="10">
        <f>+E36-'Historical &amp; Projected P&amp;L'!E105</f>
        <v>0</v>
      </c>
      <c r="F39" s="10">
        <f>+F36-'Historical &amp; Projected P&amp;L'!F105</f>
        <v>0</v>
      </c>
      <c r="G39" s="10">
        <f>+G36-'Historical &amp; Projected P&amp;L'!G105</f>
        <v>0</v>
      </c>
      <c r="H39" s="10">
        <f>+H36-'Historical &amp; Projected P&amp;L'!H105</f>
        <v>0</v>
      </c>
    </row>
    <row r="40">
      <c r="B40" s="4" t="inlineStr">
        <is>
          <t>(1) 2024–Aug-26 per QoE databook; Sep–Nov-26 management reported; Dec-26 onward projected. EBITDA as adjusted is net of non-operating items.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Q211"/>
  <sheetViews>
    <sheetView showGridLines="0" zoomScale="85" workbookViewId="0">
      <pane xSplit="9" ySplit="9" topLeftCell="J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</cols>
  <sheetData>
    <row r="2">
      <c r="A2" s="2" t="inlineStr">
        <is>
          <t>Orivane Clinical Laboratories, LLC</t>
        </is>
      </c>
    </row>
    <row r="3">
      <c r="A3" s="3" t="inlineStr">
        <is>
          <t>Adj. P&amp;L</t>
        </is>
      </c>
    </row>
    <row r="4">
      <c r="A4" s="4" t="inlineStr">
        <is>
          <t>Accrual Basis</t>
        </is>
      </c>
    </row>
    <row r="6">
      <c r="C6" s="4" t="inlineStr">
        <is>
          <t>Fiscal year ending December 31,</t>
        </is>
      </c>
    </row>
    <row r="7">
      <c r="J7" s="17">
        <f>+YEAR(J8)</f>
        <v>2024</v>
      </c>
      <c r="K7" s="17">
        <f>+YEAR(K8)</f>
        <v>2024</v>
      </c>
      <c r="L7" s="17">
        <f>+YEAR(L8)</f>
        <v>2024</v>
      </c>
      <c r="M7" s="17">
        <f>+YEAR(M8)</f>
        <v>2024</v>
      </c>
      <c r="N7" s="17">
        <f>+YEAR(N8)</f>
        <v>2024</v>
      </c>
      <c r="O7" s="17">
        <f>+YEAR(O8)</f>
        <v>2024</v>
      </c>
      <c r="P7" s="17">
        <f>+YEAR(P8)</f>
        <v>2024</v>
      </c>
      <c r="Q7" s="17">
        <f>+YEAR(Q8)</f>
        <v>2024</v>
      </c>
      <c r="R7" s="17">
        <f>+YEAR(R8)</f>
        <v>2024</v>
      </c>
      <c r="S7" s="17">
        <f>+YEAR(S8)</f>
        <v>2024</v>
      </c>
      <c r="T7" s="17">
        <f>+YEAR(T8)</f>
        <v>2024</v>
      </c>
      <c r="U7" s="17">
        <f>+YEAR(U8)</f>
        <v>2024</v>
      </c>
      <c r="V7" s="17">
        <f>+YEAR(V8)</f>
        <v>2025</v>
      </c>
      <c r="W7" s="17">
        <f>+YEAR(W8)</f>
        <v>2025</v>
      </c>
      <c r="X7" s="17">
        <f>+YEAR(X8)</f>
        <v>2025</v>
      </c>
      <c r="Y7" s="17">
        <f>+YEAR(Y8)</f>
        <v>2025</v>
      </c>
      <c r="Z7" s="17">
        <f>+YEAR(Z8)</f>
        <v>2025</v>
      </c>
      <c r="AA7" s="17">
        <f>+YEAR(AA8)</f>
        <v>2025</v>
      </c>
      <c r="AB7" s="17">
        <f>+YEAR(AB8)</f>
        <v>2025</v>
      </c>
      <c r="AC7" s="17">
        <f>+YEAR(AC8)</f>
        <v>2025</v>
      </c>
      <c r="AD7" s="17">
        <f>+YEAR(AD8)</f>
        <v>2025</v>
      </c>
      <c r="AE7" s="17">
        <f>+YEAR(AE8)</f>
        <v>2025</v>
      </c>
      <c r="AF7" s="17">
        <f>+YEAR(AF8)</f>
        <v>2025</v>
      </c>
      <c r="AG7" s="17">
        <f>+YEAR(AG8)</f>
        <v>2025</v>
      </c>
      <c r="AH7" s="17">
        <f>+YEAR(AH8)</f>
        <v>2026</v>
      </c>
      <c r="AI7" s="17">
        <f>+YEAR(AI8)</f>
        <v>2026</v>
      </c>
      <c r="AJ7" s="17">
        <f>+YEAR(AJ8)</f>
        <v>2026</v>
      </c>
      <c r="AK7" s="17">
        <f>+YEAR(AK8)</f>
        <v>2026</v>
      </c>
      <c r="AL7" s="17">
        <f>+YEAR(AL8)</f>
        <v>2026</v>
      </c>
      <c r="AM7" s="17">
        <f>+YEAR(AM8)</f>
        <v>2026</v>
      </c>
      <c r="AN7" s="17">
        <f>+YEAR(AN8)</f>
        <v>2026</v>
      </c>
      <c r="AO7" s="17">
        <f>+YEAR(AO8)</f>
        <v>2026</v>
      </c>
      <c r="AP7" s="17">
        <f>+YEAR(AP8)</f>
        <v>2026</v>
      </c>
      <c r="AQ7" s="17">
        <f>+YEAR(AQ8)</f>
        <v>2026</v>
      </c>
      <c r="AR7" s="17">
        <f>+YEAR(AR8)</f>
        <v>2026</v>
      </c>
      <c r="AS7" s="17">
        <f>+YEAR(AS8)</f>
        <v>2026</v>
      </c>
      <c r="AT7" s="17">
        <f>+YEAR(AT8)</f>
        <v>2027</v>
      </c>
      <c r="AU7" s="17">
        <f>+YEAR(AU8)</f>
        <v>2027</v>
      </c>
      <c r="AV7" s="17">
        <f>+YEAR(AV8)</f>
        <v>2027</v>
      </c>
      <c r="AW7" s="17">
        <f>+YEAR(AW8)</f>
        <v>2027</v>
      </c>
      <c r="AX7" s="17">
        <f>+YEAR(AX8)</f>
        <v>2027</v>
      </c>
      <c r="AY7" s="17">
        <f>+YEAR(AY8)</f>
        <v>2027</v>
      </c>
      <c r="AZ7" s="17">
        <f>+YEAR(AZ8)</f>
        <v>2027</v>
      </c>
      <c r="BA7" s="17">
        <f>+YEAR(BA8)</f>
        <v>2027</v>
      </c>
      <c r="BB7" s="17">
        <f>+YEAR(BB8)</f>
        <v>2027</v>
      </c>
      <c r="BC7" s="17">
        <f>+YEAR(BC8)</f>
        <v>2027</v>
      </c>
      <c r="BD7" s="17">
        <f>+YEAR(BD8)</f>
        <v>2027</v>
      </c>
      <c r="BE7" s="17">
        <f>+YEAR(BE8)</f>
        <v>2027</v>
      </c>
      <c r="BF7" s="17">
        <f>+YEAR(BF8)</f>
        <v>2028</v>
      </c>
      <c r="BG7" s="17">
        <f>+YEAR(BG8)</f>
        <v>2028</v>
      </c>
      <c r="BH7" s="17">
        <f>+YEAR(BH8)</f>
        <v>2028</v>
      </c>
      <c r="BI7" s="17">
        <f>+YEAR(BI8)</f>
        <v>2028</v>
      </c>
      <c r="BJ7" s="17">
        <f>+YEAR(BJ8)</f>
        <v>2028</v>
      </c>
      <c r="BK7" s="17">
        <f>+YEAR(BK8)</f>
        <v>2028</v>
      </c>
      <c r="BL7" s="17">
        <f>+YEAR(BL8)</f>
        <v>2028</v>
      </c>
      <c r="BM7" s="17">
        <f>+YEAR(BM8)</f>
        <v>2028</v>
      </c>
      <c r="BN7" s="17">
        <f>+YEAR(BN8)</f>
        <v>2028</v>
      </c>
      <c r="BO7" s="17">
        <f>+YEAR(BO8)</f>
        <v>2028</v>
      </c>
      <c r="BP7" s="17">
        <f>+YEAR(BP8)</f>
        <v>2028</v>
      </c>
      <c r="BQ7" s="17">
        <f>+YEAR(BQ8)</f>
        <v>2028</v>
      </c>
    </row>
    <row r="8">
      <c r="C8" s="4" t="inlineStr">
        <is>
          <t>$ in actual</t>
        </is>
      </c>
      <c r="D8" s="7" t="n">
        <v>2024</v>
      </c>
      <c r="E8" s="7" t="n">
        <v>2025</v>
      </c>
      <c r="F8" s="7" t="n">
        <v>2026</v>
      </c>
      <c r="G8" s="7" t="n">
        <v>2027</v>
      </c>
      <c r="H8" s="7" t="n">
        <v>2028</v>
      </c>
      <c r="J8" s="18" t="n">
        <v>45322</v>
      </c>
      <c r="K8" s="19">
        <f>+EOMONTH(J8,1)</f>
        <v>45351</v>
      </c>
      <c r="L8" s="19">
        <f>+EOMONTH(K8,1)</f>
        <v>45382</v>
      </c>
      <c r="M8" s="19">
        <f>+EOMONTH(L8,1)</f>
        <v>45412</v>
      </c>
      <c r="N8" s="19">
        <f>+EOMONTH(M8,1)</f>
        <v>45443</v>
      </c>
      <c r="O8" s="19">
        <f>+EOMONTH(N8,1)</f>
        <v>45473</v>
      </c>
      <c r="P8" s="19">
        <f>+EOMONTH(O8,1)</f>
        <v>45504</v>
      </c>
      <c r="Q8" s="19">
        <f>+EOMONTH(P8,1)</f>
        <v>45535</v>
      </c>
      <c r="R8" s="19">
        <f>+EOMONTH(Q8,1)</f>
        <v>45565</v>
      </c>
      <c r="S8" s="19">
        <f>+EOMONTH(R8,1)</f>
        <v>45596</v>
      </c>
      <c r="T8" s="19">
        <f>+EOMONTH(S8,1)</f>
        <v>45626</v>
      </c>
      <c r="U8" s="19">
        <f>+EOMONTH(T8,1)</f>
        <v>45657</v>
      </c>
      <c r="V8" s="19">
        <f>+EOMONTH(U8,1)</f>
        <v>45688</v>
      </c>
      <c r="W8" s="19">
        <f>+EOMONTH(V8,1)</f>
        <v>45716</v>
      </c>
      <c r="X8" s="19">
        <f>+EOMONTH(W8,1)</f>
        <v>45747</v>
      </c>
      <c r="Y8" s="19">
        <f>+EOMONTH(X8,1)</f>
        <v>45777</v>
      </c>
      <c r="Z8" s="19">
        <f>+EOMONTH(Y8,1)</f>
        <v>45808</v>
      </c>
      <c r="AA8" s="19">
        <f>+EOMONTH(Z8,1)</f>
        <v>45838</v>
      </c>
      <c r="AB8" s="19">
        <f>+EOMONTH(AA8,1)</f>
        <v>45869</v>
      </c>
      <c r="AC8" s="19">
        <f>+EOMONTH(AB8,1)</f>
        <v>45900</v>
      </c>
      <c r="AD8" s="19">
        <f>+EOMONTH(AC8,1)</f>
        <v>45930</v>
      </c>
      <c r="AE8" s="19">
        <f>+EOMONTH(AD8,1)</f>
        <v>45961</v>
      </c>
      <c r="AF8" s="19">
        <f>+EOMONTH(AE8,1)</f>
        <v>45991</v>
      </c>
      <c r="AG8" s="19">
        <f>+EOMONTH(AF8,1)</f>
        <v>46022</v>
      </c>
      <c r="AH8" s="19">
        <f>+EOMONTH(AG8,1)</f>
        <v>46053</v>
      </c>
      <c r="AI8" s="19">
        <f>+EOMONTH(AH8,1)</f>
        <v>46081</v>
      </c>
      <c r="AJ8" s="19">
        <f>+EOMONTH(AI8,1)</f>
        <v>46112</v>
      </c>
      <c r="AK8" s="19">
        <f>+EOMONTH(AJ8,1)</f>
        <v>46142</v>
      </c>
      <c r="AL8" s="19">
        <f>+EOMONTH(AK8,1)</f>
        <v>46173</v>
      </c>
      <c r="AM8" s="19">
        <f>+EOMONTH(AL8,1)</f>
        <v>46203</v>
      </c>
      <c r="AN8" s="19">
        <f>+EOMONTH(AM8,1)</f>
        <v>46234</v>
      </c>
      <c r="AO8" s="19">
        <f>+EOMONTH(AN8,1)</f>
        <v>46265</v>
      </c>
      <c r="AP8" s="19">
        <f>+EOMONTH(AO8,1)</f>
        <v>46295</v>
      </c>
      <c r="AQ8" s="19">
        <f>+EOMONTH(AP8,1)</f>
        <v>46326</v>
      </c>
      <c r="AR8" s="19">
        <f>+EOMONTH(AQ8,1)</f>
        <v>46356</v>
      </c>
      <c r="AS8" s="19">
        <f>+EOMONTH(AR8,1)</f>
        <v>46387</v>
      </c>
      <c r="AT8" s="19">
        <f>+EOMONTH(AS8,1)</f>
        <v>46418</v>
      </c>
      <c r="AU8" s="19">
        <f>+EOMONTH(AT8,1)</f>
        <v>46446</v>
      </c>
      <c r="AV8" s="19">
        <f>+EOMONTH(AU8,1)</f>
        <v>46477</v>
      </c>
      <c r="AW8" s="19">
        <f>+EOMONTH(AV8,1)</f>
        <v>46507</v>
      </c>
      <c r="AX8" s="19">
        <f>+EOMONTH(AW8,1)</f>
        <v>46538</v>
      </c>
      <c r="AY8" s="19">
        <f>+EOMONTH(AX8,1)</f>
        <v>46568</v>
      </c>
      <c r="AZ8" s="19">
        <f>+EOMONTH(AY8,1)</f>
        <v>46599</v>
      </c>
      <c r="BA8" s="19">
        <f>+EOMONTH(AZ8,1)</f>
        <v>46630</v>
      </c>
      <c r="BB8" s="19">
        <f>+EOMONTH(BA8,1)</f>
        <v>46660</v>
      </c>
      <c r="BC8" s="19">
        <f>+EOMONTH(BB8,1)</f>
        <v>46691</v>
      </c>
      <c r="BD8" s="19">
        <f>+EOMONTH(BC8,1)</f>
        <v>46721</v>
      </c>
      <c r="BE8" s="19">
        <f>+EOMONTH(BD8,1)</f>
        <v>46752</v>
      </c>
      <c r="BF8" s="19">
        <f>+EOMONTH(BE8,1)</f>
        <v>46783</v>
      </c>
      <c r="BG8" s="19">
        <f>+EOMONTH(BF8,1)</f>
        <v>46812</v>
      </c>
      <c r="BH8" s="19">
        <f>+EOMONTH(BG8,1)</f>
        <v>46843</v>
      </c>
      <c r="BI8" s="19">
        <f>+EOMONTH(BH8,1)</f>
        <v>46873</v>
      </c>
      <c r="BJ8" s="19">
        <f>+EOMONTH(BI8,1)</f>
        <v>46904</v>
      </c>
      <c r="BK8" s="19">
        <f>+EOMONTH(BJ8,1)</f>
        <v>46934</v>
      </c>
      <c r="BL8" s="19">
        <f>+EOMONTH(BK8,1)</f>
        <v>46965</v>
      </c>
      <c r="BM8" s="19">
        <f>+EOMONTH(BL8,1)</f>
        <v>46996</v>
      </c>
      <c r="BN8" s="19">
        <f>+EOMONTH(BM8,1)</f>
        <v>47026</v>
      </c>
      <c r="BO8" s="19">
        <f>+EOMONTH(BN8,1)</f>
        <v>47057</v>
      </c>
      <c r="BP8" s="19">
        <f>+EOMONTH(BO8,1)</f>
        <v>47087</v>
      </c>
      <c r="BQ8" s="19">
        <f>+EOMONTH(BP8,1)</f>
        <v>47118</v>
      </c>
    </row>
    <row r="9">
      <c r="A9" s="9" t="inlineStr">
        <is>
          <t>Adjusted P&amp;L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</row>
    <row r="10">
      <c r="A10" s="3" t="inlineStr">
        <is>
          <t>x</t>
        </is>
      </c>
      <c r="C10" s="3" t="inlineStr">
        <is>
          <t>Net Operating Revenue</t>
        </is>
      </c>
      <c r="D10" s="20">
        <f>+SUMIFS($J10:$BQ10,$J$7:$BQ$7,D$8)</f>
        <v>12711900</v>
      </c>
      <c r="E10" s="20">
        <f>+SUMIFS($J10:$BQ10,$J$7:$BQ$7,E$8)</f>
        <v>13757400</v>
      </c>
      <c r="F10" s="20">
        <f>+SUMIFS($J10:$BQ10,$J$7:$BQ$7,F$8)</f>
        <v>14953118.2902012</v>
      </c>
      <c r="G10" s="20">
        <f>+SUMIFS($J10:$BQ10,$J$7:$BQ$7,G$8)</f>
        <v>16239658.9332487</v>
      </c>
      <c r="H10" s="20">
        <f>+SUMIFS($J10:$BQ10,$J$7:$BQ$7,H$8)</f>
        <v>18945041.4788589</v>
      </c>
      <c r="J10" s="10">
        <f>+'QoE PF Adj. P&amp;L Aug-26'!D15*1000</f>
        <v>1059600</v>
      </c>
      <c r="K10" s="10">
        <f>+'QoE PF Adj. P&amp;L Aug-26'!E15*1000</f>
        <v>957100</v>
      </c>
      <c r="L10" s="10">
        <f>+'QoE PF Adj. P&amp;L Aug-26'!F15*1000</f>
        <v>1053300</v>
      </c>
      <c r="M10" s="10">
        <f>+'QoE PF Adj. P&amp;L Aug-26'!G15*1000</f>
        <v>1024700</v>
      </c>
      <c r="N10" s="10">
        <f>+'QoE PF Adj. P&amp;L Aug-26'!H15*1000</f>
        <v>1153100</v>
      </c>
      <c r="O10" s="10">
        <f>+'QoE PF Adj. P&amp;L Aug-26'!I15*1000</f>
        <v>972600</v>
      </c>
      <c r="P10" s="10">
        <f>+'QoE PF Adj. P&amp;L Aug-26'!J15*1000</f>
        <v>1073500</v>
      </c>
      <c r="Q10" s="10">
        <f>+'QoE PF Adj. P&amp;L Aug-26'!K15*1000</f>
        <v>1097400</v>
      </c>
      <c r="R10" s="10">
        <f>+'QoE PF Adj. P&amp;L Aug-26'!L15*1000</f>
        <v>1014100</v>
      </c>
      <c r="S10" s="10">
        <f>+'QoE PF Adj. P&amp;L Aug-26'!M15*1000</f>
        <v>1221600</v>
      </c>
      <c r="T10" s="10">
        <f>+'QoE PF Adj. P&amp;L Aug-26'!N15*1000</f>
        <v>1062800</v>
      </c>
      <c r="U10" s="10">
        <f>+'QoE PF Adj. P&amp;L Aug-26'!O15*1000</f>
        <v>1022100</v>
      </c>
      <c r="V10" s="10">
        <f>+'QoE PF Adj. P&amp;L Aug-26'!P15*1000</f>
        <v>1157300</v>
      </c>
      <c r="W10" s="10">
        <f>+'QoE PF Adj. P&amp;L Aug-26'!Q15*1000</f>
        <v>943900</v>
      </c>
      <c r="X10" s="10">
        <f>+'QoE PF Adj. P&amp;L Aug-26'!R15*1000</f>
        <v>1081900</v>
      </c>
      <c r="Y10" s="10">
        <f>+'QoE PF Adj. P&amp;L Aug-26'!S15*1000</f>
        <v>1171100</v>
      </c>
      <c r="Z10" s="10">
        <f>+'QoE PF Adj. P&amp;L Aug-26'!T15*1000</f>
        <v>1206800</v>
      </c>
      <c r="AA10" s="10">
        <f>+'QoE PF Adj. P&amp;L Aug-26'!U15*1000</f>
        <v>1057200</v>
      </c>
      <c r="AB10" s="10">
        <f>+'QoE PF Adj. P&amp;L Aug-26'!V15*1000</f>
        <v>1207900</v>
      </c>
      <c r="AC10" s="10">
        <f>+'QoE PF Adj. P&amp;L Aug-26'!W15*1000</f>
        <v>1151100</v>
      </c>
      <c r="AD10" s="10">
        <f>+'QoE PF Adj. P&amp;L Aug-26'!X15*1000</f>
        <v>1151800</v>
      </c>
      <c r="AE10" s="10">
        <f>+'QoE PF Adj. P&amp;L Aug-26'!Y15*1000</f>
        <v>1326200</v>
      </c>
      <c r="AF10" s="10">
        <f>+'QoE PF Adj. P&amp;L Aug-26'!Z15*1000</f>
        <v>1123100</v>
      </c>
      <c r="AG10" s="10">
        <f>+'QoE PF Adj. P&amp;L Aug-26'!AA15*1000</f>
        <v>1179100</v>
      </c>
      <c r="AH10" s="10">
        <f>+'QoE PF Adj. P&amp;L Aug-26'!AB15*1000</f>
        <v>1234100</v>
      </c>
      <c r="AI10" s="10">
        <f>+'QoE PF Adj. P&amp;L Aug-26'!AC15*1000</f>
        <v>1043900</v>
      </c>
      <c r="AJ10" s="10">
        <f>+'QoE PF Adj. P&amp;L Aug-26'!AD15*1000</f>
        <v>1238800</v>
      </c>
      <c r="AK10" s="10">
        <f>+'QoE PF Adj. P&amp;L Aug-26'!AE15*1000</f>
        <v>1289100</v>
      </c>
      <c r="AL10" s="10">
        <f>+'QoE PF Adj. P&amp;L Aug-26'!AF15*1000</f>
        <v>1248400</v>
      </c>
      <c r="AM10" s="10">
        <f>+'QoE PF Adj. P&amp;L Aug-26'!AG15*1000</f>
        <v>1188000</v>
      </c>
      <c r="AN10" s="10">
        <f>+'QoE PF Adj. P&amp;L Aug-26'!AH15*1000</f>
        <v>1297700</v>
      </c>
      <c r="AO10" s="10">
        <f>+'QoE PF Adj. P&amp;L Aug-26'!AI15*1000</f>
        <v>1233000</v>
      </c>
      <c r="AP10" s="10">
        <f>+SUMIFS('Sep - Nov P&amp;L'!I:I,'Sep - Nov P&amp;L'!$D:$D,$C10)</f>
        <v>1311360.06</v>
      </c>
      <c r="AQ10" s="10">
        <f>+SUMIFS('Sep - Nov P&amp;L'!J:J,'Sep - Nov P&amp;L'!$D:$D,$C10)</f>
        <v>1394034.43</v>
      </c>
      <c r="AR10" s="10">
        <f>+SUMIFS('Sep - Nov P&amp;L'!K:K,'Sep - Nov P&amp;L'!$D:$D,$C10)</f>
        <v>1183373.96</v>
      </c>
      <c r="AS10" s="10">
        <f>+'Revenue Build'!AR41</f>
        <v>1291349.8402012</v>
      </c>
      <c r="AT10" s="10">
        <f>+'Revenue Build'!AS41</f>
        <v>1179018.2644258</v>
      </c>
      <c r="AU10" s="10">
        <f>+'Revenue Build'!AT41</f>
        <v>1122852.4765381</v>
      </c>
      <c r="AV10" s="10">
        <f>+'Revenue Build'!AU41</f>
        <v>1326493.8402012</v>
      </c>
      <c r="AW10" s="10">
        <f>+'Revenue Build'!AV41</f>
        <v>1352253.8402012</v>
      </c>
      <c r="AX10" s="10">
        <f>+'Revenue Build'!AW41</f>
        <v>1258146.2644258</v>
      </c>
      <c r="AY10" s="10">
        <f>+'Revenue Build'!AX41</f>
        <v>1344727.60424886</v>
      </c>
      <c r="AZ10" s="10">
        <f>+'Revenue Build'!AY41</f>
        <v>1371375.15618422</v>
      </c>
      <c r="BA10" s="10">
        <f>+'Revenue Build'!AZ41</f>
        <v>1398022.70811958</v>
      </c>
      <c r="BB10" s="10">
        <f>+'Revenue Build'!BA41</f>
        <v>1431402.26005494</v>
      </c>
      <c r="BC10" s="10">
        <f>+'Revenue Build'!BB41</f>
        <v>1458049.81199031</v>
      </c>
      <c r="BD10" s="10">
        <f>+'Revenue Build'!BC41</f>
        <v>1417274.29482212</v>
      </c>
      <c r="BE10" s="10">
        <f>+'Revenue Build'!BD41</f>
        <v>1580042.41203653</v>
      </c>
      <c r="BF10" s="10">
        <f>+'Revenue Build'!BE41</f>
        <v>1538404.91586103</v>
      </c>
      <c r="BG10" s="10">
        <f>+'Revenue Build'!BF41</f>
        <v>1563044.91586103</v>
      </c>
      <c r="BH10" s="10">
        <f>+'Revenue Build'!BG41</f>
        <v>1705139.90821203</v>
      </c>
      <c r="BI10" s="10">
        <f>+'Revenue Build'!BH41</f>
        <v>1491997.41968553</v>
      </c>
      <c r="BJ10" s="10">
        <f>+'Revenue Build'!BI41</f>
        <v>1563044.91586103</v>
      </c>
      <c r="BK10" s="10">
        <f>+'Revenue Build'!BJ41</f>
        <v>1634092.41203653</v>
      </c>
      <c r="BL10" s="10">
        <f>+'Revenue Build'!BK41</f>
        <v>1491997.41968553</v>
      </c>
      <c r="BM10" s="10">
        <f>+'Revenue Build'!BL41</f>
        <v>1705139.90821203</v>
      </c>
      <c r="BN10" s="10">
        <f>+'Revenue Build'!BM41</f>
        <v>1563044.91586103</v>
      </c>
      <c r="BO10" s="10">
        <f>+'Revenue Build'!BN41</f>
        <v>1563044.91586103</v>
      </c>
      <c r="BP10" s="10">
        <f>+'Revenue Build'!BO41</f>
        <v>1563044.91586103</v>
      </c>
      <c r="BQ10" s="10">
        <f>+'Revenue Build'!BP41</f>
        <v>1563044.91586103</v>
      </c>
    </row>
    <row r="11">
      <c r="C11" s="3" t="inlineStr">
        <is>
          <t>YoY % Growth</t>
        </is>
      </c>
      <c r="E11" s="11">
        <f>+IFERROR(E10/D10-1,)</f>
        <v>0.0822457697118448</v>
      </c>
      <c r="F11" s="11">
        <f>+IFERROR(F10/E10-1,)</f>
        <v>0.0869145543635568</v>
      </c>
      <c r="G11" s="11">
        <f>+IFERROR(G10/F10-1,)</f>
        <v>0.0860382843283287</v>
      </c>
      <c r="H11" s="11">
        <f>+IFERROR(H10/G10-1,)</f>
        <v>0.16659109386043</v>
      </c>
    </row>
    <row r="13">
      <c r="C13" s="2" t="inlineStr">
        <is>
          <t>Operating Expenses</t>
        </is>
      </c>
    </row>
    <row r="14">
      <c r="C14" s="2" t="inlineStr">
        <is>
          <t>Employee Salaries &amp; Wages</t>
        </is>
      </c>
    </row>
    <row r="15">
      <c r="C15" s="3" t="inlineStr">
        <is>
          <t>Salaries &amp; Wages</t>
        </is>
      </c>
      <c r="D15" s="20">
        <f>+SUMIFS($J15:$BQ15,$J$7:$BQ$7,D$8)</f>
        <v>3317600</v>
      </c>
      <c r="E15" s="20">
        <f>+SUMIFS($J15:$BQ15,$J$7:$BQ$7,E$8)</f>
        <v>3509800</v>
      </c>
      <c r="F15" s="20">
        <f>+SUMIFS($J15:$BQ15,$J$7:$BQ$7,F$8)</f>
        <v>3716855.58545661</v>
      </c>
      <c r="G15" s="20">
        <f>+SUMIFS($J15:$BQ15,$J$7:$BQ$7,G$8)</f>
        <v>4327258.52492685</v>
      </c>
      <c r="H15" s="20">
        <f>+SUMIFS($J15:$BQ15,$J$7:$BQ$7,H$8)</f>
        <v>4610459.61400799</v>
      </c>
      <c r="J15" s="10">
        <f>+INDEX('QoE PF Adj. P&amp;L Aug-26'!$D$11:$AI$108,MATCH($C15,'QoE PF Adj. P&amp;L Aug-26'!$C$11:$C$108,0),MATCH(J$8,'QoE PF Adj. P&amp;L Aug-26'!$D$8:$AI$8,0))*1000</f>
        <v>277600</v>
      </c>
      <c r="K15" s="10">
        <f>+INDEX('QoE PF Adj. P&amp;L Aug-26'!$D$11:$AI$108,MATCH($C15,'QoE PF Adj. P&amp;L Aug-26'!$C$11:$C$108,0),MATCH(K$8,'QoE PF Adj. P&amp;L Aug-26'!$D$8:$AI$8,0))*1000</f>
        <v>272100</v>
      </c>
      <c r="L15" s="10">
        <f>+INDEX('QoE PF Adj. P&amp;L Aug-26'!$D$11:$AI$108,MATCH($C15,'QoE PF Adj. P&amp;L Aug-26'!$C$11:$C$108,0),MATCH(L$8,'QoE PF Adj. P&amp;L Aug-26'!$D$8:$AI$8,0))*1000</f>
        <v>278100</v>
      </c>
      <c r="M15" s="10">
        <f>+INDEX('QoE PF Adj. P&amp;L Aug-26'!$D$11:$AI$108,MATCH($C15,'QoE PF Adj. P&amp;L Aug-26'!$C$11:$C$108,0),MATCH(M$8,'QoE PF Adj. P&amp;L Aug-26'!$D$8:$AI$8,0))*1000</f>
        <v>280500</v>
      </c>
      <c r="N15" s="10">
        <f>+INDEX('QoE PF Adj. P&amp;L Aug-26'!$D$11:$AI$108,MATCH($C15,'QoE PF Adj. P&amp;L Aug-26'!$C$11:$C$108,0),MATCH(N$8,'QoE PF Adj. P&amp;L Aug-26'!$D$8:$AI$8,0))*1000</f>
        <v>274300</v>
      </c>
      <c r="O15" s="10">
        <f>+INDEX('QoE PF Adj. P&amp;L Aug-26'!$D$11:$AI$108,MATCH($C15,'QoE PF Adj. P&amp;L Aug-26'!$C$11:$C$108,0),MATCH(O$8,'QoE PF Adj. P&amp;L Aug-26'!$D$8:$AI$8,0))*1000</f>
        <v>276000</v>
      </c>
      <c r="P15" s="10">
        <f>+INDEX('QoE PF Adj. P&amp;L Aug-26'!$D$11:$AI$108,MATCH($C15,'QoE PF Adj. P&amp;L Aug-26'!$C$11:$C$108,0),MATCH(P$8,'QoE PF Adj. P&amp;L Aug-26'!$D$8:$AI$8,0))*1000</f>
        <v>277800</v>
      </c>
      <c r="Q15" s="10">
        <f>+INDEX('QoE PF Adj. P&amp;L Aug-26'!$D$11:$AI$108,MATCH($C15,'QoE PF Adj. P&amp;L Aug-26'!$C$11:$C$108,0),MATCH(Q$8,'QoE PF Adj. P&amp;L Aug-26'!$D$8:$AI$8,0))*1000</f>
        <v>276200</v>
      </c>
      <c r="R15" s="10">
        <f>+INDEX('QoE PF Adj. P&amp;L Aug-26'!$D$11:$AI$108,MATCH($C15,'QoE PF Adj. P&amp;L Aug-26'!$C$11:$C$108,0),MATCH(R$8,'QoE PF Adj. P&amp;L Aug-26'!$D$8:$AI$8,0))*1000</f>
        <v>278300</v>
      </c>
      <c r="S15" s="10">
        <f>+INDEX('QoE PF Adj. P&amp;L Aug-26'!$D$11:$AI$108,MATCH($C15,'QoE PF Adj. P&amp;L Aug-26'!$C$11:$C$108,0),MATCH(S$8,'QoE PF Adj. P&amp;L Aug-26'!$D$8:$AI$8,0))*1000</f>
        <v>274300</v>
      </c>
      <c r="T15" s="10">
        <f>+INDEX('QoE PF Adj. P&amp;L Aug-26'!$D$11:$AI$108,MATCH($C15,'QoE PF Adj. P&amp;L Aug-26'!$C$11:$C$108,0),MATCH(T$8,'QoE PF Adj. P&amp;L Aug-26'!$D$8:$AI$8,0))*1000</f>
        <v>276300</v>
      </c>
      <c r="U15" s="10">
        <f>+INDEX('QoE PF Adj. P&amp;L Aug-26'!$D$11:$AI$108,MATCH($C15,'QoE PF Adj. P&amp;L Aug-26'!$C$11:$C$108,0),MATCH(U$8,'QoE PF Adj. P&amp;L Aug-26'!$D$8:$AI$8,0))*1000</f>
        <v>276100</v>
      </c>
      <c r="V15" s="10">
        <f>+INDEX('QoE PF Adj. P&amp;L Aug-26'!$D$11:$AI$108,MATCH($C15,'QoE PF Adj. P&amp;L Aug-26'!$C$11:$C$108,0),MATCH(V$8,'QoE PF Adj. P&amp;L Aug-26'!$D$8:$AI$8,0))*1000</f>
        <v>288300</v>
      </c>
      <c r="W15" s="10">
        <f>+INDEX('QoE PF Adj. P&amp;L Aug-26'!$D$11:$AI$108,MATCH($C15,'QoE PF Adj. P&amp;L Aug-26'!$C$11:$C$108,0),MATCH(W$8,'QoE PF Adj. P&amp;L Aug-26'!$D$8:$AI$8,0))*1000</f>
        <v>287800</v>
      </c>
      <c r="X15" s="10">
        <f>+INDEX('QoE PF Adj. P&amp;L Aug-26'!$D$11:$AI$108,MATCH($C15,'QoE PF Adj. P&amp;L Aug-26'!$C$11:$C$108,0),MATCH(X$8,'QoE PF Adj. P&amp;L Aug-26'!$D$8:$AI$8,0))*1000</f>
        <v>284200</v>
      </c>
      <c r="Y15" s="10">
        <f>+INDEX('QoE PF Adj. P&amp;L Aug-26'!$D$11:$AI$108,MATCH($C15,'QoE PF Adj. P&amp;L Aug-26'!$C$11:$C$108,0),MATCH(Y$8,'QoE PF Adj. P&amp;L Aug-26'!$D$8:$AI$8,0))*1000</f>
        <v>285700</v>
      </c>
      <c r="Z15" s="10">
        <f>+INDEX('QoE PF Adj. P&amp;L Aug-26'!$D$11:$AI$108,MATCH($C15,'QoE PF Adj. P&amp;L Aug-26'!$C$11:$C$108,0),MATCH(Z$8,'QoE PF Adj. P&amp;L Aug-26'!$D$8:$AI$8,0))*1000</f>
        <v>293900</v>
      </c>
      <c r="AA15" s="10">
        <f>+INDEX('QoE PF Adj. P&amp;L Aug-26'!$D$11:$AI$108,MATCH($C15,'QoE PF Adj. P&amp;L Aug-26'!$C$11:$C$108,0),MATCH(AA$8,'QoE PF Adj. P&amp;L Aug-26'!$D$8:$AI$8,0))*1000</f>
        <v>294200</v>
      </c>
      <c r="AB15" s="10">
        <f>+INDEX('QoE PF Adj. P&amp;L Aug-26'!$D$11:$AI$108,MATCH($C15,'QoE PF Adj. P&amp;L Aug-26'!$C$11:$C$108,0),MATCH(AB$8,'QoE PF Adj. P&amp;L Aug-26'!$D$8:$AI$8,0))*1000</f>
        <v>293700</v>
      </c>
      <c r="AC15" s="10">
        <f>+INDEX('QoE PF Adj. P&amp;L Aug-26'!$D$11:$AI$108,MATCH($C15,'QoE PF Adj. P&amp;L Aug-26'!$C$11:$C$108,0),MATCH(AC$8,'QoE PF Adj. P&amp;L Aug-26'!$D$8:$AI$8,0))*1000</f>
        <v>288900</v>
      </c>
      <c r="AD15" s="10">
        <f>+INDEX('QoE PF Adj. P&amp;L Aug-26'!$D$11:$AI$108,MATCH($C15,'QoE PF Adj. P&amp;L Aug-26'!$C$11:$C$108,0),MATCH(AD$8,'QoE PF Adj. P&amp;L Aug-26'!$D$8:$AI$8,0))*1000</f>
        <v>296900</v>
      </c>
      <c r="AE15" s="10">
        <f>+INDEX('QoE PF Adj. P&amp;L Aug-26'!$D$11:$AI$108,MATCH($C15,'QoE PF Adj. P&amp;L Aug-26'!$C$11:$C$108,0),MATCH(AE$8,'QoE PF Adj. P&amp;L Aug-26'!$D$8:$AI$8,0))*1000</f>
        <v>296400</v>
      </c>
      <c r="AF15" s="10">
        <f>+INDEX('QoE PF Adj. P&amp;L Aug-26'!$D$11:$AI$108,MATCH($C15,'QoE PF Adj. P&amp;L Aug-26'!$C$11:$C$108,0),MATCH(AF$8,'QoE PF Adj. P&amp;L Aug-26'!$D$8:$AI$8,0))*1000</f>
        <v>298500</v>
      </c>
      <c r="AG15" s="10">
        <f>+INDEX('QoE PF Adj. P&amp;L Aug-26'!$D$11:$AI$108,MATCH($C15,'QoE PF Adj. P&amp;L Aug-26'!$C$11:$C$108,0),MATCH(AG$8,'QoE PF Adj. P&amp;L Aug-26'!$D$8:$AI$8,0))*1000</f>
        <v>301300</v>
      </c>
      <c r="AH15" s="10">
        <f>+INDEX('QoE PF Adj. P&amp;L Aug-26'!$D$11:$AI$108,MATCH($C15,'QoE PF Adj. P&amp;L Aug-26'!$C$11:$C$108,0),MATCH(AH$8,'QoE PF Adj. P&amp;L Aug-26'!$D$8:$AI$8,0))*1000</f>
        <v>311800</v>
      </c>
      <c r="AI15" s="10">
        <f>+INDEX('QoE PF Adj. P&amp;L Aug-26'!$D$11:$AI$108,MATCH($C15,'QoE PF Adj. P&amp;L Aug-26'!$C$11:$C$108,0),MATCH(AI$8,'QoE PF Adj. P&amp;L Aug-26'!$D$8:$AI$8,0))*1000</f>
        <v>303200</v>
      </c>
      <c r="AJ15" s="10">
        <f>+INDEX('QoE PF Adj. P&amp;L Aug-26'!$D$11:$AI$108,MATCH($C15,'QoE PF Adj. P&amp;L Aug-26'!$C$11:$C$108,0),MATCH(AJ$8,'QoE PF Adj. P&amp;L Aug-26'!$D$8:$AI$8,0))*1000</f>
        <v>303400</v>
      </c>
      <c r="AK15" s="10">
        <f>+INDEX('QoE PF Adj. P&amp;L Aug-26'!$D$11:$AI$108,MATCH($C15,'QoE PF Adj. P&amp;L Aug-26'!$C$11:$C$108,0),MATCH(AK$8,'QoE PF Adj. P&amp;L Aug-26'!$D$8:$AI$8,0))*1000</f>
        <v>304700</v>
      </c>
      <c r="AL15" s="10">
        <f>+INDEX('QoE PF Adj. P&amp;L Aug-26'!$D$11:$AI$108,MATCH($C15,'QoE PF Adj. P&amp;L Aug-26'!$C$11:$C$108,0),MATCH(AL$8,'QoE PF Adj. P&amp;L Aug-26'!$D$8:$AI$8,0))*1000</f>
        <v>312100</v>
      </c>
      <c r="AM15" s="10">
        <f>+INDEX('QoE PF Adj. P&amp;L Aug-26'!$D$11:$AI$108,MATCH($C15,'QoE PF Adj. P&amp;L Aug-26'!$C$11:$C$108,0),MATCH(AM$8,'QoE PF Adj. P&amp;L Aug-26'!$D$8:$AI$8,0))*1000</f>
        <v>305900</v>
      </c>
      <c r="AN15" s="10">
        <f>+INDEX('QoE PF Adj. P&amp;L Aug-26'!$D$11:$AI$108,MATCH($C15,'QoE PF Adj. P&amp;L Aug-26'!$C$11:$C$108,0),MATCH(AN$8,'QoE PF Adj. P&amp;L Aug-26'!$D$8:$AI$8,0))*1000</f>
        <v>306900</v>
      </c>
      <c r="AO15" s="10">
        <f>+INDEX('QoE PF Adj. P&amp;L Aug-26'!$D$11:$AI$108,MATCH($C15,'QoE PF Adj. P&amp;L Aug-26'!$C$11:$C$108,0),MATCH(AO$8,'QoE PF Adj. P&amp;L Aug-26'!$D$8:$AI$8,0))*1000</f>
        <v>308500</v>
      </c>
      <c r="AP15" s="10">
        <f>+'Separate Line Item Builds'!AP61</f>
        <v>310028.940926916</v>
      </c>
      <c r="AQ15" s="10">
        <f>+'Separate Line Item Builds'!AQ61</f>
        <v>314092.794757279</v>
      </c>
      <c r="AR15" s="10">
        <f>+'Separate Line Item Builds'!AR61</f>
        <v>309783.591552873</v>
      </c>
      <c r="AS15" s="10">
        <f>+'Separate Line Item Builds'!AS61</f>
        <v>326450.25821954</v>
      </c>
      <c r="AT15" s="10">
        <f>+'Separate Line Item Builds'!AT61</f>
        <v>323243.765966126</v>
      </c>
      <c r="AU15" s="10">
        <f>+'Separate Line Item Builds'!AU61</f>
        <v>340743.765966126</v>
      </c>
      <c r="AV15" s="10">
        <f>+'Separate Line Item Builds'!AV61</f>
        <v>361993.765966126</v>
      </c>
      <c r="AW15" s="10">
        <f>+'Separate Line Item Builds'!AW61</f>
        <v>361993.765966126</v>
      </c>
      <c r="AX15" s="10">
        <f>+'Separate Line Item Builds'!AX61</f>
        <v>361993.765966126</v>
      </c>
      <c r="AY15" s="10">
        <f>+'Separate Line Item Builds'!AY61</f>
        <v>366327.099299459</v>
      </c>
      <c r="AZ15" s="10">
        <f>+'Separate Line Item Builds'!AZ61</f>
        <v>366327.099299459</v>
      </c>
      <c r="BA15" s="10">
        <f>+'Separate Line Item Builds'!BA61</f>
        <v>366327.099299459</v>
      </c>
      <c r="BB15" s="10">
        <f>+'Separate Line Item Builds'!BB61</f>
        <v>366327.099299459</v>
      </c>
      <c r="BC15" s="10">
        <f>+'Separate Line Item Builds'!BC61</f>
        <v>370660.432632793</v>
      </c>
      <c r="BD15" s="10">
        <f>+'Separate Line Item Builds'!BD61</f>
        <v>370660.432632793</v>
      </c>
      <c r="BE15" s="10">
        <f>+'Separate Line Item Builds'!BE61</f>
        <v>370660.432632793</v>
      </c>
      <c r="BF15" s="10">
        <f>+'Separate Line Item Builds'!BF61</f>
        <v>380232.745611777</v>
      </c>
      <c r="BG15" s="10">
        <f>+'Separate Line Item Builds'!BG61</f>
        <v>384566.07894511</v>
      </c>
      <c r="BH15" s="10">
        <f>+'Separate Line Item Builds'!BH61</f>
        <v>384566.07894511</v>
      </c>
      <c r="BI15" s="10">
        <f>+'Separate Line Item Builds'!BI61</f>
        <v>384566.07894511</v>
      </c>
      <c r="BJ15" s="10">
        <f>+'Separate Line Item Builds'!BJ61</f>
        <v>384566.07894511</v>
      </c>
      <c r="BK15" s="10">
        <f>+'Separate Line Item Builds'!BK61</f>
        <v>384566.07894511</v>
      </c>
      <c r="BL15" s="10">
        <f>+'Separate Line Item Builds'!BL61</f>
        <v>384566.07894511</v>
      </c>
      <c r="BM15" s="10">
        <f>+'Separate Line Item Builds'!BM61</f>
        <v>384566.07894511</v>
      </c>
      <c r="BN15" s="10">
        <f>+'Separate Line Item Builds'!BN61</f>
        <v>384566.07894511</v>
      </c>
      <c r="BO15" s="10">
        <f>+'Separate Line Item Builds'!BO61</f>
        <v>384566.07894511</v>
      </c>
      <c r="BP15" s="10">
        <f>+'Separate Line Item Builds'!BP61</f>
        <v>384566.07894511</v>
      </c>
      <c r="BQ15" s="10">
        <f>+'Separate Line Item Builds'!BQ61</f>
        <v>384566.07894511</v>
      </c>
    </row>
    <row r="16">
      <c r="B16" s="4" t="inlineStr">
        <is>
          <t>% rev</t>
        </is>
      </c>
      <c r="C16" s="3" t="inlineStr">
        <is>
          <t>Contract Labor</t>
        </is>
      </c>
      <c r="D16" s="20">
        <f>+SUMIFS($J16:$BQ16,$J$7:$BQ$7,D$8)</f>
        <v>187900</v>
      </c>
      <c r="E16" s="20">
        <f>+SUMIFS($J16:$BQ16,$J$7:$BQ$7,E$8)</f>
        <v>205500</v>
      </c>
      <c r="F16" s="20">
        <f>+SUMIFS($J16:$BQ16,$J$7:$BQ$7,F$8)</f>
        <v>249542.072618998</v>
      </c>
      <c r="G16" s="20">
        <f>+SUMIFS($J16:$BQ16,$J$7:$BQ$7,G$8)</f>
        <v>241970.918105405</v>
      </c>
      <c r="H16" s="20">
        <f>+SUMIFS($J16:$BQ16,$J$7:$BQ$7,H$8)</f>
        <v>282281.118034997</v>
      </c>
      <c r="J16" s="10">
        <f>+INDEX('QoE PF Adj. P&amp;L Aug-26'!$D$11:$AI$108,MATCH($C16,'QoE PF Adj. P&amp;L Aug-26'!$C$11:$C$108,0),MATCH(J$8,'QoE PF Adj. P&amp;L Aug-26'!$D$8:$AI$8,0))*1000</f>
        <v>15500</v>
      </c>
      <c r="K16" s="10">
        <f>+INDEX('QoE PF Adj. P&amp;L Aug-26'!$D$11:$AI$108,MATCH($C16,'QoE PF Adj. P&amp;L Aug-26'!$C$11:$C$108,0),MATCH(K$8,'QoE PF Adj. P&amp;L Aug-26'!$D$8:$AI$8,0))*1000</f>
        <v>14300</v>
      </c>
      <c r="L16" s="10">
        <f>+INDEX('QoE PF Adj. P&amp;L Aug-26'!$D$11:$AI$108,MATCH($C16,'QoE PF Adj. P&amp;L Aug-26'!$C$11:$C$108,0),MATCH(L$8,'QoE PF Adj. P&amp;L Aug-26'!$D$8:$AI$8,0))*1000</f>
        <v>15100</v>
      </c>
      <c r="M16" s="10">
        <f>+INDEX('QoE PF Adj. P&amp;L Aug-26'!$D$11:$AI$108,MATCH($C16,'QoE PF Adj. P&amp;L Aug-26'!$C$11:$C$108,0),MATCH(M$8,'QoE PF Adj. P&amp;L Aug-26'!$D$8:$AI$8,0))*1000</f>
        <v>15400</v>
      </c>
      <c r="N16" s="10">
        <f>+INDEX('QoE PF Adj. P&amp;L Aug-26'!$D$11:$AI$108,MATCH($C16,'QoE PF Adj. P&amp;L Aug-26'!$C$11:$C$108,0),MATCH(N$8,'QoE PF Adj. P&amp;L Aug-26'!$D$8:$AI$8,0))*1000</f>
        <v>16500</v>
      </c>
      <c r="O16" s="10">
        <f>+INDEX('QoE PF Adj. P&amp;L Aug-26'!$D$11:$AI$108,MATCH($C16,'QoE PF Adj. P&amp;L Aug-26'!$C$11:$C$108,0),MATCH(O$8,'QoE PF Adj. P&amp;L Aug-26'!$D$8:$AI$8,0))*1000</f>
        <v>14800</v>
      </c>
      <c r="P16" s="10">
        <f>+INDEX('QoE PF Adj. P&amp;L Aug-26'!$D$11:$AI$108,MATCH($C16,'QoE PF Adj. P&amp;L Aug-26'!$C$11:$C$108,0),MATCH(P$8,'QoE PF Adj. P&amp;L Aug-26'!$D$8:$AI$8,0))*1000</f>
        <v>15700</v>
      </c>
      <c r="Q16" s="10">
        <f>+INDEX('QoE PF Adj. P&amp;L Aug-26'!$D$11:$AI$108,MATCH($C16,'QoE PF Adj. P&amp;L Aug-26'!$C$11:$C$108,0),MATCH(Q$8,'QoE PF Adj. P&amp;L Aug-26'!$D$8:$AI$8,0))*1000</f>
        <v>17000</v>
      </c>
      <c r="R16" s="10">
        <f>+INDEX('QoE PF Adj. P&amp;L Aug-26'!$D$11:$AI$108,MATCH($C16,'QoE PF Adj. P&amp;L Aug-26'!$C$11:$C$108,0),MATCH(R$8,'QoE PF Adj. P&amp;L Aug-26'!$D$8:$AI$8,0))*1000</f>
        <v>14500</v>
      </c>
      <c r="S16" s="10">
        <f>+INDEX('QoE PF Adj. P&amp;L Aug-26'!$D$11:$AI$108,MATCH($C16,'QoE PF Adj. P&amp;L Aug-26'!$C$11:$C$108,0),MATCH(S$8,'QoE PF Adj. P&amp;L Aug-26'!$D$8:$AI$8,0))*1000</f>
        <v>19100</v>
      </c>
      <c r="T16" s="10">
        <f>+INDEX('QoE PF Adj. P&amp;L Aug-26'!$D$11:$AI$108,MATCH($C16,'QoE PF Adj. P&amp;L Aug-26'!$C$11:$C$108,0),MATCH(T$8,'QoE PF Adj. P&amp;L Aug-26'!$D$8:$AI$8,0))*1000</f>
        <v>15300</v>
      </c>
      <c r="U16" s="10">
        <f>+INDEX('QoE PF Adj. P&amp;L Aug-26'!$D$11:$AI$108,MATCH($C16,'QoE PF Adj. P&amp;L Aug-26'!$C$11:$C$108,0),MATCH(U$8,'QoE PF Adj. P&amp;L Aug-26'!$D$8:$AI$8,0))*1000</f>
        <v>14700</v>
      </c>
      <c r="V16" s="10">
        <f>+INDEX('QoE PF Adj. P&amp;L Aug-26'!$D$11:$AI$108,MATCH($C16,'QoE PF Adj. P&amp;L Aug-26'!$C$11:$C$108,0),MATCH(V$8,'QoE PF Adj. P&amp;L Aug-26'!$D$8:$AI$8,0))*1000</f>
        <v>17300</v>
      </c>
      <c r="W16" s="10">
        <f>+INDEX('QoE PF Adj. P&amp;L Aug-26'!$D$11:$AI$108,MATCH($C16,'QoE PF Adj. P&amp;L Aug-26'!$C$11:$C$108,0),MATCH(W$8,'QoE PF Adj. P&amp;L Aug-26'!$D$8:$AI$8,0))*1000</f>
        <v>14600</v>
      </c>
      <c r="X16" s="10">
        <f>+INDEX('QoE PF Adj. P&amp;L Aug-26'!$D$11:$AI$108,MATCH($C16,'QoE PF Adj. P&amp;L Aug-26'!$C$11:$C$108,0),MATCH(X$8,'QoE PF Adj. P&amp;L Aug-26'!$D$8:$AI$8,0))*1000</f>
        <v>16300</v>
      </c>
      <c r="Y16" s="10">
        <f>+INDEX('QoE PF Adj. P&amp;L Aug-26'!$D$11:$AI$108,MATCH($C16,'QoE PF Adj. P&amp;L Aug-26'!$C$11:$C$108,0),MATCH(Y$8,'QoE PF Adj. P&amp;L Aug-26'!$D$8:$AI$8,0))*1000</f>
        <v>18300</v>
      </c>
      <c r="Z16" s="10">
        <f>+INDEX('QoE PF Adj. P&amp;L Aug-26'!$D$11:$AI$108,MATCH($C16,'QoE PF Adj. P&amp;L Aug-26'!$C$11:$C$108,0),MATCH(Z$8,'QoE PF Adj. P&amp;L Aug-26'!$D$8:$AI$8,0))*1000</f>
        <v>17900</v>
      </c>
      <c r="AA16" s="10">
        <f>+INDEX('QoE PF Adj. P&amp;L Aug-26'!$D$11:$AI$108,MATCH($C16,'QoE PF Adj. P&amp;L Aug-26'!$C$11:$C$108,0),MATCH(AA$8,'QoE PF Adj. P&amp;L Aug-26'!$D$8:$AI$8,0))*1000</f>
        <v>15500</v>
      </c>
      <c r="AB16" s="10">
        <f>+INDEX('QoE PF Adj. P&amp;L Aug-26'!$D$11:$AI$108,MATCH($C16,'QoE PF Adj. P&amp;L Aug-26'!$C$11:$C$108,0),MATCH(AB$8,'QoE PF Adj. P&amp;L Aug-26'!$D$8:$AI$8,0))*1000</f>
        <v>18300</v>
      </c>
      <c r="AC16" s="10">
        <f>+INDEX('QoE PF Adj. P&amp;L Aug-26'!$D$11:$AI$108,MATCH($C16,'QoE PF Adj. P&amp;L Aug-26'!$C$11:$C$108,0),MATCH(AC$8,'QoE PF Adj. P&amp;L Aug-26'!$D$8:$AI$8,0))*1000</f>
        <v>16500</v>
      </c>
      <c r="AD16" s="10">
        <f>+INDEX('QoE PF Adj. P&amp;L Aug-26'!$D$11:$AI$108,MATCH($C16,'QoE PF Adj. P&amp;L Aug-26'!$C$11:$C$108,0),MATCH(AD$8,'QoE PF Adj. P&amp;L Aug-26'!$D$8:$AI$8,0))*1000</f>
        <v>18000</v>
      </c>
      <c r="AE16" s="10">
        <f>+INDEX('QoE PF Adj. P&amp;L Aug-26'!$D$11:$AI$108,MATCH($C16,'QoE PF Adj. P&amp;L Aug-26'!$C$11:$C$108,0),MATCH(AE$8,'QoE PF Adj. P&amp;L Aug-26'!$D$8:$AI$8,0))*1000</f>
        <v>19100</v>
      </c>
      <c r="AF16" s="10">
        <f>+INDEX('QoE PF Adj. P&amp;L Aug-26'!$D$11:$AI$108,MATCH($C16,'QoE PF Adj. P&amp;L Aug-26'!$C$11:$C$108,0),MATCH(AF$8,'QoE PF Adj. P&amp;L Aug-26'!$D$8:$AI$8,0))*1000</f>
        <v>16200</v>
      </c>
      <c r="AG16" s="10">
        <f>+INDEX('QoE PF Adj. P&amp;L Aug-26'!$D$11:$AI$108,MATCH($C16,'QoE PF Adj. P&amp;L Aug-26'!$C$11:$C$108,0),MATCH(AG$8,'QoE PF Adj. P&amp;L Aug-26'!$D$8:$AI$8,0))*1000</f>
        <v>17500</v>
      </c>
      <c r="AH16" s="10">
        <f>+INDEX('QoE PF Adj. P&amp;L Aug-26'!$D$11:$AI$108,MATCH($C16,'QoE PF Adj. P&amp;L Aug-26'!$C$11:$C$108,0),MATCH(AH$8,'QoE PF Adj. P&amp;L Aug-26'!$D$8:$AI$8,0))*1000</f>
        <v>18000</v>
      </c>
      <c r="AI16" s="10">
        <f>+INDEX('QoE PF Adj. P&amp;L Aug-26'!$D$11:$AI$108,MATCH($C16,'QoE PF Adj. P&amp;L Aug-26'!$C$11:$C$108,0),MATCH(AI$8,'QoE PF Adj. P&amp;L Aug-26'!$D$8:$AI$8,0))*1000</f>
        <v>16300</v>
      </c>
      <c r="AJ16" s="10">
        <f>+INDEX('QoE PF Adj. P&amp;L Aug-26'!$D$11:$AI$108,MATCH($C16,'QoE PF Adj. P&amp;L Aug-26'!$C$11:$C$108,0),MATCH(AJ$8,'QoE PF Adj. P&amp;L Aug-26'!$D$8:$AI$8,0))*1000</f>
        <v>18100</v>
      </c>
      <c r="AK16" s="10">
        <f>+INDEX('QoE PF Adj. P&amp;L Aug-26'!$D$11:$AI$108,MATCH($C16,'QoE PF Adj. P&amp;L Aug-26'!$C$11:$C$108,0),MATCH(AK$8,'QoE PF Adj. P&amp;L Aug-26'!$D$8:$AI$8,0))*1000</f>
        <v>18900</v>
      </c>
      <c r="AL16" s="10">
        <f>+INDEX('QoE PF Adj. P&amp;L Aug-26'!$D$11:$AI$108,MATCH($C16,'QoE PF Adj. P&amp;L Aug-26'!$C$11:$C$108,0),MATCH(AL$8,'QoE PF Adj. P&amp;L Aug-26'!$D$8:$AI$8,0))*1000</f>
        <v>18100</v>
      </c>
      <c r="AM16" s="10">
        <f>+INDEX('QoE PF Adj. P&amp;L Aug-26'!$D$11:$AI$108,MATCH($C16,'QoE PF Adj. P&amp;L Aug-26'!$C$11:$C$108,0),MATCH(AM$8,'QoE PF Adj. P&amp;L Aug-26'!$D$8:$AI$8,0))*1000</f>
        <v>17300</v>
      </c>
      <c r="AN16" s="10">
        <f>+INDEX('QoE PF Adj. P&amp;L Aug-26'!$D$11:$AI$108,MATCH($C16,'QoE PF Adj. P&amp;L Aug-26'!$C$11:$C$108,0),MATCH(AN$8,'QoE PF Adj. P&amp;L Aug-26'!$D$8:$AI$8,0))*1000</f>
        <v>19000</v>
      </c>
      <c r="AO16" s="10">
        <f>+INDEX('QoE PF Adj. P&amp;L Aug-26'!$D$11:$AI$108,MATCH($C16,'QoE PF Adj. P&amp;L Aug-26'!$C$11:$C$108,0),MATCH(AO$8,'QoE PF Adj. P&amp;L Aug-26'!$D$8:$AI$8,0))*1000</f>
        <v>18500</v>
      </c>
      <c r="AP16" s="10">
        <f>+SUMIFS('Sep - Nov P&amp;L'!I:I,'Sep - Nov P&amp;L'!$D:$D,$C16)</f>
        <v>29625.63</v>
      </c>
      <c r="AQ16" s="10">
        <f>+SUMIFS('Sep - Nov P&amp;L'!J:J,'Sep - Nov P&amp;L'!$D:$D,$C16)</f>
        <v>30177.2</v>
      </c>
      <c r="AR16" s="10">
        <f>+SUMIFS('Sep - Nov P&amp;L'!K:K,'Sep - Nov P&amp;L'!$D:$D,$C16)</f>
        <v>26298.13</v>
      </c>
      <c r="AS16" s="20">
        <f>+AS$10*AS124</f>
        <v>19241.1126189978</v>
      </c>
      <c r="AT16" s="20">
        <f>+AT$10*AT124</f>
        <v>17567.3721399444</v>
      </c>
      <c r="AU16" s="20">
        <f>+AU$10*AU124</f>
        <v>16730.5019004177</v>
      </c>
      <c r="AV16" s="20">
        <f>+AV$10*AV124</f>
        <v>19764.7582189978</v>
      </c>
      <c r="AW16" s="20">
        <f>+AW$10*AW124</f>
        <v>20148.5822189978</v>
      </c>
      <c r="AX16" s="20">
        <f>+AX$10*AX124</f>
        <v>18746.3793399444</v>
      </c>
      <c r="AY16" s="20">
        <f>+AY$10*AY124</f>
        <v>20036.441303308</v>
      </c>
      <c r="AZ16" s="20">
        <f>+AZ$10*AZ124</f>
        <v>20433.4898271449</v>
      </c>
      <c r="BA16" s="20">
        <f>+BA$10*BA124</f>
        <v>20830.5383509818</v>
      </c>
      <c r="BB16" s="20">
        <f>+BB$10*BB124</f>
        <v>21327.8936748187</v>
      </c>
      <c r="BC16" s="20">
        <f>+BC$10*BC124</f>
        <v>21724.9421986556</v>
      </c>
      <c r="BD16" s="20">
        <f>+BD$10*BD124</f>
        <v>21117.3869928496</v>
      </c>
      <c r="BE16" s="20">
        <f>+BE$10*BE124</f>
        <v>23542.6319393443</v>
      </c>
      <c r="BF16" s="20">
        <f>+BF$10*BF124</f>
        <v>22922.2332463293</v>
      </c>
      <c r="BG16" s="20">
        <f>+BG$10*BG124</f>
        <v>23289.3692463293</v>
      </c>
      <c r="BH16" s="20">
        <f>+BH$10*BH124</f>
        <v>25406.5846323593</v>
      </c>
      <c r="BI16" s="20">
        <f>+BI$10*BI124</f>
        <v>22230.7615533144</v>
      </c>
      <c r="BJ16" s="20">
        <f>+BJ$10*BJ124</f>
        <v>23289.3692463293</v>
      </c>
      <c r="BK16" s="20">
        <f>+BK$10*BK124</f>
        <v>24347.9769393443</v>
      </c>
      <c r="BL16" s="20">
        <f>+BL$10*BL124</f>
        <v>22230.7615533144</v>
      </c>
      <c r="BM16" s="20">
        <f>+BM$10*BM124</f>
        <v>25406.5846323593</v>
      </c>
      <c r="BN16" s="20">
        <f>+BN$10*BN124</f>
        <v>23289.3692463293</v>
      </c>
      <c r="BO16" s="20">
        <f>+BO$10*BO124</f>
        <v>23289.3692463293</v>
      </c>
      <c r="BP16" s="20">
        <f>+BP$10*BP124</f>
        <v>23289.3692463293</v>
      </c>
      <c r="BQ16" s="20">
        <f>+BQ$10*BQ124</f>
        <v>23289.3692463293</v>
      </c>
    </row>
    <row r="17">
      <c r="C17" s="3" t="inlineStr">
        <is>
          <t>Sales Rep Expense</t>
        </is>
      </c>
      <c r="D17" s="20">
        <f>+SUMIFS($J17:$BQ17,$J$7:$BQ$7,D$8)</f>
        <v>636600</v>
      </c>
      <c r="E17" s="20">
        <f>+SUMIFS($J17:$BQ17,$J$7:$BQ$7,E$8)</f>
        <v>684700</v>
      </c>
      <c r="F17" s="20">
        <f>+SUMIFS($J17:$BQ17,$J$7:$BQ$7,F$8)</f>
        <v>747121.01</v>
      </c>
      <c r="G17" s="20">
        <f>+SUMIFS($J17:$BQ17,$J$7:$BQ$7,G$8)</f>
        <v>873223.8992</v>
      </c>
      <c r="H17" s="20">
        <f>+SUMIFS($J17:$BQ17,$J$7:$BQ$7,H$8)</f>
        <v>1116103.656176</v>
      </c>
      <c r="J17" s="10">
        <f>+INDEX('QoE PF Adj. P&amp;L Aug-26'!$D$11:$AI$108,MATCH($C17,'QoE PF Adj. P&amp;L Aug-26'!$C$11:$C$108,0),MATCH(J$8,'QoE PF Adj. P&amp;L Aug-26'!$D$8:$AI$8,0))*1000</f>
        <v>51700</v>
      </c>
      <c r="K17" s="10">
        <f>+INDEX('QoE PF Adj. P&amp;L Aug-26'!$D$11:$AI$108,MATCH($C17,'QoE PF Adj. P&amp;L Aug-26'!$C$11:$C$108,0),MATCH(K$8,'QoE PF Adj. P&amp;L Aug-26'!$D$8:$AI$8,0))*1000</f>
        <v>48600</v>
      </c>
      <c r="L17" s="10">
        <f>+INDEX('QoE PF Adj. P&amp;L Aug-26'!$D$11:$AI$108,MATCH($C17,'QoE PF Adj. P&amp;L Aug-26'!$C$11:$C$108,0),MATCH(L$8,'QoE PF Adj. P&amp;L Aug-26'!$D$8:$AI$8,0))*1000</f>
        <v>53100</v>
      </c>
      <c r="M17" s="10">
        <f>+INDEX('QoE PF Adj. P&amp;L Aug-26'!$D$11:$AI$108,MATCH($C17,'QoE PF Adj. P&amp;L Aug-26'!$C$11:$C$108,0),MATCH(M$8,'QoE PF Adj. P&amp;L Aug-26'!$D$8:$AI$8,0))*1000</f>
        <v>52300</v>
      </c>
      <c r="N17" s="10">
        <f>+INDEX('QoE PF Adj. P&amp;L Aug-26'!$D$11:$AI$108,MATCH($C17,'QoE PF Adj. P&amp;L Aug-26'!$C$11:$C$108,0),MATCH(N$8,'QoE PF Adj. P&amp;L Aug-26'!$D$8:$AI$8,0))*1000</f>
        <v>57500</v>
      </c>
      <c r="O17" s="10">
        <f>+INDEX('QoE PF Adj. P&amp;L Aug-26'!$D$11:$AI$108,MATCH($C17,'QoE PF Adj. P&amp;L Aug-26'!$C$11:$C$108,0),MATCH(O$8,'QoE PF Adj. P&amp;L Aug-26'!$D$8:$AI$8,0))*1000</f>
        <v>50200</v>
      </c>
      <c r="P17" s="10">
        <f>+INDEX('QoE PF Adj. P&amp;L Aug-26'!$D$11:$AI$108,MATCH($C17,'QoE PF Adj. P&amp;L Aug-26'!$C$11:$C$108,0),MATCH(P$8,'QoE PF Adj. P&amp;L Aug-26'!$D$8:$AI$8,0))*1000</f>
        <v>54400</v>
      </c>
      <c r="Q17" s="10">
        <f>+INDEX('QoE PF Adj. P&amp;L Aug-26'!$D$11:$AI$108,MATCH($C17,'QoE PF Adj. P&amp;L Aug-26'!$C$11:$C$108,0),MATCH(Q$8,'QoE PF Adj. P&amp;L Aug-26'!$D$8:$AI$8,0))*1000</f>
        <v>56300</v>
      </c>
      <c r="R17" s="10">
        <f>+INDEX('QoE PF Adj. P&amp;L Aug-26'!$D$11:$AI$108,MATCH($C17,'QoE PF Adj. P&amp;L Aug-26'!$C$11:$C$108,0),MATCH(R$8,'QoE PF Adj. P&amp;L Aug-26'!$D$8:$AI$8,0))*1000</f>
        <v>50500</v>
      </c>
      <c r="S17" s="10">
        <f>+INDEX('QoE PF Adj. P&amp;L Aug-26'!$D$11:$AI$108,MATCH($C17,'QoE PF Adj. P&amp;L Aug-26'!$C$11:$C$108,0),MATCH(S$8,'QoE PF Adj. P&amp;L Aug-26'!$D$8:$AI$8,0))*1000</f>
        <v>58900</v>
      </c>
      <c r="T17" s="10">
        <f>+INDEX('QoE PF Adj. P&amp;L Aug-26'!$D$11:$AI$108,MATCH($C17,'QoE PF Adj. P&amp;L Aug-26'!$C$11:$C$108,0),MATCH(T$8,'QoE PF Adj. P&amp;L Aug-26'!$D$8:$AI$8,0))*1000</f>
        <v>53300</v>
      </c>
      <c r="U17" s="10">
        <f>+INDEX('QoE PF Adj. P&amp;L Aug-26'!$D$11:$AI$108,MATCH($C17,'QoE PF Adj. P&amp;L Aug-26'!$C$11:$C$108,0),MATCH(U$8,'QoE PF Adj. P&amp;L Aug-26'!$D$8:$AI$8,0))*1000</f>
        <v>49800</v>
      </c>
      <c r="V17" s="10">
        <f>+INDEX('QoE PF Adj. P&amp;L Aug-26'!$D$11:$AI$108,MATCH($C17,'QoE PF Adj. P&amp;L Aug-26'!$C$11:$C$108,0),MATCH(V$8,'QoE PF Adj. P&amp;L Aug-26'!$D$8:$AI$8,0))*1000</f>
        <v>56900</v>
      </c>
      <c r="W17" s="10">
        <f>+INDEX('QoE PF Adj. P&amp;L Aug-26'!$D$11:$AI$108,MATCH($C17,'QoE PF Adj. P&amp;L Aug-26'!$C$11:$C$108,0),MATCH(W$8,'QoE PF Adj. P&amp;L Aug-26'!$D$8:$AI$8,0))*1000</f>
        <v>46700</v>
      </c>
      <c r="X17" s="10">
        <f>+INDEX('QoE PF Adj. P&amp;L Aug-26'!$D$11:$AI$108,MATCH($C17,'QoE PF Adj. P&amp;L Aug-26'!$C$11:$C$108,0),MATCH(X$8,'QoE PF Adj. P&amp;L Aug-26'!$D$8:$AI$8,0))*1000</f>
        <v>53900</v>
      </c>
      <c r="Y17" s="10">
        <f>+INDEX('QoE PF Adj. P&amp;L Aug-26'!$D$11:$AI$108,MATCH($C17,'QoE PF Adj. P&amp;L Aug-26'!$C$11:$C$108,0),MATCH(Y$8,'QoE PF Adj. P&amp;L Aug-26'!$D$8:$AI$8,0))*1000</f>
        <v>58200</v>
      </c>
      <c r="Z17" s="10">
        <f>+INDEX('QoE PF Adj. P&amp;L Aug-26'!$D$11:$AI$108,MATCH($C17,'QoE PF Adj. P&amp;L Aug-26'!$C$11:$C$108,0),MATCH(Z$8,'QoE PF Adj. P&amp;L Aug-26'!$D$8:$AI$8,0))*1000</f>
        <v>58500</v>
      </c>
      <c r="AA17" s="10">
        <f>+INDEX('QoE PF Adj. P&amp;L Aug-26'!$D$11:$AI$108,MATCH($C17,'QoE PF Adj. P&amp;L Aug-26'!$C$11:$C$108,0),MATCH(AA$8,'QoE PF Adj. P&amp;L Aug-26'!$D$8:$AI$8,0))*1000</f>
        <v>51400</v>
      </c>
      <c r="AB17" s="10">
        <f>+INDEX('QoE PF Adj. P&amp;L Aug-26'!$D$11:$AI$108,MATCH($C17,'QoE PF Adj. P&amp;L Aug-26'!$C$11:$C$108,0),MATCH(AB$8,'QoE PF Adj. P&amp;L Aug-26'!$D$8:$AI$8,0))*1000</f>
        <v>60700</v>
      </c>
      <c r="AC17" s="10">
        <f>+INDEX('QoE PF Adj. P&amp;L Aug-26'!$D$11:$AI$108,MATCH($C17,'QoE PF Adj. P&amp;L Aug-26'!$C$11:$C$108,0),MATCH(AC$8,'QoE PF Adj. P&amp;L Aug-26'!$D$8:$AI$8,0))*1000</f>
        <v>56400</v>
      </c>
      <c r="AD17" s="10">
        <f>+INDEX('QoE PF Adj. P&amp;L Aug-26'!$D$11:$AI$108,MATCH($C17,'QoE PF Adj. P&amp;L Aug-26'!$C$11:$C$108,0),MATCH(AD$8,'QoE PF Adj. P&amp;L Aug-26'!$D$8:$AI$8,0))*1000</f>
        <v>58000</v>
      </c>
      <c r="AE17" s="10">
        <f>+INDEX('QoE PF Adj. P&amp;L Aug-26'!$D$11:$AI$108,MATCH($C17,'QoE PF Adj. P&amp;L Aug-26'!$C$11:$C$108,0),MATCH(AE$8,'QoE PF Adj. P&amp;L Aug-26'!$D$8:$AI$8,0))*1000</f>
        <v>67300</v>
      </c>
      <c r="AF17" s="10">
        <f>+INDEX('QoE PF Adj. P&amp;L Aug-26'!$D$11:$AI$108,MATCH($C17,'QoE PF Adj. P&amp;L Aug-26'!$C$11:$C$108,0),MATCH(AF$8,'QoE PF Adj. P&amp;L Aug-26'!$D$8:$AI$8,0))*1000</f>
        <v>56100</v>
      </c>
      <c r="AG17" s="10">
        <f>+INDEX('QoE PF Adj. P&amp;L Aug-26'!$D$11:$AI$108,MATCH($C17,'QoE PF Adj. P&amp;L Aug-26'!$C$11:$C$108,0),MATCH(AG$8,'QoE PF Adj. P&amp;L Aug-26'!$D$8:$AI$8,0))*1000</f>
        <v>60600</v>
      </c>
      <c r="AH17" s="10">
        <f>+INDEX('QoE PF Adj. P&amp;L Aug-26'!$D$11:$AI$108,MATCH($C17,'QoE PF Adj. P&amp;L Aug-26'!$C$11:$C$108,0),MATCH(AH$8,'QoE PF Adj. P&amp;L Aug-26'!$D$8:$AI$8,0))*1000</f>
        <v>63800</v>
      </c>
      <c r="AI17" s="10">
        <f>+INDEX('QoE PF Adj. P&amp;L Aug-26'!$D$11:$AI$108,MATCH($C17,'QoE PF Adj. P&amp;L Aug-26'!$C$11:$C$108,0),MATCH(AI$8,'QoE PF Adj. P&amp;L Aug-26'!$D$8:$AI$8,0))*1000</f>
        <v>53500</v>
      </c>
      <c r="AJ17" s="10">
        <f>+INDEX('QoE PF Adj. P&amp;L Aug-26'!$D$11:$AI$108,MATCH($C17,'QoE PF Adj. P&amp;L Aug-26'!$C$11:$C$108,0),MATCH(AJ$8,'QoE PF Adj. P&amp;L Aug-26'!$D$8:$AI$8,0))*1000</f>
        <v>62000</v>
      </c>
      <c r="AK17" s="10">
        <f>+INDEX('QoE PF Adj. P&amp;L Aug-26'!$D$11:$AI$108,MATCH($C17,'QoE PF Adj. P&amp;L Aug-26'!$C$11:$C$108,0),MATCH(AK$8,'QoE PF Adj. P&amp;L Aug-26'!$D$8:$AI$8,0))*1000</f>
        <v>65000</v>
      </c>
      <c r="AL17" s="10">
        <f>+INDEX('QoE PF Adj. P&amp;L Aug-26'!$D$11:$AI$108,MATCH($C17,'QoE PF Adj. P&amp;L Aug-26'!$C$11:$C$108,0),MATCH(AL$8,'QoE PF Adj. P&amp;L Aug-26'!$D$8:$AI$8,0))*1000</f>
        <v>60900</v>
      </c>
      <c r="AM17" s="10">
        <f>+INDEX('QoE PF Adj. P&amp;L Aug-26'!$D$11:$AI$108,MATCH($C17,'QoE PF Adj. P&amp;L Aug-26'!$C$11:$C$108,0),MATCH(AM$8,'QoE PF Adj. P&amp;L Aug-26'!$D$8:$AI$8,0))*1000</f>
        <v>60400</v>
      </c>
      <c r="AN17" s="10">
        <f>+INDEX('QoE PF Adj. P&amp;L Aug-26'!$D$11:$AI$108,MATCH($C17,'QoE PF Adj. P&amp;L Aug-26'!$C$11:$C$108,0),MATCH(AN$8,'QoE PF Adj. P&amp;L Aug-26'!$D$8:$AI$8,0))*1000</f>
        <v>66400</v>
      </c>
      <c r="AO17" s="10">
        <f>+INDEX('QoE PF Adj. P&amp;L Aug-26'!$D$11:$AI$108,MATCH($C17,'QoE PF Adj. P&amp;L Aug-26'!$C$11:$C$108,0),MATCH(AO$8,'QoE PF Adj. P&amp;L Aug-26'!$D$8:$AI$8,0))*1000</f>
        <v>63300</v>
      </c>
      <c r="AP17" s="10">
        <f>+SUMIFS('Sep - Nov P&amp;L'!I:I,'Sep - Nov P&amp;L'!$D:$D,$C17)</f>
        <v>63206.61</v>
      </c>
      <c r="AQ17" s="10">
        <f>+SUMIFS('Sep - Nov P&amp;L'!J:J,'Sep - Nov P&amp;L'!$D:$D,$C17)</f>
        <v>69262.96</v>
      </c>
      <c r="AR17" s="10">
        <f>+SUMIFS('Sep - Nov P&amp;L'!K:K,'Sep - Nov P&amp;L'!$D:$D,$C17)</f>
        <v>59675.72</v>
      </c>
      <c r="AS17" s="10">
        <f>+'Separate Line Item Builds'!AS35</f>
        <v>59675.72</v>
      </c>
      <c r="AT17" s="10">
        <f>+'Separate Line Item Builds'!AT35</f>
        <v>61465.9916</v>
      </c>
      <c r="AU17" s="10">
        <f>+'Separate Line Item Builds'!AU35</f>
        <v>61465.9916</v>
      </c>
      <c r="AV17" s="10">
        <f>+'Separate Line Item Builds'!AV35</f>
        <v>64041.9916</v>
      </c>
      <c r="AW17" s="10">
        <f>+'Separate Line Item Builds'!AW35</f>
        <v>66617.9916</v>
      </c>
      <c r="AX17" s="10">
        <f>+'Separate Line Item Builds'!AX35</f>
        <v>68521.9916</v>
      </c>
      <c r="AY17" s="10">
        <f>+'Separate Line Item Builds'!AY35</f>
        <v>71321.9916</v>
      </c>
      <c r="AZ17" s="10">
        <f>+'Separate Line Item Builds'!AZ35</f>
        <v>73785.9916</v>
      </c>
      <c r="BA17" s="10">
        <f>+'Separate Line Item Builds'!BA35</f>
        <v>76249.9916</v>
      </c>
      <c r="BB17" s="10">
        <f>+'Separate Line Item Builds'!BB35</f>
        <v>78713.9916</v>
      </c>
      <c r="BC17" s="10">
        <f>+'Separate Line Item Builds'!BC35</f>
        <v>81177.9916</v>
      </c>
      <c r="BD17" s="10">
        <f>+'Separate Line Item Builds'!BD35</f>
        <v>82633.9916</v>
      </c>
      <c r="BE17" s="10">
        <f>+'Separate Line Item Builds'!BE35</f>
        <v>87225.9916</v>
      </c>
      <c r="BF17" s="10">
        <f>+'Separate Line Item Builds'!BF35</f>
        <v>90413.971348</v>
      </c>
      <c r="BG17" s="10">
        <f>+'Separate Line Item Builds'!BG35</f>
        <v>92877.971348</v>
      </c>
      <c r="BH17" s="10">
        <f>+'Separate Line Item Builds'!BH35</f>
        <v>95565.971348</v>
      </c>
      <c r="BI17" s="10">
        <f>+'Separate Line Item Builds'!BI35</f>
        <v>91533.971348</v>
      </c>
      <c r="BJ17" s="10">
        <f>+'Separate Line Item Builds'!BJ35</f>
        <v>92877.971348</v>
      </c>
      <c r="BK17" s="10">
        <f>+'Separate Line Item Builds'!BK35</f>
        <v>94221.971348</v>
      </c>
      <c r="BL17" s="10">
        <f>+'Separate Line Item Builds'!BL35</f>
        <v>91533.971348</v>
      </c>
      <c r="BM17" s="10">
        <f>+'Separate Line Item Builds'!BM35</f>
        <v>95565.971348</v>
      </c>
      <c r="BN17" s="10">
        <f>+'Separate Line Item Builds'!BN35</f>
        <v>92877.971348</v>
      </c>
      <c r="BO17" s="10">
        <f>+'Separate Line Item Builds'!BO35</f>
        <v>92877.971348</v>
      </c>
      <c r="BP17" s="10">
        <f>+'Separate Line Item Builds'!BP35</f>
        <v>92877.971348</v>
      </c>
      <c r="BQ17" s="10">
        <f>+'Separate Line Item Builds'!BQ35</f>
        <v>92877.971348</v>
      </c>
    </row>
    <row r="18">
      <c r="C18" s="3" t="inlineStr">
        <is>
          <t>Other Personnel Costs</t>
        </is>
      </c>
      <c r="D18" s="20">
        <f>+SUMIFS($J18:$BQ18,$J$7:$BQ$7,D$8)</f>
        <v>88400</v>
      </c>
      <c r="E18" s="20">
        <f>+SUMIFS($J18:$BQ18,$J$7:$BQ$7,E$8)</f>
        <v>95900</v>
      </c>
      <c r="F18" s="20">
        <f>+SUMIFS($J18:$BQ18,$J$7:$BQ$7,F$8)</f>
        <v>74791.6666666667</v>
      </c>
      <c r="G18" s="20">
        <f>+SUMIFS($J18:$BQ18,$J$7:$BQ$7,G$8)</f>
        <v>78467.5153849094</v>
      </c>
      <c r="H18" s="20">
        <f>+SUMIFS($J18:$BQ18,$J$7:$BQ$7,H$8)</f>
        <v>81827.3380235179</v>
      </c>
      <c r="J18" s="10">
        <f>+INDEX('QoE PF Adj. P&amp;L Aug-26'!$D$11:$AI$108,MATCH($C18,'QoE PF Adj. P&amp;L Aug-26'!$C$11:$C$108,0),MATCH(J$8,'QoE PF Adj. P&amp;L Aug-26'!$D$8:$AI$8,0))*1000</f>
        <v>7100</v>
      </c>
      <c r="K18" s="10">
        <f>+INDEX('QoE PF Adj. P&amp;L Aug-26'!$D$11:$AI$108,MATCH($C18,'QoE PF Adj. P&amp;L Aug-26'!$C$11:$C$108,0),MATCH(K$8,'QoE PF Adj. P&amp;L Aug-26'!$D$8:$AI$8,0))*1000</f>
        <v>7000</v>
      </c>
      <c r="L18" s="10">
        <f>+INDEX('QoE PF Adj. P&amp;L Aug-26'!$D$11:$AI$108,MATCH($C18,'QoE PF Adj. P&amp;L Aug-26'!$C$11:$C$108,0),MATCH(L$8,'QoE PF Adj. P&amp;L Aug-26'!$D$8:$AI$8,0))*1000</f>
        <v>7700</v>
      </c>
      <c r="M18" s="10">
        <f>+INDEX('QoE PF Adj. P&amp;L Aug-26'!$D$11:$AI$108,MATCH($C18,'QoE PF Adj. P&amp;L Aug-26'!$C$11:$C$108,0),MATCH(M$8,'QoE PF Adj. P&amp;L Aug-26'!$D$8:$AI$8,0))*1000</f>
        <v>7100</v>
      </c>
      <c r="N18" s="10">
        <f>+INDEX('QoE PF Adj. P&amp;L Aug-26'!$D$11:$AI$108,MATCH($C18,'QoE PF Adj. P&amp;L Aug-26'!$C$11:$C$108,0),MATCH(N$8,'QoE PF Adj. P&amp;L Aug-26'!$D$8:$AI$8,0))*1000</f>
        <v>7000</v>
      </c>
      <c r="O18" s="10">
        <f>+INDEX('QoE PF Adj. P&amp;L Aug-26'!$D$11:$AI$108,MATCH($C18,'QoE PF Adj. P&amp;L Aug-26'!$C$11:$C$108,0),MATCH(O$8,'QoE PF Adj. P&amp;L Aug-26'!$D$8:$AI$8,0))*1000</f>
        <v>7400</v>
      </c>
      <c r="P18" s="10">
        <f>+INDEX('QoE PF Adj. P&amp;L Aug-26'!$D$11:$AI$108,MATCH($C18,'QoE PF Adj. P&amp;L Aug-26'!$C$11:$C$108,0),MATCH(P$8,'QoE PF Adj. P&amp;L Aug-26'!$D$8:$AI$8,0))*1000</f>
        <v>7400</v>
      </c>
      <c r="Q18" s="10">
        <f>+INDEX('QoE PF Adj. P&amp;L Aug-26'!$D$11:$AI$108,MATCH($C18,'QoE PF Adj. P&amp;L Aug-26'!$C$11:$C$108,0),MATCH(Q$8,'QoE PF Adj. P&amp;L Aug-26'!$D$8:$AI$8,0))*1000</f>
        <v>7500</v>
      </c>
      <c r="R18" s="10">
        <f>+INDEX('QoE PF Adj. P&amp;L Aug-26'!$D$11:$AI$108,MATCH($C18,'QoE PF Adj. P&amp;L Aug-26'!$C$11:$C$108,0),MATCH(R$8,'QoE PF Adj. P&amp;L Aug-26'!$D$8:$AI$8,0))*1000</f>
        <v>7300</v>
      </c>
      <c r="S18" s="10">
        <f>+INDEX('QoE PF Adj. P&amp;L Aug-26'!$D$11:$AI$108,MATCH($C18,'QoE PF Adj. P&amp;L Aug-26'!$C$11:$C$108,0),MATCH(S$8,'QoE PF Adj. P&amp;L Aug-26'!$D$8:$AI$8,0))*1000</f>
        <v>7300</v>
      </c>
      <c r="T18" s="10">
        <f>+INDEX('QoE PF Adj. P&amp;L Aug-26'!$D$11:$AI$108,MATCH($C18,'QoE PF Adj. P&amp;L Aug-26'!$C$11:$C$108,0),MATCH(T$8,'QoE PF Adj. P&amp;L Aug-26'!$D$8:$AI$8,0))*1000</f>
        <v>7900</v>
      </c>
      <c r="U18" s="10">
        <f>+INDEX('QoE PF Adj. P&amp;L Aug-26'!$D$11:$AI$108,MATCH($C18,'QoE PF Adj. P&amp;L Aug-26'!$C$11:$C$108,0),MATCH(U$8,'QoE PF Adj. P&amp;L Aug-26'!$D$8:$AI$8,0))*1000</f>
        <v>7700</v>
      </c>
      <c r="V18" s="10">
        <f>+INDEX('QoE PF Adj. P&amp;L Aug-26'!$D$11:$AI$108,MATCH($C18,'QoE PF Adj. P&amp;L Aug-26'!$C$11:$C$108,0),MATCH(V$8,'QoE PF Adj. P&amp;L Aug-26'!$D$8:$AI$8,0))*1000</f>
        <v>7800</v>
      </c>
      <c r="W18" s="10">
        <f>+INDEX('QoE PF Adj. P&amp;L Aug-26'!$D$11:$AI$108,MATCH($C18,'QoE PF Adj. P&amp;L Aug-26'!$C$11:$C$108,0),MATCH(W$8,'QoE PF Adj. P&amp;L Aug-26'!$D$8:$AI$8,0))*1000</f>
        <v>7900</v>
      </c>
      <c r="X18" s="10">
        <f>+INDEX('QoE PF Adj. P&amp;L Aug-26'!$D$11:$AI$108,MATCH($C18,'QoE PF Adj. P&amp;L Aug-26'!$C$11:$C$108,0),MATCH(X$8,'QoE PF Adj. P&amp;L Aug-26'!$D$8:$AI$8,0))*1000</f>
        <v>8300</v>
      </c>
      <c r="Y18" s="10">
        <f>+INDEX('QoE PF Adj. P&amp;L Aug-26'!$D$11:$AI$108,MATCH($C18,'QoE PF Adj. P&amp;L Aug-26'!$C$11:$C$108,0),MATCH(Y$8,'QoE PF Adj. P&amp;L Aug-26'!$D$8:$AI$8,0))*1000</f>
        <v>8100</v>
      </c>
      <c r="Z18" s="10">
        <f>+INDEX('QoE PF Adj. P&amp;L Aug-26'!$D$11:$AI$108,MATCH($C18,'QoE PF Adj. P&amp;L Aug-26'!$C$11:$C$108,0),MATCH(Z$8,'QoE PF Adj. P&amp;L Aug-26'!$D$8:$AI$8,0))*1000</f>
        <v>8500</v>
      </c>
      <c r="AA18" s="10">
        <f>+INDEX('QoE PF Adj. P&amp;L Aug-26'!$D$11:$AI$108,MATCH($C18,'QoE PF Adj. P&amp;L Aug-26'!$C$11:$C$108,0),MATCH(AA$8,'QoE PF Adj. P&amp;L Aug-26'!$D$8:$AI$8,0))*1000</f>
        <v>7800</v>
      </c>
      <c r="AB18" s="10">
        <f>+INDEX('QoE PF Adj. P&amp;L Aug-26'!$D$11:$AI$108,MATCH($C18,'QoE PF Adj. P&amp;L Aug-26'!$C$11:$C$108,0),MATCH(AB$8,'QoE PF Adj. P&amp;L Aug-26'!$D$8:$AI$8,0))*1000</f>
        <v>7900</v>
      </c>
      <c r="AC18" s="10">
        <f>+INDEX('QoE PF Adj. P&amp;L Aug-26'!$D$11:$AI$108,MATCH($C18,'QoE PF Adj. P&amp;L Aug-26'!$C$11:$C$108,0),MATCH(AC$8,'QoE PF Adj. P&amp;L Aug-26'!$D$8:$AI$8,0))*1000</f>
        <v>7800</v>
      </c>
      <c r="AD18" s="10">
        <f>+INDEX('QoE PF Adj. P&amp;L Aug-26'!$D$11:$AI$108,MATCH($C18,'QoE PF Adj. P&amp;L Aug-26'!$C$11:$C$108,0),MATCH(AD$8,'QoE PF Adj. P&amp;L Aug-26'!$D$8:$AI$8,0))*1000</f>
        <v>7700</v>
      </c>
      <c r="AE18" s="10">
        <f>+INDEX('QoE PF Adj. P&amp;L Aug-26'!$D$11:$AI$108,MATCH($C18,'QoE PF Adj. P&amp;L Aug-26'!$C$11:$C$108,0),MATCH(AE$8,'QoE PF Adj. P&amp;L Aug-26'!$D$8:$AI$8,0))*1000</f>
        <v>7800</v>
      </c>
      <c r="AF18" s="10">
        <f>+INDEX('QoE PF Adj. P&amp;L Aug-26'!$D$11:$AI$108,MATCH($C18,'QoE PF Adj. P&amp;L Aug-26'!$C$11:$C$108,0),MATCH(AF$8,'QoE PF Adj. P&amp;L Aug-26'!$D$8:$AI$8,0))*1000</f>
        <v>8000</v>
      </c>
      <c r="AG18" s="10">
        <f>+INDEX('QoE PF Adj. P&amp;L Aug-26'!$D$11:$AI$108,MATCH($C18,'QoE PF Adj. P&amp;L Aug-26'!$C$11:$C$108,0),MATCH(AG$8,'QoE PF Adj. P&amp;L Aug-26'!$D$8:$AI$8,0))*1000</f>
        <v>8300</v>
      </c>
      <c r="AH18" s="10">
        <f>+INDEX('QoE PF Adj. P&amp;L Aug-26'!$D$11:$AI$108,MATCH($C18,'QoE PF Adj. P&amp;L Aug-26'!$C$11:$C$108,0),MATCH(AH$8,'QoE PF Adj. P&amp;L Aug-26'!$D$8:$AI$8,0))*1000</f>
        <v>8900</v>
      </c>
      <c r="AI18" s="10">
        <f>+INDEX('QoE PF Adj. P&amp;L Aug-26'!$D$11:$AI$108,MATCH($C18,'QoE PF Adj. P&amp;L Aug-26'!$C$11:$C$108,0),MATCH(AI$8,'QoE PF Adj. P&amp;L Aug-26'!$D$8:$AI$8,0))*1000</f>
        <v>8300</v>
      </c>
      <c r="AJ18" s="10">
        <f>+INDEX('QoE PF Adj. P&amp;L Aug-26'!$D$11:$AI$108,MATCH($C18,'QoE PF Adj. P&amp;L Aug-26'!$C$11:$C$108,0),MATCH(AJ$8,'QoE PF Adj. P&amp;L Aug-26'!$D$8:$AI$8,0))*1000</f>
        <v>7900</v>
      </c>
      <c r="AK18" s="10">
        <f>+INDEX('QoE PF Adj. P&amp;L Aug-26'!$D$11:$AI$108,MATCH($C18,'QoE PF Adj. P&amp;L Aug-26'!$C$11:$C$108,0),MATCH(AK$8,'QoE PF Adj. P&amp;L Aug-26'!$D$8:$AI$8,0))*1000</f>
        <v>8300</v>
      </c>
      <c r="AL18" s="10">
        <f>+INDEX('QoE PF Adj. P&amp;L Aug-26'!$D$11:$AI$108,MATCH($C18,'QoE PF Adj. P&amp;L Aug-26'!$C$11:$C$108,0),MATCH(AL$8,'QoE PF Adj. P&amp;L Aug-26'!$D$8:$AI$8,0))*1000</f>
        <v>8100</v>
      </c>
      <c r="AM18" s="10">
        <f>+INDEX('QoE PF Adj. P&amp;L Aug-26'!$D$11:$AI$108,MATCH($C18,'QoE PF Adj. P&amp;L Aug-26'!$C$11:$C$108,0),MATCH(AM$8,'QoE PF Adj. P&amp;L Aug-26'!$D$8:$AI$8,0))*1000</f>
        <v>8700</v>
      </c>
      <c r="AN18" s="10">
        <f>+INDEX('QoE PF Adj. P&amp;L Aug-26'!$D$11:$AI$108,MATCH($C18,'QoE PF Adj. P&amp;L Aug-26'!$C$11:$C$108,0),MATCH(AN$8,'QoE PF Adj. P&amp;L Aug-26'!$D$8:$AI$8,0))*1000</f>
        <v>8900</v>
      </c>
      <c r="AO18" s="10">
        <f>+INDEX('QoE PF Adj. P&amp;L Aug-26'!$D$11:$AI$108,MATCH($C18,'QoE PF Adj. P&amp;L Aug-26'!$C$11:$C$108,0),MATCH(AO$8,'QoE PF Adj. P&amp;L Aug-26'!$D$8:$AI$8,0))*1000</f>
        <v>9300</v>
      </c>
      <c r="AP18" s="10">
        <f>+SUMIFS('Sep - Nov P&amp;L'!I:I,'Sep - Nov P&amp;L'!$D:$D,$C18)</f>
        <v>0</v>
      </c>
      <c r="AQ18" s="10">
        <f>+SUMIFS('Sep - Nov P&amp;L'!J:J,'Sep - Nov P&amp;L'!$D:$D,$C18)</f>
        <v>0</v>
      </c>
      <c r="AR18" s="10">
        <f>+SUMIFS('Sep - Nov P&amp;L'!K:K,'Sep - Nov P&amp;L'!$D:$D,$C18)</f>
        <v>0</v>
      </c>
      <c r="AS18" s="20">
        <f>+AS126</f>
        <v>6391.66666666667</v>
      </c>
      <c r="AT18" s="20">
        <f>+AT126</f>
        <v>6414.0375</v>
      </c>
      <c r="AU18" s="20">
        <f>+AU126</f>
        <v>6436.48663125</v>
      </c>
      <c r="AV18" s="20">
        <f>+AV126</f>
        <v>6459.01433445938</v>
      </c>
      <c r="AW18" s="20">
        <f>+AW126</f>
        <v>6481.62088462998</v>
      </c>
      <c r="AX18" s="20">
        <f>+AX126</f>
        <v>6504.30655772619</v>
      </c>
      <c r="AY18" s="20">
        <f>+AY126</f>
        <v>6527.07163067823</v>
      </c>
      <c r="AZ18" s="20">
        <f>+AZ126</f>
        <v>6549.91638138561</v>
      </c>
      <c r="BA18" s="20">
        <f>+BA126</f>
        <v>6572.84108872046</v>
      </c>
      <c r="BB18" s="20">
        <f>+BB126</f>
        <v>6595.84603253098</v>
      </c>
      <c r="BC18" s="20">
        <f>+BC126</f>
        <v>6618.93149364484</v>
      </c>
      <c r="BD18" s="20">
        <f>+BD126</f>
        <v>6642.09775387259</v>
      </c>
      <c r="BE18" s="20">
        <f>+BE126</f>
        <v>6665.34509601115</v>
      </c>
      <c r="BF18" s="20">
        <f>+BF126</f>
        <v>6688.67380384719</v>
      </c>
      <c r="BG18" s="20">
        <f>+BG126</f>
        <v>6712.08416216065</v>
      </c>
      <c r="BH18" s="20">
        <f>+BH126</f>
        <v>6735.57645672822</v>
      </c>
      <c r="BI18" s="20">
        <f>+BI126</f>
        <v>6759.15097432676</v>
      </c>
      <c r="BJ18" s="20">
        <f>+BJ126</f>
        <v>6782.80800273691</v>
      </c>
      <c r="BK18" s="20">
        <f>+BK126</f>
        <v>6806.54783074649</v>
      </c>
      <c r="BL18" s="20">
        <f>+BL126</f>
        <v>6830.3707481541</v>
      </c>
      <c r="BM18" s="20">
        <f>+BM126</f>
        <v>6854.27704577264</v>
      </c>
      <c r="BN18" s="20">
        <f>+BN126</f>
        <v>6878.26701543285</v>
      </c>
      <c r="BO18" s="20">
        <f>+BO126</f>
        <v>6902.34094998686</v>
      </c>
      <c r="BP18" s="20">
        <f>+BP126</f>
        <v>6926.49914331182</v>
      </c>
      <c r="BQ18" s="20">
        <f>+BQ126</f>
        <v>6950.74189031341</v>
      </c>
    </row>
    <row r="19">
      <c r="C19" s="2" t="inlineStr">
        <is>
          <t>Total Employee Salaries &amp; Wages</t>
        </is>
      </c>
      <c r="D19" s="15">
        <f>+SUMIFS($J19:$BQ19,$J$7:$BQ$7,D$8)</f>
        <v>4230500</v>
      </c>
      <c r="E19" s="15">
        <f>+SUMIFS($J19:$BQ19,$J$7:$BQ$7,E$8)</f>
        <v>4495900</v>
      </c>
      <c r="F19" s="15">
        <f>+SUMIFS($J19:$BQ19,$J$7:$BQ$7,F$8)</f>
        <v>4788310.33474227</v>
      </c>
      <c r="G19" s="15">
        <f>+SUMIFS($J19:$BQ19,$J$7:$BQ$7,G$8)</f>
        <v>5520920.85761716</v>
      </c>
      <c r="H19" s="15">
        <f>+SUMIFS($J19:$BQ19,$J$7:$BQ$7,H$8)</f>
        <v>6090671.7262425</v>
      </c>
      <c r="J19" s="15">
        <f>SUM(J15:J18)</f>
        <v>351900</v>
      </c>
      <c r="K19" s="15">
        <f>SUM(K15:K18)</f>
        <v>342000</v>
      </c>
      <c r="L19" s="15">
        <f>SUM(L15:L18)</f>
        <v>354000</v>
      </c>
      <c r="M19" s="15">
        <f>SUM(M15:M18)</f>
        <v>355300</v>
      </c>
      <c r="N19" s="15">
        <f>SUM(N15:N18)</f>
        <v>355300</v>
      </c>
      <c r="O19" s="15">
        <f>SUM(O15:O18)</f>
        <v>348400</v>
      </c>
      <c r="P19" s="15">
        <f>SUM(P15:P18)</f>
        <v>355300</v>
      </c>
      <c r="Q19" s="15">
        <f>SUM(Q15:Q18)</f>
        <v>357000</v>
      </c>
      <c r="R19" s="15">
        <f>SUM(R15:R18)</f>
        <v>350600</v>
      </c>
      <c r="S19" s="15">
        <f>SUM(S15:S18)</f>
        <v>359600</v>
      </c>
      <c r="T19" s="15">
        <f>SUM(T15:T18)</f>
        <v>352800</v>
      </c>
      <c r="U19" s="15">
        <f>SUM(U15:U18)</f>
        <v>348300</v>
      </c>
      <c r="V19" s="15">
        <f>SUM(V15:V18)</f>
        <v>370300</v>
      </c>
      <c r="W19" s="15">
        <f>SUM(W15:W18)</f>
        <v>357000</v>
      </c>
      <c r="X19" s="15">
        <f>SUM(X15:X18)</f>
        <v>362700</v>
      </c>
      <c r="Y19" s="15">
        <f>SUM(Y15:Y18)</f>
        <v>370300</v>
      </c>
      <c r="Z19" s="15">
        <f>SUM(Z15:Z18)</f>
        <v>378800</v>
      </c>
      <c r="AA19" s="15">
        <f>SUM(AA15:AA18)</f>
        <v>368900</v>
      </c>
      <c r="AB19" s="15">
        <f>SUM(AB15:AB18)</f>
        <v>380600</v>
      </c>
      <c r="AC19" s="15">
        <f>SUM(AC15:AC18)</f>
        <v>369600</v>
      </c>
      <c r="AD19" s="15">
        <f>SUM(AD15:AD18)</f>
        <v>380600</v>
      </c>
      <c r="AE19" s="15">
        <f>SUM(AE15:AE18)</f>
        <v>390600</v>
      </c>
      <c r="AF19" s="15">
        <f>SUM(AF15:AF18)</f>
        <v>378800</v>
      </c>
      <c r="AG19" s="15">
        <f>SUM(AG15:AG18)</f>
        <v>387700</v>
      </c>
      <c r="AH19" s="15">
        <f>SUM(AH15:AH18)</f>
        <v>402500</v>
      </c>
      <c r="AI19" s="15">
        <f>SUM(AI15:AI18)</f>
        <v>381300</v>
      </c>
      <c r="AJ19" s="15">
        <f>SUM(AJ15:AJ18)</f>
        <v>391400</v>
      </c>
      <c r="AK19" s="15">
        <f>SUM(AK15:AK18)</f>
        <v>396900</v>
      </c>
      <c r="AL19" s="15">
        <f>SUM(AL15:AL18)</f>
        <v>399200</v>
      </c>
      <c r="AM19" s="15">
        <f>SUM(AM15:AM18)</f>
        <v>392300</v>
      </c>
      <c r="AN19" s="15">
        <f>SUM(AN15:AN18)</f>
        <v>401200</v>
      </c>
      <c r="AO19" s="15">
        <f>SUM(AO15:AO18)</f>
        <v>399600</v>
      </c>
      <c r="AP19" s="15">
        <f>SUM(AP15:AP18)</f>
        <v>402861.180926916</v>
      </c>
      <c r="AQ19" s="15">
        <f>SUM(AQ15:AQ18)</f>
        <v>413532.954757279</v>
      </c>
      <c r="AR19" s="15">
        <f>SUM(AR15:AR18)</f>
        <v>395757.441552873</v>
      </c>
      <c r="AS19" s="15">
        <f>SUM(AS15:AS18)</f>
        <v>411758.757505204</v>
      </c>
      <c r="AT19" s="15">
        <f>SUM(AT15:AT18)</f>
        <v>408691.167206071</v>
      </c>
      <c r="AU19" s="15">
        <f>SUM(AU15:AU18)</f>
        <v>425376.746097794</v>
      </c>
      <c r="AV19" s="15">
        <f>SUM(AV15:AV18)</f>
        <v>452259.530119583</v>
      </c>
      <c r="AW19" s="15">
        <f>SUM(AW15:AW18)</f>
        <v>455241.960669754</v>
      </c>
      <c r="AX19" s="15">
        <f>SUM(AX15:AX18)</f>
        <v>455766.443463797</v>
      </c>
      <c r="AY19" s="15">
        <f>SUM(AY15:AY18)</f>
        <v>464212.603833446</v>
      </c>
      <c r="AZ19" s="15">
        <f>SUM(AZ15:AZ18)</f>
        <v>467096.49710799</v>
      </c>
      <c r="BA19" s="15">
        <f>SUM(BA15:BA18)</f>
        <v>469980.470339162</v>
      </c>
      <c r="BB19" s="15">
        <f>SUM(BB15:BB18)</f>
        <v>472964.830606809</v>
      </c>
      <c r="BC19" s="15">
        <f>SUM(BC15:BC18)</f>
        <v>480182.297925093</v>
      </c>
      <c r="BD19" s="15">
        <f>SUM(BD15:BD18)</f>
        <v>481053.908979515</v>
      </c>
      <c r="BE19" s="15">
        <f>SUM(BE15:BE18)</f>
        <v>488094.401268148</v>
      </c>
      <c r="BF19" s="15">
        <f>SUM(BF15:BF18)</f>
        <v>500257.624009953</v>
      </c>
      <c r="BG19" s="15">
        <f>SUM(BG15:BG18)</f>
        <v>507445.5037016</v>
      </c>
      <c r="BH19" s="15">
        <f>SUM(BH15:BH18)</f>
        <v>512274.211382197</v>
      </c>
      <c r="BI19" s="15">
        <f>SUM(BI15:BI18)</f>
        <v>505089.962820751</v>
      </c>
      <c r="BJ19" s="15">
        <f>SUM(BJ15:BJ18)</f>
        <v>507516.227542176</v>
      </c>
      <c r="BK19" s="15">
        <f>SUM(BK15:BK18)</f>
        <v>509942.575063201</v>
      </c>
      <c r="BL19" s="15">
        <f>SUM(BL15:BL18)</f>
        <v>505161.182594578</v>
      </c>
      <c r="BM19" s="15">
        <f>SUM(BM15:BM18)</f>
        <v>512392.911971242</v>
      </c>
      <c r="BN19" s="15">
        <f>SUM(BN15:BN18)</f>
        <v>507611.686554872</v>
      </c>
      <c r="BO19" s="15">
        <f>SUM(BO15:BO18)</f>
        <v>507635.760489426</v>
      </c>
      <c r="BP19" s="15">
        <f>SUM(BP15:BP18)</f>
        <v>507659.918682751</v>
      </c>
      <c r="BQ19" s="15">
        <f>SUM(BQ15:BQ18)</f>
        <v>507684.161429753</v>
      </c>
    </row>
    <row r="21">
      <c r="C21" s="2" t="inlineStr">
        <is>
          <t>Employee Taxes &amp; Benefits</t>
        </is>
      </c>
    </row>
    <row r="22">
      <c r="C22" s="3" t="inlineStr">
        <is>
          <t>Payroll Taxes</t>
        </is>
      </c>
      <c r="D22" s="20">
        <f>+SUMIFS($J22:$BQ22,$J$7:$BQ$7,D$8)</f>
        <v>266000</v>
      </c>
      <c r="E22" s="20">
        <f>+SUMIFS($J22:$BQ22,$J$7:$BQ$7,E$8)</f>
        <v>279200</v>
      </c>
      <c r="F22" s="20">
        <f>+SUMIFS($J22:$BQ22,$J$7:$BQ$7,F$8)</f>
        <v>304828.258592776</v>
      </c>
      <c r="G22" s="20">
        <f>+SUMIFS($J22:$BQ22,$J$7:$BQ$7,G$8)</f>
        <v>351065.621807901</v>
      </c>
      <c r="H22" s="20">
        <f>+SUMIFS($J22:$BQ22,$J$7:$BQ$7,H$8)</f>
        <v>387295.074851695</v>
      </c>
      <c r="J22" s="10">
        <f>+INDEX('QoE PF Adj. P&amp;L Aug-26'!$D$11:$AI$108,MATCH($C22,'QoE PF Adj. P&amp;L Aug-26'!$C$11:$C$108,0),MATCH(J$8,'QoE PF Adj. P&amp;L Aug-26'!$D$8:$AI$8,0))*1000</f>
        <v>22600</v>
      </c>
      <c r="K22" s="10">
        <f>+INDEX('QoE PF Adj. P&amp;L Aug-26'!$D$11:$AI$108,MATCH($C22,'QoE PF Adj. P&amp;L Aug-26'!$C$11:$C$108,0),MATCH(K$8,'QoE PF Adj. P&amp;L Aug-26'!$D$8:$AI$8,0))*1000</f>
        <v>22300</v>
      </c>
      <c r="L22" s="10">
        <f>+INDEX('QoE PF Adj. P&amp;L Aug-26'!$D$11:$AI$108,MATCH($C22,'QoE PF Adj. P&amp;L Aug-26'!$C$11:$C$108,0),MATCH(L$8,'QoE PF Adj. P&amp;L Aug-26'!$D$8:$AI$8,0))*1000</f>
        <v>22000</v>
      </c>
      <c r="M22" s="10">
        <f>+INDEX('QoE PF Adj. P&amp;L Aug-26'!$D$11:$AI$108,MATCH($C22,'QoE PF Adj. P&amp;L Aug-26'!$C$11:$C$108,0),MATCH(M$8,'QoE PF Adj. P&amp;L Aug-26'!$D$8:$AI$8,0))*1000</f>
        <v>22200</v>
      </c>
      <c r="N22" s="10">
        <f>+INDEX('QoE PF Adj. P&amp;L Aug-26'!$D$11:$AI$108,MATCH($C22,'QoE PF Adj. P&amp;L Aug-26'!$C$11:$C$108,0),MATCH(N$8,'QoE PF Adj. P&amp;L Aug-26'!$D$8:$AI$8,0))*1000</f>
        <v>21300</v>
      </c>
      <c r="O22" s="10">
        <f>+INDEX('QoE PF Adj. P&amp;L Aug-26'!$D$11:$AI$108,MATCH($C22,'QoE PF Adj. P&amp;L Aug-26'!$C$11:$C$108,0),MATCH(O$8,'QoE PF Adj. P&amp;L Aug-26'!$D$8:$AI$8,0))*1000</f>
        <v>22000</v>
      </c>
      <c r="P22" s="10">
        <f>+INDEX('QoE PF Adj. P&amp;L Aug-26'!$D$11:$AI$108,MATCH($C22,'QoE PF Adj. P&amp;L Aug-26'!$C$11:$C$108,0),MATCH(P$8,'QoE PF Adj. P&amp;L Aug-26'!$D$8:$AI$8,0))*1000</f>
        <v>22500</v>
      </c>
      <c r="Q22" s="10">
        <f>+INDEX('QoE PF Adj. P&amp;L Aug-26'!$D$11:$AI$108,MATCH($C22,'QoE PF Adj. P&amp;L Aug-26'!$C$11:$C$108,0),MATCH(Q$8,'QoE PF Adj. P&amp;L Aug-26'!$D$8:$AI$8,0))*1000</f>
        <v>21700</v>
      </c>
      <c r="R22" s="10">
        <f>+INDEX('QoE PF Adj. P&amp;L Aug-26'!$D$11:$AI$108,MATCH($C22,'QoE PF Adj. P&amp;L Aug-26'!$C$11:$C$108,0),MATCH(R$8,'QoE PF Adj. P&amp;L Aug-26'!$D$8:$AI$8,0))*1000</f>
        <v>22100</v>
      </c>
      <c r="S22" s="10">
        <f>+INDEX('QoE PF Adj. P&amp;L Aug-26'!$D$11:$AI$108,MATCH($C22,'QoE PF Adj. P&amp;L Aug-26'!$C$11:$C$108,0),MATCH(S$8,'QoE PF Adj. P&amp;L Aug-26'!$D$8:$AI$8,0))*1000</f>
        <v>22600</v>
      </c>
      <c r="T22" s="10">
        <f>+INDEX('QoE PF Adj. P&amp;L Aug-26'!$D$11:$AI$108,MATCH($C22,'QoE PF Adj. P&amp;L Aug-26'!$C$11:$C$108,0),MATCH(T$8,'QoE PF Adj. P&amp;L Aug-26'!$D$8:$AI$8,0))*1000</f>
        <v>22200</v>
      </c>
      <c r="U22" s="10">
        <f>+INDEX('QoE PF Adj. P&amp;L Aug-26'!$D$11:$AI$108,MATCH($C22,'QoE PF Adj. P&amp;L Aug-26'!$C$11:$C$108,0),MATCH(U$8,'QoE PF Adj. P&amp;L Aug-26'!$D$8:$AI$8,0))*1000</f>
        <v>22500</v>
      </c>
      <c r="V22" s="10">
        <f>+INDEX('QoE PF Adj. P&amp;L Aug-26'!$D$11:$AI$108,MATCH($C22,'QoE PF Adj. P&amp;L Aug-26'!$C$11:$C$108,0),MATCH(V$8,'QoE PF Adj. P&amp;L Aug-26'!$D$8:$AI$8,0))*1000</f>
        <v>23200</v>
      </c>
      <c r="W22" s="10">
        <f>+INDEX('QoE PF Adj. P&amp;L Aug-26'!$D$11:$AI$108,MATCH($C22,'QoE PF Adj. P&amp;L Aug-26'!$C$11:$C$108,0),MATCH(W$8,'QoE PF Adj. P&amp;L Aug-26'!$D$8:$AI$8,0))*1000</f>
        <v>22500</v>
      </c>
      <c r="X22" s="10">
        <f>+INDEX('QoE PF Adj. P&amp;L Aug-26'!$D$11:$AI$108,MATCH($C22,'QoE PF Adj. P&amp;L Aug-26'!$C$11:$C$108,0),MATCH(X$8,'QoE PF Adj. P&amp;L Aug-26'!$D$8:$AI$8,0))*1000</f>
        <v>22300</v>
      </c>
      <c r="Y22" s="10">
        <f>+INDEX('QoE PF Adj. P&amp;L Aug-26'!$D$11:$AI$108,MATCH($C22,'QoE PF Adj. P&amp;L Aug-26'!$C$11:$C$108,0),MATCH(Y$8,'QoE PF Adj. P&amp;L Aug-26'!$D$8:$AI$8,0))*1000</f>
        <v>22500</v>
      </c>
      <c r="Z22" s="10">
        <f>+INDEX('QoE PF Adj. P&amp;L Aug-26'!$D$11:$AI$108,MATCH($C22,'QoE PF Adj. P&amp;L Aug-26'!$C$11:$C$108,0),MATCH(Z$8,'QoE PF Adj. P&amp;L Aug-26'!$D$8:$AI$8,0))*1000</f>
        <v>22900</v>
      </c>
      <c r="AA22" s="10">
        <f>+INDEX('QoE PF Adj. P&amp;L Aug-26'!$D$11:$AI$108,MATCH($C22,'QoE PF Adj. P&amp;L Aug-26'!$C$11:$C$108,0),MATCH(AA$8,'QoE PF Adj. P&amp;L Aug-26'!$D$8:$AI$8,0))*1000</f>
        <v>24100</v>
      </c>
      <c r="AB22" s="10">
        <f>+INDEX('QoE PF Adj. P&amp;L Aug-26'!$D$11:$AI$108,MATCH($C22,'QoE PF Adj. P&amp;L Aug-26'!$C$11:$C$108,0),MATCH(AB$8,'QoE PF Adj. P&amp;L Aug-26'!$D$8:$AI$8,0))*1000</f>
        <v>23100</v>
      </c>
      <c r="AC22" s="10">
        <f>+INDEX('QoE PF Adj. P&amp;L Aug-26'!$D$11:$AI$108,MATCH($C22,'QoE PF Adj. P&amp;L Aug-26'!$C$11:$C$108,0),MATCH(AC$8,'QoE PF Adj. P&amp;L Aug-26'!$D$8:$AI$8,0))*1000</f>
        <v>22600</v>
      </c>
      <c r="AD22" s="10">
        <f>+INDEX('QoE PF Adj. P&amp;L Aug-26'!$D$11:$AI$108,MATCH($C22,'QoE PF Adj. P&amp;L Aug-26'!$C$11:$C$108,0),MATCH(AD$8,'QoE PF Adj. P&amp;L Aug-26'!$D$8:$AI$8,0))*1000</f>
        <v>23700</v>
      </c>
      <c r="AE22" s="10">
        <f>+INDEX('QoE PF Adj. P&amp;L Aug-26'!$D$11:$AI$108,MATCH($C22,'QoE PF Adj. P&amp;L Aug-26'!$C$11:$C$108,0),MATCH(AE$8,'QoE PF Adj. P&amp;L Aug-26'!$D$8:$AI$8,0))*1000</f>
        <v>23900</v>
      </c>
      <c r="AF22" s="10">
        <f>+INDEX('QoE PF Adj. P&amp;L Aug-26'!$D$11:$AI$108,MATCH($C22,'QoE PF Adj. P&amp;L Aug-26'!$C$11:$C$108,0),MATCH(AF$8,'QoE PF Adj. P&amp;L Aug-26'!$D$8:$AI$8,0))*1000</f>
        <v>24000</v>
      </c>
      <c r="AG22" s="10">
        <f>+INDEX('QoE PF Adj. P&amp;L Aug-26'!$D$11:$AI$108,MATCH($C22,'QoE PF Adj. P&amp;L Aug-26'!$C$11:$C$108,0),MATCH(AG$8,'QoE PF Adj. P&amp;L Aug-26'!$D$8:$AI$8,0))*1000</f>
        <v>24400</v>
      </c>
      <c r="AH22" s="10">
        <f>+INDEX('QoE PF Adj. P&amp;L Aug-26'!$D$11:$AI$108,MATCH($C22,'QoE PF Adj. P&amp;L Aug-26'!$C$11:$C$108,0),MATCH(AH$8,'QoE PF Adj. P&amp;L Aug-26'!$D$8:$AI$8,0))*1000</f>
        <v>25500</v>
      </c>
      <c r="AI22" s="10">
        <f>+INDEX('QoE PF Adj. P&amp;L Aug-26'!$D$11:$AI$108,MATCH($C22,'QoE PF Adj. P&amp;L Aug-26'!$C$11:$C$108,0),MATCH(AI$8,'QoE PF Adj. P&amp;L Aug-26'!$D$8:$AI$8,0))*1000</f>
        <v>24000</v>
      </c>
      <c r="AJ22" s="10">
        <f>+INDEX('QoE PF Adj. P&amp;L Aug-26'!$D$11:$AI$108,MATCH($C22,'QoE PF Adj. P&amp;L Aug-26'!$C$11:$C$108,0),MATCH(AJ$8,'QoE PF Adj. P&amp;L Aug-26'!$D$8:$AI$8,0))*1000</f>
        <v>24100</v>
      </c>
      <c r="AK22" s="10">
        <f>+INDEX('QoE PF Adj. P&amp;L Aug-26'!$D$11:$AI$108,MATCH($C22,'QoE PF Adj. P&amp;L Aug-26'!$C$11:$C$108,0),MATCH(AK$8,'QoE PF Adj. P&amp;L Aug-26'!$D$8:$AI$8,0))*1000</f>
        <v>23900</v>
      </c>
      <c r="AL22" s="10">
        <f>+INDEX('QoE PF Adj. P&amp;L Aug-26'!$D$11:$AI$108,MATCH($C22,'QoE PF Adj. P&amp;L Aug-26'!$C$11:$C$108,0),MATCH(AL$8,'QoE PF Adj. P&amp;L Aug-26'!$D$8:$AI$8,0))*1000</f>
        <v>25600</v>
      </c>
      <c r="AM22" s="10">
        <f>+INDEX('QoE PF Adj. P&amp;L Aug-26'!$D$11:$AI$108,MATCH($C22,'QoE PF Adj. P&amp;L Aug-26'!$C$11:$C$108,0),MATCH(AM$8,'QoE PF Adj. P&amp;L Aug-26'!$D$8:$AI$8,0))*1000</f>
        <v>24100</v>
      </c>
      <c r="AN22" s="10">
        <f>+INDEX('QoE PF Adj. P&amp;L Aug-26'!$D$11:$AI$108,MATCH($C22,'QoE PF Adj. P&amp;L Aug-26'!$C$11:$C$108,0),MATCH(AN$8,'QoE PF Adj. P&amp;L Aug-26'!$D$8:$AI$8,0))*1000</f>
        <v>24600</v>
      </c>
      <c r="AO22" s="10">
        <f>+INDEX('QoE PF Adj. P&amp;L Aug-26'!$D$11:$AI$108,MATCH($C22,'QoE PF Adj. P&amp;L Aug-26'!$C$11:$C$108,0),MATCH(AO$8,'QoE PF Adj. P&amp;L Aug-26'!$D$8:$AI$8,0))*1000</f>
        <v>24600</v>
      </c>
      <c r="AP22" s="10">
        <f>+'Separate Line Item Builds'!AP62+SUMIFS('Sep - Nov P&amp;L'!I:I,'Sep - Nov P&amp;L'!$D:$D,$C22)</f>
        <v>27311.9041306697</v>
      </c>
      <c r="AQ22" s="10">
        <f>+'Separate Line Item Builds'!AQ62+SUMIFS('Sep - Nov P&amp;L'!J:J,'Sep - Nov P&amp;L'!$D:$D,$C22)</f>
        <v>27642.9627744439</v>
      </c>
      <c r="AR22" s="10">
        <f>+'Separate Line Item Builds'!AR62+SUMIFS('Sep - Nov P&amp;L'!K:K,'Sep - Nov P&amp;L'!$D:$D,$C22)</f>
        <v>27290.3783885362</v>
      </c>
      <c r="AS22" s="20">
        <f>+AS$19*AS130</f>
        <v>26183.0132991262</v>
      </c>
      <c r="AT22" s="20">
        <f>+AT$19*AT130</f>
        <v>25987.9506413575</v>
      </c>
      <c r="AU22" s="20">
        <f>+AU$19*AU130</f>
        <v>27048.9571799254</v>
      </c>
      <c r="AV22" s="20">
        <f>+AV$19*AV130</f>
        <v>28758.3860110806</v>
      </c>
      <c r="AW22" s="20">
        <f>+AW$19*AW130</f>
        <v>28948.0335105824</v>
      </c>
      <c r="AX22" s="20">
        <f>+AX$19*AX130</f>
        <v>28981.3844465887</v>
      </c>
      <c r="AY22" s="20">
        <f>+AY$19*AY130</f>
        <v>29518.4608906332</v>
      </c>
      <c r="AZ22" s="20">
        <f>+AZ$19*AZ130</f>
        <v>29701.8425785374</v>
      </c>
      <c r="BA22" s="20">
        <f>+BA$19*BA130</f>
        <v>29885.2293507426</v>
      </c>
      <c r="BB22" s="20">
        <f>+BB$19*BB130</f>
        <v>30074.999557576</v>
      </c>
      <c r="BC22" s="20">
        <f>+BC$19*BC130</f>
        <v>30533.9455771473</v>
      </c>
      <c r="BD22" s="20">
        <f>+BD$19*BD130</f>
        <v>30589.3697871091</v>
      </c>
      <c r="BE22" s="20">
        <f>+BE$19*BE130</f>
        <v>31037.0622766206</v>
      </c>
      <c r="BF22" s="20">
        <f>+BF$19*BF130</f>
        <v>31810.5001622857</v>
      </c>
      <c r="BG22" s="20">
        <f>+BG$19*BG130</f>
        <v>32267.5647568536</v>
      </c>
      <c r="BH22" s="20">
        <f>+BH$19*BH130</f>
        <v>32574.6137633756</v>
      </c>
      <c r="BI22" s="20">
        <f>+BI$19*BI130</f>
        <v>32117.780065974</v>
      </c>
      <c r="BJ22" s="20">
        <f>+BJ$19*BJ130</f>
        <v>32272.0619611623</v>
      </c>
      <c r="BK22" s="20">
        <f>+BK$19*BK130</f>
        <v>32426.3491214311</v>
      </c>
      <c r="BL22" s="20">
        <f>+BL$19*BL130</f>
        <v>32122.3088058035</v>
      </c>
      <c r="BM22" s="20">
        <f>+BM$19*BM130</f>
        <v>32582.1617245177</v>
      </c>
      <c r="BN22" s="20">
        <f>+BN$19*BN130</f>
        <v>32278.1320314483</v>
      </c>
      <c r="BO22" s="20">
        <f>+BO$19*BO130</f>
        <v>32279.6628504949</v>
      </c>
      <c r="BP22" s="20">
        <f>+BP$19*BP130</f>
        <v>32281.1990274081</v>
      </c>
      <c r="BQ22" s="20">
        <f>+BQ$19*BQ130</f>
        <v>32282.7405809406</v>
      </c>
    </row>
    <row r="23">
      <c r="C23" s="3" t="inlineStr">
        <is>
          <t>Employee Benefits</t>
        </is>
      </c>
      <c r="D23" s="20">
        <f>+SUMIFS($J23:$BQ23,$J$7:$BQ$7,D$8)</f>
        <v>199300</v>
      </c>
      <c r="E23" s="20">
        <f>+SUMIFS($J23:$BQ23,$J$7:$BQ$7,E$8)</f>
        <v>210500</v>
      </c>
      <c r="F23" s="20">
        <f>+SUMIFS($J23:$BQ23,$J$7:$BQ$7,F$8)</f>
        <v>237778.865660487</v>
      </c>
      <c r="G23" s="20">
        <f>+SUMIFS($J23:$BQ23,$J$7:$BQ$7,G$8)</f>
        <v>272626.668212969</v>
      </c>
      <c r="H23" s="20">
        <f>+SUMIFS($J23:$BQ23,$J$7:$BQ$7,H$8)</f>
        <v>300761.337234798</v>
      </c>
      <c r="J23" s="10">
        <f>+INDEX('QoE PF Adj. P&amp;L Aug-26'!$D$11:$AI$108,MATCH($C23,'QoE PF Adj. P&amp;L Aug-26'!$C$11:$C$108,0),MATCH(J$8,'QoE PF Adj. P&amp;L Aug-26'!$D$8:$AI$8,0))*1000</f>
        <v>16900</v>
      </c>
      <c r="K23" s="10">
        <f>+INDEX('QoE PF Adj. P&amp;L Aug-26'!$D$11:$AI$108,MATCH($C23,'QoE PF Adj. P&amp;L Aug-26'!$C$11:$C$108,0),MATCH(K$8,'QoE PF Adj. P&amp;L Aug-26'!$D$8:$AI$8,0))*1000</f>
        <v>16600</v>
      </c>
      <c r="L23" s="10">
        <f>+INDEX('QoE PF Adj. P&amp;L Aug-26'!$D$11:$AI$108,MATCH($C23,'QoE PF Adj. P&amp;L Aug-26'!$C$11:$C$108,0),MATCH(L$8,'QoE PF Adj. P&amp;L Aug-26'!$D$8:$AI$8,0))*1000</f>
        <v>16400</v>
      </c>
      <c r="M23" s="10">
        <f>+INDEX('QoE PF Adj. P&amp;L Aug-26'!$D$11:$AI$108,MATCH($C23,'QoE PF Adj. P&amp;L Aug-26'!$C$11:$C$108,0),MATCH(M$8,'QoE PF Adj. P&amp;L Aug-26'!$D$8:$AI$8,0))*1000</f>
        <v>17100</v>
      </c>
      <c r="N23" s="10">
        <f>+INDEX('QoE PF Adj. P&amp;L Aug-26'!$D$11:$AI$108,MATCH($C23,'QoE PF Adj. P&amp;L Aug-26'!$C$11:$C$108,0),MATCH(N$8,'QoE PF Adj. P&amp;L Aug-26'!$D$8:$AI$8,0))*1000</f>
        <v>16200</v>
      </c>
      <c r="O23" s="10">
        <f>+INDEX('QoE PF Adj. P&amp;L Aug-26'!$D$11:$AI$108,MATCH($C23,'QoE PF Adj. P&amp;L Aug-26'!$C$11:$C$108,0),MATCH(O$8,'QoE PF Adj. P&amp;L Aug-26'!$D$8:$AI$8,0))*1000</f>
        <v>17000</v>
      </c>
      <c r="P23" s="10">
        <f>+INDEX('QoE PF Adj. P&amp;L Aug-26'!$D$11:$AI$108,MATCH($C23,'QoE PF Adj. P&amp;L Aug-26'!$C$11:$C$108,0),MATCH(P$8,'QoE PF Adj. P&amp;L Aug-26'!$D$8:$AI$8,0))*1000</f>
        <v>16500</v>
      </c>
      <c r="Q23" s="10">
        <f>+INDEX('QoE PF Adj. P&amp;L Aug-26'!$D$11:$AI$108,MATCH($C23,'QoE PF Adj. P&amp;L Aug-26'!$C$11:$C$108,0),MATCH(Q$8,'QoE PF Adj. P&amp;L Aug-26'!$D$8:$AI$8,0))*1000</f>
        <v>16700</v>
      </c>
      <c r="R23" s="10">
        <f>+INDEX('QoE PF Adj. P&amp;L Aug-26'!$D$11:$AI$108,MATCH($C23,'QoE PF Adj. P&amp;L Aug-26'!$C$11:$C$108,0),MATCH(R$8,'QoE PF Adj. P&amp;L Aug-26'!$D$8:$AI$8,0))*1000</f>
        <v>16500</v>
      </c>
      <c r="S23" s="10">
        <f>+INDEX('QoE PF Adj. P&amp;L Aug-26'!$D$11:$AI$108,MATCH($C23,'QoE PF Adj. P&amp;L Aug-26'!$C$11:$C$108,0),MATCH(S$8,'QoE PF Adj. P&amp;L Aug-26'!$D$8:$AI$8,0))*1000</f>
        <v>16300</v>
      </c>
      <c r="T23" s="10">
        <f>+INDEX('QoE PF Adj. P&amp;L Aug-26'!$D$11:$AI$108,MATCH($C23,'QoE PF Adj. P&amp;L Aug-26'!$C$11:$C$108,0),MATCH(T$8,'QoE PF Adj. P&amp;L Aug-26'!$D$8:$AI$8,0))*1000</f>
        <v>16600</v>
      </c>
      <c r="U23" s="10">
        <f>+INDEX('QoE PF Adj. P&amp;L Aug-26'!$D$11:$AI$108,MATCH($C23,'QoE PF Adj. P&amp;L Aug-26'!$C$11:$C$108,0),MATCH(U$8,'QoE PF Adj. P&amp;L Aug-26'!$D$8:$AI$8,0))*1000</f>
        <v>16500</v>
      </c>
      <c r="V23" s="10">
        <f>+INDEX('QoE PF Adj. P&amp;L Aug-26'!$D$11:$AI$108,MATCH($C23,'QoE PF Adj. P&amp;L Aug-26'!$C$11:$C$108,0),MATCH(V$8,'QoE PF Adj. P&amp;L Aug-26'!$D$8:$AI$8,0))*1000</f>
        <v>16900</v>
      </c>
      <c r="W23" s="10">
        <f>+INDEX('QoE PF Adj. P&amp;L Aug-26'!$D$11:$AI$108,MATCH($C23,'QoE PF Adj. P&amp;L Aug-26'!$C$11:$C$108,0),MATCH(W$8,'QoE PF Adj. P&amp;L Aug-26'!$D$8:$AI$8,0))*1000</f>
        <v>16800</v>
      </c>
      <c r="X23" s="10">
        <f>+INDEX('QoE PF Adj. P&amp;L Aug-26'!$D$11:$AI$108,MATCH($C23,'QoE PF Adj. P&amp;L Aug-26'!$C$11:$C$108,0),MATCH(X$8,'QoE PF Adj. P&amp;L Aug-26'!$D$8:$AI$8,0))*1000</f>
        <v>17200</v>
      </c>
      <c r="Y23" s="10">
        <f>+INDEX('QoE PF Adj. P&amp;L Aug-26'!$D$11:$AI$108,MATCH($C23,'QoE PF Adj. P&amp;L Aug-26'!$C$11:$C$108,0),MATCH(Y$8,'QoE PF Adj. P&amp;L Aug-26'!$D$8:$AI$8,0))*1000</f>
        <v>17200</v>
      </c>
      <c r="Z23" s="10">
        <f>+INDEX('QoE PF Adj. P&amp;L Aug-26'!$D$11:$AI$108,MATCH($C23,'QoE PF Adj. P&amp;L Aug-26'!$C$11:$C$108,0),MATCH(Z$8,'QoE PF Adj. P&amp;L Aug-26'!$D$8:$AI$8,0))*1000</f>
        <v>18100</v>
      </c>
      <c r="AA23" s="10">
        <f>+INDEX('QoE PF Adj. P&amp;L Aug-26'!$D$11:$AI$108,MATCH($C23,'QoE PF Adj. P&amp;L Aug-26'!$C$11:$C$108,0),MATCH(AA$8,'QoE PF Adj. P&amp;L Aug-26'!$D$8:$AI$8,0))*1000</f>
        <v>17700</v>
      </c>
      <c r="AB23" s="10">
        <f>+INDEX('QoE PF Adj. P&amp;L Aug-26'!$D$11:$AI$108,MATCH($C23,'QoE PF Adj. P&amp;L Aug-26'!$C$11:$C$108,0),MATCH(AB$8,'QoE PF Adj. P&amp;L Aug-26'!$D$8:$AI$8,0))*1000</f>
        <v>17700</v>
      </c>
      <c r="AC23" s="10">
        <f>+INDEX('QoE PF Adj. P&amp;L Aug-26'!$D$11:$AI$108,MATCH($C23,'QoE PF Adj. P&amp;L Aug-26'!$C$11:$C$108,0),MATCH(AC$8,'QoE PF Adj. P&amp;L Aug-26'!$D$8:$AI$8,0))*1000</f>
        <v>17600</v>
      </c>
      <c r="AD23" s="10">
        <f>+INDEX('QoE PF Adj. P&amp;L Aug-26'!$D$11:$AI$108,MATCH($C23,'QoE PF Adj. P&amp;L Aug-26'!$C$11:$C$108,0),MATCH(AD$8,'QoE PF Adj. P&amp;L Aug-26'!$D$8:$AI$8,0))*1000</f>
        <v>17300</v>
      </c>
      <c r="AE23" s="10">
        <f>+INDEX('QoE PF Adj. P&amp;L Aug-26'!$D$11:$AI$108,MATCH($C23,'QoE PF Adj. P&amp;L Aug-26'!$C$11:$C$108,0),MATCH(AE$8,'QoE PF Adj. P&amp;L Aug-26'!$D$8:$AI$8,0))*1000</f>
        <v>17700</v>
      </c>
      <c r="AF23" s="10">
        <f>+INDEX('QoE PF Adj. P&amp;L Aug-26'!$D$11:$AI$108,MATCH($C23,'QoE PF Adj. P&amp;L Aug-26'!$C$11:$C$108,0),MATCH(AF$8,'QoE PF Adj. P&amp;L Aug-26'!$D$8:$AI$8,0))*1000</f>
        <v>18300</v>
      </c>
      <c r="AG23" s="10">
        <f>+INDEX('QoE PF Adj. P&amp;L Aug-26'!$D$11:$AI$108,MATCH($C23,'QoE PF Adj. P&amp;L Aug-26'!$C$11:$C$108,0),MATCH(AG$8,'QoE PF Adj. P&amp;L Aug-26'!$D$8:$AI$8,0))*1000</f>
        <v>18000</v>
      </c>
      <c r="AH23" s="10">
        <f>+INDEX('QoE PF Adj. P&amp;L Aug-26'!$D$11:$AI$108,MATCH($C23,'QoE PF Adj. P&amp;L Aug-26'!$C$11:$C$108,0),MATCH(AH$8,'QoE PF Adj. P&amp;L Aug-26'!$D$8:$AI$8,0))*1000</f>
        <v>18200</v>
      </c>
      <c r="AI23" s="10">
        <f>+INDEX('QoE PF Adj. P&amp;L Aug-26'!$D$11:$AI$108,MATCH($C23,'QoE PF Adj. P&amp;L Aug-26'!$C$11:$C$108,0),MATCH(AI$8,'QoE PF Adj. P&amp;L Aug-26'!$D$8:$AI$8,0))*1000</f>
        <v>18000</v>
      </c>
      <c r="AJ23" s="10">
        <f>+INDEX('QoE PF Adj. P&amp;L Aug-26'!$D$11:$AI$108,MATCH($C23,'QoE PF Adj. P&amp;L Aug-26'!$C$11:$C$108,0),MATCH(AJ$8,'QoE PF Adj. P&amp;L Aug-26'!$D$8:$AI$8,0))*1000</f>
        <v>18500</v>
      </c>
      <c r="AK23" s="10">
        <f>+INDEX('QoE PF Adj. P&amp;L Aug-26'!$D$11:$AI$108,MATCH($C23,'QoE PF Adj. P&amp;L Aug-26'!$C$11:$C$108,0),MATCH(AK$8,'QoE PF Adj. P&amp;L Aug-26'!$D$8:$AI$8,0))*1000</f>
        <v>18700</v>
      </c>
      <c r="AL23" s="10">
        <f>+INDEX('QoE PF Adj. P&amp;L Aug-26'!$D$11:$AI$108,MATCH($C23,'QoE PF Adj. P&amp;L Aug-26'!$C$11:$C$108,0),MATCH(AL$8,'QoE PF Adj. P&amp;L Aug-26'!$D$8:$AI$8,0))*1000</f>
        <v>18800</v>
      </c>
      <c r="AM23" s="10">
        <f>+INDEX('QoE PF Adj. P&amp;L Aug-26'!$D$11:$AI$108,MATCH($C23,'QoE PF Adj. P&amp;L Aug-26'!$C$11:$C$108,0),MATCH(AM$8,'QoE PF Adj. P&amp;L Aug-26'!$D$8:$AI$8,0))*1000</f>
        <v>18500</v>
      </c>
      <c r="AN23" s="10">
        <f>+INDEX('QoE PF Adj. P&amp;L Aug-26'!$D$11:$AI$108,MATCH($C23,'QoE PF Adj. P&amp;L Aug-26'!$C$11:$C$108,0),MATCH(AN$8,'QoE PF Adj. P&amp;L Aug-26'!$D$8:$AI$8,0))*1000</f>
        <v>18300</v>
      </c>
      <c r="AO23" s="10">
        <f>+INDEX('QoE PF Adj. P&amp;L Aug-26'!$D$11:$AI$108,MATCH($C23,'QoE PF Adj. P&amp;L Aug-26'!$C$11:$C$108,0),MATCH(AO$8,'QoE PF Adj. P&amp;L Aug-26'!$D$8:$AI$8,0))*1000</f>
        <v>18800</v>
      </c>
      <c r="AP23" s="10">
        <f>+SUMIFS('Sep - Nov P&amp;L'!I:I,'Sep - Nov P&amp;L'!$D:$D,$C23)</f>
        <v>23121.22</v>
      </c>
      <c r="AQ23" s="10">
        <f>+SUMIFS('Sep - Nov P&amp;L'!J:J,'Sep - Nov P&amp;L'!$D:$D,$C23)</f>
        <v>23283.72</v>
      </c>
      <c r="AR23" s="10">
        <f>+SUMIFS('Sep - Nov P&amp;L'!K:K,'Sep - Nov P&amp;L'!$D:$D,$C23)</f>
        <v>23241.01</v>
      </c>
      <c r="AS23" s="20">
        <f>+AS$19*AS131</f>
        <v>20332.9156604874</v>
      </c>
      <c r="AT23" s="20">
        <f>+AT$19*AT131</f>
        <v>20181.4360533235</v>
      </c>
      <c r="AU23" s="20">
        <f>+AU$19*AU131</f>
        <v>21005.3808077894</v>
      </c>
      <c r="AV23" s="20">
        <f>+AV$19*AV131</f>
        <v>22332.8701939192</v>
      </c>
      <c r="AW23" s="20">
        <f>+AW$19*AW131</f>
        <v>22480.1445572073</v>
      </c>
      <c r="AX23" s="20">
        <f>+AX$19*AX131</f>
        <v>22506.0438592191</v>
      </c>
      <c r="AY23" s="20">
        <f>+AY$19*AY131</f>
        <v>22923.1207600033</v>
      </c>
      <c r="AZ23" s="20">
        <f>+AZ$19*AZ131</f>
        <v>23065.5292884349</v>
      </c>
      <c r="BA23" s="20">
        <f>+BA$19*BA131</f>
        <v>23207.9417651769</v>
      </c>
      <c r="BB23" s="20">
        <f>+BB$19*BB131</f>
        <v>23355.311419171</v>
      </c>
      <c r="BC23" s="20">
        <f>+BC$19*BC131</f>
        <v>23711.7146567224</v>
      </c>
      <c r="BD23" s="20">
        <f>+BD$19*BD131</f>
        <v>23754.7553783471</v>
      </c>
      <c r="BE23" s="20">
        <f>+BE$19*BE131</f>
        <v>24102.4194736549</v>
      </c>
      <c r="BF23" s="20">
        <f>+BF$19*BF131</f>
        <v>24703.0473356275</v>
      </c>
      <c r="BG23" s="20">
        <f>+BG$19*BG131</f>
        <v>25057.9895169025</v>
      </c>
      <c r="BH23" s="20">
        <f>+BH$19*BH131</f>
        <v>25296.4342475346</v>
      </c>
      <c r="BI23" s="20">
        <f>+BI$19*BI131</f>
        <v>24941.6713738341</v>
      </c>
      <c r="BJ23" s="20">
        <f>+BJ$19*BJ131</f>
        <v>25061.4819062188</v>
      </c>
      <c r="BK23" s="20">
        <f>+BK$19*BK131</f>
        <v>25181.2965273017</v>
      </c>
      <c r="BL23" s="20">
        <f>+BL$19*BL131</f>
        <v>24945.1882526575</v>
      </c>
      <c r="BM23" s="20">
        <f>+BM$19*BM131</f>
        <v>25302.2957599418</v>
      </c>
      <c r="BN23" s="20">
        <f>+BN$19*BN131</f>
        <v>25066.1957344466</v>
      </c>
      <c r="BO23" s="20">
        <f>+BO$19*BO131</f>
        <v>25067.3845210164</v>
      </c>
      <c r="BP23" s="20">
        <f>+BP$19*BP131</f>
        <v>25068.5774683391</v>
      </c>
      <c r="BQ23" s="20">
        <f>+BQ$19*BQ131</f>
        <v>25069.7745909775</v>
      </c>
    </row>
    <row r="24">
      <c r="C24" s="3" t="inlineStr">
        <is>
          <t>Pension Plans</t>
        </is>
      </c>
      <c r="D24" s="20">
        <f>+SUMIFS($J24:$BQ24,$J$7:$BQ$7,D$8)</f>
        <v>33600</v>
      </c>
      <c r="E24" s="20">
        <f>+SUMIFS($J24:$BQ24,$J$7:$BQ$7,E$8)</f>
        <v>34800</v>
      </c>
      <c r="F24" s="20">
        <f>+SUMIFS($J24:$BQ24,$J$7:$BQ$7,F$8)</f>
        <v>26891.1967973499</v>
      </c>
      <c r="G24" s="20">
        <f>+SUMIFS($J24:$BQ24,$J$7:$BQ$7,G$8)</f>
        <v>32061.5118258642</v>
      </c>
      <c r="H24" s="20">
        <f>+SUMIFS($J24:$BQ24,$J$7:$BQ$7,H$8)</f>
        <v>35370.2124363837</v>
      </c>
      <c r="J24" s="10">
        <f>+INDEX('QoE PF Adj. P&amp;L Aug-26'!$D$11:$AI$108,MATCH($C24,'QoE PF Adj. P&amp;L Aug-26'!$C$11:$C$108,0),MATCH(J$8,'QoE PF Adj. P&amp;L Aug-26'!$D$8:$AI$8,0))*1000</f>
        <v>2800</v>
      </c>
      <c r="K24" s="10">
        <f>+INDEX('QoE PF Adj. P&amp;L Aug-26'!$D$11:$AI$108,MATCH($C24,'QoE PF Adj. P&amp;L Aug-26'!$C$11:$C$108,0),MATCH(K$8,'QoE PF Adj. P&amp;L Aug-26'!$D$8:$AI$8,0))*1000</f>
        <v>2800</v>
      </c>
      <c r="L24" s="10">
        <f>+INDEX('QoE PF Adj. P&amp;L Aug-26'!$D$11:$AI$108,MATCH($C24,'QoE PF Adj. P&amp;L Aug-26'!$C$11:$C$108,0),MATCH(L$8,'QoE PF Adj. P&amp;L Aug-26'!$D$8:$AI$8,0))*1000</f>
        <v>2800</v>
      </c>
      <c r="M24" s="10">
        <f>+INDEX('QoE PF Adj. P&amp;L Aug-26'!$D$11:$AI$108,MATCH($C24,'QoE PF Adj. P&amp;L Aug-26'!$C$11:$C$108,0),MATCH(M$8,'QoE PF Adj. P&amp;L Aug-26'!$D$8:$AI$8,0))*1000</f>
        <v>2900</v>
      </c>
      <c r="N24" s="10">
        <f>+INDEX('QoE PF Adj. P&amp;L Aug-26'!$D$11:$AI$108,MATCH($C24,'QoE PF Adj. P&amp;L Aug-26'!$C$11:$C$108,0),MATCH(N$8,'QoE PF Adj. P&amp;L Aug-26'!$D$8:$AI$8,0))*1000</f>
        <v>2700</v>
      </c>
      <c r="O24" s="10">
        <f>+INDEX('QoE PF Adj. P&amp;L Aug-26'!$D$11:$AI$108,MATCH($C24,'QoE PF Adj. P&amp;L Aug-26'!$C$11:$C$108,0),MATCH(O$8,'QoE PF Adj. P&amp;L Aug-26'!$D$8:$AI$8,0))*1000</f>
        <v>2800</v>
      </c>
      <c r="P24" s="10">
        <f>+INDEX('QoE PF Adj. P&amp;L Aug-26'!$D$11:$AI$108,MATCH($C24,'QoE PF Adj. P&amp;L Aug-26'!$C$11:$C$108,0),MATCH(P$8,'QoE PF Adj. P&amp;L Aug-26'!$D$8:$AI$8,0))*1000</f>
        <v>2800</v>
      </c>
      <c r="Q24" s="10">
        <f>+INDEX('QoE PF Adj. P&amp;L Aug-26'!$D$11:$AI$108,MATCH($C24,'QoE PF Adj. P&amp;L Aug-26'!$C$11:$C$108,0),MATCH(Q$8,'QoE PF Adj. P&amp;L Aug-26'!$D$8:$AI$8,0))*1000</f>
        <v>2800</v>
      </c>
      <c r="R24" s="10">
        <f>+INDEX('QoE PF Adj. P&amp;L Aug-26'!$D$11:$AI$108,MATCH($C24,'QoE PF Adj. P&amp;L Aug-26'!$C$11:$C$108,0),MATCH(R$8,'QoE PF Adj. P&amp;L Aug-26'!$D$8:$AI$8,0))*1000</f>
        <v>2800</v>
      </c>
      <c r="S24" s="10">
        <f>+INDEX('QoE PF Adj. P&amp;L Aug-26'!$D$11:$AI$108,MATCH($C24,'QoE PF Adj. P&amp;L Aug-26'!$C$11:$C$108,0),MATCH(S$8,'QoE PF Adj. P&amp;L Aug-26'!$D$8:$AI$8,0))*1000</f>
        <v>2800</v>
      </c>
      <c r="T24" s="10">
        <f>+INDEX('QoE PF Adj. P&amp;L Aug-26'!$D$11:$AI$108,MATCH($C24,'QoE PF Adj. P&amp;L Aug-26'!$C$11:$C$108,0),MATCH(T$8,'QoE PF Adj. P&amp;L Aug-26'!$D$8:$AI$8,0))*1000</f>
        <v>2800</v>
      </c>
      <c r="U24" s="10">
        <f>+INDEX('QoE PF Adj. P&amp;L Aug-26'!$D$11:$AI$108,MATCH($C24,'QoE PF Adj. P&amp;L Aug-26'!$C$11:$C$108,0),MATCH(U$8,'QoE PF Adj. P&amp;L Aug-26'!$D$8:$AI$8,0))*1000</f>
        <v>2800</v>
      </c>
      <c r="V24" s="10">
        <f>+INDEX('QoE PF Adj. P&amp;L Aug-26'!$D$11:$AI$108,MATCH($C24,'QoE PF Adj. P&amp;L Aug-26'!$C$11:$C$108,0),MATCH(V$8,'QoE PF Adj. P&amp;L Aug-26'!$D$8:$AI$8,0))*1000</f>
        <v>2900</v>
      </c>
      <c r="W24" s="10">
        <f>+INDEX('QoE PF Adj. P&amp;L Aug-26'!$D$11:$AI$108,MATCH($C24,'QoE PF Adj. P&amp;L Aug-26'!$C$11:$C$108,0),MATCH(W$8,'QoE PF Adj. P&amp;L Aug-26'!$D$8:$AI$8,0))*1000</f>
        <v>2800</v>
      </c>
      <c r="X24" s="10">
        <f>+INDEX('QoE PF Adj. P&amp;L Aug-26'!$D$11:$AI$108,MATCH($C24,'QoE PF Adj. P&amp;L Aug-26'!$C$11:$C$108,0),MATCH(X$8,'QoE PF Adj. P&amp;L Aug-26'!$D$8:$AI$8,0))*1000</f>
        <v>2800</v>
      </c>
      <c r="Y24" s="10">
        <f>+INDEX('QoE PF Adj. P&amp;L Aug-26'!$D$11:$AI$108,MATCH($C24,'QoE PF Adj. P&amp;L Aug-26'!$C$11:$C$108,0),MATCH(Y$8,'QoE PF Adj. P&amp;L Aug-26'!$D$8:$AI$8,0))*1000</f>
        <v>2800</v>
      </c>
      <c r="Z24" s="10">
        <f>+INDEX('QoE PF Adj. P&amp;L Aug-26'!$D$11:$AI$108,MATCH($C24,'QoE PF Adj. P&amp;L Aug-26'!$C$11:$C$108,0),MATCH(Z$8,'QoE PF Adj. P&amp;L Aug-26'!$D$8:$AI$8,0))*1000</f>
        <v>3000</v>
      </c>
      <c r="AA24" s="10">
        <f>+INDEX('QoE PF Adj. P&amp;L Aug-26'!$D$11:$AI$108,MATCH($C24,'QoE PF Adj. P&amp;L Aug-26'!$C$11:$C$108,0),MATCH(AA$8,'QoE PF Adj. P&amp;L Aug-26'!$D$8:$AI$8,0))*1000</f>
        <v>2900</v>
      </c>
      <c r="AB24" s="10">
        <f>+INDEX('QoE PF Adj. P&amp;L Aug-26'!$D$11:$AI$108,MATCH($C24,'QoE PF Adj. P&amp;L Aug-26'!$C$11:$C$108,0),MATCH(AB$8,'QoE PF Adj. P&amp;L Aug-26'!$D$8:$AI$8,0))*1000</f>
        <v>2900</v>
      </c>
      <c r="AC24" s="10">
        <f>+INDEX('QoE PF Adj. P&amp;L Aug-26'!$D$11:$AI$108,MATCH($C24,'QoE PF Adj. P&amp;L Aug-26'!$C$11:$C$108,0),MATCH(AC$8,'QoE PF Adj. P&amp;L Aug-26'!$D$8:$AI$8,0))*1000</f>
        <v>2800</v>
      </c>
      <c r="AD24" s="10">
        <f>+INDEX('QoE PF Adj. P&amp;L Aug-26'!$D$11:$AI$108,MATCH($C24,'QoE PF Adj. P&amp;L Aug-26'!$C$11:$C$108,0),MATCH(AD$8,'QoE PF Adj. P&amp;L Aug-26'!$D$8:$AI$8,0))*1000</f>
        <v>3000</v>
      </c>
      <c r="AE24" s="10">
        <f>+INDEX('QoE PF Adj. P&amp;L Aug-26'!$D$11:$AI$108,MATCH($C24,'QoE PF Adj. P&amp;L Aug-26'!$C$11:$C$108,0),MATCH(AE$8,'QoE PF Adj. P&amp;L Aug-26'!$D$8:$AI$8,0))*1000</f>
        <v>2900</v>
      </c>
      <c r="AF24" s="10">
        <f>+INDEX('QoE PF Adj. P&amp;L Aug-26'!$D$11:$AI$108,MATCH($C24,'QoE PF Adj. P&amp;L Aug-26'!$C$11:$C$108,0),MATCH(AF$8,'QoE PF Adj. P&amp;L Aug-26'!$D$8:$AI$8,0))*1000</f>
        <v>3000</v>
      </c>
      <c r="AG24" s="10">
        <f>+INDEX('QoE PF Adj. P&amp;L Aug-26'!$D$11:$AI$108,MATCH($C24,'QoE PF Adj. P&amp;L Aug-26'!$C$11:$C$108,0),MATCH(AG$8,'QoE PF Adj. P&amp;L Aug-26'!$D$8:$AI$8,0))*1000</f>
        <v>3000</v>
      </c>
      <c r="AH24" s="10">
        <f>+INDEX('QoE PF Adj. P&amp;L Aug-26'!$D$11:$AI$108,MATCH($C24,'QoE PF Adj. P&amp;L Aug-26'!$C$11:$C$108,0),MATCH(AH$8,'QoE PF Adj. P&amp;L Aug-26'!$D$8:$AI$8,0))*1000</f>
        <v>3000</v>
      </c>
      <c r="AI24" s="10">
        <f>+INDEX('QoE PF Adj. P&amp;L Aug-26'!$D$11:$AI$108,MATCH($C24,'QoE PF Adj. P&amp;L Aug-26'!$C$11:$C$108,0),MATCH(AI$8,'QoE PF Adj. P&amp;L Aug-26'!$D$8:$AI$8,0))*1000</f>
        <v>3000</v>
      </c>
      <c r="AJ24" s="10">
        <f>+INDEX('QoE PF Adj. P&amp;L Aug-26'!$D$11:$AI$108,MATCH($C24,'QoE PF Adj. P&amp;L Aug-26'!$C$11:$C$108,0),MATCH(AJ$8,'QoE PF Adj. P&amp;L Aug-26'!$D$8:$AI$8,0))*1000</f>
        <v>3100</v>
      </c>
      <c r="AK24" s="10">
        <f>+INDEX('QoE PF Adj. P&amp;L Aug-26'!$D$11:$AI$108,MATCH($C24,'QoE PF Adj. P&amp;L Aug-26'!$C$11:$C$108,0),MATCH(AK$8,'QoE PF Adj. P&amp;L Aug-26'!$D$8:$AI$8,0))*1000</f>
        <v>3100</v>
      </c>
      <c r="AL24" s="10">
        <f>+INDEX('QoE PF Adj. P&amp;L Aug-26'!$D$11:$AI$108,MATCH($C24,'QoE PF Adj. P&amp;L Aug-26'!$C$11:$C$108,0),MATCH(AL$8,'QoE PF Adj. P&amp;L Aug-26'!$D$8:$AI$8,0))*1000</f>
        <v>3100</v>
      </c>
      <c r="AM24" s="10">
        <f>+INDEX('QoE PF Adj. P&amp;L Aug-26'!$D$11:$AI$108,MATCH($C24,'QoE PF Adj. P&amp;L Aug-26'!$C$11:$C$108,0),MATCH(AM$8,'QoE PF Adj. P&amp;L Aug-26'!$D$8:$AI$8,0))*1000</f>
        <v>3000</v>
      </c>
      <c r="AN24" s="10">
        <f>+INDEX('QoE PF Adj. P&amp;L Aug-26'!$D$11:$AI$108,MATCH($C24,'QoE PF Adj. P&amp;L Aug-26'!$C$11:$C$108,0),MATCH(AN$8,'QoE PF Adj. P&amp;L Aug-26'!$D$8:$AI$8,0))*1000</f>
        <v>3100</v>
      </c>
      <c r="AO24" s="10">
        <f>+INDEX('QoE PF Adj. P&amp;L Aug-26'!$D$11:$AI$108,MATCH($C24,'QoE PF Adj. P&amp;L Aug-26'!$C$11:$C$108,0),MATCH(AO$8,'QoE PF Adj. P&amp;L Aug-26'!$D$8:$AI$8,0))*1000</f>
        <v>3100</v>
      </c>
      <c r="AP24" s="10">
        <f>+SUMIFS('Sep - Nov P&amp;L'!I:I,'Sep - Nov P&amp;L'!$D:$D,$C24)</f>
        <v>0</v>
      </c>
      <c r="AQ24" s="10">
        <f>+SUMIFS('Sep - Nov P&amp;L'!J:J,'Sep - Nov P&amp;L'!$D:$D,$C24)</f>
        <v>0</v>
      </c>
      <c r="AR24" s="10">
        <f>+SUMIFS('Sep - Nov P&amp;L'!K:K,'Sep - Nov P&amp;L'!$D:$D,$C24)</f>
        <v>0</v>
      </c>
      <c r="AS24" s="20">
        <f>+AS$19*AS132</f>
        <v>2391.19679734987</v>
      </c>
      <c r="AT24" s="20">
        <f>+AT$19*AT132</f>
        <v>2373.38245347699</v>
      </c>
      <c r="AU24" s="20">
        <f>+AU$19*AU132</f>
        <v>2470.28021722962</v>
      </c>
      <c r="AV24" s="20">
        <f>+AV$19*AV132</f>
        <v>2626.3959667676</v>
      </c>
      <c r="AW24" s="20">
        <f>+AW$19*AW132</f>
        <v>2643.71576446442</v>
      </c>
      <c r="AX24" s="20">
        <f>+AX$19*AX132</f>
        <v>2646.76158086667</v>
      </c>
      <c r="AY24" s="20">
        <f>+AY$19*AY132</f>
        <v>2695.81076623962</v>
      </c>
      <c r="AZ24" s="20">
        <f>+AZ$19*AZ132</f>
        <v>2712.55833076933</v>
      </c>
      <c r="BA24" s="20">
        <f>+BA$19*BA132</f>
        <v>2729.30635962924</v>
      </c>
      <c r="BB24" s="20">
        <f>+BB$19*BB132</f>
        <v>2746.63736372828</v>
      </c>
      <c r="BC24" s="20">
        <f>+BC$19*BC132</f>
        <v>2788.55118929212</v>
      </c>
      <c r="BD24" s="20">
        <f>+BD$19*BD132</f>
        <v>2793.6128753495</v>
      </c>
      <c r="BE24" s="20">
        <f>+BE$19*BE132</f>
        <v>2834.49895805081</v>
      </c>
      <c r="BF24" s="20">
        <f>+BF$19*BF132</f>
        <v>2905.13415095327</v>
      </c>
      <c r="BG24" s="20">
        <f>+BG$19*BG132</f>
        <v>2946.87615299967</v>
      </c>
      <c r="BH24" s="20">
        <f>+BH$19*BH132</f>
        <v>2974.91779177656</v>
      </c>
      <c r="BI24" s="20">
        <f>+BI$19*BI132</f>
        <v>2933.19687670585</v>
      </c>
      <c r="BJ24" s="20">
        <f>+BJ$19*BJ132</f>
        <v>2947.28686586976</v>
      </c>
      <c r="BK24" s="20">
        <f>+BK$19*BK132</f>
        <v>2961.37733587381</v>
      </c>
      <c r="BL24" s="20">
        <f>+BL$19*BL132</f>
        <v>2933.61046959727</v>
      </c>
      <c r="BM24" s="20">
        <f>+BM$19*BM132</f>
        <v>2975.60711887208</v>
      </c>
      <c r="BN24" s="20">
        <f>+BN$19*BN132</f>
        <v>2947.84122271409</v>
      </c>
      <c r="BO24" s="20">
        <f>+BO$19*BO132</f>
        <v>2947.98102669921</v>
      </c>
      <c r="BP24" s="20">
        <f>+BP$19*BP132</f>
        <v>2948.12131999827</v>
      </c>
      <c r="BQ24" s="20">
        <f>+BQ$19*BQ132</f>
        <v>2948.26210432388</v>
      </c>
    </row>
    <row r="25">
      <c r="C25" s="3" t="inlineStr">
        <is>
          <t>Other Personnel Expenses</t>
        </is>
      </c>
      <c r="D25" s="20">
        <f>+SUMIFS($J25:$BQ25,$J$7:$BQ$7,D$8)</f>
        <v>9800</v>
      </c>
      <c r="E25" s="20">
        <f>+SUMIFS($J25:$BQ25,$J$7:$BQ$7,E$8)</f>
        <v>10700</v>
      </c>
      <c r="F25" s="20">
        <f>+SUMIFS($J25:$BQ25,$J$7:$BQ$7,F$8)</f>
        <v>7904.4148958895</v>
      </c>
      <c r="G25" s="20">
        <f>+SUMIFS($J25:$BQ25,$J$7:$BQ$7,G$8)</f>
        <v>9444.89660571076</v>
      </c>
      <c r="H25" s="20">
        <f>+SUMIFS($J25:$BQ25,$J$7:$BQ$7,H$8)</f>
        <v>10419.5959690888</v>
      </c>
      <c r="J25" s="10">
        <f>+INDEX('QoE PF Adj. P&amp;L Aug-26'!$D$11:$AI$108,MATCH($C25,'QoE PF Adj. P&amp;L Aug-26'!$C$11:$C$108,0),MATCH(J$8,'QoE PF Adj. P&amp;L Aug-26'!$D$8:$AI$8,0))*1000</f>
        <v>900</v>
      </c>
      <c r="K25" s="10">
        <f>+INDEX('QoE PF Adj. P&amp;L Aug-26'!$D$11:$AI$108,MATCH($C25,'QoE PF Adj. P&amp;L Aug-26'!$C$11:$C$108,0),MATCH(K$8,'QoE PF Adj. P&amp;L Aug-26'!$D$8:$AI$8,0))*1000</f>
        <v>800</v>
      </c>
      <c r="L25" s="10">
        <f>+INDEX('QoE PF Adj. P&amp;L Aug-26'!$D$11:$AI$108,MATCH($C25,'QoE PF Adj. P&amp;L Aug-26'!$C$11:$C$108,0),MATCH(L$8,'QoE PF Adj. P&amp;L Aug-26'!$D$8:$AI$8,0))*1000</f>
        <v>800</v>
      </c>
      <c r="M25" s="10">
        <f>+INDEX('QoE PF Adj. P&amp;L Aug-26'!$D$11:$AI$108,MATCH($C25,'QoE PF Adj. P&amp;L Aug-26'!$C$11:$C$108,0),MATCH(M$8,'QoE PF Adj. P&amp;L Aug-26'!$D$8:$AI$8,0))*1000</f>
        <v>900</v>
      </c>
      <c r="N25" s="10">
        <f>+INDEX('QoE PF Adj. P&amp;L Aug-26'!$D$11:$AI$108,MATCH($C25,'QoE PF Adj. P&amp;L Aug-26'!$C$11:$C$108,0),MATCH(N$8,'QoE PF Adj. P&amp;L Aug-26'!$D$8:$AI$8,0))*1000</f>
        <v>800</v>
      </c>
      <c r="O25" s="10">
        <f>+INDEX('QoE PF Adj. P&amp;L Aug-26'!$D$11:$AI$108,MATCH($C25,'QoE PF Adj. P&amp;L Aug-26'!$C$11:$C$108,0),MATCH(O$8,'QoE PF Adj. P&amp;L Aug-26'!$D$8:$AI$8,0))*1000</f>
        <v>800</v>
      </c>
      <c r="P25" s="10">
        <f>+INDEX('QoE PF Adj. P&amp;L Aug-26'!$D$11:$AI$108,MATCH($C25,'QoE PF Adj. P&amp;L Aug-26'!$C$11:$C$108,0),MATCH(P$8,'QoE PF Adj. P&amp;L Aug-26'!$D$8:$AI$8,0))*1000</f>
        <v>800</v>
      </c>
      <c r="Q25" s="10">
        <f>+INDEX('QoE PF Adj. P&amp;L Aug-26'!$D$11:$AI$108,MATCH($C25,'QoE PF Adj. P&amp;L Aug-26'!$C$11:$C$108,0),MATCH(Q$8,'QoE PF Adj. P&amp;L Aug-26'!$D$8:$AI$8,0))*1000</f>
        <v>800</v>
      </c>
      <c r="R25" s="10">
        <f>+INDEX('QoE PF Adj. P&amp;L Aug-26'!$D$11:$AI$108,MATCH($C25,'QoE PF Adj. P&amp;L Aug-26'!$C$11:$C$108,0),MATCH(R$8,'QoE PF Adj. P&amp;L Aug-26'!$D$8:$AI$8,0))*1000</f>
        <v>800</v>
      </c>
      <c r="S25" s="10">
        <f>+INDEX('QoE PF Adj. P&amp;L Aug-26'!$D$11:$AI$108,MATCH($C25,'QoE PF Adj. P&amp;L Aug-26'!$C$11:$C$108,0),MATCH(S$8,'QoE PF Adj. P&amp;L Aug-26'!$D$8:$AI$8,0))*1000</f>
        <v>800</v>
      </c>
      <c r="T25" s="10">
        <f>+INDEX('QoE PF Adj. P&amp;L Aug-26'!$D$11:$AI$108,MATCH($C25,'QoE PF Adj. P&amp;L Aug-26'!$C$11:$C$108,0),MATCH(T$8,'QoE PF Adj. P&amp;L Aug-26'!$D$8:$AI$8,0))*1000</f>
        <v>800</v>
      </c>
      <c r="U25" s="10">
        <f>+INDEX('QoE PF Adj. P&amp;L Aug-26'!$D$11:$AI$108,MATCH($C25,'QoE PF Adj. P&amp;L Aug-26'!$C$11:$C$108,0),MATCH(U$8,'QoE PF Adj. P&amp;L Aug-26'!$D$8:$AI$8,0))*1000</f>
        <v>800</v>
      </c>
      <c r="V25" s="10">
        <f>+INDEX('QoE PF Adj. P&amp;L Aug-26'!$D$11:$AI$108,MATCH($C25,'QoE PF Adj. P&amp;L Aug-26'!$C$11:$C$108,0),MATCH(V$8,'QoE PF Adj. P&amp;L Aug-26'!$D$8:$AI$8,0))*1000</f>
        <v>900</v>
      </c>
      <c r="W25" s="10">
        <f>+INDEX('QoE PF Adj. P&amp;L Aug-26'!$D$11:$AI$108,MATCH($C25,'QoE PF Adj. P&amp;L Aug-26'!$C$11:$C$108,0),MATCH(W$8,'QoE PF Adj. P&amp;L Aug-26'!$D$8:$AI$8,0))*1000</f>
        <v>900</v>
      </c>
      <c r="X25" s="10">
        <f>+INDEX('QoE PF Adj. P&amp;L Aug-26'!$D$11:$AI$108,MATCH($C25,'QoE PF Adj. P&amp;L Aug-26'!$C$11:$C$108,0),MATCH(X$8,'QoE PF Adj. P&amp;L Aug-26'!$D$8:$AI$8,0))*1000</f>
        <v>800</v>
      </c>
      <c r="Y25" s="10">
        <f>+INDEX('QoE PF Adj. P&amp;L Aug-26'!$D$11:$AI$108,MATCH($C25,'QoE PF Adj. P&amp;L Aug-26'!$C$11:$C$108,0),MATCH(Y$8,'QoE PF Adj. P&amp;L Aug-26'!$D$8:$AI$8,0))*1000</f>
        <v>900</v>
      </c>
      <c r="Z25" s="10">
        <f>+INDEX('QoE PF Adj. P&amp;L Aug-26'!$D$11:$AI$108,MATCH($C25,'QoE PF Adj. P&amp;L Aug-26'!$C$11:$C$108,0),MATCH(Z$8,'QoE PF Adj. P&amp;L Aug-26'!$D$8:$AI$8,0))*1000</f>
        <v>900</v>
      </c>
      <c r="AA25" s="10">
        <f>+INDEX('QoE PF Adj. P&amp;L Aug-26'!$D$11:$AI$108,MATCH($C25,'QoE PF Adj. P&amp;L Aug-26'!$C$11:$C$108,0),MATCH(AA$8,'QoE PF Adj. P&amp;L Aug-26'!$D$8:$AI$8,0))*1000</f>
        <v>900</v>
      </c>
      <c r="AB25" s="10">
        <f>+INDEX('QoE PF Adj. P&amp;L Aug-26'!$D$11:$AI$108,MATCH($C25,'QoE PF Adj. P&amp;L Aug-26'!$C$11:$C$108,0),MATCH(AB$8,'QoE PF Adj. P&amp;L Aug-26'!$D$8:$AI$8,0))*1000</f>
        <v>900</v>
      </c>
      <c r="AC25" s="10">
        <f>+INDEX('QoE PF Adj. P&amp;L Aug-26'!$D$11:$AI$108,MATCH($C25,'QoE PF Adj. P&amp;L Aug-26'!$C$11:$C$108,0),MATCH(AC$8,'QoE PF Adj. P&amp;L Aug-26'!$D$8:$AI$8,0))*1000</f>
        <v>900</v>
      </c>
      <c r="AD25" s="10">
        <f>+INDEX('QoE PF Adj. P&amp;L Aug-26'!$D$11:$AI$108,MATCH($C25,'QoE PF Adj. P&amp;L Aug-26'!$C$11:$C$108,0),MATCH(AD$8,'QoE PF Adj. P&amp;L Aug-26'!$D$8:$AI$8,0))*1000</f>
        <v>900</v>
      </c>
      <c r="AE25" s="10">
        <f>+INDEX('QoE PF Adj. P&amp;L Aug-26'!$D$11:$AI$108,MATCH($C25,'QoE PF Adj. P&amp;L Aug-26'!$C$11:$C$108,0),MATCH(AE$8,'QoE PF Adj. P&amp;L Aug-26'!$D$8:$AI$8,0))*1000</f>
        <v>900</v>
      </c>
      <c r="AF25" s="10">
        <f>+INDEX('QoE PF Adj. P&amp;L Aug-26'!$D$11:$AI$108,MATCH($C25,'QoE PF Adj. P&amp;L Aug-26'!$C$11:$C$108,0),MATCH(AF$8,'QoE PF Adj. P&amp;L Aug-26'!$D$8:$AI$8,0))*1000</f>
        <v>900</v>
      </c>
      <c r="AG25" s="10">
        <f>+INDEX('QoE PF Adj. P&amp;L Aug-26'!$D$11:$AI$108,MATCH($C25,'QoE PF Adj. P&amp;L Aug-26'!$C$11:$C$108,0),MATCH(AG$8,'QoE PF Adj. P&amp;L Aug-26'!$D$8:$AI$8,0))*1000</f>
        <v>900</v>
      </c>
      <c r="AH25" s="10">
        <f>+INDEX('QoE PF Adj. P&amp;L Aug-26'!$D$11:$AI$108,MATCH($C25,'QoE PF Adj. P&amp;L Aug-26'!$C$11:$C$108,0),MATCH(AH$8,'QoE PF Adj. P&amp;L Aug-26'!$D$8:$AI$8,0))*1000</f>
        <v>900</v>
      </c>
      <c r="AI25" s="10">
        <f>+INDEX('QoE PF Adj. P&amp;L Aug-26'!$D$11:$AI$108,MATCH($C25,'QoE PF Adj. P&amp;L Aug-26'!$C$11:$C$108,0),MATCH(AI$8,'QoE PF Adj. P&amp;L Aug-26'!$D$8:$AI$8,0))*1000</f>
        <v>900</v>
      </c>
      <c r="AJ25" s="10">
        <f>+INDEX('QoE PF Adj. P&amp;L Aug-26'!$D$11:$AI$108,MATCH($C25,'QoE PF Adj. P&amp;L Aug-26'!$C$11:$C$108,0),MATCH(AJ$8,'QoE PF Adj. P&amp;L Aug-26'!$D$8:$AI$8,0))*1000</f>
        <v>900</v>
      </c>
      <c r="AK25" s="10">
        <f>+INDEX('QoE PF Adj. P&amp;L Aug-26'!$D$11:$AI$108,MATCH($C25,'QoE PF Adj. P&amp;L Aug-26'!$C$11:$C$108,0),MATCH(AK$8,'QoE PF Adj. P&amp;L Aug-26'!$D$8:$AI$8,0))*1000</f>
        <v>900</v>
      </c>
      <c r="AL25" s="10">
        <f>+INDEX('QoE PF Adj. P&amp;L Aug-26'!$D$11:$AI$108,MATCH($C25,'QoE PF Adj. P&amp;L Aug-26'!$C$11:$C$108,0),MATCH(AL$8,'QoE PF Adj. P&amp;L Aug-26'!$D$8:$AI$8,0))*1000</f>
        <v>900</v>
      </c>
      <c r="AM25" s="10">
        <f>+INDEX('QoE PF Adj. P&amp;L Aug-26'!$D$11:$AI$108,MATCH($C25,'QoE PF Adj. P&amp;L Aug-26'!$C$11:$C$108,0),MATCH(AM$8,'QoE PF Adj. P&amp;L Aug-26'!$D$8:$AI$8,0))*1000</f>
        <v>900</v>
      </c>
      <c r="AN25" s="10">
        <f>+INDEX('QoE PF Adj. P&amp;L Aug-26'!$D$11:$AI$108,MATCH($C25,'QoE PF Adj. P&amp;L Aug-26'!$C$11:$C$108,0),MATCH(AN$8,'QoE PF Adj. P&amp;L Aug-26'!$D$8:$AI$8,0))*1000</f>
        <v>900</v>
      </c>
      <c r="AO25" s="10">
        <f>+INDEX('QoE PF Adj. P&amp;L Aug-26'!$D$11:$AI$108,MATCH($C25,'QoE PF Adj. P&amp;L Aug-26'!$C$11:$C$108,0),MATCH(AO$8,'QoE PF Adj. P&amp;L Aug-26'!$D$8:$AI$8,0))*1000</f>
        <v>900</v>
      </c>
      <c r="AP25" s="10">
        <f>+SUMIFS('Sep - Nov P&amp;L'!I:I,'Sep - Nov P&amp;L'!$D:$D,$C25)</f>
        <v>0</v>
      </c>
      <c r="AQ25" s="10">
        <f>+SUMIFS('Sep - Nov P&amp;L'!J:J,'Sep - Nov P&amp;L'!$D:$D,$C25)</f>
        <v>0</v>
      </c>
      <c r="AR25" s="10">
        <f>+SUMIFS('Sep - Nov P&amp;L'!K:K,'Sep - Nov P&amp;L'!$D:$D,$C25)</f>
        <v>0</v>
      </c>
      <c r="AS25" s="20">
        <f>+AS$19*AS133</f>
        <v>704.414895889504</v>
      </c>
      <c r="AT25" s="20">
        <f>+AT$19*AT133</f>
        <v>699.167026204137</v>
      </c>
      <c r="AU25" s="20">
        <f>+AU$19*AU133</f>
        <v>727.711823621641</v>
      </c>
      <c r="AV25" s="20">
        <f>+AV$19*AV133</f>
        <v>773.701455081245</v>
      </c>
      <c r="AW25" s="20">
        <f>+AW$19*AW133</f>
        <v>778.803638015313</v>
      </c>
      <c r="AX25" s="20">
        <f>+AX$19*AX133</f>
        <v>779.700895173849</v>
      </c>
      <c r="AY25" s="20">
        <f>+AY$19*AY133</f>
        <v>794.150135339378</v>
      </c>
      <c r="AZ25" s="20">
        <f>+AZ$19*AZ133</f>
        <v>799.083745963844</v>
      </c>
      <c r="BA25" s="20">
        <f>+BA$19*BA133</f>
        <v>804.017493373839</v>
      </c>
      <c r="BB25" s="20">
        <f>+BB$19*BB133</f>
        <v>809.122977565526</v>
      </c>
      <c r="BC25" s="20">
        <f>+BC$19*BC133</f>
        <v>821.47023526661</v>
      </c>
      <c r="BD25" s="20">
        <f>+BD$19*BD133</f>
        <v>822.96134091759</v>
      </c>
      <c r="BE25" s="20">
        <f>+BE$19*BE133</f>
        <v>835.005839187784</v>
      </c>
      <c r="BF25" s="20">
        <f>+BF$19*BF133</f>
        <v>855.814031181711</v>
      </c>
      <c r="BG25" s="20">
        <f>+BG$19*BG133</f>
        <v>868.110671951018</v>
      </c>
      <c r="BH25" s="20">
        <f>+BH$19*BH133</f>
        <v>876.371367215201</v>
      </c>
      <c r="BI25" s="20">
        <f>+BI$19*BI133</f>
        <v>864.080938389551</v>
      </c>
      <c r="BJ25" s="20">
        <f>+BJ$19*BJ133</f>
        <v>868.231662521075</v>
      </c>
      <c r="BK25" s="20">
        <f>+BK$19*BK133</f>
        <v>872.382528301732</v>
      </c>
      <c r="BL25" s="20">
        <f>+BL$19*BL133</f>
        <v>864.202777375733</v>
      </c>
      <c r="BM25" s="20">
        <f>+BM$19*BM133</f>
        <v>876.57443384475</v>
      </c>
      <c r="BN25" s="20">
        <f>+BN$19*BN133</f>
        <v>868.394968702824</v>
      </c>
      <c r="BO25" s="20">
        <f>+BO$19*BO133</f>
        <v>868.436153104597</v>
      </c>
      <c r="BP25" s="20">
        <f>+BP$19*BP133</f>
        <v>868.477481651776</v>
      </c>
      <c r="BQ25" s="20">
        <f>+BQ$19*BQ133</f>
        <v>868.51895484887</v>
      </c>
    </row>
    <row r="26">
      <c r="C26" s="3" t="inlineStr">
        <is>
          <t>Payroll Processing Fee</t>
        </is>
      </c>
      <c r="D26" s="20">
        <f>+SUMIFS($J26:$BQ26,$J$7:$BQ$7,D$8)</f>
        <v>13300</v>
      </c>
      <c r="E26" s="20">
        <f>+SUMIFS($J26:$BQ26,$J$7:$BQ$7,E$8)</f>
        <v>14100</v>
      </c>
      <c r="F26" s="20">
        <f>+SUMIFS($J26:$BQ26,$J$7:$BQ$7,F$8)</f>
        <v>15501.1606953777</v>
      </c>
      <c r="G26" s="20">
        <f>+SUMIFS($J26:$BQ26,$J$7:$BQ$7,G$8)</f>
        <v>17799.0867164306</v>
      </c>
      <c r="H26" s="20">
        <f>+SUMIFS($J26:$BQ26,$J$7:$BQ$7,H$8)</f>
        <v>19635.9261457501</v>
      </c>
      <c r="J26" s="10">
        <f>+INDEX('QoE PF Adj. P&amp;L Aug-26'!$D$11:$AI$108,MATCH($C26,'QoE PF Adj. P&amp;L Aug-26'!$C$11:$C$108,0),MATCH(J$8,'QoE PF Adj. P&amp;L Aug-26'!$D$8:$AI$8,0))*1000</f>
        <v>1100</v>
      </c>
      <c r="K26" s="10">
        <f>+INDEX('QoE PF Adj. P&amp;L Aug-26'!$D$11:$AI$108,MATCH($C26,'QoE PF Adj. P&amp;L Aug-26'!$C$11:$C$108,0),MATCH(K$8,'QoE PF Adj. P&amp;L Aug-26'!$D$8:$AI$8,0))*1000</f>
        <v>1100</v>
      </c>
      <c r="L26" s="10">
        <f>+INDEX('QoE PF Adj. P&amp;L Aug-26'!$D$11:$AI$108,MATCH($C26,'QoE PF Adj. P&amp;L Aug-26'!$C$11:$C$108,0),MATCH(L$8,'QoE PF Adj. P&amp;L Aug-26'!$D$8:$AI$8,0))*1000</f>
        <v>1100</v>
      </c>
      <c r="M26" s="10">
        <f>+INDEX('QoE PF Adj. P&amp;L Aug-26'!$D$11:$AI$108,MATCH($C26,'QoE PF Adj. P&amp;L Aug-26'!$C$11:$C$108,0),MATCH(M$8,'QoE PF Adj. P&amp;L Aug-26'!$D$8:$AI$8,0))*1000</f>
        <v>1200</v>
      </c>
      <c r="N26" s="10">
        <f>+INDEX('QoE PF Adj. P&amp;L Aug-26'!$D$11:$AI$108,MATCH($C26,'QoE PF Adj. P&amp;L Aug-26'!$C$11:$C$108,0),MATCH(N$8,'QoE PF Adj. P&amp;L Aug-26'!$D$8:$AI$8,0))*1000</f>
        <v>1100</v>
      </c>
      <c r="O26" s="10">
        <f>+INDEX('QoE PF Adj. P&amp;L Aug-26'!$D$11:$AI$108,MATCH($C26,'QoE PF Adj. P&amp;L Aug-26'!$C$11:$C$108,0),MATCH(O$8,'QoE PF Adj. P&amp;L Aug-26'!$D$8:$AI$8,0))*1000</f>
        <v>1100</v>
      </c>
      <c r="P26" s="10">
        <f>+INDEX('QoE PF Adj. P&amp;L Aug-26'!$D$11:$AI$108,MATCH($C26,'QoE PF Adj. P&amp;L Aug-26'!$C$11:$C$108,0),MATCH(P$8,'QoE PF Adj. P&amp;L Aug-26'!$D$8:$AI$8,0))*1000</f>
        <v>1100</v>
      </c>
      <c r="Q26" s="10">
        <f>+INDEX('QoE PF Adj. P&amp;L Aug-26'!$D$11:$AI$108,MATCH($C26,'QoE PF Adj. P&amp;L Aug-26'!$C$11:$C$108,0),MATCH(Q$8,'QoE PF Adj. P&amp;L Aug-26'!$D$8:$AI$8,0))*1000</f>
        <v>1100</v>
      </c>
      <c r="R26" s="10">
        <f>+INDEX('QoE PF Adj. P&amp;L Aug-26'!$D$11:$AI$108,MATCH($C26,'QoE PF Adj. P&amp;L Aug-26'!$C$11:$C$108,0),MATCH(R$8,'QoE PF Adj. P&amp;L Aug-26'!$D$8:$AI$8,0))*1000</f>
        <v>1100</v>
      </c>
      <c r="S26" s="10">
        <f>+INDEX('QoE PF Adj. P&amp;L Aug-26'!$D$11:$AI$108,MATCH($C26,'QoE PF Adj. P&amp;L Aug-26'!$C$11:$C$108,0),MATCH(S$8,'QoE PF Adj. P&amp;L Aug-26'!$D$8:$AI$8,0))*1000</f>
        <v>1100</v>
      </c>
      <c r="T26" s="10">
        <f>+INDEX('QoE PF Adj. P&amp;L Aug-26'!$D$11:$AI$108,MATCH($C26,'QoE PF Adj. P&amp;L Aug-26'!$C$11:$C$108,0),MATCH(T$8,'QoE PF Adj. P&amp;L Aug-26'!$D$8:$AI$8,0))*1000</f>
        <v>1100</v>
      </c>
      <c r="U26" s="10">
        <f>+INDEX('QoE PF Adj. P&amp;L Aug-26'!$D$11:$AI$108,MATCH($C26,'QoE PF Adj. P&amp;L Aug-26'!$C$11:$C$108,0),MATCH(U$8,'QoE PF Adj. P&amp;L Aug-26'!$D$8:$AI$8,0))*1000</f>
        <v>1100</v>
      </c>
      <c r="V26" s="10">
        <f>+INDEX('QoE PF Adj. P&amp;L Aug-26'!$D$11:$AI$108,MATCH($C26,'QoE PF Adj. P&amp;L Aug-26'!$C$11:$C$108,0),MATCH(V$8,'QoE PF Adj. P&amp;L Aug-26'!$D$8:$AI$8,0))*1000</f>
        <v>1200</v>
      </c>
      <c r="W26" s="10">
        <f>+INDEX('QoE PF Adj. P&amp;L Aug-26'!$D$11:$AI$108,MATCH($C26,'QoE PF Adj. P&amp;L Aug-26'!$C$11:$C$108,0),MATCH(W$8,'QoE PF Adj. P&amp;L Aug-26'!$D$8:$AI$8,0))*1000</f>
        <v>1200</v>
      </c>
      <c r="X26" s="10">
        <f>+INDEX('QoE PF Adj. P&amp;L Aug-26'!$D$11:$AI$108,MATCH($C26,'QoE PF Adj. P&amp;L Aug-26'!$C$11:$C$108,0),MATCH(X$8,'QoE PF Adj. P&amp;L Aug-26'!$D$8:$AI$8,0))*1000</f>
        <v>1100</v>
      </c>
      <c r="Y26" s="10">
        <f>+INDEX('QoE PF Adj. P&amp;L Aug-26'!$D$11:$AI$108,MATCH($C26,'QoE PF Adj. P&amp;L Aug-26'!$C$11:$C$108,0),MATCH(Y$8,'QoE PF Adj. P&amp;L Aug-26'!$D$8:$AI$8,0))*1000</f>
        <v>1100</v>
      </c>
      <c r="Z26" s="10">
        <f>+INDEX('QoE PF Adj. P&amp;L Aug-26'!$D$11:$AI$108,MATCH($C26,'QoE PF Adj. P&amp;L Aug-26'!$C$11:$C$108,0),MATCH(Z$8,'QoE PF Adj. P&amp;L Aug-26'!$D$8:$AI$8,0))*1000</f>
        <v>1200</v>
      </c>
      <c r="AA26" s="10">
        <f>+INDEX('QoE PF Adj. P&amp;L Aug-26'!$D$11:$AI$108,MATCH($C26,'QoE PF Adj. P&amp;L Aug-26'!$C$11:$C$108,0),MATCH(AA$8,'QoE PF Adj. P&amp;L Aug-26'!$D$8:$AI$8,0))*1000</f>
        <v>1200</v>
      </c>
      <c r="AB26" s="10">
        <f>+INDEX('QoE PF Adj. P&amp;L Aug-26'!$D$11:$AI$108,MATCH($C26,'QoE PF Adj. P&amp;L Aug-26'!$C$11:$C$108,0),MATCH(AB$8,'QoE PF Adj. P&amp;L Aug-26'!$D$8:$AI$8,0))*1000</f>
        <v>1200</v>
      </c>
      <c r="AC26" s="10">
        <f>+INDEX('QoE PF Adj. P&amp;L Aug-26'!$D$11:$AI$108,MATCH($C26,'QoE PF Adj. P&amp;L Aug-26'!$C$11:$C$108,0),MATCH(AC$8,'QoE PF Adj. P&amp;L Aug-26'!$D$8:$AI$8,0))*1000</f>
        <v>1100</v>
      </c>
      <c r="AD26" s="10">
        <f>+INDEX('QoE PF Adj. P&amp;L Aug-26'!$D$11:$AI$108,MATCH($C26,'QoE PF Adj. P&amp;L Aug-26'!$C$11:$C$108,0),MATCH(AD$8,'QoE PF Adj. P&amp;L Aug-26'!$D$8:$AI$8,0))*1000</f>
        <v>1200</v>
      </c>
      <c r="AE26" s="10">
        <f>+INDEX('QoE PF Adj. P&amp;L Aug-26'!$D$11:$AI$108,MATCH($C26,'QoE PF Adj. P&amp;L Aug-26'!$C$11:$C$108,0),MATCH(AE$8,'QoE PF Adj. P&amp;L Aug-26'!$D$8:$AI$8,0))*1000</f>
        <v>1200</v>
      </c>
      <c r="AF26" s="10">
        <f>+INDEX('QoE PF Adj. P&amp;L Aug-26'!$D$11:$AI$108,MATCH($C26,'QoE PF Adj. P&amp;L Aug-26'!$C$11:$C$108,0),MATCH(AF$8,'QoE PF Adj. P&amp;L Aug-26'!$D$8:$AI$8,0))*1000</f>
        <v>1200</v>
      </c>
      <c r="AG26" s="10">
        <f>+INDEX('QoE PF Adj. P&amp;L Aug-26'!$D$11:$AI$108,MATCH($C26,'QoE PF Adj. P&amp;L Aug-26'!$C$11:$C$108,0),MATCH(AG$8,'QoE PF Adj. P&amp;L Aug-26'!$D$8:$AI$8,0))*1000</f>
        <v>1200</v>
      </c>
      <c r="AH26" s="10">
        <f>+INDEX('QoE PF Adj. P&amp;L Aug-26'!$D$11:$AI$108,MATCH($C26,'QoE PF Adj. P&amp;L Aug-26'!$C$11:$C$108,0),MATCH(AH$8,'QoE PF Adj. P&amp;L Aug-26'!$D$8:$AI$8,0))*1000</f>
        <v>1300</v>
      </c>
      <c r="AI26" s="10">
        <f>+INDEX('QoE PF Adj. P&amp;L Aug-26'!$D$11:$AI$108,MATCH($C26,'QoE PF Adj. P&amp;L Aug-26'!$C$11:$C$108,0),MATCH(AI$8,'QoE PF Adj. P&amp;L Aug-26'!$D$8:$AI$8,0))*1000</f>
        <v>1200</v>
      </c>
      <c r="AJ26" s="10">
        <f>+INDEX('QoE PF Adj. P&amp;L Aug-26'!$D$11:$AI$108,MATCH($C26,'QoE PF Adj. P&amp;L Aug-26'!$C$11:$C$108,0),MATCH(AJ$8,'QoE PF Adj. P&amp;L Aug-26'!$D$8:$AI$8,0))*1000</f>
        <v>1200</v>
      </c>
      <c r="AK26" s="10">
        <f>+INDEX('QoE PF Adj. P&amp;L Aug-26'!$D$11:$AI$108,MATCH($C26,'QoE PF Adj. P&amp;L Aug-26'!$C$11:$C$108,0),MATCH(AK$8,'QoE PF Adj. P&amp;L Aug-26'!$D$8:$AI$8,0))*1000</f>
        <v>1200</v>
      </c>
      <c r="AL26" s="10">
        <f>+INDEX('QoE PF Adj. P&amp;L Aug-26'!$D$11:$AI$108,MATCH($C26,'QoE PF Adj. P&amp;L Aug-26'!$C$11:$C$108,0),MATCH(AL$8,'QoE PF Adj. P&amp;L Aug-26'!$D$8:$AI$8,0))*1000</f>
        <v>1200</v>
      </c>
      <c r="AM26" s="10">
        <f>+INDEX('QoE PF Adj. P&amp;L Aug-26'!$D$11:$AI$108,MATCH($C26,'QoE PF Adj. P&amp;L Aug-26'!$C$11:$C$108,0),MATCH(AM$8,'QoE PF Adj. P&amp;L Aug-26'!$D$8:$AI$8,0))*1000</f>
        <v>1200</v>
      </c>
      <c r="AN26" s="10">
        <f>+INDEX('QoE PF Adj. P&amp;L Aug-26'!$D$11:$AI$108,MATCH($C26,'QoE PF Adj. P&amp;L Aug-26'!$C$11:$C$108,0),MATCH(AN$8,'QoE PF Adj. P&amp;L Aug-26'!$D$8:$AI$8,0))*1000</f>
        <v>1200</v>
      </c>
      <c r="AO26" s="10">
        <f>+INDEX('QoE PF Adj. P&amp;L Aug-26'!$D$11:$AI$108,MATCH($C26,'QoE PF Adj. P&amp;L Aug-26'!$C$11:$C$108,0),MATCH(AO$8,'QoE PF Adj. P&amp;L Aug-26'!$D$8:$AI$8,0))*1000</f>
        <v>1200</v>
      </c>
      <c r="AP26" s="10">
        <f>+'Separate Line Item Builds'!AP63+SUMIFS('Sep - Nov P&amp;L'!I:I,'Sep - Nov P&amp;L'!$D:$D,$C26)</f>
        <v>1486.73494241472</v>
      </c>
      <c r="AQ26" s="10">
        <f>+'Separate Line Item Builds'!AQ63+SUMIFS('Sep - Nov P&amp;L'!J:J,'Sep - Nov P&amp;L'!$D:$D,$C26)</f>
        <v>1499.73246827741</v>
      </c>
      <c r="AR26" s="10">
        <f>+'Separate Line Item Builds'!AR63+SUMIFS('Sep - Nov P&amp;L'!K:K,'Sep - Nov P&amp;L'!$D:$D,$C26)</f>
        <v>1487.21005859062</v>
      </c>
      <c r="AS26" s="20">
        <f>+SUM(AS$19,AS$22:AS$25)*AS134</f>
        <v>1327.483226095</v>
      </c>
      <c r="AT26" s="20">
        <f>+SUM(AT$19,AT$22:AT$25)*AT134</f>
        <v>1317.59351618014</v>
      </c>
      <c r="AU26" s="20">
        <f>+SUM(AU$19,AU$22:AU$25)*AU134</f>
        <v>1371.3867280857</v>
      </c>
      <c r="AV26" s="20">
        <f>+SUM(AV$19,AV$22:AV$25)*AV134</f>
        <v>1458.05506047499</v>
      </c>
      <c r="AW26" s="20">
        <f>+SUM(AW$19,AW$22:AW$25)*AW134</f>
        <v>1467.670220945</v>
      </c>
      <c r="AX26" s="20">
        <f>+SUM(AX$19,AX$22:AX$25)*AX134</f>
        <v>1469.36111907109</v>
      </c>
      <c r="AY26" s="20">
        <f>+SUM(AY$19,AY$22:AY$25)*AY134</f>
        <v>1496.59098610185</v>
      </c>
      <c r="AZ26" s="20">
        <f>+SUM(AZ$19,AZ$22:AZ$25)*AZ134</f>
        <v>1505.8884688585</v>
      </c>
      <c r="BA26" s="20">
        <f>+SUM(BA$19,BA$22:BA$25)*BA134</f>
        <v>1515.18620939008</v>
      </c>
      <c r="BB26" s="20">
        <f>+SUM(BB$19,BB$22:BB$25)*BB134</f>
        <v>1524.80759114266</v>
      </c>
      <c r="BC26" s="20">
        <f>+SUM(BC$19,BC$22:BC$25)*BC134</f>
        <v>1548.07623236832</v>
      </c>
      <c r="BD26" s="20">
        <f>+SUM(BD$19,BD$22:BD$25)*BD134</f>
        <v>1550.88624923701</v>
      </c>
      <c r="BE26" s="20">
        <f>+SUM(BE$19,BE$22:BE$25)*BE134</f>
        <v>1573.58433457523</v>
      </c>
      <c r="BF26" s="20">
        <f>+SUM(BF$19,BF$22:BF$25)*BF134</f>
        <v>1612.79776688407</v>
      </c>
      <c r="BG26" s="20">
        <f>+SUM(BG$19,BG$22:BG$25)*BG134</f>
        <v>1635.97101954217</v>
      </c>
      <c r="BH26" s="20">
        <f>+SUM(BH$19,BH$22:BH$25)*BH134</f>
        <v>1651.53845637957</v>
      </c>
      <c r="BI26" s="20">
        <f>+SUM(BI$19,BI$22:BI$25)*BI134</f>
        <v>1628.37691024707</v>
      </c>
      <c r="BJ26" s="20">
        <f>+SUM(BJ$19,BJ$22:BJ$25)*BJ134</f>
        <v>1636.19902856526</v>
      </c>
      <c r="BK26" s="20">
        <f>+SUM(BK$19,BK$22:BK$25)*BK134</f>
        <v>1644.02141382393</v>
      </c>
      <c r="BL26" s="20">
        <f>+SUM(BL$19,BL$22:BL$25)*BL134</f>
        <v>1628.60651812644</v>
      </c>
      <c r="BM26" s="20">
        <f>+SUM(BM$19,BM$22:BM$25)*BM134</f>
        <v>1651.92113929283</v>
      </c>
      <c r="BN26" s="20">
        <f>+SUM(BN$19,BN$22:BN$25)*BN134</f>
        <v>1636.50678216084</v>
      </c>
      <c r="BO26" s="20">
        <f>+SUM(BO$19,BO$22:BO$25)*BO134</f>
        <v>1636.58439494678</v>
      </c>
      <c r="BP26" s="20">
        <f>+SUM(BP$19,BP$22:BP$25)*BP134</f>
        <v>1636.66227937748</v>
      </c>
      <c r="BQ26" s="20">
        <f>+SUM(BQ$19,BQ$22:BQ$25)*BQ134</f>
        <v>1636.74043640368</v>
      </c>
    </row>
    <row r="27">
      <c r="C27" s="2" t="inlineStr">
        <is>
          <t>Total Employee Taxes &amp; Benefits</t>
        </is>
      </c>
      <c r="D27" s="15">
        <f>+SUMIFS($J27:$BQ27,$J$7:$BQ$7,D$8)</f>
        <v>522000</v>
      </c>
      <c r="E27" s="15">
        <f>+SUMIFS($J27:$BQ27,$J$7:$BQ$7,E$8)</f>
        <v>549300</v>
      </c>
      <c r="F27" s="15">
        <f>+SUMIFS($J27:$BQ27,$J$7:$BQ$7,F$8)</f>
        <v>592903.896641881</v>
      </c>
      <c r="G27" s="15">
        <f>+SUMIFS($J27:$BQ27,$J$7:$BQ$7,G$8)</f>
        <v>682997.785168875</v>
      </c>
      <c r="H27" s="15">
        <f>+SUMIFS($J27:$BQ27,$J$7:$BQ$7,H$8)</f>
        <v>753482.146637716</v>
      </c>
      <c r="J27" s="15">
        <f>SUM(J22:J26)</f>
        <v>44300</v>
      </c>
      <c r="K27" s="15">
        <f>SUM(K22:K26)</f>
        <v>43600</v>
      </c>
      <c r="L27" s="15">
        <f>SUM(L22:L26)</f>
        <v>43100</v>
      </c>
      <c r="M27" s="15">
        <f>SUM(M22:M26)</f>
        <v>44300</v>
      </c>
      <c r="N27" s="15">
        <f>SUM(N22:N26)</f>
        <v>42100</v>
      </c>
      <c r="O27" s="15">
        <f>SUM(O22:O26)</f>
        <v>43700</v>
      </c>
      <c r="P27" s="15">
        <f>SUM(P22:P26)</f>
        <v>43700</v>
      </c>
      <c r="Q27" s="15">
        <f>SUM(Q22:Q26)</f>
        <v>43100</v>
      </c>
      <c r="R27" s="15">
        <f>SUM(R22:R26)</f>
        <v>43300</v>
      </c>
      <c r="S27" s="15">
        <f>SUM(S22:S26)</f>
        <v>43600</v>
      </c>
      <c r="T27" s="15">
        <f>SUM(T22:T26)</f>
        <v>43500</v>
      </c>
      <c r="U27" s="15">
        <f>SUM(U22:U26)</f>
        <v>43700</v>
      </c>
      <c r="V27" s="15">
        <f>SUM(V22:V26)</f>
        <v>45100</v>
      </c>
      <c r="W27" s="15">
        <f>SUM(W22:W26)</f>
        <v>44200</v>
      </c>
      <c r="X27" s="15">
        <f>SUM(X22:X26)</f>
        <v>44200</v>
      </c>
      <c r="Y27" s="15">
        <f>SUM(Y22:Y26)</f>
        <v>44500</v>
      </c>
      <c r="Z27" s="15">
        <f>SUM(Z22:Z26)</f>
        <v>46100</v>
      </c>
      <c r="AA27" s="15">
        <f>SUM(AA22:AA26)</f>
        <v>46800</v>
      </c>
      <c r="AB27" s="15">
        <f>SUM(AB22:AB26)</f>
        <v>45800</v>
      </c>
      <c r="AC27" s="15">
        <f>SUM(AC22:AC26)</f>
        <v>45000</v>
      </c>
      <c r="AD27" s="15">
        <f>SUM(AD22:AD26)</f>
        <v>46100</v>
      </c>
      <c r="AE27" s="15">
        <f>SUM(AE22:AE26)</f>
        <v>46600</v>
      </c>
      <c r="AF27" s="15">
        <f>SUM(AF22:AF26)</f>
        <v>47400</v>
      </c>
      <c r="AG27" s="15">
        <f>SUM(AG22:AG26)</f>
        <v>47500</v>
      </c>
      <c r="AH27" s="15">
        <f>SUM(AH22:AH26)</f>
        <v>48900</v>
      </c>
      <c r="AI27" s="15">
        <f>SUM(AI22:AI26)</f>
        <v>47100</v>
      </c>
      <c r="AJ27" s="15">
        <f>SUM(AJ22:AJ26)</f>
        <v>47800</v>
      </c>
      <c r="AK27" s="15">
        <f>SUM(AK22:AK26)</f>
        <v>47800</v>
      </c>
      <c r="AL27" s="15">
        <f>SUM(AL22:AL26)</f>
        <v>49600</v>
      </c>
      <c r="AM27" s="15">
        <f>SUM(AM22:AM26)</f>
        <v>47700</v>
      </c>
      <c r="AN27" s="15">
        <f>SUM(AN22:AN26)</f>
        <v>48100</v>
      </c>
      <c r="AO27" s="15">
        <f>SUM(AO22:AO26)</f>
        <v>48600</v>
      </c>
      <c r="AP27" s="15">
        <f>SUM(AP22:AP26)</f>
        <v>51919.8590730844</v>
      </c>
      <c r="AQ27" s="15">
        <f>SUM(AQ22:AQ26)</f>
        <v>52426.4152427213</v>
      </c>
      <c r="AR27" s="15">
        <f>SUM(AR22:AR26)</f>
        <v>52018.5984471268</v>
      </c>
      <c r="AS27" s="15">
        <f>SUM(AS22:AS26)</f>
        <v>50939.023878948</v>
      </c>
      <c r="AT27" s="15">
        <f>SUM(AT22:AT26)</f>
        <v>50559.5296905422</v>
      </c>
      <c r="AU27" s="15">
        <f>SUM(AU22:AU26)</f>
        <v>52623.7167566517</v>
      </c>
      <c r="AV27" s="15">
        <f>SUM(AV22:AV26)</f>
        <v>55949.4086873236</v>
      </c>
      <c r="AW27" s="15">
        <f>SUM(AW22:AW26)</f>
        <v>56318.3676912144</v>
      </c>
      <c r="AX27" s="15">
        <f>SUM(AX22:AX26)</f>
        <v>56383.2519009195</v>
      </c>
      <c r="AY27" s="15">
        <f>SUM(AY22:AY26)</f>
        <v>57428.1335383174</v>
      </c>
      <c r="AZ27" s="15">
        <f>SUM(AZ22:AZ26)</f>
        <v>57784.9024125641</v>
      </c>
      <c r="BA27" s="15">
        <f>SUM(BA22:BA26)</f>
        <v>58141.6811783127</v>
      </c>
      <c r="BB27" s="15">
        <f>SUM(BB22:BB26)</f>
        <v>58510.8789091835</v>
      </c>
      <c r="BC27" s="15">
        <f>SUM(BC22:BC26)</f>
        <v>59403.7578907967</v>
      </c>
      <c r="BD27" s="15">
        <f>SUM(BD22:BD26)</f>
        <v>59511.5856309603</v>
      </c>
      <c r="BE27" s="15">
        <f>SUM(BE22:BE26)</f>
        <v>60382.5708820893</v>
      </c>
      <c r="BF27" s="15">
        <f>SUM(BF22:BF26)</f>
        <v>61887.2934469322</v>
      </c>
      <c r="BG27" s="15">
        <f>SUM(BG22:BG26)</f>
        <v>62776.5121182489</v>
      </c>
      <c r="BH27" s="15">
        <f>SUM(BH22:BH26)</f>
        <v>63373.8756262815</v>
      </c>
      <c r="BI27" s="15">
        <f>SUM(BI22:BI26)</f>
        <v>62485.1061651506</v>
      </c>
      <c r="BJ27" s="15">
        <f>SUM(BJ22:BJ26)</f>
        <v>62785.2614243372</v>
      </c>
      <c r="BK27" s="15">
        <f>SUM(BK22:BK26)</f>
        <v>63085.4269267322</v>
      </c>
      <c r="BL27" s="15">
        <f>SUM(BL22:BL26)</f>
        <v>62493.9168235604</v>
      </c>
      <c r="BM27" s="15">
        <f>SUM(BM22:BM26)</f>
        <v>63388.5601764691</v>
      </c>
      <c r="BN27" s="15">
        <f>SUM(BN22:BN26)</f>
        <v>62797.0707394727</v>
      </c>
      <c r="BO27" s="15">
        <f>SUM(BO22:BO26)</f>
        <v>62800.0489462619</v>
      </c>
      <c r="BP27" s="15">
        <f>SUM(BP22:BP26)</f>
        <v>62803.0375767748</v>
      </c>
      <c r="BQ27" s="15">
        <f>SUM(BQ22:BQ26)</f>
        <v>62806.0366674945</v>
      </c>
    </row>
    <row r="29">
      <c r="C29" s="2" t="inlineStr">
        <is>
          <t>Occupancy Costs</t>
        </is>
      </c>
    </row>
    <row r="30">
      <c r="C30" s="3" t="inlineStr">
        <is>
          <t>Facility Rent</t>
        </is>
      </c>
      <c r="D30" s="20">
        <f>+SUMIFS($J30:$BQ30,$J$7:$BQ$7,D$8)</f>
        <v>465000</v>
      </c>
      <c r="E30" s="20">
        <f>+SUMIFS($J30:$BQ30,$J$7:$BQ$7,E$8)</f>
        <v>507800</v>
      </c>
      <c r="F30" s="20">
        <f>+SUMIFS($J30:$BQ30,$J$7:$BQ$7,F$8)</f>
        <v>530311.804166667</v>
      </c>
      <c r="G30" s="20">
        <f>+SUMIFS($J30:$BQ30,$J$7:$BQ$7,G$8)</f>
        <v>543295.009662837</v>
      </c>
      <c r="H30" s="20">
        <f>+SUMIFS($J30:$BQ30,$J$7:$BQ$7,H$8)</f>
        <v>566557.819297552</v>
      </c>
      <c r="J30" s="10">
        <f>+INDEX('QoE PF Adj. P&amp;L Aug-26'!$D$11:$AI$108,MATCH($C30,'QoE PF Adj. P&amp;L Aug-26'!$C$11:$C$108,0),MATCH(J$8,'QoE PF Adj. P&amp;L Aug-26'!$D$8:$AI$8,0))*1000</f>
        <v>38000</v>
      </c>
      <c r="K30" s="10">
        <f>+INDEX('QoE PF Adj. P&amp;L Aug-26'!$D$11:$AI$108,MATCH($C30,'QoE PF Adj. P&amp;L Aug-26'!$C$11:$C$108,0),MATCH(K$8,'QoE PF Adj. P&amp;L Aug-26'!$D$8:$AI$8,0))*1000</f>
        <v>36300</v>
      </c>
      <c r="L30" s="10">
        <f>+INDEX('QoE PF Adj. P&amp;L Aug-26'!$D$11:$AI$108,MATCH($C30,'QoE PF Adj. P&amp;L Aug-26'!$C$11:$C$108,0),MATCH(L$8,'QoE PF Adj. P&amp;L Aug-26'!$D$8:$AI$8,0))*1000</f>
        <v>39700</v>
      </c>
      <c r="M30" s="10">
        <f>+INDEX('QoE PF Adj. P&amp;L Aug-26'!$D$11:$AI$108,MATCH($C30,'QoE PF Adj. P&amp;L Aug-26'!$C$11:$C$108,0),MATCH(M$8,'QoE PF Adj. P&amp;L Aug-26'!$D$8:$AI$8,0))*1000</f>
        <v>38800</v>
      </c>
      <c r="N30" s="10">
        <f>+INDEX('QoE PF Adj. P&amp;L Aug-26'!$D$11:$AI$108,MATCH($C30,'QoE PF Adj. P&amp;L Aug-26'!$C$11:$C$108,0),MATCH(N$8,'QoE PF Adj. P&amp;L Aug-26'!$D$8:$AI$8,0))*1000</f>
        <v>40400</v>
      </c>
      <c r="O30" s="10">
        <f>+INDEX('QoE PF Adj. P&amp;L Aug-26'!$D$11:$AI$108,MATCH($C30,'QoE PF Adj. P&amp;L Aug-26'!$C$11:$C$108,0),MATCH(O$8,'QoE PF Adj. P&amp;L Aug-26'!$D$8:$AI$8,0))*1000</f>
        <v>39000</v>
      </c>
      <c r="P30" s="10">
        <f>+INDEX('QoE PF Adj. P&amp;L Aug-26'!$D$11:$AI$108,MATCH($C30,'QoE PF Adj. P&amp;L Aug-26'!$C$11:$C$108,0),MATCH(P$8,'QoE PF Adj. P&amp;L Aug-26'!$D$8:$AI$8,0))*1000</f>
        <v>38500</v>
      </c>
      <c r="Q30" s="10">
        <f>+INDEX('QoE PF Adj. P&amp;L Aug-26'!$D$11:$AI$108,MATCH($C30,'QoE PF Adj. P&amp;L Aug-26'!$C$11:$C$108,0),MATCH(Q$8,'QoE PF Adj. P&amp;L Aug-26'!$D$8:$AI$8,0))*1000</f>
        <v>37700</v>
      </c>
      <c r="R30" s="10">
        <f>+INDEX('QoE PF Adj. P&amp;L Aug-26'!$D$11:$AI$108,MATCH($C30,'QoE PF Adj. P&amp;L Aug-26'!$C$11:$C$108,0),MATCH(R$8,'QoE PF Adj. P&amp;L Aug-26'!$D$8:$AI$8,0))*1000</f>
        <v>37800</v>
      </c>
      <c r="S30" s="10">
        <f>+INDEX('QoE PF Adj. P&amp;L Aug-26'!$D$11:$AI$108,MATCH($C30,'QoE PF Adj. P&amp;L Aug-26'!$C$11:$C$108,0),MATCH(S$8,'QoE PF Adj. P&amp;L Aug-26'!$D$8:$AI$8,0))*1000</f>
        <v>41200</v>
      </c>
      <c r="T30" s="10">
        <f>+INDEX('QoE PF Adj. P&amp;L Aug-26'!$D$11:$AI$108,MATCH($C30,'QoE PF Adj. P&amp;L Aug-26'!$C$11:$C$108,0),MATCH(T$8,'QoE PF Adj. P&amp;L Aug-26'!$D$8:$AI$8,0))*1000</f>
        <v>39600</v>
      </c>
      <c r="U30" s="10">
        <f>+INDEX('QoE PF Adj. P&amp;L Aug-26'!$D$11:$AI$108,MATCH($C30,'QoE PF Adj. P&amp;L Aug-26'!$C$11:$C$108,0),MATCH(U$8,'QoE PF Adj. P&amp;L Aug-26'!$D$8:$AI$8,0))*1000</f>
        <v>38000</v>
      </c>
      <c r="V30" s="10">
        <f>+INDEX('QoE PF Adj. P&amp;L Aug-26'!$D$11:$AI$108,MATCH($C30,'QoE PF Adj. P&amp;L Aug-26'!$C$11:$C$108,0),MATCH(V$8,'QoE PF Adj. P&amp;L Aug-26'!$D$8:$AI$8,0))*1000</f>
        <v>38300</v>
      </c>
      <c r="W30" s="10">
        <f>+INDEX('QoE PF Adj. P&amp;L Aug-26'!$D$11:$AI$108,MATCH($C30,'QoE PF Adj. P&amp;L Aug-26'!$C$11:$C$108,0),MATCH(W$8,'QoE PF Adj. P&amp;L Aug-26'!$D$8:$AI$8,0))*1000</f>
        <v>39600</v>
      </c>
      <c r="X30" s="10">
        <f>+INDEX('QoE PF Adj. P&amp;L Aug-26'!$D$11:$AI$108,MATCH($C30,'QoE PF Adj. P&amp;L Aug-26'!$C$11:$C$108,0),MATCH(X$8,'QoE PF Adj. P&amp;L Aug-26'!$D$8:$AI$8,0))*1000</f>
        <v>41300</v>
      </c>
      <c r="Y30" s="10">
        <f>+INDEX('QoE PF Adj. P&amp;L Aug-26'!$D$11:$AI$108,MATCH($C30,'QoE PF Adj. P&amp;L Aug-26'!$C$11:$C$108,0),MATCH(Y$8,'QoE PF Adj. P&amp;L Aug-26'!$D$8:$AI$8,0))*1000</f>
        <v>42300</v>
      </c>
      <c r="Z30" s="10">
        <f>+INDEX('QoE PF Adj. P&amp;L Aug-26'!$D$11:$AI$108,MATCH($C30,'QoE PF Adj. P&amp;L Aug-26'!$C$11:$C$108,0),MATCH(Z$8,'QoE PF Adj. P&amp;L Aug-26'!$D$8:$AI$8,0))*1000</f>
        <v>42800</v>
      </c>
      <c r="AA30" s="10">
        <f>+INDEX('QoE PF Adj. P&amp;L Aug-26'!$D$11:$AI$108,MATCH($C30,'QoE PF Adj. P&amp;L Aug-26'!$C$11:$C$108,0),MATCH(AA$8,'QoE PF Adj. P&amp;L Aug-26'!$D$8:$AI$8,0))*1000</f>
        <v>41400</v>
      </c>
      <c r="AB30" s="10">
        <f>+INDEX('QoE PF Adj. P&amp;L Aug-26'!$D$11:$AI$108,MATCH($C30,'QoE PF Adj. P&amp;L Aug-26'!$C$11:$C$108,0),MATCH(AB$8,'QoE PF Adj. P&amp;L Aug-26'!$D$8:$AI$8,0))*1000</f>
        <v>44300</v>
      </c>
      <c r="AC30" s="10">
        <f>+INDEX('QoE PF Adj. P&amp;L Aug-26'!$D$11:$AI$108,MATCH($C30,'QoE PF Adj. P&amp;L Aug-26'!$C$11:$C$108,0),MATCH(AC$8,'QoE PF Adj. P&amp;L Aug-26'!$D$8:$AI$8,0))*1000</f>
        <v>42500</v>
      </c>
      <c r="AD30" s="10">
        <f>+INDEX('QoE PF Adj. P&amp;L Aug-26'!$D$11:$AI$108,MATCH($C30,'QoE PF Adj. P&amp;L Aug-26'!$C$11:$C$108,0),MATCH(AD$8,'QoE PF Adj. P&amp;L Aug-26'!$D$8:$AI$8,0))*1000</f>
        <v>44700</v>
      </c>
      <c r="AE30" s="10">
        <f>+INDEX('QoE PF Adj. P&amp;L Aug-26'!$D$11:$AI$108,MATCH($C30,'QoE PF Adj. P&amp;L Aug-26'!$C$11:$C$108,0),MATCH(AE$8,'QoE PF Adj. P&amp;L Aug-26'!$D$8:$AI$8,0))*1000</f>
        <v>42400</v>
      </c>
      <c r="AF30" s="10">
        <f>+INDEX('QoE PF Adj. P&amp;L Aug-26'!$D$11:$AI$108,MATCH($C30,'QoE PF Adj. P&amp;L Aug-26'!$C$11:$C$108,0),MATCH(AF$8,'QoE PF Adj. P&amp;L Aug-26'!$D$8:$AI$8,0))*1000</f>
        <v>43200</v>
      </c>
      <c r="AG30" s="10">
        <f>+INDEX('QoE PF Adj. P&amp;L Aug-26'!$D$11:$AI$108,MATCH($C30,'QoE PF Adj. P&amp;L Aug-26'!$C$11:$C$108,0),MATCH(AG$8,'QoE PF Adj. P&amp;L Aug-26'!$D$8:$AI$8,0))*1000</f>
        <v>45000</v>
      </c>
      <c r="AH30" s="10">
        <f>+INDEX('QoE PF Adj. P&amp;L Aug-26'!$D$11:$AI$108,MATCH($C30,'QoE PF Adj. P&amp;L Aug-26'!$C$11:$C$108,0),MATCH(AH$8,'QoE PF Adj. P&amp;L Aug-26'!$D$8:$AI$8,0))*1000</f>
        <v>45300</v>
      </c>
      <c r="AI30" s="10">
        <f>+INDEX('QoE PF Adj. P&amp;L Aug-26'!$D$11:$AI$108,MATCH($C30,'QoE PF Adj. P&amp;L Aug-26'!$C$11:$C$108,0),MATCH(AI$8,'QoE PF Adj. P&amp;L Aug-26'!$D$8:$AI$8,0))*1000</f>
        <v>45300</v>
      </c>
      <c r="AJ30" s="10">
        <f>+INDEX('QoE PF Adj. P&amp;L Aug-26'!$D$11:$AI$108,MATCH($C30,'QoE PF Adj. P&amp;L Aug-26'!$C$11:$C$108,0),MATCH(AJ$8,'QoE PF Adj. P&amp;L Aug-26'!$D$8:$AI$8,0))*1000</f>
        <v>46500</v>
      </c>
      <c r="AK30" s="10">
        <f>+INDEX('QoE PF Adj. P&amp;L Aug-26'!$D$11:$AI$108,MATCH($C30,'QoE PF Adj. P&amp;L Aug-26'!$C$11:$C$108,0),MATCH(AK$8,'QoE PF Adj. P&amp;L Aug-26'!$D$8:$AI$8,0))*1000</f>
        <v>45700</v>
      </c>
      <c r="AL30" s="10">
        <f>+INDEX('QoE PF Adj. P&amp;L Aug-26'!$D$11:$AI$108,MATCH($C30,'QoE PF Adj. P&amp;L Aug-26'!$C$11:$C$108,0),MATCH(AL$8,'QoE PF Adj. P&amp;L Aug-26'!$D$8:$AI$8,0))*1000</f>
        <v>41600</v>
      </c>
      <c r="AM30" s="10">
        <f>+INDEX('QoE PF Adj. P&amp;L Aug-26'!$D$11:$AI$108,MATCH($C30,'QoE PF Adj. P&amp;L Aug-26'!$C$11:$C$108,0),MATCH(AM$8,'QoE PF Adj. P&amp;L Aug-26'!$D$8:$AI$8,0))*1000</f>
        <v>42200</v>
      </c>
      <c r="AN30" s="10">
        <f>+INDEX('QoE PF Adj. P&amp;L Aug-26'!$D$11:$AI$108,MATCH($C30,'QoE PF Adj. P&amp;L Aug-26'!$C$11:$C$108,0),MATCH(AN$8,'QoE PF Adj. P&amp;L Aug-26'!$D$8:$AI$8,0))*1000</f>
        <v>44700</v>
      </c>
      <c r="AO30" s="10">
        <f>+INDEX('QoE PF Adj. P&amp;L Aug-26'!$D$11:$AI$108,MATCH($C30,'QoE PF Adj. P&amp;L Aug-26'!$C$11:$C$108,0),MATCH(AO$8,'QoE PF Adj. P&amp;L Aug-26'!$D$8:$AI$8,0))*1000</f>
        <v>42300</v>
      </c>
      <c r="AP30" s="10">
        <f>+SUMIFS('Sep - Nov P&amp;L'!I:I,'Sep - Nov P&amp;L'!$D:$D,$C30)</f>
        <v>43353.99</v>
      </c>
      <c r="AQ30" s="10">
        <f>+SUMIFS('Sep - Nov P&amp;L'!J:J,'Sep - Nov P&amp;L'!$D:$D,$C30)</f>
        <v>43742.9</v>
      </c>
      <c r="AR30" s="10">
        <f>+SUMIFS('Sep - Nov P&amp;L'!K:K,'Sep - Nov P&amp;L'!$D:$D,$C30)</f>
        <v>45360.16</v>
      </c>
      <c r="AS30" s="20">
        <f>+AS138</f>
        <v>44254.7541666667</v>
      </c>
      <c r="AT30" s="20">
        <f>+AT138</f>
        <v>44409.64580625</v>
      </c>
      <c r="AU30" s="20">
        <f>+AU138</f>
        <v>44565.0795665719</v>
      </c>
      <c r="AV30" s="20">
        <f>+AV138</f>
        <v>44721.0573450549</v>
      </c>
      <c r="AW30" s="20">
        <f>+AW138</f>
        <v>44877.5810457626</v>
      </c>
      <c r="AX30" s="20">
        <f>+AX138</f>
        <v>45034.6525794228</v>
      </c>
      <c r="AY30" s="20">
        <f>+AY138</f>
        <v>45192.2738634508</v>
      </c>
      <c r="AZ30" s="20">
        <f>+AZ138</f>
        <v>45350.4468219728</v>
      </c>
      <c r="BA30" s="20">
        <f>+BA138</f>
        <v>45509.1733858497</v>
      </c>
      <c r="BB30" s="20">
        <f>+BB138</f>
        <v>45668.4554927002</v>
      </c>
      <c r="BC30" s="20">
        <f>+BC138</f>
        <v>45828.2950869247</v>
      </c>
      <c r="BD30" s="20">
        <f>+BD138</f>
        <v>45988.6941197289</v>
      </c>
      <c r="BE30" s="20">
        <f>+BE138</f>
        <v>46149.654549148</v>
      </c>
      <c r="BF30" s="20">
        <f>+BF138</f>
        <v>46311.17834007</v>
      </c>
      <c r="BG30" s="20">
        <f>+BG138</f>
        <v>46473.2674642602</v>
      </c>
      <c r="BH30" s="20">
        <f>+BH138</f>
        <v>46635.9239003852</v>
      </c>
      <c r="BI30" s="20">
        <f>+BI138</f>
        <v>46799.1496340365</v>
      </c>
      <c r="BJ30" s="20">
        <f>+BJ138</f>
        <v>46962.9466577556</v>
      </c>
      <c r="BK30" s="20">
        <f>+BK138</f>
        <v>47127.3169710578</v>
      </c>
      <c r="BL30" s="20">
        <f>+BL138</f>
        <v>47292.2625804565</v>
      </c>
      <c r="BM30" s="20">
        <f>+BM138</f>
        <v>47457.7854994881</v>
      </c>
      <c r="BN30" s="20">
        <f>+BN138</f>
        <v>47623.8877487363</v>
      </c>
      <c r="BO30" s="20">
        <f>+BO138</f>
        <v>47790.5713558569</v>
      </c>
      <c r="BP30" s="20">
        <f>+BP138</f>
        <v>47957.8383556024</v>
      </c>
      <c r="BQ30" s="20">
        <f>+BQ138</f>
        <v>48125.690789847</v>
      </c>
    </row>
    <row r="31">
      <c r="C31" s="3" t="inlineStr">
        <is>
          <t>Utilities</t>
        </is>
      </c>
      <c r="D31" s="20">
        <f>+SUMIFS($J31:$BQ31,$J$7:$BQ$7,D$8)</f>
        <v>77600</v>
      </c>
      <c r="E31" s="20">
        <f>+SUMIFS($J31:$BQ31,$J$7:$BQ$7,E$8)</f>
        <v>81200</v>
      </c>
      <c r="F31" s="20">
        <f>+SUMIFS($J31:$BQ31,$J$7:$BQ$7,F$8)</f>
        <v>87475.8675</v>
      </c>
      <c r="G31" s="20">
        <f>+SUMIFS($J31:$BQ31,$J$7:$BQ$7,G$8)</f>
        <v>88934.8670979052</v>
      </c>
      <c r="H31" s="20">
        <f>+SUMIFS($J31:$BQ31,$J$7:$BQ$7,H$8)</f>
        <v>92742.8808775112</v>
      </c>
      <c r="J31" s="10">
        <f>+INDEX('QoE PF Adj. P&amp;L Aug-26'!$D$11:$AI$108,MATCH($C31,'QoE PF Adj. P&amp;L Aug-26'!$C$11:$C$108,0),MATCH(J$8,'QoE PF Adj. P&amp;L Aug-26'!$D$8:$AI$8,0))*1000</f>
        <v>6300</v>
      </c>
      <c r="K31" s="10">
        <f>+INDEX('QoE PF Adj. P&amp;L Aug-26'!$D$11:$AI$108,MATCH($C31,'QoE PF Adj. P&amp;L Aug-26'!$C$11:$C$108,0),MATCH(K$8,'QoE PF Adj. P&amp;L Aug-26'!$D$8:$AI$8,0))*1000</f>
        <v>6100</v>
      </c>
      <c r="L31" s="10">
        <f>+INDEX('QoE PF Adj. P&amp;L Aug-26'!$D$11:$AI$108,MATCH($C31,'QoE PF Adj. P&amp;L Aug-26'!$C$11:$C$108,0),MATCH(L$8,'QoE PF Adj. P&amp;L Aug-26'!$D$8:$AI$8,0))*1000</f>
        <v>6600</v>
      </c>
      <c r="M31" s="10">
        <f>+INDEX('QoE PF Adj. P&amp;L Aug-26'!$D$11:$AI$108,MATCH($C31,'QoE PF Adj. P&amp;L Aug-26'!$C$11:$C$108,0),MATCH(M$8,'QoE PF Adj. P&amp;L Aug-26'!$D$8:$AI$8,0))*1000</f>
        <v>6400</v>
      </c>
      <c r="N31" s="10">
        <f>+INDEX('QoE PF Adj. P&amp;L Aug-26'!$D$11:$AI$108,MATCH($C31,'QoE PF Adj. P&amp;L Aug-26'!$C$11:$C$108,0),MATCH(N$8,'QoE PF Adj. P&amp;L Aug-26'!$D$8:$AI$8,0))*1000</f>
        <v>6400</v>
      </c>
      <c r="O31" s="10">
        <f>+INDEX('QoE PF Adj. P&amp;L Aug-26'!$D$11:$AI$108,MATCH($C31,'QoE PF Adj. P&amp;L Aug-26'!$C$11:$C$108,0),MATCH(O$8,'QoE PF Adj. P&amp;L Aug-26'!$D$8:$AI$8,0))*1000</f>
        <v>6600</v>
      </c>
      <c r="P31" s="10">
        <f>+INDEX('QoE PF Adj. P&amp;L Aug-26'!$D$11:$AI$108,MATCH($C31,'QoE PF Adj. P&amp;L Aug-26'!$C$11:$C$108,0),MATCH(P$8,'QoE PF Adj. P&amp;L Aug-26'!$D$8:$AI$8,0))*1000</f>
        <v>6200</v>
      </c>
      <c r="Q31" s="10">
        <f>+INDEX('QoE PF Adj. P&amp;L Aug-26'!$D$11:$AI$108,MATCH($C31,'QoE PF Adj. P&amp;L Aug-26'!$C$11:$C$108,0),MATCH(Q$8,'QoE PF Adj. P&amp;L Aug-26'!$D$8:$AI$8,0))*1000</f>
        <v>6800</v>
      </c>
      <c r="R31" s="10">
        <f>+INDEX('QoE PF Adj. P&amp;L Aug-26'!$D$11:$AI$108,MATCH($C31,'QoE PF Adj. P&amp;L Aug-26'!$C$11:$C$108,0),MATCH(R$8,'QoE PF Adj. P&amp;L Aug-26'!$D$8:$AI$8,0))*1000</f>
        <v>6500</v>
      </c>
      <c r="S31" s="10">
        <f>+INDEX('QoE PF Adj. P&amp;L Aug-26'!$D$11:$AI$108,MATCH($C31,'QoE PF Adj. P&amp;L Aug-26'!$C$11:$C$108,0),MATCH(S$8,'QoE PF Adj. P&amp;L Aug-26'!$D$8:$AI$8,0))*1000</f>
        <v>6700</v>
      </c>
      <c r="T31" s="10">
        <f>+INDEX('QoE PF Adj. P&amp;L Aug-26'!$D$11:$AI$108,MATCH($C31,'QoE PF Adj. P&amp;L Aug-26'!$C$11:$C$108,0),MATCH(T$8,'QoE PF Adj. P&amp;L Aug-26'!$D$8:$AI$8,0))*1000</f>
        <v>6500</v>
      </c>
      <c r="U31" s="10">
        <f>+INDEX('QoE PF Adj. P&amp;L Aug-26'!$D$11:$AI$108,MATCH($C31,'QoE PF Adj. P&amp;L Aug-26'!$C$11:$C$108,0),MATCH(U$8,'QoE PF Adj. P&amp;L Aug-26'!$D$8:$AI$8,0))*1000</f>
        <v>6500</v>
      </c>
      <c r="V31" s="10">
        <f>+INDEX('QoE PF Adj. P&amp;L Aug-26'!$D$11:$AI$108,MATCH($C31,'QoE PF Adj. P&amp;L Aug-26'!$C$11:$C$108,0),MATCH(V$8,'QoE PF Adj. P&amp;L Aug-26'!$D$8:$AI$8,0))*1000</f>
        <v>6600</v>
      </c>
      <c r="W31" s="10">
        <f>+INDEX('QoE PF Adj. P&amp;L Aug-26'!$D$11:$AI$108,MATCH($C31,'QoE PF Adj. P&amp;L Aug-26'!$C$11:$C$108,0),MATCH(W$8,'QoE PF Adj. P&amp;L Aug-26'!$D$8:$AI$8,0))*1000</f>
        <v>6600</v>
      </c>
      <c r="X31" s="10">
        <f>+INDEX('QoE PF Adj. P&amp;L Aug-26'!$D$11:$AI$108,MATCH($C31,'QoE PF Adj. P&amp;L Aug-26'!$C$11:$C$108,0),MATCH(X$8,'QoE PF Adj. P&amp;L Aug-26'!$D$8:$AI$8,0))*1000</f>
        <v>6300</v>
      </c>
      <c r="Y31" s="10">
        <f>+INDEX('QoE PF Adj. P&amp;L Aug-26'!$D$11:$AI$108,MATCH($C31,'QoE PF Adj. P&amp;L Aug-26'!$C$11:$C$108,0),MATCH(Y$8,'QoE PF Adj. P&amp;L Aug-26'!$D$8:$AI$8,0))*1000</f>
        <v>6600</v>
      </c>
      <c r="Z31" s="10">
        <f>+INDEX('QoE PF Adj. P&amp;L Aug-26'!$D$11:$AI$108,MATCH($C31,'QoE PF Adj. P&amp;L Aug-26'!$C$11:$C$108,0),MATCH(Z$8,'QoE PF Adj. P&amp;L Aug-26'!$D$8:$AI$8,0))*1000</f>
        <v>7000</v>
      </c>
      <c r="AA31" s="10">
        <f>+INDEX('QoE PF Adj. P&amp;L Aug-26'!$D$11:$AI$108,MATCH($C31,'QoE PF Adj. P&amp;L Aug-26'!$C$11:$C$108,0),MATCH(AA$8,'QoE PF Adj. P&amp;L Aug-26'!$D$8:$AI$8,0))*1000</f>
        <v>6500</v>
      </c>
      <c r="AB31" s="10">
        <f>+INDEX('QoE PF Adj. P&amp;L Aug-26'!$D$11:$AI$108,MATCH($C31,'QoE PF Adj. P&amp;L Aug-26'!$C$11:$C$108,0),MATCH(AB$8,'QoE PF Adj. P&amp;L Aug-26'!$D$8:$AI$8,0))*1000</f>
        <v>7200</v>
      </c>
      <c r="AC31" s="10">
        <f>+INDEX('QoE PF Adj. P&amp;L Aug-26'!$D$11:$AI$108,MATCH($C31,'QoE PF Adj. P&amp;L Aug-26'!$C$11:$C$108,0),MATCH(AC$8,'QoE PF Adj. P&amp;L Aug-26'!$D$8:$AI$8,0))*1000</f>
        <v>6900</v>
      </c>
      <c r="AD31" s="10">
        <f>+INDEX('QoE PF Adj. P&amp;L Aug-26'!$D$11:$AI$108,MATCH($C31,'QoE PF Adj. P&amp;L Aug-26'!$C$11:$C$108,0),MATCH(AD$8,'QoE PF Adj. P&amp;L Aug-26'!$D$8:$AI$8,0))*1000</f>
        <v>7400</v>
      </c>
      <c r="AE31" s="10">
        <f>+INDEX('QoE PF Adj. P&amp;L Aug-26'!$D$11:$AI$108,MATCH($C31,'QoE PF Adj. P&amp;L Aug-26'!$C$11:$C$108,0),MATCH(AE$8,'QoE PF Adj. P&amp;L Aug-26'!$D$8:$AI$8,0))*1000</f>
        <v>6700</v>
      </c>
      <c r="AF31" s="10">
        <f>+INDEX('QoE PF Adj. P&amp;L Aug-26'!$D$11:$AI$108,MATCH($C31,'QoE PF Adj. P&amp;L Aug-26'!$C$11:$C$108,0),MATCH(AF$8,'QoE PF Adj. P&amp;L Aug-26'!$D$8:$AI$8,0))*1000</f>
        <v>6700</v>
      </c>
      <c r="AG31" s="10">
        <f>+INDEX('QoE PF Adj. P&amp;L Aug-26'!$D$11:$AI$108,MATCH($C31,'QoE PF Adj. P&amp;L Aug-26'!$C$11:$C$108,0),MATCH(AG$8,'QoE PF Adj. P&amp;L Aug-26'!$D$8:$AI$8,0))*1000</f>
        <v>6700</v>
      </c>
      <c r="AH31" s="10">
        <f>+INDEX('QoE PF Adj. P&amp;L Aug-26'!$D$11:$AI$108,MATCH($C31,'QoE PF Adj. P&amp;L Aug-26'!$C$11:$C$108,0),MATCH(AH$8,'QoE PF Adj. P&amp;L Aug-26'!$D$8:$AI$8,0))*1000</f>
        <v>7100</v>
      </c>
      <c r="AI31" s="10">
        <f>+INDEX('QoE PF Adj. P&amp;L Aug-26'!$D$11:$AI$108,MATCH($C31,'QoE PF Adj. P&amp;L Aug-26'!$C$11:$C$108,0),MATCH(AI$8,'QoE PF Adj. P&amp;L Aug-26'!$D$8:$AI$8,0))*1000</f>
        <v>7600</v>
      </c>
      <c r="AJ31" s="10">
        <f>+INDEX('QoE PF Adj. P&amp;L Aug-26'!$D$11:$AI$108,MATCH($C31,'QoE PF Adj. P&amp;L Aug-26'!$C$11:$C$108,0),MATCH(AJ$8,'QoE PF Adj. P&amp;L Aug-26'!$D$8:$AI$8,0))*1000</f>
        <v>6800</v>
      </c>
      <c r="AK31" s="10">
        <f>+INDEX('QoE PF Adj. P&amp;L Aug-26'!$D$11:$AI$108,MATCH($C31,'QoE PF Adj. P&amp;L Aug-26'!$C$11:$C$108,0),MATCH(AK$8,'QoE PF Adj. P&amp;L Aug-26'!$D$8:$AI$8,0))*1000</f>
        <v>7200</v>
      </c>
      <c r="AL31" s="10">
        <f>+INDEX('QoE PF Adj. P&amp;L Aug-26'!$D$11:$AI$108,MATCH($C31,'QoE PF Adj. P&amp;L Aug-26'!$C$11:$C$108,0),MATCH(AL$8,'QoE PF Adj. P&amp;L Aug-26'!$D$8:$AI$8,0))*1000</f>
        <v>7600</v>
      </c>
      <c r="AM31" s="10">
        <f>+INDEX('QoE PF Adj. P&amp;L Aug-26'!$D$11:$AI$108,MATCH($C31,'QoE PF Adj. P&amp;L Aug-26'!$C$11:$C$108,0),MATCH(AM$8,'QoE PF Adj. P&amp;L Aug-26'!$D$8:$AI$8,0))*1000</f>
        <v>7000</v>
      </c>
      <c r="AN31" s="10">
        <f>+INDEX('QoE PF Adj. P&amp;L Aug-26'!$D$11:$AI$108,MATCH($C31,'QoE PF Adj. P&amp;L Aug-26'!$C$11:$C$108,0),MATCH(AN$8,'QoE PF Adj. P&amp;L Aug-26'!$D$8:$AI$8,0))*1000</f>
        <v>7200</v>
      </c>
      <c r="AO31" s="10">
        <f>+INDEX('QoE PF Adj. P&amp;L Aug-26'!$D$11:$AI$108,MATCH($C31,'QoE PF Adj. P&amp;L Aug-26'!$C$11:$C$108,0),MATCH(AO$8,'QoE PF Adj. P&amp;L Aug-26'!$D$8:$AI$8,0))*1000</f>
        <v>7300</v>
      </c>
      <c r="AP31" s="10">
        <f>+SUMIFS('Sep - Nov P&amp;L'!I:I,'Sep - Nov P&amp;L'!$D:$D,$C31)</f>
        <v>7569.46</v>
      </c>
      <c r="AQ31" s="10">
        <f>+SUMIFS('Sep - Nov P&amp;L'!J:J,'Sep - Nov P&amp;L'!$D:$D,$C31)</f>
        <v>7723.55</v>
      </c>
      <c r="AR31" s="10">
        <f>+SUMIFS('Sep - Nov P&amp;L'!K:K,'Sep - Nov P&amp;L'!$D:$D,$C31)</f>
        <v>7138.56</v>
      </c>
      <c r="AS31" s="20">
        <f>+AS139</f>
        <v>7244.2975</v>
      </c>
      <c r="AT31" s="20">
        <f>+AT139</f>
        <v>7269.65254125</v>
      </c>
      <c r="AU31" s="20">
        <f>+AU139</f>
        <v>7295.09632514438</v>
      </c>
      <c r="AV31" s="20">
        <f>+AV139</f>
        <v>7320.62916228238</v>
      </c>
      <c r="AW31" s="20">
        <f>+AW139</f>
        <v>7346.25136435037</v>
      </c>
      <c r="AX31" s="20">
        <f>+AX139</f>
        <v>7371.9632441256</v>
      </c>
      <c r="AY31" s="20">
        <f>+AY139</f>
        <v>7397.76511548004</v>
      </c>
      <c r="AZ31" s="20">
        <f>+AZ139</f>
        <v>7423.65729338422</v>
      </c>
      <c r="BA31" s="20">
        <f>+BA139</f>
        <v>7449.64009391106</v>
      </c>
      <c r="BB31" s="20">
        <f>+BB139</f>
        <v>7475.71383423975</v>
      </c>
      <c r="BC31" s="20">
        <f>+BC139</f>
        <v>7501.87883265959</v>
      </c>
      <c r="BD31" s="20">
        <f>+BD139</f>
        <v>7528.1354085739</v>
      </c>
      <c r="BE31" s="20">
        <f>+BE139</f>
        <v>7554.48388250391</v>
      </c>
      <c r="BF31" s="20">
        <f>+BF139</f>
        <v>7580.92457609267</v>
      </c>
      <c r="BG31" s="20">
        <f>+BG139</f>
        <v>7607.457812109</v>
      </c>
      <c r="BH31" s="20">
        <f>+BH139</f>
        <v>7634.08391445138</v>
      </c>
      <c r="BI31" s="20">
        <f>+BI139</f>
        <v>7660.80320815196</v>
      </c>
      <c r="BJ31" s="20">
        <f>+BJ139</f>
        <v>7687.61601938049</v>
      </c>
      <c r="BK31" s="20">
        <f>+BK139</f>
        <v>7714.52267544833</v>
      </c>
      <c r="BL31" s="20">
        <f>+BL139</f>
        <v>7741.5235048124</v>
      </c>
      <c r="BM31" s="20">
        <f>+BM139</f>
        <v>7768.61883707924</v>
      </c>
      <c r="BN31" s="20">
        <f>+BN139</f>
        <v>7795.80900300902</v>
      </c>
      <c r="BO31" s="20">
        <f>+BO139</f>
        <v>7823.09433451955</v>
      </c>
      <c r="BP31" s="20">
        <f>+BP139</f>
        <v>7850.47516469037</v>
      </c>
      <c r="BQ31" s="20">
        <f>+BQ139</f>
        <v>7877.95182776679</v>
      </c>
    </row>
    <row r="32">
      <c r="C32" s="3" t="inlineStr">
        <is>
          <t>Janitorial</t>
        </is>
      </c>
      <c r="D32" s="20">
        <f>+SUMIFS($J32:$BQ32,$J$7:$BQ$7,D$8)</f>
        <v>38600</v>
      </c>
      <c r="E32" s="20">
        <f>+SUMIFS($J32:$BQ32,$J$7:$BQ$7,E$8)</f>
        <v>41200</v>
      </c>
      <c r="F32" s="20">
        <f>+SUMIFS($J32:$BQ32,$J$7:$BQ$7,F$8)</f>
        <v>32141.6666666667</v>
      </c>
      <c r="G32" s="20">
        <f>+SUMIFS($J32:$BQ32,$J$7:$BQ$7,G$8)</f>
        <v>33658.1650086508</v>
      </c>
      <c r="H32" s="20">
        <f>+SUMIFS($J32:$BQ32,$J$7:$BQ$7,H$8)</f>
        <v>35099.3405602834</v>
      </c>
      <c r="J32" s="10">
        <f>+INDEX('QoE PF Adj. P&amp;L Aug-26'!$D$11:$AI$108,MATCH($C32,'QoE PF Adj. P&amp;L Aug-26'!$C$11:$C$108,0),MATCH(J$8,'QoE PF Adj. P&amp;L Aug-26'!$D$8:$AI$8,0))*1000</f>
        <v>3200</v>
      </c>
      <c r="K32" s="10">
        <f>+INDEX('QoE PF Adj. P&amp;L Aug-26'!$D$11:$AI$108,MATCH($C32,'QoE PF Adj. P&amp;L Aug-26'!$C$11:$C$108,0),MATCH(K$8,'QoE PF Adj. P&amp;L Aug-26'!$D$8:$AI$8,0))*1000</f>
        <v>3000</v>
      </c>
      <c r="L32" s="10">
        <f>+INDEX('QoE PF Adj. P&amp;L Aug-26'!$D$11:$AI$108,MATCH($C32,'QoE PF Adj. P&amp;L Aug-26'!$C$11:$C$108,0),MATCH(L$8,'QoE PF Adj. P&amp;L Aug-26'!$D$8:$AI$8,0))*1000</f>
        <v>3000</v>
      </c>
      <c r="M32" s="10">
        <f>+INDEX('QoE PF Adj. P&amp;L Aug-26'!$D$11:$AI$108,MATCH($C32,'QoE PF Adj. P&amp;L Aug-26'!$C$11:$C$108,0),MATCH(M$8,'QoE PF Adj. P&amp;L Aug-26'!$D$8:$AI$8,0))*1000</f>
        <v>3100</v>
      </c>
      <c r="N32" s="10">
        <f>+INDEX('QoE PF Adj. P&amp;L Aug-26'!$D$11:$AI$108,MATCH($C32,'QoE PF Adj. P&amp;L Aug-26'!$C$11:$C$108,0),MATCH(N$8,'QoE PF Adj. P&amp;L Aug-26'!$D$8:$AI$8,0))*1000</f>
        <v>3300</v>
      </c>
      <c r="O32" s="10">
        <f>+INDEX('QoE PF Adj. P&amp;L Aug-26'!$D$11:$AI$108,MATCH($C32,'QoE PF Adj. P&amp;L Aug-26'!$C$11:$C$108,0),MATCH(O$8,'QoE PF Adj. P&amp;L Aug-26'!$D$8:$AI$8,0))*1000</f>
        <v>3200</v>
      </c>
      <c r="P32" s="10">
        <f>+INDEX('QoE PF Adj. P&amp;L Aug-26'!$D$11:$AI$108,MATCH($C32,'QoE PF Adj. P&amp;L Aug-26'!$C$11:$C$108,0),MATCH(P$8,'QoE PF Adj. P&amp;L Aug-26'!$D$8:$AI$8,0))*1000</f>
        <v>3400</v>
      </c>
      <c r="Q32" s="10">
        <f>+INDEX('QoE PF Adj. P&amp;L Aug-26'!$D$11:$AI$108,MATCH($C32,'QoE PF Adj. P&amp;L Aug-26'!$C$11:$C$108,0),MATCH(Q$8,'QoE PF Adj. P&amp;L Aug-26'!$D$8:$AI$8,0))*1000</f>
        <v>3000</v>
      </c>
      <c r="R32" s="10">
        <f>+INDEX('QoE PF Adj. P&amp;L Aug-26'!$D$11:$AI$108,MATCH($C32,'QoE PF Adj. P&amp;L Aug-26'!$C$11:$C$108,0),MATCH(R$8,'QoE PF Adj. P&amp;L Aug-26'!$D$8:$AI$8,0))*1000</f>
        <v>3400</v>
      </c>
      <c r="S32" s="10">
        <f>+INDEX('QoE PF Adj. P&amp;L Aug-26'!$D$11:$AI$108,MATCH($C32,'QoE PF Adj. P&amp;L Aug-26'!$C$11:$C$108,0),MATCH(S$8,'QoE PF Adj. P&amp;L Aug-26'!$D$8:$AI$8,0))*1000</f>
        <v>3100</v>
      </c>
      <c r="T32" s="10">
        <f>+INDEX('QoE PF Adj. P&amp;L Aug-26'!$D$11:$AI$108,MATCH($C32,'QoE PF Adj. P&amp;L Aug-26'!$C$11:$C$108,0),MATCH(T$8,'QoE PF Adj. P&amp;L Aug-26'!$D$8:$AI$8,0))*1000</f>
        <v>3400</v>
      </c>
      <c r="U32" s="10">
        <f>+INDEX('QoE PF Adj. P&amp;L Aug-26'!$D$11:$AI$108,MATCH($C32,'QoE PF Adj. P&amp;L Aug-26'!$C$11:$C$108,0),MATCH(U$8,'QoE PF Adj. P&amp;L Aug-26'!$D$8:$AI$8,0))*1000</f>
        <v>3500</v>
      </c>
      <c r="V32" s="10">
        <f>+INDEX('QoE PF Adj. P&amp;L Aug-26'!$D$11:$AI$108,MATCH($C32,'QoE PF Adj. P&amp;L Aug-26'!$C$11:$C$108,0),MATCH(V$8,'QoE PF Adj. P&amp;L Aug-26'!$D$8:$AI$8,0))*1000</f>
        <v>3100</v>
      </c>
      <c r="W32" s="10">
        <f>+INDEX('QoE PF Adj. P&amp;L Aug-26'!$D$11:$AI$108,MATCH($C32,'QoE PF Adj. P&amp;L Aug-26'!$C$11:$C$108,0),MATCH(W$8,'QoE PF Adj. P&amp;L Aug-26'!$D$8:$AI$8,0))*1000</f>
        <v>3300</v>
      </c>
      <c r="X32" s="10">
        <f>+INDEX('QoE PF Adj. P&amp;L Aug-26'!$D$11:$AI$108,MATCH($C32,'QoE PF Adj. P&amp;L Aug-26'!$C$11:$C$108,0),MATCH(X$8,'QoE PF Adj. P&amp;L Aug-26'!$D$8:$AI$8,0))*1000</f>
        <v>3500</v>
      </c>
      <c r="Y32" s="10">
        <f>+INDEX('QoE PF Adj. P&amp;L Aug-26'!$D$11:$AI$108,MATCH($C32,'QoE PF Adj. P&amp;L Aug-26'!$C$11:$C$108,0),MATCH(Y$8,'QoE PF Adj. P&amp;L Aug-26'!$D$8:$AI$8,0))*1000</f>
        <v>3500</v>
      </c>
      <c r="Z32" s="10">
        <f>+INDEX('QoE PF Adj. P&amp;L Aug-26'!$D$11:$AI$108,MATCH($C32,'QoE PF Adj. P&amp;L Aug-26'!$C$11:$C$108,0),MATCH(Z$8,'QoE PF Adj. P&amp;L Aug-26'!$D$8:$AI$8,0))*1000</f>
        <v>3600</v>
      </c>
      <c r="AA32" s="10">
        <f>+INDEX('QoE PF Adj. P&amp;L Aug-26'!$D$11:$AI$108,MATCH($C32,'QoE PF Adj. P&amp;L Aug-26'!$C$11:$C$108,0),MATCH(AA$8,'QoE PF Adj. P&amp;L Aug-26'!$D$8:$AI$8,0))*1000</f>
        <v>3600</v>
      </c>
      <c r="AB32" s="10">
        <f>+INDEX('QoE PF Adj. P&amp;L Aug-26'!$D$11:$AI$108,MATCH($C32,'QoE PF Adj. P&amp;L Aug-26'!$C$11:$C$108,0),MATCH(AB$8,'QoE PF Adj. P&amp;L Aug-26'!$D$8:$AI$8,0))*1000</f>
        <v>3400</v>
      </c>
      <c r="AC32" s="10">
        <f>+INDEX('QoE PF Adj. P&amp;L Aug-26'!$D$11:$AI$108,MATCH($C32,'QoE PF Adj. P&amp;L Aug-26'!$C$11:$C$108,0),MATCH(AC$8,'QoE PF Adj. P&amp;L Aug-26'!$D$8:$AI$8,0))*1000</f>
        <v>3400</v>
      </c>
      <c r="AD32" s="10">
        <f>+INDEX('QoE PF Adj. P&amp;L Aug-26'!$D$11:$AI$108,MATCH($C32,'QoE PF Adj. P&amp;L Aug-26'!$C$11:$C$108,0),MATCH(AD$8,'QoE PF Adj. P&amp;L Aug-26'!$D$8:$AI$8,0))*1000</f>
        <v>3500</v>
      </c>
      <c r="AE32" s="10">
        <f>+INDEX('QoE PF Adj. P&amp;L Aug-26'!$D$11:$AI$108,MATCH($C32,'QoE PF Adj. P&amp;L Aug-26'!$C$11:$C$108,0),MATCH(AE$8,'QoE PF Adj. P&amp;L Aug-26'!$D$8:$AI$8,0))*1000</f>
        <v>3400</v>
      </c>
      <c r="AF32" s="10">
        <f>+INDEX('QoE PF Adj. P&amp;L Aug-26'!$D$11:$AI$108,MATCH($C32,'QoE PF Adj. P&amp;L Aug-26'!$C$11:$C$108,0),MATCH(AF$8,'QoE PF Adj. P&amp;L Aug-26'!$D$8:$AI$8,0))*1000</f>
        <v>3400</v>
      </c>
      <c r="AG32" s="10">
        <f>+INDEX('QoE PF Adj. P&amp;L Aug-26'!$D$11:$AI$108,MATCH($C32,'QoE PF Adj. P&amp;L Aug-26'!$C$11:$C$108,0),MATCH(AG$8,'QoE PF Adj. P&amp;L Aug-26'!$D$8:$AI$8,0))*1000</f>
        <v>3500</v>
      </c>
      <c r="AH32" s="10">
        <f>+INDEX('QoE PF Adj. P&amp;L Aug-26'!$D$11:$AI$108,MATCH($C32,'QoE PF Adj. P&amp;L Aug-26'!$C$11:$C$108,0),MATCH(AH$8,'QoE PF Adj. P&amp;L Aug-26'!$D$8:$AI$8,0))*1000</f>
        <v>3400</v>
      </c>
      <c r="AI32" s="10">
        <f>+INDEX('QoE PF Adj. P&amp;L Aug-26'!$D$11:$AI$108,MATCH($C32,'QoE PF Adj. P&amp;L Aug-26'!$C$11:$C$108,0),MATCH(AI$8,'QoE PF Adj. P&amp;L Aug-26'!$D$8:$AI$8,0))*1000</f>
        <v>3600</v>
      </c>
      <c r="AJ32" s="10">
        <f>+INDEX('QoE PF Adj. P&amp;L Aug-26'!$D$11:$AI$108,MATCH($C32,'QoE PF Adj. P&amp;L Aug-26'!$C$11:$C$108,0),MATCH(AJ$8,'QoE PF Adj. P&amp;L Aug-26'!$D$8:$AI$8,0))*1000</f>
        <v>3400</v>
      </c>
      <c r="AK32" s="10">
        <f>+INDEX('QoE PF Adj. P&amp;L Aug-26'!$D$11:$AI$108,MATCH($C32,'QoE PF Adj. P&amp;L Aug-26'!$C$11:$C$108,0),MATCH(AK$8,'QoE PF Adj. P&amp;L Aug-26'!$D$8:$AI$8,0))*1000</f>
        <v>3900</v>
      </c>
      <c r="AL32" s="10">
        <f>+INDEX('QoE PF Adj. P&amp;L Aug-26'!$D$11:$AI$108,MATCH($C32,'QoE PF Adj. P&amp;L Aug-26'!$C$11:$C$108,0),MATCH(AL$8,'QoE PF Adj. P&amp;L Aug-26'!$D$8:$AI$8,0))*1000</f>
        <v>3800</v>
      </c>
      <c r="AM32" s="10">
        <f>+INDEX('QoE PF Adj. P&amp;L Aug-26'!$D$11:$AI$108,MATCH($C32,'QoE PF Adj. P&amp;L Aug-26'!$C$11:$C$108,0),MATCH(AM$8,'QoE PF Adj. P&amp;L Aug-26'!$D$8:$AI$8,0))*1000</f>
        <v>3800</v>
      </c>
      <c r="AN32" s="10">
        <f>+INDEX('QoE PF Adj. P&amp;L Aug-26'!$D$11:$AI$108,MATCH($C32,'QoE PF Adj. P&amp;L Aug-26'!$C$11:$C$108,0),MATCH(AN$8,'QoE PF Adj. P&amp;L Aug-26'!$D$8:$AI$8,0))*1000</f>
        <v>3800</v>
      </c>
      <c r="AO32" s="10">
        <f>+INDEX('QoE PF Adj. P&amp;L Aug-26'!$D$11:$AI$108,MATCH($C32,'QoE PF Adj. P&amp;L Aug-26'!$C$11:$C$108,0),MATCH(AO$8,'QoE PF Adj. P&amp;L Aug-26'!$D$8:$AI$8,0))*1000</f>
        <v>3700</v>
      </c>
      <c r="AP32" s="10">
        <f>+SUMIFS('Sep - Nov P&amp;L'!I:I,'Sep - Nov P&amp;L'!$D:$D,$C32)</f>
        <v>0</v>
      </c>
      <c r="AQ32" s="10">
        <f>+SUMIFS('Sep - Nov P&amp;L'!J:J,'Sep - Nov P&amp;L'!$D:$D,$C32)</f>
        <v>0</v>
      </c>
      <c r="AR32" s="10">
        <f>+SUMIFS('Sep - Nov P&amp;L'!K:K,'Sep - Nov P&amp;L'!$D:$D,$C32)</f>
        <v>0</v>
      </c>
      <c r="AS32" s="20">
        <f>+AS140</f>
        <v>2741.66666666667</v>
      </c>
      <c r="AT32" s="20">
        <f>+AT140</f>
        <v>2751.2625</v>
      </c>
      <c r="AU32" s="20">
        <f>+AU140</f>
        <v>2760.89191875</v>
      </c>
      <c r="AV32" s="20">
        <f>+AV140</f>
        <v>2770.55504046563</v>
      </c>
      <c r="AW32" s="20">
        <f>+AW140</f>
        <v>2780.25198310726</v>
      </c>
      <c r="AX32" s="20">
        <f>+AX140</f>
        <v>2789.98286504813</v>
      </c>
      <c r="AY32" s="20">
        <f>+AY140</f>
        <v>2799.7478050758</v>
      </c>
      <c r="AZ32" s="20">
        <f>+AZ140</f>
        <v>2809.54692239356</v>
      </c>
      <c r="BA32" s="20">
        <f>+BA140</f>
        <v>2819.38033662194</v>
      </c>
      <c r="BB32" s="20">
        <f>+BB140</f>
        <v>2829.24816780012</v>
      </c>
      <c r="BC32" s="20">
        <f>+BC140</f>
        <v>2839.15053638742</v>
      </c>
      <c r="BD32" s="20">
        <f>+BD140</f>
        <v>2849.08756326478</v>
      </c>
      <c r="BE32" s="20">
        <f>+BE140</f>
        <v>2859.0593697362</v>
      </c>
      <c r="BF32" s="20">
        <f>+BF140</f>
        <v>2869.06607753028</v>
      </c>
      <c r="BG32" s="20">
        <f>+BG140</f>
        <v>2879.10780880164</v>
      </c>
      <c r="BH32" s="20">
        <f>+BH140</f>
        <v>2889.18468613244</v>
      </c>
      <c r="BI32" s="20">
        <f>+BI140</f>
        <v>2899.29683253391</v>
      </c>
      <c r="BJ32" s="20">
        <f>+BJ140</f>
        <v>2909.44437144777</v>
      </c>
      <c r="BK32" s="20">
        <f>+BK140</f>
        <v>2919.62742674784</v>
      </c>
      <c r="BL32" s="20">
        <f>+BL140</f>
        <v>2929.84612274146</v>
      </c>
      <c r="BM32" s="20">
        <f>+BM140</f>
        <v>2940.10058417105</v>
      </c>
      <c r="BN32" s="20">
        <f>+BN140</f>
        <v>2950.39093621565</v>
      </c>
      <c r="BO32" s="20">
        <f>+BO140</f>
        <v>2960.71730449241</v>
      </c>
      <c r="BP32" s="20">
        <f>+BP140</f>
        <v>2971.07981505813</v>
      </c>
      <c r="BQ32" s="20">
        <f>+BQ140</f>
        <v>2981.47859441084</v>
      </c>
    </row>
    <row r="33">
      <c r="C33" s="3" t="inlineStr">
        <is>
          <t>Security</t>
        </is>
      </c>
      <c r="D33" s="20">
        <f>+SUMIFS($J33:$BQ33,$J$7:$BQ$7,D$8)</f>
        <v>12900</v>
      </c>
      <c r="E33" s="20">
        <f>+SUMIFS($J33:$BQ33,$J$7:$BQ$7,E$8)</f>
        <v>14100</v>
      </c>
      <c r="F33" s="20">
        <f>+SUMIFS($J33:$BQ33,$J$7:$BQ$7,F$8)</f>
        <v>10725</v>
      </c>
      <c r="G33" s="20">
        <f>+SUMIFS($J33:$BQ33,$J$7:$BQ$7,G$8)</f>
        <v>11355.7942734354</v>
      </c>
      <c r="H33" s="20">
        <f>+SUMIFS($J33:$BQ33,$J$7:$BQ$7,H$8)</f>
        <v>11842.0267543813</v>
      </c>
      <c r="J33" s="10">
        <f>+INDEX('QoE PF Adj. P&amp;L Aug-26'!$D$11:$AI$108,MATCH($C33,'QoE PF Adj. P&amp;L Aug-26'!$C$11:$C$108,0),MATCH(J$8,'QoE PF Adj. P&amp;L Aug-26'!$D$8:$AI$8,0))*1000</f>
        <v>1000</v>
      </c>
      <c r="K33" s="10">
        <f>+INDEX('QoE PF Adj. P&amp;L Aug-26'!$D$11:$AI$108,MATCH($C33,'QoE PF Adj. P&amp;L Aug-26'!$C$11:$C$108,0),MATCH(K$8,'QoE PF Adj. P&amp;L Aug-26'!$D$8:$AI$8,0))*1000</f>
        <v>1100</v>
      </c>
      <c r="L33" s="10">
        <f>+INDEX('QoE PF Adj. P&amp;L Aug-26'!$D$11:$AI$108,MATCH($C33,'QoE PF Adj. P&amp;L Aug-26'!$C$11:$C$108,0),MATCH(L$8,'QoE PF Adj. P&amp;L Aug-26'!$D$8:$AI$8,0))*1000</f>
        <v>1000</v>
      </c>
      <c r="M33" s="10">
        <f>+INDEX('QoE PF Adj. P&amp;L Aug-26'!$D$11:$AI$108,MATCH($C33,'QoE PF Adj. P&amp;L Aug-26'!$C$11:$C$108,0),MATCH(M$8,'QoE PF Adj. P&amp;L Aug-26'!$D$8:$AI$8,0))*1000</f>
        <v>1000</v>
      </c>
      <c r="N33" s="10">
        <f>+INDEX('QoE PF Adj. P&amp;L Aug-26'!$D$11:$AI$108,MATCH($C33,'QoE PF Adj. P&amp;L Aug-26'!$C$11:$C$108,0),MATCH(N$8,'QoE PF Adj. P&amp;L Aug-26'!$D$8:$AI$8,0))*1000</f>
        <v>1100</v>
      </c>
      <c r="O33" s="10">
        <f>+INDEX('QoE PF Adj. P&amp;L Aug-26'!$D$11:$AI$108,MATCH($C33,'QoE PF Adj. P&amp;L Aug-26'!$C$11:$C$108,0),MATCH(O$8,'QoE PF Adj. P&amp;L Aug-26'!$D$8:$AI$8,0))*1000</f>
        <v>1100</v>
      </c>
      <c r="P33" s="10">
        <f>+INDEX('QoE PF Adj. P&amp;L Aug-26'!$D$11:$AI$108,MATCH($C33,'QoE PF Adj. P&amp;L Aug-26'!$C$11:$C$108,0),MATCH(P$8,'QoE PF Adj. P&amp;L Aug-26'!$D$8:$AI$8,0))*1000</f>
        <v>1100</v>
      </c>
      <c r="Q33" s="10">
        <f>+INDEX('QoE PF Adj. P&amp;L Aug-26'!$D$11:$AI$108,MATCH($C33,'QoE PF Adj. P&amp;L Aug-26'!$C$11:$C$108,0),MATCH(Q$8,'QoE PF Adj. P&amp;L Aug-26'!$D$8:$AI$8,0))*1000</f>
        <v>1000</v>
      </c>
      <c r="R33" s="10">
        <f>+INDEX('QoE PF Adj. P&amp;L Aug-26'!$D$11:$AI$108,MATCH($C33,'QoE PF Adj. P&amp;L Aug-26'!$C$11:$C$108,0),MATCH(R$8,'QoE PF Adj. P&amp;L Aug-26'!$D$8:$AI$8,0))*1000</f>
        <v>1200</v>
      </c>
      <c r="S33" s="10">
        <f>+INDEX('QoE PF Adj. P&amp;L Aug-26'!$D$11:$AI$108,MATCH($C33,'QoE PF Adj. P&amp;L Aug-26'!$C$11:$C$108,0),MATCH(S$8,'QoE PF Adj. P&amp;L Aug-26'!$D$8:$AI$8,0))*1000</f>
        <v>1100</v>
      </c>
      <c r="T33" s="10">
        <f>+INDEX('QoE PF Adj. P&amp;L Aug-26'!$D$11:$AI$108,MATCH($C33,'QoE PF Adj. P&amp;L Aug-26'!$C$11:$C$108,0),MATCH(T$8,'QoE PF Adj. P&amp;L Aug-26'!$D$8:$AI$8,0))*1000</f>
        <v>1100</v>
      </c>
      <c r="U33" s="10">
        <f>+INDEX('QoE PF Adj. P&amp;L Aug-26'!$D$11:$AI$108,MATCH($C33,'QoE PF Adj. P&amp;L Aug-26'!$C$11:$C$108,0),MATCH(U$8,'QoE PF Adj. P&amp;L Aug-26'!$D$8:$AI$8,0))*1000</f>
        <v>1100</v>
      </c>
      <c r="V33" s="10">
        <f>+INDEX('QoE PF Adj. P&amp;L Aug-26'!$D$11:$AI$108,MATCH($C33,'QoE PF Adj. P&amp;L Aug-26'!$C$11:$C$108,0),MATCH(V$8,'QoE PF Adj. P&amp;L Aug-26'!$D$8:$AI$8,0))*1000</f>
        <v>1100</v>
      </c>
      <c r="W33" s="10">
        <f>+INDEX('QoE PF Adj. P&amp;L Aug-26'!$D$11:$AI$108,MATCH($C33,'QoE PF Adj. P&amp;L Aug-26'!$C$11:$C$108,0),MATCH(W$8,'QoE PF Adj. P&amp;L Aug-26'!$D$8:$AI$8,0))*1000</f>
        <v>1100</v>
      </c>
      <c r="X33" s="10">
        <f>+INDEX('QoE PF Adj. P&amp;L Aug-26'!$D$11:$AI$108,MATCH($C33,'QoE PF Adj. P&amp;L Aug-26'!$C$11:$C$108,0),MATCH(X$8,'QoE PF Adj. P&amp;L Aug-26'!$D$8:$AI$8,0))*1000</f>
        <v>1200</v>
      </c>
      <c r="Y33" s="10">
        <f>+INDEX('QoE PF Adj. P&amp;L Aug-26'!$D$11:$AI$108,MATCH($C33,'QoE PF Adj. P&amp;L Aug-26'!$C$11:$C$108,0),MATCH(Y$8,'QoE PF Adj. P&amp;L Aug-26'!$D$8:$AI$8,0))*1000</f>
        <v>1100</v>
      </c>
      <c r="Z33" s="10">
        <f>+INDEX('QoE PF Adj. P&amp;L Aug-26'!$D$11:$AI$108,MATCH($C33,'QoE PF Adj. P&amp;L Aug-26'!$C$11:$C$108,0),MATCH(Z$8,'QoE PF Adj. P&amp;L Aug-26'!$D$8:$AI$8,0))*1000</f>
        <v>1100</v>
      </c>
      <c r="AA33" s="10">
        <f>+INDEX('QoE PF Adj. P&amp;L Aug-26'!$D$11:$AI$108,MATCH($C33,'QoE PF Adj. P&amp;L Aug-26'!$C$11:$C$108,0),MATCH(AA$8,'QoE PF Adj. P&amp;L Aug-26'!$D$8:$AI$8,0))*1000</f>
        <v>1200</v>
      </c>
      <c r="AB33" s="10">
        <f>+INDEX('QoE PF Adj. P&amp;L Aug-26'!$D$11:$AI$108,MATCH($C33,'QoE PF Adj. P&amp;L Aug-26'!$C$11:$C$108,0),MATCH(AB$8,'QoE PF Adj. P&amp;L Aug-26'!$D$8:$AI$8,0))*1000</f>
        <v>1200</v>
      </c>
      <c r="AC33" s="10">
        <f>+INDEX('QoE PF Adj. P&amp;L Aug-26'!$D$11:$AI$108,MATCH($C33,'QoE PF Adj. P&amp;L Aug-26'!$C$11:$C$108,0),MATCH(AC$8,'QoE PF Adj. P&amp;L Aug-26'!$D$8:$AI$8,0))*1000</f>
        <v>1200</v>
      </c>
      <c r="AD33" s="10">
        <f>+INDEX('QoE PF Adj. P&amp;L Aug-26'!$D$11:$AI$108,MATCH($C33,'QoE PF Adj. P&amp;L Aug-26'!$C$11:$C$108,0),MATCH(AD$8,'QoE PF Adj. P&amp;L Aug-26'!$D$8:$AI$8,0))*1000</f>
        <v>1100</v>
      </c>
      <c r="AE33" s="10">
        <f>+INDEX('QoE PF Adj. P&amp;L Aug-26'!$D$11:$AI$108,MATCH($C33,'QoE PF Adj. P&amp;L Aug-26'!$C$11:$C$108,0),MATCH(AE$8,'QoE PF Adj. P&amp;L Aug-26'!$D$8:$AI$8,0))*1000</f>
        <v>1300</v>
      </c>
      <c r="AF33" s="10">
        <f>+INDEX('QoE PF Adj. P&amp;L Aug-26'!$D$11:$AI$108,MATCH($C33,'QoE PF Adj. P&amp;L Aug-26'!$C$11:$C$108,0),MATCH(AF$8,'QoE PF Adj. P&amp;L Aug-26'!$D$8:$AI$8,0))*1000</f>
        <v>1200</v>
      </c>
      <c r="AG33" s="10">
        <f>+INDEX('QoE PF Adj. P&amp;L Aug-26'!$D$11:$AI$108,MATCH($C33,'QoE PF Adj. P&amp;L Aug-26'!$C$11:$C$108,0),MATCH(AG$8,'QoE PF Adj. P&amp;L Aug-26'!$D$8:$AI$8,0))*1000</f>
        <v>1300</v>
      </c>
      <c r="AH33" s="10">
        <f>+INDEX('QoE PF Adj. P&amp;L Aug-26'!$D$11:$AI$108,MATCH($C33,'QoE PF Adj. P&amp;L Aug-26'!$C$11:$C$108,0),MATCH(AH$8,'QoE PF Adj. P&amp;L Aug-26'!$D$8:$AI$8,0))*1000</f>
        <v>1300</v>
      </c>
      <c r="AI33" s="10">
        <f>+INDEX('QoE PF Adj. P&amp;L Aug-26'!$D$11:$AI$108,MATCH($C33,'QoE PF Adj. P&amp;L Aug-26'!$C$11:$C$108,0),MATCH(AI$8,'QoE PF Adj. P&amp;L Aug-26'!$D$8:$AI$8,0))*1000</f>
        <v>1100</v>
      </c>
      <c r="AJ33" s="10">
        <f>+INDEX('QoE PF Adj. P&amp;L Aug-26'!$D$11:$AI$108,MATCH($C33,'QoE PF Adj. P&amp;L Aug-26'!$C$11:$C$108,0),MATCH(AJ$8,'QoE PF Adj. P&amp;L Aug-26'!$D$8:$AI$8,0))*1000</f>
        <v>1100</v>
      </c>
      <c r="AK33" s="10">
        <f>+INDEX('QoE PF Adj. P&amp;L Aug-26'!$D$11:$AI$108,MATCH($C33,'QoE PF Adj. P&amp;L Aug-26'!$C$11:$C$108,0),MATCH(AK$8,'QoE PF Adj. P&amp;L Aug-26'!$D$8:$AI$8,0))*1000</f>
        <v>1200</v>
      </c>
      <c r="AL33" s="10">
        <f>+INDEX('QoE PF Adj. P&amp;L Aug-26'!$D$11:$AI$108,MATCH($C33,'QoE PF Adj. P&amp;L Aug-26'!$C$11:$C$108,0),MATCH(AL$8,'QoE PF Adj. P&amp;L Aug-26'!$D$8:$AI$8,0))*1000</f>
        <v>1200</v>
      </c>
      <c r="AM33" s="10">
        <f>+INDEX('QoE PF Adj. P&amp;L Aug-26'!$D$11:$AI$108,MATCH($C33,'QoE PF Adj. P&amp;L Aug-26'!$C$11:$C$108,0),MATCH(AM$8,'QoE PF Adj. P&amp;L Aug-26'!$D$8:$AI$8,0))*1000</f>
        <v>1300</v>
      </c>
      <c r="AN33" s="10">
        <f>+INDEX('QoE PF Adj. P&amp;L Aug-26'!$D$11:$AI$108,MATCH($C33,'QoE PF Adj. P&amp;L Aug-26'!$C$11:$C$108,0),MATCH(AN$8,'QoE PF Adj. P&amp;L Aug-26'!$D$8:$AI$8,0))*1000</f>
        <v>1300</v>
      </c>
      <c r="AO33" s="10">
        <f>+INDEX('QoE PF Adj. P&amp;L Aug-26'!$D$11:$AI$108,MATCH($C33,'QoE PF Adj. P&amp;L Aug-26'!$C$11:$C$108,0),MATCH(AO$8,'QoE PF Adj. P&amp;L Aug-26'!$D$8:$AI$8,0))*1000</f>
        <v>1300</v>
      </c>
      <c r="AP33" s="10">
        <f>+SUMIFS('Sep - Nov P&amp;L'!I:I,'Sep - Nov P&amp;L'!$D:$D,$C33)</f>
        <v>0</v>
      </c>
      <c r="AQ33" s="10">
        <f>+SUMIFS('Sep - Nov P&amp;L'!J:J,'Sep - Nov P&amp;L'!$D:$D,$C33)</f>
        <v>0</v>
      </c>
      <c r="AR33" s="10">
        <f>+SUMIFS('Sep - Nov P&amp;L'!K:K,'Sep - Nov P&amp;L'!$D:$D,$C33)</f>
        <v>0</v>
      </c>
      <c r="AS33" s="20">
        <f>+AS141</f>
        <v>925</v>
      </c>
      <c r="AT33" s="20">
        <f>+AT141</f>
        <v>928.2375</v>
      </c>
      <c r="AU33" s="20">
        <f>+AU141</f>
        <v>931.48633125</v>
      </c>
      <c r="AV33" s="20">
        <f>+AV141</f>
        <v>934.746533409375</v>
      </c>
      <c r="AW33" s="20">
        <f>+AW141</f>
        <v>938.018146276308</v>
      </c>
      <c r="AX33" s="20">
        <f>+AX141</f>
        <v>941.301209788275</v>
      </c>
      <c r="AY33" s="20">
        <f>+AY141</f>
        <v>944.595764022534</v>
      </c>
      <c r="AZ33" s="20">
        <f>+AZ141</f>
        <v>947.901849196613</v>
      </c>
      <c r="BA33" s="20">
        <f>+BA141</f>
        <v>951.219505668801</v>
      </c>
      <c r="BB33" s="20">
        <f>+BB141</f>
        <v>954.548773938642</v>
      </c>
      <c r="BC33" s="20">
        <f>+BC141</f>
        <v>957.889694647428</v>
      </c>
      <c r="BD33" s="20">
        <f>+BD141</f>
        <v>961.242308578694</v>
      </c>
      <c r="BE33" s="20">
        <f>+BE141</f>
        <v>964.606656658719</v>
      </c>
      <c r="BF33" s="20">
        <f>+BF141</f>
        <v>967.982779957025</v>
      </c>
      <c r="BG33" s="20">
        <f>+BG141</f>
        <v>971.370719686875</v>
      </c>
      <c r="BH33" s="20">
        <f>+BH141</f>
        <v>974.770517205779</v>
      </c>
      <c r="BI33" s="20">
        <f>+BI141</f>
        <v>978.182214015999</v>
      </c>
      <c r="BJ33" s="20">
        <f>+BJ141</f>
        <v>981.605851765055</v>
      </c>
      <c r="BK33" s="20">
        <f>+BK141</f>
        <v>985.041472246233</v>
      </c>
      <c r="BL33" s="20">
        <f>+BL141</f>
        <v>988.489117399095</v>
      </c>
      <c r="BM33" s="20">
        <f>+BM141</f>
        <v>991.948829309992</v>
      </c>
      <c r="BN33" s="20">
        <f>+BN141</f>
        <v>995.420650212577</v>
      </c>
      <c r="BO33" s="20">
        <f>+BO141</f>
        <v>998.904622488321</v>
      </c>
      <c r="BP33" s="20">
        <f>+BP141</f>
        <v>1002.40078866703</v>
      </c>
      <c r="BQ33" s="20">
        <f>+BQ141</f>
        <v>1005.90919142736</v>
      </c>
    </row>
    <row r="34">
      <c r="C34" s="3" t="inlineStr">
        <is>
          <t>Other Facility Expenses</t>
        </is>
      </c>
      <c r="D34" s="20">
        <f>+SUMIFS($J34:$BQ34,$J$7:$BQ$7,D$8)</f>
        <v>26200</v>
      </c>
      <c r="E34" s="20">
        <f>+SUMIFS($J34:$BQ34,$J$7:$BQ$7,E$8)</f>
        <v>27500</v>
      </c>
      <c r="F34" s="20">
        <f>+SUMIFS($J34:$BQ34,$J$7:$BQ$7,F$8)</f>
        <v>29028.1391666667</v>
      </c>
      <c r="G34" s="20">
        <f>+SUMIFS($J34:$BQ34,$J$7:$BQ$7,G$8)</f>
        <v>29679.125386575</v>
      </c>
      <c r="H34" s="20">
        <f>+SUMIFS($J34:$BQ34,$J$7:$BQ$7,H$8)</f>
        <v>30949.9263910259</v>
      </c>
      <c r="J34" s="10">
        <f>+INDEX('QoE PF Adj. P&amp;L Aug-26'!$D$11:$AI$108,MATCH($C34,'QoE PF Adj. P&amp;L Aug-26'!$C$11:$C$108,0),MATCH(J$8,'QoE PF Adj. P&amp;L Aug-26'!$D$8:$AI$8,0))*1000</f>
        <v>2000</v>
      </c>
      <c r="K34" s="10">
        <f>+INDEX('QoE PF Adj. P&amp;L Aug-26'!$D$11:$AI$108,MATCH($C34,'QoE PF Adj. P&amp;L Aug-26'!$C$11:$C$108,0),MATCH(K$8,'QoE PF Adj. P&amp;L Aug-26'!$D$8:$AI$8,0))*1000</f>
        <v>2000</v>
      </c>
      <c r="L34" s="10">
        <f>+INDEX('QoE PF Adj. P&amp;L Aug-26'!$D$11:$AI$108,MATCH($C34,'QoE PF Adj. P&amp;L Aug-26'!$C$11:$C$108,0),MATCH(L$8,'QoE PF Adj. P&amp;L Aug-26'!$D$8:$AI$8,0))*1000</f>
        <v>2200</v>
      </c>
      <c r="M34" s="10">
        <f>+INDEX('QoE PF Adj. P&amp;L Aug-26'!$D$11:$AI$108,MATCH($C34,'QoE PF Adj. P&amp;L Aug-26'!$C$11:$C$108,0),MATCH(M$8,'QoE PF Adj. P&amp;L Aug-26'!$D$8:$AI$8,0))*1000</f>
        <v>2200</v>
      </c>
      <c r="N34" s="10">
        <f>+INDEX('QoE PF Adj. P&amp;L Aug-26'!$D$11:$AI$108,MATCH($C34,'QoE PF Adj. P&amp;L Aug-26'!$C$11:$C$108,0),MATCH(N$8,'QoE PF Adj. P&amp;L Aug-26'!$D$8:$AI$8,0))*1000</f>
        <v>2200</v>
      </c>
      <c r="O34" s="10">
        <f>+INDEX('QoE PF Adj. P&amp;L Aug-26'!$D$11:$AI$108,MATCH($C34,'QoE PF Adj. P&amp;L Aug-26'!$C$11:$C$108,0),MATCH(O$8,'QoE PF Adj. P&amp;L Aug-26'!$D$8:$AI$8,0))*1000</f>
        <v>2100</v>
      </c>
      <c r="P34" s="10">
        <f>+INDEX('QoE PF Adj. P&amp;L Aug-26'!$D$11:$AI$108,MATCH($C34,'QoE PF Adj. P&amp;L Aug-26'!$C$11:$C$108,0),MATCH(P$8,'QoE PF Adj. P&amp;L Aug-26'!$D$8:$AI$8,0))*1000</f>
        <v>2200</v>
      </c>
      <c r="Q34" s="10">
        <f>+INDEX('QoE PF Adj. P&amp;L Aug-26'!$D$11:$AI$108,MATCH($C34,'QoE PF Adj. P&amp;L Aug-26'!$C$11:$C$108,0),MATCH(Q$8,'QoE PF Adj. P&amp;L Aug-26'!$D$8:$AI$8,0))*1000</f>
        <v>2300</v>
      </c>
      <c r="R34" s="10">
        <f>+INDEX('QoE PF Adj. P&amp;L Aug-26'!$D$11:$AI$108,MATCH($C34,'QoE PF Adj. P&amp;L Aug-26'!$C$11:$C$108,0),MATCH(R$8,'QoE PF Adj. P&amp;L Aug-26'!$D$8:$AI$8,0))*1000</f>
        <v>2300</v>
      </c>
      <c r="S34" s="10">
        <f>+INDEX('QoE PF Adj. P&amp;L Aug-26'!$D$11:$AI$108,MATCH($C34,'QoE PF Adj. P&amp;L Aug-26'!$C$11:$C$108,0),MATCH(S$8,'QoE PF Adj. P&amp;L Aug-26'!$D$8:$AI$8,0))*1000</f>
        <v>2300</v>
      </c>
      <c r="T34" s="10">
        <f>+INDEX('QoE PF Adj. P&amp;L Aug-26'!$D$11:$AI$108,MATCH($C34,'QoE PF Adj. P&amp;L Aug-26'!$C$11:$C$108,0),MATCH(T$8,'QoE PF Adj. P&amp;L Aug-26'!$D$8:$AI$8,0))*1000</f>
        <v>2200</v>
      </c>
      <c r="U34" s="10">
        <f>+INDEX('QoE PF Adj. P&amp;L Aug-26'!$D$11:$AI$108,MATCH($C34,'QoE PF Adj. P&amp;L Aug-26'!$C$11:$C$108,0),MATCH(U$8,'QoE PF Adj. P&amp;L Aug-26'!$D$8:$AI$8,0))*1000</f>
        <v>2200</v>
      </c>
      <c r="V34" s="10">
        <f>+INDEX('QoE PF Adj. P&amp;L Aug-26'!$D$11:$AI$108,MATCH($C34,'QoE PF Adj. P&amp;L Aug-26'!$C$11:$C$108,0),MATCH(V$8,'QoE PF Adj. P&amp;L Aug-26'!$D$8:$AI$8,0))*1000</f>
        <v>2300</v>
      </c>
      <c r="W34" s="10">
        <f>+INDEX('QoE PF Adj. P&amp;L Aug-26'!$D$11:$AI$108,MATCH($C34,'QoE PF Adj. P&amp;L Aug-26'!$C$11:$C$108,0),MATCH(W$8,'QoE PF Adj. P&amp;L Aug-26'!$D$8:$AI$8,0))*1000</f>
        <v>2100</v>
      </c>
      <c r="X34" s="10">
        <f>+INDEX('QoE PF Adj. P&amp;L Aug-26'!$D$11:$AI$108,MATCH($C34,'QoE PF Adj. P&amp;L Aug-26'!$C$11:$C$108,0),MATCH(X$8,'QoE PF Adj. P&amp;L Aug-26'!$D$8:$AI$8,0))*1000</f>
        <v>2300</v>
      </c>
      <c r="Y34" s="10">
        <f>+INDEX('QoE PF Adj. P&amp;L Aug-26'!$D$11:$AI$108,MATCH($C34,'QoE PF Adj. P&amp;L Aug-26'!$C$11:$C$108,0),MATCH(Y$8,'QoE PF Adj. P&amp;L Aug-26'!$D$8:$AI$8,0))*1000</f>
        <v>2100</v>
      </c>
      <c r="Z34" s="10">
        <f>+INDEX('QoE PF Adj. P&amp;L Aug-26'!$D$11:$AI$108,MATCH($C34,'QoE PF Adj. P&amp;L Aug-26'!$C$11:$C$108,0),MATCH(Z$8,'QoE PF Adj. P&amp;L Aug-26'!$D$8:$AI$8,0))*1000</f>
        <v>2300</v>
      </c>
      <c r="AA34" s="10">
        <f>+INDEX('QoE PF Adj. P&amp;L Aug-26'!$D$11:$AI$108,MATCH($C34,'QoE PF Adj. P&amp;L Aug-26'!$C$11:$C$108,0),MATCH(AA$8,'QoE PF Adj. P&amp;L Aug-26'!$D$8:$AI$8,0))*1000</f>
        <v>2200</v>
      </c>
      <c r="AB34" s="10">
        <f>+INDEX('QoE PF Adj. P&amp;L Aug-26'!$D$11:$AI$108,MATCH($C34,'QoE PF Adj. P&amp;L Aug-26'!$C$11:$C$108,0),MATCH(AB$8,'QoE PF Adj. P&amp;L Aug-26'!$D$8:$AI$8,0))*1000</f>
        <v>2400</v>
      </c>
      <c r="AC34" s="10">
        <f>+INDEX('QoE PF Adj. P&amp;L Aug-26'!$D$11:$AI$108,MATCH($C34,'QoE PF Adj. P&amp;L Aug-26'!$C$11:$C$108,0),MATCH(AC$8,'QoE PF Adj. P&amp;L Aug-26'!$D$8:$AI$8,0))*1000</f>
        <v>2500</v>
      </c>
      <c r="AD34" s="10">
        <f>+INDEX('QoE PF Adj. P&amp;L Aug-26'!$D$11:$AI$108,MATCH($C34,'QoE PF Adj. P&amp;L Aug-26'!$C$11:$C$108,0),MATCH(AD$8,'QoE PF Adj. P&amp;L Aug-26'!$D$8:$AI$8,0))*1000</f>
        <v>2200</v>
      </c>
      <c r="AE34" s="10">
        <f>+INDEX('QoE PF Adj. P&amp;L Aug-26'!$D$11:$AI$108,MATCH($C34,'QoE PF Adj. P&amp;L Aug-26'!$C$11:$C$108,0),MATCH(AE$8,'QoE PF Adj. P&amp;L Aug-26'!$D$8:$AI$8,0))*1000</f>
        <v>2300</v>
      </c>
      <c r="AF34" s="10">
        <f>+INDEX('QoE PF Adj. P&amp;L Aug-26'!$D$11:$AI$108,MATCH($C34,'QoE PF Adj. P&amp;L Aug-26'!$C$11:$C$108,0),MATCH(AF$8,'QoE PF Adj. P&amp;L Aug-26'!$D$8:$AI$8,0))*1000</f>
        <v>2400</v>
      </c>
      <c r="AG34" s="10">
        <f>+INDEX('QoE PF Adj. P&amp;L Aug-26'!$D$11:$AI$108,MATCH($C34,'QoE PF Adj. P&amp;L Aug-26'!$C$11:$C$108,0),MATCH(AG$8,'QoE PF Adj. P&amp;L Aug-26'!$D$8:$AI$8,0))*1000</f>
        <v>2400</v>
      </c>
      <c r="AH34" s="10">
        <f>+INDEX('QoE PF Adj. P&amp;L Aug-26'!$D$11:$AI$108,MATCH($C34,'QoE PF Adj. P&amp;L Aug-26'!$C$11:$C$108,0),MATCH(AH$8,'QoE PF Adj. P&amp;L Aug-26'!$D$8:$AI$8,0))*1000</f>
        <v>2500</v>
      </c>
      <c r="AI34" s="10">
        <f>+INDEX('QoE PF Adj. P&amp;L Aug-26'!$D$11:$AI$108,MATCH($C34,'QoE PF Adj. P&amp;L Aug-26'!$C$11:$C$108,0),MATCH(AI$8,'QoE PF Adj. P&amp;L Aug-26'!$D$8:$AI$8,0))*1000</f>
        <v>2300</v>
      </c>
      <c r="AJ34" s="10">
        <f>+INDEX('QoE PF Adj. P&amp;L Aug-26'!$D$11:$AI$108,MATCH($C34,'QoE PF Adj. P&amp;L Aug-26'!$C$11:$C$108,0),MATCH(AJ$8,'QoE PF Adj. P&amp;L Aug-26'!$D$8:$AI$8,0))*1000</f>
        <v>2300</v>
      </c>
      <c r="AK34" s="10">
        <f>+INDEX('QoE PF Adj. P&amp;L Aug-26'!$D$11:$AI$108,MATCH($C34,'QoE PF Adj. P&amp;L Aug-26'!$C$11:$C$108,0),MATCH(AK$8,'QoE PF Adj. P&amp;L Aug-26'!$D$8:$AI$8,0))*1000</f>
        <v>2400</v>
      </c>
      <c r="AL34" s="10">
        <f>+INDEX('QoE PF Adj. P&amp;L Aug-26'!$D$11:$AI$108,MATCH($C34,'QoE PF Adj. P&amp;L Aug-26'!$C$11:$C$108,0),MATCH(AL$8,'QoE PF Adj. P&amp;L Aug-26'!$D$8:$AI$8,0))*1000</f>
        <v>2500</v>
      </c>
      <c r="AM34" s="10">
        <f>+INDEX('QoE PF Adj. P&amp;L Aug-26'!$D$11:$AI$108,MATCH($C34,'QoE PF Adj. P&amp;L Aug-26'!$C$11:$C$108,0),MATCH(AM$8,'QoE PF Adj. P&amp;L Aug-26'!$D$8:$AI$8,0))*1000</f>
        <v>2300</v>
      </c>
      <c r="AN34" s="10">
        <f>+INDEX('QoE PF Adj. P&amp;L Aug-26'!$D$11:$AI$108,MATCH($C34,'QoE PF Adj. P&amp;L Aug-26'!$C$11:$C$108,0),MATCH(AN$8,'QoE PF Adj. P&amp;L Aug-26'!$D$8:$AI$8,0))*1000</f>
        <v>2300</v>
      </c>
      <c r="AO34" s="10">
        <f>+INDEX('QoE PF Adj. P&amp;L Aug-26'!$D$11:$AI$108,MATCH($C34,'QoE PF Adj. P&amp;L Aug-26'!$C$11:$C$108,0),MATCH(AO$8,'QoE PF Adj. P&amp;L Aug-26'!$D$8:$AI$8,0))*1000</f>
        <v>2600</v>
      </c>
      <c r="AP34" s="10">
        <f>+SUMIFS('Sep - Nov P&amp;L'!I:I,'Sep - Nov P&amp;L'!$D:$D,$C34)</f>
        <v>2388.26</v>
      </c>
      <c r="AQ34" s="10">
        <f>+SUMIFS('Sep - Nov P&amp;L'!J:J,'Sep - Nov P&amp;L'!$D:$D,$C34)</f>
        <v>2510.58</v>
      </c>
      <c r="AR34" s="10">
        <f>+SUMIFS('Sep - Nov P&amp;L'!K:K,'Sep - Nov P&amp;L'!$D:$D,$C34)</f>
        <v>2511.75</v>
      </c>
      <c r="AS34" s="20">
        <f>+AS142</f>
        <v>2417.54916666667</v>
      </c>
      <c r="AT34" s="20">
        <f>+AT142</f>
        <v>2426.01058875</v>
      </c>
      <c r="AU34" s="20">
        <f>+AU142</f>
        <v>2434.50162581063</v>
      </c>
      <c r="AV34" s="20">
        <f>+AV142</f>
        <v>2443.02238150096</v>
      </c>
      <c r="AW34" s="20">
        <f>+AW142</f>
        <v>2451.57295983622</v>
      </c>
      <c r="AX34" s="20">
        <f>+AX142</f>
        <v>2460.15346519564</v>
      </c>
      <c r="AY34" s="20">
        <f>+AY142</f>
        <v>2468.76400232383</v>
      </c>
      <c r="AZ34" s="20">
        <f>+AZ142</f>
        <v>2477.40467633196</v>
      </c>
      <c r="BA34" s="20">
        <f>+BA142</f>
        <v>2486.07559269912</v>
      </c>
      <c r="BB34" s="20">
        <f>+BB142</f>
        <v>2494.77685727357</v>
      </c>
      <c r="BC34" s="20">
        <f>+BC142</f>
        <v>2503.50857627403</v>
      </c>
      <c r="BD34" s="20">
        <f>+BD142</f>
        <v>2512.27085629099</v>
      </c>
      <c r="BE34" s="20">
        <f>+BE142</f>
        <v>2521.06380428801</v>
      </c>
      <c r="BF34" s="20">
        <f>+BF142</f>
        <v>2529.88752760302</v>
      </c>
      <c r="BG34" s="20">
        <f>+BG142</f>
        <v>2538.74213394963</v>
      </c>
      <c r="BH34" s="20">
        <f>+BH142</f>
        <v>2547.62773141845</v>
      </c>
      <c r="BI34" s="20">
        <f>+BI142</f>
        <v>2556.54442847841</v>
      </c>
      <c r="BJ34" s="20">
        <f>+BJ142</f>
        <v>2565.49233397809</v>
      </c>
      <c r="BK34" s="20">
        <f>+BK142</f>
        <v>2574.47155714701</v>
      </c>
      <c r="BL34" s="20">
        <f>+BL142</f>
        <v>2583.48220759703</v>
      </c>
      <c r="BM34" s="20">
        <f>+BM142</f>
        <v>2592.52439532362</v>
      </c>
      <c r="BN34" s="20">
        <f>+BN142</f>
        <v>2601.59823070725</v>
      </c>
      <c r="BO34" s="20">
        <f>+BO142</f>
        <v>2610.70382451473</v>
      </c>
      <c r="BP34" s="20">
        <f>+BP142</f>
        <v>2619.84128790053</v>
      </c>
      <c r="BQ34" s="20">
        <f>+BQ142</f>
        <v>2629.01073240818</v>
      </c>
    </row>
    <row r="35">
      <c r="C35" s="3" t="inlineStr">
        <is>
          <t>Storage</t>
        </is>
      </c>
      <c r="D35" s="20">
        <f>+SUMIFS($J35:$BQ35,$J$7:$BQ$7,D$8)</f>
        <v>13000</v>
      </c>
      <c r="E35" s="20">
        <f>+SUMIFS($J35:$BQ35,$J$7:$BQ$7,E$8)</f>
        <v>13700</v>
      </c>
      <c r="F35" s="20">
        <f>+SUMIFS($J35:$BQ35,$J$7:$BQ$7,F$8)</f>
        <v>10825</v>
      </c>
      <c r="G35" s="20">
        <f>+SUMIFS($J35:$BQ35,$J$7:$BQ$7,G$8)</f>
        <v>11355.7942734354</v>
      </c>
      <c r="H35" s="20">
        <f>+SUMIFS($J35:$BQ35,$J$7:$BQ$7,H$8)</f>
        <v>11842.0267543813</v>
      </c>
      <c r="J35" s="10">
        <f>+INDEX('QoE PF Adj. P&amp;L Aug-26'!$D$11:$AI$108,MATCH($C35,'QoE PF Adj. P&amp;L Aug-26'!$C$11:$C$108,0),MATCH(J$8,'QoE PF Adj. P&amp;L Aug-26'!$D$8:$AI$8,0))*1000</f>
        <v>1100</v>
      </c>
      <c r="K35" s="10">
        <f>+INDEX('QoE PF Adj. P&amp;L Aug-26'!$D$11:$AI$108,MATCH($C35,'QoE PF Adj. P&amp;L Aug-26'!$C$11:$C$108,0),MATCH(K$8,'QoE PF Adj. P&amp;L Aug-26'!$D$8:$AI$8,0))*1000</f>
        <v>1100</v>
      </c>
      <c r="L35" s="10">
        <f>+INDEX('QoE PF Adj. P&amp;L Aug-26'!$D$11:$AI$108,MATCH($C35,'QoE PF Adj. P&amp;L Aug-26'!$C$11:$C$108,0),MATCH(L$8,'QoE PF Adj. P&amp;L Aug-26'!$D$8:$AI$8,0))*1000</f>
        <v>1100</v>
      </c>
      <c r="M35" s="10">
        <f>+INDEX('QoE PF Adj. P&amp;L Aug-26'!$D$11:$AI$108,MATCH($C35,'QoE PF Adj. P&amp;L Aug-26'!$C$11:$C$108,0),MATCH(M$8,'QoE PF Adj. P&amp;L Aug-26'!$D$8:$AI$8,0))*1000</f>
        <v>1000</v>
      </c>
      <c r="N35" s="10">
        <f>+INDEX('QoE PF Adj. P&amp;L Aug-26'!$D$11:$AI$108,MATCH($C35,'QoE PF Adj. P&amp;L Aug-26'!$C$11:$C$108,0),MATCH(N$8,'QoE PF Adj. P&amp;L Aug-26'!$D$8:$AI$8,0))*1000</f>
        <v>1100</v>
      </c>
      <c r="O35" s="10">
        <f>+INDEX('QoE PF Adj. P&amp;L Aug-26'!$D$11:$AI$108,MATCH($C35,'QoE PF Adj. P&amp;L Aug-26'!$C$11:$C$108,0),MATCH(O$8,'QoE PF Adj. P&amp;L Aug-26'!$D$8:$AI$8,0))*1000</f>
        <v>1100</v>
      </c>
      <c r="P35" s="10">
        <f>+INDEX('QoE PF Adj. P&amp;L Aug-26'!$D$11:$AI$108,MATCH($C35,'QoE PF Adj. P&amp;L Aug-26'!$C$11:$C$108,0),MATCH(P$8,'QoE PF Adj. P&amp;L Aug-26'!$D$8:$AI$8,0))*1000</f>
        <v>1100</v>
      </c>
      <c r="Q35" s="10">
        <f>+INDEX('QoE PF Adj. P&amp;L Aug-26'!$D$11:$AI$108,MATCH($C35,'QoE PF Adj. P&amp;L Aug-26'!$C$11:$C$108,0),MATCH(Q$8,'QoE PF Adj. P&amp;L Aug-26'!$D$8:$AI$8,0))*1000</f>
        <v>1000</v>
      </c>
      <c r="R35" s="10">
        <f>+INDEX('QoE PF Adj. P&amp;L Aug-26'!$D$11:$AI$108,MATCH($C35,'QoE PF Adj. P&amp;L Aug-26'!$C$11:$C$108,0),MATCH(R$8,'QoE PF Adj. P&amp;L Aug-26'!$D$8:$AI$8,0))*1000</f>
        <v>1100</v>
      </c>
      <c r="S35" s="10">
        <f>+INDEX('QoE PF Adj. P&amp;L Aug-26'!$D$11:$AI$108,MATCH($C35,'QoE PF Adj. P&amp;L Aug-26'!$C$11:$C$108,0),MATCH(S$8,'QoE PF Adj. P&amp;L Aug-26'!$D$8:$AI$8,0))*1000</f>
        <v>1100</v>
      </c>
      <c r="T35" s="10">
        <f>+INDEX('QoE PF Adj. P&amp;L Aug-26'!$D$11:$AI$108,MATCH($C35,'QoE PF Adj. P&amp;L Aug-26'!$C$11:$C$108,0),MATCH(T$8,'QoE PF Adj. P&amp;L Aug-26'!$D$8:$AI$8,0))*1000</f>
        <v>1100</v>
      </c>
      <c r="U35" s="10">
        <f>+INDEX('QoE PF Adj. P&amp;L Aug-26'!$D$11:$AI$108,MATCH($C35,'QoE PF Adj. P&amp;L Aug-26'!$C$11:$C$108,0),MATCH(U$8,'QoE PF Adj. P&amp;L Aug-26'!$D$8:$AI$8,0))*1000</f>
        <v>1100</v>
      </c>
      <c r="V35" s="10">
        <f>+INDEX('QoE PF Adj. P&amp;L Aug-26'!$D$11:$AI$108,MATCH($C35,'QoE PF Adj. P&amp;L Aug-26'!$C$11:$C$108,0),MATCH(V$8,'QoE PF Adj. P&amp;L Aug-26'!$D$8:$AI$8,0))*1000</f>
        <v>1100</v>
      </c>
      <c r="W35" s="10">
        <f>+INDEX('QoE PF Adj. P&amp;L Aug-26'!$D$11:$AI$108,MATCH($C35,'QoE PF Adj. P&amp;L Aug-26'!$C$11:$C$108,0),MATCH(W$8,'QoE PF Adj. P&amp;L Aug-26'!$D$8:$AI$8,0))*1000</f>
        <v>1100</v>
      </c>
      <c r="X35" s="10">
        <f>+INDEX('QoE PF Adj. P&amp;L Aug-26'!$D$11:$AI$108,MATCH($C35,'QoE PF Adj. P&amp;L Aug-26'!$C$11:$C$108,0),MATCH(X$8,'QoE PF Adj. P&amp;L Aug-26'!$D$8:$AI$8,0))*1000</f>
        <v>1100</v>
      </c>
      <c r="Y35" s="10">
        <f>+INDEX('QoE PF Adj. P&amp;L Aug-26'!$D$11:$AI$108,MATCH($C35,'QoE PF Adj. P&amp;L Aug-26'!$C$11:$C$108,0),MATCH(Y$8,'QoE PF Adj. P&amp;L Aug-26'!$D$8:$AI$8,0))*1000</f>
        <v>1100</v>
      </c>
      <c r="Z35" s="10">
        <f>+INDEX('QoE PF Adj. P&amp;L Aug-26'!$D$11:$AI$108,MATCH($C35,'QoE PF Adj. P&amp;L Aug-26'!$C$11:$C$108,0),MATCH(Z$8,'QoE PF Adj. P&amp;L Aug-26'!$D$8:$AI$8,0))*1000</f>
        <v>1100</v>
      </c>
      <c r="AA35" s="10">
        <f>+INDEX('QoE PF Adj. P&amp;L Aug-26'!$D$11:$AI$108,MATCH($C35,'QoE PF Adj. P&amp;L Aug-26'!$C$11:$C$108,0),MATCH(AA$8,'QoE PF Adj. P&amp;L Aug-26'!$D$8:$AI$8,0))*1000</f>
        <v>1100</v>
      </c>
      <c r="AB35" s="10">
        <f>+INDEX('QoE PF Adj. P&amp;L Aug-26'!$D$11:$AI$108,MATCH($C35,'QoE PF Adj. P&amp;L Aug-26'!$C$11:$C$108,0),MATCH(AB$8,'QoE PF Adj. P&amp;L Aug-26'!$D$8:$AI$8,0))*1000</f>
        <v>1200</v>
      </c>
      <c r="AC35" s="10">
        <f>+INDEX('QoE PF Adj. P&amp;L Aug-26'!$D$11:$AI$108,MATCH($C35,'QoE PF Adj. P&amp;L Aug-26'!$C$11:$C$108,0),MATCH(AC$8,'QoE PF Adj. P&amp;L Aug-26'!$D$8:$AI$8,0))*1000</f>
        <v>1200</v>
      </c>
      <c r="AD35" s="10">
        <f>+INDEX('QoE PF Adj. P&amp;L Aug-26'!$D$11:$AI$108,MATCH($C35,'QoE PF Adj. P&amp;L Aug-26'!$C$11:$C$108,0),MATCH(AD$8,'QoE PF Adj. P&amp;L Aug-26'!$D$8:$AI$8,0))*1000</f>
        <v>1100</v>
      </c>
      <c r="AE35" s="10">
        <f>+INDEX('QoE PF Adj. P&amp;L Aug-26'!$D$11:$AI$108,MATCH($C35,'QoE PF Adj. P&amp;L Aug-26'!$C$11:$C$108,0),MATCH(AE$8,'QoE PF Adj. P&amp;L Aug-26'!$D$8:$AI$8,0))*1000</f>
        <v>1200</v>
      </c>
      <c r="AF35" s="10">
        <f>+INDEX('QoE PF Adj. P&amp;L Aug-26'!$D$11:$AI$108,MATCH($C35,'QoE PF Adj. P&amp;L Aug-26'!$C$11:$C$108,0),MATCH(AF$8,'QoE PF Adj. P&amp;L Aug-26'!$D$8:$AI$8,0))*1000</f>
        <v>1200</v>
      </c>
      <c r="AG35" s="10">
        <f>+INDEX('QoE PF Adj. P&amp;L Aug-26'!$D$11:$AI$108,MATCH($C35,'QoE PF Adj. P&amp;L Aug-26'!$C$11:$C$108,0),MATCH(AG$8,'QoE PF Adj. P&amp;L Aug-26'!$D$8:$AI$8,0))*1000</f>
        <v>1200</v>
      </c>
      <c r="AH35" s="10">
        <f>+INDEX('QoE PF Adj. P&amp;L Aug-26'!$D$11:$AI$108,MATCH($C35,'QoE PF Adj. P&amp;L Aug-26'!$C$11:$C$108,0),MATCH(AH$8,'QoE PF Adj. P&amp;L Aug-26'!$D$8:$AI$8,0))*1000</f>
        <v>1300</v>
      </c>
      <c r="AI35" s="10">
        <f>+INDEX('QoE PF Adj. P&amp;L Aug-26'!$D$11:$AI$108,MATCH($C35,'QoE PF Adj. P&amp;L Aug-26'!$C$11:$C$108,0),MATCH(AI$8,'QoE PF Adj. P&amp;L Aug-26'!$D$8:$AI$8,0))*1000</f>
        <v>1200</v>
      </c>
      <c r="AJ35" s="10">
        <f>+INDEX('QoE PF Adj. P&amp;L Aug-26'!$D$11:$AI$108,MATCH($C35,'QoE PF Adj. P&amp;L Aug-26'!$C$11:$C$108,0),MATCH(AJ$8,'QoE PF Adj. P&amp;L Aug-26'!$D$8:$AI$8,0))*1000</f>
        <v>1200</v>
      </c>
      <c r="AK35" s="10">
        <f>+INDEX('QoE PF Adj. P&amp;L Aug-26'!$D$11:$AI$108,MATCH($C35,'QoE PF Adj. P&amp;L Aug-26'!$C$11:$C$108,0),MATCH(AK$8,'QoE PF Adj. P&amp;L Aug-26'!$D$8:$AI$8,0))*1000</f>
        <v>1200</v>
      </c>
      <c r="AL35" s="10">
        <f>+INDEX('QoE PF Adj. P&amp;L Aug-26'!$D$11:$AI$108,MATCH($C35,'QoE PF Adj. P&amp;L Aug-26'!$C$11:$C$108,0),MATCH(AL$8,'QoE PF Adj. P&amp;L Aug-26'!$D$8:$AI$8,0))*1000</f>
        <v>1200</v>
      </c>
      <c r="AM35" s="10">
        <f>+INDEX('QoE PF Adj. P&amp;L Aug-26'!$D$11:$AI$108,MATCH($C35,'QoE PF Adj. P&amp;L Aug-26'!$C$11:$C$108,0),MATCH(AM$8,'QoE PF Adj. P&amp;L Aug-26'!$D$8:$AI$8,0))*1000</f>
        <v>1300</v>
      </c>
      <c r="AN35" s="10">
        <f>+INDEX('QoE PF Adj. P&amp;L Aug-26'!$D$11:$AI$108,MATCH($C35,'QoE PF Adj. P&amp;L Aug-26'!$C$11:$C$108,0),MATCH(AN$8,'QoE PF Adj. P&amp;L Aug-26'!$D$8:$AI$8,0))*1000</f>
        <v>1300</v>
      </c>
      <c r="AO35" s="10">
        <f>+INDEX('QoE PF Adj. P&amp;L Aug-26'!$D$11:$AI$108,MATCH($C35,'QoE PF Adj. P&amp;L Aug-26'!$C$11:$C$108,0),MATCH(AO$8,'QoE PF Adj. P&amp;L Aug-26'!$D$8:$AI$8,0))*1000</f>
        <v>1200</v>
      </c>
      <c r="AP35" s="10">
        <f>+SUMIFS('Sep - Nov P&amp;L'!I:I,'Sep - Nov P&amp;L'!$D:$D,$C35)</f>
        <v>0</v>
      </c>
      <c r="AQ35" s="10">
        <f>+SUMIFS('Sep - Nov P&amp;L'!J:J,'Sep - Nov P&amp;L'!$D:$D,$C35)</f>
        <v>0</v>
      </c>
      <c r="AR35" s="10">
        <f>+SUMIFS('Sep - Nov P&amp;L'!K:K,'Sep - Nov P&amp;L'!$D:$D,$C35)</f>
        <v>0</v>
      </c>
      <c r="AS35" s="20">
        <f>+AS143</f>
        <v>925</v>
      </c>
      <c r="AT35" s="20">
        <f>+AT143</f>
        <v>928.2375</v>
      </c>
      <c r="AU35" s="20">
        <f>+AU143</f>
        <v>931.48633125</v>
      </c>
      <c r="AV35" s="20">
        <f>+AV143</f>
        <v>934.746533409375</v>
      </c>
      <c r="AW35" s="20">
        <f>+AW143</f>
        <v>938.018146276308</v>
      </c>
      <c r="AX35" s="20">
        <f>+AX143</f>
        <v>941.301209788275</v>
      </c>
      <c r="AY35" s="20">
        <f>+AY143</f>
        <v>944.595764022534</v>
      </c>
      <c r="AZ35" s="20">
        <f>+AZ143</f>
        <v>947.901849196613</v>
      </c>
      <c r="BA35" s="20">
        <f>+BA143</f>
        <v>951.219505668801</v>
      </c>
      <c r="BB35" s="20">
        <f>+BB143</f>
        <v>954.548773938642</v>
      </c>
      <c r="BC35" s="20">
        <f>+BC143</f>
        <v>957.889694647428</v>
      </c>
      <c r="BD35" s="20">
        <f>+BD143</f>
        <v>961.242308578694</v>
      </c>
      <c r="BE35" s="20">
        <f>+BE143</f>
        <v>964.606656658719</v>
      </c>
      <c r="BF35" s="20">
        <f>+BF143</f>
        <v>967.982779957025</v>
      </c>
      <c r="BG35" s="20">
        <f>+BG143</f>
        <v>971.370719686875</v>
      </c>
      <c r="BH35" s="20">
        <f>+BH143</f>
        <v>974.770517205779</v>
      </c>
      <c r="BI35" s="20">
        <f>+BI143</f>
        <v>978.182214015999</v>
      </c>
      <c r="BJ35" s="20">
        <f>+BJ143</f>
        <v>981.605851765055</v>
      </c>
      <c r="BK35" s="20">
        <f>+BK143</f>
        <v>985.041472246233</v>
      </c>
      <c r="BL35" s="20">
        <f>+BL143</f>
        <v>988.489117399095</v>
      </c>
      <c r="BM35" s="20">
        <f>+BM143</f>
        <v>991.948829309992</v>
      </c>
      <c r="BN35" s="20">
        <f>+BN143</f>
        <v>995.420650212577</v>
      </c>
      <c r="BO35" s="20">
        <f>+BO143</f>
        <v>998.904622488321</v>
      </c>
      <c r="BP35" s="20">
        <f>+BP143</f>
        <v>1002.40078866703</v>
      </c>
      <c r="BQ35" s="20">
        <f>+BQ143</f>
        <v>1005.90919142736</v>
      </c>
    </row>
    <row r="36">
      <c r="C36" s="3" t="inlineStr">
        <is>
          <t>Facility Repairs &amp; Maintenance</t>
        </is>
      </c>
      <c r="D36" s="20">
        <f>+SUMIFS($J36:$BQ36,$J$7:$BQ$7,D$8)</f>
        <v>45100</v>
      </c>
      <c r="E36" s="20">
        <f>+SUMIFS($J36:$BQ36,$J$7:$BQ$7,E$8)</f>
        <v>48100</v>
      </c>
      <c r="F36" s="20">
        <f>+SUMIFS($J36:$BQ36,$J$7:$BQ$7,F$8)</f>
        <v>69385.3058333333</v>
      </c>
      <c r="G36" s="20">
        <f>+SUMIFS($J36:$BQ36,$J$7:$BQ$7,G$8)</f>
        <v>69395.760096783</v>
      </c>
      <c r="H36" s="20">
        <f>+SUMIFS($J36:$BQ36,$J$7:$BQ$7,H$8)</f>
        <v>72367.1482521604</v>
      </c>
      <c r="J36" s="10">
        <f>+INDEX('QoE PF Adj. P&amp;L Aug-26'!$D$11:$AI$108,MATCH($C36,'QoE PF Adj. P&amp;L Aug-26'!$C$11:$C$108,0),MATCH(J$8,'QoE PF Adj. P&amp;L Aug-26'!$D$8:$AI$8,0))*1000</f>
        <v>3600</v>
      </c>
      <c r="K36" s="10">
        <f>+INDEX('QoE PF Adj. P&amp;L Aug-26'!$D$11:$AI$108,MATCH($C36,'QoE PF Adj. P&amp;L Aug-26'!$C$11:$C$108,0),MATCH(K$8,'QoE PF Adj. P&amp;L Aug-26'!$D$8:$AI$8,0))*1000</f>
        <v>3600</v>
      </c>
      <c r="L36" s="10">
        <f>+INDEX('QoE PF Adj. P&amp;L Aug-26'!$D$11:$AI$108,MATCH($C36,'QoE PF Adj. P&amp;L Aug-26'!$C$11:$C$108,0),MATCH(L$8,'QoE PF Adj. P&amp;L Aug-26'!$D$8:$AI$8,0))*1000</f>
        <v>3600</v>
      </c>
      <c r="M36" s="10">
        <f>+INDEX('QoE PF Adj. P&amp;L Aug-26'!$D$11:$AI$108,MATCH($C36,'QoE PF Adj. P&amp;L Aug-26'!$C$11:$C$108,0),MATCH(M$8,'QoE PF Adj. P&amp;L Aug-26'!$D$8:$AI$8,0))*1000</f>
        <v>3600</v>
      </c>
      <c r="N36" s="10">
        <f>+INDEX('QoE PF Adj. P&amp;L Aug-26'!$D$11:$AI$108,MATCH($C36,'QoE PF Adj. P&amp;L Aug-26'!$C$11:$C$108,0),MATCH(N$8,'QoE PF Adj. P&amp;L Aug-26'!$D$8:$AI$8,0))*1000</f>
        <v>3800</v>
      </c>
      <c r="O36" s="10">
        <f>+INDEX('QoE PF Adj. P&amp;L Aug-26'!$D$11:$AI$108,MATCH($C36,'QoE PF Adj. P&amp;L Aug-26'!$C$11:$C$108,0),MATCH(O$8,'QoE PF Adj. P&amp;L Aug-26'!$D$8:$AI$8,0))*1000</f>
        <v>4000</v>
      </c>
      <c r="P36" s="10">
        <f>+INDEX('QoE PF Adj. P&amp;L Aug-26'!$D$11:$AI$108,MATCH($C36,'QoE PF Adj. P&amp;L Aug-26'!$C$11:$C$108,0),MATCH(P$8,'QoE PF Adj. P&amp;L Aug-26'!$D$8:$AI$8,0))*1000</f>
        <v>4000</v>
      </c>
      <c r="Q36" s="10">
        <f>+INDEX('QoE PF Adj. P&amp;L Aug-26'!$D$11:$AI$108,MATCH($C36,'QoE PF Adj. P&amp;L Aug-26'!$C$11:$C$108,0),MATCH(Q$8,'QoE PF Adj. P&amp;L Aug-26'!$D$8:$AI$8,0))*1000</f>
        <v>3500</v>
      </c>
      <c r="R36" s="10">
        <f>+INDEX('QoE PF Adj. P&amp;L Aug-26'!$D$11:$AI$108,MATCH($C36,'QoE PF Adj. P&amp;L Aug-26'!$C$11:$C$108,0),MATCH(R$8,'QoE PF Adj. P&amp;L Aug-26'!$D$8:$AI$8,0))*1000</f>
        <v>3700</v>
      </c>
      <c r="S36" s="10">
        <f>+INDEX('QoE PF Adj. P&amp;L Aug-26'!$D$11:$AI$108,MATCH($C36,'QoE PF Adj. P&amp;L Aug-26'!$C$11:$C$108,0),MATCH(S$8,'QoE PF Adj. P&amp;L Aug-26'!$D$8:$AI$8,0))*1000</f>
        <v>4000</v>
      </c>
      <c r="T36" s="10">
        <f>+INDEX('QoE PF Adj. P&amp;L Aug-26'!$D$11:$AI$108,MATCH($C36,'QoE PF Adj. P&amp;L Aug-26'!$C$11:$C$108,0),MATCH(T$8,'QoE PF Adj. P&amp;L Aug-26'!$D$8:$AI$8,0))*1000</f>
        <v>3900</v>
      </c>
      <c r="U36" s="10">
        <f>+INDEX('QoE PF Adj. P&amp;L Aug-26'!$D$11:$AI$108,MATCH($C36,'QoE PF Adj. P&amp;L Aug-26'!$C$11:$C$108,0),MATCH(U$8,'QoE PF Adj. P&amp;L Aug-26'!$D$8:$AI$8,0))*1000</f>
        <v>3800</v>
      </c>
      <c r="V36" s="10">
        <f>+INDEX('QoE PF Adj. P&amp;L Aug-26'!$D$11:$AI$108,MATCH($C36,'QoE PF Adj. P&amp;L Aug-26'!$C$11:$C$108,0),MATCH(V$8,'QoE PF Adj. P&amp;L Aug-26'!$D$8:$AI$8,0))*1000</f>
        <v>3700</v>
      </c>
      <c r="W36" s="10">
        <f>+INDEX('QoE PF Adj. P&amp;L Aug-26'!$D$11:$AI$108,MATCH($C36,'QoE PF Adj. P&amp;L Aug-26'!$C$11:$C$108,0),MATCH(W$8,'QoE PF Adj. P&amp;L Aug-26'!$D$8:$AI$8,0))*1000</f>
        <v>3900</v>
      </c>
      <c r="X36" s="10">
        <f>+INDEX('QoE PF Adj. P&amp;L Aug-26'!$D$11:$AI$108,MATCH($C36,'QoE PF Adj. P&amp;L Aug-26'!$C$11:$C$108,0),MATCH(X$8,'QoE PF Adj. P&amp;L Aug-26'!$D$8:$AI$8,0))*1000</f>
        <v>3900</v>
      </c>
      <c r="Y36" s="10">
        <f>+INDEX('QoE PF Adj. P&amp;L Aug-26'!$D$11:$AI$108,MATCH($C36,'QoE PF Adj. P&amp;L Aug-26'!$C$11:$C$108,0),MATCH(Y$8,'QoE PF Adj. P&amp;L Aug-26'!$D$8:$AI$8,0))*1000</f>
        <v>4200</v>
      </c>
      <c r="Z36" s="10">
        <f>+INDEX('QoE PF Adj. P&amp;L Aug-26'!$D$11:$AI$108,MATCH($C36,'QoE PF Adj. P&amp;L Aug-26'!$C$11:$C$108,0),MATCH(Z$8,'QoE PF Adj. P&amp;L Aug-26'!$D$8:$AI$8,0))*1000</f>
        <v>3800</v>
      </c>
      <c r="AA36" s="10">
        <f>+INDEX('QoE PF Adj. P&amp;L Aug-26'!$D$11:$AI$108,MATCH($C36,'QoE PF Adj. P&amp;L Aug-26'!$C$11:$C$108,0),MATCH(AA$8,'QoE PF Adj. P&amp;L Aug-26'!$D$8:$AI$8,0))*1000</f>
        <v>4200</v>
      </c>
      <c r="AB36" s="10">
        <f>+INDEX('QoE PF Adj. P&amp;L Aug-26'!$D$11:$AI$108,MATCH($C36,'QoE PF Adj. P&amp;L Aug-26'!$C$11:$C$108,0),MATCH(AB$8,'QoE PF Adj. P&amp;L Aug-26'!$D$8:$AI$8,0))*1000</f>
        <v>4100</v>
      </c>
      <c r="AC36" s="10">
        <f>+INDEX('QoE PF Adj. P&amp;L Aug-26'!$D$11:$AI$108,MATCH($C36,'QoE PF Adj. P&amp;L Aug-26'!$C$11:$C$108,0),MATCH(AC$8,'QoE PF Adj. P&amp;L Aug-26'!$D$8:$AI$8,0))*1000</f>
        <v>4200</v>
      </c>
      <c r="AD36" s="10">
        <f>+INDEX('QoE PF Adj. P&amp;L Aug-26'!$D$11:$AI$108,MATCH($C36,'QoE PF Adj. P&amp;L Aug-26'!$C$11:$C$108,0),MATCH(AD$8,'QoE PF Adj. P&amp;L Aug-26'!$D$8:$AI$8,0))*1000</f>
        <v>3900</v>
      </c>
      <c r="AE36" s="10">
        <f>+INDEX('QoE PF Adj. P&amp;L Aug-26'!$D$11:$AI$108,MATCH($C36,'QoE PF Adj. P&amp;L Aug-26'!$C$11:$C$108,0),MATCH(AE$8,'QoE PF Adj. P&amp;L Aug-26'!$D$8:$AI$8,0))*1000</f>
        <v>4200</v>
      </c>
      <c r="AF36" s="10">
        <f>+INDEX('QoE PF Adj. P&amp;L Aug-26'!$D$11:$AI$108,MATCH($C36,'QoE PF Adj. P&amp;L Aug-26'!$C$11:$C$108,0),MATCH(AF$8,'QoE PF Adj. P&amp;L Aug-26'!$D$8:$AI$8,0))*1000</f>
        <v>3900</v>
      </c>
      <c r="AG36" s="10">
        <f>+INDEX('QoE PF Adj. P&amp;L Aug-26'!$D$11:$AI$108,MATCH($C36,'QoE PF Adj. P&amp;L Aug-26'!$C$11:$C$108,0),MATCH(AG$8,'QoE PF Adj. P&amp;L Aug-26'!$D$8:$AI$8,0))*1000</f>
        <v>4100</v>
      </c>
      <c r="AH36" s="10">
        <f>+INDEX('QoE PF Adj. P&amp;L Aug-26'!$D$11:$AI$108,MATCH($C36,'QoE PF Adj. P&amp;L Aug-26'!$C$11:$C$108,0),MATCH(AH$8,'QoE PF Adj. P&amp;L Aug-26'!$D$8:$AI$8,0))*1000</f>
        <v>4500</v>
      </c>
      <c r="AI36" s="10">
        <f>+INDEX('QoE PF Adj. P&amp;L Aug-26'!$D$11:$AI$108,MATCH($C36,'QoE PF Adj. P&amp;L Aug-26'!$C$11:$C$108,0),MATCH(AI$8,'QoE PF Adj. P&amp;L Aug-26'!$D$8:$AI$8,0))*1000</f>
        <v>4000</v>
      </c>
      <c r="AJ36" s="10">
        <f>+INDEX('QoE PF Adj. P&amp;L Aug-26'!$D$11:$AI$108,MATCH($C36,'QoE PF Adj. P&amp;L Aug-26'!$C$11:$C$108,0),MATCH(AJ$8,'QoE PF Adj. P&amp;L Aug-26'!$D$8:$AI$8,0))*1000</f>
        <v>4200</v>
      </c>
      <c r="AK36" s="10">
        <f>+INDEX('QoE PF Adj. P&amp;L Aug-26'!$D$11:$AI$108,MATCH($C36,'QoE PF Adj. P&amp;L Aug-26'!$C$11:$C$108,0),MATCH(AK$8,'QoE PF Adj. P&amp;L Aug-26'!$D$8:$AI$8,0))*1000</f>
        <v>4500</v>
      </c>
      <c r="AL36" s="10">
        <f>+INDEX('QoE PF Adj. P&amp;L Aug-26'!$D$11:$AI$108,MATCH($C36,'QoE PF Adj. P&amp;L Aug-26'!$C$11:$C$108,0),MATCH(AL$8,'QoE PF Adj. P&amp;L Aug-26'!$D$8:$AI$8,0))*1000</f>
        <v>4500</v>
      </c>
      <c r="AM36" s="10">
        <f>+INDEX('QoE PF Adj. P&amp;L Aug-26'!$D$11:$AI$108,MATCH($C36,'QoE PF Adj. P&amp;L Aug-26'!$C$11:$C$108,0),MATCH(AM$8,'QoE PF Adj. P&amp;L Aug-26'!$D$8:$AI$8,0))*1000</f>
        <v>4500</v>
      </c>
      <c r="AN36" s="10">
        <f>+INDEX('QoE PF Adj. P&amp;L Aug-26'!$D$11:$AI$108,MATCH($C36,'QoE PF Adj. P&amp;L Aug-26'!$C$11:$C$108,0),MATCH(AN$8,'QoE PF Adj. P&amp;L Aug-26'!$D$8:$AI$8,0))*1000</f>
        <v>4500</v>
      </c>
      <c r="AO36" s="10">
        <f>+INDEX('QoE PF Adj. P&amp;L Aug-26'!$D$11:$AI$108,MATCH($C36,'QoE PF Adj. P&amp;L Aug-26'!$C$11:$C$108,0),MATCH(AO$8,'QoE PF Adj. P&amp;L Aug-26'!$D$8:$AI$8,0))*1000</f>
        <v>4300</v>
      </c>
      <c r="AP36" s="10">
        <f>+SUMIFS('Sep - Nov P&amp;L'!I:I,'Sep - Nov P&amp;L'!$D:$D,$C36)</f>
        <v>9552.87</v>
      </c>
      <c r="AQ36" s="10">
        <f>+SUMIFS('Sep - Nov P&amp;L'!J:J,'Sep - Nov P&amp;L'!$D:$D,$C36)</f>
        <v>9671.37</v>
      </c>
      <c r="AR36" s="10">
        <f>+SUMIFS('Sep - Nov P&amp;L'!K:K,'Sep - Nov P&amp;L'!$D:$D,$C36)</f>
        <v>9508.35</v>
      </c>
      <c r="AS36" s="20">
        <f>+AS144</f>
        <v>5652.71583333333</v>
      </c>
      <c r="AT36" s="20">
        <f>+AT144</f>
        <v>5672.50033875</v>
      </c>
      <c r="AU36" s="20">
        <f>+AU144</f>
        <v>5692.35408993563</v>
      </c>
      <c r="AV36" s="20">
        <f>+AV144</f>
        <v>5712.2773292504</v>
      </c>
      <c r="AW36" s="20">
        <f>+AW144</f>
        <v>5732.27029990278</v>
      </c>
      <c r="AX36" s="20">
        <f>+AX144</f>
        <v>5752.33324595244</v>
      </c>
      <c r="AY36" s="20">
        <f>+AY144</f>
        <v>5772.46641231327</v>
      </c>
      <c r="AZ36" s="20">
        <f>+AZ144</f>
        <v>5792.67004475637</v>
      </c>
      <c r="BA36" s="20">
        <f>+BA144</f>
        <v>5812.94438991302</v>
      </c>
      <c r="BB36" s="20">
        <f>+BB144</f>
        <v>5833.28969527771</v>
      </c>
      <c r="BC36" s="20">
        <f>+BC144</f>
        <v>5853.70620921119</v>
      </c>
      <c r="BD36" s="20">
        <f>+BD144</f>
        <v>5874.19418094342</v>
      </c>
      <c r="BE36" s="20">
        <f>+BE144</f>
        <v>5894.75386057673</v>
      </c>
      <c r="BF36" s="20">
        <f>+BF144</f>
        <v>5915.38549908875</v>
      </c>
      <c r="BG36" s="20">
        <f>+BG144</f>
        <v>5936.08934833556</v>
      </c>
      <c r="BH36" s="20">
        <f>+BH144</f>
        <v>5956.86566105473</v>
      </c>
      <c r="BI36" s="20">
        <f>+BI144</f>
        <v>5977.71469086842</v>
      </c>
      <c r="BJ36" s="20">
        <f>+BJ144</f>
        <v>5998.63669228646</v>
      </c>
      <c r="BK36" s="20">
        <f>+BK144</f>
        <v>6019.63192070947</v>
      </c>
      <c r="BL36" s="20">
        <f>+BL144</f>
        <v>6040.70063243195</v>
      </c>
      <c r="BM36" s="20">
        <f>+BM144</f>
        <v>6061.84308464546</v>
      </c>
      <c r="BN36" s="20">
        <f>+BN144</f>
        <v>6083.05953544172</v>
      </c>
      <c r="BO36" s="20">
        <f>+BO144</f>
        <v>6104.35024381577</v>
      </c>
      <c r="BP36" s="20">
        <f>+BP144</f>
        <v>6125.71546966912</v>
      </c>
      <c r="BQ36" s="20">
        <f>+BQ144</f>
        <v>6147.15547381297</v>
      </c>
    </row>
    <row r="37">
      <c r="C37" s="3" t="inlineStr">
        <is>
          <t>Waste Removal</t>
        </is>
      </c>
      <c r="D37" s="20">
        <f>+SUMIFS($J37:$BQ37,$J$7:$BQ$7,D$8)</f>
        <v>32000</v>
      </c>
      <c r="E37" s="20">
        <f>+SUMIFS($J37:$BQ37,$J$7:$BQ$7,E$8)</f>
        <v>34500</v>
      </c>
      <c r="F37" s="20">
        <f>+SUMIFS($J37:$BQ37,$J$7:$BQ$7,F$8)</f>
        <v>36913.9383333333</v>
      </c>
      <c r="G37" s="20">
        <f>+SUMIFS($J37:$BQ37,$J$7:$BQ$7,G$8)</f>
        <v>37503.8098545724</v>
      </c>
      <c r="H37" s="20">
        <f>+SUMIFS($J37:$BQ37,$J$7:$BQ$7,H$8)</f>
        <v>39109.648254901</v>
      </c>
      <c r="J37" s="10">
        <f>+INDEX('QoE PF Adj. P&amp;L Aug-26'!$D$11:$AI$108,MATCH($C37,'QoE PF Adj. P&amp;L Aug-26'!$C$11:$C$108,0),MATCH(J$8,'QoE PF Adj. P&amp;L Aug-26'!$D$8:$AI$8,0))*1000</f>
        <v>2500</v>
      </c>
      <c r="K37" s="10">
        <f>+INDEX('QoE PF Adj. P&amp;L Aug-26'!$D$11:$AI$108,MATCH($C37,'QoE PF Adj. P&amp;L Aug-26'!$C$11:$C$108,0),MATCH(K$8,'QoE PF Adj. P&amp;L Aug-26'!$D$8:$AI$8,0))*1000</f>
        <v>2500</v>
      </c>
      <c r="L37" s="10">
        <f>+INDEX('QoE PF Adj. P&amp;L Aug-26'!$D$11:$AI$108,MATCH($C37,'QoE PF Adj. P&amp;L Aug-26'!$C$11:$C$108,0),MATCH(L$8,'QoE PF Adj. P&amp;L Aug-26'!$D$8:$AI$8,0))*1000</f>
        <v>2600</v>
      </c>
      <c r="M37" s="10">
        <f>+INDEX('QoE PF Adj. P&amp;L Aug-26'!$D$11:$AI$108,MATCH($C37,'QoE PF Adj. P&amp;L Aug-26'!$C$11:$C$108,0),MATCH(M$8,'QoE PF Adj. P&amp;L Aug-26'!$D$8:$AI$8,0))*1000</f>
        <v>2600</v>
      </c>
      <c r="N37" s="10">
        <f>+INDEX('QoE PF Adj. P&amp;L Aug-26'!$D$11:$AI$108,MATCH($C37,'QoE PF Adj. P&amp;L Aug-26'!$C$11:$C$108,0),MATCH(N$8,'QoE PF Adj. P&amp;L Aug-26'!$D$8:$AI$8,0))*1000</f>
        <v>2800</v>
      </c>
      <c r="O37" s="10">
        <f>+INDEX('QoE PF Adj. P&amp;L Aug-26'!$D$11:$AI$108,MATCH($C37,'QoE PF Adj. P&amp;L Aug-26'!$C$11:$C$108,0),MATCH(O$8,'QoE PF Adj. P&amp;L Aug-26'!$D$8:$AI$8,0))*1000</f>
        <v>2600</v>
      </c>
      <c r="P37" s="10">
        <f>+INDEX('QoE PF Adj. P&amp;L Aug-26'!$D$11:$AI$108,MATCH($C37,'QoE PF Adj. P&amp;L Aug-26'!$C$11:$C$108,0),MATCH(P$8,'QoE PF Adj. P&amp;L Aug-26'!$D$8:$AI$8,0))*1000</f>
        <v>2700</v>
      </c>
      <c r="Q37" s="10">
        <f>+INDEX('QoE PF Adj. P&amp;L Aug-26'!$D$11:$AI$108,MATCH($C37,'QoE PF Adj. P&amp;L Aug-26'!$C$11:$C$108,0),MATCH(Q$8,'QoE PF Adj. P&amp;L Aug-26'!$D$8:$AI$8,0))*1000</f>
        <v>2800</v>
      </c>
      <c r="R37" s="10">
        <f>+INDEX('QoE PF Adj. P&amp;L Aug-26'!$D$11:$AI$108,MATCH($C37,'QoE PF Adj. P&amp;L Aug-26'!$C$11:$C$108,0),MATCH(R$8,'QoE PF Adj. P&amp;L Aug-26'!$D$8:$AI$8,0))*1000</f>
        <v>2700</v>
      </c>
      <c r="S37" s="10">
        <f>+INDEX('QoE PF Adj. P&amp;L Aug-26'!$D$11:$AI$108,MATCH($C37,'QoE PF Adj. P&amp;L Aug-26'!$C$11:$C$108,0),MATCH(S$8,'QoE PF Adj. P&amp;L Aug-26'!$D$8:$AI$8,0))*1000</f>
        <v>2600</v>
      </c>
      <c r="T37" s="10">
        <f>+INDEX('QoE PF Adj. P&amp;L Aug-26'!$D$11:$AI$108,MATCH($C37,'QoE PF Adj. P&amp;L Aug-26'!$C$11:$C$108,0),MATCH(T$8,'QoE PF Adj. P&amp;L Aug-26'!$D$8:$AI$8,0))*1000</f>
        <v>2700</v>
      </c>
      <c r="U37" s="10">
        <f>+INDEX('QoE PF Adj. P&amp;L Aug-26'!$D$11:$AI$108,MATCH($C37,'QoE PF Adj. P&amp;L Aug-26'!$C$11:$C$108,0),MATCH(U$8,'QoE PF Adj. P&amp;L Aug-26'!$D$8:$AI$8,0))*1000</f>
        <v>2900</v>
      </c>
      <c r="V37" s="10">
        <f>+INDEX('QoE PF Adj. P&amp;L Aug-26'!$D$11:$AI$108,MATCH($C37,'QoE PF Adj. P&amp;L Aug-26'!$C$11:$C$108,0),MATCH(V$8,'QoE PF Adj. P&amp;L Aug-26'!$D$8:$AI$8,0))*1000</f>
        <v>2900</v>
      </c>
      <c r="W37" s="10">
        <f>+INDEX('QoE PF Adj. P&amp;L Aug-26'!$D$11:$AI$108,MATCH($C37,'QoE PF Adj. P&amp;L Aug-26'!$C$11:$C$108,0),MATCH(W$8,'QoE PF Adj. P&amp;L Aug-26'!$D$8:$AI$8,0))*1000</f>
        <v>2800</v>
      </c>
      <c r="X37" s="10">
        <f>+INDEX('QoE PF Adj. P&amp;L Aug-26'!$D$11:$AI$108,MATCH($C37,'QoE PF Adj. P&amp;L Aug-26'!$C$11:$C$108,0),MATCH(X$8,'QoE PF Adj. P&amp;L Aug-26'!$D$8:$AI$8,0))*1000</f>
        <v>2900</v>
      </c>
      <c r="Y37" s="10">
        <f>+INDEX('QoE PF Adj. P&amp;L Aug-26'!$D$11:$AI$108,MATCH($C37,'QoE PF Adj. P&amp;L Aug-26'!$C$11:$C$108,0),MATCH(Y$8,'QoE PF Adj. P&amp;L Aug-26'!$D$8:$AI$8,0))*1000</f>
        <v>2800</v>
      </c>
      <c r="Z37" s="10">
        <f>+INDEX('QoE PF Adj. P&amp;L Aug-26'!$D$11:$AI$108,MATCH($C37,'QoE PF Adj. P&amp;L Aug-26'!$C$11:$C$108,0),MATCH(Z$8,'QoE PF Adj. P&amp;L Aug-26'!$D$8:$AI$8,0))*1000</f>
        <v>2900</v>
      </c>
      <c r="AA37" s="10">
        <f>+INDEX('QoE PF Adj. P&amp;L Aug-26'!$D$11:$AI$108,MATCH($C37,'QoE PF Adj. P&amp;L Aug-26'!$C$11:$C$108,0),MATCH(AA$8,'QoE PF Adj. P&amp;L Aug-26'!$D$8:$AI$8,0))*1000</f>
        <v>3000</v>
      </c>
      <c r="AB37" s="10">
        <f>+INDEX('QoE PF Adj. P&amp;L Aug-26'!$D$11:$AI$108,MATCH($C37,'QoE PF Adj. P&amp;L Aug-26'!$C$11:$C$108,0),MATCH(AB$8,'QoE PF Adj. P&amp;L Aug-26'!$D$8:$AI$8,0))*1000</f>
        <v>2800</v>
      </c>
      <c r="AC37" s="10">
        <f>+INDEX('QoE PF Adj. P&amp;L Aug-26'!$D$11:$AI$108,MATCH($C37,'QoE PF Adj. P&amp;L Aug-26'!$C$11:$C$108,0),MATCH(AC$8,'QoE PF Adj. P&amp;L Aug-26'!$D$8:$AI$8,0))*1000</f>
        <v>2900</v>
      </c>
      <c r="AD37" s="10">
        <f>+INDEX('QoE PF Adj. P&amp;L Aug-26'!$D$11:$AI$108,MATCH($C37,'QoE PF Adj. P&amp;L Aug-26'!$C$11:$C$108,0),MATCH(AD$8,'QoE PF Adj. P&amp;L Aug-26'!$D$8:$AI$8,0))*1000</f>
        <v>3100</v>
      </c>
      <c r="AE37" s="10">
        <f>+INDEX('QoE PF Adj. P&amp;L Aug-26'!$D$11:$AI$108,MATCH($C37,'QoE PF Adj. P&amp;L Aug-26'!$C$11:$C$108,0),MATCH(AE$8,'QoE PF Adj. P&amp;L Aug-26'!$D$8:$AI$8,0))*1000</f>
        <v>2800</v>
      </c>
      <c r="AF37" s="10">
        <f>+INDEX('QoE PF Adj. P&amp;L Aug-26'!$D$11:$AI$108,MATCH($C37,'QoE PF Adj. P&amp;L Aug-26'!$C$11:$C$108,0),MATCH(AF$8,'QoE PF Adj. P&amp;L Aug-26'!$D$8:$AI$8,0))*1000</f>
        <v>2800</v>
      </c>
      <c r="AG37" s="10">
        <f>+INDEX('QoE PF Adj. P&amp;L Aug-26'!$D$11:$AI$108,MATCH($C37,'QoE PF Adj. P&amp;L Aug-26'!$C$11:$C$108,0),MATCH(AG$8,'QoE PF Adj. P&amp;L Aug-26'!$D$8:$AI$8,0))*1000</f>
        <v>2800</v>
      </c>
      <c r="AH37" s="10">
        <f>+INDEX('QoE PF Adj. P&amp;L Aug-26'!$D$11:$AI$108,MATCH($C37,'QoE PF Adj. P&amp;L Aug-26'!$C$11:$C$108,0),MATCH(AH$8,'QoE PF Adj. P&amp;L Aug-26'!$D$8:$AI$8,0))*1000</f>
        <v>3100</v>
      </c>
      <c r="AI37" s="10">
        <f>+INDEX('QoE PF Adj. P&amp;L Aug-26'!$D$11:$AI$108,MATCH($C37,'QoE PF Adj. P&amp;L Aug-26'!$C$11:$C$108,0),MATCH(AI$8,'QoE PF Adj. P&amp;L Aug-26'!$D$8:$AI$8,0))*1000</f>
        <v>3000</v>
      </c>
      <c r="AJ37" s="10">
        <f>+INDEX('QoE PF Adj. P&amp;L Aug-26'!$D$11:$AI$108,MATCH($C37,'QoE PF Adj. P&amp;L Aug-26'!$C$11:$C$108,0),MATCH(AJ$8,'QoE PF Adj. P&amp;L Aug-26'!$D$8:$AI$8,0))*1000</f>
        <v>3200</v>
      </c>
      <c r="AK37" s="10">
        <f>+INDEX('QoE PF Adj. P&amp;L Aug-26'!$D$11:$AI$108,MATCH($C37,'QoE PF Adj. P&amp;L Aug-26'!$C$11:$C$108,0),MATCH(AK$8,'QoE PF Adj. P&amp;L Aug-26'!$D$8:$AI$8,0))*1000</f>
        <v>2900</v>
      </c>
      <c r="AL37" s="10">
        <f>+INDEX('QoE PF Adj. P&amp;L Aug-26'!$D$11:$AI$108,MATCH($C37,'QoE PF Adj. P&amp;L Aug-26'!$C$11:$C$108,0),MATCH(AL$8,'QoE PF Adj. P&amp;L Aug-26'!$D$8:$AI$8,0))*1000</f>
        <v>3100</v>
      </c>
      <c r="AM37" s="10">
        <f>+INDEX('QoE PF Adj. P&amp;L Aug-26'!$D$11:$AI$108,MATCH($C37,'QoE PF Adj. P&amp;L Aug-26'!$C$11:$C$108,0),MATCH(AM$8,'QoE PF Adj. P&amp;L Aug-26'!$D$8:$AI$8,0))*1000</f>
        <v>3200</v>
      </c>
      <c r="AN37" s="10">
        <f>+INDEX('QoE PF Adj. P&amp;L Aug-26'!$D$11:$AI$108,MATCH($C37,'QoE PF Adj. P&amp;L Aug-26'!$C$11:$C$108,0),MATCH(AN$8,'QoE PF Adj. P&amp;L Aug-26'!$D$8:$AI$8,0))*1000</f>
        <v>2900</v>
      </c>
      <c r="AO37" s="10">
        <f>+INDEX('QoE PF Adj. P&amp;L Aug-26'!$D$11:$AI$108,MATCH($C37,'QoE PF Adj. P&amp;L Aug-26'!$C$11:$C$108,0),MATCH(AO$8,'QoE PF Adj. P&amp;L Aug-26'!$D$8:$AI$8,0))*1000</f>
        <v>3000</v>
      </c>
      <c r="AP37" s="10">
        <f>+SUMIFS('Sep - Nov P&amp;L'!I:I,'Sep - Nov P&amp;L'!$D:$D,$C37)</f>
        <v>3150.22</v>
      </c>
      <c r="AQ37" s="10">
        <f>+SUMIFS('Sep - Nov P&amp;L'!J:J,'Sep - Nov P&amp;L'!$D:$D,$C37)</f>
        <v>3298.3</v>
      </c>
      <c r="AR37" s="10">
        <f>+SUMIFS('Sep - Nov P&amp;L'!K:K,'Sep - Nov P&amp;L'!$D:$D,$C37)</f>
        <v>3010.5</v>
      </c>
      <c r="AS37" s="20">
        <f>+AS145</f>
        <v>3054.91833333333</v>
      </c>
      <c r="AT37" s="20">
        <f>+AT145</f>
        <v>3065.6105475</v>
      </c>
      <c r="AU37" s="20">
        <f>+AU145</f>
        <v>3076.34018441625</v>
      </c>
      <c r="AV37" s="20">
        <f>+AV145</f>
        <v>3087.10737506171</v>
      </c>
      <c r="AW37" s="20">
        <f>+AW145</f>
        <v>3097.91225087442</v>
      </c>
      <c r="AX37" s="20">
        <f>+AX145</f>
        <v>3108.75494375248</v>
      </c>
      <c r="AY37" s="20">
        <f>+AY145</f>
        <v>3119.63558605562</v>
      </c>
      <c r="AZ37" s="20">
        <f>+AZ145</f>
        <v>3130.55431060681</v>
      </c>
      <c r="BA37" s="20">
        <f>+BA145</f>
        <v>3141.51125069394</v>
      </c>
      <c r="BB37" s="20">
        <f>+BB145</f>
        <v>3152.50654007137</v>
      </c>
      <c r="BC37" s="20">
        <f>+BC145</f>
        <v>3163.54031296162</v>
      </c>
      <c r="BD37" s="20">
        <f>+BD145</f>
        <v>3174.61270405698</v>
      </c>
      <c r="BE37" s="20">
        <f>+BE145</f>
        <v>3185.72384852118</v>
      </c>
      <c r="BF37" s="20">
        <f>+BF145</f>
        <v>3196.87388199101</v>
      </c>
      <c r="BG37" s="20">
        <f>+BG145</f>
        <v>3208.06294057797</v>
      </c>
      <c r="BH37" s="20">
        <f>+BH145</f>
        <v>3219.29116087</v>
      </c>
      <c r="BI37" s="20">
        <f>+BI145</f>
        <v>3230.55867993304</v>
      </c>
      <c r="BJ37" s="20">
        <f>+BJ145</f>
        <v>3241.86563531281</v>
      </c>
      <c r="BK37" s="20">
        <f>+BK145</f>
        <v>3253.2121650364</v>
      </c>
      <c r="BL37" s="20">
        <f>+BL145</f>
        <v>3264.59840761403</v>
      </c>
      <c r="BM37" s="20">
        <f>+BM145</f>
        <v>3276.02450204068</v>
      </c>
      <c r="BN37" s="20">
        <f>+BN145</f>
        <v>3287.49058779782</v>
      </c>
      <c r="BO37" s="20">
        <f>+BO145</f>
        <v>3298.99680485512</v>
      </c>
      <c r="BP37" s="20">
        <f>+BP145</f>
        <v>3310.54329367211</v>
      </c>
      <c r="BQ37" s="20">
        <f>+BQ145</f>
        <v>3322.13019519996</v>
      </c>
    </row>
    <row r="38">
      <c r="C38" s="2" t="inlineStr">
        <is>
          <t>Total Occupancy Costs</t>
        </is>
      </c>
      <c r="D38" s="15">
        <f>+SUMIFS($J38:$BQ38,$J$7:$BQ$7,D$8)</f>
        <v>710400</v>
      </c>
      <c r="E38" s="15">
        <f>+SUMIFS($J38:$BQ38,$J$7:$BQ$7,E$8)</f>
        <v>768100</v>
      </c>
      <c r="F38" s="15">
        <f>+SUMIFS($J38:$BQ38,$J$7:$BQ$7,F$8)</f>
        <v>806806.721666667</v>
      </c>
      <c r="G38" s="15">
        <f>+SUMIFS($J38:$BQ38,$J$7:$BQ$7,G$8)</f>
        <v>825178.325654194</v>
      </c>
      <c r="H38" s="15">
        <f>+SUMIFS($J38:$BQ38,$J$7:$BQ$7,H$8)</f>
        <v>860510.817142197</v>
      </c>
      <c r="J38" s="15">
        <f>SUM(J30:J37)</f>
        <v>57700</v>
      </c>
      <c r="K38" s="15">
        <f>SUM(K30:K37)</f>
        <v>55700</v>
      </c>
      <c r="L38" s="15">
        <f>SUM(L30:L37)</f>
        <v>59800</v>
      </c>
      <c r="M38" s="15">
        <f>SUM(M30:M37)</f>
        <v>58700</v>
      </c>
      <c r="N38" s="15">
        <f>SUM(N30:N37)</f>
        <v>61100</v>
      </c>
      <c r="O38" s="15">
        <f>SUM(O30:O37)</f>
        <v>59700</v>
      </c>
      <c r="P38" s="15">
        <f>SUM(P30:P37)</f>
        <v>59200</v>
      </c>
      <c r="Q38" s="15">
        <f>SUM(Q30:Q37)</f>
        <v>58100</v>
      </c>
      <c r="R38" s="15">
        <f>SUM(R30:R37)</f>
        <v>58700</v>
      </c>
      <c r="S38" s="15">
        <f>SUM(S30:S37)</f>
        <v>62100</v>
      </c>
      <c r="T38" s="15">
        <f>SUM(T30:T37)</f>
        <v>60500</v>
      </c>
      <c r="U38" s="15">
        <f>SUM(U30:U37)</f>
        <v>59100</v>
      </c>
      <c r="V38" s="15">
        <f>SUM(V30:V37)</f>
        <v>59100</v>
      </c>
      <c r="W38" s="15">
        <f>SUM(W30:W37)</f>
        <v>60500</v>
      </c>
      <c r="X38" s="15">
        <f>SUM(X30:X37)</f>
        <v>62500</v>
      </c>
      <c r="Y38" s="15">
        <f>SUM(Y30:Y37)</f>
        <v>63700</v>
      </c>
      <c r="Z38" s="15">
        <f>SUM(Z30:Z37)</f>
        <v>64600</v>
      </c>
      <c r="AA38" s="15">
        <f>SUM(AA30:AA37)</f>
        <v>63200</v>
      </c>
      <c r="AB38" s="15">
        <f>SUM(AB30:AB37)</f>
        <v>66600</v>
      </c>
      <c r="AC38" s="15">
        <f>SUM(AC30:AC37)</f>
        <v>64800</v>
      </c>
      <c r="AD38" s="15">
        <f>SUM(AD30:AD37)</f>
        <v>67000</v>
      </c>
      <c r="AE38" s="15">
        <f>SUM(AE30:AE37)</f>
        <v>64300</v>
      </c>
      <c r="AF38" s="15">
        <f>SUM(AF30:AF37)</f>
        <v>64800</v>
      </c>
      <c r="AG38" s="15">
        <f>SUM(AG30:AG37)</f>
        <v>67000</v>
      </c>
      <c r="AH38" s="15">
        <f>SUM(AH30:AH37)</f>
        <v>68500</v>
      </c>
      <c r="AI38" s="15">
        <f>SUM(AI30:AI37)</f>
        <v>68100</v>
      </c>
      <c r="AJ38" s="15">
        <f>SUM(AJ30:AJ37)</f>
        <v>68700</v>
      </c>
      <c r="AK38" s="15">
        <f>SUM(AK30:AK37)</f>
        <v>69000</v>
      </c>
      <c r="AL38" s="15">
        <f>SUM(AL30:AL37)</f>
        <v>65500</v>
      </c>
      <c r="AM38" s="15">
        <f>SUM(AM30:AM37)</f>
        <v>65600</v>
      </c>
      <c r="AN38" s="15">
        <f>SUM(AN30:AN37)</f>
        <v>68000</v>
      </c>
      <c r="AO38" s="15">
        <f>SUM(AO30:AO37)</f>
        <v>65700</v>
      </c>
      <c r="AP38" s="15">
        <f>SUM(AP30:AP37)</f>
        <v>66014.8</v>
      </c>
      <c r="AQ38" s="15">
        <f>SUM(AQ30:AQ37)</f>
        <v>66946.7</v>
      </c>
      <c r="AR38" s="15">
        <f>SUM(AR30:AR37)</f>
        <v>67529.32</v>
      </c>
      <c r="AS38" s="15">
        <f>SUM(AS30:AS37)</f>
        <v>67215.9016666667</v>
      </c>
      <c r="AT38" s="15">
        <f>SUM(AT30:AT37)</f>
        <v>67451.1573225</v>
      </c>
      <c r="AU38" s="15">
        <f>SUM(AU30:AU37)</f>
        <v>67687.2363731288</v>
      </c>
      <c r="AV38" s="15">
        <f>SUM(AV30:AV37)</f>
        <v>67924.1417004347</v>
      </c>
      <c r="AW38" s="15">
        <f>SUM(AW30:AW37)</f>
        <v>68161.8761963863</v>
      </c>
      <c r="AX38" s="15">
        <f>SUM(AX30:AX37)</f>
        <v>68400.4427630736</v>
      </c>
      <c r="AY38" s="15">
        <f>SUM(AY30:AY37)</f>
        <v>68639.8443127444</v>
      </c>
      <c r="AZ38" s="15">
        <f>SUM(AZ30:AZ37)</f>
        <v>68880.083767839</v>
      </c>
      <c r="BA38" s="15">
        <f>SUM(BA30:BA37)</f>
        <v>69121.1640610264</v>
      </c>
      <c r="BB38" s="15">
        <f>SUM(BB30:BB37)</f>
        <v>69363.08813524</v>
      </c>
      <c r="BC38" s="15">
        <f>SUM(BC30:BC37)</f>
        <v>69605.8589437134</v>
      </c>
      <c r="BD38" s="15">
        <f>SUM(BD30:BD37)</f>
        <v>69849.4794500164</v>
      </c>
      <c r="BE38" s="15">
        <f>SUM(BE30:BE37)</f>
        <v>70093.9526280914</v>
      </c>
      <c r="BF38" s="15">
        <f>SUM(BF30:BF37)</f>
        <v>70339.2814622898</v>
      </c>
      <c r="BG38" s="15">
        <f>SUM(BG30:BG37)</f>
        <v>70585.4689474078</v>
      </c>
      <c r="BH38" s="15">
        <f>SUM(BH30:BH37)</f>
        <v>70832.5180887237</v>
      </c>
      <c r="BI38" s="15">
        <f>SUM(BI30:BI37)</f>
        <v>71080.4319020342</v>
      </c>
      <c r="BJ38" s="15">
        <f>SUM(BJ30:BJ37)</f>
        <v>71329.2134136914</v>
      </c>
      <c r="BK38" s="15">
        <f>SUM(BK30:BK37)</f>
        <v>71578.8656606393</v>
      </c>
      <c r="BL38" s="15">
        <f>SUM(BL30:BL37)</f>
        <v>71829.3916904515</v>
      </c>
      <c r="BM38" s="15">
        <f>SUM(BM30:BM37)</f>
        <v>72080.7945613681</v>
      </c>
      <c r="BN38" s="15">
        <f>SUM(BN30:BN37)</f>
        <v>72333.0773423329</v>
      </c>
      <c r="BO38" s="15">
        <f>SUM(BO30:BO37)</f>
        <v>72586.2431130311</v>
      </c>
      <c r="BP38" s="15">
        <f>SUM(BP30:BP37)</f>
        <v>72840.2949639267</v>
      </c>
      <c r="BQ38" s="15">
        <f>SUM(BQ30:BQ37)</f>
        <v>73095.2359963004</v>
      </c>
    </row>
    <row r="40">
      <c r="C40" s="2" t="inlineStr">
        <is>
          <t>Drugs &amp; Medical Supplies</t>
        </is>
      </c>
    </row>
    <row r="41">
      <c r="B41" s="4" t="inlineStr">
        <is>
          <t>% rev</t>
        </is>
      </c>
      <c r="C41" s="3" t="inlineStr">
        <is>
          <t>Medical Supplies</t>
        </is>
      </c>
      <c r="D41" s="20">
        <f>+SUMIFS($J41:$BQ41,$J$7:$BQ$7,D$8)</f>
        <v>317200</v>
      </c>
      <c r="E41" s="20">
        <f>+SUMIFS($J41:$BQ41,$J$7:$BQ$7,E$8)</f>
        <v>343800</v>
      </c>
      <c r="F41" s="20">
        <f>+SUMIFS($J41:$BQ41,$J$7:$BQ$7,F$8)</f>
        <v>430923.070925131</v>
      </c>
      <c r="G41" s="20">
        <f>+SUMIFS($J41:$BQ41,$J$7:$BQ$7,G$8)</f>
        <v>414111.302797841</v>
      </c>
      <c r="H41" s="20">
        <f>+SUMIFS($J41:$BQ41,$J$7:$BQ$7,H$8)</f>
        <v>483098.557710901</v>
      </c>
      <c r="J41" s="10">
        <f>+INDEX('QoE PF Adj. P&amp;L Aug-26'!$D$11:$AI$108,MATCH($C41,'QoE PF Adj. P&amp;L Aug-26'!$C$11:$C$108,0),MATCH(J$8,'QoE PF Adj. P&amp;L Aug-26'!$D$8:$AI$8,0))*1000</f>
        <v>26600</v>
      </c>
      <c r="K41" s="10">
        <f>+INDEX('QoE PF Adj. P&amp;L Aug-26'!$D$11:$AI$108,MATCH($C41,'QoE PF Adj. P&amp;L Aug-26'!$C$11:$C$108,0),MATCH(K$8,'QoE PF Adj. P&amp;L Aug-26'!$D$8:$AI$8,0))*1000</f>
        <v>23500</v>
      </c>
      <c r="L41" s="10">
        <f>+INDEX('QoE PF Adj. P&amp;L Aug-26'!$D$11:$AI$108,MATCH($C41,'QoE PF Adj. P&amp;L Aug-26'!$C$11:$C$108,0),MATCH(L$8,'QoE PF Adj. P&amp;L Aug-26'!$D$8:$AI$8,0))*1000</f>
        <v>25600</v>
      </c>
      <c r="M41" s="10">
        <f>+INDEX('QoE PF Adj. P&amp;L Aug-26'!$D$11:$AI$108,MATCH($C41,'QoE PF Adj. P&amp;L Aug-26'!$C$11:$C$108,0),MATCH(M$8,'QoE PF Adj. P&amp;L Aug-26'!$D$8:$AI$8,0))*1000</f>
        <v>25900</v>
      </c>
      <c r="N41" s="10">
        <f>+INDEX('QoE PF Adj. P&amp;L Aug-26'!$D$11:$AI$108,MATCH($C41,'QoE PF Adj. P&amp;L Aug-26'!$C$11:$C$108,0),MATCH(N$8,'QoE PF Adj. P&amp;L Aug-26'!$D$8:$AI$8,0))*1000</f>
        <v>28600</v>
      </c>
      <c r="O41" s="10">
        <f>+INDEX('QoE PF Adj. P&amp;L Aug-26'!$D$11:$AI$108,MATCH($C41,'QoE PF Adj. P&amp;L Aug-26'!$C$11:$C$108,0),MATCH(O$8,'QoE PF Adj. P&amp;L Aug-26'!$D$8:$AI$8,0))*1000</f>
        <v>25100</v>
      </c>
      <c r="P41" s="10">
        <f>+INDEX('QoE PF Adj. P&amp;L Aug-26'!$D$11:$AI$108,MATCH($C41,'QoE PF Adj. P&amp;L Aug-26'!$C$11:$C$108,0),MATCH(P$8,'QoE PF Adj. P&amp;L Aug-26'!$D$8:$AI$8,0))*1000</f>
        <v>25800</v>
      </c>
      <c r="Q41" s="10">
        <f>+INDEX('QoE PF Adj. P&amp;L Aug-26'!$D$11:$AI$108,MATCH($C41,'QoE PF Adj. P&amp;L Aug-26'!$C$11:$C$108,0),MATCH(Q$8,'QoE PF Adj. P&amp;L Aug-26'!$D$8:$AI$8,0))*1000</f>
        <v>26500</v>
      </c>
      <c r="R41" s="10">
        <f>+INDEX('QoE PF Adj. P&amp;L Aug-26'!$D$11:$AI$108,MATCH($C41,'QoE PF Adj. P&amp;L Aug-26'!$C$11:$C$108,0),MATCH(R$8,'QoE PF Adj. P&amp;L Aug-26'!$D$8:$AI$8,0))*1000</f>
        <v>26000</v>
      </c>
      <c r="S41" s="10">
        <f>+INDEX('QoE PF Adj. P&amp;L Aug-26'!$D$11:$AI$108,MATCH($C41,'QoE PF Adj. P&amp;L Aug-26'!$C$11:$C$108,0),MATCH(S$8,'QoE PF Adj. P&amp;L Aug-26'!$D$8:$AI$8,0))*1000</f>
        <v>31300</v>
      </c>
      <c r="T41" s="10">
        <f>+INDEX('QoE PF Adj. P&amp;L Aug-26'!$D$11:$AI$108,MATCH($C41,'QoE PF Adj. P&amp;L Aug-26'!$C$11:$C$108,0),MATCH(T$8,'QoE PF Adj. P&amp;L Aug-26'!$D$8:$AI$8,0))*1000</f>
        <v>25700</v>
      </c>
      <c r="U41" s="10">
        <f>+INDEX('QoE PF Adj. P&amp;L Aug-26'!$D$11:$AI$108,MATCH($C41,'QoE PF Adj. P&amp;L Aug-26'!$C$11:$C$108,0),MATCH(U$8,'QoE PF Adj. P&amp;L Aug-26'!$D$8:$AI$8,0))*1000</f>
        <v>26600</v>
      </c>
      <c r="V41" s="10">
        <f>+INDEX('QoE PF Adj. P&amp;L Aug-26'!$D$11:$AI$108,MATCH($C41,'QoE PF Adj. P&amp;L Aug-26'!$C$11:$C$108,0),MATCH(V$8,'QoE PF Adj. P&amp;L Aug-26'!$D$8:$AI$8,0))*1000</f>
        <v>27600</v>
      </c>
      <c r="W41" s="10">
        <f>+INDEX('QoE PF Adj. P&amp;L Aug-26'!$D$11:$AI$108,MATCH($C41,'QoE PF Adj. P&amp;L Aug-26'!$C$11:$C$108,0),MATCH(W$8,'QoE PF Adj. P&amp;L Aug-26'!$D$8:$AI$8,0))*1000</f>
        <v>22600</v>
      </c>
      <c r="X41" s="10">
        <f>+INDEX('QoE PF Adj. P&amp;L Aug-26'!$D$11:$AI$108,MATCH($C41,'QoE PF Adj. P&amp;L Aug-26'!$C$11:$C$108,0),MATCH(X$8,'QoE PF Adj. P&amp;L Aug-26'!$D$8:$AI$8,0))*1000</f>
        <v>27800</v>
      </c>
      <c r="Y41" s="10">
        <f>+INDEX('QoE PF Adj. P&amp;L Aug-26'!$D$11:$AI$108,MATCH($C41,'QoE PF Adj. P&amp;L Aug-26'!$C$11:$C$108,0),MATCH(Y$8,'QoE PF Adj. P&amp;L Aug-26'!$D$8:$AI$8,0))*1000</f>
        <v>30100</v>
      </c>
      <c r="Z41" s="10">
        <f>+INDEX('QoE PF Adj. P&amp;L Aug-26'!$D$11:$AI$108,MATCH($C41,'QoE PF Adj. P&amp;L Aug-26'!$C$11:$C$108,0),MATCH(Z$8,'QoE PF Adj. P&amp;L Aug-26'!$D$8:$AI$8,0))*1000</f>
        <v>29400</v>
      </c>
      <c r="AA41" s="10">
        <f>+INDEX('QoE PF Adj. P&amp;L Aug-26'!$D$11:$AI$108,MATCH($C41,'QoE PF Adj. P&amp;L Aug-26'!$C$11:$C$108,0),MATCH(AA$8,'QoE PF Adj. P&amp;L Aug-26'!$D$8:$AI$8,0))*1000</f>
        <v>25400</v>
      </c>
      <c r="AB41" s="10">
        <f>+INDEX('QoE PF Adj. P&amp;L Aug-26'!$D$11:$AI$108,MATCH($C41,'QoE PF Adj. P&amp;L Aug-26'!$C$11:$C$108,0),MATCH(AB$8,'QoE PF Adj. P&amp;L Aug-26'!$D$8:$AI$8,0))*1000</f>
        <v>29800</v>
      </c>
      <c r="AC41" s="10">
        <f>+INDEX('QoE PF Adj. P&amp;L Aug-26'!$D$11:$AI$108,MATCH($C41,'QoE PF Adj. P&amp;L Aug-26'!$C$11:$C$108,0),MATCH(AC$8,'QoE PF Adj. P&amp;L Aug-26'!$D$8:$AI$8,0))*1000</f>
        <v>30100</v>
      </c>
      <c r="AD41" s="10">
        <f>+INDEX('QoE PF Adj. P&amp;L Aug-26'!$D$11:$AI$108,MATCH($C41,'QoE PF Adj. P&amp;L Aug-26'!$C$11:$C$108,0),MATCH(AD$8,'QoE PF Adj. P&amp;L Aug-26'!$D$8:$AI$8,0))*1000</f>
        <v>29000</v>
      </c>
      <c r="AE41" s="10">
        <f>+INDEX('QoE PF Adj. P&amp;L Aug-26'!$D$11:$AI$108,MATCH($C41,'QoE PF Adj. P&amp;L Aug-26'!$C$11:$C$108,0),MATCH(AE$8,'QoE PF Adj. P&amp;L Aug-26'!$D$8:$AI$8,0))*1000</f>
        <v>33500</v>
      </c>
      <c r="AF41" s="10">
        <f>+INDEX('QoE PF Adj. P&amp;L Aug-26'!$D$11:$AI$108,MATCH($C41,'QoE PF Adj. P&amp;L Aug-26'!$C$11:$C$108,0),MATCH(AF$8,'QoE PF Adj. P&amp;L Aug-26'!$D$8:$AI$8,0))*1000</f>
        <v>27800</v>
      </c>
      <c r="AG41" s="10">
        <f>+INDEX('QoE PF Adj. P&amp;L Aug-26'!$D$11:$AI$108,MATCH($C41,'QoE PF Adj. P&amp;L Aug-26'!$C$11:$C$108,0),MATCH(AG$8,'QoE PF Adj. P&amp;L Aug-26'!$D$8:$AI$8,0))*1000</f>
        <v>30700</v>
      </c>
      <c r="AH41" s="10">
        <f>+INDEX('QoE PF Adj. P&amp;L Aug-26'!$D$11:$AI$108,MATCH($C41,'QoE PF Adj. P&amp;L Aug-26'!$C$11:$C$108,0),MATCH(AH$8,'QoE PF Adj. P&amp;L Aug-26'!$D$8:$AI$8,0))*1000</f>
        <v>31100</v>
      </c>
      <c r="AI41" s="10">
        <f>+INDEX('QoE PF Adj. P&amp;L Aug-26'!$D$11:$AI$108,MATCH($C41,'QoE PF Adj. P&amp;L Aug-26'!$C$11:$C$108,0),MATCH(AI$8,'QoE PF Adj. P&amp;L Aug-26'!$D$8:$AI$8,0))*1000</f>
        <v>26500</v>
      </c>
      <c r="AJ41" s="10">
        <f>+INDEX('QoE PF Adj. P&amp;L Aug-26'!$D$11:$AI$108,MATCH($C41,'QoE PF Adj. P&amp;L Aug-26'!$C$11:$C$108,0),MATCH(AJ$8,'QoE PF Adj. P&amp;L Aug-26'!$D$8:$AI$8,0))*1000</f>
        <v>30200</v>
      </c>
      <c r="AK41" s="10">
        <f>+INDEX('QoE PF Adj. P&amp;L Aug-26'!$D$11:$AI$108,MATCH($C41,'QoE PF Adj. P&amp;L Aug-26'!$C$11:$C$108,0),MATCH(AK$8,'QoE PF Adj. P&amp;L Aug-26'!$D$8:$AI$8,0))*1000</f>
        <v>32200</v>
      </c>
      <c r="AL41" s="10">
        <f>+INDEX('QoE PF Adj. P&amp;L Aug-26'!$D$11:$AI$108,MATCH($C41,'QoE PF Adj. P&amp;L Aug-26'!$C$11:$C$108,0),MATCH(AL$8,'QoE PF Adj. P&amp;L Aug-26'!$D$8:$AI$8,0))*1000</f>
        <v>31800</v>
      </c>
      <c r="AM41" s="10">
        <f>+INDEX('QoE PF Adj. P&amp;L Aug-26'!$D$11:$AI$108,MATCH($C41,'QoE PF Adj. P&amp;L Aug-26'!$C$11:$C$108,0),MATCH(AM$8,'QoE PF Adj. P&amp;L Aug-26'!$D$8:$AI$8,0))*1000</f>
        <v>30400</v>
      </c>
      <c r="AN41" s="10">
        <f>+INDEX('QoE PF Adj. P&amp;L Aug-26'!$D$11:$AI$108,MATCH($C41,'QoE PF Adj. P&amp;L Aug-26'!$C$11:$C$108,0),MATCH(AN$8,'QoE PF Adj. P&amp;L Aug-26'!$D$8:$AI$8,0))*1000</f>
        <v>31000</v>
      </c>
      <c r="AO41" s="10">
        <f>+INDEX('QoE PF Adj. P&amp;L Aug-26'!$D$11:$AI$108,MATCH($C41,'QoE PF Adj. P&amp;L Aug-26'!$C$11:$C$108,0),MATCH(AO$8,'QoE PF Adj. P&amp;L Aug-26'!$D$8:$AI$8,0))*1000</f>
        <v>29800</v>
      </c>
      <c r="AP41" s="10">
        <f>+SUMIFS('Sep - Nov P&amp;L'!I:I,'Sep - Nov P&amp;L'!$D:$D,$C41)</f>
        <v>52039.5</v>
      </c>
      <c r="AQ41" s="10">
        <f>+SUMIFS('Sep - Nov P&amp;L'!J:J,'Sep - Nov P&amp;L'!$D:$D,$C41)</f>
        <v>56217.96</v>
      </c>
      <c r="AR41" s="10">
        <f>+SUMIFS('Sep - Nov P&amp;L'!K:K,'Sep - Nov P&amp;L'!$D:$D,$C41)</f>
        <v>46736.19</v>
      </c>
      <c r="AS41" s="20">
        <f>+AS$10*AS149</f>
        <v>32929.4209251305</v>
      </c>
      <c r="AT41" s="20">
        <f>+AT$10*AT149</f>
        <v>30064.9657428579</v>
      </c>
      <c r="AU41" s="20">
        <f>+AU$10*AU149</f>
        <v>28632.7381517216</v>
      </c>
      <c r="AV41" s="20">
        <f>+AV$10*AV149</f>
        <v>33825.5929251305</v>
      </c>
      <c r="AW41" s="20">
        <f>+AW$10*AW149</f>
        <v>34482.4729251305</v>
      </c>
      <c r="AX41" s="20">
        <f>+AX$10*AX149</f>
        <v>32082.7297428579</v>
      </c>
      <c r="AY41" s="20">
        <f>+AY$10*AY149</f>
        <v>34290.5539083459</v>
      </c>
      <c r="AZ41" s="20">
        <f>+AZ$10*AZ149</f>
        <v>34970.0664826976</v>
      </c>
      <c r="BA41" s="20">
        <f>+BA$10*BA149</f>
        <v>35649.5790570494</v>
      </c>
      <c r="BB41" s="20">
        <f>+BB$10*BB149</f>
        <v>36500.7576314011</v>
      </c>
      <c r="BC41" s="20">
        <f>+BC$10*BC149</f>
        <v>37180.2702057528</v>
      </c>
      <c r="BD41" s="20">
        <f>+BD$10*BD149</f>
        <v>36140.494517964</v>
      </c>
      <c r="BE41" s="20">
        <f>+BE$10*BE149</f>
        <v>40291.0815069315</v>
      </c>
      <c r="BF41" s="20">
        <f>+BF$10*BF149</f>
        <v>39229.3253544563</v>
      </c>
      <c r="BG41" s="20">
        <f>+BG$10*BG149</f>
        <v>39857.6453544563</v>
      </c>
      <c r="BH41" s="20">
        <f>+BH$10*BH149</f>
        <v>43481.0676594068</v>
      </c>
      <c r="BI41" s="20">
        <f>+BI$10*BI149</f>
        <v>38045.934201981</v>
      </c>
      <c r="BJ41" s="20">
        <f>+BJ$10*BJ149</f>
        <v>39857.6453544563</v>
      </c>
      <c r="BK41" s="20">
        <f>+BK$10*BK149</f>
        <v>41669.3565069315</v>
      </c>
      <c r="BL41" s="20">
        <f>+BL$10*BL149</f>
        <v>38045.934201981</v>
      </c>
      <c r="BM41" s="20">
        <f>+BM$10*BM149</f>
        <v>43481.0676594068</v>
      </c>
      <c r="BN41" s="20">
        <f>+BN$10*BN149</f>
        <v>39857.6453544563</v>
      </c>
      <c r="BO41" s="20">
        <f>+BO$10*BO149</f>
        <v>39857.6453544563</v>
      </c>
      <c r="BP41" s="20">
        <f>+BP$10*BP149</f>
        <v>39857.6453544563</v>
      </c>
      <c r="BQ41" s="20">
        <f>+BQ$10*BQ149</f>
        <v>39857.6453544563</v>
      </c>
    </row>
    <row r="42">
      <c r="B42" s="4" t="inlineStr">
        <is>
          <t>% rev</t>
        </is>
      </c>
      <c r="C42" s="3" t="inlineStr">
        <is>
          <t>Lab Supplies</t>
        </is>
      </c>
      <c r="D42" s="20">
        <f>+SUMIFS($J42:$BQ42,$J$7:$BQ$7,D$8)</f>
        <v>1073300</v>
      </c>
      <c r="E42" s="20">
        <f>+SUMIFS($J42:$BQ42,$J$7:$BQ$7,E$8)</f>
        <v>1164300</v>
      </c>
      <c r="F42" s="20">
        <f>+SUMIFS($J42:$BQ42,$J$7:$BQ$7,F$8)</f>
        <v>1264791.22619338</v>
      </c>
      <c r="G42" s="20">
        <f>+SUMIFS($J42:$BQ42,$J$7:$BQ$7,G$8)</f>
        <v>1403106.53183268</v>
      </c>
      <c r="H42" s="20">
        <f>+SUMIFS($J42:$BQ42,$J$7:$BQ$7,H$8)</f>
        <v>1636851.58377341</v>
      </c>
      <c r="J42" s="10">
        <f>+INDEX('QoE PF Adj. P&amp;L Aug-26'!$D$11:$AI$108,MATCH($C42,'QoE PF Adj. P&amp;L Aug-26'!$C$11:$C$108,0),MATCH(J$8,'QoE PF Adj. P&amp;L Aug-26'!$D$8:$AI$8,0))*1000</f>
        <v>87200</v>
      </c>
      <c r="K42" s="10">
        <f>+INDEX('QoE PF Adj. P&amp;L Aug-26'!$D$11:$AI$108,MATCH($C42,'QoE PF Adj. P&amp;L Aug-26'!$C$11:$C$108,0),MATCH(K$8,'QoE PF Adj. P&amp;L Aug-26'!$D$8:$AI$8,0))*1000</f>
        <v>80100</v>
      </c>
      <c r="L42" s="10">
        <f>+INDEX('QoE PF Adj. P&amp;L Aug-26'!$D$11:$AI$108,MATCH($C42,'QoE PF Adj. P&amp;L Aug-26'!$C$11:$C$108,0),MATCH(L$8,'QoE PF Adj. P&amp;L Aug-26'!$D$8:$AI$8,0))*1000</f>
        <v>87900</v>
      </c>
      <c r="M42" s="10">
        <f>+INDEX('QoE PF Adj. P&amp;L Aug-26'!$D$11:$AI$108,MATCH($C42,'QoE PF Adj. P&amp;L Aug-26'!$C$11:$C$108,0),MATCH(M$8,'QoE PF Adj. P&amp;L Aug-26'!$D$8:$AI$8,0))*1000</f>
        <v>86300</v>
      </c>
      <c r="N42" s="10">
        <f>+INDEX('QoE PF Adj. P&amp;L Aug-26'!$D$11:$AI$108,MATCH($C42,'QoE PF Adj. P&amp;L Aug-26'!$C$11:$C$108,0),MATCH(N$8,'QoE PF Adj. P&amp;L Aug-26'!$D$8:$AI$8,0))*1000</f>
        <v>97000</v>
      </c>
      <c r="O42" s="10">
        <f>+INDEX('QoE PF Adj. P&amp;L Aug-26'!$D$11:$AI$108,MATCH($C42,'QoE PF Adj. P&amp;L Aug-26'!$C$11:$C$108,0),MATCH(O$8,'QoE PF Adj. P&amp;L Aug-26'!$D$8:$AI$8,0))*1000</f>
        <v>80900</v>
      </c>
      <c r="P42" s="10">
        <f>+INDEX('QoE PF Adj. P&amp;L Aug-26'!$D$11:$AI$108,MATCH($C42,'QoE PF Adj. P&amp;L Aug-26'!$C$11:$C$108,0),MATCH(P$8,'QoE PF Adj. P&amp;L Aug-26'!$D$8:$AI$8,0))*1000</f>
        <v>91800</v>
      </c>
      <c r="Q42" s="10">
        <f>+INDEX('QoE PF Adj. P&amp;L Aug-26'!$D$11:$AI$108,MATCH($C42,'QoE PF Adj. P&amp;L Aug-26'!$C$11:$C$108,0),MATCH(Q$8,'QoE PF Adj. P&amp;L Aug-26'!$D$8:$AI$8,0))*1000</f>
        <v>95800</v>
      </c>
      <c r="R42" s="10">
        <f>+INDEX('QoE PF Adj. P&amp;L Aug-26'!$D$11:$AI$108,MATCH($C42,'QoE PF Adj. P&amp;L Aug-26'!$C$11:$C$108,0),MATCH(R$8,'QoE PF Adj. P&amp;L Aug-26'!$D$8:$AI$8,0))*1000</f>
        <v>82400</v>
      </c>
      <c r="S42" s="10">
        <f>+INDEX('QoE PF Adj. P&amp;L Aug-26'!$D$11:$AI$108,MATCH($C42,'QoE PF Adj. P&amp;L Aug-26'!$C$11:$C$108,0),MATCH(S$8,'QoE PF Adj. P&amp;L Aug-26'!$D$8:$AI$8,0))*1000</f>
        <v>108000</v>
      </c>
      <c r="T42" s="10">
        <f>+INDEX('QoE PF Adj. P&amp;L Aug-26'!$D$11:$AI$108,MATCH($C42,'QoE PF Adj. P&amp;L Aug-26'!$C$11:$C$108,0),MATCH(T$8,'QoE PF Adj. P&amp;L Aug-26'!$D$8:$AI$8,0))*1000</f>
        <v>88000</v>
      </c>
      <c r="U42" s="10">
        <f>+INDEX('QoE PF Adj. P&amp;L Aug-26'!$D$11:$AI$108,MATCH($C42,'QoE PF Adj. P&amp;L Aug-26'!$C$11:$C$108,0),MATCH(U$8,'QoE PF Adj. P&amp;L Aug-26'!$D$8:$AI$8,0))*1000</f>
        <v>87900</v>
      </c>
      <c r="V42" s="10">
        <f>+INDEX('QoE PF Adj. P&amp;L Aug-26'!$D$11:$AI$108,MATCH($C42,'QoE PF Adj. P&amp;L Aug-26'!$C$11:$C$108,0),MATCH(V$8,'QoE PF Adj. P&amp;L Aug-26'!$D$8:$AI$8,0))*1000</f>
        <v>96000</v>
      </c>
      <c r="W42" s="10">
        <f>+INDEX('QoE PF Adj. P&amp;L Aug-26'!$D$11:$AI$108,MATCH($C42,'QoE PF Adj. P&amp;L Aug-26'!$C$11:$C$108,0),MATCH(W$8,'QoE PF Adj. P&amp;L Aug-26'!$D$8:$AI$8,0))*1000</f>
        <v>84200</v>
      </c>
      <c r="X42" s="10">
        <f>+INDEX('QoE PF Adj. P&amp;L Aug-26'!$D$11:$AI$108,MATCH($C42,'QoE PF Adj. P&amp;L Aug-26'!$C$11:$C$108,0),MATCH(X$8,'QoE PF Adj. P&amp;L Aug-26'!$D$8:$AI$8,0))*1000</f>
        <v>89400</v>
      </c>
      <c r="Y42" s="10">
        <f>+INDEX('QoE PF Adj. P&amp;L Aug-26'!$D$11:$AI$108,MATCH($C42,'QoE PF Adj. P&amp;L Aug-26'!$C$11:$C$108,0),MATCH(Y$8,'QoE PF Adj. P&amp;L Aug-26'!$D$8:$AI$8,0))*1000</f>
        <v>97500</v>
      </c>
      <c r="Z42" s="10">
        <f>+INDEX('QoE PF Adj. P&amp;L Aug-26'!$D$11:$AI$108,MATCH($C42,'QoE PF Adj. P&amp;L Aug-26'!$C$11:$C$108,0),MATCH(Z$8,'QoE PF Adj. P&amp;L Aug-26'!$D$8:$AI$8,0))*1000</f>
        <v>98000</v>
      </c>
      <c r="AA42" s="10">
        <f>+INDEX('QoE PF Adj. P&amp;L Aug-26'!$D$11:$AI$108,MATCH($C42,'QoE PF Adj. P&amp;L Aug-26'!$C$11:$C$108,0),MATCH(AA$8,'QoE PF Adj. P&amp;L Aug-26'!$D$8:$AI$8,0))*1000</f>
        <v>92700</v>
      </c>
      <c r="AB42" s="10">
        <f>+INDEX('QoE PF Adj. P&amp;L Aug-26'!$D$11:$AI$108,MATCH($C42,'QoE PF Adj. P&amp;L Aug-26'!$C$11:$C$108,0),MATCH(AB$8,'QoE PF Adj. P&amp;L Aug-26'!$D$8:$AI$8,0))*1000</f>
        <v>102500</v>
      </c>
      <c r="AC42" s="10">
        <f>+INDEX('QoE PF Adj. P&amp;L Aug-26'!$D$11:$AI$108,MATCH($C42,'QoE PF Adj. P&amp;L Aug-26'!$C$11:$C$108,0),MATCH(AC$8,'QoE PF Adj. P&amp;L Aug-26'!$D$8:$AI$8,0))*1000</f>
        <v>96900</v>
      </c>
      <c r="AD42" s="10">
        <f>+INDEX('QoE PF Adj. P&amp;L Aug-26'!$D$11:$AI$108,MATCH($C42,'QoE PF Adj. P&amp;L Aug-26'!$C$11:$C$108,0),MATCH(AD$8,'QoE PF Adj. P&amp;L Aug-26'!$D$8:$AI$8,0))*1000</f>
        <v>93500</v>
      </c>
      <c r="AE42" s="10">
        <f>+INDEX('QoE PF Adj. P&amp;L Aug-26'!$D$11:$AI$108,MATCH($C42,'QoE PF Adj. P&amp;L Aug-26'!$C$11:$C$108,0),MATCH(AE$8,'QoE PF Adj. P&amp;L Aug-26'!$D$8:$AI$8,0))*1000</f>
        <v>111600</v>
      </c>
      <c r="AF42" s="10">
        <f>+INDEX('QoE PF Adj. P&amp;L Aug-26'!$D$11:$AI$108,MATCH($C42,'QoE PF Adj. P&amp;L Aug-26'!$C$11:$C$108,0),MATCH(AF$8,'QoE PF Adj. P&amp;L Aug-26'!$D$8:$AI$8,0))*1000</f>
        <v>99800</v>
      </c>
      <c r="AG42" s="10">
        <f>+INDEX('QoE PF Adj. P&amp;L Aug-26'!$D$11:$AI$108,MATCH($C42,'QoE PF Adj. P&amp;L Aug-26'!$C$11:$C$108,0),MATCH(AG$8,'QoE PF Adj. P&amp;L Aug-26'!$D$8:$AI$8,0))*1000</f>
        <v>102200</v>
      </c>
      <c r="AH42" s="10">
        <f>+INDEX('QoE PF Adj. P&amp;L Aug-26'!$D$11:$AI$108,MATCH($C42,'QoE PF Adj. P&amp;L Aug-26'!$C$11:$C$108,0),MATCH(AH$8,'QoE PF Adj. P&amp;L Aug-26'!$D$8:$AI$8,0))*1000</f>
        <v>109100</v>
      </c>
      <c r="AI42" s="10">
        <f>+INDEX('QoE PF Adj. P&amp;L Aug-26'!$D$11:$AI$108,MATCH($C42,'QoE PF Adj. P&amp;L Aug-26'!$C$11:$C$108,0),MATCH(AI$8,'QoE PF Adj. P&amp;L Aug-26'!$D$8:$AI$8,0))*1000</f>
        <v>85000</v>
      </c>
      <c r="AJ42" s="10">
        <f>+INDEX('QoE PF Adj. P&amp;L Aug-26'!$D$11:$AI$108,MATCH($C42,'QoE PF Adj. P&amp;L Aug-26'!$C$11:$C$108,0),MATCH(AJ$8,'QoE PF Adj. P&amp;L Aug-26'!$D$8:$AI$8,0))*1000</f>
        <v>105400</v>
      </c>
      <c r="AK42" s="10">
        <f>+INDEX('QoE PF Adj. P&amp;L Aug-26'!$D$11:$AI$108,MATCH($C42,'QoE PF Adj. P&amp;L Aug-26'!$C$11:$C$108,0),MATCH(AK$8,'QoE PF Adj. P&amp;L Aug-26'!$D$8:$AI$8,0))*1000</f>
        <v>113900</v>
      </c>
      <c r="AL42" s="10">
        <f>+INDEX('QoE PF Adj. P&amp;L Aug-26'!$D$11:$AI$108,MATCH($C42,'QoE PF Adj. P&amp;L Aug-26'!$C$11:$C$108,0),MATCH(AL$8,'QoE PF Adj. P&amp;L Aug-26'!$D$8:$AI$8,0))*1000</f>
        <v>108200</v>
      </c>
      <c r="AM42" s="10">
        <f>+INDEX('QoE PF Adj. P&amp;L Aug-26'!$D$11:$AI$108,MATCH($C42,'QoE PF Adj. P&amp;L Aug-26'!$C$11:$C$108,0),MATCH(AM$8,'QoE PF Adj. P&amp;L Aug-26'!$D$8:$AI$8,0))*1000</f>
        <v>99800</v>
      </c>
      <c r="AN42" s="10">
        <f>+INDEX('QoE PF Adj. P&amp;L Aug-26'!$D$11:$AI$108,MATCH($C42,'QoE PF Adj. P&amp;L Aug-26'!$C$11:$C$108,0),MATCH(AN$8,'QoE PF Adj. P&amp;L Aug-26'!$D$8:$AI$8,0))*1000</f>
        <v>106300</v>
      </c>
      <c r="AO42" s="10">
        <f>+INDEX('QoE PF Adj. P&amp;L Aug-26'!$D$11:$AI$108,MATCH($C42,'QoE PF Adj. P&amp;L Aug-26'!$C$11:$C$108,0),MATCH(AO$8,'QoE PF Adj. P&amp;L Aug-26'!$D$8:$AI$8,0))*1000</f>
        <v>101100</v>
      </c>
      <c r="AP42" s="10">
        <f>+SUMIFS('Sep - Nov P&amp;L'!I:I,'Sep - Nov P&amp;L'!$D:$D,$C42)</f>
        <v>106214.08</v>
      </c>
      <c r="AQ42" s="10">
        <f>+SUMIFS('Sep - Nov P&amp;L'!J:J,'Sep - Nov P&amp;L'!$D:$D,$C42)</f>
        <v>119964.33</v>
      </c>
      <c r="AR42" s="10">
        <f>+SUMIFS('Sep - Nov P&amp;L'!K:K,'Sep - Nov P&amp;L'!$D:$D,$C42)</f>
        <v>98240.19</v>
      </c>
      <c r="AS42" s="20">
        <f>+AS$10*AS150</f>
        <v>111572.626193383</v>
      </c>
      <c r="AT42" s="20">
        <f>+AT$10*AT150</f>
        <v>101867.178046389</v>
      </c>
      <c r="AU42" s="20">
        <f>+AU$10*AU150</f>
        <v>97014.4539728921</v>
      </c>
      <c r="AV42" s="20">
        <f>+AV$10*AV150</f>
        <v>114609.067793383</v>
      </c>
      <c r="AW42" s="20">
        <f>+AW$10*AW150</f>
        <v>116834.731793383</v>
      </c>
      <c r="AX42" s="20">
        <f>+AX$10*AX150</f>
        <v>108703.837246389</v>
      </c>
      <c r="AY42" s="20">
        <f>+AY$10*AY150</f>
        <v>116184.465007101</v>
      </c>
      <c r="AZ42" s="20">
        <f>+AZ$10*AZ150</f>
        <v>118486.813494317</v>
      </c>
      <c r="BA42" s="20">
        <f>+BA$10*BA150</f>
        <v>120789.161981532</v>
      </c>
      <c r="BB42" s="20">
        <f>+BB$10*BB150</f>
        <v>123673.155268747</v>
      </c>
      <c r="BC42" s="20">
        <f>+BC$10*BC150</f>
        <v>125975.503755962</v>
      </c>
      <c r="BD42" s="20">
        <f>+BD$10*BD150</f>
        <v>122452.499072631</v>
      </c>
      <c r="BE42" s="20">
        <f>+BE$10*BE150</f>
        <v>136515.664399956</v>
      </c>
      <c r="BF42" s="20">
        <f>+BF$10*BF150</f>
        <v>132918.184730393</v>
      </c>
      <c r="BG42" s="20">
        <f>+BG$10*BG150</f>
        <v>135047.080730393</v>
      </c>
      <c r="BH42" s="20">
        <f>+BH$10*BH150</f>
        <v>147324.08806952</v>
      </c>
      <c r="BI42" s="20">
        <f>+BI$10*BI150</f>
        <v>128908.57706083</v>
      </c>
      <c r="BJ42" s="20">
        <f>+BJ$10*BJ150</f>
        <v>135047.080730393</v>
      </c>
      <c r="BK42" s="20">
        <f>+BK$10*BK150</f>
        <v>141185.584399956</v>
      </c>
      <c r="BL42" s="20">
        <f>+BL$10*BL150</f>
        <v>128908.57706083</v>
      </c>
      <c r="BM42" s="20">
        <f>+BM$10*BM150</f>
        <v>147324.08806952</v>
      </c>
      <c r="BN42" s="20">
        <f>+BN$10*BN150</f>
        <v>135047.080730393</v>
      </c>
      <c r="BO42" s="20">
        <f>+BO$10*BO150</f>
        <v>135047.080730393</v>
      </c>
      <c r="BP42" s="20">
        <f>+BP$10*BP150</f>
        <v>135047.080730393</v>
      </c>
      <c r="BQ42" s="20">
        <f>+BQ$10*BQ150</f>
        <v>135047.080730393</v>
      </c>
    </row>
    <row r="43">
      <c r="B43" s="4" t="inlineStr">
        <is>
          <t>% rev</t>
        </is>
      </c>
      <c r="C43" s="3" t="inlineStr">
        <is>
          <t>Drugs</t>
        </is>
      </c>
      <c r="D43" s="20">
        <f>+SUMIFS($J43:$BQ43,$J$7:$BQ$7,D$8)</f>
        <v>114800</v>
      </c>
      <c r="E43" s="20">
        <f>+SUMIFS($J43:$BQ43,$J$7:$BQ$7,E$8)</f>
        <v>123600</v>
      </c>
      <c r="F43" s="20">
        <f>+SUMIFS($J43:$BQ43,$J$7:$BQ$7,F$8)</f>
        <v>100193.013577791</v>
      </c>
      <c r="G43" s="20">
        <f>+SUMIFS($J43:$BQ43,$J$7:$BQ$7,G$8)</f>
        <v>144532.964505913</v>
      </c>
      <c r="H43" s="20">
        <f>+SUMIFS($J43:$BQ43,$J$7:$BQ$7,H$8)</f>
        <v>168610.869161844</v>
      </c>
      <c r="J43" s="10">
        <f>+INDEX('QoE PF Adj. P&amp;L Aug-26'!$D$11:$AI$108,MATCH($C43,'QoE PF Adj. P&amp;L Aug-26'!$C$11:$C$108,0),MATCH(J$8,'QoE PF Adj. P&amp;L Aug-26'!$D$8:$AI$8,0))*1000</f>
        <v>9300</v>
      </c>
      <c r="K43" s="10">
        <f>+INDEX('QoE PF Adj. P&amp;L Aug-26'!$D$11:$AI$108,MATCH($C43,'QoE PF Adj. P&amp;L Aug-26'!$C$11:$C$108,0),MATCH(K$8,'QoE PF Adj. P&amp;L Aug-26'!$D$8:$AI$8,0))*1000</f>
        <v>8800</v>
      </c>
      <c r="L43" s="10">
        <f>+INDEX('QoE PF Adj. P&amp;L Aug-26'!$D$11:$AI$108,MATCH($C43,'QoE PF Adj. P&amp;L Aug-26'!$C$11:$C$108,0),MATCH(L$8,'QoE PF Adj. P&amp;L Aug-26'!$D$8:$AI$8,0))*1000</f>
        <v>9700</v>
      </c>
      <c r="M43" s="10">
        <f>+INDEX('QoE PF Adj. P&amp;L Aug-26'!$D$11:$AI$108,MATCH($C43,'QoE PF Adj. P&amp;L Aug-26'!$C$11:$C$108,0),MATCH(M$8,'QoE PF Adj. P&amp;L Aug-26'!$D$8:$AI$8,0))*1000</f>
        <v>9100</v>
      </c>
      <c r="N43" s="10">
        <f>+INDEX('QoE PF Adj. P&amp;L Aug-26'!$D$11:$AI$108,MATCH($C43,'QoE PF Adj. P&amp;L Aug-26'!$C$11:$C$108,0),MATCH(N$8,'QoE PF Adj. P&amp;L Aug-26'!$D$8:$AI$8,0))*1000</f>
        <v>10200</v>
      </c>
      <c r="O43" s="10">
        <f>+INDEX('QoE PF Adj. P&amp;L Aug-26'!$D$11:$AI$108,MATCH($C43,'QoE PF Adj. P&amp;L Aug-26'!$C$11:$C$108,0),MATCH(O$8,'QoE PF Adj. P&amp;L Aug-26'!$D$8:$AI$8,0))*1000</f>
        <v>9200</v>
      </c>
      <c r="P43" s="10">
        <f>+INDEX('QoE PF Adj. P&amp;L Aug-26'!$D$11:$AI$108,MATCH($C43,'QoE PF Adj. P&amp;L Aug-26'!$C$11:$C$108,0),MATCH(P$8,'QoE PF Adj. P&amp;L Aug-26'!$D$8:$AI$8,0))*1000</f>
        <v>9800</v>
      </c>
      <c r="Q43" s="10">
        <f>+INDEX('QoE PF Adj. P&amp;L Aug-26'!$D$11:$AI$108,MATCH($C43,'QoE PF Adj. P&amp;L Aug-26'!$C$11:$C$108,0),MATCH(Q$8,'QoE PF Adj. P&amp;L Aug-26'!$D$8:$AI$8,0))*1000</f>
        <v>10100</v>
      </c>
      <c r="R43" s="10">
        <f>+INDEX('QoE PF Adj. P&amp;L Aug-26'!$D$11:$AI$108,MATCH($C43,'QoE PF Adj. P&amp;L Aug-26'!$C$11:$C$108,0),MATCH(R$8,'QoE PF Adj. P&amp;L Aug-26'!$D$8:$AI$8,0))*1000</f>
        <v>9100</v>
      </c>
      <c r="S43" s="10">
        <f>+INDEX('QoE PF Adj. P&amp;L Aug-26'!$D$11:$AI$108,MATCH($C43,'QoE PF Adj. P&amp;L Aug-26'!$C$11:$C$108,0),MATCH(S$8,'QoE PF Adj. P&amp;L Aug-26'!$D$8:$AI$8,0))*1000</f>
        <v>11500</v>
      </c>
      <c r="T43" s="10">
        <f>+INDEX('QoE PF Adj. P&amp;L Aug-26'!$D$11:$AI$108,MATCH($C43,'QoE PF Adj. P&amp;L Aug-26'!$C$11:$C$108,0),MATCH(T$8,'QoE PF Adj. P&amp;L Aug-26'!$D$8:$AI$8,0))*1000</f>
        <v>9100</v>
      </c>
      <c r="U43" s="10">
        <f>+INDEX('QoE PF Adj. P&amp;L Aug-26'!$D$11:$AI$108,MATCH($C43,'QoE PF Adj. P&amp;L Aug-26'!$C$11:$C$108,0),MATCH(U$8,'QoE PF Adj. P&amp;L Aug-26'!$D$8:$AI$8,0))*1000</f>
        <v>8900</v>
      </c>
      <c r="V43" s="10">
        <f>+INDEX('QoE PF Adj. P&amp;L Aug-26'!$D$11:$AI$108,MATCH($C43,'QoE PF Adj. P&amp;L Aug-26'!$C$11:$C$108,0),MATCH(V$8,'QoE PF Adj. P&amp;L Aug-26'!$D$8:$AI$8,0))*1000</f>
        <v>10400</v>
      </c>
      <c r="W43" s="10">
        <f>+INDEX('QoE PF Adj. P&amp;L Aug-26'!$D$11:$AI$108,MATCH($C43,'QoE PF Adj. P&amp;L Aug-26'!$C$11:$C$108,0),MATCH(W$8,'QoE PF Adj. P&amp;L Aug-26'!$D$8:$AI$8,0))*1000</f>
        <v>8800</v>
      </c>
      <c r="X43" s="10">
        <f>+INDEX('QoE PF Adj. P&amp;L Aug-26'!$D$11:$AI$108,MATCH($C43,'QoE PF Adj. P&amp;L Aug-26'!$C$11:$C$108,0),MATCH(X$8,'QoE PF Adj. P&amp;L Aug-26'!$D$8:$AI$8,0))*1000</f>
        <v>9300</v>
      </c>
      <c r="Y43" s="10">
        <f>+INDEX('QoE PF Adj. P&amp;L Aug-26'!$D$11:$AI$108,MATCH($C43,'QoE PF Adj. P&amp;L Aug-26'!$C$11:$C$108,0),MATCH(Y$8,'QoE PF Adj. P&amp;L Aug-26'!$D$8:$AI$8,0))*1000</f>
        <v>10500</v>
      </c>
      <c r="Z43" s="10">
        <f>+INDEX('QoE PF Adj. P&amp;L Aug-26'!$D$11:$AI$108,MATCH($C43,'QoE PF Adj. P&amp;L Aug-26'!$C$11:$C$108,0),MATCH(Z$8,'QoE PF Adj. P&amp;L Aug-26'!$D$8:$AI$8,0))*1000</f>
        <v>10600</v>
      </c>
      <c r="AA43" s="10">
        <f>+INDEX('QoE PF Adj. P&amp;L Aug-26'!$D$11:$AI$108,MATCH($C43,'QoE PF Adj. P&amp;L Aug-26'!$C$11:$C$108,0),MATCH(AA$8,'QoE PF Adj. P&amp;L Aug-26'!$D$8:$AI$8,0))*1000</f>
        <v>9800</v>
      </c>
      <c r="AB43" s="10">
        <f>+INDEX('QoE PF Adj. P&amp;L Aug-26'!$D$11:$AI$108,MATCH($C43,'QoE PF Adj. P&amp;L Aug-26'!$C$11:$C$108,0),MATCH(AB$8,'QoE PF Adj. P&amp;L Aug-26'!$D$8:$AI$8,0))*1000</f>
        <v>10600</v>
      </c>
      <c r="AC43" s="10">
        <f>+INDEX('QoE PF Adj. P&amp;L Aug-26'!$D$11:$AI$108,MATCH($C43,'QoE PF Adj. P&amp;L Aug-26'!$C$11:$C$108,0),MATCH(AC$8,'QoE PF Adj. P&amp;L Aug-26'!$D$8:$AI$8,0))*1000</f>
        <v>10300</v>
      </c>
      <c r="AD43" s="10">
        <f>+INDEX('QoE PF Adj. P&amp;L Aug-26'!$D$11:$AI$108,MATCH($C43,'QoE PF Adj. P&amp;L Aug-26'!$C$11:$C$108,0),MATCH(AD$8,'QoE PF Adj. P&amp;L Aug-26'!$D$8:$AI$8,0))*1000</f>
        <v>10000</v>
      </c>
      <c r="AE43" s="10">
        <f>+INDEX('QoE PF Adj. P&amp;L Aug-26'!$D$11:$AI$108,MATCH($C43,'QoE PF Adj. P&amp;L Aug-26'!$C$11:$C$108,0),MATCH(AE$8,'QoE PF Adj. P&amp;L Aug-26'!$D$8:$AI$8,0))*1000</f>
        <v>11900</v>
      </c>
      <c r="AF43" s="10">
        <f>+INDEX('QoE PF Adj. P&amp;L Aug-26'!$D$11:$AI$108,MATCH($C43,'QoE PF Adj. P&amp;L Aug-26'!$C$11:$C$108,0),MATCH(AF$8,'QoE PF Adj. P&amp;L Aug-26'!$D$8:$AI$8,0))*1000</f>
        <v>10500</v>
      </c>
      <c r="AG43" s="10">
        <f>+INDEX('QoE PF Adj. P&amp;L Aug-26'!$D$11:$AI$108,MATCH($C43,'QoE PF Adj. P&amp;L Aug-26'!$C$11:$C$108,0),MATCH(AG$8,'QoE PF Adj. P&amp;L Aug-26'!$D$8:$AI$8,0))*1000</f>
        <v>10900</v>
      </c>
      <c r="AH43" s="10">
        <f>+INDEX('QoE PF Adj. P&amp;L Aug-26'!$D$11:$AI$108,MATCH($C43,'QoE PF Adj. P&amp;L Aug-26'!$C$11:$C$108,0),MATCH(AH$8,'QoE PF Adj. P&amp;L Aug-26'!$D$8:$AI$8,0))*1000</f>
        <v>11600</v>
      </c>
      <c r="AI43" s="10">
        <f>+INDEX('QoE PF Adj. P&amp;L Aug-26'!$D$11:$AI$108,MATCH($C43,'QoE PF Adj. P&amp;L Aug-26'!$C$11:$C$108,0),MATCH(AI$8,'QoE PF Adj. P&amp;L Aug-26'!$D$8:$AI$8,0))*1000</f>
        <v>9000</v>
      </c>
      <c r="AJ43" s="10">
        <f>+INDEX('QoE PF Adj. P&amp;L Aug-26'!$D$11:$AI$108,MATCH($C43,'QoE PF Adj. P&amp;L Aug-26'!$C$11:$C$108,0),MATCH(AJ$8,'QoE PF Adj. P&amp;L Aug-26'!$D$8:$AI$8,0))*1000</f>
        <v>11100</v>
      </c>
      <c r="AK43" s="10">
        <f>+INDEX('QoE PF Adj. P&amp;L Aug-26'!$D$11:$AI$108,MATCH($C43,'QoE PF Adj. P&amp;L Aug-26'!$C$11:$C$108,0),MATCH(AK$8,'QoE PF Adj. P&amp;L Aug-26'!$D$8:$AI$8,0))*1000</f>
        <v>11400</v>
      </c>
      <c r="AL43" s="10">
        <f>+INDEX('QoE PF Adj. P&amp;L Aug-26'!$D$11:$AI$108,MATCH($C43,'QoE PF Adj. P&amp;L Aug-26'!$C$11:$C$108,0),MATCH(AL$8,'QoE PF Adj. P&amp;L Aug-26'!$D$8:$AI$8,0))*1000</f>
        <v>11700</v>
      </c>
      <c r="AM43" s="10">
        <f>+INDEX('QoE PF Adj. P&amp;L Aug-26'!$D$11:$AI$108,MATCH($C43,'QoE PF Adj. P&amp;L Aug-26'!$C$11:$C$108,0),MATCH(AM$8,'QoE PF Adj. P&amp;L Aug-26'!$D$8:$AI$8,0))*1000</f>
        <v>11100</v>
      </c>
      <c r="AN43" s="10">
        <f>+INDEX('QoE PF Adj. P&amp;L Aug-26'!$D$11:$AI$108,MATCH($C43,'QoE PF Adj. P&amp;L Aug-26'!$C$11:$C$108,0),MATCH(AN$8,'QoE PF Adj. P&amp;L Aug-26'!$D$8:$AI$8,0))*1000</f>
        <v>12100</v>
      </c>
      <c r="AO43" s="10">
        <f>+INDEX('QoE PF Adj. P&amp;L Aug-26'!$D$11:$AI$108,MATCH($C43,'QoE PF Adj. P&amp;L Aug-26'!$C$11:$C$108,0),MATCH(AO$8,'QoE PF Adj. P&amp;L Aug-26'!$D$8:$AI$8,0))*1000</f>
        <v>10700</v>
      </c>
      <c r="AP43" s="10">
        <f>+SUMIFS('Sep - Nov P&amp;L'!I:I,'Sep - Nov P&amp;L'!$D:$D,$C43)</f>
        <v>0</v>
      </c>
      <c r="AQ43" s="10">
        <f>+SUMIFS('Sep - Nov P&amp;L'!J:J,'Sep - Nov P&amp;L'!$D:$D,$C43)</f>
        <v>0</v>
      </c>
      <c r="AR43" s="10">
        <f>+SUMIFS('Sep - Nov P&amp;L'!K:K,'Sep - Nov P&amp;L'!$D:$D,$C43)</f>
        <v>0</v>
      </c>
      <c r="AS43" s="20">
        <f>+AS$10*AS151</f>
        <v>11493.0135777906</v>
      </c>
      <c r="AT43" s="20">
        <f>+AT$10*AT151</f>
        <v>10493.2625533896</v>
      </c>
      <c r="AU43" s="20">
        <f>+AU$10*AU151</f>
        <v>9993.38704118911</v>
      </c>
      <c r="AV43" s="20">
        <f>+AV$10*AV151</f>
        <v>11805.7951777906</v>
      </c>
      <c r="AW43" s="20">
        <f>+AW$10*AW151</f>
        <v>12035.0591777906</v>
      </c>
      <c r="AX43" s="20">
        <f>+AX$10*AX151</f>
        <v>11197.5017533896</v>
      </c>
      <c r="AY43" s="20">
        <f>+AY$10*AY151</f>
        <v>11968.0756778149</v>
      </c>
      <c r="AZ43" s="20">
        <f>+AZ$10*AZ151</f>
        <v>12205.2388900396</v>
      </c>
      <c r="BA43" s="20">
        <f>+BA$10*BA151</f>
        <v>12442.4021022643</v>
      </c>
      <c r="BB43" s="20">
        <f>+BB$10*BB151</f>
        <v>12739.480114489</v>
      </c>
      <c r="BC43" s="20">
        <f>+BC$10*BC151</f>
        <v>12976.6433267137</v>
      </c>
      <c r="BD43" s="20">
        <f>+BD$10*BD151</f>
        <v>12613.7412239168</v>
      </c>
      <c r="BE43" s="20">
        <f>+BE$10*BE151</f>
        <v>14062.3774671251</v>
      </c>
      <c r="BF43" s="20">
        <f>+BF$10*BF151</f>
        <v>13691.8037511632</v>
      </c>
      <c r="BG43" s="20">
        <f>+BG$10*BG151</f>
        <v>13911.0997511632</v>
      </c>
      <c r="BH43" s="20">
        <f>+BH$10*BH151</f>
        <v>15175.7451830871</v>
      </c>
      <c r="BI43" s="20">
        <f>+BI$10*BI151</f>
        <v>13278.7770352012</v>
      </c>
      <c r="BJ43" s="20">
        <f>+BJ$10*BJ151</f>
        <v>13911.0997511632</v>
      </c>
      <c r="BK43" s="20">
        <f>+BK$10*BK151</f>
        <v>14543.4224671251</v>
      </c>
      <c r="BL43" s="20">
        <f>+BL$10*BL151</f>
        <v>13278.7770352012</v>
      </c>
      <c r="BM43" s="20">
        <f>+BM$10*BM151</f>
        <v>15175.7451830871</v>
      </c>
      <c r="BN43" s="20">
        <f>+BN$10*BN151</f>
        <v>13911.0997511632</v>
      </c>
      <c r="BO43" s="20">
        <f>+BO$10*BO151</f>
        <v>13911.0997511632</v>
      </c>
      <c r="BP43" s="20">
        <f>+BP$10*BP151</f>
        <v>13911.0997511632</v>
      </c>
      <c r="BQ43" s="20">
        <f>+BQ$10*BQ151</f>
        <v>13911.0997511632</v>
      </c>
    </row>
    <row r="44">
      <c r="B44" s="4" t="inlineStr">
        <is>
          <t>% rev</t>
        </is>
      </c>
      <c r="C44" s="3" t="inlineStr">
        <is>
          <t>Pharmacy</t>
        </is>
      </c>
      <c r="D44" s="20">
        <f>+SUMIFS($J44:$BQ44,$J$7:$BQ$7,D$8)</f>
        <v>75600</v>
      </c>
      <c r="E44" s="20">
        <f>+SUMIFS($J44:$BQ44,$J$7:$BQ$7,E$8)</f>
        <v>82400</v>
      </c>
      <c r="F44" s="20">
        <f>+SUMIFS($J44:$BQ44,$J$7:$BQ$7,F$8)</f>
        <v>65089.8290731669</v>
      </c>
      <c r="G44" s="20">
        <f>+SUMIFS($J44:$BQ44,$J$7:$BQ$7,G$8)</f>
        <v>94190.0218128422</v>
      </c>
      <c r="H44" s="20">
        <f>+SUMIFS($J44:$BQ44,$J$7:$BQ$7,H$8)</f>
        <v>109881.240577381</v>
      </c>
      <c r="J44" s="10">
        <f>+INDEX('QoE PF Adj. P&amp;L Aug-26'!$D$11:$AI$108,MATCH($C44,'QoE PF Adj. P&amp;L Aug-26'!$C$11:$C$108,0),MATCH(J$8,'QoE PF Adj. P&amp;L Aug-26'!$D$8:$AI$8,0))*1000</f>
        <v>6400</v>
      </c>
      <c r="K44" s="10">
        <f>+INDEX('QoE PF Adj. P&amp;L Aug-26'!$D$11:$AI$108,MATCH($C44,'QoE PF Adj. P&amp;L Aug-26'!$C$11:$C$108,0),MATCH(K$8,'QoE PF Adj. P&amp;L Aug-26'!$D$8:$AI$8,0))*1000</f>
        <v>5500</v>
      </c>
      <c r="L44" s="10">
        <f>+INDEX('QoE PF Adj. P&amp;L Aug-26'!$D$11:$AI$108,MATCH($C44,'QoE PF Adj. P&amp;L Aug-26'!$C$11:$C$108,0),MATCH(L$8,'QoE PF Adj. P&amp;L Aug-26'!$D$8:$AI$8,0))*1000</f>
        <v>6500</v>
      </c>
      <c r="M44" s="10">
        <f>+INDEX('QoE PF Adj. P&amp;L Aug-26'!$D$11:$AI$108,MATCH($C44,'QoE PF Adj. P&amp;L Aug-26'!$C$11:$C$108,0),MATCH(M$8,'QoE PF Adj. P&amp;L Aug-26'!$D$8:$AI$8,0))*1000</f>
        <v>5900</v>
      </c>
      <c r="N44" s="10">
        <f>+INDEX('QoE PF Adj. P&amp;L Aug-26'!$D$11:$AI$108,MATCH($C44,'QoE PF Adj. P&amp;L Aug-26'!$C$11:$C$108,0),MATCH(N$8,'QoE PF Adj. P&amp;L Aug-26'!$D$8:$AI$8,0))*1000</f>
        <v>7000</v>
      </c>
      <c r="O44" s="10">
        <f>+INDEX('QoE PF Adj. P&amp;L Aug-26'!$D$11:$AI$108,MATCH($C44,'QoE PF Adj. P&amp;L Aug-26'!$C$11:$C$108,0),MATCH(O$8,'QoE PF Adj. P&amp;L Aug-26'!$D$8:$AI$8,0))*1000</f>
        <v>5900</v>
      </c>
      <c r="P44" s="10">
        <f>+INDEX('QoE PF Adj. P&amp;L Aug-26'!$D$11:$AI$108,MATCH($C44,'QoE PF Adj. P&amp;L Aug-26'!$C$11:$C$108,0),MATCH(P$8,'QoE PF Adj. P&amp;L Aug-26'!$D$8:$AI$8,0))*1000</f>
        <v>6200</v>
      </c>
      <c r="Q44" s="10">
        <f>+INDEX('QoE PF Adj. P&amp;L Aug-26'!$D$11:$AI$108,MATCH($C44,'QoE PF Adj. P&amp;L Aug-26'!$C$11:$C$108,0),MATCH(Q$8,'QoE PF Adj. P&amp;L Aug-26'!$D$8:$AI$8,0))*1000</f>
        <v>6300</v>
      </c>
      <c r="R44" s="10">
        <f>+INDEX('QoE PF Adj. P&amp;L Aug-26'!$D$11:$AI$108,MATCH($C44,'QoE PF Adj. P&amp;L Aug-26'!$C$11:$C$108,0),MATCH(R$8,'QoE PF Adj. P&amp;L Aug-26'!$D$8:$AI$8,0))*1000</f>
        <v>5800</v>
      </c>
      <c r="S44" s="10">
        <f>+INDEX('QoE PF Adj. P&amp;L Aug-26'!$D$11:$AI$108,MATCH($C44,'QoE PF Adj. P&amp;L Aug-26'!$C$11:$C$108,0),MATCH(S$8,'QoE PF Adj. P&amp;L Aug-26'!$D$8:$AI$8,0))*1000</f>
        <v>7600</v>
      </c>
      <c r="T44" s="10">
        <f>+INDEX('QoE PF Adj. P&amp;L Aug-26'!$D$11:$AI$108,MATCH($C44,'QoE PF Adj. P&amp;L Aug-26'!$C$11:$C$108,0),MATCH(T$8,'QoE PF Adj. P&amp;L Aug-26'!$D$8:$AI$8,0))*1000</f>
        <v>6500</v>
      </c>
      <c r="U44" s="10">
        <f>+INDEX('QoE PF Adj. P&amp;L Aug-26'!$D$11:$AI$108,MATCH($C44,'QoE PF Adj. P&amp;L Aug-26'!$C$11:$C$108,0),MATCH(U$8,'QoE PF Adj. P&amp;L Aug-26'!$D$8:$AI$8,0))*1000</f>
        <v>6000</v>
      </c>
      <c r="V44" s="10">
        <f>+INDEX('QoE PF Adj. P&amp;L Aug-26'!$D$11:$AI$108,MATCH($C44,'QoE PF Adj. P&amp;L Aug-26'!$C$11:$C$108,0),MATCH(V$8,'QoE PF Adj. P&amp;L Aug-26'!$D$8:$AI$8,0))*1000</f>
        <v>6800</v>
      </c>
      <c r="W44" s="10">
        <f>+INDEX('QoE PF Adj. P&amp;L Aug-26'!$D$11:$AI$108,MATCH($C44,'QoE PF Adj. P&amp;L Aug-26'!$C$11:$C$108,0),MATCH(W$8,'QoE PF Adj. P&amp;L Aug-26'!$D$8:$AI$8,0))*1000</f>
        <v>5400</v>
      </c>
      <c r="X44" s="10">
        <f>+INDEX('QoE PF Adj. P&amp;L Aug-26'!$D$11:$AI$108,MATCH($C44,'QoE PF Adj. P&amp;L Aug-26'!$C$11:$C$108,0),MATCH(X$8,'QoE PF Adj. P&amp;L Aug-26'!$D$8:$AI$8,0))*1000</f>
        <v>6500</v>
      </c>
      <c r="Y44" s="10">
        <f>+INDEX('QoE PF Adj. P&amp;L Aug-26'!$D$11:$AI$108,MATCH($C44,'QoE PF Adj. P&amp;L Aug-26'!$C$11:$C$108,0),MATCH(Y$8,'QoE PF Adj. P&amp;L Aug-26'!$D$8:$AI$8,0))*1000</f>
        <v>6900</v>
      </c>
      <c r="Z44" s="10">
        <f>+INDEX('QoE PF Adj. P&amp;L Aug-26'!$D$11:$AI$108,MATCH($C44,'QoE PF Adj. P&amp;L Aug-26'!$C$11:$C$108,0),MATCH(Z$8,'QoE PF Adj. P&amp;L Aug-26'!$D$8:$AI$8,0))*1000</f>
        <v>7300</v>
      </c>
      <c r="AA44" s="10">
        <f>+INDEX('QoE PF Adj. P&amp;L Aug-26'!$D$11:$AI$108,MATCH($C44,'QoE PF Adj. P&amp;L Aug-26'!$C$11:$C$108,0),MATCH(AA$8,'QoE PF Adj. P&amp;L Aug-26'!$D$8:$AI$8,0))*1000</f>
        <v>6200</v>
      </c>
      <c r="AB44" s="10">
        <f>+INDEX('QoE PF Adj. P&amp;L Aug-26'!$D$11:$AI$108,MATCH($C44,'QoE PF Adj. P&amp;L Aug-26'!$C$11:$C$108,0),MATCH(AB$8,'QoE PF Adj. P&amp;L Aug-26'!$D$8:$AI$8,0))*1000</f>
        <v>7300</v>
      </c>
      <c r="AC44" s="10">
        <f>+INDEX('QoE PF Adj. P&amp;L Aug-26'!$D$11:$AI$108,MATCH($C44,'QoE PF Adj. P&amp;L Aug-26'!$C$11:$C$108,0),MATCH(AC$8,'QoE PF Adj. P&amp;L Aug-26'!$D$8:$AI$8,0))*1000</f>
        <v>6800</v>
      </c>
      <c r="AD44" s="10">
        <f>+INDEX('QoE PF Adj. P&amp;L Aug-26'!$D$11:$AI$108,MATCH($C44,'QoE PF Adj. P&amp;L Aug-26'!$C$11:$C$108,0),MATCH(AD$8,'QoE PF Adj. P&amp;L Aug-26'!$D$8:$AI$8,0))*1000</f>
        <v>6700</v>
      </c>
      <c r="AE44" s="10">
        <f>+INDEX('QoE PF Adj. P&amp;L Aug-26'!$D$11:$AI$108,MATCH($C44,'QoE PF Adj. P&amp;L Aug-26'!$C$11:$C$108,0),MATCH(AE$8,'QoE PF Adj. P&amp;L Aug-26'!$D$8:$AI$8,0))*1000</f>
        <v>8000</v>
      </c>
      <c r="AF44" s="10">
        <f>+INDEX('QoE PF Adj. P&amp;L Aug-26'!$D$11:$AI$108,MATCH($C44,'QoE PF Adj. P&amp;L Aug-26'!$C$11:$C$108,0),MATCH(AF$8,'QoE PF Adj. P&amp;L Aug-26'!$D$8:$AI$8,0))*1000</f>
        <v>7100</v>
      </c>
      <c r="AG44" s="10">
        <f>+INDEX('QoE PF Adj. P&amp;L Aug-26'!$D$11:$AI$108,MATCH($C44,'QoE PF Adj. P&amp;L Aug-26'!$C$11:$C$108,0),MATCH(AG$8,'QoE PF Adj. P&amp;L Aug-26'!$D$8:$AI$8,0))*1000</f>
        <v>7400</v>
      </c>
      <c r="AH44" s="10">
        <f>+INDEX('QoE PF Adj. P&amp;L Aug-26'!$D$11:$AI$108,MATCH($C44,'QoE PF Adj. P&amp;L Aug-26'!$C$11:$C$108,0),MATCH(AH$8,'QoE PF Adj. P&amp;L Aug-26'!$D$8:$AI$8,0))*1000</f>
        <v>7100</v>
      </c>
      <c r="AI44" s="10">
        <f>+INDEX('QoE PF Adj. P&amp;L Aug-26'!$D$11:$AI$108,MATCH($C44,'QoE PF Adj. P&amp;L Aug-26'!$C$11:$C$108,0),MATCH(AI$8,'QoE PF Adj. P&amp;L Aug-26'!$D$8:$AI$8,0))*1000</f>
        <v>6000</v>
      </c>
      <c r="AJ44" s="10">
        <f>+INDEX('QoE PF Adj. P&amp;L Aug-26'!$D$11:$AI$108,MATCH($C44,'QoE PF Adj. P&amp;L Aug-26'!$C$11:$C$108,0),MATCH(AJ$8,'QoE PF Adj. P&amp;L Aug-26'!$D$8:$AI$8,0))*1000</f>
        <v>7100</v>
      </c>
      <c r="AK44" s="10">
        <f>+INDEX('QoE PF Adj. P&amp;L Aug-26'!$D$11:$AI$108,MATCH($C44,'QoE PF Adj. P&amp;L Aug-26'!$C$11:$C$108,0),MATCH(AK$8,'QoE PF Adj. P&amp;L Aug-26'!$D$8:$AI$8,0))*1000</f>
        <v>8000</v>
      </c>
      <c r="AL44" s="10">
        <f>+INDEX('QoE PF Adj. P&amp;L Aug-26'!$D$11:$AI$108,MATCH($C44,'QoE PF Adj. P&amp;L Aug-26'!$C$11:$C$108,0),MATCH(AL$8,'QoE PF Adj. P&amp;L Aug-26'!$D$8:$AI$8,0))*1000</f>
        <v>7200</v>
      </c>
      <c r="AM44" s="10">
        <f>+INDEX('QoE PF Adj. P&amp;L Aug-26'!$D$11:$AI$108,MATCH($C44,'QoE PF Adj. P&amp;L Aug-26'!$C$11:$C$108,0),MATCH(AM$8,'QoE PF Adj. P&amp;L Aug-26'!$D$8:$AI$8,0))*1000</f>
        <v>6800</v>
      </c>
      <c r="AN44" s="10">
        <f>+INDEX('QoE PF Adj. P&amp;L Aug-26'!$D$11:$AI$108,MATCH($C44,'QoE PF Adj. P&amp;L Aug-26'!$C$11:$C$108,0),MATCH(AN$8,'QoE PF Adj. P&amp;L Aug-26'!$D$8:$AI$8,0))*1000</f>
        <v>7700</v>
      </c>
      <c r="AO44" s="10">
        <f>+INDEX('QoE PF Adj. P&amp;L Aug-26'!$D$11:$AI$108,MATCH($C44,'QoE PF Adj. P&amp;L Aug-26'!$C$11:$C$108,0),MATCH(AO$8,'QoE PF Adj. P&amp;L Aug-26'!$D$8:$AI$8,0))*1000</f>
        <v>7700</v>
      </c>
      <c r="AP44" s="10">
        <f>+SUMIFS('Sep - Nov P&amp;L'!I:I,'Sep - Nov P&amp;L'!$D:$D,$C44)</f>
        <v>0</v>
      </c>
      <c r="AQ44" s="10">
        <f>+SUMIFS('Sep - Nov P&amp;L'!J:J,'Sep - Nov P&amp;L'!$D:$D,$C44)</f>
        <v>0</v>
      </c>
      <c r="AR44" s="10">
        <f>+SUMIFS('Sep - Nov P&amp;L'!K:K,'Sep - Nov P&amp;L'!$D:$D,$C44)</f>
        <v>0</v>
      </c>
      <c r="AS44" s="20">
        <f>+AS$10*AS152</f>
        <v>7489.82907316694</v>
      </c>
      <c r="AT44" s="20">
        <f>+AT$10*AT152</f>
        <v>6838.30593366964</v>
      </c>
      <c r="AU44" s="20">
        <f>+AU$10*AU152</f>
        <v>6512.54436392099</v>
      </c>
      <c r="AV44" s="20">
        <f>+AV$10*AV152</f>
        <v>7693.66427316694</v>
      </c>
      <c r="AW44" s="20">
        <f>+AW$10*AW152</f>
        <v>7843.07227316694</v>
      </c>
      <c r="AX44" s="20">
        <f>+AX$10*AX152</f>
        <v>7297.24833366964</v>
      </c>
      <c r="AY44" s="20">
        <f>+AY$10*AY152</f>
        <v>7799.42010464339</v>
      </c>
      <c r="AZ44" s="20">
        <f>+AZ$10*AZ152</f>
        <v>7953.97590586848</v>
      </c>
      <c r="BA44" s="20">
        <f>+BA$10*BA152</f>
        <v>8108.53170709358</v>
      </c>
      <c r="BB44" s="20">
        <f>+BB$10*BB152</f>
        <v>8302.13310831868</v>
      </c>
      <c r="BC44" s="20">
        <f>+BC$10*BC152</f>
        <v>8456.68890954378</v>
      </c>
      <c r="BD44" s="20">
        <f>+BD$10*BD152</f>
        <v>8220.19090996828</v>
      </c>
      <c r="BE44" s="20">
        <f>+BE$10*BE152</f>
        <v>9164.24598981188</v>
      </c>
      <c r="BF44" s="20">
        <f>+BF$10*BF152</f>
        <v>8922.74851199397</v>
      </c>
      <c r="BG44" s="20">
        <f>+BG$10*BG152</f>
        <v>9065.66051199397</v>
      </c>
      <c r="BH44" s="20">
        <f>+BH$10*BH152</f>
        <v>9889.81146762979</v>
      </c>
      <c r="BI44" s="20">
        <f>+BI$10*BI152</f>
        <v>8653.58503417606</v>
      </c>
      <c r="BJ44" s="20">
        <f>+BJ$10*BJ152</f>
        <v>9065.66051199397</v>
      </c>
      <c r="BK44" s="20">
        <f>+BK$10*BK152</f>
        <v>9477.73598981188</v>
      </c>
      <c r="BL44" s="20">
        <f>+BL$10*BL152</f>
        <v>8653.58503417606</v>
      </c>
      <c r="BM44" s="20">
        <f>+BM$10*BM152</f>
        <v>9889.81146762979</v>
      </c>
      <c r="BN44" s="20">
        <f>+BN$10*BN152</f>
        <v>9065.66051199397</v>
      </c>
      <c r="BO44" s="20">
        <f>+BO$10*BO152</f>
        <v>9065.66051199397</v>
      </c>
      <c r="BP44" s="20">
        <f>+BP$10*BP152</f>
        <v>9065.66051199397</v>
      </c>
      <c r="BQ44" s="20">
        <f>+BQ$10*BQ152</f>
        <v>9065.66051199397</v>
      </c>
    </row>
    <row r="45">
      <c r="C45" s="2" t="inlineStr">
        <is>
          <t>Total Drugs &amp; Medical Supplies</t>
        </is>
      </c>
      <c r="D45" s="15">
        <f>+SUMIFS($J45:$BQ45,$J$7:$BQ$7,D$8)</f>
        <v>1580900</v>
      </c>
      <c r="E45" s="15">
        <f>+SUMIFS($J45:$BQ45,$J$7:$BQ$7,E$8)</f>
        <v>1714100</v>
      </c>
      <c r="F45" s="15">
        <f>+SUMIFS($J45:$BQ45,$J$7:$BQ$7,F$8)</f>
        <v>1860997.13976947</v>
      </c>
      <c r="G45" s="15">
        <f>+SUMIFS($J45:$BQ45,$J$7:$BQ$7,G$8)</f>
        <v>2055940.82094928</v>
      </c>
      <c r="H45" s="15">
        <f>+SUMIFS($J45:$BQ45,$J$7:$BQ$7,H$8)</f>
        <v>2398442.25122353</v>
      </c>
      <c r="J45" s="15">
        <f>SUM(J41:J44)</f>
        <v>129500</v>
      </c>
      <c r="K45" s="15">
        <f>SUM(K41:K44)</f>
        <v>117900</v>
      </c>
      <c r="L45" s="15">
        <f>SUM(L41:L44)</f>
        <v>129700</v>
      </c>
      <c r="M45" s="15">
        <f>SUM(M41:M44)</f>
        <v>127200</v>
      </c>
      <c r="N45" s="15">
        <f>SUM(N41:N44)</f>
        <v>142800</v>
      </c>
      <c r="O45" s="15">
        <f>SUM(O41:O44)</f>
        <v>121100</v>
      </c>
      <c r="P45" s="15">
        <f>SUM(P41:P44)</f>
        <v>133600</v>
      </c>
      <c r="Q45" s="15">
        <f>SUM(Q41:Q44)</f>
        <v>138700</v>
      </c>
      <c r="R45" s="15">
        <f>SUM(R41:R44)</f>
        <v>123300</v>
      </c>
      <c r="S45" s="15">
        <f>SUM(S41:S44)</f>
        <v>158400</v>
      </c>
      <c r="T45" s="15">
        <f>SUM(T41:T44)</f>
        <v>129300</v>
      </c>
      <c r="U45" s="15">
        <f>SUM(U41:U44)</f>
        <v>129400</v>
      </c>
      <c r="V45" s="15">
        <f>SUM(V41:V44)</f>
        <v>140800</v>
      </c>
      <c r="W45" s="15">
        <f>SUM(W41:W44)</f>
        <v>121000</v>
      </c>
      <c r="X45" s="15">
        <f>SUM(X41:X44)</f>
        <v>133000</v>
      </c>
      <c r="Y45" s="15">
        <f>SUM(Y41:Y44)</f>
        <v>145000</v>
      </c>
      <c r="Z45" s="15">
        <f>SUM(Z41:Z44)</f>
        <v>145300</v>
      </c>
      <c r="AA45" s="15">
        <f>SUM(AA41:AA44)</f>
        <v>134100</v>
      </c>
      <c r="AB45" s="15">
        <f>SUM(AB41:AB44)</f>
        <v>150200</v>
      </c>
      <c r="AC45" s="15">
        <f>SUM(AC41:AC44)</f>
        <v>144100</v>
      </c>
      <c r="AD45" s="15">
        <f>SUM(AD41:AD44)</f>
        <v>139200</v>
      </c>
      <c r="AE45" s="15">
        <f>SUM(AE41:AE44)</f>
        <v>165000</v>
      </c>
      <c r="AF45" s="15">
        <f>SUM(AF41:AF44)</f>
        <v>145200</v>
      </c>
      <c r="AG45" s="15">
        <f>SUM(AG41:AG44)</f>
        <v>151200</v>
      </c>
      <c r="AH45" s="15">
        <f>SUM(AH41:AH44)</f>
        <v>158900</v>
      </c>
      <c r="AI45" s="15">
        <f>SUM(AI41:AI44)</f>
        <v>126500</v>
      </c>
      <c r="AJ45" s="15">
        <f>SUM(AJ41:AJ44)</f>
        <v>153800</v>
      </c>
      <c r="AK45" s="15">
        <f>SUM(AK41:AK44)</f>
        <v>165500</v>
      </c>
      <c r="AL45" s="15">
        <f>SUM(AL41:AL44)</f>
        <v>158900</v>
      </c>
      <c r="AM45" s="15">
        <f>SUM(AM41:AM44)</f>
        <v>148100</v>
      </c>
      <c r="AN45" s="15">
        <f>SUM(AN41:AN44)</f>
        <v>157100</v>
      </c>
      <c r="AO45" s="15">
        <f>SUM(AO41:AO44)</f>
        <v>149300</v>
      </c>
      <c r="AP45" s="15">
        <f>SUM(AP41:AP44)</f>
        <v>158253.58</v>
      </c>
      <c r="AQ45" s="15">
        <f>SUM(AQ41:AQ44)</f>
        <v>176182.29</v>
      </c>
      <c r="AR45" s="15">
        <f>SUM(AR41:AR44)</f>
        <v>144976.38</v>
      </c>
      <c r="AS45" s="15">
        <f>SUM(AS41:AS44)</f>
        <v>163484.889769471</v>
      </c>
      <c r="AT45" s="15">
        <f>SUM(AT41:AT44)</f>
        <v>149263.712276306</v>
      </c>
      <c r="AU45" s="15">
        <f>SUM(AU41:AU44)</f>
        <v>142153.123529724</v>
      </c>
      <c r="AV45" s="15">
        <f>SUM(AV41:AV44)</f>
        <v>167934.120169471</v>
      </c>
      <c r="AW45" s="15">
        <f>SUM(AW41:AW44)</f>
        <v>171195.336169471</v>
      </c>
      <c r="AX45" s="15">
        <f>SUM(AX41:AX44)</f>
        <v>159281.317076306</v>
      </c>
      <c r="AY45" s="15">
        <f>SUM(AY41:AY44)</f>
        <v>170242.514697906</v>
      </c>
      <c r="AZ45" s="15">
        <f>SUM(AZ41:AZ44)</f>
        <v>173616.094772922</v>
      </c>
      <c r="BA45" s="15">
        <f>SUM(BA41:BA44)</f>
        <v>176989.674847939</v>
      </c>
      <c r="BB45" s="15">
        <f>SUM(BB41:BB44)</f>
        <v>181215.526122956</v>
      </c>
      <c r="BC45" s="15">
        <f>SUM(BC41:BC44)</f>
        <v>184589.106197973</v>
      </c>
      <c r="BD45" s="15">
        <f>SUM(BD41:BD44)</f>
        <v>179426.92572448</v>
      </c>
      <c r="BE45" s="15">
        <f>SUM(BE41:BE44)</f>
        <v>200033.369363825</v>
      </c>
      <c r="BF45" s="15">
        <f>SUM(BF41:BF44)</f>
        <v>194762.062348006</v>
      </c>
      <c r="BG45" s="15">
        <f>SUM(BG41:BG44)</f>
        <v>197881.486348006</v>
      </c>
      <c r="BH45" s="15">
        <f>SUM(BH41:BH44)</f>
        <v>215870.712379643</v>
      </c>
      <c r="BI45" s="15">
        <f>SUM(BI41:BI44)</f>
        <v>188886.873332188</v>
      </c>
      <c r="BJ45" s="15">
        <f>SUM(BJ41:BJ44)</f>
        <v>197881.486348006</v>
      </c>
      <c r="BK45" s="15">
        <f>SUM(BK41:BK44)</f>
        <v>206876.099363825</v>
      </c>
      <c r="BL45" s="15">
        <f>SUM(BL41:BL44)</f>
        <v>188886.873332188</v>
      </c>
      <c r="BM45" s="15">
        <f>SUM(BM41:BM44)</f>
        <v>215870.712379643</v>
      </c>
      <c r="BN45" s="15">
        <f>SUM(BN41:BN44)</f>
        <v>197881.486348006</v>
      </c>
      <c r="BO45" s="15">
        <f>SUM(BO41:BO44)</f>
        <v>197881.486348006</v>
      </c>
      <c r="BP45" s="15">
        <f>SUM(BP41:BP44)</f>
        <v>197881.486348006</v>
      </c>
      <c r="BQ45" s="15">
        <f>SUM(BQ41:BQ44)</f>
        <v>197881.486348006</v>
      </c>
    </row>
    <row r="47">
      <c r="C47" s="2" t="inlineStr">
        <is>
          <t>Ancillary Services &amp; Supplies</t>
        </is>
      </c>
    </row>
    <row r="48">
      <c r="B48" s="4" t="inlineStr">
        <is>
          <t>% rev</t>
        </is>
      </c>
      <c r="C48" s="3" t="inlineStr">
        <is>
          <t>Laboratory Fees</t>
        </is>
      </c>
      <c r="D48" s="20">
        <f>+SUMIFS($J48:$BQ48,$J$7:$BQ$7,D$8)</f>
        <v>729800</v>
      </c>
      <c r="E48" s="20">
        <f>+SUMIFS($J48:$BQ48,$J$7:$BQ$7,E$8)</f>
        <v>792200</v>
      </c>
      <c r="F48" s="20">
        <f>+SUMIFS($J48:$BQ48,$J$7:$BQ$7,F$8)</f>
        <v>863135.37066775</v>
      </c>
      <c r="G48" s="20">
        <f>+SUMIFS($J48:$BQ48,$J$7:$BQ$7,G$8)</f>
        <v>948396.081701722</v>
      </c>
      <c r="H48" s="20">
        <f>+SUMIFS($J48:$BQ48,$J$7:$BQ$7,H$8)</f>
        <v>1106390.42236536</v>
      </c>
      <c r="J48" s="10">
        <f>+INDEX('QoE PF Adj. P&amp;L Aug-26'!$D$11:$AI$108,MATCH($C48,'QoE PF Adj. P&amp;L Aug-26'!$C$11:$C$108,0),MATCH(J$8,'QoE PF Adj. P&amp;L Aug-26'!$D$8:$AI$8,0))*1000</f>
        <v>59000</v>
      </c>
      <c r="K48" s="10">
        <f>+INDEX('QoE PF Adj. P&amp;L Aug-26'!$D$11:$AI$108,MATCH($C48,'QoE PF Adj. P&amp;L Aug-26'!$C$11:$C$108,0),MATCH(K$8,'QoE PF Adj. P&amp;L Aug-26'!$D$8:$AI$8,0))*1000</f>
        <v>55800</v>
      </c>
      <c r="L48" s="10">
        <f>+INDEX('QoE PF Adj. P&amp;L Aug-26'!$D$11:$AI$108,MATCH($C48,'QoE PF Adj. P&amp;L Aug-26'!$C$11:$C$108,0),MATCH(L$8,'QoE PF Adj. P&amp;L Aug-26'!$D$8:$AI$8,0))*1000</f>
        <v>59000</v>
      </c>
      <c r="M48" s="10">
        <f>+INDEX('QoE PF Adj. P&amp;L Aug-26'!$D$11:$AI$108,MATCH($C48,'QoE PF Adj. P&amp;L Aug-26'!$C$11:$C$108,0),MATCH(M$8,'QoE PF Adj. P&amp;L Aug-26'!$D$8:$AI$8,0))*1000</f>
        <v>58400</v>
      </c>
      <c r="N48" s="10">
        <f>+INDEX('QoE PF Adj. P&amp;L Aug-26'!$D$11:$AI$108,MATCH($C48,'QoE PF Adj. P&amp;L Aug-26'!$C$11:$C$108,0),MATCH(N$8,'QoE PF Adj. P&amp;L Aug-26'!$D$8:$AI$8,0))*1000</f>
        <v>69300</v>
      </c>
      <c r="O48" s="10">
        <f>+INDEX('QoE PF Adj. P&amp;L Aug-26'!$D$11:$AI$108,MATCH($C48,'QoE PF Adj. P&amp;L Aug-26'!$C$11:$C$108,0),MATCH(O$8,'QoE PF Adj. P&amp;L Aug-26'!$D$8:$AI$8,0))*1000</f>
        <v>54700</v>
      </c>
      <c r="P48" s="10">
        <f>+INDEX('QoE PF Adj. P&amp;L Aug-26'!$D$11:$AI$108,MATCH($C48,'QoE PF Adj. P&amp;L Aug-26'!$C$11:$C$108,0),MATCH(P$8,'QoE PF Adj. P&amp;L Aug-26'!$D$8:$AI$8,0))*1000</f>
        <v>64500</v>
      </c>
      <c r="Q48" s="10">
        <f>+INDEX('QoE PF Adj. P&amp;L Aug-26'!$D$11:$AI$108,MATCH($C48,'QoE PF Adj. P&amp;L Aug-26'!$C$11:$C$108,0),MATCH(Q$8,'QoE PF Adj. P&amp;L Aug-26'!$D$8:$AI$8,0))*1000</f>
        <v>66000</v>
      </c>
      <c r="R48" s="10">
        <f>+INDEX('QoE PF Adj. P&amp;L Aug-26'!$D$11:$AI$108,MATCH($C48,'QoE PF Adj. P&amp;L Aug-26'!$C$11:$C$108,0),MATCH(R$8,'QoE PF Adj. P&amp;L Aug-26'!$D$8:$AI$8,0))*1000</f>
        <v>58200</v>
      </c>
      <c r="S48" s="10">
        <f>+INDEX('QoE PF Adj. P&amp;L Aug-26'!$D$11:$AI$108,MATCH($C48,'QoE PF Adj. P&amp;L Aug-26'!$C$11:$C$108,0),MATCH(S$8,'QoE PF Adj. P&amp;L Aug-26'!$D$8:$AI$8,0))*1000</f>
        <v>67600</v>
      </c>
      <c r="T48" s="10">
        <f>+INDEX('QoE PF Adj. P&amp;L Aug-26'!$D$11:$AI$108,MATCH($C48,'QoE PF Adj. P&amp;L Aug-26'!$C$11:$C$108,0),MATCH(T$8,'QoE PF Adj. P&amp;L Aug-26'!$D$8:$AI$8,0))*1000</f>
        <v>59200</v>
      </c>
      <c r="U48" s="10">
        <f>+INDEX('QoE PF Adj. P&amp;L Aug-26'!$D$11:$AI$108,MATCH($C48,'QoE PF Adj. P&amp;L Aug-26'!$C$11:$C$108,0),MATCH(U$8,'QoE PF Adj. P&amp;L Aug-26'!$D$8:$AI$8,0))*1000</f>
        <v>58100</v>
      </c>
      <c r="V48" s="10">
        <f>+INDEX('QoE PF Adj. P&amp;L Aug-26'!$D$11:$AI$108,MATCH($C48,'QoE PF Adj. P&amp;L Aug-26'!$C$11:$C$108,0),MATCH(V$8,'QoE PF Adj. P&amp;L Aug-26'!$D$8:$AI$8,0))*1000</f>
        <v>65000</v>
      </c>
      <c r="W48" s="10">
        <f>+INDEX('QoE PF Adj. P&amp;L Aug-26'!$D$11:$AI$108,MATCH($C48,'QoE PF Adj. P&amp;L Aug-26'!$C$11:$C$108,0),MATCH(W$8,'QoE PF Adj. P&amp;L Aug-26'!$D$8:$AI$8,0))*1000</f>
        <v>57400</v>
      </c>
      <c r="X48" s="10">
        <f>+INDEX('QoE PF Adj. P&amp;L Aug-26'!$D$11:$AI$108,MATCH($C48,'QoE PF Adj. P&amp;L Aug-26'!$C$11:$C$108,0),MATCH(X$8,'QoE PF Adj. P&amp;L Aug-26'!$D$8:$AI$8,0))*1000</f>
        <v>59800</v>
      </c>
      <c r="Y48" s="10">
        <f>+INDEX('QoE PF Adj. P&amp;L Aug-26'!$D$11:$AI$108,MATCH($C48,'QoE PF Adj. P&amp;L Aug-26'!$C$11:$C$108,0),MATCH(Y$8,'QoE PF Adj. P&amp;L Aug-26'!$D$8:$AI$8,0))*1000</f>
        <v>70000</v>
      </c>
      <c r="Z48" s="10">
        <f>+INDEX('QoE PF Adj. P&amp;L Aug-26'!$D$11:$AI$108,MATCH($C48,'QoE PF Adj. P&amp;L Aug-26'!$C$11:$C$108,0),MATCH(Z$8,'QoE PF Adj. P&amp;L Aug-26'!$D$8:$AI$8,0))*1000</f>
        <v>70700</v>
      </c>
      <c r="AA48" s="10">
        <f>+INDEX('QoE PF Adj. P&amp;L Aug-26'!$D$11:$AI$108,MATCH($C48,'QoE PF Adj. P&amp;L Aug-26'!$C$11:$C$108,0),MATCH(AA$8,'QoE PF Adj. P&amp;L Aug-26'!$D$8:$AI$8,0))*1000</f>
        <v>61500</v>
      </c>
      <c r="AB48" s="10">
        <f>+INDEX('QoE PF Adj. P&amp;L Aug-26'!$D$11:$AI$108,MATCH($C48,'QoE PF Adj. P&amp;L Aug-26'!$C$11:$C$108,0),MATCH(AB$8,'QoE PF Adj. P&amp;L Aug-26'!$D$8:$AI$8,0))*1000</f>
        <v>67900</v>
      </c>
      <c r="AC48" s="10">
        <f>+INDEX('QoE PF Adj. P&amp;L Aug-26'!$D$11:$AI$108,MATCH($C48,'QoE PF Adj. P&amp;L Aug-26'!$C$11:$C$108,0),MATCH(AC$8,'QoE PF Adj. P&amp;L Aug-26'!$D$8:$AI$8,0))*1000</f>
        <v>64800</v>
      </c>
      <c r="AD48" s="10">
        <f>+INDEX('QoE PF Adj. P&amp;L Aug-26'!$D$11:$AI$108,MATCH($C48,'QoE PF Adj. P&amp;L Aug-26'!$C$11:$C$108,0),MATCH(AD$8,'QoE PF Adj. P&amp;L Aug-26'!$D$8:$AI$8,0))*1000</f>
        <v>64700</v>
      </c>
      <c r="AE48" s="10">
        <f>+INDEX('QoE PF Adj. P&amp;L Aug-26'!$D$11:$AI$108,MATCH($C48,'QoE PF Adj. P&amp;L Aug-26'!$C$11:$C$108,0),MATCH(AE$8,'QoE PF Adj. P&amp;L Aug-26'!$D$8:$AI$8,0))*1000</f>
        <v>76700</v>
      </c>
      <c r="AF48" s="10">
        <f>+INDEX('QoE PF Adj. P&amp;L Aug-26'!$D$11:$AI$108,MATCH($C48,'QoE PF Adj. P&amp;L Aug-26'!$C$11:$C$108,0),MATCH(AF$8,'QoE PF Adj. P&amp;L Aug-26'!$D$8:$AI$8,0))*1000</f>
        <v>67700</v>
      </c>
      <c r="AG48" s="10">
        <f>+INDEX('QoE PF Adj. P&amp;L Aug-26'!$D$11:$AI$108,MATCH($C48,'QoE PF Adj. P&amp;L Aug-26'!$C$11:$C$108,0),MATCH(AG$8,'QoE PF Adj. P&amp;L Aug-26'!$D$8:$AI$8,0))*1000</f>
        <v>66000</v>
      </c>
      <c r="AH48" s="10">
        <f>+INDEX('QoE PF Adj. P&amp;L Aug-26'!$D$11:$AI$108,MATCH($C48,'QoE PF Adj. P&amp;L Aug-26'!$C$11:$C$108,0),MATCH(AH$8,'QoE PF Adj. P&amp;L Aug-26'!$D$8:$AI$8,0))*1000</f>
        <v>72800</v>
      </c>
      <c r="AI48" s="10">
        <f>+INDEX('QoE PF Adj. P&amp;L Aug-26'!$D$11:$AI$108,MATCH($C48,'QoE PF Adj. P&amp;L Aug-26'!$C$11:$C$108,0),MATCH(AI$8,'QoE PF Adj. P&amp;L Aug-26'!$D$8:$AI$8,0))*1000</f>
        <v>61500</v>
      </c>
      <c r="AJ48" s="10">
        <f>+INDEX('QoE PF Adj. P&amp;L Aug-26'!$D$11:$AI$108,MATCH($C48,'QoE PF Adj. P&amp;L Aug-26'!$C$11:$C$108,0),MATCH(AJ$8,'QoE PF Adj. P&amp;L Aug-26'!$D$8:$AI$8,0))*1000</f>
        <v>72600</v>
      </c>
      <c r="AK48" s="10">
        <f>+INDEX('QoE PF Adj. P&amp;L Aug-26'!$D$11:$AI$108,MATCH($C48,'QoE PF Adj. P&amp;L Aug-26'!$C$11:$C$108,0),MATCH(AK$8,'QoE PF Adj. P&amp;L Aug-26'!$D$8:$AI$8,0))*1000</f>
        <v>76800</v>
      </c>
      <c r="AL48" s="10">
        <f>+INDEX('QoE PF Adj. P&amp;L Aug-26'!$D$11:$AI$108,MATCH($C48,'QoE PF Adj. P&amp;L Aug-26'!$C$11:$C$108,0),MATCH(AL$8,'QoE PF Adj. P&amp;L Aug-26'!$D$8:$AI$8,0))*1000</f>
        <v>70200</v>
      </c>
      <c r="AM48" s="10">
        <f>+INDEX('QoE PF Adj. P&amp;L Aug-26'!$D$11:$AI$108,MATCH($C48,'QoE PF Adj. P&amp;L Aug-26'!$C$11:$C$108,0),MATCH(AM$8,'QoE PF Adj. P&amp;L Aug-26'!$D$8:$AI$8,0))*1000</f>
        <v>66100</v>
      </c>
      <c r="AN48" s="10">
        <f>+INDEX('QoE PF Adj. P&amp;L Aug-26'!$D$11:$AI$108,MATCH($C48,'QoE PF Adj. P&amp;L Aug-26'!$C$11:$C$108,0),MATCH(AN$8,'QoE PF Adj. P&amp;L Aug-26'!$D$8:$AI$8,0))*1000</f>
        <v>71500</v>
      </c>
      <c r="AO48" s="10">
        <f>+INDEX('QoE PF Adj. P&amp;L Aug-26'!$D$11:$AI$108,MATCH($C48,'QoE PF Adj. P&amp;L Aug-26'!$C$11:$C$108,0),MATCH(AO$8,'QoE PF Adj. P&amp;L Aug-26'!$D$8:$AI$8,0))*1000</f>
        <v>74600</v>
      </c>
      <c r="AP48" s="10">
        <f>+SUMIFS('Sep - Nov P&amp;L'!I:I,'Sep - Nov P&amp;L'!$D:$D,$C48)</f>
        <v>74758.7</v>
      </c>
      <c r="AQ48" s="10">
        <f>+SUMIFS('Sep - Nov P&amp;L'!J:J,'Sep - Nov P&amp;L'!$D:$D,$C48)</f>
        <v>77001.36</v>
      </c>
      <c r="AR48" s="10">
        <f>+SUMIFS('Sep - Nov P&amp;L'!K:K,'Sep - Nov P&amp;L'!$D:$D,$C48)</f>
        <v>69860.48</v>
      </c>
      <c r="AS48" s="20">
        <f>+AS$10*AS156</f>
        <v>75414.8306677498</v>
      </c>
      <c r="AT48" s="20">
        <f>+AT$10*AT156</f>
        <v>68854.6666424668</v>
      </c>
      <c r="AU48" s="20">
        <f>+AU$10*AU156</f>
        <v>65574.5846298252</v>
      </c>
      <c r="AV48" s="20">
        <f>+AV$10*AV156</f>
        <v>77467.2402677498</v>
      </c>
      <c r="AW48" s="20">
        <f>+AW$10*AW156</f>
        <v>78971.6242677498</v>
      </c>
      <c r="AX48" s="20">
        <f>+AX$10*AX156</f>
        <v>73475.7418424667</v>
      </c>
      <c r="AY48" s="20">
        <f>+AY$10*AY156</f>
        <v>78532.0920881334</v>
      </c>
      <c r="AZ48" s="20">
        <f>+AZ$10*AZ156</f>
        <v>80088.3091211585</v>
      </c>
      <c r="BA48" s="20">
        <f>+BA$10*BA156</f>
        <v>81644.5261541837</v>
      </c>
      <c r="BB48" s="20">
        <f>+BB$10*BB156</f>
        <v>83593.8919872088</v>
      </c>
      <c r="BC48" s="20">
        <f>+BC$10*BC156</f>
        <v>85150.1090202339</v>
      </c>
      <c r="BD48" s="20">
        <f>+BD$10*BD156</f>
        <v>82768.8188176117</v>
      </c>
      <c r="BE48" s="20">
        <f>+BE$10*BE156</f>
        <v>92274.4768629334</v>
      </c>
      <c r="BF48" s="20">
        <f>+BF$10*BF156</f>
        <v>89842.8470862841</v>
      </c>
      <c r="BG48" s="20">
        <f>+BG$10*BG156</f>
        <v>91281.8230862841</v>
      </c>
      <c r="BH48" s="20">
        <f>+BH$10*BH156</f>
        <v>99580.1706395827</v>
      </c>
      <c r="BI48" s="20">
        <f>+BI$10*BI156</f>
        <v>87132.6493096349</v>
      </c>
      <c r="BJ48" s="20">
        <f>+BJ$10*BJ156</f>
        <v>91281.8230862841</v>
      </c>
      <c r="BK48" s="20">
        <f>+BK$10*BK156</f>
        <v>95430.9968629334</v>
      </c>
      <c r="BL48" s="20">
        <f>+BL$10*BL156</f>
        <v>87132.6493096349</v>
      </c>
      <c r="BM48" s="20">
        <f>+BM$10*BM156</f>
        <v>99580.1706395827</v>
      </c>
      <c r="BN48" s="20">
        <f>+BN$10*BN156</f>
        <v>91281.8230862841</v>
      </c>
      <c r="BO48" s="20">
        <f>+BO$10*BO156</f>
        <v>91281.8230862841</v>
      </c>
      <c r="BP48" s="20">
        <f>+BP$10*BP156</f>
        <v>91281.8230862841</v>
      </c>
      <c r="BQ48" s="20">
        <f>+BQ$10*BQ156</f>
        <v>91281.8230862841</v>
      </c>
    </row>
    <row r="49">
      <c r="B49" s="4" t="inlineStr">
        <is>
          <t>% rev</t>
        </is>
      </c>
      <c r="C49" s="3" t="inlineStr">
        <is>
          <t>Other Lab Expenses</t>
        </is>
      </c>
      <c r="D49" s="20">
        <f>+SUMIFS($J49:$BQ49,$J$7:$BQ$7,D$8)</f>
        <v>88500</v>
      </c>
      <c r="E49" s="20">
        <f>+SUMIFS($J49:$BQ49,$J$7:$BQ$7,E$8)</f>
        <v>98100</v>
      </c>
      <c r="F49" s="20">
        <f>+SUMIFS($J49:$BQ49,$J$7:$BQ$7,F$8)</f>
        <v>140439.593865429</v>
      </c>
      <c r="G49" s="20">
        <f>+SUMIFS($J49:$BQ49,$J$7:$BQ$7,G$8)</f>
        <v>115301.578426065</v>
      </c>
      <c r="H49" s="20">
        <f>+SUMIFS($J49:$BQ49,$J$7:$BQ$7,H$8)</f>
        <v>134509.794499898</v>
      </c>
      <c r="J49" s="10">
        <f>+INDEX('QoE PF Adj. P&amp;L Aug-26'!$D$11:$AI$108,MATCH($C49,'QoE PF Adj. P&amp;L Aug-26'!$C$11:$C$108,0),MATCH(J$8,'QoE PF Adj. P&amp;L Aug-26'!$D$8:$AI$8,0))*1000</f>
        <v>7300</v>
      </c>
      <c r="K49" s="10">
        <f>+INDEX('QoE PF Adj. P&amp;L Aug-26'!$D$11:$AI$108,MATCH($C49,'QoE PF Adj. P&amp;L Aug-26'!$C$11:$C$108,0),MATCH(K$8,'QoE PF Adj. P&amp;L Aug-26'!$D$8:$AI$8,0))*1000</f>
        <v>6600</v>
      </c>
      <c r="L49" s="10">
        <f>+INDEX('QoE PF Adj. P&amp;L Aug-26'!$D$11:$AI$108,MATCH($C49,'QoE PF Adj. P&amp;L Aug-26'!$C$11:$C$108,0),MATCH(L$8,'QoE PF Adj. P&amp;L Aug-26'!$D$8:$AI$8,0))*1000</f>
        <v>7100</v>
      </c>
      <c r="M49" s="10">
        <f>+INDEX('QoE PF Adj. P&amp;L Aug-26'!$D$11:$AI$108,MATCH($C49,'QoE PF Adj. P&amp;L Aug-26'!$C$11:$C$108,0),MATCH(M$8,'QoE PF Adj. P&amp;L Aug-26'!$D$8:$AI$8,0))*1000</f>
        <v>7300</v>
      </c>
      <c r="N49" s="10">
        <f>+INDEX('QoE PF Adj. P&amp;L Aug-26'!$D$11:$AI$108,MATCH($C49,'QoE PF Adj. P&amp;L Aug-26'!$C$11:$C$108,0),MATCH(N$8,'QoE PF Adj. P&amp;L Aug-26'!$D$8:$AI$8,0))*1000</f>
        <v>7900</v>
      </c>
      <c r="O49" s="10">
        <f>+INDEX('QoE PF Adj. P&amp;L Aug-26'!$D$11:$AI$108,MATCH($C49,'QoE PF Adj. P&amp;L Aug-26'!$C$11:$C$108,0),MATCH(O$8,'QoE PF Adj. P&amp;L Aug-26'!$D$8:$AI$8,0))*1000</f>
        <v>6500</v>
      </c>
      <c r="P49" s="10">
        <f>+INDEX('QoE PF Adj. P&amp;L Aug-26'!$D$11:$AI$108,MATCH($C49,'QoE PF Adj. P&amp;L Aug-26'!$C$11:$C$108,0),MATCH(P$8,'QoE PF Adj. P&amp;L Aug-26'!$D$8:$AI$8,0))*1000</f>
        <v>7500</v>
      </c>
      <c r="Q49" s="10">
        <f>+INDEX('QoE PF Adj. P&amp;L Aug-26'!$D$11:$AI$108,MATCH($C49,'QoE PF Adj. P&amp;L Aug-26'!$C$11:$C$108,0),MATCH(Q$8,'QoE PF Adj. P&amp;L Aug-26'!$D$8:$AI$8,0))*1000</f>
        <v>7700</v>
      </c>
      <c r="R49" s="10">
        <f>+INDEX('QoE PF Adj. P&amp;L Aug-26'!$D$11:$AI$108,MATCH($C49,'QoE PF Adj. P&amp;L Aug-26'!$C$11:$C$108,0),MATCH(R$8,'QoE PF Adj. P&amp;L Aug-26'!$D$8:$AI$8,0))*1000</f>
        <v>7300</v>
      </c>
      <c r="S49" s="10">
        <f>+INDEX('QoE PF Adj. P&amp;L Aug-26'!$D$11:$AI$108,MATCH($C49,'QoE PF Adj. P&amp;L Aug-26'!$C$11:$C$108,0),MATCH(S$8,'QoE PF Adj. P&amp;L Aug-26'!$D$8:$AI$8,0))*1000</f>
        <v>8900</v>
      </c>
      <c r="T49" s="10">
        <f>+INDEX('QoE PF Adj. P&amp;L Aug-26'!$D$11:$AI$108,MATCH($C49,'QoE PF Adj. P&amp;L Aug-26'!$C$11:$C$108,0),MATCH(T$8,'QoE PF Adj. P&amp;L Aug-26'!$D$8:$AI$8,0))*1000</f>
        <v>7200</v>
      </c>
      <c r="U49" s="10">
        <f>+INDEX('QoE PF Adj. P&amp;L Aug-26'!$D$11:$AI$108,MATCH($C49,'QoE PF Adj. P&amp;L Aug-26'!$C$11:$C$108,0),MATCH(U$8,'QoE PF Adj. P&amp;L Aug-26'!$D$8:$AI$8,0))*1000</f>
        <v>7200</v>
      </c>
      <c r="V49" s="10">
        <f>+INDEX('QoE PF Adj. P&amp;L Aug-26'!$D$11:$AI$108,MATCH($C49,'QoE PF Adj. P&amp;L Aug-26'!$C$11:$C$108,0),MATCH(V$8,'QoE PF Adj. P&amp;L Aug-26'!$D$8:$AI$8,0))*1000</f>
        <v>8400</v>
      </c>
      <c r="W49" s="10">
        <f>+INDEX('QoE PF Adj. P&amp;L Aug-26'!$D$11:$AI$108,MATCH($C49,'QoE PF Adj. P&amp;L Aug-26'!$C$11:$C$108,0),MATCH(W$8,'QoE PF Adj. P&amp;L Aug-26'!$D$8:$AI$8,0))*1000</f>
        <v>6900</v>
      </c>
      <c r="X49" s="10">
        <f>+INDEX('QoE PF Adj. P&amp;L Aug-26'!$D$11:$AI$108,MATCH($C49,'QoE PF Adj. P&amp;L Aug-26'!$C$11:$C$108,0),MATCH(X$8,'QoE PF Adj. P&amp;L Aug-26'!$D$8:$AI$8,0))*1000</f>
        <v>7900</v>
      </c>
      <c r="Y49" s="10">
        <f>+INDEX('QoE PF Adj. P&amp;L Aug-26'!$D$11:$AI$108,MATCH($C49,'QoE PF Adj. P&amp;L Aug-26'!$C$11:$C$108,0),MATCH(Y$8,'QoE PF Adj. P&amp;L Aug-26'!$D$8:$AI$8,0))*1000</f>
        <v>8300</v>
      </c>
      <c r="Z49" s="10">
        <f>+INDEX('QoE PF Adj. P&amp;L Aug-26'!$D$11:$AI$108,MATCH($C49,'QoE PF Adj. P&amp;L Aug-26'!$C$11:$C$108,0),MATCH(Z$8,'QoE PF Adj. P&amp;L Aug-26'!$D$8:$AI$8,0))*1000</f>
        <v>8600</v>
      </c>
      <c r="AA49" s="10">
        <f>+INDEX('QoE PF Adj. P&amp;L Aug-26'!$D$11:$AI$108,MATCH($C49,'QoE PF Adj. P&amp;L Aug-26'!$C$11:$C$108,0),MATCH(AA$8,'QoE PF Adj. P&amp;L Aug-26'!$D$8:$AI$8,0))*1000</f>
        <v>7700</v>
      </c>
      <c r="AB49" s="10">
        <f>+INDEX('QoE PF Adj. P&amp;L Aug-26'!$D$11:$AI$108,MATCH($C49,'QoE PF Adj. P&amp;L Aug-26'!$C$11:$C$108,0),MATCH(AB$8,'QoE PF Adj. P&amp;L Aug-26'!$D$8:$AI$8,0))*1000</f>
        <v>8700</v>
      </c>
      <c r="AC49" s="10">
        <f>+INDEX('QoE PF Adj. P&amp;L Aug-26'!$D$11:$AI$108,MATCH($C49,'QoE PF Adj. P&amp;L Aug-26'!$C$11:$C$108,0),MATCH(AC$8,'QoE PF Adj. P&amp;L Aug-26'!$D$8:$AI$8,0))*1000</f>
        <v>8400</v>
      </c>
      <c r="AD49" s="10">
        <f>+INDEX('QoE PF Adj. P&amp;L Aug-26'!$D$11:$AI$108,MATCH($C49,'QoE PF Adj. P&amp;L Aug-26'!$C$11:$C$108,0),MATCH(AD$8,'QoE PF Adj. P&amp;L Aug-26'!$D$8:$AI$8,0))*1000</f>
        <v>7800</v>
      </c>
      <c r="AE49" s="10">
        <f>+INDEX('QoE PF Adj. P&amp;L Aug-26'!$D$11:$AI$108,MATCH($C49,'QoE PF Adj. P&amp;L Aug-26'!$C$11:$C$108,0),MATCH(AE$8,'QoE PF Adj. P&amp;L Aug-26'!$D$8:$AI$8,0))*1000</f>
        <v>9000</v>
      </c>
      <c r="AF49" s="10">
        <f>+INDEX('QoE PF Adj. P&amp;L Aug-26'!$D$11:$AI$108,MATCH($C49,'QoE PF Adj. P&amp;L Aug-26'!$C$11:$C$108,0),MATCH(AF$8,'QoE PF Adj. P&amp;L Aug-26'!$D$8:$AI$8,0))*1000</f>
        <v>8000</v>
      </c>
      <c r="AG49" s="10">
        <f>+INDEX('QoE PF Adj. P&amp;L Aug-26'!$D$11:$AI$108,MATCH($C49,'QoE PF Adj. P&amp;L Aug-26'!$C$11:$C$108,0),MATCH(AG$8,'QoE PF Adj. P&amp;L Aug-26'!$D$8:$AI$8,0))*1000</f>
        <v>8400</v>
      </c>
      <c r="AH49" s="10">
        <f>+INDEX('QoE PF Adj. P&amp;L Aug-26'!$D$11:$AI$108,MATCH($C49,'QoE PF Adj. P&amp;L Aug-26'!$C$11:$C$108,0),MATCH(AH$8,'QoE PF Adj. P&amp;L Aug-26'!$D$8:$AI$8,0))*1000</f>
        <v>8900</v>
      </c>
      <c r="AI49" s="10">
        <f>+INDEX('QoE PF Adj. P&amp;L Aug-26'!$D$11:$AI$108,MATCH($C49,'QoE PF Adj. P&amp;L Aug-26'!$C$11:$C$108,0),MATCH(AI$8,'QoE PF Adj. P&amp;L Aug-26'!$D$8:$AI$8,0))*1000</f>
        <v>7000</v>
      </c>
      <c r="AJ49" s="10">
        <f>+INDEX('QoE PF Adj. P&amp;L Aug-26'!$D$11:$AI$108,MATCH($C49,'QoE PF Adj. P&amp;L Aug-26'!$C$11:$C$108,0),MATCH(AJ$8,'QoE PF Adj. P&amp;L Aug-26'!$D$8:$AI$8,0))*1000</f>
        <v>9000</v>
      </c>
      <c r="AK49" s="10">
        <f>+INDEX('QoE PF Adj. P&amp;L Aug-26'!$D$11:$AI$108,MATCH($C49,'QoE PF Adj. P&amp;L Aug-26'!$C$11:$C$108,0),MATCH(AK$8,'QoE PF Adj. P&amp;L Aug-26'!$D$8:$AI$8,0))*1000</f>
        <v>9200</v>
      </c>
      <c r="AL49" s="10">
        <f>+INDEX('QoE PF Adj. P&amp;L Aug-26'!$D$11:$AI$108,MATCH($C49,'QoE PF Adj. P&amp;L Aug-26'!$C$11:$C$108,0),MATCH(AL$8,'QoE PF Adj. P&amp;L Aug-26'!$D$8:$AI$8,0))*1000</f>
        <v>8900</v>
      </c>
      <c r="AM49" s="10">
        <f>+INDEX('QoE PF Adj. P&amp;L Aug-26'!$D$11:$AI$108,MATCH($C49,'QoE PF Adj. P&amp;L Aug-26'!$C$11:$C$108,0),MATCH(AM$8,'QoE PF Adj. P&amp;L Aug-26'!$D$8:$AI$8,0))*1000</f>
        <v>8300</v>
      </c>
      <c r="AN49" s="10">
        <f>+INDEX('QoE PF Adj. P&amp;L Aug-26'!$D$11:$AI$108,MATCH($C49,'QoE PF Adj. P&amp;L Aug-26'!$C$11:$C$108,0),MATCH(AN$8,'QoE PF Adj. P&amp;L Aug-26'!$D$8:$AI$8,0))*1000</f>
        <v>9500</v>
      </c>
      <c r="AO49" s="10">
        <f>+INDEX('QoE PF Adj. P&amp;L Aug-26'!$D$11:$AI$108,MATCH($C49,'QoE PF Adj. P&amp;L Aug-26'!$C$11:$C$108,0),MATCH(AO$8,'QoE PF Adj. P&amp;L Aug-26'!$D$8:$AI$8,0))*1000</f>
        <v>8300</v>
      </c>
      <c r="AP49" s="10">
        <f>+SUMIFS('Sep - Nov P&amp;L'!I:I,'Sep - Nov P&amp;L'!$D:$D,$C49)</f>
        <v>20978.31</v>
      </c>
      <c r="AQ49" s="10">
        <f>+SUMIFS('Sep - Nov P&amp;L'!J:J,'Sep - Nov P&amp;L'!$D:$D,$C49)</f>
        <v>21804.08</v>
      </c>
      <c r="AR49" s="10">
        <f>+SUMIFS('Sep - Nov P&amp;L'!K:K,'Sep - Nov P&amp;L'!$D:$D,$C49)</f>
        <v>19388.62</v>
      </c>
      <c r="AS49" s="20">
        <f>+AS$10*AS157</f>
        <v>9168.58386542849</v>
      </c>
      <c r="AT49" s="20">
        <f>+AT$10*AT157</f>
        <v>8371.02967742318</v>
      </c>
      <c r="AU49" s="20">
        <f>+AU$10*AU157</f>
        <v>7972.25258342053</v>
      </c>
      <c r="AV49" s="20">
        <f>+AV$10*AV157</f>
        <v>9418.10626542849</v>
      </c>
      <c r="AW49" s="20">
        <f>+AW$10*AW157</f>
        <v>9601.00226542849</v>
      </c>
      <c r="AX49" s="20">
        <f>+AX$10*AX157</f>
        <v>8932.83847742318</v>
      </c>
      <c r="AY49" s="20">
        <f>+AY$10*AY157</f>
        <v>9547.5659901669</v>
      </c>
      <c r="AZ49" s="20">
        <f>+AZ$10*AZ157</f>
        <v>9736.76360890797</v>
      </c>
      <c r="BA49" s="20">
        <f>+BA$10*BA157</f>
        <v>9925.96122764904</v>
      </c>
      <c r="BB49" s="20">
        <f>+BB$10*BB157</f>
        <v>10162.9560463901</v>
      </c>
      <c r="BC49" s="20">
        <f>+BC$10*BC157</f>
        <v>10352.1536651312</v>
      </c>
      <c r="BD49" s="20">
        <f>+BD$10*BD157</f>
        <v>10062.647493237</v>
      </c>
      <c r="BE49" s="20">
        <f>+BE$10*BE157</f>
        <v>11218.3011254594</v>
      </c>
      <c r="BF49" s="20">
        <f>+BF$10*BF157</f>
        <v>10922.6749026133</v>
      </c>
      <c r="BG49" s="20">
        <f>+BG$10*BG157</f>
        <v>11097.6189026133</v>
      </c>
      <c r="BH49" s="20">
        <f>+BH$10*BH157</f>
        <v>12106.4933483054</v>
      </c>
      <c r="BI49" s="20">
        <f>+BI$10*BI157</f>
        <v>10593.1816797673</v>
      </c>
      <c r="BJ49" s="20">
        <f>+BJ$10*BJ157</f>
        <v>11097.6189026133</v>
      </c>
      <c r="BK49" s="20">
        <f>+BK$10*BK157</f>
        <v>11602.0561254594</v>
      </c>
      <c r="BL49" s="20">
        <f>+BL$10*BL157</f>
        <v>10593.1816797673</v>
      </c>
      <c r="BM49" s="20">
        <f>+BM$10*BM157</f>
        <v>12106.4933483054</v>
      </c>
      <c r="BN49" s="20">
        <f>+BN$10*BN157</f>
        <v>11097.6189026133</v>
      </c>
      <c r="BO49" s="20">
        <f>+BO$10*BO157</f>
        <v>11097.6189026133</v>
      </c>
      <c r="BP49" s="20">
        <f>+BP$10*BP157</f>
        <v>11097.6189026133</v>
      </c>
      <c r="BQ49" s="20">
        <f>+BQ$10*BQ157</f>
        <v>11097.6189026133</v>
      </c>
    </row>
    <row r="50">
      <c r="B50" s="4" t="inlineStr">
        <is>
          <t>% rev</t>
        </is>
      </c>
      <c r="C50" s="3" t="inlineStr">
        <is>
          <t>CT &amp; X-Ray</t>
        </is>
      </c>
      <c r="D50" s="20">
        <f>+SUMIFS($J50:$BQ50,$J$7:$BQ$7,D$8)</f>
        <v>19100</v>
      </c>
      <c r="E50" s="20">
        <f>+SUMIFS($J50:$BQ50,$J$7:$BQ$7,E$8)</f>
        <v>20900</v>
      </c>
      <c r="F50" s="20">
        <f>+SUMIFS($J50:$BQ50,$J$7:$BQ$7,F$8)</f>
        <v>16537.0247603018</v>
      </c>
      <c r="G50" s="20">
        <f>+SUMIFS($J50:$BQ50,$J$7:$BQ$7,G$8)</f>
        <v>24359.488399873</v>
      </c>
      <c r="H50" s="20">
        <f>+SUMIFS($J50:$BQ50,$J$7:$BQ$7,H$8)</f>
        <v>28417.5622182883</v>
      </c>
      <c r="J50" s="10">
        <f>+INDEX('QoE PF Adj. P&amp;L Aug-26'!$D$11:$AI$108,MATCH($C50,'QoE PF Adj. P&amp;L Aug-26'!$C$11:$C$108,0),MATCH(J$8,'QoE PF Adj. P&amp;L Aug-26'!$D$8:$AI$8,0))*1000</f>
        <v>1600</v>
      </c>
      <c r="K50" s="10">
        <f>+INDEX('QoE PF Adj. P&amp;L Aug-26'!$D$11:$AI$108,MATCH($C50,'QoE PF Adj. P&amp;L Aug-26'!$C$11:$C$108,0),MATCH(K$8,'QoE PF Adj. P&amp;L Aug-26'!$D$8:$AI$8,0))*1000</f>
        <v>1500</v>
      </c>
      <c r="L50" s="10">
        <f>+INDEX('QoE PF Adj. P&amp;L Aug-26'!$D$11:$AI$108,MATCH($C50,'QoE PF Adj. P&amp;L Aug-26'!$C$11:$C$108,0),MATCH(L$8,'QoE PF Adj. P&amp;L Aug-26'!$D$8:$AI$8,0))*1000</f>
        <v>1600</v>
      </c>
      <c r="M50" s="10">
        <f>+INDEX('QoE PF Adj. P&amp;L Aug-26'!$D$11:$AI$108,MATCH($C50,'QoE PF Adj. P&amp;L Aug-26'!$C$11:$C$108,0),MATCH(M$8,'QoE PF Adj. P&amp;L Aug-26'!$D$8:$AI$8,0))*1000</f>
        <v>1600</v>
      </c>
      <c r="N50" s="10">
        <f>+INDEX('QoE PF Adj. P&amp;L Aug-26'!$D$11:$AI$108,MATCH($C50,'QoE PF Adj. P&amp;L Aug-26'!$C$11:$C$108,0),MATCH(N$8,'QoE PF Adj. P&amp;L Aug-26'!$D$8:$AI$8,0))*1000</f>
        <v>1800</v>
      </c>
      <c r="O50" s="10">
        <f>+INDEX('QoE PF Adj. P&amp;L Aug-26'!$D$11:$AI$108,MATCH($C50,'QoE PF Adj. P&amp;L Aug-26'!$C$11:$C$108,0),MATCH(O$8,'QoE PF Adj. P&amp;L Aug-26'!$D$8:$AI$8,0))*1000</f>
        <v>1400</v>
      </c>
      <c r="P50" s="10">
        <f>+INDEX('QoE PF Adj. P&amp;L Aug-26'!$D$11:$AI$108,MATCH($C50,'QoE PF Adj. P&amp;L Aug-26'!$C$11:$C$108,0),MATCH(P$8,'QoE PF Adj. P&amp;L Aug-26'!$D$8:$AI$8,0))*1000</f>
        <v>1600</v>
      </c>
      <c r="Q50" s="10">
        <f>+INDEX('QoE PF Adj. P&amp;L Aug-26'!$D$11:$AI$108,MATCH($C50,'QoE PF Adj. P&amp;L Aug-26'!$C$11:$C$108,0),MATCH(Q$8,'QoE PF Adj. P&amp;L Aug-26'!$D$8:$AI$8,0))*1000</f>
        <v>1600</v>
      </c>
      <c r="R50" s="10">
        <f>+INDEX('QoE PF Adj. P&amp;L Aug-26'!$D$11:$AI$108,MATCH($C50,'QoE PF Adj. P&amp;L Aug-26'!$C$11:$C$108,0),MATCH(R$8,'QoE PF Adj. P&amp;L Aug-26'!$D$8:$AI$8,0))*1000</f>
        <v>1500</v>
      </c>
      <c r="S50" s="10">
        <f>+INDEX('QoE PF Adj. P&amp;L Aug-26'!$D$11:$AI$108,MATCH($C50,'QoE PF Adj. P&amp;L Aug-26'!$C$11:$C$108,0),MATCH(S$8,'QoE PF Adj. P&amp;L Aug-26'!$D$8:$AI$8,0))*1000</f>
        <v>1800</v>
      </c>
      <c r="T50" s="10">
        <f>+INDEX('QoE PF Adj. P&amp;L Aug-26'!$D$11:$AI$108,MATCH($C50,'QoE PF Adj. P&amp;L Aug-26'!$C$11:$C$108,0),MATCH(T$8,'QoE PF Adj. P&amp;L Aug-26'!$D$8:$AI$8,0))*1000</f>
        <v>1600</v>
      </c>
      <c r="U50" s="10">
        <f>+INDEX('QoE PF Adj. P&amp;L Aug-26'!$D$11:$AI$108,MATCH($C50,'QoE PF Adj. P&amp;L Aug-26'!$C$11:$C$108,0),MATCH(U$8,'QoE PF Adj. P&amp;L Aug-26'!$D$8:$AI$8,0))*1000</f>
        <v>1500</v>
      </c>
      <c r="V50" s="10">
        <f>+INDEX('QoE PF Adj. P&amp;L Aug-26'!$D$11:$AI$108,MATCH($C50,'QoE PF Adj. P&amp;L Aug-26'!$C$11:$C$108,0),MATCH(V$8,'QoE PF Adj. P&amp;L Aug-26'!$D$8:$AI$8,0))*1000</f>
        <v>1800</v>
      </c>
      <c r="W50" s="10">
        <f>+INDEX('QoE PF Adj. P&amp;L Aug-26'!$D$11:$AI$108,MATCH($C50,'QoE PF Adj. P&amp;L Aug-26'!$C$11:$C$108,0),MATCH(W$8,'QoE PF Adj. P&amp;L Aug-26'!$D$8:$AI$8,0))*1000</f>
        <v>1500</v>
      </c>
      <c r="X50" s="10">
        <f>+INDEX('QoE PF Adj. P&amp;L Aug-26'!$D$11:$AI$108,MATCH($C50,'QoE PF Adj. P&amp;L Aug-26'!$C$11:$C$108,0),MATCH(X$8,'QoE PF Adj. P&amp;L Aug-26'!$D$8:$AI$8,0))*1000</f>
        <v>1600</v>
      </c>
      <c r="Y50" s="10">
        <f>+INDEX('QoE PF Adj. P&amp;L Aug-26'!$D$11:$AI$108,MATCH($C50,'QoE PF Adj. P&amp;L Aug-26'!$C$11:$C$108,0),MATCH(Y$8,'QoE PF Adj. P&amp;L Aug-26'!$D$8:$AI$8,0))*1000</f>
        <v>1800</v>
      </c>
      <c r="Z50" s="10">
        <f>+INDEX('QoE PF Adj. P&amp;L Aug-26'!$D$11:$AI$108,MATCH($C50,'QoE PF Adj. P&amp;L Aug-26'!$C$11:$C$108,0),MATCH(Z$8,'QoE PF Adj. P&amp;L Aug-26'!$D$8:$AI$8,0))*1000</f>
        <v>1800</v>
      </c>
      <c r="AA50" s="10">
        <f>+INDEX('QoE PF Adj. P&amp;L Aug-26'!$D$11:$AI$108,MATCH($C50,'QoE PF Adj. P&amp;L Aug-26'!$C$11:$C$108,0),MATCH(AA$8,'QoE PF Adj. P&amp;L Aug-26'!$D$8:$AI$8,0))*1000</f>
        <v>1600</v>
      </c>
      <c r="AB50" s="10">
        <f>+INDEX('QoE PF Adj. P&amp;L Aug-26'!$D$11:$AI$108,MATCH($C50,'QoE PF Adj. P&amp;L Aug-26'!$C$11:$C$108,0),MATCH(AB$8,'QoE PF Adj. P&amp;L Aug-26'!$D$8:$AI$8,0))*1000</f>
        <v>1800</v>
      </c>
      <c r="AC50" s="10">
        <f>+INDEX('QoE PF Adj. P&amp;L Aug-26'!$D$11:$AI$108,MATCH($C50,'QoE PF Adj. P&amp;L Aug-26'!$C$11:$C$108,0),MATCH(AC$8,'QoE PF Adj. P&amp;L Aug-26'!$D$8:$AI$8,0))*1000</f>
        <v>1800</v>
      </c>
      <c r="AD50" s="10">
        <f>+INDEX('QoE PF Adj. P&amp;L Aug-26'!$D$11:$AI$108,MATCH($C50,'QoE PF Adj. P&amp;L Aug-26'!$C$11:$C$108,0),MATCH(AD$8,'QoE PF Adj. P&amp;L Aug-26'!$D$8:$AI$8,0))*1000</f>
        <v>1600</v>
      </c>
      <c r="AE50" s="10">
        <f>+INDEX('QoE PF Adj. P&amp;L Aug-26'!$D$11:$AI$108,MATCH($C50,'QoE PF Adj. P&amp;L Aug-26'!$C$11:$C$108,0),MATCH(AE$8,'QoE PF Adj. P&amp;L Aug-26'!$D$8:$AI$8,0))*1000</f>
        <v>2000</v>
      </c>
      <c r="AF50" s="10">
        <f>+INDEX('QoE PF Adj. P&amp;L Aug-26'!$D$11:$AI$108,MATCH($C50,'QoE PF Adj. P&amp;L Aug-26'!$C$11:$C$108,0),MATCH(AF$8,'QoE PF Adj. P&amp;L Aug-26'!$D$8:$AI$8,0))*1000</f>
        <v>1800</v>
      </c>
      <c r="AG50" s="10">
        <f>+INDEX('QoE PF Adj. P&amp;L Aug-26'!$D$11:$AI$108,MATCH($C50,'QoE PF Adj. P&amp;L Aug-26'!$C$11:$C$108,0),MATCH(AG$8,'QoE PF Adj. P&amp;L Aug-26'!$D$8:$AI$8,0))*1000</f>
        <v>1800</v>
      </c>
      <c r="AH50" s="10">
        <f>+INDEX('QoE PF Adj. P&amp;L Aug-26'!$D$11:$AI$108,MATCH($C50,'QoE PF Adj. P&amp;L Aug-26'!$C$11:$C$108,0),MATCH(AH$8,'QoE PF Adj. P&amp;L Aug-26'!$D$8:$AI$8,0))*1000</f>
        <v>1800</v>
      </c>
      <c r="AI50" s="10">
        <f>+INDEX('QoE PF Adj. P&amp;L Aug-26'!$D$11:$AI$108,MATCH($C50,'QoE PF Adj. P&amp;L Aug-26'!$C$11:$C$108,0),MATCH(AI$8,'QoE PF Adj. P&amp;L Aug-26'!$D$8:$AI$8,0))*1000</f>
        <v>1500</v>
      </c>
      <c r="AJ50" s="10">
        <f>+INDEX('QoE PF Adj. P&amp;L Aug-26'!$D$11:$AI$108,MATCH($C50,'QoE PF Adj. P&amp;L Aug-26'!$C$11:$C$108,0),MATCH(AJ$8,'QoE PF Adj. P&amp;L Aug-26'!$D$8:$AI$8,0))*1000</f>
        <v>1900</v>
      </c>
      <c r="AK50" s="10">
        <f>+INDEX('QoE PF Adj. P&amp;L Aug-26'!$D$11:$AI$108,MATCH($C50,'QoE PF Adj. P&amp;L Aug-26'!$C$11:$C$108,0),MATCH(AK$8,'QoE PF Adj. P&amp;L Aug-26'!$D$8:$AI$8,0))*1000</f>
        <v>1900</v>
      </c>
      <c r="AL50" s="10">
        <f>+INDEX('QoE PF Adj. P&amp;L Aug-26'!$D$11:$AI$108,MATCH($C50,'QoE PF Adj. P&amp;L Aug-26'!$C$11:$C$108,0),MATCH(AL$8,'QoE PF Adj. P&amp;L Aug-26'!$D$8:$AI$8,0))*1000</f>
        <v>1900</v>
      </c>
      <c r="AM50" s="10">
        <f>+INDEX('QoE PF Adj. P&amp;L Aug-26'!$D$11:$AI$108,MATCH($C50,'QoE PF Adj. P&amp;L Aug-26'!$C$11:$C$108,0),MATCH(AM$8,'QoE PF Adj. P&amp;L Aug-26'!$D$8:$AI$8,0))*1000</f>
        <v>1800</v>
      </c>
      <c r="AN50" s="10">
        <f>+INDEX('QoE PF Adj. P&amp;L Aug-26'!$D$11:$AI$108,MATCH($C50,'QoE PF Adj. P&amp;L Aug-26'!$C$11:$C$108,0),MATCH(AN$8,'QoE PF Adj. P&amp;L Aug-26'!$D$8:$AI$8,0))*1000</f>
        <v>2000</v>
      </c>
      <c r="AO50" s="10">
        <f>+INDEX('QoE PF Adj. P&amp;L Aug-26'!$D$11:$AI$108,MATCH($C50,'QoE PF Adj. P&amp;L Aug-26'!$C$11:$C$108,0),MATCH(AO$8,'QoE PF Adj. P&amp;L Aug-26'!$D$8:$AI$8,0))*1000</f>
        <v>1800</v>
      </c>
      <c r="AP50" s="10">
        <f>+SUMIFS('Sep - Nov P&amp;L'!I:I,'Sep - Nov P&amp;L'!$D:$D,$C50)</f>
        <v>0</v>
      </c>
      <c r="AQ50" s="10">
        <f>+SUMIFS('Sep - Nov P&amp;L'!J:J,'Sep - Nov P&amp;L'!$D:$D,$C50)</f>
        <v>0</v>
      </c>
      <c r="AR50" s="10">
        <f>+SUMIFS('Sep - Nov P&amp;L'!K:K,'Sep - Nov P&amp;L'!$D:$D,$C50)</f>
        <v>0</v>
      </c>
      <c r="AS50" s="20">
        <f>+AS$10*AS158</f>
        <v>1937.02476030179</v>
      </c>
      <c r="AT50" s="20">
        <f>+AT$10*AT158</f>
        <v>1768.5273966387</v>
      </c>
      <c r="AU50" s="20">
        <f>+AU$10*AU158</f>
        <v>1684.27871480715</v>
      </c>
      <c r="AV50" s="20">
        <f>+AV$10*AV158</f>
        <v>1989.74076030179</v>
      </c>
      <c r="AW50" s="20">
        <f>+AW$10*AW158</f>
        <v>2028.38076030179</v>
      </c>
      <c r="AX50" s="20">
        <f>+AX$10*AX158</f>
        <v>1887.2193966387</v>
      </c>
      <c r="AY50" s="20">
        <f>+AY$10*AY158</f>
        <v>2017.09140637329</v>
      </c>
      <c r="AZ50" s="20">
        <f>+AZ$10*AZ158</f>
        <v>2057.06273427633</v>
      </c>
      <c r="BA50" s="20">
        <f>+BA$10*BA158</f>
        <v>2097.03406217938</v>
      </c>
      <c r="BB50" s="20">
        <f>+BB$10*BB158</f>
        <v>2147.10339008242</v>
      </c>
      <c r="BC50" s="20">
        <f>+BC$10*BC158</f>
        <v>2187.07471798546</v>
      </c>
      <c r="BD50" s="20">
        <f>+BD$10*BD158</f>
        <v>2125.91144223318</v>
      </c>
      <c r="BE50" s="20">
        <f>+BE$10*BE158</f>
        <v>2370.0636180548</v>
      </c>
      <c r="BF50" s="20">
        <f>+BF$10*BF158</f>
        <v>2307.60737379154</v>
      </c>
      <c r="BG50" s="20">
        <f>+BG$10*BG158</f>
        <v>2344.56737379154</v>
      </c>
      <c r="BH50" s="20">
        <f>+BH$10*BH158</f>
        <v>2557.70986231805</v>
      </c>
      <c r="BI50" s="20">
        <f>+BI$10*BI158</f>
        <v>2237.99612952829</v>
      </c>
      <c r="BJ50" s="20">
        <f>+BJ$10*BJ158</f>
        <v>2344.56737379154</v>
      </c>
      <c r="BK50" s="20">
        <f>+BK$10*BK158</f>
        <v>2451.1386180548</v>
      </c>
      <c r="BL50" s="20">
        <f>+BL$10*BL158</f>
        <v>2237.99612952829</v>
      </c>
      <c r="BM50" s="20">
        <f>+BM$10*BM158</f>
        <v>2557.70986231805</v>
      </c>
      <c r="BN50" s="20">
        <f>+BN$10*BN158</f>
        <v>2344.56737379154</v>
      </c>
      <c r="BO50" s="20">
        <f>+BO$10*BO158</f>
        <v>2344.56737379154</v>
      </c>
      <c r="BP50" s="20">
        <f>+BP$10*BP158</f>
        <v>2344.56737379154</v>
      </c>
      <c r="BQ50" s="20">
        <f>+BQ$10*BQ158</f>
        <v>2344.56737379154</v>
      </c>
    </row>
    <row r="51">
      <c r="B51" s="4" t="inlineStr">
        <is>
          <t>% rev</t>
        </is>
      </c>
      <c r="C51" s="3" t="inlineStr">
        <is>
          <t>Net Anesthesia</t>
        </is>
      </c>
      <c r="D51" s="20">
        <f>+SUMIFS($J51:$BQ51,$J$7:$BQ$7,D$8)</f>
        <v>6200</v>
      </c>
      <c r="E51" s="20">
        <f>+SUMIFS($J51:$BQ51,$J$7:$BQ$7,E$8)</f>
        <v>7100</v>
      </c>
      <c r="F51" s="20">
        <f>+SUMIFS($J51:$BQ51,$J$7:$BQ$7,F$8)</f>
        <v>5445.6749201006</v>
      </c>
      <c r="G51" s="20">
        <f>+SUMIFS($J51:$BQ51,$J$7:$BQ$7,G$8)</f>
        <v>8119.82946662433</v>
      </c>
      <c r="H51" s="20">
        <f>+SUMIFS($J51:$BQ51,$J$7:$BQ$7,H$8)</f>
        <v>9472.52073942943</v>
      </c>
      <c r="J51" s="10">
        <f>+INDEX('QoE PF Adj. P&amp;L Aug-26'!$D$11:$AI$108,MATCH($C51,'QoE PF Adj. P&amp;L Aug-26'!$C$11:$C$108,0),MATCH(J$8,'QoE PF Adj. P&amp;L Aug-26'!$D$8:$AI$8,0))*1000</f>
        <v>500</v>
      </c>
      <c r="K51" s="10">
        <f>+INDEX('QoE PF Adj. P&amp;L Aug-26'!$D$11:$AI$108,MATCH($C51,'QoE PF Adj. P&amp;L Aug-26'!$C$11:$C$108,0),MATCH(K$8,'QoE PF Adj. P&amp;L Aug-26'!$D$8:$AI$8,0))*1000</f>
        <v>500</v>
      </c>
      <c r="L51" s="10">
        <f>+INDEX('QoE PF Adj. P&amp;L Aug-26'!$D$11:$AI$108,MATCH($C51,'QoE PF Adj. P&amp;L Aug-26'!$C$11:$C$108,0),MATCH(L$8,'QoE PF Adj. P&amp;L Aug-26'!$D$8:$AI$8,0))*1000</f>
        <v>500</v>
      </c>
      <c r="M51" s="10">
        <f>+INDEX('QoE PF Adj. P&amp;L Aug-26'!$D$11:$AI$108,MATCH($C51,'QoE PF Adj. P&amp;L Aug-26'!$C$11:$C$108,0),MATCH(M$8,'QoE PF Adj. P&amp;L Aug-26'!$D$8:$AI$8,0))*1000</f>
        <v>500</v>
      </c>
      <c r="N51" s="10">
        <f>+INDEX('QoE PF Adj. P&amp;L Aug-26'!$D$11:$AI$108,MATCH($C51,'QoE PF Adj. P&amp;L Aug-26'!$C$11:$C$108,0),MATCH(N$8,'QoE PF Adj. P&amp;L Aug-26'!$D$8:$AI$8,0))*1000</f>
        <v>600</v>
      </c>
      <c r="O51" s="10">
        <f>+INDEX('QoE PF Adj. P&amp;L Aug-26'!$D$11:$AI$108,MATCH($C51,'QoE PF Adj. P&amp;L Aug-26'!$C$11:$C$108,0),MATCH(O$8,'QoE PF Adj. P&amp;L Aug-26'!$D$8:$AI$8,0))*1000</f>
        <v>500</v>
      </c>
      <c r="P51" s="10">
        <f>+INDEX('QoE PF Adj. P&amp;L Aug-26'!$D$11:$AI$108,MATCH($C51,'QoE PF Adj. P&amp;L Aug-26'!$C$11:$C$108,0),MATCH(P$8,'QoE PF Adj. P&amp;L Aug-26'!$D$8:$AI$8,0))*1000</f>
        <v>500</v>
      </c>
      <c r="Q51" s="10">
        <f>+INDEX('QoE PF Adj. P&amp;L Aug-26'!$D$11:$AI$108,MATCH($C51,'QoE PF Adj. P&amp;L Aug-26'!$C$11:$C$108,0),MATCH(Q$8,'QoE PF Adj. P&amp;L Aug-26'!$D$8:$AI$8,0))*1000</f>
        <v>500</v>
      </c>
      <c r="R51" s="10">
        <f>+INDEX('QoE PF Adj. P&amp;L Aug-26'!$D$11:$AI$108,MATCH($C51,'QoE PF Adj. P&amp;L Aug-26'!$C$11:$C$108,0),MATCH(R$8,'QoE PF Adj. P&amp;L Aug-26'!$D$8:$AI$8,0))*1000</f>
        <v>500</v>
      </c>
      <c r="S51" s="10">
        <f>+INDEX('QoE PF Adj. P&amp;L Aug-26'!$D$11:$AI$108,MATCH($C51,'QoE PF Adj. P&amp;L Aug-26'!$C$11:$C$108,0),MATCH(S$8,'QoE PF Adj. P&amp;L Aug-26'!$D$8:$AI$8,0))*1000</f>
        <v>600</v>
      </c>
      <c r="T51" s="10">
        <f>+INDEX('QoE PF Adj. P&amp;L Aug-26'!$D$11:$AI$108,MATCH($C51,'QoE PF Adj. P&amp;L Aug-26'!$C$11:$C$108,0),MATCH(T$8,'QoE PF Adj. P&amp;L Aug-26'!$D$8:$AI$8,0))*1000</f>
        <v>500</v>
      </c>
      <c r="U51" s="10">
        <f>+INDEX('QoE PF Adj. P&amp;L Aug-26'!$D$11:$AI$108,MATCH($C51,'QoE PF Adj. P&amp;L Aug-26'!$C$11:$C$108,0),MATCH(U$8,'QoE PF Adj. P&amp;L Aug-26'!$D$8:$AI$8,0))*1000</f>
        <v>500</v>
      </c>
      <c r="V51" s="10">
        <f>+INDEX('QoE PF Adj. P&amp;L Aug-26'!$D$11:$AI$108,MATCH($C51,'QoE PF Adj. P&amp;L Aug-26'!$C$11:$C$108,0),MATCH(V$8,'QoE PF Adj. P&amp;L Aug-26'!$D$8:$AI$8,0))*1000</f>
        <v>600</v>
      </c>
      <c r="W51" s="10">
        <f>+INDEX('QoE PF Adj. P&amp;L Aug-26'!$D$11:$AI$108,MATCH($C51,'QoE PF Adj. P&amp;L Aug-26'!$C$11:$C$108,0),MATCH(W$8,'QoE PF Adj. P&amp;L Aug-26'!$D$8:$AI$8,0))*1000</f>
        <v>500</v>
      </c>
      <c r="X51" s="10">
        <f>+INDEX('QoE PF Adj. P&amp;L Aug-26'!$D$11:$AI$108,MATCH($C51,'QoE PF Adj. P&amp;L Aug-26'!$C$11:$C$108,0),MATCH(X$8,'QoE PF Adj. P&amp;L Aug-26'!$D$8:$AI$8,0))*1000</f>
        <v>600</v>
      </c>
      <c r="Y51" s="10">
        <f>+INDEX('QoE PF Adj. P&amp;L Aug-26'!$D$11:$AI$108,MATCH($C51,'QoE PF Adj. P&amp;L Aug-26'!$C$11:$C$108,0),MATCH(Y$8,'QoE PF Adj. P&amp;L Aug-26'!$D$8:$AI$8,0))*1000</f>
        <v>600</v>
      </c>
      <c r="Z51" s="10">
        <f>+INDEX('QoE PF Adj. P&amp;L Aug-26'!$D$11:$AI$108,MATCH($C51,'QoE PF Adj. P&amp;L Aug-26'!$C$11:$C$108,0),MATCH(Z$8,'QoE PF Adj. P&amp;L Aug-26'!$D$8:$AI$8,0))*1000</f>
        <v>600</v>
      </c>
      <c r="AA51" s="10">
        <f>+INDEX('QoE PF Adj. P&amp;L Aug-26'!$D$11:$AI$108,MATCH($C51,'QoE PF Adj. P&amp;L Aug-26'!$C$11:$C$108,0),MATCH(AA$8,'QoE PF Adj. P&amp;L Aug-26'!$D$8:$AI$8,0))*1000</f>
        <v>500</v>
      </c>
      <c r="AB51" s="10">
        <f>+INDEX('QoE PF Adj. P&amp;L Aug-26'!$D$11:$AI$108,MATCH($C51,'QoE PF Adj. P&amp;L Aug-26'!$C$11:$C$108,0),MATCH(AB$8,'QoE PF Adj. P&amp;L Aug-26'!$D$8:$AI$8,0))*1000</f>
        <v>600</v>
      </c>
      <c r="AC51" s="10">
        <f>+INDEX('QoE PF Adj. P&amp;L Aug-26'!$D$11:$AI$108,MATCH($C51,'QoE PF Adj. P&amp;L Aug-26'!$C$11:$C$108,0),MATCH(AC$8,'QoE PF Adj. P&amp;L Aug-26'!$D$8:$AI$8,0))*1000</f>
        <v>600</v>
      </c>
      <c r="AD51" s="10">
        <f>+INDEX('QoE PF Adj. P&amp;L Aug-26'!$D$11:$AI$108,MATCH($C51,'QoE PF Adj. P&amp;L Aug-26'!$C$11:$C$108,0),MATCH(AD$8,'QoE PF Adj. P&amp;L Aug-26'!$D$8:$AI$8,0))*1000</f>
        <v>600</v>
      </c>
      <c r="AE51" s="10">
        <f>+INDEX('QoE PF Adj. P&amp;L Aug-26'!$D$11:$AI$108,MATCH($C51,'QoE PF Adj. P&amp;L Aug-26'!$C$11:$C$108,0),MATCH(AE$8,'QoE PF Adj. P&amp;L Aug-26'!$D$8:$AI$8,0))*1000</f>
        <v>700</v>
      </c>
      <c r="AF51" s="10">
        <f>+INDEX('QoE PF Adj. P&amp;L Aug-26'!$D$11:$AI$108,MATCH($C51,'QoE PF Adj. P&amp;L Aug-26'!$C$11:$C$108,0),MATCH(AF$8,'QoE PF Adj. P&amp;L Aug-26'!$D$8:$AI$8,0))*1000</f>
        <v>600</v>
      </c>
      <c r="AG51" s="10">
        <f>+INDEX('QoE PF Adj. P&amp;L Aug-26'!$D$11:$AI$108,MATCH($C51,'QoE PF Adj. P&amp;L Aug-26'!$C$11:$C$108,0),MATCH(AG$8,'QoE PF Adj. P&amp;L Aug-26'!$D$8:$AI$8,0))*1000</f>
        <v>600</v>
      </c>
      <c r="AH51" s="10">
        <f>+INDEX('QoE PF Adj. P&amp;L Aug-26'!$D$11:$AI$108,MATCH($C51,'QoE PF Adj. P&amp;L Aug-26'!$C$11:$C$108,0),MATCH(AH$8,'QoE PF Adj. P&amp;L Aug-26'!$D$8:$AI$8,0))*1000</f>
        <v>600</v>
      </c>
      <c r="AI51" s="10">
        <f>+INDEX('QoE PF Adj. P&amp;L Aug-26'!$D$11:$AI$108,MATCH($C51,'QoE PF Adj. P&amp;L Aug-26'!$C$11:$C$108,0),MATCH(AI$8,'QoE PF Adj. P&amp;L Aug-26'!$D$8:$AI$8,0))*1000</f>
        <v>500</v>
      </c>
      <c r="AJ51" s="10">
        <f>+INDEX('QoE PF Adj. P&amp;L Aug-26'!$D$11:$AI$108,MATCH($C51,'QoE PF Adj. P&amp;L Aug-26'!$C$11:$C$108,0),MATCH(AJ$8,'QoE PF Adj. P&amp;L Aug-26'!$D$8:$AI$8,0))*1000</f>
        <v>600</v>
      </c>
      <c r="AK51" s="10">
        <f>+INDEX('QoE PF Adj. P&amp;L Aug-26'!$D$11:$AI$108,MATCH($C51,'QoE PF Adj. P&amp;L Aug-26'!$C$11:$C$108,0),MATCH(AK$8,'QoE PF Adj. P&amp;L Aug-26'!$D$8:$AI$8,0))*1000</f>
        <v>600</v>
      </c>
      <c r="AL51" s="10">
        <f>+INDEX('QoE PF Adj. P&amp;L Aug-26'!$D$11:$AI$108,MATCH($C51,'QoE PF Adj. P&amp;L Aug-26'!$C$11:$C$108,0),MATCH(AL$8,'QoE PF Adj. P&amp;L Aug-26'!$D$8:$AI$8,0))*1000</f>
        <v>600</v>
      </c>
      <c r="AM51" s="10">
        <f>+INDEX('QoE PF Adj. P&amp;L Aug-26'!$D$11:$AI$108,MATCH($C51,'QoE PF Adj. P&amp;L Aug-26'!$C$11:$C$108,0),MATCH(AM$8,'QoE PF Adj. P&amp;L Aug-26'!$D$8:$AI$8,0))*1000</f>
        <v>600</v>
      </c>
      <c r="AN51" s="10">
        <f>+INDEX('QoE PF Adj. P&amp;L Aug-26'!$D$11:$AI$108,MATCH($C51,'QoE PF Adj. P&amp;L Aug-26'!$C$11:$C$108,0),MATCH(AN$8,'QoE PF Adj. P&amp;L Aug-26'!$D$8:$AI$8,0))*1000</f>
        <v>700</v>
      </c>
      <c r="AO51" s="10">
        <f>+INDEX('QoE PF Adj. P&amp;L Aug-26'!$D$11:$AI$108,MATCH($C51,'QoE PF Adj. P&amp;L Aug-26'!$C$11:$C$108,0),MATCH(AO$8,'QoE PF Adj. P&amp;L Aug-26'!$D$8:$AI$8,0))*1000</f>
        <v>600</v>
      </c>
      <c r="AP51" s="10">
        <f>+SUMIFS('Sep - Nov P&amp;L'!I:I,'Sep - Nov P&amp;L'!$D:$D,$C51)</f>
        <v>0</v>
      </c>
      <c r="AQ51" s="10">
        <f>+SUMIFS('Sep - Nov P&amp;L'!J:J,'Sep - Nov P&amp;L'!$D:$D,$C51)</f>
        <v>0</v>
      </c>
      <c r="AR51" s="10">
        <f>+SUMIFS('Sep - Nov P&amp;L'!K:K,'Sep - Nov P&amp;L'!$D:$D,$C51)</f>
        <v>0</v>
      </c>
      <c r="AS51" s="20">
        <f>+AS$10*AS159</f>
        <v>645.674920100598</v>
      </c>
      <c r="AT51" s="20">
        <f>+AT$10*AT159</f>
        <v>589.5091322129</v>
      </c>
      <c r="AU51" s="20">
        <f>+AU$10*AU159</f>
        <v>561.426238269051</v>
      </c>
      <c r="AV51" s="20">
        <f>+AV$10*AV159</f>
        <v>663.246920100598</v>
      </c>
      <c r="AW51" s="20">
        <f>+AW$10*AW159</f>
        <v>676.126920100598</v>
      </c>
      <c r="AX51" s="20">
        <f>+AX$10*AX159</f>
        <v>629.0731322129</v>
      </c>
      <c r="AY51" s="20">
        <f>+AY$10*AY159</f>
        <v>672.36380212443</v>
      </c>
      <c r="AZ51" s="20">
        <f>+AZ$10*AZ159</f>
        <v>685.687578092111</v>
      </c>
      <c r="BA51" s="20">
        <f>+BA$10*BA159</f>
        <v>699.011354059792</v>
      </c>
      <c r="BB51" s="20">
        <f>+BB$10*BB159</f>
        <v>715.701130027473</v>
      </c>
      <c r="BC51" s="20">
        <f>+BC$10*BC159</f>
        <v>729.024905995153</v>
      </c>
      <c r="BD51" s="20">
        <f>+BD$10*BD159</f>
        <v>708.637147411059</v>
      </c>
      <c r="BE51" s="20">
        <f>+BE$10*BE159</f>
        <v>790.021206018266</v>
      </c>
      <c r="BF51" s="20">
        <f>+BF$10*BF159</f>
        <v>769.202457930515</v>
      </c>
      <c r="BG51" s="20">
        <f>+BG$10*BG159</f>
        <v>781.522457930515</v>
      </c>
      <c r="BH51" s="20">
        <f>+BH$10*BH159</f>
        <v>852.569954106016</v>
      </c>
      <c r="BI51" s="20">
        <f>+BI$10*BI159</f>
        <v>745.998709842764</v>
      </c>
      <c r="BJ51" s="20">
        <f>+BJ$10*BJ159</f>
        <v>781.522457930515</v>
      </c>
      <c r="BK51" s="20">
        <f>+BK$10*BK159</f>
        <v>817.046206018266</v>
      </c>
      <c r="BL51" s="20">
        <f>+BL$10*BL159</f>
        <v>745.998709842764</v>
      </c>
      <c r="BM51" s="20">
        <f>+BM$10*BM159</f>
        <v>852.569954106016</v>
      </c>
      <c r="BN51" s="20">
        <f>+BN$10*BN159</f>
        <v>781.522457930515</v>
      </c>
      <c r="BO51" s="20">
        <f>+BO$10*BO159</f>
        <v>781.522457930515</v>
      </c>
      <c r="BP51" s="20">
        <f>+BP$10*BP159</f>
        <v>781.522457930515</v>
      </c>
      <c r="BQ51" s="20">
        <f>+BQ$10*BQ159</f>
        <v>781.522457930515</v>
      </c>
    </row>
    <row r="52">
      <c r="B52" s="4" t="inlineStr">
        <is>
          <t>% rev</t>
        </is>
      </c>
      <c r="C52" s="3" t="inlineStr">
        <is>
          <t>Transcription Expense</t>
        </is>
      </c>
      <c r="D52" s="20">
        <f>+SUMIFS($J52:$BQ52,$J$7:$BQ$7,D$8)</f>
        <v>38200</v>
      </c>
      <c r="E52" s="20">
        <f>+SUMIFS($J52:$BQ52,$J$7:$BQ$7,E$8)</f>
        <v>41100</v>
      </c>
      <c r="F52" s="20">
        <f>+SUMIFS($J52:$BQ52,$J$7:$BQ$7,F$8)</f>
        <v>33074.0495206036</v>
      </c>
      <c r="G52" s="20">
        <f>+SUMIFS($J52:$BQ52,$J$7:$BQ$7,G$8)</f>
        <v>48718.976799746</v>
      </c>
      <c r="H52" s="20">
        <f>+SUMIFS($J52:$BQ52,$J$7:$BQ$7,H$8)</f>
        <v>56835.1244365766</v>
      </c>
      <c r="J52" s="10">
        <f>+INDEX('QoE PF Adj. P&amp;L Aug-26'!$D$11:$AI$108,MATCH($C52,'QoE PF Adj. P&amp;L Aug-26'!$C$11:$C$108,0),MATCH(J$8,'QoE PF Adj. P&amp;L Aug-26'!$D$8:$AI$8,0))*1000</f>
        <v>3000</v>
      </c>
      <c r="K52" s="10">
        <f>+INDEX('QoE PF Adj. P&amp;L Aug-26'!$D$11:$AI$108,MATCH($C52,'QoE PF Adj. P&amp;L Aug-26'!$C$11:$C$108,0),MATCH(K$8,'QoE PF Adj. P&amp;L Aug-26'!$D$8:$AI$8,0))*1000</f>
        <v>2900</v>
      </c>
      <c r="L52" s="10">
        <f>+INDEX('QoE PF Adj. P&amp;L Aug-26'!$D$11:$AI$108,MATCH($C52,'QoE PF Adj. P&amp;L Aug-26'!$C$11:$C$108,0),MATCH(L$8,'QoE PF Adj. P&amp;L Aug-26'!$D$8:$AI$8,0))*1000</f>
        <v>3000</v>
      </c>
      <c r="M52" s="10">
        <f>+INDEX('QoE PF Adj. P&amp;L Aug-26'!$D$11:$AI$108,MATCH($C52,'QoE PF Adj. P&amp;L Aug-26'!$C$11:$C$108,0),MATCH(M$8,'QoE PF Adj. P&amp;L Aug-26'!$D$8:$AI$8,0))*1000</f>
        <v>3200</v>
      </c>
      <c r="N52" s="10">
        <f>+INDEX('QoE PF Adj. P&amp;L Aug-26'!$D$11:$AI$108,MATCH($C52,'QoE PF Adj. P&amp;L Aug-26'!$C$11:$C$108,0),MATCH(N$8,'QoE PF Adj. P&amp;L Aug-26'!$D$8:$AI$8,0))*1000</f>
        <v>3600</v>
      </c>
      <c r="O52" s="10">
        <f>+INDEX('QoE PF Adj. P&amp;L Aug-26'!$D$11:$AI$108,MATCH($C52,'QoE PF Adj. P&amp;L Aug-26'!$C$11:$C$108,0),MATCH(O$8,'QoE PF Adj. P&amp;L Aug-26'!$D$8:$AI$8,0))*1000</f>
        <v>3000</v>
      </c>
      <c r="P52" s="10">
        <f>+INDEX('QoE PF Adj. P&amp;L Aug-26'!$D$11:$AI$108,MATCH($C52,'QoE PF Adj. P&amp;L Aug-26'!$C$11:$C$108,0),MATCH(P$8,'QoE PF Adj. P&amp;L Aug-26'!$D$8:$AI$8,0))*1000</f>
        <v>3100</v>
      </c>
      <c r="Q52" s="10">
        <f>+INDEX('QoE PF Adj. P&amp;L Aug-26'!$D$11:$AI$108,MATCH($C52,'QoE PF Adj. P&amp;L Aug-26'!$C$11:$C$108,0),MATCH(Q$8,'QoE PF Adj. P&amp;L Aug-26'!$D$8:$AI$8,0))*1000</f>
        <v>3200</v>
      </c>
      <c r="R52" s="10">
        <f>+INDEX('QoE PF Adj. P&amp;L Aug-26'!$D$11:$AI$108,MATCH($C52,'QoE PF Adj. P&amp;L Aug-26'!$C$11:$C$108,0),MATCH(R$8,'QoE PF Adj. P&amp;L Aug-26'!$D$8:$AI$8,0))*1000</f>
        <v>3200</v>
      </c>
      <c r="S52" s="10">
        <f>+INDEX('QoE PF Adj. P&amp;L Aug-26'!$D$11:$AI$108,MATCH($C52,'QoE PF Adj. P&amp;L Aug-26'!$C$11:$C$108,0),MATCH(S$8,'QoE PF Adj. P&amp;L Aug-26'!$D$8:$AI$8,0))*1000</f>
        <v>3700</v>
      </c>
      <c r="T52" s="10">
        <f>+INDEX('QoE PF Adj. P&amp;L Aug-26'!$D$11:$AI$108,MATCH($C52,'QoE PF Adj. P&amp;L Aug-26'!$C$11:$C$108,0),MATCH(T$8,'QoE PF Adj. P&amp;L Aug-26'!$D$8:$AI$8,0))*1000</f>
        <v>3200</v>
      </c>
      <c r="U52" s="10">
        <f>+INDEX('QoE PF Adj. P&amp;L Aug-26'!$D$11:$AI$108,MATCH($C52,'QoE PF Adj. P&amp;L Aug-26'!$C$11:$C$108,0),MATCH(U$8,'QoE PF Adj. P&amp;L Aug-26'!$D$8:$AI$8,0))*1000</f>
        <v>3100</v>
      </c>
      <c r="V52" s="10">
        <f>+INDEX('QoE PF Adj. P&amp;L Aug-26'!$D$11:$AI$108,MATCH($C52,'QoE PF Adj. P&amp;L Aug-26'!$C$11:$C$108,0),MATCH(V$8,'QoE PF Adj. P&amp;L Aug-26'!$D$8:$AI$8,0))*1000</f>
        <v>3400</v>
      </c>
      <c r="W52" s="10">
        <f>+INDEX('QoE PF Adj. P&amp;L Aug-26'!$D$11:$AI$108,MATCH($C52,'QoE PF Adj. P&amp;L Aug-26'!$C$11:$C$108,0),MATCH(W$8,'QoE PF Adj. P&amp;L Aug-26'!$D$8:$AI$8,0))*1000</f>
        <v>2900</v>
      </c>
      <c r="X52" s="10">
        <f>+INDEX('QoE PF Adj. P&amp;L Aug-26'!$D$11:$AI$108,MATCH($C52,'QoE PF Adj. P&amp;L Aug-26'!$C$11:$C$108,0),MATCH(X$8,'QoE PF Adj. P&amp;L Aug-26'!$D$8:$AI$8,0))*1000</f>
        <v>3400</v>
      </c>
      <c r="Y52" s="10">
        <f>+INDEX('QoE PF Adj. P&amp;L Aug-26'!$D$11:$AI$108,MATCH($C52,'QoE PF Adj. P&amp;L Aug-26'!$C$11:$C$108,0),MATCH(Y$8,'QoE PF Adj. P&amp;L Aug-26'!$D$8:$AI$8,0))*1000</f>
        <v>3400</v>
      </c>
      <c r="Z52" s="10">
        <f>+INDEX('QoE PF Adj. P&amp;L Aug-26'!$D$11:$AI$108,MATCH($C52,'QoE PF Adj. P&amp;L Aug-26'!$C$11:$C$108,0),MATCH(Z$8,'QoE PF Adj. P&amp;L Aug-26'!$D$8:$AI$8,0))*1000</f>
        <v>3500</v>
      </c>
      <c r="AA52" s="10">
        <f>+INDEX('QoE PF Adj. P&amp;L Aug-26'!$D$11:$AI$108,MATCH($C52,'QoE PF Adj. P&amp;L Aug-26'!$C$11:$C$108,0),MATCH(AA$8,'QoE PF Adj. P&amp;L Aug-26'!$D$8:$AI$8,0))*1000</f>
        <v>3300</v>
      </c>
      <c r="AB52" s="10">
        <f>+INDEX('QoE PF Adj. P&amp;L Aug-26'!$D$11:$AI$108,MATCH($C52,'QoE PF Adj. P&amp;L Aug-26'!$C$11:$C$108,0),MATCH(AB$8,'QoE PF Adj. P&amp;L Aug-26'!$D$8:$AI$8,0))*1000</f>
        <v>3500</v>
      </c>
      <c r="AC52" s="10">
        <f>+INDEX('QoE PF Adj. P&amp;L Aug-26'!$D$11:$AI$108,MATCH($C52,'QoE PF Adj. P&amp;L Aug-26'!$C$11:$C$108,0),MATCH(AC$8,'QoE PF Adj. P&amp;L Aug-26'!$D$8:$AI$8,0))*1000</f>
        <v>3400</v>
      </c>
      <c r="AD52" s="10">
        <f>+INDEX('QoE PF Adj. P&amp;L Aug-26'!$D$11:$AI$108,MATCH($C52,'QoE PF Adj. P&amp;L Aug-26'!$C$11:$C$108,0),MATCH(AD$8,'QoE PF Adj. P&amp;L Aug-26'!$D$8:$AI$8,0))*1000</f>
        <v>3400</v>
      </c>
      <c r="AE52" s="10">
        <f>+INDEX('QoE PF Adj. P&amp;L Aug-26'!$D$11:$AI$108,MATCH($C52,'QoE PF Adj. P&amp;L Aug-26'!$C$11:$C$108,0),MATCH(AE$8,'QoE PF Adj. P&amp;L Aug-26'!$D$8:$AI$8,0))*1000</f>
        <v>3900</v>
      </c>
      <c r="AF52" s="10">
        <f>+INDEX('QoE PF Adj. P&amp;L Aug-26'!$D$11:$AI$108,MATCH($C52,'QoE PF Adj. P&amp;L Aug-26'!$C$11:$C$108,0),MATCH(AF$8,'QoE PF Adj. P&amp;L Aug-26'!$D$8:$AI$8,0))*1000</f>
        <v>3300</v>
      </c>
      <c r="AG52" s="10">
        <f>+INDEX('QoE PF Adj. P&amp;L Aug-26'!$D$11:$AI$108,MATCH($C52,'QoE PF Adj. P&amp;L Aug-26'!$C$11:$C$108,0),MATCH(AG$8,'QoE PF Adj. P&amp;L Aug-26'!$D$8:$AI$8,0))*1000</f>
        <v>3700</v>
      </c>
      <c r="AH52" s="10">
        <f>+INDEX('QoE PF Adj. P&amp;L Aug-26'!$D$11:$AI$108,MATCH($C52,'QoE PF Adj. P&amp;L Aug-26'!$C$11:$C$108,0),MATCH(AH$8,'QoE PF Adj. P&amp;L Aug-26'!$D$8:$AI$8,0))*1000</f>
        <v>3600</v>
      </c>
      <c r="AI52" s="10">
        <f>+INDEX('QoE PF Adj. P&amp;L Aug-26'!$D$11:$AI$108,MATCH($C52,'QoE PF Adj. P&amp;L Aug-26'!$C$11:$C$108,0),MATCH(AI$8,'QoE PF Adj. P&amp;L Aug-26'!$D$8:$AI$8,0))*1000</f>
        <v>3000</v>
      </c>
      <c r="AJ52" s="10">
        <f>+INDEX('QoE PF Adj. P&amp;L Aug-26'!$D$11:$AI$108,MATCH($C52,'QoE PF Adj. P&amp;L Aug-26'!$C$11:$C$108,0),MATCH(AJ$8,'QoE PF Adj. P&amp;L Aug-26'!$D$8:$AI$8,0))*1000</f>
        <v>3600</v>
      </c>
      <c r="AK52" s="10">
        <f>+INDEX('QoE PF Adj. P&amp;L Aug-26'!$D$11:$AI$108,MATCH($C52,'QoE PF Adj. P&amp;L Aug-26'!$C$11:$C$108,0),MATCH(AK$8,'QoE PF Adj. P&amp;L Aug-26'!$D$8:$AI$8,0))*1000</f>
        <v>3800</v>
      </c>
      <c r="AL52" s="10">
        <f>+INDEX('QoE PF Adj. P&amp;L Aug-26'!$D$11:$AI$108,MATCH($C52,'QoE PF Adj. P&amp;L Aug-26'!$C$11:$C$108,0),MATCH(AL$8,'QoE PF Adj. P&amp;L Aug-26'!$D$8:$AI$8,0))*1000</f>
        <v>3900</v>
      </c>
      <c r="AM52" s="10">
        <f>+INDEX('QoE PF Adj. P&amp;L Aug-26'!$D$11:$AI$108,MATCH($C52,'QoE PF Adj. P&amp;L Aug-26'!$C$11:$C$108,0),MATCH(AM$8,'QoE PF Adj. P&amp;L Aug-26'!$D$8:$AI$8,0))*1000</f>
        <v>3700</v>
      </c>
      <c r="AN52" s="10">
        <f>+INDEX('QoE PF Adj. P&amp;L Aug-26'!$D$11:$AI$108,MATCH($C52,'QoE PF Adj. P&amp;L Aug-26'!$C$11:$C$108,0),MATCH(AN$8,'QoE PF Adj. P&amp;L Aug-26'!$D$8:$AI$8,0))*1000</f>
        <v>3900</v>
      </c>
      <c r="AO52" s="10">
        <f>+INDEX('QoE PF Adj. P&amp;L Aug-26'!$D$11:$AI$108,MATCH($C52,'QoE PF Adj. P&amp;L Aug-26'!$C$11:$C$108,0),MATCH(AO$8,'QoE PF Adj. P&amp;L Aug-26'!$D$8:$AI$8,0))*1000</f>
        <v>3700</v>
      </c>
      <c r="AP52" s="10">
        <f>+SUMIFS('Sep - Nov P&amp;L'!I:I,'Sep - Nov P&amp;L'!$D:$D,$C52)</f>
        <v>0</v>
      </c>
      <c r="AQ52" s="10">
        <f>+SUMIFS('Sep - Nov P&amp;L'!J:J,'Sep - Nov P&amp;L'!$D:$D,$C52)</f>
        <v>0</v>
      </c>
      <c r="AR52" s="10">
        <f>+SUMIFS('Sep - Nov P&amp;L'!K:K,'Sep - Nov P&amp;L'!$D:$D,$C52)</f>
        <v>0</v>
      </c>
      <c r="AS52" s="20">
        <f>+AS$10*AS160</f>
        <v>3874.04952060359</v>
      </c>
      <c r="AT52" s="20">
        <f>+AT$10*AT160</f>
        <v>3537.0547932774</v>
      </c>
      <c r="AU52" s="20">
        <f>+AU$10*AU160</f>
        <v>3368.55742961431</v>
      </c>
      <c r="AV52" s="20">
        <f>+AV$10*AV160</f>
        <v>3979.48152060359</v>
      </c>
      <c r="AW52" s="20">
        <f>+AW$10*AW160</f>
        <v>4056.76152060359</v>
      </c>
      <c r="AX52" s="20">
        <f>+AX$10*AX160</f>
        <v>3774.4387932774</v>
      </c>
      <c r="AY52" s="20">
        <f>+AY$10*AY160</f>
        <v>4034.18281274658</v>
      </c>
      <c r="AZ52" s="20">
        <f>+AZ$10*AZ160</f>
        <v>4114.12546855267</v>
      </c>
      <c r="BA52" s="20">
        <f>+BA$10*BA160</f>
        <v>4194.06812435875</v>
      </c>
      <c r="BB52" s="20">
        <f>+BB$10*BB160</f>
        <v>4294.20678016483</v>
      </c>
      <c r="BC52" s="20">
        <f>+BC$10*BC160</f>
        <v>4374.14943597092</v>
      </c>
      <c r="BD52" s="20">
        <f>+BD$10*BD160</f>
        <v>4251.82288446635</v>
      </c>
      <c r="BE52" s="20">
        <f>+BE$10*BE160</f>
        <v>4740.12723610959</v>
      </c>
      <c r="BF52" s="20">
        <f>+BF$10*BF160</f>
        <v>4615.21474758309</v>
      </c>
      <c r="BG52" s="20">
        <f>+BG$10*BG160</f>
        <v>4689.13474758309</v>
      </c>
      <c r="BH52" s="20">
        <f>+BH$10*BH160</f>
        <v>5115.4197246361</v>
      </c>
      <c r="BI52" s="20">
        <f>+BI$10*BI160</f>
        <v>4475.99225905659</v>
      </c>
      <c r="BJ52" s="20">
        <f>+BJ$10*BJ160</f>
        <v>4689.13474758309</v>
      </c>
      <c r="BK52" s="20">
        <f>+BK$10*BK160</f>
        <v>4902.27723610959</v>
      </c>
      <c r="BL52" s="20">
        <f>+BL$10*BL160</f>
        <v>4475.99225905659</v>
      </c>
      <c r="BM52" s="20">
        <f>+BM$10*BM160</f>
        <v>5115.4197246361</v>
      </c>
      <c r="BN52" s="20">
        <f>+BN$10*BN160</f>
        <v>4689.13474758309</v>
      </c>
      <c r="BO52" s="20">
        <f>+BO$10*BO160</f>
        <v>4689.13474758309</v>
      </c>
      <c r="BP52" s="20">
        <f>+BP$10*BP160</f>
        <v>4689.13474758309</v>
      </c>
      <c r="BQ52" s="20">
        <f>+BQ$10*BQ160</f>
        <v>4689.13474758309</v>
      </c>
    </row>
    <row r="53">
      <c r="C53" s="2" t="inlineStr">
        <is>
          <t>Total Ancillary Services &amp; Supplies</t>
        </is>
      </c>
      <c r="D53" s="15">
        <f>+SUMIFS($J53:$BQ53,$J$7:$BQ$7,D$8)</f>
        <v>881800</v>
      </c>
      <c r="E53" s="15">
        <f>+SUMIFS($J53:$BQ53,$J$7:$BQ$7,E$8)</f>
        <v>959400</v>
      </c>
      <c r="F53" s="15">
        <f>+SUMIFS($J53:$BQ53,$J$7:$BQ$7,F$8)</f>
        <v>1058631.71373418</v>
      </c>
      <c r="G53" s="15">
        <f>+SUMIFS($J53:$BQ53,$J$7:$BQ$7,G$8)</f>
        <v>1144895.95479403</v>
      </c>
      <c r="H53" s="15">
        <f>+SUMIFS($J53:$BQ53,$J$7:$BQ$7,H$8)</f>
        <v>1335625.42425955</v>
      </c>
      <c r="J53" s="15">
        <f>SUM(J48:J52)</f>
        <v>71400</v>
      </c>
      <c r="K53" s="15">
        <f>SUM(K48:K52)</f>
        <v>67300</v>
      </c>
      <c r="L53" s="15">
        <f>SUM(L48:L52)</f>
        <v>71200</v>
      </c>
      <c r="M53" s="15">
        <f>SUM(M48:M52)</f>
        <v>71000</v>
      </c>
      <c r="N53" s="15">
        <f>SUM(N48:N52)</f>
        <v>83200</v>
      </c>
      <c r="O53" s="15">
        <f>SUM(O48:O52)</f>
        <v>66100</v>
      </c>
      <c r="P53" s="15">
        <f>SUM(P48:P52)</f>
        <v>77200</v>
      </c>
      <c r="Q53" s="15">
        <f>SUM(Q48:Q52)</f>
        <v>79000</v>
      </c>
      <c r="R53" s="15">
        <f>SUM(R48:R52)</f>
        <v>70700</v>
      </c>
      <c r="S53" s="15">
        <f>SUM(S48:S52)</f>
        <v>82600</v>
      </c>
      <c r="T53" s="15">
        <f>SUM(T48:T52)</f>
        <v>71700</v>
      </c>
      <c r="U53" s="15">
        <f>SUM(U48:U52)</f>
        <v>70400</v>
      </c>
      <c r="V53" s="15">
        <f>SUM(V48:V52)</f>
        <v>79200</v>
      </c>
      <c r="W53" s="15">
        <f>SUM(W48:W52)</f>
        <v>69200</v>
      </c>
      <c r="X53" s="15">
        <f>SUM(X48:X52)</f>
        <v>73300</v>
      </c>
      <c r="Y53" s="15">
        <f>SUM(Y48:Y52)</f>
        <v>84100</v>
      </c>
      <c r="Z53" s="15">
        <f>SUM(Z48:Z52)</f>
        <v>85200</v>
      </c>
      <c r="AA53" s="15">
        <f>SUM(AA48:AA52)</f>
        <v>74600</v>
      </c>
      <c r="AB53" s="15">
        <f>SUM(AB48:AB52)</f>
        <v>82500</v>
      </c>
      <c r="AC53" s="15">
        <f>SUM(AC48:AC52)</f>
        <v>79000</v>
      </c>
      <c r="AD53" s="15">
        <f>SUM(AD48:AD52)</f>
        <v>78100</v>
      </c>
      <c r="AE53" s="15">
        <f>SUM(AE48:AE52)</f>
        <v>92300</v>
      </c>
      <c r="AF53" s="15">
        <f>SUM(AF48:AF52)</f>
        <v>81400</v>
      </c>
      <c r="AG53" s="15">
        <f>SUM(AG48:AG52)</f>
        <v>80500</v>
      </c>
      <c r="AH53" s="15">
        <f>SUM(AH48:AH52)</f>
        <v>87700</v>
      </c>
      <c r="AI53" s="15">
        <f>SUM(AI48:AI52)</f>
        <v>73500</v>
      </c>
      <c r="AJ53" s="15">
        <f>SUM(AJ48:AJ52)</f>
        <v>87700</v>
      </c>
      <c r="AK53" s="15">
        <f>SUM(AK48:AK52)</f>
        <v>92300</v>
      </c>
      <c r="AL53" s="15">
        <f>SUM(AL48:AL52)</f>
        <v>85500</v>
      </c>
      <c r="AM53" s="15">
        <f>SUM(AM48:AM52)</f>
        <v>80500</v>
      </c>
      <c r="AN53" s="15">
        <f>SUM(AN48:AN52)</f>
        <v>87600</v>
      </c>
      <c r="AO53" s="15">
        <f>SUM(AO48:AO52)</f>
        <v>89000</v>
      </c>
      <c r="AP53" s="15">
        <f>SUM(AP48:AP52)</f>
        <v>95737.01</v>
      </c>
      <c r="AQ53" s="15">
        <f>SUM(AQ48:AQ52)</f>
        <v>98805.44</v>
      </c>
      <c r="AR53" s="15">
        <f>SUM(AR48:AR52)</f>
        <v>89249.1</v>
      </c>
      <c r="AS53" s="15">
        <f>SUM(AS48:AS52)</f>
        <v>91040.1637341843</v>
      </c>
      <c r="AT53" s="15">
        <f>SUM(AT48:AT52)</f>
        <v>83120.7876420189</v>
      </c>
      <c r="AU53" s="15">
        <f>SUM(AU48:AU52)</f>
        <v>79161.0995959363</v>
      </c>
      <c r="AV53" s="15">
        <f>SUM(AV48:AV52)</f>
        <v>93517.8157341843</v>
      </c>
      <c r="AW53" s="15">
        <f>SUM(AW48:AW52)</f>
        <v>95333.8957341843</v>
      </c>
      <c r="AX53" s="15">
        <f>SUM(AX48:AX52)</f>
        <v>88699.3116420189</v>
      </c>
      <c r="AY53" s="15">
        <f>SUM(AY48:AY52)</f>
        <v>94803.2960995446</v>
      </c>
      <c r="AZ53" s="15">
        <f>SUM(AZ48:AZ52)</f>
        <v>96681.9485109876</v>
      </c>
      <c r="BA53" s="15">
        <f>SUM(BA48:BA52)</f>
        <v>98560.6009224306</v>
      </c>
      <c r="BB53" s="15">
        <f>SUM(BB48:BB52)</f>
        <v>100913.859333874</v>
      </c>
      <c r="BC53" s="15">
        <f>SUM(BC48:BC52)</f>
        <v>102792.511745317</v>
      </c>
      <c r="BD53" s="15">
        <f>SUM(BD48:BD52)</f>
        <v>99917.8377849593</v>
      </c>
      <c r="BE53" s="15">
        <f>SUM(BE48:BE52)</f>
        <v>111392.990048575</v>
      </c>
      <c r="BF53" s="15">
        <f>SUM(BF48:BF52)</f>
        <v>108457.546568203</v>
      </c>
      <c r="BG53" s="15">
        <f>SUM(BG48:BG52)</f>
        <v>110194.666568203</v>
      </c>
      <c r="BH53" s="15">
        <f>SUM(BH48:BH52)</f>
        <v>120212.363528948</v>
      </c>
      <c r="BI53" s="15">
        <f>SUM(BI48:BI52)</f>
        <v>105185.81808783</v>
      </c>
      <c r="BJ53" s="15">
        <f>SUM(BJ48:BJ52)</f>
        <v>110194.666568203</v>
      </c>
      <c r="BK53" s="15">
        <f>SUM(BK48:BK52)</f>
        <v>115203.515048575</v>
      </c>
      <c r="BL53" s="15">
        <f>SUM(BL48:BL52)</f>
        <v>105185.81808783</v>
      </c>
      <c r="BM53" s="15">
        <f>SUM(BM48:BM52)</f>
        <v>120212.363528948</v>
      </c>
      <c r="BN53" s="15">
        <f>SUM(BN48:BN52)</f>
        <v>110194.666568203</v>
      </c>
      <c r="BO53" s="15">
        <f>SUM(BO48:BO52)</f>
        <v>110194.666568203</v>
      </c>
      <c r="BP53" s="15">
        <f>SUM(BP48:BP52)</f>
        <v>110194.666568203</v>
      </c>
      <c r="BQ53" s="15">
        <f>SUM(BQ48:BQ52)</f>
        <v>110194.666568203</v>
      </c>
    </row>
    <row r="55">
      <c r="C55" s="2" t="inlineStr">
        <is>
          <t>Other Medical Costs</t>
        </is>
      </c>
    </row>
    <row r="56">
      <c r="C56" s="3" t="inlineStr">
        <is>
          <t>Other Clinical Expenses</t>
        </is>
      </c>
      <c r="D56" s="20">
        <f>+SUMIFS($J56:$BQ56,$J$7:$BQ$7,D$8)</f>
        <v>51600</v>
      </c>
      <c r="E56" s="20">
        <f>+SUMIFS($J56:$BQ56,$J$7:$BQ$7,E$8)</f>
        <v>55300</v>
      </c>
      <c r="F56" s="20">
        <f>+SUMIFS($J56:$BQ56,$J$7:$BQ$7,F$8)</f>
        <v>42866.6666666667</v>
      </c>
      <c r="G56" s="20">
        <f>+SUMIFS($J56:$BQ56,$J$7:$BQ$7,G$8)</f>
        <v>45013.9592820862</v>
      </c>
      <c r="H56" s="20">
        <f>+SUMIFS($J56:$BQ56,$J$7:$BQ$7,H$8)</f>
        <v>46941.3673146648</v>
      </c>
      <c r="J56" s="10">
        <f>+INDEX('QoE PF Adj. P&amp;L Aug-26'!$D$11:$AI$108,MATCH($C56,'QoE PF Adj. P&amp;L Aug-26'!$C$11:$C$108,0),MATCH(J$8,'QoE PF Adj. P&amp;L Aug-26'!$D$8:$AI$8,0))*1000</f>
        <v>4400</v>
      </c>
      <c r="K56" s="10">
        <f>+INDEX('QoE PF Adj. P&amp;L Aug-26'!$D$11:$AI$108,MATCH($C56,'QoE PF Adj. P&amp;L Aug-26'!$C$11:$C$108,0),MATCH(K$8,'QoE PF Adj. P&amp;L Aug-26'!$D$8:$AI$8,0))*1000</f>
        <v>4300</v>
      </c>
      <c r="L56" s="10">
        <f>+INDEX('QoE PF Adj. P&amp;L Aug-26'!$D$11:$AI$108,MATCH($C56,'QoE PF Adj. P&amp;L Aug-26'!$C$11:$C$108,0),MATCH(L$8,'QoE PF Adj. P&amp;L Aug-26'!$D$8:$AI$8,0))*1000</f>
        <v>4200</v>
      </c>
      <c r="M56" s="10">
        <f>+INDEX('QoE PF Adj. P&amp;L Aug-26'!$D$11:$AI$108,MATCH($C56,'QoE PF Adj. P&amp;L Aug-26'!$C$11:$C$108,0),MATCH(M$8,'QoE PF Adj. P&amp;L Aug-26'!$D$8:$AI$8,0))*1000</f>
        <v>4300</v>
      </c>
      <c r="N56" s="10">
        <f>+INDEX('QoE PF Adj. P&amp;L Aug-26'!$D$11:$AI$108,MATCH($C56,'QoE PF Adj. P&amp;L Aug-26'!$C$11:$C$108,0),MATCH(N$8,'QoE PF Adj. P&amp;L Aug-26'!$D$8:$AI$8,0))*1000</f>
        <v>4200</v>
      </c>
      <c r="O56" s="10">
        <f>+INDEX('QoE PF Adj. P&amp;L Aug-26'!$D$11:$AI$108,MATCH($C56,'QoE PF Adj. P&amp;L Aug-26'!$C$11:$C$108,0),MATCH(O$8,'QoE PF Adj. P&amp;L Aug-26'!$D$8:$AI$8,0))*1000</f>
        <v>4400</v>
      </c>
      <c r="P56" s="10">
        <f>+INDEX('QoE PF Adj. P&amp;L Aug-26'!$D$11:$AI$108,MATCH($C56,'QoE PF Adj. P&amp;L Aug-26'!$C$11:$C$108,0),MATCH(P$8,'QoE PF Adj. P&amp;L Aug-26'!$D$8:$AI$8,0))*1000</f>
        <v>4200</v>
      </c>
      <c r="Q56" s="10">
        <f>+INDEX('QoE PF Adj. P&amp;L Aug-26'!$D$11:$AI$108,MATCH($C56,'QoE PF Adj. P&amp;L Aug-26'!$C$11:$C$108,0),MATCH(Q$8,'QoE PF Adj. P&amp;L Aug-26'!$D$8:$AI$8,0))*1000</f>
        <v>4500</v>
      </c>
      <c r="R56" s="10">
        <f>+INDEX('QoE PF Adj. P&amp;L Aug-26'!$D$11:$AI$108,MATCH($C56,'QoE PF Adj. P&amp;L Aug-26'!$C$11:$C$108,0),MATCH(R$8,'QoE PF Adj. P&amp;L Aug-26'!$D$8:$AI$8,0))*1000</f>
        <v>4500</v>
      </c>
      <c r="S56" s="10">
        <f>+INDEX('QoE PF Adj. P&amp;L Aug-26'!$D$11:$AI$108,MATCH($C56,'QoE PF Adj. P&amp;L Aug-26'!$C$11:$C$108,0),MATCH(S$8,'QoE PF Adj. P&amp;L Aug-26'!$D$8:$AI$8,0))*1000</f>
        <v>4100</v>
      </c>
      <c r="T56" s="10">
        <f>+INDEX('QoE PF Adj. P&amp;L Aug-26'!$D$11:$AI$108,MATCH($C56,'QoE PF Adj. P&amp;L Aug-26'!$C$11:$C$108,0),MATCH(T$8,'QoE PF Adj. P&amp;L Aug-26'!$D$8:$AI$8,0))*1000</f>
        <v>4100</v>
      </c>
      <c r="U56" s="10">
        <f>+INDEX('QoE PF Adj. P&amp;L Aug-26'!$D$11:$AI$108,MATCH($C56,'QoE PF Adj. P&amp;L Aug-26'!$C$11:$C$108,0),MATCH(U$8,'QoE PF Adj. P&amp;L Aug-26'!$D$8:$AI$8,0))*1000</f>
        <v>4400</v>
      </c>
      <c r="V56" s="10">
        <f>+INDEX('QoE PF Adj. P&amp;L Aug-26'!$D$11:$AI$108,MATCH($C56,'QoE PF Adj. P&amp;L Aug-26'!$C$11:$C$108,0),MATCH(V$8,'QoE PF Adj. P&amp;L Aug-26'!$D$8:$AI$8,0))*1000</f>
        <v>4300</v>
      </c>
      <c r="W56" s="10">
        <f>+INDEX('QoE PF Adj. P&amp;L Aug-26'!$D$11:$AI$108,MATCH($C56,'QoE PF Adj. P&amp;L Aug-26'!$C$11:$C$108,0),MATCH(W$8,'QoE PF Adj. P&amp;L Aug-26'!$D$8:$AI$8,0))*1000</f>
        <v>4200</v>
      </c>
      <c r="X56" s="10">
        <f>+INDEX('QoE PF Adj. P&amp;L Aug-26'!$D$11:$AI$108,MATCH($C56,'QoE PF Adj. P&amp;L Aug-26'!$C$11:$C$108,0),MATCH(X$8,'QoE PF Adj. P&amp;L Aug-26'!$D$8:$AI$8,0))*1000</f>
        <v>4700</v>
      </c>
      <c r="Y56" s="10">
        <f>+INDEX('QoE PF Adj. P&amp;L Aug-26'!$D$11:$AI$108,MATCH($C56,'QoE PF Adj. P&amp;L Aug-26'!$C$11:$C$108,0),MATCH(Y$8,'QoE PF Adj. P&amp;L Aug-26'!$D$8:$AI$8,0))*1000</f>
        <v>4600</v>
      </c>
      <c r="Z56" s="10">
        <f>+INDEX('QoE PF Adj. P&amp;L Aug-26'!$D$11:$AI$108,MATCH($C56,'QoE PF Adj. P&amp;L Aug-26'!$C$11:$C$108,0),MATCH(Z$8,'QoE PF Adj. P&amp;L Aug-26'!$D$8:$AI$8,0))*1000</f>
        <v>4600</v>
      </c>
      <c r="AA56" s="10">
        <f>+INDEX('QoE PF Adj. P&amp;L Aug-26'!$D$11:$AI$108,MATCH($C56,'QoE PF Adj. P&amp;L Aug-26'!$C$11:$C$108,0),MATCH(AA$8,'QoE PF Adj. P&amp;L Aug-26'!$D$8:$AI$8,0))*1000</f>
        <v>4800</v>
      </c>
      <c r="AB56" s="10">
        <f>+INDEX('QoE PF Adj. P&amp;L Aug-26'!$D$11:$AI$108,MATCH($C56,'QoE PF Adj. P&amp;L Aug-26'!$C$11:$C$108,0),MATCH(AB$8,'QoE PF Adj. P&amp;L Aug-26'!$D$8:$AI$8,0))*1000</f>
        <v>4600</v>
      </c>
      <c r="AC56" s="10">
        <f>+INDEX('QoE PF Adj. P&amp;L Aug-26'!$D$11:$AI$108,MATCH($C56,'QoE PF Adj. P&amp;L Aug-26'!$C$11:$C$108,0),MATCH(AC$8,'QoE PF Adj. P&amp;L Aug-26'!$D$8:$AI$8,0))*1000</f>
        <v>4800</v>
      </c>
      <c r="AD56" s="10">
        <f>+INDEX('QoE PF Adj. P&amp;L Aug-26'!$D$11:$AI$108,MATCH($C56,'QoE PF Adj. P&amp;L Aug-26'!$C$11:$C$108,0),MATCH(AD$8,'QoE PF Adj. P&amp;L Aug-26'!$D$8:$AI$8,0))*1000</f>
        <v>4700</v>
      </c>
      <c r="AE56" s="10">
        <f>+INDEX('QoE PF Adj. P&amp;L Aug-26'!$D$11:$AI$108,MATCH($C56,'QoE PF Adj. P&amp;L Aug-26'!$C$11:$C$108,0),MATCH(AE$8,'QoE PF Adj. P&amp;L Aug-26'!$D$8:$AI$8,0))*1000</f>
        <v>4600</v>
      </c>
      <c r="AF56" s="10">
        <f>+INDEX('QoE PF Adj. P&amp;L Aug-26'!$D$11:$AI$108,MATCH($C56,'QoE PF Adj. P&amp;L Aug-26'!$C$11:$C$108,0),MATCH(AF$8,'QoE PF Adj. P&amp;L Aug-26'!$D$8:$AI$8,0))*1000</f>
        <v>4600</v>
      </c>
      <c r="AG56" s="10">
        <f>+INDEX('QoE PF Adj. P&amp;L Aug-26'!$D$11:$AI$108,MATCH($C56,'QoE PF Adj. P&amp;L Aug-26'!$C$11:$C$108,0),MATCH(AG$8,'QoE PF Adj. P&amp;L Aug-26'!$D$8:$AI$8,0))*1000</f>
        <v>4800</v>
      </c>
      <c r="AH56" s="10">
        <f>+INDEX('QoE PF Adj. P&amp;L Aug-26'!$D$11:$AI$108,MATCH($C56,'QoE PF Adj. P&amp;L Aug-26'!$C$11:$C$108,0),MATCH(AH$8,'QoE PF Adj. P&amp;L Aug-26'!$D$8:$AI$8,0))*1000</f>
        <v>5000</v>
      </c>
      <c r="AI56" s="10">
        <f>+INDEX('QoE PF Adj. P&amp;L Aug-26'!$D$11:$AI$108,MATCH($C56,'QoE PF Adj. P&amp;L Aug-26'!$C$11:$C$108,0),MATCH(AI$8,'QoE PF Adj. P&amp;L Aug-26'!$D$8:$AI$8,0))*1000</f>
        <v>4600</v>
      </c>
      <c r="AJ56" s="10">
        <f>+INDEX('QoE PF Adj. P&amp;L Aug-26'!$D$11:$AI$108,MATCH($C56,'QoE PF Adj. P&amp;L Aug-26'!$C$11:$C$108,0),MATCH(AJ$8,'QoE PF Adj. P&amp;L Aug-26'!$D$8:$AI$8,0))*1000</f>
        <v>5100</v>
      </c>
      <c r="AK56" s="10">
        <f>+INDEX('QoE PF Adj. P&amp;L Aug-26'!$D$11:$AI$108,MATCH($C56,'QoE PF Adj. P&amp;L Aug-26'!$C$11:$C$108,0),MATCH(AK$8,'QoE PF Adj. P&amp;L Aug-26'!$D$8:$AI$8,0))*1000</f>
        <v>4600</v>
      </c>
      <c r="AL56" s="10">
        <f>+INDEX('QoE PF Adj. P&amp;L Aug-26'!$D$11:$AI$108,MATCH($C56,'QoE PF Adj. P&amp;L Aug-26'!$C$11:$C$108,0),MATCH(AL$8,'QoE PF Adj. P&amp;L Aug-26'!$D$8:$AI$8,0))*1000</f>
        <v>4700</v>
      </c>
      <c r="AM56" s="10">
        <f>+INDEX('QoE PF Adj. P&amp;L Aug-26'!$D$11:$AI$108,MATCH($C56,'QoE PF Adj. P&amp;L Aug-26'!$C$11:$C$108,0),MATCH(AM$8,'QoE PF Adj. P&amp;L Aug-26'!$D$8:$AI$8,0))*1000</f>
        <v>5200</v>
      </c>
      <c r="AN56" s="10">
        <f>+INDEX('QoE PF Adj. P&amp;L Aug-26'!$D$11:$AI$108,MATCH($C56,'QoE PF Adj. P&amp;L Aug-26'!$C$11:$C$108,0),MATCH(AN$8,'QoE PF Adj. P&amp;L Aug-26'!$D$8:$AI$8,0))*1000</f>
        <v>5100</v>
      </c>
      <c r="AO56" s="10">
        <f>+INDEX('QoE PF Adj. P&amp;L Aug-26'!$D$11:$AI$108,MATCH($C56,'QoE PF Adj. P&amp;L Aug-26'!$C$11:$C$108,0),MATCH(AO$8,'QoE PF Adj. P&amp;L Aug-26'!$D$8:$AI$8,0))*1000</f>
        <v>4900</v>
      </c>
      <c r="AP56" s="10">
        <f>+SUMIFS('Sep - Nov P&amp;L'!I:I,'Sep - Nov P&amp;L'!$D:$D,$C56)</f>
        <v>0</v>
      </c>
      <c r="AQ56" s="10">
        <f>+SUMIFS('Sep - Nov P&amp;L'!J:J,'Sep - Nov P&amp;L'!$D:$D,$C56)</f>
        <v>0</v>
      </c>
      <c r="AR56" s="10">
        <f>+SUMIFS('Sep - Nov P&amp;L'!K:K,'Sep - Nov P&amp;L'!$D:$D,$C56)</f>
        <v>0</v>
      </c>
      <c r="AS56" s="20">
        <f>+AS164</f>
        <v>3666.66666666667</v>
      </c>
      <c r="AT56" s="20">
        <f>+AT164</f>
        <v>3679.5</v>
      </c>
      <c r="AU56" s="20">
        <f>+AU164</f>
        <v>3692.37825</v>
      </c>
      <c r="AV56" s="20">
        <f>+AV164</f>
        <v>3705.301573875</v>
      </c>
      <c r="AW56" s="20">
        <f>+AW164</f>
        <v>3718.27012938356</v>
      </c>
      <c r="AX56" s="20">
        <f>+AX164</f>
        <v>3731.28407483641</v>
      </c>
      <c r="AY56" s="20">
        <f>+AY164</f>
        <v>3744.34356909833</v>
      </c>
      <c r="AZ56" s="20">
        <f>+AZ164</f>
        <v>3757.44877159018</v>
      </c>
      <c r="BA56" s="20">
        <f>+BA164</f>
        <v>3770.59984229074</v>
      </c>
      <c r="BB56" s="20">
        <f>+BB164</f>
        <v>3783.79694173876</v>
      </c>
      <c r="BC56" s="20">
        <f>+BC164</f>
        <v>3797.04023103485</v>
      </c>
      <c r="BD56" s="20">
        <f>+BD164</f>
        <v>3810.32987184347</v>
      </c>
      <c r="BE56" s="20">
        <f>+BE164</f>
        <v>3823.66602639492</v>
      </c>
      <c r="BF56" s="20">
        <f>+BF164</f>
        <v>3837.0488574873</v>
      </c>
      <c r="BG56" s="20">
        <f>+BG164</f>
        <v>3850.47852848851</v>
      </c>
      <c r="BH56" s="20">
        <f>+BH164</f>
        <v>3863.95520333822</v>
      </c>
      <c r="BI56" s="20">
        <f>+BI164</f>
        <v>3877.4790465499</v>
      </c>
      <c r="BJ56" s="20">
        <f>+BJ164</f>
        <v>3891.05022321283</v>
      </c>
      <c r="BK56" s="20">
        <f>+BK164</f>
        <v>3904.66889899407</v>
      </c>
      <c r="BL56" s="20">
        <f>+BL164</f>
        <v>3918.33524014055</v>
      </c>
      <c r="BM56" s="20">
        <f>+BM164</f>
        <v>3932.04941348105</v>
      </c>
      <c r="BN56" s="20">
        <f>+BN164</f>
        <v>3945.81158642823</v>
      </c>
      <c r="BO56" s="20">
        <f>+BO164</f>
        <v>3959.62192698073</v>
      </c>
      <c r="BP56" s="20">
        <f>+BP164</f>
        <v>3973.48060372516</v>
      </c>
      <c r="BQ56" s="20">
        <f>+BQ164</f>
        <v>3987.3877858382</v>
      </c>
    </row>
    <row r="57">
      <c r="C57" s="3" t="inlineStr">
        <is>
          <t>Lab Equipment</t>
        </is>
      </c>
      <c r="D57" s="20">
        <f>+SUMIFS($J57:$BQ57,$J$7:$BQ$7,D$8)</f>
        <v>58800</v>
      </c>
      <c r="E57" s="20">
        <f>+SUMIFS($J57:$BQ57,$J$7:$BQ$7,E$8)</f>
        <v>61400</v>
      </c>
      <c r="F57" s="20">
        <f>+SUMIFS($J57:$BQ57,$J$7:$BQ$7,F$8)</f>
        <v>66390.9758333333</v>
      </c>
      <c r="G57" s="20">
        <f>+SUMIFS($J57:$BQ57,$J$7:$BQ$7,G$8)</f>
        <v>67512.4169622016</v>
      </c>
      <c r="H57" s="20">
        <f>+SUMIFS($J57:$BQ57,$J$7:$BQ$7,H$8)</f>
        <v>70403.1641176851</v>
      </c>
      <c r="J57" s="10">
        <f>+INDEX('QoE PF Adj. P&amp;L Aug-26'!$D$11:$AI$108,MATCH($C57,'QoE PF Adj. P&amp;L Aug-26'!$C$11:$C$108,0),MATCH(J$8,'QoE PF Adj. P&amp;L Aug-26'!$D$8:$AI$8,0))*1000</f>
        <v>4500</v>
      </c>
      <c r="K57" s="10">
        <f>+INDEX('QoE PF Adj. P&amp;L Aug-26'!$D$11:$AI$108,MATCH($C57,'QoE PF Adj. P&amp;L Aug-26'!$C$11:$C$108,0),MATCH(K$8,'QoE PF Adj. P&amp;L Aug-26'!$D$8:$AI$8,0))*1000</f>
        <v>4600</v>
      </c>
      <c r="L57" s="10">
        <f>+INDEX('QoE PF Adj. P&amp;L Aug-26'!$D$11:$AI$108,MATCH($C57,'QoE PF Adj. P&amp;L Aug-26'!$C$11:$C$108,0),MATCH(L$8,'QoE PF Adj. P&amp;L Aug-26'!$D$8:$AI$8,0))*1000</f>
        <v>5000</v>
      </c>
      <c r="M57" s="10">
        <f>+INDEX('QoE PF Adj. P&amp;L Aug-26'!$D$11:$AI$108,MATCH($C57,'QoE PF Adj. P&amp;L Aug-26'!$C$11:$C$108,0),MATCH(M$8,'QoE PF Adj. P&amp;L Aug-26'!$D$8:$AI$8,0))*1000</f>
        <v>4600</v>
      </c>
      <c r="N57" s="10">
        <f>+INDEX('QoE PF Adj. P&amp;L Aug-26'!$D$11:$AI$108,MATCH($C57,'QoE PF Adj. P&amp;L Aug-26'!$C$11:$C$108,0),MATCH(N$8,'QoE PF Adj. P&amp;L Aug-26'!$D$8:$AI$8,0))*1000</f>
        <v>5100</v>
      </c>
      <c r="O57" s="10">
        <f>+INDEX('QoE PF Adj. P&amp;L Aug-26'!$D$11:$AI$108,MATCH($C57,'QoE PF Adj. P&amp;L Aug-26'!$C$11:$C$108,0),MATCH(O$8,'QoE PF Adj. P&amp;L Aug-26'!$D$8:$AI$8,0))*1000</f>
        <v>5000</v>
      </c>
      <c r="P57" s="10">
        <f>+INDEX('QoE PF Adj. P&amp;L Aug-26'!$D$11:$AI$108,MATCH($C57,'QoE PF Adj. P&amp;L Aug-26'!$C$11:$C$108,0),MATCH(P$8,'QoE PF Adj. P&amp;L Aug-26'!$D$8:$AI$8,0))*1000</f>
        <v>4900</v>
      </c>
      <c r="Q57" s="10">
        <f>+INDEX('QoE PF Adj. P&amp;L Aug-26'!$D$11:$AI$108,MATCH($C57,'QoE PF Adj. P&amp;L Aug-26'!$C$11:$C$108,0),MATCH(Q$8,'QoE PF Adj. P&amp;L Aug-26'!$D$8:$AI$8,0))*1000</f>
        <v>5000</v>
      </c>
      <c r="R57" s="10">
        <f>+INDEX('QoE PF Adj. P&amp;L Aug-26'!$D$11:$AI$108,MATCH($C57,'QoE PF Adj. P&amp;L Aug-26'!$C$11:$C$108,0),MATCH(R$8,'QoE PF Adj. P&amp;L Aug-26'!$D$8:$AI$8,0))*1000</f>
        <v>4800</v>
      </c>
      <c r="S57" s="10">
        <f>+INDEX('QoE PF Adj. P&amp;L Aug-26'!$D$11:$AI$108,MATCH($C57,'QoE PF Adj. P&amp;L Aug-26'!$C$11:$C$108,0),MATCH(S$8,'QoE PF Adj. P&amp;L Aug-26'!$D$8:$AI$8,0))*1000</f>
        <v>5100</v>
      </c>
      <c r="T57" s="10">
        <f>+INDEX('QoE PF Adj. P&amp;L Aug-26'!$D$11:$AI$108,MATCH($C57,'QoE PF Adj. P&amp;L Aug-26'!$C$11:$C$108,0),MATCH(T$8,'QoE PF Adj. P&amp;L Aug-26'!$D$8:$AI$8,0))*1000</f>
        <v>4900</v>
      </c>
      <c r="U57" s="10">
        <f>+INDEX('QoE PF Adj. P&amp;L Aug-26'!$D$11:$AI$108,MATCH($C57,'QoE PF Adj. P&amp;L Aug-26'!$C$11:$C$108,0),MATCH(U$8,'QoE PF Adj. P&amp;L Aug-26'!$D$8:$AI$8,0))*1000</f>
        <v>5300</v>
      </c>
      <c r="V57" s="10">
        <f>+INDEX('QoE PF Adj. P&amp;L Aug-26'!$D$11:$AI$108,MATCH($C57,'QoE PF Adj. P&amp;L Aug-26'!$C$11:$C$108,0),MATCH(V$8,'QoE PF Adj. P&amp;L Aug-26'!$D$8:$AI$8,0))*1000</f>
        <v>5300</v>
      </c>
      <c r="W57" s="10">
        <f>+INDEX('QoE PF Adj. P&amp;L Aug-26'!$D$11:$AI$108,MATCH($C57,'QoE PF Adj. P&amp;L Aug-26'!$C$11:$C$108,0),MATCH(W$8,'QoE PF Adj. P&amp;L Aug-26'!$D$8:$AI$8,0))*1000</f>
        <v>5300</v>
      </c>
      <c r="X57" s="10">
        <f>+INDEX('QoE PF Adj. P&amp;L Aug-26'!$D$11:$AI$108,MATCH($C57,'QoE PF Adj. P&amp;L Aug-26'!$C$11:$C$108,0),MATCH(X$8,'QoE PF Adj. P&amp;L Aug-26'!$D$8:$AI$8,0))*1000</f>
        <v>4800</v>
      </c>
      <c r="Y57" s="10">
        <f>+INDEX('QoE PF Adj. P&amp;L Aug-26'!$D$11:$AI$108,MATCH($C57,'QoE PF Adj. P&amp;L Aug-26'!$C$11:$C$108,0),MATCH(Y$8,'QoE PF Adj. P&amp;L Aug-26'!$D$8:$AI$8,0))*1000</f>
        <v>4700</v>
      </c>
      <c r="Z57" s="10">
        <f>+INDEX('QoE PF Adj. P&amp;L Aug-26'!$D$11:$AI$108,MATCH($C57,'QoE PF Adj. P&amp;L Aug-26'!$C$11:$C$108,0),MATCH(Z$8,'QoE PF Adj. P&amp;L Aug-26'!$D$8:$AI$8,0))*1000</f>
        <v>5200</v>
      </c>
      <c r="AA57" s="10">
        <f>+INDEX('QoE PF Adj. P&amp;L Aug-26'!$D$11:$AI$108,MATCH($C57,'QoE PF Adj. P&amp;L Aug-26'!$C$11:$C$108,0),MATCH(AA$8,'QoE PF Adj. P&amp;L Aug-26'!$D$8:$AI$8,0))*1000</f>
        <v>5200</v>
      </c>
      <c r="AB57" s="10">
        <f>+INDEX('QoE PF Adj. P&amp;L Aug-26'!$D$11:$AI$108,MATCH($C57,'QoE PF Adj. P&amp;L Aug-26'!$C$11:$C$108,0),MATCH(AB$8,'QoE PF Adj. P&amp;L Aug-26'!$D$8:$AI$8,0))*1000</f>
        <v>5200</v>
      </c>
      <c r="AC57" s="10">
        <f>+INDEX('QoE PF Adj. P&amp;L Aug-26'!$D$11:$AI$108,MATCH($C57,'QoE PF Adj. P&amp;L Aug-26'!$C$11:$C$108,0),MATCH(AC$8,'QoE PF Adj. P&amp;L Aug-26'!$D$8:$AI$8,0))*1000</f>
        <v>5100</v>
      </c>
      <c r="AD57" s="10">
        <f>+INDEX('QoE PF Adj. P&amp;L Aug-26'!$D$11:$AI$108,MATCH($C57,'QoE PF Adj. P&amp;L Aug-26'!$C$11:$C$108,0),MATCH(AD$8,'QoE PF Adj. P&amp;L Aug-26'!$D$8:$AI$8,0))*1000</f>
        <v>5300</v>
      </c>
      <c r="AE57" s="10">
        <f>+INDEX('QoE PF Adj. P&amp;L Aug-26'!$D$11:$AI$108,MATCH($C57,'QoE PF Adj. P&amp;L Aug-26'!$C$11:$C$108,0),MATCH(AE$8,'QoE PF Adj. P&amp;L Aug-26'!$D$8:$AI$8,0))*1000</f>
        <v>5000</v>
      </c>
      <c r="AF57" s="10">
        <f>+INDEX('QoE PF Adj. P&amp;L Aug-26'!$D$11:$AI$108,MATCH($C57,'QoE PF Adj. P&amp;L Aug-26'!$C$11:$C$108,0),MATCH(AF$8,'QoE PF Adj. P&amp;L Aug-26'!$D$8:$AI$8,0))*1000</f>
        <v>5200</v>
      </c>
      <c r="AG57" s="10">
        <f>+INDEX('QoE PF Adj. P&amp;L Aug-26'!$D$11:$AI$108,MATCH($C57,'QoE PF Adj. P&amp;L Aug-26'!$C$11:$C$108,0),MATCH(AG$8,'QoE PF Adj. P&amp;L Aug-26'!$D$8:$AI$8,0))*1000</f>
        <v>5100</v>
      </c>
      <c r="AH57" s="10">
        <f>+INDEX('QoE PF Adj. P&amp;L Aug-26'!$D$11:$AI$108,MATCH($C57,'QoE PF Adj. P&amp;L Aug-26'!$C$11:$C$108,0),MATCH(AH$8,'QoE PF Adj. P&amp;L Aug-26'!$D$8:$AI$8,0))*1000</f>
        <v>5300</v>
      </c>
      <c r="AI57" s="10">
        <f>+INDEX('QoE PF Adj. P&amp;L Aug-26'!$D$11:$AI$108,MATCH($C57,'QoE PF Adj. P&amp;L Aug-26'!$C$11:$C$108,0),MATCH(AI$8,'QoE PF Adj. P&amp;L Aug-26'!$D$8:$AI$8,0))*1000</f>
        <v>5600</v>
      </c>
      <c r="AJ57" s="10">
        <f>+INDEX('QoE PF Adj. P&amp;L Aug-26'!$D$11:$AI$108,MATCH($C57,'QoE PF Adj. P&amp;L Aug-26'!$C$11:$C$108,0),MATCH(AJ$8,'QoE PF Adj. P&amp;L Aug-26'!$D$8:$AI$8,0))*1000</f>
        <v>5600</v>
      </c>
      <c r="AK57" s="10">
        <f>+INDEX('QoE PF Adj. P&amp;L Aug-26'!$D$11:$AI$108,MATCH($C57,'QoE PF Adj. P&amp;L Aug-26'!$C$11:$C$108,0),MATCH(AK$8,'QoE PF Adj. P&amp;L Aug-26'!$D$8:$AI$8,0))*1000</f>
        <v>5700</v>
      </c>
      <c r="AL57" s="10">
        <f>+INDEX('QoE PF Adj. P&amp;L Aug-26'!$D$11:$AI$108,MATCH($C57,'QoE PF Adj. P&amp;L Aug-26'!$C$11:$C$108,0),MATCH(AL$8,'QoE PF Adj. P&amp;L Aug-26'!$D$8:$AI$8,0))*1000</f>
        <v>5600</v>
      </c>
      <c r="AM57" s="10">
        <f>+INDEX('QoE PF Adj. P&amp;L Aug-26'!$D$11:$AI$108,MATCH($C57,'QoE PF Adj. P&amp;L Aug-26'!$C$11:$C$108,0),MATCH(AM$8,'QoE PF Adj. P&amp;L Aug-26'!$D$8:$AI$8,0))*1000</f>
        <v>5400</v>
      </c>
      <c r="AN57" s="10">
        <f>+INDEX('QoE PF Adj. P&amp;L Aug-26'!$D$11:$AI$108,MATCH($C57,'QoE PF Adj. P&amp;L Aug-26'!$C$11:$C$108,0),MATCH(AN$8,'QoE PF Adj. P&amp;L Aug-26'!$D$8:$AI$8,0))*1000</f>
        <v>5300</v>
      </c>
      <c r="AO57" s="10">
        <f>+INDEX('QoE PF Adj. P&amp;L Aug-26'!$D$11:$AI$108,MATCH($C57,'QoE PF Adj. P&amp;L Aug-26'!$C$11:$C$108,0),MATCH(AO$8,'QoE PF Adj. P&amp;L Aug-26'!$D$8:$AI$8,0))*1000</f>
        <v>5800</v>
      </c>
      <c r="AP57" s="10">
        <f>+SUMIFS('Sep - Nov P&amp;L'!I:I,'Sep - Nov P&amp;L'!$D:$D,$C57)</f>
        <v>5517.7</v>
      </c>
      <c r="AQ57" s="10">
        <f>+SUMIFS('Sep - Nov P&amp;L'!J:J,'Sep - Nov P&amp;L'!$D:$D,$C57)</f>
        <v>5740.46</v>
      </c>
      <c r="AR57" s="10">
        <f>+SUMIFS('Sep - Nov P&amp;L'!K:K,'Sep - Nov P&amp;L'!$D:$D,$C57)</f>
        <v>5333.51</v>
      </c>
      <c r="AS57" s="20">
        <f>+AS165</f>
        <v>5499.30583333333</v>
      </c>
      <c r="AT57" s="20">
        <f>+AT165</f>
        <v>5518.55340375</v>
      </c>
      <c r="AU57" s="20">
        <f>+AU165</f>
        <v>5537.86834066313</v>
      </c>
      <c r="AV57" s="20">
        <f>+AV165</f>
        <v>5557.25087985545</v>
      </c>
      <c r="AW57" s="20">
        <f>+AW165</f>
        <v>5576.70125793494</v>
      </c>
      <c r="AX57" s="20">
        <f>+AX165</f>
        <v>5596.21971233771</v>
      </c>
      <c r="AY57" s="20">
        <f>+AY165</f>
        <v>5615.8064813309</v>
      </c>
      <c r="AZ57" s="20">
        <f>+AZ165</f>
        <v>5635.46180401555</v>
      </c>
      <c r="BA57" s="20">
        <f>+BA165</f>
        <v>5655.18592032961</v>
      </c>
      <c r="BB57" s="20">
        <f>+BB165</f>
        <v>5674.97907105076</v>
      </c>
      <c r="BC57" s="20">
        <f>+BC165</f>
        <v>5694.84149779944</v>
      </c>
      <c r="BD57" s="20">
        <f>+BD165</f>
        <v>5714.77344304174</v>
      </c>
      <c r="BE57" s="20">
        <f>+BE165</f>
        <v>5734.77515009239</v>
      </c>
      <c r="BF57" s="20">
        <f>+BF165</f>
        <v>5754.84686311771</v>
      </c>
      <c r="BG57" s="20">
        <f>+BG165</f>
        <v>5774.98882713862</v>
      </c>
      <c r="BH57" s="20">
        <f>+BH165</f>
        <v>5795.20128803361</v>
      </c>
      <c r="BI57" s="20">
        <f>+BI165</f>
        <v>5815.48449254173</v>
      </c>
      <c r="BJ57" s="20">
        <f>+BJ165</f>
        <v>5835.83868826562</v>
      </c>
      <c r="BK57" s="20">
        <f>+BK165</f>
        <v>5856.26412367455</v>
      </c>
      <c r="BL57" s="20">
        <f>+BL165</f>
        <v>5876.76104810741</v>
      </c>
      <c r="BM57" s="20">
        <f>+BM165</f>
        <v>5897.32971177579</v>
      </c>
      <c r="BN57" s="20">
        <f>+BN165</f>
        <v>5917.97036576701</v>
      </c>
      <c r="BO57" s="20">
        <f>+BO165</f>
        <v>5938.68326204719</v>
      </c>
      <c r="BP57" s="20">
        <f>+BP165</f>
        <v>5959.46865346436</v>
      </c>
      <c r="BQ57" s="20">
        <f>+BQ165</f>
        <v>5980.32679375148</v>
      </c>
    </row>
    <row r="58">
      <c r="C58" s="3" t="inlineStr">
        <is>
          <t>Lab Credentialing</t>
        </is>
      </c>
      <c r="D58" s="20">
        <f>+SUMIFS($J58:$BQ58,$J$7:$BQ$7,D$8)</f>
        <v>19300</v>
      </c>
      <c r="E58" s="20">
        <f>+SUMIFS($J58:$BQ58,$J$7:$BQ$7,E$8)</f>
        <v>20700</v>
      </c>
      <c r="F58" s="20">
        <f>+SUMIFS($J58:$BQ58,$J$7:$BQ$7,F$8)</f>
        <v>22179.3558333333</v>
      </c>
      <c r="G58" s="20">
        <f>+SUMIFS($J58:$BQ58,$J$7:$BQ$7,G$8)</f>
        <v>22644.8758131257</v>
      </c>
      <c r="H58" s="20">
        <f>+SUMIFS($J58:$BQ58,$J$7:$BQ$7,H$8)</f>
        <v>23614.4842687038</v>
      </c>
      <c r="J58" s="10">
        <f>+INDEX('QoE PF Adj. P&amp;L Aug-26'!$D$11:$AI$108,MATCH($C58,'QoE PF Adj. P&amp;L Aug-26'!$C$11:$C$108,0),MATCH(J$8,'QoE PF Adj. P&amp;L Aug-26'!$D$8:$AI$8,0))*1000</f>
        <v>1600</v>
      </c>
      <c r="K58" s="10">
        <f>+INDEX('QoE PF Adj. P&amp;L Aug-26'!$D$11:$AI$108,MATCH($C58,'QoE PF Adj. P&amp;L Aug-26'!$C$11:$C$108,0),MATCH(K$8,'QoE PF Adj. P&amp;L Aug-26'!$D$8:$AI$8,0))*1000</f>
        <v>1500</v>
      </c>
      <c r="L58" s="10">
        <f>+INDEX('QoE PF Adj. P&amp;L Aug-26'!$D$11:$AI$108,MATCH($C58,'QoE PF Adj. P&amp;L Aug-26'!$C$11:$C$108,0),MATCH(L$8,'QoE PF Adj. P&amp;L Aug-26'!$D$8:$AI$8,0))*1000</f>
        <v>1600</v>
      </c>
      <c r="M58" s="10">
        <f>+INDEX('QoE PF Adj. P&amp;L Aug-26'!$D$11:$AI$108,MATCH($C58,'QoE PF Adj. P&amp;L Aug-26'!$C$11:$C$108,0),MATCH(M$8,'QoE PF Adj. P&amp;L Aug-26'!$D$8:$AI$8,0))*1000</f>
        <v>1700</v>
      </c>
      <c r="N58" s="10">
        <f>+INDEX('QoE PF Adj. P&amp;L Aug-26'!$D$11:$AI$108,MATCH($C58,'QoE PF Adj. P&amp;L Aug-26'!$C$11:$C$108,0),MATCH(N$8,'QoE PF Adj. P&amp;L Aug-26'!$D$8:$AI$8,0))*1000</f>
        <v>1700</v>
      </c>
      <c r="O58" s="10">
        <f>+INDEX('QoE PF Adj. P&amp;L Aug-26'!$D$11:$AI$108,MATCH($C58,'QoE PF Adj. P&amp;L Aug-26'!$C$11:$C$108,0),MATCH(O$8,'QoE PF Adj. P&amp;L Aug-26'!$D$8:$AI$8,0))*1000</f>
        <v>1500</v>
      </c>
      <c r="P58" s="10">
        <f>+INDEX('QoE PF Adj. P&amp;L Aug-26'!$D$11:$AI$108,MATCH($C58,'QoE PF Adj. P&amp;L Aug-26'!$C$11:$C$108,0),MATCH(P$8,'QoE PF Adj. P&amp;L Aug-26'!$D$8:$AI$8,0))*1000</f>
        <v>1500</v>
      </c>
      <c r="Q58" s="10">
        <f>+INDEX('QoE PF Adj. P&amp;L Aug-26'!$D$11:$AI$108,MATCH($C58,'QoE PF Adj. P&amp;L Aug-26'!$C$11:$C$108,0),MATCH(Q$8,'QoE PF Adj. P&amp;L Aug-26'!$D$8:$AI$8,0))*1000</f>
        <v>1500</v>
      </c>
      <c r="R58" s="10">
        <f>+INDEX('QoE PF Adj. P&amp;L Aug-26'!$D$11:$AI$108,MATCH($C58,'QoE PF Adj. P&amp;L Aug-26'!$C$11:$C$108,0),MATCH(R$8,'QoE PF Adj. P&amp;L Aug-26'!$D$8:$AI$8,0))*1000</f>
        <v>1600</v>
      </c>
      <c r="S58" s="10">
        <f>+INDEX('QoE PF Adj. P&amp;L Aug-26'!$D$11:$AI$108,MATCH($C58,'QoE PF Adj. P&amp;L Aug-26'!$C$11:$C$108,0),MATCH(S$8,'QoE PF Adj. P&amp;L Aug-26'!$D$8:$AI$8,0))*1000</f>
        <v>1700</v>
      </c>
      <c r="T58" s="10">
        <f>+INDEX('QoE PF Adj. P&amp;L Aug-26'!$D$11:$AI$108,MATCH($C58,'QoE PF Adj. P&amp;L Aug-26'!$C$11:$C$108,0),MATCH(T$8,'QoE PF Adj. P&amp;L Aug-26'!$D$8:$AI$8,0))*1000</f>
        <v>1700</v>
      </c>
      <c r="U58" s="10">
        <f>+INDEX('QoE PF Adj. P&amp;L Aug-26'!$D$11:$AI$108,MATCH($C58,'QoE PF Adj. P&amp;L Aug-26'!$C$11:$C$108,0),MATCH(U$8,'QoE PF Adj. P&amp;L Aug-26'!$D$8:$AI$8,0))*1000</f>
        <v>1700</v>
      </c>
      <c r="V58" s="10">
        <f>+INDEX('QoE PF Adj. P&amp;L Aug-26'!$D$11:$AI$108,MATCH($C58,'QoE PF Adj. P&amp;L Aug-26'!$C$11:$C$108,0),MATCH(V$8,'QoE PF Adj. P&amp;L Aug-26'!$D$8:$AI$8,0))*1000</f>
        <v>1600</v>
      </c>
      <c r="W58" s="10">
        <f>+INDEX('QoE PF Adj. P&amp;L Aug-26'!$D$11:$AI$108,MATCH($C58,'QoE PF Adj. P&amp;L Aug-26'!$C$11:$C$108,0),MATCH(W$8,'QoE PF Adj. P&amp;L Aug-26'!$D$8:$AI$8,0))*1000</f>
        <v>1700</v>
      </c>
      <c r="X58" s="10">
        <f>+INDEX('QoE PF Adj. P&amp;L Aug-26'!$D$11:$AI$108,MATCH($C58,'QoE PF Adj. P&amp;L Aug-26'!$C$11:$C$108,0),MATCH(X$8,'QoE PF Adj. P&amp;L Aug-26'!$D$8:$AI$8,0))*1000</f>
        <v>1700</v>
      </c>
      <c r="Y58" s="10">
        <f>+INDEX('QoE PF Adj. P&amp;L Aug-26'!$D$11:$AI$108,MATCH($C58,'QoE PF Adj. P&amp;L Aug-26'!$C$11:$C$108,0),MATCH(Y$8,'QoE PF Adj. P&amp;L Aug-26'!$D$8:$AI$8,0))*1000</f>
        <v>1700</v>
      </c>
      <c r="Z58" s="10">
        <f>+INDEX('QoE PF Adj. P&amp;L Aug-26'!$D$11:$AI$108,MATCH($C58,'QoE PF Adj. P&amp;L Aug-26'!$C$11:$C$108,0),MATCH(Z$8,'QoE PF Adj. P&amp;L Aug-26'!$D$8:$AI$8,0))*1000</f>
        <v>1800</v>
      </c>
      <c r="AA58" s="10">
        <f>+INDEX('QoE PF Adj. P&amp;L Aug-26'!$D$11:$AI$108,MATCH($C58,'QoE PF Adj. P&amp;L Aug-26'!$C$11:$C$108,0),MATCH(AA$8,'QoE PF Adj. P&amp;L Aug-26'!$D$8:$AI$8,0))*1000</f>
        <v>1700</v>
      </c>
      <c r="AB58" s="10">
        <f>+INDEX('QoE PF Adj. P&amp;L Aug-26'!$D$11:$AI$108,MATCH($C58,'QoE PF Adj. P&amp;L Aug-26'!$C$11:$C$108,0),MATCH(AB$8,'QoE PF Adj. P&amp;L Aug-26'!$D$8:$AI$8,0))*1000</f>
        <v>1800</v>
      </c>
      <c r="AC58" s="10">
        <f>+INDEX('QoE PF Adj. P&amp;L Aug-26'!$D$11:$AI$108,MATCH($C58,'QoE PF Adj. P&amp;L Aug-26'!$C$11:$C$108,0),MATCH(AC$8,'QoE PF Adj. P&amp;L Aug-26'!$D$8:$AI$8,0))*1000</f>
        <v>1600</v>
      </c>
      <c r="AD58" s="10">
        <f>+INDEX('QoE PF Adj. P&amp;L Aug-26'!$D$11:$AI$108,MATCH($C58,'QoE PF Adj. P&amp;L Aug-26'!$C$11:$C$108,0),MATCH(AD$8,'QoE PF Adj. P&amp;L Aug-26'!$D$8:$AI$8,0))*1000</f>
        <v>1600</v>
      </c>
      <c r="AE58" s="10">
        <f>+INDEX('QoE PF Adj. P&amp;L Aug-26'!$D$11:$AI$108,MATCH($C58,'QoE PF Adj. P&amp;L Aug-26'!$C$11:$C$108,0),MATCH(AE$8,'QoE PF Adj. P&amp;L Aug-26'!$D$8:$AI$8,0))*1000</f>
        <v>1800</v>
      </c>
      <c r="AF58" s="10">
        <f>+INDEX('QoE PF Adj. P&amp;L Aug-26'!$D$11:$AI$108,MATCH($C58,'QoE PF Adj. P&amp;L Aug-26'!$C$11:$C$108,0),MATCH(AF$8,'QoE PF Adj. P&amp;L Aug-26'!$D$8:$AI$8,0))*1000</f>
        <v>1900</v>
      </c>
      <c r="AG58" s="10">
        <f>+INDEX('QoE PF Adj. P&amp;L Aug-26'!$D$11:$AI$108,MATCH($C58,'QoE PF Adj. P&amp;L Aug-26'!$C$11:$C$108,0),MATCH(AG$8,'QoE PF Adj. P&amp;L Aug-26'!$D$8:$AI$8,0))*1000</f>
        <v>1800</v>
      </c>
      <c r="AH58" s="10">
        <f>+INDEX('QoE PF Adj. P&amp;L Aug-26'!$D$11:$AI$108,MATCH($C58,'QoE PF Adj. P&amp;L Aug-26'!$C$11:$C$108,0),MATCH(AH$8,'QoE PF Adj. P&amp;L Aug-26'!$D$8:$AI$8,0))*1000</f>
        <v>1800</v>
      </c>
      <c r="AI58" s="10">
        <f>+INDEX('QoE PF Adj. P&amp;L Aug-26'!$D$11:$AI$108,MATCH($C58,'QoE PF Adj. P&amp;L Aug-26'!$C$11:$C$108,0),MATCH(AI$8,'QoE PF Adj. P&amp;L Aug-26'!$D$8:$AI$8,0))*1000</f>
        <v>1900</v>
      </c>
      <c r="AJ58" s="10">
        <f>+INDEX('QoE PF Adj. P&amp;L Aug-26'!$D$11:$AI$108,MATCH($C58,'QoE PF Adj. P&amp;L Aug-26'!$C$11:$C$108,0),MATCH(AJ$8,'QoE PF Adj. P&amp;L Aug-26'!$D$8:$AI$8,0))*1000</f>
        <v>1900</v>
      </c>
      <c r="AK58" s="10">
        <f>+INDEX('QoE PF Adj. P&amp;L Aug-26'!$D$11:$AI$108,MATCH($C58,'QoE PF Adj. P&amp;L Aug-26'!$C$11:$C$108,0),MATCH(AK$8,'QoE PF Adj. P&amp;L Aug-26'!$D$8:$AI$8,0))*1000</f>
        <v>1700</v>
      </c>
      <c r="AL58" s="10">
        <f>+INDEX('QoE PF Adj. P&amp;L Aug-26'!$D$11:$AI$108,MATCH($C58,'QoE PF Adj. P&amp;L Aug-26'!$C$11:$C$108,0),MATCH(AL$8,'QoE PF Adj. P&amp;L Aug-26'!$D$8:$AI$8,0))*1000</f>
        <v>1800</v>
      </c>
      <c r="AM58" s="10">
        <f>+INDEX('QoE PF Adj. P&amp;L Aug-26'!$D$11:$AI$108,MATCH($C58,'QoE PF Adj. P&amp;L Aug-26'!$C$11:$C$108,0),MATCH(AM$8,'QoE PF Adj. P&amp;L Aug-26'!$D$8:$AI$8,0))*1000</f>
        <v>1900</v>
      </c>
      <c r="AN58" s="10">
        <f>+INDEX('QoE PF Adj. P&amp;L Aug-26'!$D$11:$AI$108,MATCH($C58,'QoE PF Adj. P&amp;L Aug-26'!$C$11:$C$108,0),MATCH(AN$8,'QoE PF Adj. P&amp;L Aug-26'!$D$8:$AI$8,0))*1000</f>
        <v>1900</v>
      </c>
      <c r="AO58" s="10">
        <f>+INDEX('QoE PF Adj. P&amp;L Aug-26'!$D$11:$AI$108,MATCH($C58,'QoE PF Adj. P&amp;L Aug-26'!$C$11:$C$108,0),MATCH(AO$8,'QoE PF Adj. P&amp;L Aug-26'!$D$8:$AI$8,0))*1000</f>
        <v>1800</v>
      </c>
      <c r="AP58" s="10">
        <f>+SUMIFS('Sep - Nov P&amp;L'!I:I,'Sep - Nov P&amp;L'!$D:$D,$C58)</f>
        <v>1907.69</v>
      </c>
      <c r="AQ58" s="10">
        <f>+SUMIFS('Sep - Nov P&amp;L'!J:J,'Sep - Nov P&amp;L'!$D:$D,$C58)</f>
        <v>1839.54</v>
      </c>
      <c r="AR58" s="10">
        <f>+SUMIFS('Sep - Nov P&amp;L'!K:K,'Sep - Nov P&amp;L'!$D:$D,$C58)</f>
        <v>1887.56</v>
      </c>
      <c r="AS58" s="20">
        <f>+AS166</f>
        <v>1844.56583333333</v>
      </c>
      <c r="AT58" s="20">
        <f>+AT166</f>
        <v>1851.02181375</v>
      </c>
      <c r="AU58" s="20">
        <f>+AU166</f>
        <v>1857.50039009813</v>
      </c>
      <c r="AV58" s="20">
        <f>+AV166</f>
        <v>1864.00164146347</v>
      </c>
      <c r="AW58" s="20">
        <f>+AW166</f>
        <v>1870.52564720859</v>
      </c>
      <c r="AX58" s="20">
        <f>+AX166</f>
        <v>1877.07248697382</v>
      </c>
      <c r="AY58" s="20">
        <f>+AY166</f>
        <v>1883.64224067823</v>
      </c>
      <c r="AZ58" s="20">
        <f>+AZ166</f>
        <v>1890.2349885206</v>
      </c>
      <c r="BA58" s="20">
        <f>+BA166</f>
        <v>1896.85081098043</v>
      </c>
      <c r="BB58" s="20">
        <f>+BB166</f>
        <v>1903.48978881886</v>
      </c>
      <c r="BC58" s="20">
        <f>+BC166</f>
        <v>1910.15200307972</v>
      </c>
      <c r="BD58" s="20">
        <f>+BD166</f>
        <v>1916.8375350905</v>
      </c>
      <c r="BE58" s="20">
        <f>+BE166</f>
        <v>1923.54646646332</v>
      </c>
      <c r="BF58" s="20">
        <f>+BF166</f>
        <v>1930.27887909594</v>
      </c>
      <c r="BG58" s="20">
        <f>+BG166</f>
        <v>1937.03485517278</v>
      </c>
      <c r="BH58" s="20">
        <f>+BH166</f>
        <v>1943.81447716588</v>
      </c>
      <c r="BI58" s="20">
        <f>+BI166</f>
        <v>1950.61782783596</v>
      </c>
      <c r="BJ58" s="20">
        <f>+BJ166</f>
        <v>1957.44499023339</v>
      </c>
      <c r="BK58" s="20">
        <f>+BK166</f>
        <v>1964.29604769921</v>
      </c>
      <c r="BL58" s="20">
        <f>+BL166</f>
        <v>1971.17108386615</v>
      </c>
      <c r="BM58" s="20">
        <f>+BM166</f>
        <v>1978.07018265968</v>
      </c>
      <c r="BN58" s="20">
        <f>+BN166</f>
        <v>1984.99342829899</v>
      </c>
      <c r="BO58" s="20">
        <f>+BO166</f>
        <v>1991.94090529804</v>
      </c>
      <c r="BP58" s="20">
        <f>+BP166</f>
        <v>1998.91269846658</v>
      </c>
      <c r="BQ58" s="20">
        <f>+BQ166</f>
        <v>2005.90889291122</v>
      </c>
    </row>
    <row r="59">
      <c r="C59" s="2" t="inlineStr">
        <is>
          <t>Total Other Medical Costs</t>
        </is>
      </c>
      <c r="D59" s="15">
        <f>+SUMIFS($J59:$BQ59,$J$7:$BQ$7,D$8)</f>
        <v>129700</v>
      </c>
      <c r="E59" s="15">
        <f>+SUMIFS($J59:$BQ59,$J$7:$BQ$7,E$8)</f>
        <v>137400</v>
      </c>
      <c r="F59" s="15">
        <f>+SUMIFS($J59:$BQ59,$J$7:$BQ$7,F$8)</f>
        <v>131436.998333333</v>
      </c>
      <c r="G59" s="15">
        <f>+SUMIFS($J59:$BQ59,$J$7:$BQ$7,G$8)</f>
        <v>135171.252057414</v>
      </c>
      <c r="H59" s="15">
        <f>+SUMIFS($J59:$BQ59,$J$7:$BQ$7,H$8)</f>
        <v>140959.015701054</v>
      </c>
      <c r="J59" s="15">
        <f>SUM(J56:J58)</f>
        <v>10500</v>
      </c>
      <c r="K59" s="15">
        <f>SUM(K56:K58)</f>
        <v>10400</v>
      </c>
      <c r="L59" s="15">
        <f>SUM(L56:L58)</f>
        <v>10800</v>
      </c>
      <c r="M59" s="15">
        <f>SUM(M56:M58)</f>
        <v>10600</v>
      </c>
      <c r="N59" s="15">
        <f>SUM(N56:N58)</f>
        <v>11000</v>
      </c>
      <c r="O59" s="15">
        <f>SUM(O56:O58)</f>
        <v>10900</v>
      </c>
      <c r="P59" s="15">
        <f>SUM(P56:P58)</f>
        <v>10600</v>
      </c>
      <c r="Q59" s="15">
        <f>SUM(Q56:Q58)</f>
        <v>11000</v>
      </c>
      <c r="R59" s="15">
        <f>SUM(R56:R58)</f>
        <v>10900</v>
      </c>
      <c r="S59" s="15">
        <f>SUM(S56:S58)</f>
        <v>10900</v>
      </c>
      <c r="T59" s="15">
        <f>SUM(T56:T58)</f>
        <v>10700</v>
      </c>
      <c r="U59" s="15">
        <f>SUM(U56:U58)</f>
        <v>11400</v>
      </c>
      <c r="V59" s="15">
        <f>SUM(V56:V58)</f>
        <v>11200</v>
      </c>
      <c r="W59" s="15">
        <f>SUM(W56:W58)</f>
        <v>11200</v>
      </c>
      <c r="X59" s="15">
        <f>SUM(X56:X58)</f>
        <v>11200</v>
      </c>
      <c r="Y59" s="15">
        <f>SUM(Y56:Y58)</f>
        <v>11000</v>
      </c>
      <c r="Z59" s="15">
        <f>SUM(Z56:Z58)</f>
        <v>11600</v>
      </c>
      <c r="AA59" s="15">
        <f>SUM(AA56:AA58)</f>
        <v>11700</v>
      </c>
      <c r="AB59" s="15">
        <f>SUM(AB56:AB58)</f>
        <v>11600</v>
      </c>
      <c r="AC59" s="15">
        <f>SUM(AC56:AC58)</f>
        <v>11500</v>
      </c>
      <c r="AD59" s="15">
        <f>SUM(AD56:AD58)</f>
        <v>11600</v>
      </c>
      <c r="AE59" s="15">
        <f>SUM(AE56:AE58)</f>
        <v>11400</v>
      </c>
      <c r="AF59" s="15">
        <f>SUM(AF56:AF58)</f>
        <v>11700</v>
      </c>
      <c r="AG59" s="15">
        <f>SUM(AG56:AG58)</f>
        <v>11700</v>
      </c>
      <c r="AH59" s="15">
        <f>SUM(AH56:AH58)</f>
        <v>12100</v>
      </c>
      <c r="AI59" s="15">
        <f>SUM(AI56:AI58)</f>
        <v>12100</v>
      </c>
      <c r="AJ59" s="15">
        <f>SUM(AJ56:AJ58)</f>
        <v>12600</v>
      </c>
      <c r="AK59" s="15">
        <f>SUM(AK56:AK58)</f>
        <v>12000</v>
      </c>
      <c r="AL59" s="15">
        <f>SUM(AL56:AL58)</f>
        <v>12100</v>
      </c>
      <c r="AM59" s="15">
        <f>SUM(AM56:AM58)</f>
        <v>12500</v>
      </c>
      <c r="AN59" s="15">
        <f>SUM(AN56:AN58)</f>
        <v>12300</v>
      </c>
      <c r="AO59" s="15">
        <f>SUM(AO56:AO58)</f>
        <v>12500</v>
      </c>
      <c r="AP59" s="15">
        <f>SUM(AP56:AP58)</f>
        <v>7425.39</v>
      </c>
      <c r="AQ59" s="15">
        <f>SUM(AQ56:AQ58)</f>
        <v>7580</v>
      </c>
      <c r="AR59" s="15">
        <f>SUM(AR56:AR58)</f>
        <v>7221.07</v>
      </c>
      <c r="AS59" s="15">
        <f>SUM(AS56:AS58)</f>
        <v>11010.5383333333</v>
      </c>
      <c r="AT59" s="15">
        <f>SUM(AT56:AT58)</f>
        <v>11049.0752175</v>
      </c>
      <c r="AU59" s="15">
        <f>SUM(AU56:AU58)</f>
        <v>11087.7469807613</v>
      </c>
      <c r="AV59" s="15">
        <f>SUM(AV56:AV58)</f>
        <v>11126.5540951939</v>
      </c>
      <c r="AW59" s="15">
        <f>SUM(AW56:AW58)</f>
        <v>11165.4970345271</v>
      </c>
      <c r="AX59" s="15">
        <f>SUM(AX56:AX58)</f>
        <v>11204.5762741479</v>
      </c>
      <c r="AY59" s="15">
        <f>SUM(AY56:AY58)</f>
        <v>11243.7922911075</v>
      </c>
      <c r="AZ59" s="15">
        <f>SUM(AZ56:AZ58)</f>
        <v>11283.1455641263</v>
      </c>
      <c r="BA59" s="15">
        <f>SUM(BA56:BA58)</f>
        <v>11322.6365736008</v>
      </c>
      <c r="BB59" s="15">
        <f>SUM(BB56:BB58)</f>
        <v>11362.2658016084</v>
      </c>
      <c r="BC59" s="15">
        <f>SUM(BC56:BC58)</f>
        <v>11402.033731914</v>
      </c>
      <c r="BD59" s="15">
        <f>SUM(BD56:BD58)</f>
        <v>11441.9408499757</v>
      </c>
      <c r="BE59" s="15">
        <f>SUM(BE56:BE58)</f>
        <v>11481.9876429506</v>
      </c>
      <c r="BF59" s="15">
        <f>SUM(BF56:BF58)</f>
        <v>11522.174599701</v>
      </c>
      <c r="BG59" s="15">
        <f>SUM(BG56:BG58)</f>
        <v>11562.5022107999</v>
      </c>
      <c r="BH59" s="15">
        <f>SUM(BH56:BH58)</f>
        <v>11602.9709685377</v>
      </c>
      <c r="BI59" s="15">
        <f>SUM(BI56:BI58)</f>
        <v>11643.5813669276</v>
      </c>
      <c r="BJ59" s="15">
        <f>SUM(BJ56:BJ58)</f>
        <v>11684.3339017118</v>
      </c>
      <c r="BK59" s="15">
        <f>SUM(BK56:BK58)</f>
        <v>11725.2290703678</v>
      </c>
      <c r="BL59" s="15">
        <f>SUM(BL56:BL58)</f>
        <v>11766.2673721141</v>
      </c>
      <c r="BM59" s="15">
        <f>SUM(BM56:BM58)</f>
        <v>11807.4493079165</v>
      </c>
      <c r="BN59" s="15">
        <f>SUM(BN56:BN58)</f>
        <v>11848.7753804942</v>
      </c>
      <c r="BO59" s="15">
        <f>SUM(BO56:BO58)</f>
        <v>11890.246094326</v>
      </c>
      <c r="BP59" s="15">
        <f>SUM(BP56:BP58)</f>
        <v>11931.8619556561</v>
      </c>
      <c r="BQ59" s="15">
        <f>SUM(BQ56:BQ58)</f>
        <v>11973.6234725009</v>
      </c>
    </row>
    <row r="61">
      <c r="C61" s="2" t="inlineStr">
        <is>
          <t>Insurance</t>
        </is>
      </c>
    </row>
    <row r="62">
      <c r="C62" s="3" t="inlineStr">
        <is>
          <t>General Business</t>
        </is>
      </c>
      <c r="D62" s="20">
        <f>+SUMIFS($J62:$BQ62,$J$7:$BQ$7,D$8)</f>
        <v>146100</v>
      </c>
      <c r="E62" s="20">
        <f>+SUMIFS($J62:$BQ62,$J$7:$BQ$7,E$8)</f>
        <v>155500</v>
      </c>
      <c r="F62" s="20">
        <f>+SUMIFS($J62:$BQ62,$J$7:$BQ$7,F$8)</f>
        <v>188908.976666667</v>
      </c>
      <c r="G62" s="20">
        <f>+SUMIFS($J62:$BQ62,$J$7:$BQ$7,G$8)</f>
        <v>192166.666666667</v>
      </c>
      <c r="H62" s="20">
        <f>+SUMIFS($J62:$BQ62,$J$7:$BQ$7,H$8)</f>
        <v>267166.666666667</v>
      </c>
      <c r="J62" s="10">
        <f>+INDEX('QoE PF Adj. P&amp;L Aug-26'!$D$11:$AI$108,MATCH($C62,'QoE PF Adj. P&amp;L Aug-26'!$C$11:$C$108,0),MATCH(J$8,'QoE PF Adj. P&amp;L Aug-26'!$D$8:$AI$8,0))*1000</f>
        <v>12600</v>
      </c>
      <c r="K62" s="10">
        <f>+INDEX('QoE PF Adj. P&amp;L Aug-26'!$D$11:$AI$108,MATCH($C62,'QoE PF Adj. P&amp;L Aug-26'!$C$11:$C$108,0),MATCH(K$8,'QoE PF Adj. P&amp;L Aug-26'!$D$8:$AI$8,0))*1000</f>
        <v>12100</v>
      </c>
      <c r="L62" s="10">
        <f>+INDEX('QoE PF Adj. P&amp;L Aug-26'!$D$11:$AI$108,MATCH($C62,'QoE PF Adj. P&amp;L Aug-26'!$C$11:$C$108,0),MATCH(L$8,'QoE PF Adj. P&amp;L Aug-26'!$D$8:$AI$8,0))*1000</f>
        <v>11500</v>
      </c>
      <c r="M62" s="10">
        <f>+INDEX('QoE PF Adj. P&amp;L Aug-26'!$D$11:$AI$108,MATCH($C62,'QoE PF Adj. P&amp;L Aug-26'!$C$11:$C$108,0),MATCH(M$8,'QoE PF Adj. P&amp;L Aug-26'!$D$8:$AI$8,0))*1000</f>
        <v>13000</v>
      </c>
      <c r="N62" s="10">
        <f>+INDEX('QoE PF Adj. P&amp;L Aug-26'!$D$11:$AI$108,MATCH($C62,'QoE PF Adj. P&amp;L Aug-26'!$C$11:$C$108,0),MATCH(N$8,'QoE PF Adj. P&amp;L Aug-26'!$D$8:$AI$8,0))*1000</f>
        <v>11400</v>
      </c>
      <c r="O62" s="10">
        <f>+INDEX('QoE PF Adj. P&amp;L Aug-26'!$D$11:$AI$108,MATCH($C62,'QoE PF Adj. P&amp;L Aug-26'!$C$11:$C$108,0),MATCH(O$8,'QoE PF Adj. P&amp;L Aug-26'!$D$8:$AI$8,0))*1000</f>
        <v>12500</v>
      </c>
      <c r="P62" s="10">
        <f>+INDEX('QoE PF Adj. P&amp;L Aug-26'!$D$11:$AI$108,MATCH($C62,'QoE PF Adj. P&amp;L Aug-26'!$C$11:$C$108,0),MATCH(P$8,'QoE PF Adj. P&amp;L Aug-26'!$D$8:$AI$8,0))*1000</f>
        <v>11900</v>
      </c>
      <c r="Q62" s="10">
        <f>+INDEX('QoE PF Adj. P&amp;L Aug-26'!$D$11:$AI$108,MATCH($C62,'QoE PF Adj. P&amp;L Aug-26'!$C$11:$C$108,0),MATCH(Q$8,'QoE PF Adj. P&amp;L Aug-26'!$D$8:$AI$8,0))*1000</f>
        <v>11600</v>
      </c>
      <c r="R62" s="10">
        <f>+INDEX('QoE PF Adj. P&amp;L Aug-26'!$D$11:$AI$108,MATCH($C62,'QoE PF Adj. P&amp;L Aug-26'!$C$11:$C$108,0),MATCH(R$8,'QoE PF Adj. P&amp;L Aug-26'!$D$8:$AI$8,0))*1000</f>
        <v>12500</v>
      </c>
      <c r="S62" s="10">
        <f>+INDEX('QoE PF Adj. P&amp;L Aug-26'!$D$11:$AI$108,MATCH($C62,'QoE PF Adj. P&amp;L Aug-26'!$C$11:$C$108,0),MATCH(S$8,'QoE PF Adj. P&amp;L Aug-26'!$D$8:$AI$8,0))*1000</f>
        <v>12000</v>
      </c>
      <c r="T62" s="10">
        <f>+INDEX('QoE PF Adj. P&amp;L Aug-26'!$D$11:$AI$108,MATCH($C62,'QoE PF Adj. P&amp;L Aug-26'!$C$11:$C$108,0),MATCH(T$8,'QoE PF Adj. P&amp;L Aug-26'!$D$8:$AI$8,0))*1000</f>
        <v>12800</v>
      </c>
      <c r="U62" s="10">
        <f>+INDEX('QoE PF Adj. P&amp;L Aug-26'!$D$11:$AI$108,MATCH($C62,'QoE PF Adj. P&amp;L Aug-26'!$C$11:$C$108,0),MATCH(U$8,'QoE PF Adj. P&amp;L Aug-26'!$D$8:$AI$8,0))*1000</f>
        <v>12200</v>
      </c>
      <c r="V62" s="10">
        <f>+INDEX('QoE PF Adj. P&amp;L Aug-26'!$D$11:$AI$108,MATCH($C62,'QoE PF Adj. P&amp;L Aug-26'!$C$11:$C$108,0),MATCH(V$8,'QoE PF Adj. P&amp;L Aug-26'!$D$8:$AI$8,0))*1000</f>
        <v>12200</v>
      </c>
      <c r="W62" s="10">
        <f>+INDEX('QoE PF Adj. P&amp;L Aug-26'!$D$11:$AI$108,MATCH($C62,'QoE PF Adj. P&amp;L Aug-26'!$C$11:$C$108,0),MATCH(W$8,'QoE PF Adj. P&amp;L Aug-26'!$D$8:$AI$8,0))*1000</f>
        <v>12000</v>
      </c>
      <c r="X62" s="10">
        <f>+INDEX('QoE PF Adj. P&amp;L Aug-26'!$D$11:$AI$108,MATCH($C62,'QoE PF Adj. P&amp;L Aug-26'!$C$11:$C$108,0),MATCH(X$8,'QoE PF Adj. P&amp;L Aug-26'!$D$8:$AI$8,0))*1000</f>
        <v>12200</v>
      </c>
      <c r="Y62" s="10">
        <f>+INDEX('QoE PF Adj. P&amp;L Aug-26'!$D$11:$AI$108,MATCH($C62,'QoE PF Adj. P&amp;L Aug-26'!$C$11:$C$108,0),MATCH(Y$8,'QoE PF Adj. P&amp;L Aug-26'!$D$8:$AI$8,0))*1000</f>
        <v>12300</v>
      </c>
      <c r="Z62" s="10">
        <f>+INDEX('QoE PF Adj. P&amp;L Aug-26'!$D$11:$AI$108,MATCH($C62,'QoE PF Adj. P&amp;L Aug-26'!$C$11:$C$108,0),MATCH(Z$8,'QoE PF Adj. P&amp;L Aug-26'!$D$8:$AI$8,0))*1000</f>
        <v>13000</v>
      </c>
      <c r="AA62" s="10">
        <f>+INDEX('QoE PF Adj. P&amp;L Aug-26'!$D$11:$AI$108,MATCH($C62,'QoE PF Adj. P&amp;L Aug-26'!$C$11:$C$108,0),MATCH(AA$8,'QoE PF Adj. P&amp;L Aug-26'!$D$8:$AI$8,0))*1000</f>
        <v>13100</v>
      </c>
      <c r="AB62" s="10">
        <f>+INDEX('QoE PF Adj. P&amp;L Aug-26'!$D$11:$AI$108,MATCH($C62,'QoE PF Adj. P&amp;L Aug-26'!$C$11:$C$108,0),MATCH(AB$8,'QoE PF Adj. P&amp;L Aug-26'!$D$8:$AI$8,0))*1000</f>
        <v>13800</v>
      </c>
      <c r="AC62" s="10">
        <f>+INDEX('QoE PF Adj. P&amp;L Aug-26'!$D$11:$AI$108,MATCH($C62,'QoE PF Adj. P&amp;L Aug-26'!$C$11:$C$108,0),MATCH(AC$8,'QoE PF Adj. P&amp;L Aug-26'!$D$8:$AI$8,0))*1000</f>
        <v>13200</v>
      </c>
      <c r="AD62" s="10">
        <f>+INDEX('QoE PF Adj. P&amp;L Aug-26'!$D$11:$AI$108,MATCH($C62,'QoE PF Adj. P&amp;L Aug-26'!$C$11:$C$108,0),MATCH(AD$8,'QoE PF Adj. P&amp;L Aug-26'!$D$8:$AI$8,0))*1000</f>
        <v>13500</v>
      </c>
      <c r="AE62" s="10">
        <f>+INDEX('QoE PF Adj. P&amp;L Aug-26'!$D$11:$AI$108,MATCH($C62,'QoE PF Adj. P&amp;L Aug-26'!$C$11:$C$108,0),MATCH(AE$8,'QoE PF Adj. P&amp;L Aug-26'!$D$8:$AI$8,0))*1000</f>
        <v>12900</v>
      </c>
      <c r="AF62" s="10">
        <f>+INDEX('QoE PF Adj. P&amp;L Aug-26'!$D$11:$AI$108,MATCH($C62,'QoE PF Adj. P&amp;L Aug-26'!$C$11:$C$108,0),MATCH(AF$8,'QoE PF Adj. P&amp;L Aug-26'!$D$8:$AI$8,0))*1000</f>
        <v>14200</v>
      </c>
      <c r="AG62" s="10">
        <f>+INDEX('QoE PF Adj. P&amp;L Aug-26'!$D$11:$AI$108,MATCH($C62,'QoE PF Adj. P&amp;L Aug-26'!$C$11:$C$108,0),MATCH(AG$8,'QoE PF Adj. P&amp;L Aug-26'!$D$8:$AI$8,0))*1000</f>
        <v>13100</v>
      </c>
      <c r="AH62" s="10">
        <f>+INDEX('QoE PF Adj. P&amp;L Aug-26'!$D$11:$AI$108,MATCH($C62,'QoE PF Adj. P&amp;L Aug-26'!$C$11:$C$108,0),MATCH(AH$8,'QoE PF Adj. P&amp;L Aug-26'!$D$8:$AI$8,0))*1000</f>
        <v>13300</v>
      </c>
      <c r="AI62" s="10">
        <f>+INDEX('QoE PF Adj. P&amp;L Aug-26'!$D$11:$AI$108,MATCH($C62,'QoE PF Adj. P&amp;L Aug-26'!$C$11:$C$108,0),MATCH(AI$8,'QoE PF Adj. P&amp;L Aug-26'!$D$8:$AI$8,0))*1000</f>
        <v>13200</v>
      </c>
      <c r="AJ62" s="10">
        <f>+INDEX('QoE PF Adj. P&amp;L Aug-26'!$D$11:$AI$108,MATCH($C62,'QoE PF Adj. P&amp;L Aug-26'!$C$11:$C$108,0),MATCH(AJ$8,'QoE PF Adj. P&amp;L Aug-26'!$D$8:$AI$8,0))*1000</f>
        <v>14800</v>
      </c>
      <c r="AK62" s="10">
        <f>+INDEX('QoE PF Adj. P&amp;L Aug-26'!$D$11:$AI$108,MATCH($C62,'QoE PF Adj. P&amp;L Aug-26'!$C$11:$C$108,0),MATCH(AK$8,'QoE PF Adj. P&amp;L Aug-26'!$D$8:$AI$8,0))*1000</f>
        <v>14600</v>
      </c>
      <c r="AL62" s="10">
        <f>+INDEX('QoE PF Adj. P&amp;L Aug-26'!$D$11:$AI$108,MATCH($C62,'QoE PF Adj. P&amp;L Aug-26'!$C$11:$C$108,0),MATCH(AL$8,'QoE PF Adj. P&amp;L Aug-26'!$D$8:$AI$8,0))*1000</f>
        <v>13900</v>
      </c>
      <c r="AM62" s="10">
        <f>+INDEX('QoE PF Adj. P&amp;L Aug-26'!$D$11:$AI$108,MATCH($C62,'QoE PF Adj. P&amp;L Aug-26'!$C$11:$C$108,0),MATCH(AM$8,'QoE PF Adj. P&amp;L Aug-26'!$D$8:$AI$8,0))*1000</f>
        <v>14600</v>
      </c>
      <c r="AN62" s="10">
        <f>+INDEX('QoE PF Adj. P&amp;L Aug-26'!$D$11:$AI$108,MATCH($C62,'QoE PF Adj. P&amp;L Aug-26'!$C$11:$C$108,0),MATCH(AN$8,'QoE PF Adj. P&amp;L Aug-26'!$D$8:$AI$8,0))*1000</f>
        <v>13700</v>
      </c>
      <c r="AO62" s="10">
        <f>+INDEX('QoE PF Adj. P&amp;L Aug-26'!$D$11:$AI$108,MATCH($C62,'QoE PF Adj. P&amp;L Aug-26'!$C$11:$C$108,0),MATCH(AO$8,'QoE PF Adj. P&amp;L Aug-26'!$D$8:$AI$8,0))*1000</f>
        <v>13600</v>
      </c>
      <c r="AP62" s="10">
        <f>+SUMIFS('Sep - Nov P&amp;L'!I:I,'Sep - Nov P&amp;L'!$D:$D,$C62)</f>
        <v>20403.37</v>
      </c>
      <c r="AQ62" s="10">
        <f>+SUMIFS('Sep - Nov P&amp;L'!J:J,'Sep - Nov P&amp;L'!$D:$D,$C62)</f>
        <v>19957.11</v>
      </c>
      <c r="AR62" s="10">
        <f>+SUMIFS('Sep - Nov P&amp;L'!K:K,'Sep - Nov P&amp;L'!$D:$D,$C62)</f>
        <v>21181.83</v>
      </c>
      <c r="AS62" s="10">
        <f>+'Separate Line Item Builds'!AS41</f>
        <v>15666.6666666667</v>
      </c>
      <c r="AT62" s="10">
        <f>+'Separate Line Item Builds'!AT41</f>
        <v>15666.6666666667</v>
      </c>
      <c r="AU62" s="10">
        <f>+'Separate Line Item Builds'!AU41</f>
        <v>15666.6666666667</v>
      </c>
      <c r="AV62" s="10">
        <f>+'Separate Line Item Builds'!AV41</f>
        <v>15666.6666666667</v>
      </c>
      <c r="AW62" s="10">
        <f>+'Separate Line Item Builds'!AW41</f>
        <v>15666.6666666667</v>
      </c>
      <c r="AX62" s="10">
        <f>+'Separate Line Item Builds'!AX41</f>
        <v>15666.6666666667</v>
      </c>
      <c r="AY62" s="10">
        <f>+'Separate Line Item Builds'!AY41</f>
        <v>15666.6666666667</v>
      </c>
      <c r="AZ62" s="10">
        <f>+'Separate Line Item Builds'!AZ41</f>
        <v>15666.6666666667</v>
      </c>
      <c r="BA62" s="10">
        <f>+'Separate Line Item Builds'!BA41</f>
        <v>15666.6666666667</v>
      </c>
      <c r="BB62" s="10">
        <f>+'Separate Line Item Builds'!BB41</f>
        <v>15666.6666666667</v>
      </c>
      <c r="BC62" s="10">
        <f>+'Separate Line Item Builds'!BC41</f>
        <v>15666.6666666667</v>
      </c>
      <c r="BD62" s="10">
        <f>+'Separate Line Item Builds'!BD41</f>
        <v>15666.6666666667</v>
      </c>
      <c r="BE62" s="10">
        <f>+'Separate Line Item Builds'!BE41</f>
        <v>19833.3333333333</v>
      </c>
      <c r="BF62" s="10">
        <f>+'Separate Line Item Builds'!BF41</f>
        <v>19833.3333333333</v>
      </c>
      <c r="BG62" s="10">
        <f>+'Separate Line Item Builds'!BG41</f>
        <v>19833.3333333333</v>
      </c>
      <c r="BH62" s="10">
        <f>+'Separate Line Item Builds'!BH41</f>
        <v>19833.3333333333</v>
      </c>
      <c r="BI62" s="10">
        <f>+'Separate Line Item Builds'!BI41</f>
        <v>19833.3333333333</v>
      </c>
      <c r="BJ62" s="10">
        <f>+'Separate Line Item Builds'!BJ41</f>
        <v>19833.3333333333</v>
      </c>
      <c r="BK62" s="10">
        <f>+'Separate Line Item Builds'!BK41</f>
        <v>24000</v>
      </c>
      <c r="BL62" s="10">
        <f>+'Separate Line Item Builds'!BL41</f>
        <v>24000</v>
      </c>
      <c r="BM62" s="10">
        <f>+'Separate Line Item Builds'!BM41</f>
        <v>24000</v>
      </c>
      <c r="BN62" s="10">
        <f>+'Separate Line Item Builds'!BN41</f>
        <v>24000</v>
      </c>
      <c r="BO62" s="10">
        <f>+'Separate Line Item Builds'!BO41</f>
        <v>24000</v>
      </c>
      <c r="BP62" s="10">
        <f>+'Separate Line Item Builds'!BP41</f>
        <v>24000</v>
      </c>
      <c r="BQ62" s="10">
        <f>+'Separate Line Item Builds'!BQ41</f>
        <v>24000</v>
      </c>
    </row>
    <row r="63">
      <c r="C63" s="3" t="inlineStr">
        <is>
          <t>Malpractice Insurance</t>
        </is>
      </c>
      <c r="D63" s="20">
        <f>+SUMIFS($J63:$BQ63,$J$7:$BQ$7,D$8)</f>
        <v>31900</v>
      </c>
      <c r="E63" s="20">
        <f>+SUMIFS($J63:$BQ63,$J$7:$BQ$7,E$8)</f>
        <v>33900</v>
      </c>
      <c r="F63" s="20">
        <f>+SUMIFS($J63:$BQ63,$J$7:$BQ$7,F$8)</f>
        <v>26466.6666666667</v>
      </c>
      <c r="G63" s="20">
        <f>+SUMIFS($J63:$BQ63,$J$7:$BQ$7,G$8)</f>
        <v>27826.8111925624</v>
      </c>
      <c r="H63" s="20">
        <f>+SUMIFS($J63:$BQ63,$J$7:$BQ$7,H$8)</f>
        <v>29018.29979452</v>
      </c>
      <c r="J63" s="10">
        <f>+INDEX('QoE PF Adj. P&amp;L Aug-26'!$D$11:$AI$108,MATCH($C63,'QoE PF Adj. P&amp;L Aug-26'!$C$11:$C$108,0),MATCH(J$8,'QoE PF Adj. P&amp;L Aug-26'!$D$8:$AI$8,0))*1000</f>
        <v>2500</v>
      </c>
      <c r="K63" s="10">
        <f>+INDEX('QoE PF Adj. P&amp;L Aug-26'!$D$11:$AI$108,MATCH($C63,'QoE PF Adj. P&amp;L Aug-26'!$C$11:$C$108,0),MATCH(K$8,'QoE PF Adj. P&amp;L Aug-26'!$D$8:$AI$8,0))*1000</f>
        <v>2800</v>
      </c>
      <c r="L63" s="10">
        <f>+INDEX('QoE PF Adj. P&amp;L Aug-26'!$D$11:$AI$108,MATCH($C63,'QoE PF Adj. P&amp;L Aug-26'!$C$11:$C$108,0),MATCH(L$8,'QoE PF Adj. P&amp;L Aug-26'!$D$8:$AI$8,0))*1000</f>
        <v>2500</v>
      </c>
      <c r="M63" s="10">
        <f>+INDEX('QoE PF Adj. P&amp;L Aug-26'!$D$11:$AI$108,MATCH($C63,'QoE PF Adj. P&amp;L Aug-26'!$C$11:$C$108,0),MATCH(M$8,'QoE PF Adj. P&amp;L Aug-26'!$D$8:$AI$8,0))*1000</f>
        <v>2500</v>
      </c>
      <c r="N63" s="10">
        <f>+INDEX('QoE PF Adj. P&amp;L Aug-26'!$D$11:$AI$108,MATCH($C63,'QoE PF Adj. P&amp;L Aug-26'!$C$11:$C$108,0),MATCH(N$8,'QoE PF Adj. P&amp;L Aug-26'!$D$8:$AI$8,0))*1000</f>
        <v>2600</v>
      </c>
      <c r="O63" s="10">
        <f>+INDEX('QoE PF Adj. P&amp;L Aug-26'!$D$11:$AI$108,MATCH($C63,'QoE PF Adj. P&amp;L Aug-26'!$C$11:$C$108,0),MATCH(O$8,'QoE PF Adj. P&amp;L Aug-26'!$D$8:$AI$8,0))*1000</f>
        <v>2600</v>
      </c>
      <c r="P63" s="10">
        <f>+INDEX('QoE PF Adj. P&amp;L Aug-26'!$D$11:$AI$108,MATCH($C63,'QoE PF Adj. P&amp;L Aug-26'!$C$11:$C$108,0),MATCH(P$8,'QoE PF Adj. P&amp;L Aug-26'!$D$8:$AI$8,0))*1000</f>
        <v>2600</v>
      </c>
      <c r="Q63" s="10">
        <f>+INDEX('QoE PF Adj. P&amp;L Aug-26'!$D$11:$AI$108,MATCH($C63,'QoE PF Adj. P&amp;L Aug-26'!$C$11:$C$108,0),MATCH(Q$8,'QoE PF Adj. P&amp;L Aug-26'!$D$8:$AI$8,0))*1000</f>
        <v>2700</v>
      </c>
      <c r="R63" s="10">
        <f>+INDEX('QoE PF Adj. P&amp;L Aug-26'!$D$11:$AI$108,MATCH($C63,'QoE PF Adj. P&amp;L Aug-26'!$C$11:$C$108,0),MATCH(R$8,'QoE PF Adj. P&amp;L Aug-26'!$D$8:$AI$8,0))*1000</f>
        <v>2600</v>
      </c>
      <c r="S63" s="10">
        <f>+INDEX('QoE PF Adj. P&amp;L Aug-26'!$D$11:$AI$108,MATCH($C63,'QoE PF Adj. P&amp;L Aug-26'!$C$11:$C$108,0),MATCH(S$8,'QoE PF Adj. P&amp;L Aug-26'!$D$8:$AI$8,0))*1000</f>
        <v>2900</v>
      </c>
      <c r="T63" s="10">
        <f>+INDEX('QoE PF Adj. P&amp;L Aug-26'!$D$11:$AI$108,MATCH($C63,'QoE PF Adj. P&amp;L Aug-26'!$C$11:$C$108,0),MATCH(T$8,'QoE PF Adj. P&amp;L Aug-26'!$D$8:$AI$8,0))*1000</f>
        <v>2700</v>
      </c>
      <c r="U63" s="10">
        <f>+INDEX('QoE PF Adj. P&amp;L Aug-26'!$D$11:$AI$108,MATCH($C63,'QoE PF Adj. P&amp;L Aug-26'!$C$11:$C$108,0),MATCH(U$8,'QoE PF Adj. P&amp;L Aug-26'!$D$8:$AI$8,0))*1000</f>
        <v>2900</v>
      </c>
      <c r="V63" s="10">
        <f>+INDEX('QoE PF Adj. P&amp;L Aug-26'!$D$11:$AI$108,MATCH($C63,'QoE PF Adj. P&amp;L Aug-26'!$C$11:$C$108,0),MATCH(V$8,'QoE PF Adj. P&amp;L Aug-26'!$D$8:$AI$8,0))*1000</f>
        <v>2800</v>
      </c>
      <c r="W63" s="10">
        <f>+INDEX('QoE PF Adj. P&amp;L Aug-26'!$D$11:$AI$108,MATCH($C63,'QoE PF Adj. P&amp;L Aug-26'!$C$11:$C$108,0),MATCH(W$8,'QoE PF Adj. P&amp;L Aug-26'!$D$8:$AI$8,0))*1000</f>
        <v>2700</v>
      </c>
      <c r="X63" s="10">
        <f>+INDEX('QoE PF Adj. P&amp;L Aug-26'!$D$11:$AI$108,MATCH($C63,'QoE PF Adj. P&amp;L Aug-26'!$C$11:$C$108,0),MATCH(X$8,'QoE PF Adj. P&amp;L Aug-26'!$D$8:$AI$8,0))*1000</f>
        <v>2800</v>
      </c>
      <c r="Y63" s="10">
        <f>+INDEX('QoE PF Adj. P&amp;L Aug-26'!$D$11:$AI$108,MATCH($C63,'QoE PF Adj. P&amp;L Aug-26'!$C$11:$C$108,0),MATCH(Y$8,'QoE PF Adj. P&amp;L Aug-26'!$D$8:$AI$8,0))*1000</f>
        <v>3000</v>
      </c>
      <c r="Z63" s="10">
        <f>+INDEX('QoE PF Adj. P&amp;L Aug-26'!$D$11:$AI$108,MATCH($C63,'QoE PF Adj. P&amp;L Aug-26'!$C$11:$C$108,0),MATCH(Z$8,'QoE PF Adj. P&amp;L Aug-26'!$D$8:$AI$8,0))*1000</f>
        <v>2600</v>
      </c>
      <c r="AA63" s="10">
        <f>+INDEX('QoE PF Adj. P&amp;L Aug-26'!$D$11:$AI$108,MATCH($C63,'QoE PF Adj. P&amp;L Aug-26'!$C$11:$C$108,0),MATCH(AA$8,'QoE PF Adj. P&amp;L Aug-26'!$D$8:$AI$8,0))*1000</f>
        <v>2800</v>
      </c>
      <c r="AB63" s="10">
        <f>+INDEX('QoE PF Adj. P&amp;L Aug-26'!$D$11:$AI$108,MATCH($C63,'QoE PF Adj. P&amp;L Aug-26'!$C$11:$C$108,0),MATCH(AB$8,'QoE PF Adj. P&amp;L Aug-26'!$D$8:$AI$8,0))*1000</f>
        <v>2700</v>
      </c>
      <c r="AC63" s="10">
        <f>+INDEX('QoE PF Adj. P&amp;L Aug-26'!$D$11:$AI$108,MATCH($C63,'QoE PF Adj. P&amp;L Aug-26'!$C$11:$C$108,0),MATCH(AC$8,'QoE PF Adj. P&amp;L Aug-26'!$D$8:$AI$8,0))*1000</f>
        <v>2900</v>
      </c>
      <c r="AD63" s="10">
        <f>+INDEX('QoE PF Adj. P&amp;L Aug-26'!$D$11:$AI$108,MATCH($C63,'QoE PF Adj. P&amp;L Aug-26'!$C$11:$C$108,0),MATCH(AD$8,'QoE PF Adj. P&amp;L Aug-26'!$D$8:$AI$8,0))*1000</f>
        <v>2800</v>
      </c>
      <c r="AE63" s="10">
        <f>+INDEX('QoE PF Adj. P&amp;L Aug-26'!$D$11:$AI$108,MATCH($C63,'QoE PF Adj. P&amp;L Aug-26'!$C$11:$C$108,0),MATCH(AE$8,'QoE PF Adj. P&amp;L Aug-26'!$D$8:$AI$8,0))*1000</f>
        <v>2800</v>
      </c>
      <c r="AF63" s="10">
        <f>+INDEX('QoE PF Adj. P&amp;L Aug-26'!$D$11:$AI$108,MATCH($C63,'QoE PF Adj. P&amp;L Aug-26'!$C$11:$C$108,0),MATCH(AF$8,'QoE PF Adj. P&amp;L Aug-26'!$D$8:$AI$8,0))*1000</f>
        <v>3000</v>
      </c>
      <c r="AG63" s="10">
        <f>+INDEX('QoE PF Adj. P&amp;L Aug-26'!$D$11:$AI$108,MATCH($C63,'QoE PF Adj. P&amp;L Aug-26'!$C$11:$C$108,0),MATCH(AG$8,'QoE PF Adj. P&amp;L Aug-26'!$D$8:$AI$8,0))*1000</f>
        <v>3000</v>
      </c>
      <c r="AH63" s="10">
        <f>+INDEX('QoE PF Adj. P&amp;L Aug-26'!$D$11:$AI$108,MATCH($C63,'QoE PF Adj. P&amp;L Aug-26'!$C$11:$C$108,0),MATCH(AH$8,'QoE PF Adj. P&amp;L Aug-26'!$D$8:$AI$8,0))*1000</f>
        <v>2800</v>
      </c>
      <c r="AI63" s="10">
        <f>+INDEX('QoE PF Adj. P&amp;L Aug-26'!$D$11:$AI$108,MATCH($C63,'QoE PF Adj. P&amp;L Aug-26'!$C$11:$C$108,0),MATCH(AI$8,'QoE PF Adj. P&amp;L Aug-26'!$D$8:$AI$8,0))*1000</f>
        <v>3200</v>
      </c>
      <c r="AJ63" s="10">
        <f>+INDEX('QoE PF Adj. P&amp;L Aug-26'!$D$11:$AI$108,MATCH($C63,'QoE PF Adj. P&amp;L Aug-26'!$C$11:$C$108,0),MATCH(AJ$8,'QoE PF Adj. P&amp;L Aug-26'!$D$8:$AI$8,0))*1000</f>
        <v>3100</v>
      </c>
      <c r="AK63" s="10">
        <f>+INDEX('QoE PF Adj. P&amp;L Aug-26'!$D$11:$AI$108,MATCH($C63,'QoE PF Adj. P&amp;L Aug-26'!$C$11:$C$108,0),MATCH(AK$8,'QoE PF Adj. P&amp;L Aug-26'!$D$8:$AI$8,0))*1000</f>
        <v>2900</v>
      </c>
      <c r="AL63" s="10">
        <f>+INDEX('QoE PF Adj. P&amp;L Aug-26'!$D$11:$AI$108,MATCH($C63,'QoE PF Adj. P&amp;L Aug-26'!$C$11:$C$108,0),MATCH(AL$8,'QoE PF Adj. P&amp;L Aug-26'!$D$8:$AI$8,0))*1000</f>
        <v>3100</v>
      </c>
      <c r="AM63" s="10">
        <f>+INDEX('QoE PF Adj. P&amp;L Aug-26'!$D$11:$AI$108,MATCH($C63,'QoE PF Adj. P&amp;L Aug-26'!$C$11:$C$108,0),MATCH(AM$8,'QoE PF Adj. P&amp;L Aug-26'!$D$8:$AI$8,0))*1000</f>
        <v>3100</v>
      </c>
      <c r="AN63" s="10">
        <f>+INDEX('QoE PF Adj. P&amp;L Aug-26'!$D$11:$AI$108,MATCH($C63,'QoE PF Adj. P&amp;L Aug-26'!$C$11:$C$108,0),MATCH(AN$8,'QoE PF Adj. P&amp;L Aug-26'!$D$8:$AI$8,0))*1000</f>
        <v>3000</v>
      </c>
      <c r="AO63" s="10">
        <f>+INDEX('QoE PF Adj. P&amp;L Aug-26'!$D$11:$AI$108,MATCH($C63,'QoE PF Adj. P&amp;L Aug-26'!$C$11:$C$108,0),MATCH(AO$8,'QoE PF Adj. P&amp;L Aug-26'!$D$8:$AI$8,0))*1000</f>
        <v>3000</v>
      </c>
      <c r="AP63" s="10">
        <f>+SUMIFS('Sep - Nov P&amp;L'!I:I,'Sep - Nov P&amp;L'!$D:$D,$C63)</f>
        <v>0</v>
      </c>
      <c r="AQ63" s="10">
        <f>+SUMIFS('Sep - Nov P&amp;L'!J:J,'Sep - Nov P&amp;L'!$D:$D,$C63)</f>
        <v>0</v>
      </c>
      <c r="AR63" s="10">
        <f>+SUMIFS('Sep - Nov P&amp;L'!K:K,'Sep - Nov P&amp;L'!$D:$D,$C63)</f>
        <v>0</v>
      </c>
      <c r="AS63" s="20">
        <f>+AS171</f>
        <v>2266.66666666667</v>
      </c>
      <c r="AT63" s="20">
        <f>+AT171</f>
        <v>2274.6</v>
      </c>
      <c r="AU63" s="20">
        <f>+AU171</f>
        <v>2282.5611</v>
      </c>
      <c r="AV63" s="20">
        <f>+AV171</f>
        <v>2290.55006385</v>
      </c>
      <c r="AW63" s="20">
        <f>+AW171</f>
        <v>2298.56698907348</v>
      </c>
      <c r="AX63" s="20">
        <f>+AX171</f>
        <v>2306.61197353523</v>
      </c>
      <c r="AY63" s="20">
        <f>+AY171</f>
        <v>2314.68511544261</v>
      </c>
      <c r="AZ63" s="20">
        <f>+AZ171</f>
        <v>2322.78651334666</v>
      </c>
      <c r="BA63" s="20">
        <f>+BA171</f>
        <v>2330.91626614337</v>
      </c>
      <c r="BB63" s="20">
        <f>+BB171</f>
        <v>2339.07447307487</v>
      </c>
      <c r="BC63" s="20">
        <f>+BC171</f>
        <v>2347.26123373063</v>
      </c>
      <c r="BD63" s="20">
        <f>+BD171</f>
        <v>2355.47664804869</v>
      </c>
      <c r="BE63" s="20">
        <f>+BE171</f>
        <v>2363.72081631686</v>
      </c>
      <c r="BF63" s="20">
        <f>+BF171</f>
        <v>2371.99383917397</v>
      </c>
      <c r="BG63" s="20">
        <f>+BG171</f>
        <v>2380.29581761108</v>
      </c>
      <c r="BH63" s="20">
        <f>+BH171</f>
        <v>2388.62685297272</v>
      </c>
      <c r="BI63" s="20">
        <f>+BI171</f>
        <v>2396.98704695812</v>
      </c>
      <c r="BJ63" s="20">
        <f>+BJ171</f>
        <v>2405.37650162248</v>
      </c>
      <c r="BK63" s="20">
        <f>+BK171</f>
        <v>2413.79531937816</v>
      </c>
      <c r="BL63" s="20">
        <f>+BL171</f>
        <v>2422.24360299598</v>
      </c>
      <c r="BM63" s="20">
        <f>+BM171</f>
        <v>2430.72145560647</v>
      </c>
      <c r="BN63" s="20">
        <f>+BN171</f>
        <v>2439.22898070109</v>
      </c>
      <c r="BO63" s="20">
        <f>+BO171</f>
        <v>2447.76628213354</v>
      </c>
      <c r="BP63" s="20">
        <f>+BP171</f>
        <v>2456.33346412101</v>
      </c>
      <c r="BQ63" s="20">
        <f>+BQ171</f>
        <v>2464.93063124543</v>
      </c>
    </row>
    <row r="64">
      <c r="C64" s="3" t="inlineStr">
        <is>
          <t>Liability Insurance</t>
        </is>
      </c>
      <c r="D64" s="20">
        <f>+SUMIFS($J64:$BQ64,$J$7:$BQ$7,D$8)</f>
        <v>25900</v>
      </c>
      <c r="E64" s="20">
        <f>+SUMIFS($J64:$BQ64,$J$7:$BQ$7,E$8)</f>
        <v>27100</v>
      </c>
      <c r="F64" s="20">
        <f>+SUMIFS($J64:$BQ64,$J$7:$BQ$7,F$8)</f>
        <v>20575</v>
      </c>
      <c r="G64" s="20">
        <f>+SUMIFS($J64:$BQ64,$J$7:$BQ$7,G$8)</f>
        <v>21790.8484706463</v>
      </c>
      <c r="H64" s="20">
        <f>+SUMIFS($J64:$BQ64,$J$7:$BQ$7,H$8)</f>
        <v>22723.8891773264</v>
      </c>
      <c r="J64" s="10">
        <f>+INDEX('QoE PF Adj. P&amp;L Aug-26'!$D$11:$AI$108,MATCH($C64,'QoE PF Adj. P&amp;L Aug-26'!$C$11:$C$108,0),MATCH(J$8,'QoE PF Adj. P&amp;L Aug-26'!$D$8:$AI$8,0))*1000</f>
        <v>2000</v>
      </c>
      <c r="K64" s="10">
        <f>+INDEX('QoE PF Adj. P&amp;L Aug-26'!$D$11:$AI$108,MATCH($C64,'QoE PF Adj. P&amp;L Aug-26'!$C$11:$C$108,0),MATCH(K$8,'QoE PF Adj. P&amp;L Aug-26'!$D$8:$AI$8,0))*1000</f>
        <v>2000</v>
      </c>
      <c r="L64" s="10">
        <f>+INDEX('QoE PF Adj. P&amp;L Aug-26'!$D$11:$AI$108,MATCH($C64,'QoE PF Adj. P&amp;L Aug-26'!$C$11:$C$108,0),MATCH(L$8,'QoE PF Adj. P&amp;L Aug-26'!$D$8:$AI$8,0))*1000</f>
        <v>2300</v>
      </c>
      <c r="M64" s="10">
        <f>+INDEX('QoE PF Adj. P&amp;L Aug-26'!$D$11:$AI$108,MATCH($C64,'QoE PF Adj. P&amp;L Aug-26'!$C$11:$C$108,0),MATCH(M$8,'QoE PF Adj. P&amp;L Aug-26'!$D$8:$AI$8,0))*1000</f>
        <v>2100</v>
      </c>
      <c r="N64" s="10">
        <f>+INDEX('QoE PF Adj. P&amp;L Aug-26'!$D$11:$AI$108,MATCH($C64,'QoE PF Adj. P&amp;L Aug-26'!$C$11:$C$108,0),MATCH(N$8,'QoE PF Adj. P&amp;L Aug-26'!$D$8:$AI$8,0))*1000</f>
        <v>2100</v>
      </c>
      <c r="O64" s="10">
        <f>+INDEX('QoE PF Adj. P&amp;L Aug-26'!$D$11:$AI$108,MATCH($C64,'QoE PF Adj. P&amp;L Aug-26'!$C$11:$C$108,0),MATCH(O$8,'QoE PF Adj. P&amp;L Aug-26'!$D$8:$AI$8,0))*1000</f>
        <v>2200</v>
      </c>
      <c r="P64" s="10">
        <f>+INDEX('QoE PF Adj. P&amp;L Aug-26'!$D$11:$AI$108,MATCH($C64,'QoE PF Adj. P&amp;L Aug-26'!$C$11:$C$108,0),MATCH(P$8,'QoE PF Adj. P&amp;L Aug-26'!$D$8:$AI$8,0))*1000</f>
        <v>2300</v>
      </c>
      <c r="Q64" s="10">
        <f>+INDEX('QoE PF Adj. P&amp;L Aug-26'!$D$11:$AI$108,MATCH($C64,'QoE PF Adj. P&amp;L Aug-26'!$C$11:$C$108,0),MATCH(Q$8,'QoE PF Adj. P&amp;L Aug-26'!$D$8:$AI$8,0))*1000</f>
        <v>2200</v>
      </c>
      <c r="R64" s="10">
        <f>+INDEX('QoE PF Adj. P&amp;L Aug-26'!$D$11:$AI$108,MATCH($C64,'QoE PF Adj. P&amp;L Aug-26'!$C$11:$C$108,0),MATCH(R$8,'QoE PF Adj. P&amp;L Aug-26'!$D$8:$AI$8,0))*1000</f>
        <v>2300</v>
      </c>
      <c r="S64" s="10">
        <f>+INDEX('QoE PF Adj. P&amp;L Aug-26'!$D$11:$AI$108,MATCH($C64,'QoE PF Adj. P&amp;L Aug-26'!$C$11:$C$108,0),MATCH(S$8,'QoE PF Adj. P&amp;L Aug-26'!$D$8:$AI$8,0))*1000</f>
        <v>2100</v>
      </c>
      <c r="T64" s="10">
        <f>+INDEX('QoE PF Adj. P&amp;L Aug-26'!$D$11:$AI$108,MATCH($C64,'QoE PF Adj. P&amp;L Aug-26'!$C$11:$C$108,0),MATCH(T$8,'QoE PF Adj. P&amp;L Aug-26'!$D$8:$AI$8,0))*1000</f>
        <v>2100</v>
      </c>
      <c r="U64" s="10">
        <f>+INDEX('QoE PF Adj. P&amp;L Aug-26'!$D$11:$AI$108,MATCH($C64,'QoE PF Adj. P&amp;L Aug-26'!$C$11:$C$108,0),MATCH(U$8,'QoE PF Adj. P&amp;L Aug-26'!$D$8:$AI$8,0))*1000</f>
        <v>2200</v>
      </c>
      <c r="V64" s="10">
        <f>+INDEX('QoE PF Adj. P&amp;L Aug-26'!$D$11:$AI$108,MATCH($C64,'QoE PF Adj. P&amp;L Aug-26'!$C$11:$C$108,0),MATCH(V$8,'QoE PF Adj. P&amp;L Aug-26'!$D$8:$AI$8,0))*1000</f>
        <v>2100</v>
      </c>
      <c r="W64" s="10">
        <f>+INDEX('QoE PF Adj. P&amp;L Aug-26'!$D$11:$AI$108,MATCH($C64,'QoE PF Adj. P&amp;L Aug-26'!$C$11:$C$108,0),MATCH(W$8,'QoE PF Adj. P&amp;L Aug-26'!$D$8:$AI$8,0))*1000</f>
        <v>2200</v>
      </c>
      <c r="X64" s="10">
        <f>+INDEX('QoE PF Adj. P&amp;L Aug-26'!$D$11:$AI$108,MATCH($C64,'QoE PF Adj. P&amp;L Aug-26'!$C$11:$C$108,0),MATCH(X$8,'QoE PF Adj. P&amp;L Aug-26'!$D$8:$AI$8,0))*1000</f>
        <v>2100</v>
      </c>
      <c r="Y64" s="10">
        <f>+INDEX('QoE PF Adj. P&amp;L Aug-26'!$D$11:$AI$108,MATCH($C64,'QoE PF Adj. P&amp;L Aug-26'!$C$11:$C$108,0),MATCH(Y$8,'QoE PF Adj. P&amp;L Aug-26'!$D$8:$AI$8,0))*1000</f>
        <v>2100</v>
      </c>
      <c r="Z64" s="10">
        <f>+INDEX('QoE PF Adj. P&amp;L Aug-26'!$D$11:$AI$108,MATCH($C64,'QoE PF Adj. P&amp;L Aug-26'!$C$11:$C$108,0),MATCH(Z$8,'QoE PF Adj. P&amp;L Aug-26'!$D$8:$AI$8,0))*1000</f>
        <v>2400</v>
      </c>
      <c r="AA64" s="10">
        <f>+INDEX('QoE PF Adj. P&amp;L Aug-26'!$D$11:$AI$108,MATCH($C64,'QoE PF Adj. P&amp;L Aug-26'!$C$11:$C$108,0),MATCH(AA$8,'QoE PF Adj. P&amp;L Aug-26'!$D$8:$AI$8,0))*1000</f>
        <v>2300</v>
      </c>
      <c r="AB64" s="10">
        <f>+INDEX('QoE PF Adj. P&amp;L Aug-26'!$D$11:$AI$108,MATCH($C64,'QoE PF Adj. P&amp;L Aug-26'!$C$11:$C$108,0),MATCH(AB$8,'QoE PF Adj. P&amp;L Aug-26'!$D$8:$AI$8,0))*1000</f>
        <v>2200</v>
      </c>
      <c r="AC64" s="10">
        <f>+INDEX('QoE PF Adj. P&amp;L Aug-26'!$D$11:$AI$108,MATCH($C64,'QoE PF Adj. P&amp;L Aug-26'!$C$11:$C$108,0),MATCH(AC$8,'QoE PF Adj. P&amp;L Aug-26'!$D$8:$AI$8,0))*1000</f>
        <v>2200</v>
      </c>
      <c r="AD64" s="10">
        <f>+INDEX('QoE PF Adj. P&amp;L Aug-26'!$D$11:$AI$108,MATCH($C64,'QoE PF Adj. P&amp;L Aug-26'!$C$11:$C$108,0),MATCH(AD$8,'QoE PF Adj. P&amp;L Aug-26'!$D$8:$AI$8,0))*1000</f>
        <v>2500</v>
      </c>
      <c r="AE64" s="10">
        <f>+INDEX('QoE PF Adj. P&amp;L Aug-26'!$D$11:$AI$108,MATCH($C64,'QoE PF Adj. P&amp;L Aug-26'!$C$11:$C$108,0),MATCH(AE$8,'QoE PF Adj. P&amp;L Aug-26'!$D$8:$AI$8,0))*1000</f>
        <v>2300</v>
      </c>
      <c r="AF64" s="10">
        <f>+INDEX('QoE PF Adj. P&amp;L Aug-26'!$D$11:$AI$108,MATCH($C64,'QoE PF Adj. P&amp;L Aug-26'!$C$11:$C$108,0),MATCH(AF$8,'QoE PF Adj. P&amp;L Aug-26'!$D$8:$AI$8,0))*1000</f>
        <v>2200</v>
      </c>
      <c r="AG64" s="10">
        <f>+INDEX('QoE PF Adj. P&amp;L Aug-26'!$D$11:$AI$108,MATCH($C64,'QoE PF Adj. P&amp;L Aug-26'!$C$11:$C$108,0),MATCH(AG$8,'QoE PF Adj. P&amp;L Aug-26'!$D$8:$AI$8,0))*1000</f>
        <v>2500</v>
      </c>
      <c r="AH64" s="10">
        <f>+INDEX('QoE PF Adj. P&amp;L Aug-26'!$D$11:$AI$108,MATCH($C64,'QoE PF Adj. P&amp;L Aug-26'!$C$11:$C$108,0),MATCH(AH$8,'QoE PF Adj. P&amp;L Aug-26'!$D$8:$AI$8,0))*1000</f>
        <v>2200</v>
      </c>
      <c r="AI64" s="10">
        <f>+INDEX('QoE PF Adj. P&amp;L Aug-26'!$D$11:$AI$108,MATCH($C64,'QoE PF Adj. P&amp;L Aug-26'!$C$11:$C$108,0),MATCH(AI$8,'QoE PF Adj. P&amp;L Aug-26'!$D$8:$AI$8,0))*1000</f>
        <v>2300</v>
      </c>
      <c r="AJ64" s="10">
        <f>+INDEX('QoE PF Adj. P&amp;L Aug-26'!$D$11:$AI$108,MATCH($C64,'QoE PF Adj. P&amp;L Aug-26'!$C$11:$C$108,0),MATCH(AJ$8,'QoE PF Adj. P&amp;L Aug-26'!$D$8:$AI$8,0))*1000</f>
        <v>2300</v>
      </c>
      <c r="AK64" s="10">
        <f>+INDEX('QoE PF Adj. P&amp;L Aug-26'!$D$11:$AI$108,MATCH($C64,'QoE PF Adj. P&amp;L Aug-26'!$C$11:$C$108,0),MATCH(AK$8,'QoE PF Adj. P&amp;L Aug-26'!$D$8:$AI$8,0))*1000</f>
        <v>2400</v>
      </c>
      <c r="AL64" s="10">
        <f>+INDEX('QoE PF Adj. P&amp;L Aug-26'!$D$11:$AI$108,MATCH($C64,'QoE PF Adj. P&amp;L Aug-26'!$C$11:$C$108,0),MATCH(AL$8,'QoE PF Adj. P&amp;L Aug-26'!$D$8:$AI$8,0))*1000</f>
        <v>2400</v>
      </c>
      <c r="AM64" s="10">
        <f>+INDEX('QoE PF Adj. P&amp;L Aug-26'!$D$11:$AI$108,MATCH($C64,'QoE PF Adj. P&amp;L Aug-26'!$C$11:$C$108,0),MATCH(AM$8,'QoE PF Adj. P&amp;L Aug-26'!$D$8:$AI$8,0))*1000</f>
        <v>2300</v>
      </c>
      <c r="AN64" s="10">
        <f>+INDEX('QoE PF Adj. P&amp;L Aug-26'!$D$11:$AI$108,MATCH($C64,'QoE PF Adj. P&amp;L Aug-26'!$C$11:$C$108,0),MATCH(AN$8,'QoE PF Adj. P&amp;L Aug-26'!$D$8:$AI$8,0))*1000</f>
        <v>2300</v>
      </c>
      <c r="AO64" s="10">
        <f>+INDEX('QoE PF Adj. P&amp;L Aug-26'!$D$11:$AI$108,MATCH($C64,'QoE PF Adj. P&amp;L Aug-26'!$C$11:$C$108,0),MATCH(AO$8,'QoE PF Adj. P&amp;L Aug-26'!$D$8:$AI$8,0))*1000</f>
        <v>2600</v>
      </c>
      <c r="AP64" s="10">
        <f>+SUMIFS('Sep - Nov P&amp;L'!I:I,'Sep - Nov P&amp;L'!$D:$D,$C64)</f>
        <v>0</v>
      </c>
      <c r="AQ64" s="10">
        <f>+SUMIFS('Sep - Nov P&amp;L'!J:J,'Sep - Nov P&amp;L'!$D:$D,$C64)</f>
        <v>0</v>
      </c>
      <c r="AR64" s="10">
        <f>+SUMIFS('Sep - Nov P&amp;L'!K:K,'Sep - Nov P&amp;L'!$D:$D,$C64)</f>
        <v>0</v>
      </c>
      <c r="AS64" s="20">
        <f>+AS172</f>
        <v>1775</v>
      </c>
      <c r="AT64" s="20">
        <f>+AT172</f>
        <v>1781.2125</v>
      </c>
      <c r="AU64" s="20">
        <f>+AU172</f>
        <v>1787.44674375</v>
      </c>
      <c r="AV64" s="20">
        <f>+AV172</f>
        <v>1793.70280735313</v>
      </c>
      <c r="AW64" s="20">
        <f>+AW172</f>
        <v>1799.98076717886</v>
      </c>
      <c r="AX64" s="20">
        <f>+AX172</f>
        <v>1806.28069986399</v>
      </c>
      <c r="AY64" s="20">
        <f>+AY172</f>
        <v>1812.60268231351</v>
      </c>
      <c r="AZ64" s="20">
        <f>+AZ172</f>
        <v>1818.94679170161</v>
      </c>
      <c r="BA64" s="20">
        <f>+BA172</f>
        <v>1825.31310547256</v>
      </c>
      <c r="BB64" s="20">
        <f>+BB172</f>
        <v>1831.70170134172</v>
      </c>
      <c r="BC64" s="20">
        <f>+BC172</f>
        <v>1838.11265729642</v>
      </c>
      <c r="BD64" s="20">
        <f>+BD172</f>
        <v>1844.54605159695</v>
      </c>
      <c r="BE64" s="20">
        <f>+BE172</f>
        <v>1851.00196277754</v>
      </c>
      <c r="BF64" s="20">
        <f>+BF172</f>
        <v>1857.48046964726</v>
      </c>
      <c r="BG64" s="20">
        <f>+BG172</f>
        <v>1863.98165129103</v>
      </c>
      <c r="BH64" s="20">
        <f>+BH172</f>
        <v>1870.50558707055</v>
      </c>
      <c r="BI64" s="20">
        <f>+BI172</f>
        <v>1877.05235662529</v>
      </c>
      <c r="BJ64" s="20">
        <f>+BJ172</f>
        <v>1883.62203987348</v>
      </c>
      <c r="BK64" s="20">
        <f>+BK172</f>
        <v>1890.21471701304</v>
      </c>
      <c r="BL64" s="20">
        <f>+BL172</f>
        <v>1896.83046852259</v>
      </c>
      <c r="BM64" s="20">
        <f>+BM172</f>
        <v>1903.46937516242</v>
      </c>
      <c r="BN64" s="20">
        <f>+BN172</f>
        <v>1910.13151797548</v>
      </c>
      <c r="BO64" s="20">
        <f>+BO172</f>
        <v>1916.8169782884</v>
      </c>
      <c r="BP64" s="20">
        <f>+BP172</f>
        <v>1923.52583771241</v>
      </c>
      <c r="BQ64" s="20">
        <f>+BQ172</f>
        <v>1930.2581781444</v>
      </c>
    </row>
    <row r="65">
      <c r="C65" s="3" t="inlineStr">
        <is>
          <t>Insurance Administration Fee</t>
        </is>
      </c>
      <c r="D65" s="20">
        <f>+SUMIFS($J65:$BQ65,$J$7:$BQ$7,D$8)</f>
        <v>6300</v>
      </c>
      <c r="E65" s="20">
        <f>+SUMIFS($J65:$BQ65,$J$7:$BQ$7,E$8)</f>
        <v>7000</v>
      </c>
      <c r="F65" s="20">
        <f>+SUMIFS($J65:$BQ65,$J$7:$BQ$7,F$8)</f>
        <v>5250</v>
      </c>
      <c r="G65" s="20">
        <f>+SUMIFS($J65:$BQ65,$J$7:$BQ$7,G$8)</f>
        <v>5524.44045734695</v>
      </c>
      <c r="H65" s="20">
        <f>+SUMIFS($J65:$BQ65,$J$7:$BQ$7,H$8)</f>
        <v>5760.98598861795</v>
      </c>
      <c r="J65" s="10">
        <f>+INDEX('QoE PF Adj. P&amp;L Aug-26'!$D$11:$AI$108,MATCH($C65,'QoE PF Adj. P&amp;L Aug-26'!$C$11:$C$108,0),MATCH(J$8,'QoE PF Adj. P&amp;L Aug-26'!$D$8:$AI$8,0))*1000</f>
        <v>500</v>
      </c>
      <c r="K65" s="10">
        <f>+INDEX('QoE PF Adj. P&amp;L Aug-26'!$D$11:$AI$108,MATCH($C65,'QoE PF Adj. P&amp;L Aug-26'!$C$11:$C$108,0),MATCH(K$8,'QoE PF Adj. P&amp;L Aug-26'!$D$8:$AI$8,0))*1000</f>
        <v>600</v>
      </c>
      <c r="L65" s="10">
        <f>+INDEX('QoE PF Adj. P&amp;L Aug-26'!$D$11:$AI$108,MATCH($C65,'QoE PF Adj. P&amp;L Aug-26'!$C$11:$C$108,0),MATCH(L$8,'QoE PF Adj. P&amp;L Aug-26'!$D$8:$AI$8,0))*1000</f>
        <v>500</v>
      </c>
      <c r="M65" s="10">
        <f>+INDEX('QoE PF Adj. P&amp;L Aug-26'!$D$11:$AI$108,MATCH($C65,'QoE PF Adj. P&amp;L Aug-26'!$C$11:$C$108,0),MATCH(M$8,'QoE PF Adj. P&amp;L Aug-26'!$D$8:$AI$8,0))*1000</f>
        <v>500</v>
      </c>
      <c r="N65" s="10">
        <f>+INDEX('QoE PF Adj. P&amp;L Aug-26'!$D$11:$AI$108,MATCH($C65,'QoE PF Adj. P&amp;L Aug-26'!$C$11:$C$108,0),MATCH(N$8,'QoE PF Adj. P&amp;L Aug-26'!$D$8:$AI$8,0))*1000</f>
        <v>500</v>
      </c>
      <c r="O65" s="10">
        <f>+INDEX('QoE PF Adj. P&amp;L Aug-26'!$D$11:$AI$108,MATCH($C65,'QoE PF Adj. P&amp;L Aug-26'!$C$11:$C$108,0),MATCH(O$8,'QoE PF Adj. P&amp;L Aug-26'!$D$8:$AI$8,0))*1000</f>
        <v>500</v>
      </c>
      <c r="P65" s="10">
        <f>+INDEX('QoE PF Adj. P&amp;L Aug-26'!$D$11:$AI$108,MATCH($C65,'QoE PF Adj. P&amp;L Aug-26'!$C$11:$C$108,0),MATCH(P$8,'QoE PF Adj. P&amp;L Aug-26'!$D$8:$AI$8,0))*1000</f>
        <v>600</v>
      </c>
      <c r="Q65" s="10">
        <f>+INDEX('QoE PF Adj. P&amp;L Aug-26'!$D$11:$AI$108,MATCH($C65,'QoE PF Adj. P&amp;L Aug-26'!$C$11:$C$108,0),MATCH(Q$8,'QoE PF Adj. P&amp;L Aug-26'!$D$8:$AI$8,0))*1000</f>
        <v>500</v>
      </c>
      <c r="R65" s="10">
        <f>+INDEX('QoE PF Adj. P&amp;L Aug-26'!$D$11:$AI$108,MATCH($C65,'QoE PF Adj. P&amp;L Aug-26'!$C$11:$C$108,0),MATCH(R$8,'QoE PF Adj. P&amp;L Aug-26'!$D$8:$AI$8,0))*1000</f>
        <v>500</v>
      </c>
      <c r="S65" s="10">
        <f>+INDEX('QoE PF Adj. P&amp;L Aug-26'!$D$11:$AI$108,MATCH($C65,'QoE PF Adj. P&amp;L Aug-26'!$C$11:$C$108,0),MATCH(S$8,'QoE PF Adj. P&amp;L Aug-26'!$D$8:$AI$8,0))*1000</f>
        <v>500</v>
      </c>
      <c r="T65" s="10">
        <f>+INDEX('QoE PF Adj. P&amp;L Aug-26'!$D$11:$AI$108,MATCH($C65,'QoE PF Adj. P&amp;L Aug-26'!$C$11:$C$108,0),MATCH(T$8,'QoE PF Adj. P&amp;L Aug-26'!$D$8:$AI$8,0))*1000</f>
        <v>600</v>
      </c>
      <c r="U65" s="10">
        <f>+INDEX('QoE PF Adj. P&amp;L Aug-26'!$D$11:$AI$108,MATCH($C65,'QoE PF Adj. P&amp;L Aug-26'!$C$11:$C$108,0),MATCH(U$8,'QoE PF Adj. P&amp;L Aug-26'!$D$8:$AI$8,0))*1000</f>
        <v>500</v>
      </c>
      <c r="V65" s="10">
        <f>+INDEX('QoE PF Adj. P&amp;L Aug-26'!$D$11:$AI$108,MATCH($C65,'QoE PF Adj. P&amp;L Aug-26'!$C$11:$C$108,0),MATCH(V$8,'QoE PF Adj. P&amp;L Aug-26'!$D$8:$AI$8,0))*1000</f>
        <v>500</v>
      </c>
      <c r="W65" s="10">
        <f>+INDEX('QoE PF Adj. P&amp;L Aug-26'!$D$11:$AI$108,MATCH($C65,'QoE PF Adj. P&amp;L Aug-26'!$C$11:$C$108,0),MATCH(W$8,'QoE PF Adj. P&amp;L Aug-26'!$D$8:$AI$8,0))*1000</f>
        <v>600</v>
      </c>
      <c r="X65" s="10">
        <f>+INDEX('QoE PF Adj. P&amp;L Aug-26'!$D$11:$AI$108,MATCH($C65,'QoE PF Adj. P&amp;L Aug-26'!$C$11:$C$108,0),MATCH(X$8,'QoE PF Adj. P&amp;L Aug-26'!$D$8:$AI$8,0))*1000</f>
        <v>600</v>
      </c>
      <c r="Y65" s="10">
        <f>+INDEX('QoE PF Adj. P&amp;L Aug-26'!$D$11:$AI$108,MATCH($C65,'QoE PF Adj. P&amp;L Aug-26'!$C$11:$C$108,0),MATCH(Y$8,'QoE PF Adj. P&amp;L Aug-26'!$D$8:$AI$8,0))*1000</f>
        <v>600</v>
      </c>
      <c r="Z65" s="10">
        <f>+INDEX('QoE PF Adj. P&amp;L Aug-26'!$D$11:$AI$108,MATCH($C65,'QoE PF Adj. P&amp;L Aug-26'!$C$11:$C$108,0),MATCH(Z$8,'QoE PF Adj. P&amp;L Aug-26'!$D$8:$AI$8,0))*1000</f>
        <v>500</v>
      </c>
      <c r="AA65" s="10">
        <f>+INDEX('QoE PF Adj. P&amp;L Aug-26'!$D$11:$AI$108,MATCH($C65,'QoE PF Adj. P&amp;L Aug-26'!$C$11:$C$108,0),MATCH(AA$8,'QoE PF Adj. P&amp;L Aug-26'!$D$8:$AI$8,0))*1000</f>
        <v>600</v>
      </c>
      <c r="AB65" s="10">
        <f>+INDEX('QoE PF Adj. P&amp;L Aug-26'!$D$11:$AI$108,MATCH($C65,'QoE PF Adj. P&amp;L Aug-26'!$C$11:$C$108,0),MATCH(AB$8,'QoE PF Adj. P&amp;L Aug-26'!$D$8:$AI$8,0))*1000</f>
        <v>600</v>
      </c>
      <c r="AC65" s="10">
        <f>+INDEX('QoE PF Adj. P&amp;L Aug-26'!$D$11:$AI$108,MATCH($C65,'QoE PF Adj. P&amp;L Aug-26'!$C$11:$C$108,0),MATCH(AC$8,'QoE PF Adj. P&amp;L Aug-26'!$D$8:$AI$8,0))*1000</f>
        <v>600</v>
      </c>
      <c r="AD65" s="10">
        <f>+INDEX('QoE PF Adj. P&amp;L Aug-26'!$D$11:$AI$108,MATCH($C65,'QoE PF Adj. P&amp;L Aug-26'!$C$11:$C$108,0),MATCH(AD$8,'QoE PF Adj. P&amp;L Aug-26'!$D$8:$AI$8,0))*1000</f>
        <v>600</v>
      </c>
      <c r="AE65" s="10">
        <f>+INDEX('QoE PF Adj. P&amp;L Aug-26'!$D$11:$AI$108,MATCH($C65,'QoE PF Adj. P&amp;L Aug-26'!$C$11:$C$108,0),MATCH(AE$8,'QoE PF Adj. P&amp;L Aug-26'!$D$8:$AI$8,0))*1000</f>
        <v>600</v>
      </c>
      <c r="AF65" s="10">
        <f>+INDEX('QoE PF Adj. P&amp;L Aug-26'!$D$11:$AI$108,MATCH($C65,'QoE PF Adj. P&amp;L Aug-26'!$C$11:$C$108,0),MATCH(AF$8,'QoE PF Adj. P&amp;L Aug-26'!$D$8:$AI$8,0))*1000</f>
        <v>600</v>
      </c>
      <c r="AG65" s="10">
        <f>+INDEX('QoE PF Adj. P&amp;L Aug-26'!$D$11:$AI$108,MATCH($C65,'QoE PF Adj. P&amp;L Aug-26'!$C$11:$C$108,0),MATCH(AG$8,'QoE PF Adj. P&amp;L Aug-26'!$D$8:$AI$8,0))*1000</f>
        <v>600</v>
      </c>
      <c r="AH65" s="10">
        <f>+INDEX('QoE PF Adj. P&amp;L Aug-26'!$D$11:$AI$108,MATCH($C65,'QoE PF Adj. P&amp;L Aug-26'!$C$11:$C$108,0),MATCH(AH$8,'QoE PF Adj. P&amp;L Aug-26'!$D$8:$AI$8,0))*1000</f>
        <v>600</v>
      </c>
      <c r="AI65" s="10">
        <f>+INDEX('QoE PF Adj. P&amp;L Aug-26'!$D$11:$AI$108,MATCH($C65,'QoE PF Adj. P&amp;L Aug-26'!$C$11:$C$108,0),MATCH(AI$8,'QoE PF Adj. P&amp;L Aug-26'!$D$8:$AI$8,0))*1000</f>
        <v>600</v>
      </c>
      <c r="AJ65" s="10">
        <f>+INDEX('QoE PF Adj. P&amp;L Aug-26'!$D$11:$AI$108,MATCH($C65,'QoE PF Adj. P&amp;L Aug-26'!$C$11:$C$108,0),MATCH(AJ$8,'QoE PF Adj. P&amp;L Aug-26'!$D$8:$AI$8,0))*1000</f>
        <v>600</v>
      </c>
      <c r="AK65" s="10">
        <f>+INDEX('QoE PF Adj. P&amp;L Aug-26'!$D$11:$AI$108,MATCH($C65,'QoE PF Adj. P&amp;L Aug-26'!$C$11:$C$108,0),MATCH(AK$8,'QoE PF Adj. P&amp;L Aug-26'!$D$8:$AI$8,0))*1000</f>
        <v>600</v>
      </c>
      <c r="AL65" s="10">
        <f>+INDEX('QoE PF Adj. P&amp;L Aug-26'!$D$11:$AI$108,MATCH($C65,'QoE PF Adj. P&amp;L Aug-26'!$C$11:$C$108,0),MATCH(AL$8,'QoE PF Adj. P&amp;L Aug-26'!$D$8:$AI$8,0))*1000</f>
        <v>600</v>
      </c>
      <c r="AM65" s="10">
        <f>+INDEX('QoE PF Adj. P&amp;L Aug-26'!$D$11:$AI$108,MATCH($C65,'QoE PF Adj. P&amp;L Aug-26'!$C$11:$C$108,0),MATCH(AM$8,'QoE PF Adj. P&amp;L Aug-26'!$D$8:$AI$8,0))*1000</f>
        <v>600</v>
      </c>
      <c r="AN65" s="10">
        <f>+INDEX('QoE PF Adj. P&amp;L Aug-26'!$D$11:$AI$108,MATCH($C65,'QoE PF Adj. P&amp;L Aug-26'!$C$11:$C$108,0),MATCH(AN$8,'QoE PF Adj. P&amp;L Aug-26'!$D$8:$AI$8,0))*1000</f>
        <v>600</v>
      </c>
      <c r="AO65" s="10">
        <f>+INDEX('QoE PF Adj. P&amp;L Aug-26'!$D$11:$AI$108,MATCH($C65,'QoE PF Adj. P&amp;L Aug-26'!$C$11:$C$108,0),MATCH(AO$8,'QoE PF Adj. P&amp;L Aug-26'!$D$8:$AI$8,0))*1000</f>
        <v>600</v>
      </c>
      <c r="AP65" s="10">
        <f>+SUMIFS('Sep - Nov P&amp;L'!I:I,'Sep - Nov P&amp;L'!$D:$D,$C65)</f>
        <v>0</v>
      </c>
      <c r="AQ65" s="10">
        <f>+SUMIFS('Sep - Nov P&amp;L'!J:J,'Sep - Nov P&amp;L'!$D:$D,$C65)</f>
        <v>0</v>
      </c>
      <c r="AR65" s="10">
        <f>+SUMIFS('Sep - Nov P&amp;L'!K:K,'Sep - Nov P&amp;L'!$D:$D,$C65)</f>
        <v>0</v>
      </c>
      <c r="AS65" s="20">
        <f>+AS173</f>
        <v>450</v>
      </c>
      <c r="AT65" s="20">
        <f>+AT173</f>
        <v>451.575</v>
      </c>
      <c r="AU65" s="20">
        <f>+AU173</f>
        <v>453.1555125</v>
      </c>
      <c r="AV65" s="20">
        <f>+AV173</f>
        <v>454.74155679375</v>
      </c>
      <c r="AW65" s="20">
        <f>+AW173</f>
        <v>456.333152242528</v>
      </c>
      <c r="AX65" s="20">
        <f>+AX173</f>
        <v>457.930318275377</v>
      </c>
      <c r="AY65" s="20">
        <f>+AY173</f>
        <v>459.533074389341</v>
      </c>
      <c r="AZ65" s="20">
        <f>+AZ173</f>
        <v>461.141440149704</v>
      </c>
      <c r="BA65" s="20">
        <f>+BA173</f>
        <v>462.755435190228</v>
      </c>
      <c r="BB65" s="20">
        <f>+BB173</f>
        <v>464.375079213394</v>
      </c>
      <c r="BC65" s="20">
        <f>+BC173</f>
        <v>466.000391990641</v>
      </c>
      <c r="BD65" s="20">
        <f>+BD173</f>
        <v>467.631393362608</v>
      </c>
      <c r="BE65" s="20">
        <f>+BE173</f>
        <v>469.268103239377</v>
      </c>
      <c r="BF65" s="20">
        <f>+BF173</f>
        <v>470.910541600715</v>
      </c>
      <c r="BG65" s="20">
        <f>+BG173</f>
        <v>472.558728496317</v>
      </c>
      <c r="BH65" s="20">
        <f>+BH173</f>
        <v>474.212684046054</v>
      </c>
      <c r="BI65" s="20">
        <f>+BI173</f>
        <v>475.872428440216</v>
      </c>
      <c r="BJ65" s="20">
        <f>+BJ173</f>
        <v>477.537981939756</v>
      </c>
      <c r="BK65" s="20">
        <f>+BK173</f>
        <v>479.209364876546</v>
      </c>
      <c r="BL65" s="20">
        <f>+BL173</f>
        <v>480.886597653614</v>
      </c>
      <c r="BM65" s="20">
        <f>+BM173</f>
        <v>482.569700745401</v>
      </c>
      <c r="BN65" s="20">
        <f>+BN173</f>
        <v>484.25869469801</v>
      </c>
      <c r="BO65" s="20">
        <f>+BO173</f>
        <v>485.953600129453</v>
      </c>
      <c r="BP65" s="20">
        <f>+BP173</f>
        <v>487.654437729906</v>
      </c>
      <c r="BQ65" s="20">
        <f>+BQ173</f>
        <v>489.361228261961</v>
      </c>
    </row>
    <row r="66">
      <c r="C66" s="2" t="inlineStr">
        <is>
          <t>Total Insurance</t>
        </is>
      </c>
      <c r="D66" s="15">
        <f>+SUMIFS($J66:$BQ66,$J$7:$BQ$7,D$8)</f>
        <v>210200</v>
      </c>
      <c r="E66" s="15">
        <f>+SUMIFS($J66:$BQ66,$J$7:$BQ$7,E$8)</f>
        <v>223500</v>
      </c>
      <c r="F66" s="15">
        <f>+SUMIFS($J66:$BQ66,$J$7:$BQ$7,F$8)</f>
        <v>241200.643333333</v>
      </c>
      <c r="G66" s="15">
        <f>+SUMIFS($J66:$BQ66,$J$7:$BQ$7,G$8)</f>
        <v>247308.766787222</v>
      </c>
      <c r="H66" s="15">
        <f>+SUMIFS($J66:$BQ66,$J$7:$BQ$7,H$8)</f>
        <v>324669.841627131</v>
      </c>
      <c r="J66" s="15">
        <f>SUM(J62:J65)</f>
        <v>17600</v>
      </c>
      <c r="K66" s="15">
        <f>SUM(K62:K65)</f>
        <v>17500</v>
      </c>
      <c r="L66" s="15">
        <f>SUM(L62:L65)</f>
        <v>16800</v>
      </c>
      <c r="M66" s="15">
        <f>SUM(M62:M65)</f>
        <v>18100</v>
      </c>
      <c r="N66" s="15">
        <f>SUM(N62:N65)</f>
        <v>16600</v>
      </c>
      <c r="O66" s="15">
        <f>SUM(O62:O65)</f>
        <v>17800</v>
      </c>
      <c r="P66" s="15">
        <f>SUM(P62:P65)</f>
        <v>17400</v>
      </c>
      <c r="Q66" s="15">
        <f>SUM(Q62:Q65)</f>
        <v>17000</v>
      </c>
      <c r="R66" s="15">
        <f>SUM(R62:R65)</f>
        <v>17900</v>
      </c>
      <c r="S66" s="15">
        <f>SUM(S62:S65)</f>
        <v>17500</v>
      </c>
      <c r="T66" s="15">
        <f>SUM(T62:T65)</f>
        <v>18200</v>
      </c>
      <c r="U66" s="15">
        <f>SUM(U62:U65)</f>
        <v>17800</v>
      </c>
      <c r="V66" s="15">
        <f>SUM(V62:V65)</f>
        <v>17600</v>
      </c>
      <c r="W66" s="15">
        <f>SUM(W62:W65)</f>
        <v>17500</v>
      </c>
      <c r="X66" s="15">
        <f>SUM(X62:X65)</f>
        <v>17700</v>
      </c>
      <c r="Y66" s="15">
        <f>SUM(Y62:Y65)</f>
        <v>18000</v>
      </c>
      <c r="Z66" s="15">
        <f>SUM(Z62:Z65)</f>
        <v>18500</v>
      </c>
      <c r="AA66" s="15">
        <f>SUM(AA62:AA65)</f>
        <v>18800</v>
      </c>
      <c r="AB66" s="15">
        <f>SUM(AB62:AB65)</f>
        <v>19300</v>
      </c>
      <c r="AC66" s="15">
        <f>SUM(AC62:AC65)</f>
        <v>18900</v>
      </c>
      <c r="AD66" s="15">
        <f>SUM(AD62:AD65)</f>
        <v>19400</v>
      </c>
      <c r="AE66" s="15">
        <f>SUM(AE62:AE65)</f>
        <v>18600</v>
      </c>
      <c r="AF66" s="15">
        <f>SUM(AF62:AF65)</f>
        <v>20000</v>
      </c>
      <c r="AG66" s="15">
        <f>SUM(AG62:AG65)</f>
        <v>19200</v>
      </c>
      <c r="AH66" s="15">
        <f>SUM(AH62:AH65)</f>
        <v>18900</v>
      </c>
      <c r="AI66" s="15">
        <f>SUM(AI62:AI65)</f>
        <v>19300</v>
      </c>
      <c r="AJ66" s="15">
        <f>SUM(AJ62:AJ65)</f>
        <v>20800</v>
      </c>
      <c r="AK66" s="15">
        <f>SUM(AK62:AK65)</f>
        <v>20500</v>
      </c>
      <c r="AL66" s="15">
        <f>SUM(AL62:AL65)</f>
        <v>20000</v>
      </c>
      <c r="AM66" s="15">
        <f>SUM(AM62:AM65)</f>
        <v>20600</v>
      </c>
      <c r="AN66" s="15">
        <f>SUM(AN62:AN65)</f>
        <v>19600</v>
      </c>
      <c r="AO66" s="15">
        <f>SUM(AO62:AO65)</f>
        <v>19800</v>
      </c>
      <c r="AP66" s="15">
        <f>SUM(AP62:AP65)</f>
        <v>20403.37</v>
      </c>
      <c r="AQ66" s="15">
        <f>SUM(AQ62:AQ65)</f>
        <v>19957.11</v>
      </c>
      <c r="AR66" s="15">
        <f>SUM(AR62:AR65)</f>
        <v>21181.83</v>
      </c>
      <c r="AS66" s="15">
        <f>SUM(AS62:AS65)</f>
        <v>20158.3333333333</v>
      </c>
      <c r="AT66" s="15">
        <f>SUM(AT62:AT65)</f>
        <v>20174.0541666667</v>
      </c>
      <c r="AU66" s="15">
        <f>SUM(AU62:AU65)</f>
        <v>20189.8300229167</v>
      </c>
      <c r="AV66" s="15">
        <f>SUM(AV62:AV65)</f>
        <v>20205.6610946635</v>
      </c>
      <c r="AW66" s="15">
        <f>SUM(AW62:AW65)</f>
        <v>20221.5475751615</v>
      </c>
      <c r="AX66" s="15">
        <f>SUM(AX62:AX65)</f>
        <v>20237.4896583413</v>
      </c>
      <c r="AY66" s="15">
        <f>SUM(AY62:AY65)</f>
        <v>20253.4875388121</v>
      </c>
      <c r="AZ66" s="15">
        <f>SUM(AZ62:AZ65)</f>
        <v>20269.5414118646</v>
      </c>
      <c r="BA66" s="15">
        <f>SUM(BA62:BA65)</f>
        <v>20285.6514734728</v>
      </c>
      <c r="BB66" s="15">
        <f>SUM(BB62:BB65)</f>
        <v>20301.8179202967</v>
      </c>
      <c r="BC66" s="15">
        <f>SUM(BC62:BC65)</f>
        <v>20318.0409496844</v>
      </c>
      <c r="BD66" s="15">
        <f>SUM(BD62:BD65)</f>
        <v>20334.3207596749</v>
      </c>
      <c r="BE66" s="15">
        <f>SUM(BE62:BE65)</f>
        <v>24517.3242156671</v>
      </c>
      <c r="BF66" s="15">
        <f>SUM(BF62:BF65)</f>
        <v>24533.7181837553</v>
      </c>
      <c r="BG66" s="15">
        <f>SUM(BG62:BG65)</f>
        <v>24550.1695307318</v>
      </c>
      <c r="BH66" s="15">
        <f>SUM(BH62:BH65)</f>
        <v>24566.6784574227</v>
      </c>
      <c r="BI66" s="15">
        <f>SUM(BI62:BI65)</f>
        <v>24583.245165357</v>
      </c>
      <c r="BJ66" s="15">
        <f>SUM(BJ62:BJ65)</f>
        <v>24599.869856769</v>
      </c>
      <c r="BK66" s="15">
        <f>SUM(BK62:BK65)</f>
        <v>28783.2194012677</v>
      </c>
      <c r="BL66" s="15">
        <f>SUM(BL62:BL65)</f>
        <v>28799.9606691722</v>
      </c>
      <c r="BM66" s="15">
        <f>SUM(BM62:BM65)</f>
        <v>28816.7605315143</v>
      </c>
      <c r="BN66" s="15">
        <f>SUM(BN62:BN65)</f>
        <v>28833.6191933746</v>
      </c>
      <c r="BO66" s="15">
        <f>SUM(BO62:BO65)</f>
        <v>28850.5368605514</v>
      </c>
      <c r="BP66" s="15">
        <f>SUM(BP62:BP65)</f>
        <v>28867.5137395633</v>
      </c>
      <c r="BQ66" s="15">
        <f>SUM(BQ62:BQ65)</f>
        <v>28884.5500376518</v>
      </c>
    </row>
    <row r="68">
      <c r="C68" s="2" t="inlineStr">
        <is>
          <t>General &amp; Administrative</t>
        </is>
      </c>
    </row>
    <row r="69">
      <c r="C69" s="3" t="inlineStr">
        <is>
          <t>Advertising &amp; Marketing</t>
        </is>
      </c>
      <c r="D69" s="20">
        <f>+SUMIFS($J69:$BQ69,$J$7:$BQ$7,D$8)</f>
        <v>64100</v>
      </c>
      <c r="E69" s="20">
        <f>+SUMIFS($J69:$BQ69,$J$7:$BQ$7,E$8)</f>
        <v>69300</v>
      </c>
      <c r="F69" s="20">
        <f>+SUMIFS($J69:$BQ69,$J$7:$BQ$7,F$8)</f>
        <v>76055.1925</v>
      </c>
      <c r="G69" s="20">
        <f>+SUMIFS($J69:$BQ69,$J$7:$BQ$7,G$8)</f>
        <v>77677.5920126258</v>
      </c>
      <c r="H69" s="20">
        <f>+SUMIFS($J69:$BQ69,$J$7:$BQ$7,H$8)</f>
        <v>81003.5917065935</v>
      </c>
      <c r="J69" s="10">
        <f>+INDEX('QoE PF Adj. P&amp;L Aug-26'!$D$11:$AI$108,MATCH($C69,'QoE PF Adj. P&amp;L Aug-26'!$C$11:$C$108,0),MATCH(J$8,'QoE PF Adj. P&amp;L Aug-26'!$D$8:$AI$8,0))*1000</f>
        <v>4900</v>
      </c>
      <c r="K69" s="10">
        <f>+INDEX('QoE PF Adj. P&amp;L Aug-26'!$D$11:$AI$108,MATCH($C69,'QoE PF Adj. P&amp;L Aug-26'!$C$11:$C$108,0),MATCH(K$8,'QoE PF Adj. P&amp;L Aug-26'!$D$8:$AI$8,0))*1000</f>
        <v>5200</v>
      </c>
      <c r="L69" s="10">
        <f>+INDEX('QoE PF Adj. P&amp;L Aug-26'!$D$11:$AI$108,MATCH($C69,'QoE PF Adj. P&amp;L Aug-26'!$C$11:$C$108,0),MATCH(L$8,'QoE PF Adj. P&amp;L Aug-26'!$D$8:$AI$8,0))*1000</f>
        <v>5100</v>
      </c>
      <c r="M69" s="10">
        <f>+INDEX('QoE PF Adj. P&amp;L Aug-26'!$D$11:$AI$108,MATCH($C69,'QoE PF Adj. P&amp;L Aug-26'!$C$11:$C$108,0),MATCH(M$8,'QoE PF Adj. P&amp;L Aug-26'!$D$8:$AI$8,0))*1000</f>
        <v>5200</v>
      </c>
      <c r="N69" s="10">
        <f>+INDEX('QoE PF Adj. P&amp;L Aug-26'!$D$11:$AI$108,MATCH($C69,'QoE PF Adj. P&amp;L Aug-26'!$C$11:$C$108,0),MATCH(N$8,'QoE PF Adj. P&amp;L Aug-26'!$D$8:$AI$8,0))*1000</f>
        <v>5200</v>
      </c>
      <c r="O69" s="10">
        <f>+INDEX('QoE PF Adj. P&amp;L Aug-26'!$D$11:$AI$108,MATCH($C69,'QoE PF Adj. P&amp;L Aug-26'!$C$11:$C$108,0),MATCH(O$8,'QoE PF Adj. P&amp;L Aug-26'!$D$8:$AI$8,0))*1000</f>
        <v>5700</v>
      </c>
      <c r="P69" s="10">
        <f>+INDEX('QoE PF Adj. P&amp;L Aug-26'!$D$11:$AI$108,MATCH($C69,'QoE PF Adj. P&amp;L Aug-26'!$C$11:$C$108,0),MATCH(P$8,'QoE PF Adj. P&amp;L Aug-26'!$D$8:$AI$8,0))*1000</f>
        <v>5600</v>
      </c>
      <c r="Q69" s="10">
        <f>+INDEX('QoE PF Adj. P&amp;L Aug-26'!$D$11:$AI$108,MATCH($C69,'QoE PF Adj. P&amp;L Aug-26'!$C$11:$C$108,0),MATCH(Q$8,'QoE PF Adj. P&amp;L Aug-26'!$D$8:$AI$8,0))*1000</f>
        <v>5700</v>
      </c>
      <c r="R69" s="10">
        <f>+INDEX('QoE PF Adj. P&amp;L Aug-26'!$D$11:$AI$108,MATCH($C69,'QoE PF Adj. P&amp;L Aug-26'!$C$11:$C$108,0),MATCH(R$8,'QoE PF Adj. P&amp;L Aug-26'!$D$8:$AI$8,0))*1000</f>
        <v>5600</v>
      </c>
      <c r="S69" s="10">
        <f>+INDEX('QoE PF Adj. P&amp;L Aug-26'!$D$11:$AI$108,MATCH($C69,'QoE PF Adj. P&amp;L Aug-26'!$C$11:$C$108,0),MATCH(S$8,'QoE PF Adj. P&amp;L Aug-26'!$D$8:$AI$8,0))*1000</f>
        <v>5100</v>
      </c>
      <c r="T69" s="10">
        <f>+INDEX('QoE PF Adj. P&amp;L Aug-26'!$D$11:$AI$108,MATCH($C69,'QoE PF Adj. P&amp;L Aug-26'!$C$11:$C$108,0),MATCH(T$8,'QoE PF Adj. P&amp;L Aug-26'!$D$8:$AI$8,0))*1000</f>
        <v>5100</v>
      </c>
      <c r="U69" s="10">
        <f>+INDEX('QoE PF Adj. P&amp;L Aug-26'!$D$11:$AI$108,MATCH($C69,'QoE PF Adj. P&amp;L Aug-26'!$C$11:$C$108,0),MATCH(U$8,'QoE PF Adj. P&amp;L Aug-26'!$D$8:$AI$8,0))*1000</f>
        <v>5700</v>
      </c>
      <c r="V69" s="10">
        <f>+INDEX('QoE PF Adj. P&amp;L Aug-26'!$D$11:$AI$108,MATCH($C69,'QoE PF Adj. P&amp;L Aug-26'!$C$11:$C$108,0),MATCH(V$8,'QoE PF Adj. P&amp;L Aug-26'!$D$8:$AI$8,0))*1000</f>
        <v>5900</v>
      </c>
      <c r="W69" s="10">
        <f>+INDEX('QoE PF Adj. P&amp;L Aug-26'!$D$11:$AI$108,MATCH($C69,'QoE PF Adj. P&amp;L Aug-26'!$C$11:$C$108,0),MATCH(W$8,'QoE PF Adj. P&amp;L Aug-26'!$D$8:$AI$8,0))*1000</f>
        <v>5700</v>
      </c>
      <c r="X69" s="10">
        <f>+INDEX('QoE PF Adj. P&amp;L Aug-26'!$D$11:$AI$108,MATCH($C69,'QoE PF Adj. P&amp;L Aug-26'!$C$11:$C$108,0),MATCH(X$8,'QoE PF Adj. P&amp;L Aug-26'!$D$8:$AI$8,0))*1000</f>
        <v>5900</v>
      </c>
      <c r="Y69" s="10">
        <f>+INDEX('QoE PF Adj. P&amp;L Aug-26'!$D$11:$AI$108,MATCH($C69,'QoE PF Adj. P&amp;L Aug-26'!$C$11:$C$108,0),MATCH(Y$8,'QoE PF Adj. P&amp;L Aug-26'!$D$8:$AI$8,0))*1000</f>
        <v>5500</v>
      </c>
      <c r="Z69" s="10">
        <f>+INDEX('QoE PF Adj. P&amp;L Aug-26'!$D$11:$AI$108,MATCH($C69,'QoE PF Adj. P&amp;L Aug-26'!$C$11:$C$108,0),MATCH(Z$8,'QoE PF Adj. P&amp;L Aug-26'!$D$8:$AI$8,0))*1000</f>
        <v>5700</v>
      </c>
      <c r="AA69" s="10">
        <f>+INDEX('QoE PF Adj. P&amp;L Aug-26'!$D$11:$AI$108,MATCH($C69,'QoE PF Adj. P&amp;L Aug-26'!$C$11:$C$108,0),MATCH(AA$8,'QoE PF Adj. P&amp;L Aug-26'!$D$8:$AI$8,0))*1000</f>
        <v>5400</v>
      </c>
      <c r="AB69" s="10">
        <f>+INDEX('QoE PF Adj. P&amp;L Aug-26'!$D$11:$AI$108,MATCH($C69,'QoE PF Adj. P&amp;L Aug-26'!$C$11:$C$108,0),MATCH(AB$8,'QoE PF Adj. P&amp;L Aug-26'!$D$8:$AI$8,0))*1000</f>
        <v>5600</v>
      </c>
      <c r="AC69" s="10">
        <f>+INDEX('QoE PF Adj. P&amp;L Aug-26'!$D$11:$AI$108,MATCH($C69,'QoE PF Adj. P&amp;L Aug-26'!$C$11:$C$108,0),MATCH(AC$8,'QoE PF Adj. P&amp;L Aug-26'!$D$8:$AI$8,0))*1000</f>
        <v>5800</v>
      </c>
      <c r="AD69" s="10">
        <f>+INDEX('QoE PF Adj. P&amp;L Aug-26'!$D$11:$AI$108,MATCH($C69,'QoE PF Adj. P&amp;L Aug-26'!$C$11:$C$108,0),MATCH(AD$8,'QoE PF Adj. P&amp;L Aug-26'!$D$8:$AI$8,0))*1000</f>
        <v>5900</v>
      </c>
      <c r="AE69" s="10">
        <f>+INDEX('QoE PF Adj. P&amp;L Aug-26'!$D$11:$AI$108,MATCH($C69,'QoE PF Adj. P&amp;L Aug-26'!$C$11:$C$108,0),MATCH(AE$8,'QoE PF Adj. P&amp;L Aug-26'!$D$8:$AI$8,0))*1000</f>
        <v>5800</v>
      </c>
      <c r="AF69" s="10">
        <f>+INDEX('QoE PF Adj. P&amp;L Aug-26'!$D$11:$AI$108,MATCH($C69,'QoE PF Adj. P&amp;L Aug-26'!$C$11:$C$108,0),MATCH(AF$8,'QoE PF Adj. P&amp;L Aug-26'!$D$8:$AI$8,0))*1000</f>
        <v>5900</v>
      </c>
      <c r="AG69" s="10">
        <f>+INDEX('QoE PF Adj. P&amp;L Aug-26'!$D$11:$AI$108,MATCH($C69,'QoE PF Adj. P&amp;L Aug-26'!$C$11:$C$108,0),MATCH(AG$8,'QoE PF Adj. P&amp;L Aug-26'!$D$8:$AI$8,0))*1000</f>
        <v>6200</v>
      </c>
      <c r="AH69" s="10">
        <f>+INDEX('QoE PF Adj. P&amp;L Aug-26'!$D$11:$AI$108,MATCH($C69,'QoE PF Adj. P&amp;L Aug-26'!$C$11:$C$108,0),MATCH(AH$8,'QoE PF Adj. P&amp;L Aug-26'!$D$8:$AI$8,0))*1000</f>
        <v>6300</v>
      </c>
      <c r="AI69" s="10">
        <f>+INDEX('QoE PF Adj. P&amp;L Aug-26'!$D$11:$AI$108,MATCH($C69,'QoE PF Adj. P&amp;L Aug-26'!$C$11:$C$108,0),MATCH(AI$8,'QoE PF Adj. P&amp;L Aug-26'!$D$8:$AI$8,0))*1000</f>
        <v>5600</v>
      </c>
      <c r="AJ69" s="10">
        <f>+INDEX('QoE PF Adj. P&amp;L Aug-26'!$D$11:$AI$108,MATCH($C69,'QoE PF Adj. P&amp;L Aug-26'!$C$11:$C$108,0),MATCH(AJ$8,'QoE PF Adj. P&amp;L Aug-26'!$D$8:$AI$8,0))*1000</f>
        <v>6100</v>
      </c>
      <c r="AK69" s="10">
        <f>+INDEX('QoE PF Adj. P&amp;L Aug-26'!$D$11:$AI$108,MATCH($C69,'QoE PF Adj. P&amp;L Aug-26'!$C$11:$C$108,0),MATCH(AK$8,'QoE PF Adj. P&amp;L Aug-26'!$D$8:$AI$8,0))*1000</f>
        <v>5700</v>
      </c>
      <c r="AL69" s="10">
        <f>+INDEX('QoE PF Adj. P&amp;L Aug-26'!$D$11:$AI$108,MATCH($C69,'QoE PF Adj. P&amp;L Aug-26'!$C$11:$C$108,0),MATCH(AL$8,'QoE PF Adj. P&amp;L Aug-26'!$D$8:$AI$8,0))*1000</f>
        <v>6200</v>
      </c>
      <c r="AM69" s="10">
        <f>+INDEX('QoE PF Adj. P&amp;L Aug-26'!$D$11:$AI$108,MATCH($C69,'QoE PF Adj. P&amp;L Aug-26'!$C$11:$C$108,0),MATCH(AM$8,'QoE PF Adj. P&amp;L Aug-26'!$D$8:$AI$8,0))*1000</f>
        <v>6100</v>
      </c>
      <c r="AN69" s="10">
        <f>+INDEX('QoE PF Adj. P&amp;L Aug-26'!$D$11:$AI$108,MATCH($C69,'QoE PF Adj. P&amp;L Aug-26'!$C$11:$C$108,0),MATCH(AN$8,'QoE PF Adj. P&amp;L Aug-26'!$D$8:$AI$8,0))*1000</f>
        <v>5700</v>
      </c>
      <c r="AO69" s="10">
        <f>+INDEX('QoE PF Adj. P&amp;L Aug-26'!$D$11:$AI$108,MATCH($C69,'QoE PF Adj. P&amp;L Aug-26'!$C$11:$C$108,0),MATCH(AO$8,'QoE PF Adj. P&amp;L Aug-26'!$D$8:$AI$8,0))*1000</f>
        <v>6100</v>
      </c>
      <c r="AP69" s="10">
        <f>+SUMIFS('Sep - Nov P&amp;L'!I:I,'Sep - Nov P&amp;L'!$D:$D,$C69)</f>
        <v>7295.68</v>
      </c>
      <c r="AQ69" s="10">
        <f>+SUMIFS('Sep - Nov P&amp;L'!J:J,'Sep - Nov P&amp;L'!$D:$D,$C69)</f>
        <v>7411.76</v>
      </c>
      <c r="AR69" s="10">
        <f>+SUMIFS('Sep - Nov P&amp;L'!K:K,'Sep - Nov P&amp;L'!$D:$D,$C69)</f>
        <v>7220.43</v>
      </c>
      <c r="AS69" s="20">
        <f>+AS177</f>
        <v>6327.3225</v>
      </c>
      <c r="AT69" s="20">
        <f>+AT177</f>
        <v>6349.46812875</v>
      </c>
      <c r="AU69" s="20">
        <f>+AU177</f>
        <v>6371.69126720063</v>
      </c>
      <c r="AV69" s="20">
        <f>+AV177</f>
        <v>6393.99218663583</v>
      </c>
      <c r="AW69" s="20">
        <f>+AW177</f>
        <v>6416.37115928905</v>
      </c>
      <c r="AX69" s="20">
        <f>+AX177</f>
        <v>6438.82845834657</v>
      </c>
      <c r="AY69" s="20">
        <f>+AY177</f>
        <v>6461.36435795078</v>
      </c>
      <c r="AZ69" s="20">
        <f>+AZ177</f>
        <v>6483.97913320361</v>
      </c>
      <c r="BA69" s="20">
        <f>+BA177</f>
        <v>6506.67306016982</v>
      </c>
      <c r="BB69" s="20">
        <f>+BB177</f>
        <v>6529.44641588042</v>
      </c>
      <c r="BC69" s="20">
        <f>+BC177</f>
        <v>6552.299478336</v>
      </c>
      <c r="BD69" s="20">
        <f>+BD177</f>
        <v>6575.23252651017</v>
      </c>
      <c r="BE69" s="20">
        <f>+BE177</f>
        <v>6598.24584035296</v>
      </c>
      <c r="BF69" s="20">
        <f>+BF177</f>
        <v>6621.3397007942</v>
      </c>
      <c r="BG69" s="20">
        <f>+BG177</f>
        <v>6644.51438974698</v>
      </c>
      <c r="BH69" s="20">
        <f>+BH177</f>
        <v>6667.77019011109</v>
      </c>
      <c r="BI69" s="20">
        <f>+BI177</f>
        <v>6691.10738577648</v>
      </c>
      <c r="BJ69" s="20">
        <f>+BJ177</f>
        <v>6714.5262616267</v>
      </c>
      <c r="BK69" s="20">
        <f>+BK177</f>
        <v>6738.02710354239</v>
      </c>
      <c r="BL69" s="20">
        <f>+BL177</f>
        <v>6761.61019840479</v>
      </c>
      <c r="BM69" s="20">
        <f>+BM177</f>
        <v>6785.27583409921</v>
      </c>
      <c r="BN69" s="20">
        <f>+BN177</f>
        <v>6809.02429951856</v>
      </c>
      <c r="BO69" s="20">
        <f>+BO177</f>
        <v>6832.85588456687</v>
      </c>
      <c r="BP69" s="20">
        <f>+BP177</f>
        <v>6856.77088016286</v>
      </c>
      <c r="BQ69" s="20">
        <f>+BQ177</f>
        <v>6880.76957824343</v>
      </c>
    </row>
    <row r="70">
      <c r="B70" s="4" t="inlineStr">
        <is>
          <t>% rev</t>
        </is>
      </c>
      <c r="C70" s="3" t="inlineStr">
        <is>
          <t>Bad Debt Expense</t>
        </is>
      </c>
      <c r="D70" s="20">
        <f>+SUMIFS($J70:$BQ70,$J$7:$BQ$7,D$8)</f>
        <v>150500</v>
      </c>
      <c r="E70" s="20">
        <f>+SUMIFS($J70:$BQ70,$J$7:$BQ$7,E$8)</f>
        <v>166500</v>
      </c>
      <c r="F70" s="20">
        <f>+SUMIFS($J70:$BQ70,$J$7:$BQ$7,F$8)</f>
        <v>130596.198082414</v>
      </c>
      <c r="G70" s="20">
        <f>+SUMIFS($J70:$BQ70,$J$7:$BQ$7,G$8)</f>
        <v>194875.907198984</v>
      </c>
      <c r="H70" s="20">
        <f>+SUMIFS($J70:$BQ70,$J$7:$BQ$7,H$8)</f>
        <v>227340.497746306</v>
      </c>
      <c r="J70" s="10">
        <f>+INDEX('QoE PF Adj. P&amp;L Aug-26'!$D$11:$AI$108,MATCH($C70,'QoE PF Adj. P&amp;L Aug-26'!$C$11:$C$108,0),MATCH(J$8,'QoE PF Adj. P&amp;L Aug-26'!$D$8:$AI$8,0))*1000</f>
        <v>12200</v>
      </c>
      <c r="K70" s="10">
        <f>+INDEX('QoE PF Adj. P&amp;L Aug-26'!$D$11:$AI$108,MATCH($C70,'QoE PF Adj. P&amp;L Aug-26'!$C$11:$C$108,0),MATCH(K$8,'QoE PF Adj. P&amp;L Aug-26'!$D$8:$AI$8,0))*1000</f>
        <v>11700</v>
      </c>
      <c r="L70" s="10">
        <f>+INDEX('QoE PF Adj. P&amp;L Aug-26'!$D$11:$AI$108,MATCH($C70,'QoE PF Adj. P&amp;L Aug-26'!$C$11:$C$108,0),MATCH(L$8,'QoE PF Adj. P&amp;L Aug-26'!$D$8:$AI$8,0))*1000</f>
        <v>12600</v>
      </c>
      <c r="M70" s="10">
        <f>+INDEX('QoE PF Adj. P&amp;L Aug-26'!$D$11:$AI$108,MATCH($C70,'QoE PF Adj. P&amp;L Aug-26'!$C$11:$C$108,0),MATCH(M$8,'QoE PF Adj. P&amp;L Aug-26'!$D$8:$AI$8,0))*1000</f>
        <v>11700</v>
      </c>
      <c r="N70" s="10">
        <f>+INDEX('QoE PF Adj. P&amp;L Aug-26'!$D$11:$AI$108,MATCH($C70,'QoE PF Adj. P&amp;L Aug-26'!$C$11:$C$108,0),MATCH(N$8,'QoE PF Adj. P&amp;L Aug-26'!$D$8:$AI$8,0))*1000</f>
        <v>13300</v>
      </c>
      <c r="O70" s="10">
        <f>+INDEX('QoE PF Adj. P&amp;L Aug-26'!$D$11:$AI$108,MATCH($C70,'QoE PF Adj. P&amp;L Aug-26'!$C$11:$C$108,0),MATCH(O$8,'QoE PF Adj. P&amp;L Aug-26'!$D$8:$AI$8,0))*1000</f>
        <v>11600</v>
      </c>
      <c r="P70" s="10">
        <f>+INDEX('QoE PF Adj. P&amp;L Aug-26'!$D$11:$AI$108,MATCH($C70,'QoE PF Adj. P&amp;L Aug-26'!$C$11:$C$108,0),MATCH(P$8,'QoE PF Adj. P&amp;L Aug-26'!$D$8:$AI$8,0))*1000</f>
        <v>13500</v>
      </c>
      <c r="Q70" s="10">
        <f>+INDEX('QoE PF Adj. P&amp;L Aug-26'!$D$11:$AI$108,MATCH($C70,'QoE PF Adj. P&amp;L Aug-26'!$C$11:$C$108,0),MATCH(Q$8,'QoE PF Adj. P&amp;L Aug-26'!$D$8:$AI$8,0))*1000</f>
        <v>12700</v>
      </c>
      <c r="R70" s="10">
        <f>+INDEX('QoE PF Adj. P&amp;L Aug-26'!$D$11:$AI$108,MATCH($C70,'QoE PF Adj. P&amp;L Aug-26'!$C$11:$C$108,0),MATCH(R$8,'QoE PF Adj. P&amp;L Aug-26'!$D$8:$AI$8,0))*1000</f>
        <v>11600</v>
      </c>
      <c r="S70" s="10">
        <f>+INDEX('QoE PF Adj. P&amp;L Aug-26'!$D$11:$AI$108,MATCH($C70,'QoE PF Adj. P&amp;L Aug-26'!$C$11:$C$108,0),MATCH(S$8,'QoE PF Adj. P&amp;L Aug-26'!$D$8:$AI$8,0))*1000</f>
        <v>14200</v>
      </c>
      <c r="T70" s="10">
        <f>+INDEX('QoE PF Adj. P&amp;L Aug-26'!$D$11:$AI$108,MATCH($C70,'QoE PF Adj. P&amp;L Aug-26'!$C$11:$C$108,0),MATCH(T$8,'QoE PF Adj. P&amp;L Aug-26'!$D$8:$AI$8,0))*1000</f>
        <v>12600</v>
      </c>
      <c r="U70" s="10">
        <f>+INDEX('QoE PF Adj. P&amp;L Aug-26'!$D$11:$AI$108,MATCH($C70,'QoE PF Adj. P&amp;L Aug-26'!$C$11:$C$108,0),MATCH(U$8,'QoE PF Adj. P&amp;L Aug-26'!$D$8:$AI$8,0))*1000</f>
        <v>12800</v>
      </c>
      <c r="V70" s="10">
        <f>+INDEX('QoE PF Adj. P&amp;L Aug-26'!$D$11:$AI$108,MATCH($C70,'QoE PF Adj. P&amp;L Aug-26'!$C$11:$C$108,0),MATCH(V$8,'QoE PF Adj. P&amp;L Aug-26'!$D$8:$AI$8,0))*1000</f>
        <v>13800</v>
      </c>
      <c r="W70" s="10">
        <f>+INDEX('QoE PF Adj. P&amp;L Aug-26'!$D$11:$AI$108,MATCH($C70,'QoE PF Adj. P&amp;L Aug-26'!$C$11:$C$108,0),MATCH(W$8,'QoE PF Adj. P&amp;L Aug-26'!$D$8:$AI$8,0))*1000</f>
        <v>11200</v>
      </c>
      <c r="X70" s="10">
        <f>+INDEX('QoE PF Adj. P&amp;L Aug-26'!$D$11:$AI$108,MATCH($C70,'QoE PF Adj. P&amp;L Aug-26'!$C$11:$C$108,0),MATCH(X$8,'QoE PF Adj. P&amp;L Aug-26'!$D$8:$AI$8,0))*1000</f>
        <v>12500</v>
      </c>
      <c r="Y70" s="10">
        <f>+INDEX('QoE PF Adj. P&amp;L Aug-26'!$D$11:$AI$108,MATCH($C70,'QoE PF Adj. P&amp;L Aug-26'!$C$11:$C$108,0),MATCH(Y$8,'QoE PF Adj. P&amp;L Aug-26'!$D$8:$AI$8,0))*1000</f>
        <v>14100</v>
      </c>
      <c r="Z70" s="10">
        <f>+INDEX('QoE PF Adj. P&amp;L Aug-26'!$D$11:$AI$108,MATCH($C70,'QoE PF Adj. P&amp;L Aug-26'!$C$11:$C$108,0),MATCH(Z$8,'QoE PF Adj. P&amp;L Aug-26'!$D$8:$AI$8,0))*1000</f>
        <v>14400</v>
      </c>
      <c r="AA70" s="10">
        <f>+INDEX('QoE PF Adj. P&amp;L Aug-26'!$D$11:$AI$108,MATCH($C70,'QoE PF Adj. P&amp;L Aug-26'!$C$11:$C$108,0),MATCH(AA$8,'QoE PF Adj. P&amp;L Aug-26'!$D$8:$AI$8,0))*1000</f>
        <v>13200</v>
      </c>
      <c r="AB70" s="10">
        <f>+INDEX('QoE PF Adj. P&amp;L Aug-26'!$D$11:$AI$108,MATCH($C70,'QoE PF Adj. P&amp;L Aug-26'!$C$11:$C$108,0),MATCH(AB$8,'QoE PF Adj. P&amp;L Aug-26'!$D$8:$AI$8,0))*1000</f>
        <v>13900</v>
      </c>
      <c r="AC70" s="10">
        <f>+INDEX('QoE PF Adj. P&amp;L Aug-26'!$D$11:$AI$108,MATCH($C70,'QoE PF Adj. P&amp;L Aug-26'!$C$11:$C$108,0),MATCH(AC$8,'QoE PF Adj. P&amp;L Aug-26'!$D$8:$AI$8,0))*1000</f>
        <v>14500</v>
      </c>
      <c r="AD70" s="10">
        <f>+INDEX('QoE PF Adj. P&amp;L Aug-26'!$D$11:$AI$108,MATCH($C70,'QoE PF Adj. P&amp;L Aug-26'!$C$11:$C$108,0),MATCH(AD$8,'QoE PF Adj. P&amp;L Aug-26'!$D$8:$AI$8,0))*1000</f>
        <v>14400</v>
      </c>
      <c r="AE70" s="10">
        <f>+INDEX('QoE PF Adj. P&amp;L Aug-26'!$D$11:$AI$108,MATCH($C70,'QoE PF Adj. P&amp;L Aug-26'!$C$11:$C$108,0),MATCH(AE$8,'QoE PF Adj. P&amp;L Aug-26'!$D$8:$AI$8,0))*1000</f>
        <v>16500</v>
      </c>
      <c r="AF70" s="10">
        <f>+INDEX('QoE PF Adj. P&amp;L Aug-26'!$D$11:$AI$108,MATCH($C70,'QoE PF Adj. P&amp;L Aug-26'!$C$11:$C$108,0),MATCH(AF$8,'QoE PF Adj. P&amp;L Aug-26'!$D$8:$AI$8,0))*1000</f>
        <v>13800</v>
      </c>
      <c r="AG70" s="10">
        <f>+INDEX('QoE PF Adj. P&amp;L Aug-26'!$D$11:$AI$108,MATCH($C70,'QoE PF Adj. P&amp;L Aug-26'!$C$11:$C$108,0),MATCH(AG$8,'QoE PF Adj. P&amp;L Aug-26'!$D$8:$AI$8,0))*1000</f>
        <v>14200</v>
      </c>
      <c r="AH70" s="10">
        <f>+INDEX('QoE PF Adj. P&amp;L Aug-26'!$D$11:$AI$108,MATCH($C70,'QoE PF Adj. P&amp;L Aug-26'!$C$11:$C$108,0),MATCH(AH$8,'QoE PF Adj. P&amp;L Aug-26'!$D$8:$AI$8,0))*1000</f>
        <v>14100</v>
      </c>
      <c r="AI70" s="10">
        <f>+INDEX('QoE PF Adj. P&amp;L Aug-26'!$D$11:$AI$108,MATCH($C70,'QoE PF Adj. P&amp;L Aug-26'!$C$11:$C$108,0),MATCH(AI$8,'QoE PF Adj. P&amp;L Aug-26'!$D$8:$AI$8,0))*1000</f>
        <v>12600</v>
      </c>
      <c r="AJ70" s="10">
        <f>+INDEX('QoE PF Adj. P&amp;L Aug-26'!$D$11:$AI$108,MATCH($C70,'QoE PF Adj. P&amp;L Aug-26'!$C$11:$C$108,0),MATCH(AJ$8,'QoE PF Adj. P&amp;L Aug-26'!$D$8:$AI$8,0))*1000</f>
        <v>15300</v>
      </c>
      <c r="AK70" s="10">
        <f>+INDEX('QoE PF Adj. P&amp;L Aug-26'!$D$11:$AI$108,MATCH($C70,'QoE PF Adj. P&amp;L Aug-26'!$C$11:$C$108,0),MATCH(AK$8,'QoE PF Adj. P&amp;L Aug-26'!$D$8:$AI$8,0))*1000</f>
        <v>15000</v>
      </c>
      <c r="AL70" s="10">
        <f>+INDEX('QoE PF Adj. P&amp;L Aug-26'!$D$11:$AI$108,MATCH($C70,'QoE PF Adj. P&amp;L Aug-26'!$C$11:$C$108,0),MATCH(AL$8,'QoE PF Adj. P&amp;L Aug-26'!$D$8:$AI$8,0))*1000</f>
        <v>14400</v>
      </c>
      <c r="AM70" s="10">
        <f>+INDEX('QoE PF Adj. P&amp;L Aug-26'!$D$11:$AI$108,MATCH($C70,'QoE PF Adj. P&amp;L Aug-26'!$C$11:$C$108,0),MATCH(AM$8,'QoE PF Adj. P&amp;L Aug-26'!$D$8:$AI$8,0))*1000</f>
        <v>13900</v>
      </c>
      <c r="AN70" s="10">
        <f>+INDEX('QoE PF Adj. P&amp;L Aug-26'!$D$11:$AI$108,MATCH($C70,'QoE PF Adj. P&amp;L Aug-26'!$C$11:$C$108,0),MATCH(AN$8,'QoE PF Adj. P&amp;L Aug-26'!$D$8:$AI$8,0))*1000</f>
        <v>15500</v>
      </c>
      <c r="AO70" s="10">
        <f>+INDEX('QoE PF Adj. P&amp;L Aug-26'!$D$11:$AI$108,MATCH($C70,'QoE PF Adj. P&amp;L Aug-26'!$C$11:$C$108,0),MATCH(AO$8,'QoE PF Adj. P&amp;L Aug-26'!$D$8:$AI$8,0))*1000</f>
        <v>14300</v>
      </c>
      <c r="AP70" s="10">
        <f>+SUMIFS('Sep - Nov P&amp;L'!I:I,'Sep - Nov P&amp;L'!$D:$D,$C70)</f>
        <v>0</v>
      </c>
      <c r="AQ70" s="10">
        <f>+SUMIFS('Sep - Nov P&amp;L'!J:J,'Sep - Nov P&amp;L'!$D:$D,$C70)</f>
        <v>0</v>
      </c>
      <c r="AR70" s="10">
        <f>+SUMIFS('Sep - Nov P&amp;L'!K:K,'Sep - Nov P&amp;L'!$D:$D,$C70)</f>
        <v>0</v>
      </c>
      <c r="AS70" s="20">
        <f>+AS$10*AS178</f>
        <v>15496.1980824144</v>
      </c>
      <c r="AT70" s="20">
        <f>+AT$10*AT178</f>
        <v>14148.2191731096</v>
      </c>
      <c r="AU70" s="20">
        <f>+AU$10*AU178</f>
        <v>13474.2297184572</v>
      </c>
      <c r="AV70" s="20">
        <f>+AV$10*AV178</f>
        <v>15917.9260824144</v>
      </c>
      <c r="AW70" s="20">
        <f>+AW$10*AW178</f>
        <v>16227.0460824144</v>
      </c>
      <c r="AX70" s="20">
        <f>+AX$10*AX178</f>
        <v>15097.7551731096</v>
      </c>
      <c r="AY70" s="20">
        <f>+AY$10*AY178</f>
        <v>16136.7312509863</v>
      </c>
      <c r="AZ70" s="20">
        <f>+AZ$10*AZ178</f>
        <v>16456.5018742107</v>
      </c>
      <c r="BA70" s="20">
        <f>+BA$10*BA178</f>
        <v>16776.272497435</v>
      </c>
      <c r="BB70" s="20">
        <f>+BB$10*BB178</f>
        <v>17176.8271206593</v>
      </c>
      <c r="BC70" s="20">
        <f>+BC$10*BC178</f>
        <v>17496.5977438837</v>
      </c>
      <c r="BD70" s="20">
        <f>+BD$10*BD178</f>
        <v>17007.2915378654</v>
      </c>
      <c r="BE70" s="20">
        <f>+BE$10*BE178</f>
        <v>18960.5089444384</v>
      </c>
      <c r="BF70" s="20">
        <f>+BF$10*BF178</f>
        <v>18460.8589903324</v>
      </c>
      <c r="BG70" s="20">
        <f>+BG$10*BG178</f>
        <v>18756.5389903324</v>
      </c>
      <c r="BH70" s="20">
        <f>+BH$10*BH178</f>
        <v>20461.6788985444</v>
      </c>
      <c r="BI70" s="20">
        <f>+BI$10*BI178</f>
        <v>17903.9690362263</v>
      </c>
      <c r="BJ70" s="20">
        <f>+BJ$10*BJ178</f>
        <v>18756.5389903324</v>
      </c>
      <c r="BK70" s="20">
        <f>+BK$10*BK178</f>
        <v>19609.1089444384</v>
      </c>
      <c r="BL70" s="20">
        <f>+BL$10*BL178</f>
        <v>17903.9690362263</v>
      </c>
      <c r="BM70" s="20">
        <f>+BM$10*BM178</f>
        <v>20461.6788985444</v>
      </c>
      <c r="BN70" s="20">
        <f>+BN$10*BN178</f>
        <v>18756.5389903324</v>
      </c>
      <c r="BO70" s="20">
        <f>+BO$10*BO178</f>
        <v>18756.5389903324</v>
      </c>
      <c r="BP70" s="20">
        <f>+BP$10*BP178</f>
        <v>18756.5389903324</v>
      </c>
      <c r="BQ70" s="20">
        <f>+BQ$10*BQ178</f>
        <v>18756.5389903324</v>
      </c>
    </row>
    <row r="71">
      <c r="B71" s="4" t="inlineStr">
        <is>
          <t>% rev</t>
        </is>
      </c>
      <c r="C71" s="3" t="inlineStr">
        <is>
          <t>Billing &amp; Collection Fees</t>
        </is>
      </c>
      <c r="D71" s="20">
        <f>+SUMIFS($J71:$BQ71,$J$7:$BQ$7,D$8)</f>
        <v>448300</v>
      </c>
      <c r="E71" s="20">
        <f>+SUMIFS($J71:$BQ71,$J$7:$BQ$7,E$8)</f>
        <v>476000</v>
      </c>
      <c r="F71" s="20">
        <f>+SUMIFS($J71:$BQ71,$J$7:$BQ$7,F$8)</f>
        <v>581873.314311163</v>
      </c>
      <c r="G71" s="20">
        <f>+SUMIFS($J71:$BQ71,$J$7:$BQ$7,G$8)</f>
        <v>578131.858023652</v>
      </c>
      <c r="H71" s="20">
        <f>+SUMIFS($J71:$BQ71,$J$7:$BQ$7,H$8)</f>
        <v>674443.476647375</v>
      </c>
      <c r="J71" s="10">
        <f>+INDEX('QoE PF Adj. P&amp;L Aug-26'!$D$11:$AI$108,MATCH($C71,'QoE PF Adj. P&amp;L Aug-26'!$C$11:$C$108,0),MATCH(J$8,'QoE PF Adj. P&amp;L Aug-26'!$D$8:$AI$8,0))*1000</f>
        <v>38800</v>
      </c>
      <c r="K71" s="10">
        <f>+INDEX('QoE PF Adj. P&amp;L Aug-26'!$D$11:$AI$108,MATCH($C71,'QoE PF Adj. P&amp;L Aug-26'!$C$11:$C$108,0),MATCH(K$8,'QoE PF Adj. P&amp;L Aug-26'!$D$8:$AI$8,0))*1000</f>
        <v>34700</v>
      </c>
      <c r="L71" s="10">
        <f>+INDEX('QoE PF Adj. P&amp;L Aug-26'!$D$11:$AI$108,MATCH($C71,'QoE PF Adj. P&amp;L Aug-26'!$C$11:$C$108,0),MATCH(L$8,'QoE PF Adj. P&amp;L Aug-26'!$D$8:$AI$8,0))*1000</f>
        <v>38700</v>
      </c>
      <c r="M71" s="10">
        <f>+INDEX('QoE PF Adj. P&amp;L Aug-26'!$D$11:$AI$108,MATCH($C71,'QoE PF Adj. P&amp;L Aug-26'!$C$11:$C$108,0),MATCH(M$8,'QoE PF Adj. P&amp;L Aug-26'!$D$8:$AI$8,0))*1000</f>
        <v>36700</v>
      </c>
      <c r="N71" s="10">
        <f>+INDEX('QoE PF Adj. P&amp;L Aug-26'!$D$11:$AI$108,MATCH($C71,'QoE PF Adj. P&amp;L Aug-26'!$C$11:$C$108,0),MATCH(N$8,'QoE PF Adj. P&amp;L Aug-26'!$D$8:$AI$8,0))*1000</f>
        <v>38500</v>
      </c>
      <c r="O71" s="10">
        <f>+INDEX('QoE PF Adj. P&amp;L Aug-26'!$D$11:$AI$108,MATCH($C71,'QoE PF Adj. P&amp;L Aug-26'!$C$11:$C$108,0),MATCH(O$8,'QoE PF Adj. P&amp;L Aug-26'!$D$8:$AI$8,0))*1000</f>
        <v>34900</v>
      </c>
      <c r="P71" s="10">
        <f>+INDEX('QoE PF Adj. P&amp;L Aug-26'!$D$11:$AI$108,MATCH($C71,'QoE PF Adj. P&amp;L Aug-26'!$C$11:$C$108,0),MATCH(P$8,'QoE PF Adj. P&amp;L Aug-26'!$D$8:$AI$8,0))*1000</f>
        <v>39000</v>
      </c>
      <c r="Q71" s="10">
        <f>+INDEX('QoE PF Adj. P&amp;L Aug-26'!$D$11:$AI$108,MATCH($C71,'QoE PF Adj. P&amp;L Aug-26'!$C$11:$C$108,0),MATCH(Q$8,'QoE PF Adj. P&amp;L Aug-26'!$D$8:$AI$8,0))*1000</f>
        <v>37600</v>
      </c>
      <c r="R71" s="10">
        <f>+INDEX('QoE PF Adj. P&amp;L Aug-26'!$D$11:$AI$108,MATCH($C71,'QoE PF Adj. P&amp;L Aug-26'!$C$11:$C$108,0),MATCH(R$8,'QoE PF Adj. P&amp;L Aug-26'!$D$8:$AI$8,0))*1000</f>
        <v>36500</v>
      </c>
      <c r="S71" s="10">
        <f>+INDEX('QoE PF Adj. P&amp;L Aug-26'!$D$11:$AI$108,MATCH($C71,'QoE PF Adj. P&amp;L Aug-26'!$C$11:$C$108,0),MATCH(S$8,'QoE PF Adj. P&amp;L Aug-26'!$D$8:$AI$8,0))*1000</f>
        <v>40700</v>
      </c>
      <c r="T71" s="10">
        <f>+INDEX('QoE PF Adj. P&amp;L Aug-26'!$D$11:$AI$108,MATCH($C71,'QoE PF Adj. P&amp;L Aug-26'!$C$11:$C$108,0),MATCH(T$8,'QoE PF Adj. P&amp;L Aug-26'!$D$8:$AI$8,0))*1000</f>
        <v>35500</v>
      </c>
      <c r="U71" s="10">
        <f>+INDEX('QoE PF Adj. P&amp;L Aug-26'!$D$11:$AI$108,MATCH($C71,'QoE PF Adj. P&amp;L Aug-26'!$C$11:$C$108,0),MATCH(U$8,'QoE PF Adj. P&amp;L Aug-26'!$D$8:$AI$8,0))*1000</f>
        <v>36700</v>
      </c>
      <c r="V71" s="10">
        <f>+INDEX('QoE PF Adj. P&amp;L Aug-26'!$D$11:$AI$108,MATCH($C71,'QoE PF Adj. P&amp;L Aug-26'!$C$11:$C$108,0),MATCH(V$8,'QoE PF Adj. P&amp;L Aug-26'!$D$8:$AI$8,0))*1000</f>
        <v>39000</v>
      </c>
      <c r="W71" s="10">
        <f>+INDEX('QoE PF Adj. P&amp;L Aug-26'!$D$11:$AI$108,MATCH($C71,'QoE PF Adj. P&amp;L Aug-26'!$C$11:$C$108,0),MATCH(W$8,'QoE PF Adj. P&amp;L Aug-26'!$D$8:$AI$8,0))*1000</f>
        <v>33900</v>
      </c>
      <c r="X71" s="10">
        <f>+INDEX('QoE PF Adj. P&amp;L Aug-26'!$D$11:$AI$108,MATCH($C71,'QoE PF Adj. P&amp;L Aug-26'!$C$11:$C$108,0),MATCH(X$8,'QoE PF Adj. P&amp;L Aug-26'!$D$8:$AI$8,0))*1000</f>
        <v>39100</v>
      </c>
      <c r="Y71" s="10">
        <f>+INDEX('QoE PF Adj. P&amp;L Aug-26'!$D$11:$AI$108,MATCH($C71,'QoE PF Adj. P&amp;L Aug-26'!$C$11:$C$108,0),MATCH(Y$8,'QoE PF Adj. P&amp;L Aug-26'!$D$8:$AI$8,0))*1000</f>
        <v>39100</v>
      </c>
      <c r="Z71" s="10">
        <f>+INDEX('QoE PF Adj. P&amp;L Aug-26'!$D$11:$AI$108,MATCH($C71,'QoE PF Adj. P&amp;L Aug-26'!$C$11:$C$108,0),MATCH(Z$8,'QoE PF Adj. P&amp;L Aug-26'!$D$8:$AI$8,0))*1000</f>
        <v>41000</v>
      </c>
      <c r="AA71" s="10">
        <f>+INDEX('QoE PF Adj. P&amp;L Aug-26'!$D$11:$AI$108,MATCH($C71,'QoE PF Adj. P&amp;L Aug-26'!$C$11:$C$108,0),MATCH(AA$8,'QoE PF Adj. P&amp;L Aug-26'!$D$8:$AI$8,0))*1000</f>
        <v>35900</v>
      </c>
      <c r="AB71" s="10">
        <f>+INDEX('QoE PF Adj. P&amp;L Aug-26'!$D$11:$AI$108,MATCH($C71,'QoE PF Adj. P&amp;L Aug-26'!$C$11:$C$108,0),MATCH(AB$8,'QoE PF Adj. P&amp;L Aug-26'!$D$8:$AI$8,0))*1000</f>
        <v>41100</v>
      </c>
      <c r="AC71" s="10">
        <f>+INDEX('QoE PF Adj. P&amp;L Aug-26'!$D$11:$AI$108,MATCH($C71,'QoE PF Adj. P&amp;L Aug-26'!$C$11:$C$108,0),MATCH(AC$8,'QoE PF Adj. P&amp;L Aug-26'!$D$8:$AI$8,0))*1000</f>
        <v>39700</v>
      </c>
      <c r="AD71" s="10">
        <f>+INDEX('QoE PF Adj. P&amp;L Aug-26'!$D$11:$AI$108,MATCH($C71,'QoE PF Adj. P&amp;L Aug-26'!$C$11:$C$108,0),MATCH(AD$8,'QoE PF Adj. P&amp;L Aug-26'!$D$8:$AI$8,0))*1000</f>
        <v>40100</v>
      </c>
      <c r="AE71" s="10">
        <f>+INDEX('QoE PF Adj. P&amp;L Aug-26'!$D$11:$AI$108,MATCH($C71,'QoE PF Adj. P&amp;L Aug-26'!$C$11:$C$108,0),MATCH(AE$8,'QoE PF Adj. P&amp;L Aug-26'!$D$8:$AI$8,0))*1000</f>
        <v>46400</v>
      </c>
      <c r="AF71" s="10">
        <f>+INDEX('QoE PF Adj. P&amp;L Aug-26'!$D$11:$AI$108,MATCH($C71,'QoE PF Adj. P&amp;L Aug-26'!$C$11:$C$108,0),MATCH(AF$8,'QoE PF Adj. P&amp;L Aug-26'!$D$8:$AI$8,0))*1000</f>
        <v>40100</v>
      </c>
      <c r="AG71" s="10">
        <f>+INDEX('QoE PF Adj. P&amp;L Aug-26'!$D$11:$AI$108,MATCH($C71,'QoE PF Adj. P&amp;L Aug-26'!$C$11:$C$108,0),MATCH(AG$8,'QoE PF Adj. P&amp;L Aug-26'!$D$8:$AI$8,0))*1000</f>
        <v>40600</v>
      </c>
      <c r="AH71" s="10">
        <f>+INDEX('QoE PF Adj. P&amp;L Aug-26'!$D$11:$AI$108,MATCH($C71,'QoE PF Adj. P&amp;L Aug-26'!$C$11:$C$108,0),MATCH(AH$8,'QoE PF Adj. P&amp;L Aug-26'!$D$8:$AI$8,0))*1000</f>
        <v>44000</v>
      </c>
      <c r="AI71" s="10">
        <f>+INDEX('QoE PF Adj. P&amp;L Aug-26'!$D$11:$AI$108,MATCH($C71,'QoE PF Adj. P&amp;L Aug-26'!$C$11:$C$108,0),MATCH(AI$8,'QoE PF Adj. P&amp;L Aug-26'!$D$8:$AI$8,0))*1000</f>
        <v>36400</v>
      </c>
      <c r="AJ71" s="10">
        <f>+INDEX('QoE PF Adj. P&amp;L Aug-26'!$D$11:$AI$108,MATCH($C71,'QoE PF Adj. P&amp;L Aug-26'!$C$11:$C$108,0),MATCH(AJ$8,'QoE PF Adj. P&amp;L Aug-26'!$D$8:$AI$8,0))*1000</f>
        <v>43900</v>
      </c>
      <c r="AK71" s="10">
        <f>+INDEX('QoE PF Adj. P&amp;L Aug-26'!$D$11:$AI$108,MATCH($C71,'QoE PF Adj. P&amp;L Aug-26'!$C$11:$C$108,0),MATCH(AK$8,'QoE PF Adj. P&amp;L Aug-26'!$D$8:$AI$8,0))*1000</f>
        <v>46700</v>
      </c>
      <c r="AL71" s="10">
        <f>+INDEX('QoE PF Adj. P&amp;L Aug-26'!$D$11:$AI$108,MATCH($C71,'QoE PF Adj. P&amp;L Aug-26'!$C$11:$C$108,0),MATCH(AL$8,'QoE PF Adj. P&amp;L Aug-26'!$D$8:$AI$8,0))*1000</f>
        <v>42900</v>
      </c>
      <c r="AM71" s="10">
        <f>+INDEX('QoE PF Adj. P&amp;L Aug-26'!$D$11:$AI$108,MATCH($C71,'QoE PF Adj. P&amp;L Aug-26'!$C$11:$C$108,0),MATCH(AM$8,'QoE PF Adj. P&amp;L Aug-26'!$D$8:$AI$8,0))*1000</f>
        <v>43300</v>
      </c>
      <c r="AN71" s="10">
        <f>+INDEX('QoE PF Adj. P&amp;L Aug-26'!$D$11:$AI$108,MATCH($C71,'QoE PF Adj. P&amp;L Aug-26'!$C$11:$C$108,0),MATCH(AN$8,'QoE PF Adj. P&amp;L Aug-26'!$D$8:$AI$8,0))*1000</f>
        <v>43200</v>
      </c>
      <c r="AO71" s="10">
        <f>+INDEX('QoE PF Adj. P&amp;L Aug-26'!$D$11:$AI$108,MATCH($C71,'QoE PF Adj. P&amp;L Aug-26'!$C$11:$C$108,0),MATCH(AO$8,'QoE PF Adj. P&amp;L Aug-26'!$D$8:$AI$8,0))*1000</f>
        <v>41200</v>
      </c>
      <c r="AP71" s="10">
        <f>+SUMIFS('Sep - Nov P&amp;L'!I:I,'Sep - Nov P&amp;L'!$D:$D,$C71)</f>
        <v>65891.98</v>
      </c>
      <c r="AQ71" s="10">
        <f>+SUMIFS('Sep - Nov P&amp;L'!J:J,'Sep - Nov P&amp;L'!$D:$D,$C71)</f>
        <v>67735.91</v>
      </c>
      <c r="AR71" s="10">
        <f>+SUMIFS('Sep - Nov P&amp;L'!K:K,'Sep - Nov P&amp;L'!$D:$D,$C71)</f>
        <v>60673.37</v>
      </c>
      <c r="AS71" s="20">
        <f>+AS$10*AS179</f>
        <v>45972.0543111626</v>
      </c>
      <c r="AT71" s="20">
        <f>+AT$10*AT179</f>
        <v>41973.0502135585</v>
      </c>
      <c r="AU71" s="20">
        <f>+AU$10*AU179</f>
        <v>39973.5481647565</v>
      </c>
      <c r="AV71" s="20">
        <f>+AV$10*AV179</f>
        <v>47223.1807111626</v>
      </c>
      <c r="AW71" s="20">
        <f>+AW$10*AW179</f>
        <v>48140.2367111626</v>
      </c>
      <c r="AX71" s="20">
        <f>+AX$10*AX179</f>
        <v>44790.0070135585</v>
      </c>
      <c r="AY71" s="20">
        <f>+AY$10*AY179</f>
        <v>47872.3027112594</v>
      </c>
      <c r="AZ71" s="20">
        <f>+AZ$10*AZ179</f>
        <v>48820.9555601583</v>
      </c>
      <c r="BA71" s="20">
        <f>+BA$10*BA179</f>
        <v>49769.6084090572</v>
      </c>
      <c r="BB71" s="20">
        <f>+BB$10*BB179</f>
        <v>50957.920457956</v>
      </c>
      <c r="BC71" s="20">
        <f>+BC$10*BC179</f>
        <v>51906.5733068549</v>
      </c>
      <c r="BD71" s="20">
        <f>+BD$10*BD179</f>
        <v>50454.9648956674</v>
      </c>
      <c r="BE71" s="20">
        <f>+BE$10*BE179</f>
        <v>56249.5098685005</v>
      </c>
      <c r="BF71" s="20">
        <f>+BF$10*BF179</f>
        <v>54767.2150046527</v>
      </c>
      <c r="BG71" s="20">
        <f>+BG$10*BG179</f>
        <v>55644.3990046527</v>
      </c>
      <c r="BH71" s="20">
        <f>+BH$10*BH179</f>
        <v>60702.9807323484</v>
      </c>
      <c r="BI71" s="20">
        <f>+BI$10*BI179</f>
        <v>53115.1081408048</v>
      </c>
      <c r="BJ71" s="20">
        <f>+BJ$10*BJ179</f>
        <v>55644.3990046527</v>
      </c>
      <c r="BK71" s="20">
        <f>+BK$10*BK179</f>
        <v>58173.6898685005</v>
      </c>
      <c r="BL71" s="20">
        <f>+BL$10*BL179</f>
        <v>53115.1081408048</v>
      </c>
      <c r="BM71" s="20">
        <f>+BM$10*BM179</f>
        <v>60702.9807323484</v>
      </c>
      <c r="BN71" s="20">
        <f>+BN$10*BN179</f>
        <v>55644.3990046527</v>
      </c>
      <c r="BO71" s="20">
        <f>+BO$10*BO179</f>
        <v>55644.3990046527</v>
      </c>
      <c r="BP71" s="20">
        <f>+BP$10*BP179</f>
        <v>55644.3990046527</v>
      </c>
      <c r="BQ71" s="20">
        <f>+BQ$10*BQ179</f>
        <v>55644.3990046527</v>
      </c>
    </row>
    <row r="72">
      <c r="C72" s="3" t="inlineStr">
        <is>
          <t>Contract Services</t>
        </is>
      </c>
      <c r="D72" s="20">
        <f>+SUMIFS($J72:$BQ72,$J$7:$BQ$7,D$8)</f>
        <v>65500</v>
      </c>
      <c r="E72" s="20">
        <f>+SUMIFS($J72:$BQ72,$J$7:$BQ$7,E$8)</f>
        <v>69200</v>
      </c>
      <c r="F72" s="20">
        <f>+SUMIFS($J72:$BQ72,$J$7:$BQ$7,F$8)</f>
        <v>54250</v>
      </c>
      <c r="G72" s="20">
        <f>+SUMIFS($J72:$BQ72,$J$7:$BQ$7,G$8)</f>
        <v>57085.8847259185</v>
      </c>
      <c r="H72" s="20">
        <f>+SUMIFS($J72:$BQ72,$J$7:$BQ$7,H$8)</f>
        <v>59530.1885490522</v>
      </c>
      <c r="J72" s="10">
        <f>+INDEX('QoE PF Adj. P&amp;L Aug-26'!$D$11:$AI$108,MATCH($C72,'QoE PF Adj. P&amp;L Aug-26'!$C$11:$C$108,0),MATCH(J$8,'QoE PF Adj. P&amp;L Aug-26'!$D$8:$AI$8,0))*1000</f>
        <v>5300</v>
      </c>
      <c r="K72" s="10">
        <f>+INDEX('QoE PF Adj. P&amp;L Aug-26'!$D$11:$AI$108,MATCH($C72,'QoE PF Adj. P&amp;L Aug-26'!$C$11:$C$108,0),MATCH(K$8,'QoE PF Adj. P&amp;L Aug-26'!$D$8:$AI$8,0))*1000</f>
        <v>5000</v>
      </c>
      <c r="L72" s="10">
        <f>+INDEX('QoE PF Adj. P&amp;L Aug-26'!$D$11:$AI$108,MATCH($C72,'QoE PF Adj. P&amp;L Aug-26'!$C$11:$C$108,0),MATCH(L$8,'QoE PF Adj. P&amp;L Aug-26'!$D$8:$AI$8,0))*1000</f>
        <v>5100</v>
      </c>
      <c r="M72" s="10">
        <f>+INDEX('QoE PF Adj. P&amp;L Aug-26'!$D$11:$AI$108,MATCH($C72,'QoE PF Adj. P&amp;L Aug-26'!$C$11:$C$108,0),MATCH(M$8,'QoE PF Adj. P&amp;L Aug-26'!$D$8:$AI$8,0))*1000</f>
        <v>5300</v>
      </c>
      <c r="N72" s="10">
        <f>+INDEX('QoE PF Adj. P&amp;L Aug-26'!$D$11:$AI$108,MATCH($C72,'QoE PF Adj. P&amp;L Aug-26'!$C$11:$C$108,0),MATCH(N$8,'QoE PF Adj. P&amp;L Aug-26'!$D$8:$AI$8,0))*1000</f>
        <v>5600</v>
      </c>
      <c r="O72" s="10">
        <f>+INDEX('QoE PF Adj. P&amp;L Aug-26'!$D$11:$AI$108,MATCH($C72,'QoE PF Adj. P&amp;L Aug-26'!$C$11:$C$108,0),MATCH(O$8,'QoE PF Adj. P&amp;L Aug-26'!$D$8:$AI$8,0))*1000</f>
        <v>5600</v>
      </c>
      <c r="P72" s="10">
        <f>+INDEX('QoE PF Adj. P&amp;L Aug-26'!$D$11:$AI$108,MATCH($C72,'QoE PF Adj. P&amp;L Aug-26'!$C$11:$C$108,0),MATCH(P$8,'QoE PF Adj. P&amp;L Aug-26'!$D$8:$AI$8,0))*1000</f>
        <v>5600</v>
      </c>
      <c r="Q72" s="10">
        <f>+INDEX('QoE PF Adj. P&amp;L Aug-26'!$D$11:$AI$108,MATCH($C72,'QoE PF Adj. P&amp;L Aug-26'!$C$11:$C$108,0),MATCH(Q$8,'QoE PF Adj. P&amp;L Aug-26'!$D$8:$AI$8,0))*1000</f>
        <v>5700</v>
      </c>
      <c r="R72" s="10">
        <f>+INDEX('QoE PF Adj. P&amp;L Aug-26'!$D$11:$AI$108,MATCH($C72,'QoE PF Adj. P&amp;L Aug-26'!$C$11:$C$108,0),MATCH(R$8,'QoE PF Adj. P&amp;L Aug-26'!$D$8:$AI$8,0))*1000</f>
        <v>5600</v>
      </c>
      <c r="S72" s="10">
        <f>+INDEX('QoE PF Adj. P&amp;L Aug-26'!$D$11:$AI$108,MATCH($C72,'QoE PF Adj. P&amp;L Aug-26'!$C$11:$C$108,0),MATCH(S$8,'QoE PF Adj. P&amp;L Aug-26'!$D$8:$AI$8,0))*1000</f>
        <v>5800</v>
      </c>
      <c r="T72" s="10">
        <f>+INDEX('QoE PF Adj. P&amp;L Aug-26'!$D$11:$AI$108,MATCH($C72,'QoE PF Adj. P&amp;L Aug-26'!$C$11:$C$108,0),MATCH(T$8,'QoE PF Adj. P&amp;L Aug-26'!$D$8:$AI$8,0))*1000</f>
        <v>5600</v>
      </c>
      <c r="U72" s="10">
        <f>+INDEX('QoE PF Adj. P&amp;L Aug-26'!$D$11:$AI$108,MATCH($C72,'QoE PF Adj. P&amp;L Aug-26'!$C$11:$C$108,0),MATCH(U$8,'QoE PF Adj. P&amp;L Aug-26'!$D$8:$AI$8,0))*1000</f>
        <v>5300</v>
      </c>
      <c r="V72" s="10">
        <f>+INDEX('QoE PF Adj. P&amp;L Aug-26'!$D$11:$AI$108,MATCH($C72,'QoE PF Adj. P&amp;L Aug-26'!$C$11:$C$108,0),MATCH(V$8,'QoE PF Adj. P&amp;L Aug-26'!$D$8:$AI$8,0))*1000</f>
        <v>5300</v>
      </c>
      <c r="W72" s="10">
        <f>+INDEX('QoE PF Adj. P&amp;L Aug-26'!$D$11:$AI$108,MATCH($C72,'QoE PF Adj. P&amp;L Aug-26'!$C$11:$C$108,0),MATCH(W$8,'QoE PF Adj. P&amp;L Aug-26'!$D$8:$AI$8,0))*1000</f>
        <v>5300</v>
      </c>
      <c r="X72" s="10">
        <f>+INDEX('QoE PF Adj. P&amp;L Aug-26'!$D$11:$AI$108,MATCH($C72,'QoE PF Adj. P&amp;L Aug-26'!$C$11:$C$108,0),MATCH(X$8,'QoE PF Adj. P&amp;L Aug-26'!$D$8:$AI$8,0))*1000</f>
        <v>5300</v>
      </c>
      <c r="Y72" s="10">
        <f>+INDEX('QoE PF Adj. P&amp;L Aug-26'!$D$11:$AI$108,MATCH($C72,'QoE PF Adj. P&amp;L Aug-26'!$C$11:$C$108,0),MATCH(Y$8,'QoE PF Adj. P&amp;L Aug-26'!$D$8:$AI$8,0))*1000</f>
        <v>5500</v>
      </c>
      <c r="Z72" s="10">
        <f>+INDEX('QoE PF Adj. P&amp;L Aug-26'!$D$11:$AI$108,MATCH($C72,'QoE PF Adj. P&amp;L Aug-26'!$C$11:$C$108,0),MATCH(Z$8,'QoE PF Adj. P&amp;L Aug-26'!$D$8:$AI$8,0))*1000</f>
        <v>6100</v>
      </c>
      <c r="AA72" s="10">
        <f>+INDEX('QoE PF Adj. P&amp;L Aug-26'!$D$11:$AI$108,MATCH($C72,'QoE PF Adj. P&amp;L Aug-26'!$C$11:$C$108,0),MATCH(AA$8,'QoE PF Adj. P&amp;L Aug-26'!$D$8:$AI$8,0))*1000</f>
        <v>6100</v>
      </c>
      <c r="AB72" s="10">
        <f>+INDEX('QoE PF Adj. P&amp;L Aug-26'!$D$11:$AI$108,MATCH($C72,'QoE PF Adj. P&amp;L Aug-26'!$C$11:$C$108,0),MATCH(AB$8,'QoE PF Adj. P&amp;L Aug-26'!$D$8:$AI$8,0))*1000</f>
        <v>6000</v>
      </c>
      <c r="AC72" s="10">
        <f>+INDEX('QoE PF Adj. P&amp;L Aug-26'!$D$11:$AI$108,MATCH($C72,'QoE PF Adj. P&amp;L Aug-26'!$C$11:$C$108,0),MATCH(AC$8,'QoE PF Adj. P&amp;L Aug-26'!$D$8:$AI$8,0))*1000</f>
        <v>5600</v>
      </c>
      <c r="AD72" s="10">
        <f>+INDEX('QoE PF Adj. P&amp;L Aug-26'!$D$11:$AI$108,MATCH($C72,'QoE PF Adj. P&amp;L Aug-26'!$C$11:$C$108,0),MATCH(AD$8,'QoE PF Adj. P&amp;L Aug-26'!$D$8:$AI$8,0))*1000</f>
        <v>6000</v>
      </c>
      <c r="AE72" s="10">
        <f>+INDEX('QoE PF Adj. P&amp;L Aug-26'!$D$11:$AI$108,MATCH($C72,'QoE PF Adj. P&amp;L Aug-26'!$C$11:$C$108,0),MATCH(AE$8,'QoE PF Adj. P&amp;L Aug-26'!$D$8:$AI$8,0))*1000</f>
        <v>6000</v>
      </c>
      <c r="AF72" s="10">
        <f>+INDEX('QoE PF Adj. P&amp;L Aug-26'!$D$11:$AI$108,MATCH($C72,'QoE PF Adj. P&amp;L Aug-26'!$C$11:$C$108,0),MATCH(AF$8,'QoE PF Adj. P&amp;L Aug-26'!$D$8:$AI$8,0))*1000</f>
        <v>5800</v>
      </c>
      <c r="AG72" s="10">
        <f>+INDEX('QoE PF Adj. P&amp;L Aug-26'!$D$11:$AI$108,MATCH($C72,'QoE PF Adj. P&amp;L Aug-26'!$C$11:$C$108,0),MATCH(AG$8,'QoE PF Adj. P&amp;L Aug-26'!$D$8:$AI$8,0))*1000</f>
        <v>6200</v>
      </c>
      <c r="AH72" s="10">
        <f>+INDEX('QoE PF Adj. P&amp;L Aug-26'!$D$11:$AI$108,MATCH($C72,'QoE PF Adj. P&amp;L Aug-26'!$C$11:$C$108,0),MATCH(AH$8,'QoE PF Adj. P&amp;L Aug-26'!$D$8:$AI$8,0))*1000</f>
        <v>6100</v>
      </c>
      <c r="AI72" s="10">
        <f>+INDEX('QoE PF Adj. P&amp;L Aug-26'!$D$11:$AI$108,MATCH($C72,'QoE PF Adj. P&amp;L Aug-26'!$C$11:$C$108,0),MATCH(AI$8,'QoE PF Adj. P&amp;L Aug-26'!$D$8:$AI$8,0))*1000</f>
        <v>5900</v>
      </c>
      <c r="AJ72" s="10">
        <f>+INDEX('QoE PF Adj. P&amp;L Aug-26'!$D$11:$AI$108,MATCH($C72,'QoE PF Adj. P&amp;L Aug-26'!$C$11:$C$108,0),MATCH(AJ$8,'QoE PF Adj. P&amp;L Aug-26'!$D$8:$AI$8,0))*1000</f>
        <v>6300</v>
      </c>
      <c r="AK72" s="10">
        <f>+INDEX('QoE PF Adj. P&amp;L Aug-26'!$D$11:$AI$108,MATCH($C72,'QoE PF Adj. P&amp;L Aug-26'!$C$11:$C$108,0),MATCH(AK$8,'QoE PF Adj. P&amp;L Aug-26'!$D$8:$AI$8,0))*1000</f>
        <v>6400</v>
      </c>
      <c r="AL72" s="10">
        <f>+INDEX('QoE PF Adj. P&amp;L Aug-26'!$D$11:$AI$108,MATCH($C72,'QoE PF Adj. P&amp;L Aug-26'!$C$11:$C$108,0),MATCH(AL$8,'QoE PF Adj. P&amp;L Aug-26'!$D$8:$AI$8,0))*1000</f>
        <v>6000</v>
      </c>
      <c r="AM72" s="10">
        <f>+INDEX('QoE PF Adj. P&amp;L Aug-26'!$D$11:$AI$108,MATCH($C72,'QoE PF Adj. P&amp;L Aug-26'!$C$11:$C$108,0),MATCH(AM$8,'QoE PF Adj. P&amp;L Aug-26'!$D$8:$AI$8,0))*1000</f>
        <v>6100</v>
      </c>
      <c r="AN72" s="10">
        <f>+INDEX('QoE PF Adj. P&amp;L Aug-26'!$D$11:$AI$108,MATCH($C72,'QoE PF Adj. P&amp;L Aug-26'!$C$11:$C$108,0),MATCH(AN$8,'QoE PF Adj. P&amp;L Aug-26'!$D$8:$AI$8,0))*1000</f>
        <v>6100</v>
      </c>
      <c r="AO72" s="10">
        <f>+INDEX('QoE PF Adj. P&amp;L Aug-26'!$D$11:$AI$108,MATCH($C72,'QoE PF Adj. P&amp;L Aug-26'!$C$11:$C$108,0),MATCH(AO$8,'QoE PF Adj. P&amp;L Aug-26'!$D$8:$AI$8,0))*1000</f>
        <v>6700</v>
      </c>
      <c r="AP72" s="10">
        <f>+SUMIFS('Sep - Nov P&amp;L'!I:I,'Sep - Nov P&amp;L'!$D:$D,$C72)</f>
        <v>0</v>
      </c>
      <c r="AQ72" s="10">
        <f>+SUMIFS('Sep - Nov P&amp;L'!J:J,'Sep - Nov P&amp;L'!$D:$D,$C72)</f>
        <v>0</v>
      </c>
      <c r="AR72" s="10">
        <f>+SUMIFS('Sep - Nov P&amp;L'!K:K,'Sep - Nov P&amp;L'!$D:$D,$C72)</f>
        <v>0</v>
      </c>
      <c r="AS72" s="20">
        <f>+AS180</f>
        <v>4650</v>
      </c>
      <c r="AT72" s="20">
        <f>+AT180</f>
        <v>4666.275</v>
      </c>
      <c r="AU72" s="20">
        <f>+AU180</f>
        <v>4682.6069625</v>
      </c>
      <c r="AV72" s="20">
        <f>+AV180</f>
        <v>4698.99608686875</v>
      </c>
      <c r="AW72" s="20">
        <f>+AW180</f>
        <v>4715.44257317279</v>
      </c>
      <c r="AX72" s="20">
        <f>+AX180</f>
        <v>4731.9466221789</v>
      </c>
      <c r="AY72" s="20">
        <f>+AY180</f>
        <v>4748.50843535652</v>
      </c>
      <c r="AZ72" s="20">
        <f>+AZ180</f>
        <v>4765.12821488027</v>
      </c>
      <c r="BA72" s="20">
        <f>+BA180</f>
        <v>4781.80616363235</v>
      </c>
      <c r="BB72" s="20">
        <f>+BB180</f>
        <v>4798.54248520507</v>
      </c>
      <c r="BC72" s="20">
        <f>+BC180</f>
        <v>4815.33738390329</v>
      </c>
      <c r="BD72" s="20">
        <f>+BD180</f>
        <v>4832.19106474695</v>
      </c>
      <c r="BE72" s="20">
        <f>+BE180</f>
        <v>4849.10373347356</v>
      </c>
      <c r="BF72" s="20">
        <f>+BF180</f>
        <v>4866.07559654072</v>
      </c>
      <c r="BG72" s="20">
        <f>+BG180</f>
        <v>4883.10686112861</v>
      </c>
      <c r="BH72" s="20">
        <f>+BH180</f>
        <v>4900.19773514256</v>
      </c>
      <c r="BI72" s="20">
        <f>+BI180</f>
        <v>4917.34842721556</v>
      </c>
      <c r="BJ72" s="20">
        <f>+BJ180</f>
        <v>4934.55914671082</v>
      </c>
      <c r="BK72" s="20">
        <f>+BK180</f>
        <v>4951.83010372431</v>
      </c>
      <c r="BL72" s="20">
        <f>+BL180</f>
        <v>4969.16150908734</v>
      </c>
      <c r="BM72" s="20">
        <f>+BM180</f>
        <v>4986.55357436915</v>
      </c>
      <c r="BN72" s="20">
        <f>+BN180</f>
        <v>5004.00651187944</v>
      </c>
      <c r="BO72" s="20">
        <f>+BO180</f>
        <v>5021.52053467102</v>
      </c>
      <c r="BP72" s="20">
        <f>+BP180</f>
        <v>5039.09585654237</v>
      </c>
      <c r="BQ72" s="20">
        <f>+BQ180</f>
        <v>5056.73269204027</v>
      </c>
    </row>
    <row r="73">
      <c r="C73" s="3" t="inlineStr">
        <is>
          <t>Dues &amp; Subscriptions</t>
        </is>
      </c>
      <c r="D73" s="20">
        <f>+SUMIFS($J73:$BQ73,$J$7:$BQ$7,D$8)</f>
        <v>19800</v>
      </c>
      <c r="E73" s="20">
        <f>+SUMIFS($J73:$BQ73,$J$7:$BQ$7,E$8)</f>
        <v>20700</v>
      </c>
      <c r="F73" s="20">
        <f>+SUMIFS($J73:$BQ73,$J$7:$BQ$7,F$8)</f>
        <v>21995.6525</v>
      </c>
      <c r="G73" s="20">
        <f>+SUMIFS($J73:$BQ73,$J$7:$BQ$7,G$8)</f>
        <v>22376.9609118349</v>
      </c>
      <c r="H73" s="20">
        <f>+SUMIFS($J73:$BQ73,$J$7:$BQ$7,H$8)</f>
        <v>23335.097785241</v>
      </c>
      <c r="J73" s="10">
        <f>+INDEX('QoE PF Adj. P&amp;L Aug-26'!$D$11:$AI$108,MATCH($C73,'QoE PF Adj. P&amp;L Aug-26'!$C$11:$C$108,0),MATCH(J$8,'QoE PF Adj. P&amp;L Aug-26'!$D$8:$AI$8,0))*1000</f>
        <v>1500</v>
      </c>
      <c r="K73" s="10">
        <f>+INDEX('QoE PF Adj. P&amp;L Aug-26'!$D$11:$AI$108,MATCH($C73,'QoE PF Adj. P&amp;L Aug-26'!$C$11:$C$108,0),MATCH(K$8,'QoE PF Adj. P&amp;L Aug-26'!$D$8:$AI$8,0))*1000</f>
        <v>1700</v>
      </c>
      <c r="L73" s="10">
        <f>+INDEX('QoE PF Adj. P&amp;L Aug-26'!$D$11:$AI$108,MATCH($C73,'QoE PF Adj. P&amp;L Aug-26'!$C$11:$C$108,0),MATCH(L$8,'QoE PF Adj. P&amp;L Aug-26'!$D$8:$AI$8,0))*1000</f>
        <v>1700</v>
      </c>
      <c r="M73" s="10">
        <f>+INDEX('QoE PF Adj. P&amp;L Aug-26'!$D$11:$AI$108,MATCH($C73,'QoE PF Adj. P&amp;L Aug-26'!$C$11:$C$108,0),MATCH(M$8,'QoE PF Adj. P&amp;L Aug-26'!$D$8:$AI$8,0))*1000</f>
        <v>1600</v>
      </c>
      <c r="N73" s="10">
        <f>+INDEX('QoE PF Adj. P&amp;L Aug-26'!$D$11:$AI$108,MATCH($C73,'QoE PF Adj. P&amp;L Aug-26'!$C$11:$C$108,0),MATCH(N$8,'QoE PF Adj. P&amp;L Aug-26'!$D$8:$AI$8,0))*1000</f>
        <v>1700</v>
      </c>
      <c r="O73" s="10">
        <f>+INDEX('QoE PF Adj. P&amp;L Aug-26'!$D$11:$AI$108,MATCH($C73,'QoE PF Adj. P&amp;L Aug-26'!$C$11:$C$108,0),MATCH(O$8,'QoE PF Adj. P&amp;L Aug-26'!$D$8:$AI$8,0))*1000</f>
        <v>1500</v>
      </c>
      <c r="P73" s="10">
        <f>+INDEX('QoE PF Adj. P&amp;L Aug-26'!$D$11:$AI$108,MATCH($C73,'QoE PF Adj. P&amp;L Aug-26'!$C$11:$C$108,0),MATCH(P$8,'QoE PF Adj. P&amp;L Aug-26'!$D$8:$AI$8,0))*1000</f>
        <v>1700</v>
      </c>
      <c r="Q73" s="10">
        <f>+INDEX('QoE PF Adj. P&amp;L Aug-26'!$D$11:$AI$108,MATCH($C73,'QoE PF Adj. P&amp;L Aug-26'!$C$11:$C$108,0),MATCH(Q$8,'QoE PF Adj. P&amp;L Aug-26'!$D$8:$AI$8,0))*1000</f>
        <v>1700</v>
      </c>
      <c r="R73" s="10">
        <f>+INDEX('QoE PF Adj. P&amp;L Aug-26'!$D$11:$AI$108,MATCH($C73,'QoE PF Adj. P&amp;L Aug-26'!$C$11:$C$108,0),MATCH(R$8,'QoE PF Adj. P&amp;L Aug-26'!$D$8:$AI$8,0))*1000</f>
        <v>1700</v>
      </c>
      <c r="S73" s="10">
        <f>+INDEX('QoE PF Adj. P&amp;L Aug-26'!$D$11:$AI$108,MATCH($C73,'QoE PF Adj. P&amp;L Aug-26'!$C$11:$C$108,0),MATCH(S$8,'QoE PF Adj. P&amp;L Aug-26'!$D$8:$AI$8,0))*1000</f>
        <v>1600</v>
      </c>
      <c r="T73" s="10">
        <f>+INDEX('QoE PF Adj. P&amp;L Aug-26'!$D$11:$AI$108,MATCH($C73,'QoE PF Adj. P&amp;L Aug-26'!$C$11:$C$108,0),MATCH(T$8,'QoE PF Adj. P&amp;L Aug-26'!$D$8:$AI$8,0))*1000</f>
        <v>1700</v>
      </c>
      <c r="U73" s="10">
        <f>+INDEX('QoE PF Adj. P&amp;L Aug-26'!$D$11:$AI$108,MATCH($C73,'QoE PF Adj. P&amp;L Aug-26'!$C$11:$C$108,0),MATCH(U$8,'QoE PF Adj. P&amp;L Aug-26'!$D$8:$AI$8,0))*1000</f>
        <v>1700</v>
      </c>
      <c r="V73" s="10">
        <f>+INDEX('QoE PF Adj. P&amp;L Aug-26'!$D$11:$AI$108,MATCH($C73,'QoE PF Adj. P&amp;L Aug-26'!$C$11:$C$108,0),MATCH(V$8,'QoE PF Adj. P&amp;L Aug-26'!$D$8:$AI$8,0))*1000</f>
        <v>1700</v>
      </c>
      <c r="W73" s="10">
        <f>+INDEX('QoE PF Adj. P&amp;L Aug-26'!$D$11:$AI$108,MATCH($C73,'QoE PF Adj. P&amp;L Aug-26'!$C$11:$C$108,0),MATCH(W$8,'QoE PF Adj. P&amp;L Aug-26'!$D$8:$AI$8,0))*1000</f>
        <v>1800</v>
      </c>
      <c r="X73" s="10">
        <f>+INDEX('QoE PF Adj. P&amp;L Aug-26'!$D$11:$AI$108,MATCH($C73,'QoE PF Adj. P&amp;L Aug-26'!$C$11:$C$108,0),MATCH(X$8,'QoE PF Adj. P&amp;L Aug-26'!$D$8:$AI$8,0))*1000</f>
        <v>1600</v>
      </c>
      <c r="Y73" s="10">
        <f>+INDEX('QoE PF Adj. P&amp;L Aug-26'!$D$11:$AI$108,MATCH($C73,'QoE PF Adj. P&amp;L Aug-26'!$C$11:$C$108,0),MATCH(Y$8,'QoE PF Adj. P&amp;L Aug-26'!$D$8:$AI$8,0))*1000</f>
        <v>1700</v>
      </c>
      <c r="Z73" s="10">
        <f>+INDEX('QoE PF Adj. P&amp;L Aug-26'!$D$11:$AI$108,MATCH($C73,'QoE PF Adj. P&amp;L Aug-26'!$C$11:$C$108,0),MATCH(Z$8,'QoE PF Adj. P&amp;L Aug-26'!$D$8:$AI$8,0))*1000</f>
        <v>1700</v>
      </c>
      <c r="AA73" s="10">
        <f>+INDEX('QoE PF Adj. P&amp;L Aug-26'!$D$11:$AI$108,MATCH($C73,'QoE PF Adj. P&amp;L Aug-26'!$C$11:$C$108,0),MATCH(AA$8,'QoE PF Adj. P&amp;L Aug-26'!$D$8:$AI$8,0))*1000</f>
        <v>1700</v>
      </c>
      <c r="AB73" s="10">
        <f>+INDEX('QoE PF Adj. P&amp;L Aug-26'!$D$11:$AI$108,MATCH($C73,'QoE PF Adj. P&amp;L Aug-26'!$C$11:$C$108,0),MATCH(AB$8,'QoE PF Adj. P&amp;L Aug-26'!$D$8:$AI$8,0))*1000</f>
        <v>1800</v>
      </c>
      <c r="AC73" s="10">
        <f>+INDEX('QoE PF Adj. P&amp;L Aug-26'!$D$11:$AI$108,MATCH($C73,'QoE PF Adj. P&amp;L Aug-26'!$C$11:$C$108,0),MATCH(AC$8,'QoE PF Adj. P&amp;L Aug-26'!$D$8:$AI$8,0))*1000</f>
        <v>1800</v>
      </c>
      <c r="AD73" s="10">
        <f>+INDEX('QoE PF Adj. P&amp;L Aug-26'!$D$11:$AI$108,MATCH($C73,'QoE PF Adj. P&amp;L Aug-26'!$C$11:$C$108,0),MATCH(AD$8,'QoE PF Adj. P&amp;L Aug-26'!$D$8:$AI$8,0))*1000</f>
        <v>1700</v>
      </c>
      <c r="AE73" s="10">
        <f>+INDEX('QoE PF Adj. P&amp;L Aug-26'!$D$11:$AI$108,MATCH($C73,'QoE PF Adj. P&amp;L Aug-26'!$C$11:$C$108,0),MATCH(AE$8,'QoE PF Adj. P&amp;L Aug-26'!$D$8:$AI$8,0))*1000</f>
        <v>1700</v>
      </c>
      <c r="AF73" s="10">
        <f>+INDEX('QoE PF Adj. P&amp;L Aug-26'!$D$11:$AI$108,MATCH($C73,'QoE PF Adj. P&amp;L Aug-26'!$C$11:$C$108,0),MATCH(AF$8,'QoE PF Adj. P&amp;L Aug-26'!$D$8:$AI$8,0))*1000</f>
        <v>1800</v>
      </c>
      <c r="AG73" s="10">
        <f>+INDEX('QoE PF Adj. P&amp;L Aug-26'!$D$11:$AI$108,MATCH($C73,'QoE PF Adj. P&amp;L Aug-26'!$C$11:$C$108,0),MATCH(AG$8,'QoE PF Adj. P&amp;L Aug-26'!$D$8:$AI$8,0))*1000</f>
        <v>1700</v>
      </c>
      <c r="AH73" s="10">
        <f>+INDEX('QoE PF Adj. P&amp;L Aug-26'!$D$11:$AI$108,MATCH($C73,'QoE PF Adj. P&amp;L Aug-26'!$C$11:$C$108,0),MATCH(AH$8,'QoE PF Adj. P&amp;L Aug-26'!$D$8:$AI$8,0))*1000</f>
        <v>1800</v>
      </c>
      <c r="AI73" s="10">
        <f>+INDEX('QoE PF Adj. P&amp;L Aug-26'!$D$11:$AI$108,MATCH($C73,'QoE PF Adj. P&amp;L Aug-26'!$C$11:$C$108,0),MATCH(AI$8,'QoE PF Adj. P&amp;L Aug-26'!$D$8:$AI$8,0))*1000</f>
        <v>1800</v>
      </c>
      <c r="AJ73" s="10">
        <f>+INDEX('QoE PF Adj. P&amp;L Aug-26'!$D$11:$AI$108,MATCH($C73,'QoE PF Adj. P&amp;L Aug-26'!$C$11:$C$108,0),MATCH(AJ$8,'QoE PF Adj. P&amp;L Aug-26'!$D$8:$AI$8,0))*1000</f>
        <v>1700</v>
      </c>
      <c r="AK73" s="10">
        <f>+INDEX('QoE PF Adj. P&amp;L Aug-26'!$D$11:$AI$108,MATCH($C73,'QoE PF Adj. P&amp;L Aug-26'!$C$11:$C$108,0),MATCH(AK$8,'QoE PF Adj. P&amp;L Aug-26'!$D$8:$AI$8,0))*1000</f>
        <v>1700</v>
      </c>
      <c r="AL73" s="10">
        <f>+INDEX('QoE PF Adj. P&amp;L Aug-26'!$D$11:$AI$108,MATCH($C73,'QoE PF Adj. P&amp;L Aug-26'!$C$11:$C$108,0),MATCH(AL$8,'QoE PF Adj. P&amp;L Aug-26'!$D$8:$AI$8,0))*1000</f>
        <v>1900</v>
      </c>
      <c r="AM73" s="10">
        <f>+INDEX('QoE PF Adj. P&amp;L Aug-26'!$D$11:$AI$108,MATCH($C73,'QoE PF Adj. P&amp;L Aug-26'!$C$11:$C$108,0),MATCH(AM$8,'QoE PF Adj. P&amp;L Aug-26'!$D$8:$AI$8,0))*1000</f>
        <v>1900</v>
      </c>
      <c r="AN73" s="10">
        <f>+INDEX('QoE PF Adj. P&amp;L Aug-26'!$D$11:$AI$108,MATCH($C73,'QoE PF Adj. P&amp;L Aug-26'!$C$11:$C$108,0),MATCH(AN$8,'QoE PF Adj. P&amp;L Aug-26'!$D$8:$AI$8,0))*1000</f>
        <v>1900</v>
      </c>
      <c r="AO73" s="10">
        <f>+INDEX('QoE PF Adj. P&amp;L Aug-26'!$D$11:$AI$108,MATCH($C73,'QoE PF Adj. P&amp;L Aug-26'!$C$11:$C$108,0),MATCH(AO$8,'QoE PF Adj. P&amp;L Aug-26'!$D$8:$AI$8,0))*1000</f>
        <v>1800</v>
      </c>
      <c r="AP73" s="10">
        <f>+SUMIFS('Sep - Nov P&amp;L'!I:I,'Sep - Nov P&amp;L'!$D:$D,$C73)</f>
        <v>1934.62</v>
      </c>
      <c r="AQ73" s="10">
        <f>+SUMIFS('Sep - Nov P&amp;L'!J:J,'Sep - Nov P&amp;L'!$D:$D,$C73)</f>
        <v>1819.25</v>
      </c>
      <c r="AR73" s="10">
        <f>+SUMIFS('Sep - Nov P&amp;L'!K:K,'Sep - Nov P&amp;L'!$D:$D,$C73)</f>
        <v>1919.04</v>
      </c>
      <c r="AS73" s="20">
        <f>+AS181</f>
        <v>1822.7425</v>
      </c>
      <c r="AT73" s="20">
        <f>+AT181</f>
        <v>1829.12209875</v>
      </c>
      <c r="AU73" s="20">
        <f>+AU181</f>
        <v>1835.52402609563</v>
      </c>
      <c r="AV73" s="20">
        <f>+AV181</f>
        <v>1841.94836018696</v>
      </c>
      <c r="AW73" s="20">
        <f>+AW181</f>
        <v>1848.39517944761</v>
      </c>
      <c r="AX73" s="20">
        <f>+AX181</f>
        <v>1854.86456257568</v>
      </c>
      <c r="AY73" s="20">
        <f>+AY181</f>
        <v>1861.3565885447</v>
      </c>
      <c r="AZ73" s="20">
        <f>+AZ181</f>
        <v>1867.8713366046</v>
      </c>
      <c r="BA73" s="20">
        <f>+BA181</f>
        <v>1874.40888628272</v>
      </c>
      <c r="BB73" s="20">
        <f>+BB181</f>
        <v>1880.96931738471</v>
      </c>
      <c r="BC73" s="20">
        <f>+BC181</f>
        <v>1887.55270999556</v>
      </c>
      <c r="BD73" s="20">
        <f>+BD181</f>
        <v>1894.15914448054</v>
      </c>
      <c r="BE73" s="20">
        <f>+BE181</f>
        <v>1900.78870148622</v>
      </c>
      <c r="BF73" s="20">
        <f>+BF181</f>
        <v>1907.44146194142</v>
      </c>
      <c r="BG73" s="20">
        <f>+BG181</f>
        <v>1914.11750705822</v>
      </c>
      <c r="BH73" s="20">
        <f>+BH181</f>
        <v>1920.81691833292</v>
      </c>
      <c r="BI73" s="20">
        <f>+BI181</f>
        <v>1927.53977754709</v>
      </c>
      <c r="BJ73" s="20">
        <f>+BJ181</f>
        <v>1934.2861667685</v>
      </c>
      <c r="BK73" s="20">
        <f>+BK181</f>
        <v>1941.05616835219</v>
      </c>
      <c r="BL73" s="20">
        <f>+BL181</f>
        <v>1947.84986494143</v>
      </c>
      <c r="BM73" s="20">
        <f>+BM181</f>
        <v>1954.66733946872</v>
      </c>
      <c r="BN73" s="20">
        <f>+BN181</f>
        <v>1961.50867515686</v>
      </c>
      <c r="BO73" s="20">
        <f>+BO181</f>
        <v>1968.37395551991</v>
      </c>
      <c r="BP73" s="20">
        <f>+BP181</f>
        <v>1975.26326436423</v>
      </c>
      <c r="BQ73" s="20">
        <f>+BQ181</f>
        <v>1982.17668578951</v>
      </c>
    </row>
    <row r="74">
      <c r="C74" s="3" t="inlineStr">
        <is>
          <t>Equipment Rentals</t>
        </is>
      </c>
      <c r="D74" s="20">
        <f>+SUMIFS($J74:$BQ74,$J$7:$BQ$7,D$8)</f>
        <v>78400</v>
      </c>
      <c r="E74" s="20">
        <f>+SUMIFS($J74:$BQ74,$J$7:$BQ$7,E$8)</f>
        <v>84300</v>
      </c>
      <c r="F74" s="20">
        <f>+SUMIFS($J74:$BQ74,$J$7:$BQ$7,F$8)</f>
        <v>88241.68</v>
      </c>
      <c r="G74" s="20">
        <f>+SUMIFS($J74:$BQ74,$J$7:$BQ$7,G$8)</f>
        <v>90224.6704880163</v>
      </c>
      <c r="H74" s="20">
        <f>+SUMIFS($J74:$BQ74,$J$7:$BQ$7,H$8)</f>
        <v>94087.9110784649</v>
      </c>
      <c r="J74" s="10">
        <f>+INDEX('QoE PF Adj. P&amp;L Aug-26'!$D$11:$AI$108,MATCH($C74,'QoE PF Adj. P&amp;L Aug-26'!$C$11:$C$108,0),MATCH(J$8,'QoE PF Adj. P&amp;L Aug-26'!$D$8:$AI$8,0))*1000</f>
        <v>6700</v>
      </c>
      <c r="K74" s="10">
        <f>+INDEX('QoE PF Adj. P&amp;L Aug-26'!$D$11:$AI$108,MATCH($C74,'QoE PF Adj. P&amp;L Aug-26'!$C$11:$C$108,0),MATCH(K$8,'QoE PF Adj. P&amp;L Aug-26'!$D$8:$AI$8,0))*1000</f>
        <v>6500</v>
      </c>
      <c r="L74" s="10">
        <f>+INDEX('QoE PF Adj. P&amp;L Aug-26'!$D$11:$AI$108,MATCH($C74,'QoE PF Adj. P&amp;L Aug-26'!$C$11:$C$108,0),MATCH(L$8,'QoE PF Adj. P&amp;L Aug-26'!$D$8:$AI$8,0))*1000</f>
        <v>6500</v>
      </c>
      <c r="M74" s="10">
        <f>+INDEX('QoE PF Adj. P&amp;L Aug-26'!$D$11:$AI$108,MATCH($C74,'QoE PF Adj. P&amp;L Aug-26'!$C$11:$C$108,0),MATCH(M$8,'QoE PF Adj. P&amp;L Aug-26'!$D$8:$AI$8,0))*1000</f>
        <v>6800</v>
      </c>
      <c r="N74" s="10">
        <f>+INDEX('QoE PF Adj. P&amp;L Aug-26'!$D$11:$AI$108,MATCH($C74,'QoE PF Adj. P&amp;L Aug-26'!$C$11:$C$108,0),MATCH(N$8,'QoE PF Adj. P&amp;L Aug-26'!$D$8:$AI$8,0))*1000</f>
        <v>6200</v>
      </c>
      <c r="O74" s="10">
        <f>+INDEX('QoE PF Adj. P&amp;L Aug-26'!$D$11:$AI$108,MATCH($C74,'QoE PF Adj. P&amp;L Aug-26'!$C$11:$C$108,0),MATCH(O$8,'QoE PF Adj. P&amp;L Aug-26'!$D$8:$AI$8,0))*1000</f>
        <v>6000</v>
      </c>
      <c r="P74" s="10">
        <f>+INDEX('QoE PF Adj. P&amp;L Aug-26'!$D$11:$AI$108,MATCH($C74,'QoE PF Adj. P&amp;L Aug-26'!$C$11:$C$108,0),MATCH(P$8,'QoE PF Adj. P&amp;L Aug-26'!$D$8:$AI$8,0))*1000</f>
        <v>6300</v>
      </c>
      <c r="Q74" s="10">
        <f>+INDEX('QoE PF Adj. P&amp;L Aug-26'!$D$11:$AI$108,MATCH($C74,'QoE PF Adj. P&amp;L Aug-26'!$C$11:$C$108,0),MATCH(Q$8,'QoE PF Adj. P&amp;L Aug-26'!$D$8:$AI$8,0))*1000</f>
        <v>6800</v>
      </c>
      <c r="R74" s="10">
        <f>+INDEX('QoE PF Adj. P&amp;L Aug-26'!$D$11:$AI$108,MATCH($C74,'QoE PF Adj. P&amp;L Aug-26'!$C$11:$C$108,0),MATCH(R$8,'QoE PF Adj. P&amp;L Aug-26'!$D$8:$AI$8,0))*1000</f>
        <v>6000</v>
      </c>
      <c r="S74" s="10">
        <f>+INDEX('QoE PF Adj. P&amp;L Aug-26'!$D$11:$AI$108,MATCH($C74,'QoE PF Adj. P&amp;L Aug-26'!$C$11:$C$108,0),MATCH(S$8,'QoE PF Adj. P&amp;L Aug-26'!$D$8:$AI$8,0))*1000</f>
        <v>7000</v>
      </c>
      <c r="T74" s="10">
        <f>+INDEX('QoE PF Adj. P&amp;L Aug-26'!$D$11:$AI$108,MATCH($C74,'QoE PF Adj. P&amp;L Aug-26'!$C$11:$C$108,0),MATCH(T$8,'QoE PF Adj. P&amp;L Aug-26'!$D$8:$AI$8,0))*1000</f>
        <v>6800</v>
      </c>
      <c r="U74" s="10">
        <f>+INDEX('QoE PF Adj. P&amp;L Aug-26'!$D$11:$AI$108,MATCH($C74,'QoE PF Adj. P&amp;L Aug-26'!$C$11:$C$108,0),MATCH(U$8,'QoE PF Adj. P&amp;L Aug-26'!$D$8:$AI$8,0))*1000</f>
        <v>6800</v>
      </c>
      <c r="V74" s="10">
        <f>+INDEX('QoE PF Adj. P&amp;L Aug-26'!$D$11:$AI$108,MATCH($C74,'QoE PF Adj. P&amp;L Aug-26'!$C$11:$C$108,0),MATCH(V$8,'QoE PF Adj. P&amp;L Aug-26'!$D$8:$AI$8,0))*1000</f>
        <v>6800</v>
      </c>
      <c r="W74" s="10">
        <f>+INDEX('QoE PF Adj. P&amp;L Aug-26'!$D$11:$AI$108,MATCH($C74,'QoE PF Adj. P&amp;L Aug-26'!$C$11:$C$108,0),MATCH(W$8,'QoE PF Adj. P&amp;L Aug-26'!$D$8:$AI$8,0))*1000</f>
        <v>6500</v>
      </c>
      <c r="X74" s="10">
        <f>+INDEX('QoE PF Adj. P&amp;L Aug-26'!$D$11:$AI$108,MATCH($C74,'QoE PF Adj. P&amp;L Aug-26'!$C$11:$C$108,0),MATCH(X$8,'QoE PF Adj. P&amp;L Aug-26'!$D$8:$AI$8,0))*1000</f>
        <v>6300</v>
      </c>
      <c r="Y74" s="10">
        <f>+INDEX('QoE PF Adj. P&amp;L Aug-26'!$D$11:$AI$108,MATCH($C74,'QoE PF Adj. P&amp;L Aug-26'!$C$11:$C$108,0),MATCH(Y$8,'QoE PF Adj. P&amp;L Aug-26'!$D$8:$AI$8,0))*1000</f>
        <v>7200</v>
      </c>
      <c r="Z74" s="10">
        <f>+INDEX('QoE PF Adj. P&amp;L Aug-26'!$D$11:$AI$108,MATCH($C74,'QoE PF Adj. P&amp;L Aug-26'!$C$11:$C$108,0),MATCH(Z$8,'QoE PF Adj. P&amp;L Aug-26'!$D$8:$AI$8,0))*1000</f>
        <v>7200</v>
      </c>
      <c r="AA74" s="10">
        <f>+INDEX('QoE PF Adj. P&amp;L Aug-26'!$D$11:$AI$108,MATCH($C74,'QoE PF Adj. P&amp;L Aug-26'!$C$11:$C$108,0),MATCH(AA$8,'QoE PF Adj. P&amp;L Aug-26'!$D$8:$AI$8,0))*1000</f>
        <v>6600</v>
      </c>
      <c r="AB74" s="10">
        <f>+INDEX('QoE PF Adj. P&amp;L Aug-26'!$D$11:$AI$108,MATCH($C74,'QoE PF Adj. P&amp;L Aug-26'!$C$11:$C$108,0),MATCH(AB$8,'QoE PF Adj. P&amp;L Aug-26'!$D$8:$AI$8,0))*1000</f>
        <v>7200</v>
      </c>
      <c r="AC74" s="10">
        <f>+INDEX('QoE PF Adj. P&amp;L Aug-26'!$D$11:$AI$108,MATCH($C74,'QoE PF Adj. P&amp;L Aug-26'!$C$11:$C$108,0),MATCH(AC$8,'QoE PF Adj. P&amp;L Aug-26'!$D$8:$AI$8,0))*1000</f>
        <v>7400</v>
      </c>
      <c r="AD74" s="10">
        <f>+INDEX('QoE PF Adj. P&amp;L Aug-26'!$D$11:$AI$108,MATCH($C74,'QoE PF Adj. P&amp;L Aug-26'!$C$11:$C$108,0),MATCH(AD$8,'QoE PF Adj. P&amp;L Aug-26'!$D$8:$AI$8,0))*1000</f>
        <v>7500</v>
      </c>
      <c r="AE74" s="10">
        <f>+INDEX('QoE PF Adj. P&amp;L Aug-26'!$D$11:$AI$108,MATCH($C74,'QoE PF Adj. P&amp;L Aug-26'!$C$11:$C$108,0),MATCH(AE$8,'QoE PF Adj. P&amp;L Aug-26'!$D$8:$AI$8,0))*1000</f>
        <v>7300</v>
      </c>
      <c r="AF74" s="10">
        <f>+INDEX('QoE PF Adj. P&amp;L Aug-26'!$D$11:$AI$108,MATCH($C74,'QoE PF Adj. P&amp;L Aug-26'!$C$11:$C$108,0),MATCH(AF$8,'QoE PF Adj. P&amp;L Aug-26'!$D$8:$AI$8,0))*1000</f>
        <v>7000</v>
      </c>
      <c r="AG74" s="10">
        <f>+INDEX('QoE PF Adj. P&amp;L Aug-26'!$D$11:$AI$108,MATCH($C74,'QoE PF Adj. P&amp;L Aug-26'!$C$11:$C$108,0),MATCH(AG$8,'QoE PF Adj. P&amp;L Aug-26'!$D$8:$AI$8,0))*1000</f>
        <v>7300</v>
      </c>
      <c r="AH74" s="10">
        <f>+INDEX('QoE PF Adj. P&amp;L Aug-26'!$D$11:$AI$108,MATCH($C74,'QoE PF Adj. P&amp;L Aug-26'!$C$11:$C$108,0),MATCH(AH$8,'QoE PF Adj. P&amp;L Aug-26'!$D$8:$AI$8,0))*1000</f>
        <v>7400</v>
      </c>
      <c r="AI74" s="10">
        <f>+INDEX('QoE PF Adj. P&amp;L Aug-26'!$D$11:$AI$108,MATCH($C74,'QoE PF Adj. P&amp;L Aug-26'!$C$11:$C$108,0),MATCH(AI$8,'QoE PF Adj. P&amp;L Aug-26'!$D$8:$AI$8,0))*1000</f>
        <v>6800</v>
      </c>
      <c r="AJ74" s="10">
        <f>+INDEX('QoE PF Adj. P&amp;L Aug-26'!$D$11:$AI$108,MATCH($C74,'QoE PF Adj. P&amp;L Aug-26'!$C$11:$C$108,0),MATCH(AJ$8,'QoE PF Adj. P&amp;L Aug-26'!$D$8:$AI$8,0))*1000</f>
        <v>6900</v>
      </c>
      <c r="AK74" s="10">
        <f>+INDEX('QoE PF Adj. P&amp;L Aug-26'!$D$11:$AI$108,MATCH($C74,'QoE PF Adj. P&amp;L Aug-26'!$C$11:$C$108,0),MATCH(AK$8,'QoE PF Adj. P&amp;L Aug-26'!$D$8:$AI$8,0))*1000</f>
        <v>7000</v>
      </c>
      <c r="AL74" s="10">
        <f>+INDEX('QoE PF Adj. P&amp;L Aug-26'!$D$11:$AI$108,MATCH($C74,'QoE PF Adj. P&amp;L Aug-26'!$C$11:$C$108,0),MATCH(AL$8,'QoE PF Adj. P&amp;L Aug-26'!$D$8:$AI$8,0))*1000</f>
        <v>7800</v>
      </c>
      <c r="AM74" s="10">
        <f>+INDEX('QoE PF Adj. P&amp;L Aug-26'!$D$11:$AI$108,MATCH($C74,'QoE PF Adj. P&amp;L Aug-26'!$C$11:$C$108,0),MATCH(AM$8,'QoE PF Adj. P&amp;L Aug-26'!$D$8:$AI$8,0))*1000</f>
        <v>7200</v>
      </c>
      <c r="AN74" s="10">
        <f>+INDEX('QoE PF Adj. P&amp;L Aug-26'!$D$11:$AI$108,MATCH($C74,'QoE PF Adj. P&amp;L Aug-26'!$C$11:$C$108,0),MATCH(AN$8,'QoE PF Adj. P&amp;L Aug-26'!$D$8:$AI$8,0))*1000</f>
        <v>7400</v>
      </c>
      <c r="AO74" s="10">
        <f>+INDEX('QoE PF Adj. P&amp;L Aug-26'!$D$11:$AI$108,MATCH($C74,'QoE PF Adj. P&amp;L Aug-26'!$C$11:$C$108,0),MATCH(AO$8,'QoE PF Adj. P&amp;L Aug-26'!$D$8:$AI$8,0))*1000</f>
        <v>8000</v>
      </c>
      <c r="AP74" s="10">
        <f>+SUMIFS('Sep - Nov P&amp;L'!I:I,'Sep - Nov P&amp;L'!$D:$D,$C74)</f>
        <v>7426.4</v>
      </c>
      <c r="AQ74" s="10">
        <f>+SUMIFS('Sep - Nov P&amp;L'!J:J,'Sep - Nov P&amp;L'!$D:$D,$C74)</f>
        <v>7102.3</v>
      </c>
      <c r="AR74" s="10">
        <f>+SUMIFS('Sep - Nov P&amp;L'!K:K,'Sep - Nov P&amp;L'!$D:$D,$C74)</f>
        <v>7863.62</v>
      </c>
      <c r="AS74" s="20">
        <f>+AS182</f>
        <v>7349.36</v>
      </c>
      <c r="AT74" s="20">
        <f>+AT182</f>
        <v>7375.08276</v>
      </c>
      <c r="AU74" s="20">
        <f>+AU182</f>
        <v>7400.89554966</v>
      </c>
      <c r="AV74" s="20">
        <f>+AV182</f>
        <v>7426.79868408381</v>
      </c>
      <c r="AW74" s="20">
        <f>+AW182</f>
        <v>7452.79247947811</v>
      </c>
      <c r="AX74" s="20">
        <f>+AX182</f>
        <v>7478.87725315628</v>
      </c>
      <c r="AY74" s="20">
        <f>+AY182</f>
        <v>7505.05332354233</v>
      </c>
      <c r="AZ74" s="20">
        <f>+AZ182</f>
        <v>7531.32101017472</v>
      </c>
      <c r="BA74" s="20">
        <f>+BA182</f>
        <v>7557.68063371034</v>
      </c>
      <c r="BB74" s="20">
        <f>+BB182</f>
        <v>7584.13251592832</v>
      </c>
      <c r="BC74" s="20">
        <f>+BC182</f>
        <v>7610.67697973407</v>
      </c>
      <c r="BD74" s="20">
        <f>+BD182</f>
        <v>7637.31434916314</v>
      </c>
      <c r="BE74" s="20">
        <f>+BE182</f>
        <v>7664.04494938521</v>
      </c>
      <c r="BF74" s="20">
        <f>+BF182</f>
        <v>7690.86910670806</v>
      </c>
      <c r="BG74" s="20">
        <f>+BG182</f>
        <v>7717.78714858154</v>
      </c>
      <c r="BH74" s="20">
        <f>+BH182</f>
        <v>7744.79940360158</v>
      </c>
      <c r="BI74" s="20">
        <f>+BI182</f>
        <v>7771.90620151418</v>
      </c>
      <c r="BJ74" s="20">
        <f>+BJ182</f>
        <v>7799.10787321948</v>
      </c>
      <c r="BK74" s="20">
        <f>+BK182</f>
        <v>7826.40475077575</v>
      </c>
      <c r="BL74" s="20">
        <f>+BL182</f>
        <v>7853.79716740347</v>
      </c>
      <c r="BM74" s="20">
        <f>+BM182</f>
        <v>7881.28545748938</v>
      </c>
      <c r="BN74" s="20">
        <f>+BN182</f>
        <v>7908.86995659059</v>
      </c>
      <c r="BO74" s="20">
        <f>+BO182</f>
        <v>7936.55100143866</v>
      </c>
      <c r="BP74" s="20">
        <f>+BP182</f>
        <v>7964.3289299437</v>
      </c>
      <c r="BQ74" s="20">
        <f>+BQ182</f>
        <v>7992.2040811985</v>
      </c>
    </row>
    <row r="75">
      <c r="B75" s="4" t="inlineStr">
        <is>
          <t>% rev</t>
        </is>
      </c>
      <c r="C75" s="3" t="inlineStr">
        <is>
          <t>Finance, Bank, &amp; Collection Charges</t>
        </is>
      </c>
      <c r="D75" s="20">
        <f>+SUMIFS($J75:$BQ75,$J$7:$BQ$7,D$8)</f>
        <v>50700</v>
      </c>
      <c r="E75" s="20">
        <f>+SUMIFS($J75:$BQ75,$J$7:$BQ$7,E$8)</f>
        <v>55400</v>
      </c>
      <c r="F75" s="20">
        <f>+SUMIFS($J75:$BQ75,$J$7:$BQ$7,F$8)</f>
        <v>59958.2293608048</v>
      </c>
      <c r="G75" s="20">
        <f>+SUMIFS($J75:$BQ75,$J$7:$BQ$7,G$8)</f>
        <v>64958.6357329946</v>
      </c>
      <c r="H75" s="20">
        <f>+SUMIFS($J75:$BQ75,$J$7:$BQ$7,H$8)</f>
        <v>75780.1659154354</v>
      </c>
      <c r="J75" s="10">
        <f>+INDEX('QoE PF Adj. P&amp;L Aug-26'!$D$11:$AI$108,MATCH($C75,'QoE PF Adj. P&amp;L Aug-26'!$C$11:$C$108,0),MATCH(J$8,'QoE PF Adj. P&amp;L Aug-26'!$D$8:$AI$8,0))*1000</f>
        <v>4100</v>
      </c>
      <c r="K75" s="10">
        <f>+INDEX('QoE PF Adj. P&amp;L Aug-26'!$D$11:$AI$108,MATCH($C75,'QoE PF Adj. P&amp;L Aug-26'!$C$11:$C$108,0),MATCH(K$8,'QoE PF Adj. P&amp;L Aug-26'!$D$8:$AI$8,0))*1000</f>
        <v>3800</v>
      </c>
      <c r="L75" s="10">
        <f>+INDEX('QoE PF Adj. P&amp;L Aug-26'!$D$11:$AI$108,MATCH($C75,'QoE PF Adj. P&amp;L Aug-26'!$C$11:$C$108,0),MATCH(L$8,'QoE PF Adj. P&amp;L Aug-26'!$D$8:$AI$8,0))*1000</f>
        <v>4200</v>
      </c>
      <c r="M75" s="10">
        <f>+INDEX('QoE PF Adj. P&amp;L Aug-26'!$D$11:$AI$108,MATCH($C75,'QoE PF Adj. P&amp;L Aug-26'!$C$11:$C$108,0),MATCH(M$8,'QoE PF Adj. P&amp;L Aug-26'!$D$8:$AI$8,0))*1000</f>
        <v>4000</v>
      </c>
      <c r="N75" s="10">
        <f>+INDEX('QoE PF Adj. P&amp;L Aug-26'!$D$11:$AI$108,MATCH($C75,'QoE PF Adj. P&amp;L Aug-26'!$C$11:$C$108,0),MATCH(N$8,'QoE PF Adj. P&amp;L Aug-26'!$D$8:$AI$8,0))*1000</f>
        <v>4600</v>
      </c>
      <c r="O75" s="10">
        <f>+INDEX('QoE PF Adj. P&amp;L Aug-26'!$D$11:$AI$108,MATCH($C75,'QoE PF Adj. P&amp;L Aug-26'!$C$11:$C$108,0),MATCH(O$8,'QoE PF Adj. P&amp;L Aug-26'!$D$8:$AI$8,0))*1000</f>
        <v>3800</v>
      </c>
      <c r="P75" s="10">
        <f>+INDEX('QoE PF Adj. P&amp;L Aug-26'!$D$11:$AI$108,MATCH($C75,'QoE PF Adj. P&amp;L Aug-26'!$C$11:$C$108,0),MATCH(P$8,'QoE PF Adj. P&amp;L Aug-26'!$D$8:$AI$8,0))*1000</f>
        <v>4400</v>
      </c>
      <c r="Q75" s="10">
        <f>+INDEX('QoE PF Adj. P&amp;L Aug-26'!$D$11:$AI$108,MATCH($C75,'QoE PF Adj. P&amp;L Aug-26'!$C$11:$C$108,0),MATCH(Q$8,'QoE PF Adj. P&amp;L Aug-26'!$D$8:$AI$8,0))*1000</f>
        <v>4400</v>
      </c>
      <c r="R75" s="10">
        <f>+INDEX('QoE PF Adj. P&amp;L Aug-26'!$D$11:$AI$108,MATCH($C75,'QoE PF Adj. P&amp;L Aug-26'!$C$11:$C$108,0),MATCH(R$8,'QoE PF Adj. P&amp;L Aug-26'!$D$8:$AI$8,0))*1000</f>
        <v>3900</v>
      </c>
      <c r="S75" s="10">
        <f>+INDEX('QoE PF Adj. P&amp;L Aug-26'!$D$11:$AI$108,MATCH($C75,'QoE PF Adj. P&amp;L Aug-26'!$C$11:$C$108,0),MATCH(S$8,'QoE PF Adj. P&amp;L Aug-26'!$D$8:$AI$8,0))*1000</f>
        <v>5000</v>
      </c>
      <c r="T75" s="10">
        <f>+INDEX('QoE PF Adj. P&amp;L Aug-26'!$D$11:$AI$108,MATCH($C75,'QoE PF Adj. P&amp;L Aug-26'!$C$11:$C$108,0),MATCH(T$8,'QoE PF Adj. P&amp;L Aug-26'!$D$8:$AI$8,0))*1000</f>
        <v>4300</v>
      </c>
      <c r="U75" s="10">
        <f>+INDEX('QoE PF Adj. P&amp;L Aug-26'!$D$11:$AI$108,MATCH($C75,'QoE PF Adj. P&amp;L Aug-26'!$C$11:$C$108,0),MATCH(U$8,'QoE PF Adj. P&amp;L Aug-26'!$D$8:$AI$8,0))*1000</f>
        <v>4200</v>
      </c>
      <c r="V75" s="10">
        <f>+INDEX('QoE PF Adj. P&amp;L Aug-26'!$D$11:$AI$108,MATCH($C75,'QoE PF Adj. P&amp;L Aug-26'!$C$11:$C$108,0),MATCH(V$8,'QoE PF Adj. P&amp;L Aug-26'!$D$8:$AI$8,0))*1000</f>
        <v>4400</v>
      </c>
      <c r="W75" s="10">
        <f>+INDEX('QoE PF Adj. P&amp;L Aug-26'!$D$11:$AI$108,MATCH($C75,'QoE PF Adj. P&amp;L Aug-26'!$C$11:$C$108,0),MATCH(W$8,'QoE PF Adj. P&amp;L Aug-26'!$D$8:$AI$8,0))*1000</f>
        <v>3900</v>
      </c>
      <c r="X75" s="10">
        <f>+INDEX('QoE PF Adj. P&amp;L Aug-26'!$D$11:$AI$108,MATCH($C75,'QoE PF Adj. P&amp;L Aug-26'!$C$11:$C$108,0),MATCH(X$8,'QoE PF Adj. P&amp;L Aug-26'!$D$8:$AI$8,0))*1000</f>
        <v>4200</v>
      </c>
      <c r="Y75" s="10">
        <f>+INDEX('QoE PF Adj. P&amp;L Aug-26'!$D$11:$AI$108,MATCH($C75,'QoE PF Adj. P&amp;L Aug-26'!$C$11:$C$108,0),MATCH(Y$8,'QoE PF Adj. P&amp;L Aug-26'!$D$8:$AI$8,0))*1000</f>
        <v>4900</v>
      </c>
      <c r="Z75" s="10">
        <f>+INDEX('QoE PF Adj. P&amp;L Aug-26'!$D$11:$AI$108,MATCH($C75,'QoE PF Adj. P&amp;L Aug-26'!$C$11:$C$108,0),MATCH(Z$8,'QoE PF Adj. P&amp;L Aug-26'!$D$8:$AI$8,0))*1000</f>
        <v>4700</v>
      </c>
      <c r="AA75" s="10">
        <f>+INDEX('QoE PF Adj. P&amp;L Aug-26'!$D$11:$AI$108,MATCH($C75,'QoE PF Adj. P&amp;L Aug-26'!$C$11:$C$108,0),MATCH(AA$8,'QoE PF Adj. P&amp;L Aug-26'!$D$8:$AI$8,0))*1000</f>
        <v>4300</v>
      </c>
      <c r="AB75" s="10">
        <f>+INDEX('QoE PF Adj. P&amp;L Aug-26'!$D$11:$AI$108,MATCH($C75,'QoE PF Adj. P&amp;L Aug-26'!$C$11:$C$108,0),MATCH(AB$8,'QoE PF Adj. P&amp;L Aug-26'!$D$8:$AI$8,0))*1000</f>
        <v>4900</v>
      </c>
      <c r="AC75" s="10">
        <f>+INDEX('QoE PF Adj. P&amp;L Aug-26'!$D$11:$AI$108,MATCH($C75,'QoE PF Adj. P&amp;L Aug-26'!$C$11:$C$108,0),MATCH(AC$8,'QoE PF Adj. P&amp;L Aug-26'!$D$8:$AI$8,0))*1000</f>
        <v>4800</v>
      </c>
      <c r="AD75" s="10">
        <f>+INDEX('QoE PF Adj. P&amp;L Aug-26'!$D$11:$AI$108,MATCH($C75,'QoE PF Adj. P&amp;L Aug-26'!$C$11:$C$108,0),MATCH(AD$8,'QoE PF Adj. P&amp;L Aug-26'!$D$8:$AI$8,0))*1000</f>
        <v>4700</v>
      </c>
      <c r="AE75" s="10">
        <f>+INDEX('QoE PF Adj. P&amp;L Aug-26'!$D$11:$AI$108,MATCH($C75,'QoE PF Adj. P&amp;L Aug-26'!$C$11:$C$108,0),MATCH(AE$8,'QoE PF Adj. P&amp;L Aug-26'!$D$8:$AI$8,0))*1000</f>
        <v>5200</v>
      </c>
      <c r="AF75" s="10">
        <f>+INDEX('QoE PF Adj. P&amp;L Aug-26'!$D$11:$AI$108,MATCH($C75,'QoE PF Adj. P&amp;L Aug-26'!$C$11:$C$108,0),MATCH(AF$8,'QoE PF Adj. P&amp;L Aug-26'!$D$8:$AI$8,0))*1000</f>
        <v>4700</v>
      </c>
      <c r="AG75" s="10">
        <f>+INDEX('QoE PF Adj. P&amp;L Aug-26'!$D$11:$AI$108,MATCH($C75,'QoE PF Adj. P&amp;L Aug-26'!$C$11:$C$108,0),MATCH(AG$8,'QoE PF Adj. P&amp;L Aug-26'!$D$8:$AI$8,0))*1000</f>
        <v>4700</v>
      </c>
      <c r="AH75" s="10">
        <f>+INDEX('QoE PF Adj. P&amp;L Aug-26'!$D$11:$AI$108,MATCH($C75,'QoE PF Adj. P&amp;L Aug-26'!$C$11:$C$108,0),MATCH(AH$8,'QoE PF Adj. P&amp;L Aug-26'!$D$8:$AI$8,0))*1000</f>
        <v>5100</v>
      </c>
      <c r="AI75" s="10">
        <f>+INDEX('QoE PF Adj. P&amp;L Aug-26'!$D$11:$AI$108,MATCH($C75,'QoE PF Adj. P&amp;L Aug-26'!$C$11:$C$108,0),MATCH(AI$8,'QoE PF Adj. P&amp;L Aug-26'!$D$8:$AI$8,0))*1000</f>
        <v>4100</v>
      </c>
      <c r="AJ75" s="10">
        <f>+INDEX('QoE PF Adj. P&amp;L Aug-26'!$D$11:$AI$108,MATCH($C75,'QoE PF Adj. P&amp;L Aug-26'!$C$11:$C$108,0),MATCH(AJ$8,'QoE PF Adj. P&amp;L Aug-26'!$D$8:$AI$8,0))*1000</f>
        <v>4700</v>
      </c>
      <c r="AK75" s="10">
        <f>+INDEX('QoE PF Adj. P&amp;L Aug-26'!$D$11:$AI$108,MATCH($C75,'QoE PF Adj. P&amp;L Aug-26'!$C$11:$C$108,0),MATCH(AK$8,'QoE PF Adj. P&amp;L Aug-26'!$D$8:$AI$8,0))*1000</f>
        <v>5000</v>
      </c>
      <c r="AL75" s="10">
        <f>+INDEX('QoE PF Adj. P&amp;L Aug-26'!$D$11:$AI$108,MATCH($C75,'QoE PF Adj. P&amp;L Aug-26'!$C$11:$C$108,0),MATCH(AL$8,'QoE PF Adj. P&amp;L Aug-26'!$D$8:$AI$8,0))*1000</f>
        <v>4800</v>
      </c>
      <c r="AM75" s="10">
        <f>+INDEX('QoE PF Adj. P&amp;L Aug-26'!$D$11:$AI$108,MATCH($C75,'QoE PF Adj. P&amp;L Aug-26'!$C$11:$C$108,0),MATCH(AM$8,'QoE PF Adj. P&amp;L Aug-26'!$D$8:$AI$8,0))*1000</f>
        <v>4700</v>
      </c>
      <c r="AN75" s="10">
        <f>+INDEX('QoE PF Adj. P&amp;L Aug-26'!$D$11:$AI$108,MATCH($C75,'QoE PF Adj. P&amp;L Aug-26'!$C$11:$C$108,0),MATCH(AN$8,'QoE PF Adj. P&amp;L Aug-26'!$D$8:$AI$8,0))*1000</f>
        <v>5400</v>
      </c>
      <c r="AO75" s="10">
        <f>+INDEX('QoE PF Adj. P&amp;L Aug-26'!$D$11:$AI$108,MATCH($C75,'QoE PF Adj. P&amp;L Aug-26'!$C$11:$C$108,0),MATCH(AO$8,'QoE PF Adj. P&amp;L Aug-26'!$D$8:$AI$8,0))*1000</f>
        <v>5000</v>
      </c>
      <c r="AP75" s="10">
        <f>+SUMIFS('Sep - Nov P&amp;L'!I:I,'Sep - Nov P&amp;L'!$D:$D,$C75)</f>
        <v>5448.63</v>
      </c>
      <c r="AQ75" s="10">
        <f>+SUMIFS('Sep - Nov P&amp;L'!J:J,'Sep - Nov P&amp;L'!$D:$D,$C75)</f>
        <v>5660.23</v>
      </c>
      <c r="AR75" s="10">
        <f>+SUMIFS('Sep - Nov P&amp;L'!K:K,'Sep - Nov P&amp;L'!$D:$D,$C75)</f>
        <v>4883.97</v>
      </c>
      <c r="AS75" s="20">
        <f>+AS$10*AS183</f>
        <v>5165.39936080478</v>
      </c>
      <c r="AT75" s="20">
        <f>+AT$10*AT183</f>
        <v>4716.0730577032</v>
      </c>
      <c r="AU75" s="20">
        <f>+AU$10*AU183</f>
        <v>4491.40990615241</v>
      </c>
      <c r="AV75" s="20">
        <f>+AV$10*AV183</f>
        <v>5305.97536080478</v>
      </c>
      <c r="AW75" s="20">
        <f>+AW$10*AW183</f>
        <v>5409.01536080478</v>
      </c>
      <c r="AX75" s="20">
        <f>+AX$10*AX183</f>
        <v>5032.5850577032</v>
      </c>
      <c r="AY75" s="20">
        <f>+AY$10*AY183</f>
        <v>5378.91041699544</v>
      </c>
      <c r="AZ75" s="20">
        <f>+AZ$10*AZ183</f>
        <v>5485.50062473689</v>
      </c>
      <c r="BA75" s="20">
        <f>+BA$10*BA183</f>
        <v>5592.09083247833</v>
      </c>
      <c r="BB75" s="20">
        <f>+BB$10*BB183</f>
        <v>5725.60904021978</v>
      </c>
      <c r="BC75" s="20">
        <f>+BC$10*BC183</f>
        <v>5832.19924796123</v>
      </c>
      <c r="BD75" s="20">
        <f>+BD$10*BD183</f>
        <v>5669.09717928847</v>
      </c>
      <c r="BE75" s="20">
        <f>+BE$10*BE183</f>
        <v>6320.16964814613</v>
      </c>
      <c r="BF75" s="20">
        <f>+BF$10*BF183</f>
        <v>6153.61966344412</v>
      </c>
      <c r="BG75" s="20">
        <f>+BG$10*BG183</f>
        <v>6252.17966344412</v>
      </c>
      <c r="BH75" s="20">
        <f>+BH$10*BH183</f>
        <v>6820.55963284813</v>
      </c>
      <c r="BI75" s="20">
        <f>+BI$10*BI183</f>
        <v>5967.98967874211</v>
      </c>
      <c r="BJ75" s="20">
        <f>+BJ$10*BJ183</f>
        <v>6252.17966344412</v>
      </c>
      <c r="BK75" s="20">
        <f>+BK$10*BK183</f>
        <v>6536.36964814613</v>
      </c>
      <c r="BL75" s="20">
        <f>+BL$10*BL183</f>
        <v>5967.98967874211</v>
      </c>
      <c r="BM75" s="20">
        <f>+BM$10*BM183</f>
        <v>6820.55963284813</v>
      </c>
      <c r="BN75" s="20">
        <f>+BN$10*BN183</f>
        <v>6252.17966344412</v>
      </c>
      <c r="BO75" s="20">
        <f>+BO$10*BO183</f>
        <v>6252.17966344412</v>
      </c>
      <c r="BP75" s="20">
        <f>+BP$10*BP183</f>
        <v>6252.17966344412</v>
      </c>
      <c r="BQ75" s="20">
        <f>+BQ$10*BQ183</f>
        <v>6252.17966344412</v>
      </c>
    </row>
    <row r="76">
      <c r="C76" s="3" t="inlineStr">
        <is>
          <t>Information Technology Expense</t>
        </is>
      </c>
      <c r="D76" s="20">
        <f>+SUMIFS($J76:$BQ76,$J$7:$BQ$7,D$8)</f>
        <v>194000</v>
      </c>
      <c r="E76" s="20">
        <f>+SUMIFS($J76:$BQ76,$J$7:$BQ$7,E$8)</f>
        <v>203000</v>
      </c>
      <c r="F76" s="20">
        <f>+SUMIFS($J76:$BQ76,$J$7:$BQ$7,F$8)</f>
        <v>237946.995833333</v>
      </c>
      <c r="G76" s="20">
        <f>+SUMIFS($J76:$BQ76,$J$7:$BQ$7,G$8)</f>
        <v>241514.36762848</v>
      </c>
      <c r="H76" s="20">
        <f>+SUMIFS($J76:$BQ76,$J$7:$BQ$7,H$8)</f>
        <v>251855.531560165</v>
      </c>
      <c r="J76" s="10">
        <f>+INDEX('QoE PF Adj. P&amp;L Aug-26'!$D$11:$AI$108,MATCH($C76,'QoE PF Adj. P&amp;L Aug-26'!$C$11:$C$108,0),MATCH(J$8,'QoE PF Adj. P&amp;L Aug-26'!$D$8:$AI$8,0))*1000</f>
        <v>16000</v>
      </c>
      <c r="K76" s="10">
        <f>+INDEX('QoE PF Adj. P&amp;L Aug-26'!$D$11:$AI$108,MATCH($C76,'QoE PF Adj. P&amp;L Aug-26'!$C$11:$C$108,0),MATCH(K$8,'QoE PF Adj. P&amp;L Aug-26'!$D$8:$AI$8,0))*1000</f>
        <v>15200</v>
      </c>
      <c r="L76" s="10">
        <f>+INDEX('QoE PF Adj. P&amp;L Aug-26'!$D$11:$AI$108,MATCH($C76,'QoE PF Adj. P&amp;L Aug-26'!$C$11:$C$108,0),MATCH(L$8,'QoE PF Adj. P&amp;L Aug-26'!$D$8:$AI$8,0))*1000</f>
        <v>16000</v>
      </c>
      <c r="M76" s="10">
        <f>+INDEX('QoE PF Adj. P&amp;L Aug-26'!$D$11:$AI$108,MATCH($C76,'QoE PF Adj. P&amp;L Aug-26'!$C$11:$C$108,0),MATCH(M$8,'QoE PF Adj. P&amp;L Aug-26'!$D$8:$AI$8,0))*1000</f>
        <v>16300</v>
      </c>
      <c r="N76" s="10">
        <f>+INDEX('QoE PF Adj. P&amp;L Aug-26'!$D$11:$AI$108,MATCH($C76,'QoE PF Adj. P&amp;L Aug-26'!$C$11:$C$108,0),MATCH(N$8,'QoE PF Adj. P&amp;L Aug-26'!$D$8:$AI$8,0))*1000</f>
        <v>16400</v>
      </c>
      <c r="O76" s="10">
        <f>+INDEX('QoE PF Adj. P&amp;L Aug-26'!$D$11:$AI$108,MATCH($C76,'QoE PF Adj. P&amp;L Aug-26'!$C$11:$C$108,0),MATCH(O$8,'QoE PF Adj. P&amp;L Aug-26'!$D$8:$AI$8,0))*1000</f>
        <v>15100</v>
      </c>
      <c r="P76" s="10">
        <f>+INDEX('QoE PF Adj. P&amp;L Aug-26'!$D$11:$AI$108,MATCH($C76,'QoE PF Adj. P&amp;L Aug-26'!$C$11:$C$108,0),MATCH(P$8,'QoE PF Adj. P&amp;L Aug-26'!$D$8:$AI$8,0))*1000</f>
        <v>15100</v>
      </c>
      <c r="Q76" s="10">
        <f>+INDEX('QoE PF Adj. P&amp;L Aug-26'!$D$11:$AI$108,MATCH($C76,'QoE PF Adj. P&amp;L Aug-26'!$C$11:$C$108,0),MATCH(Q$8,'QoE PF Adj. P&amp;L Aug-26'!$D$8:$AI$8,0))*1000</f>
        <v>16200</v>
      </c>
      <c r="R76" s="10">
        <f>+INDEX('QoE PF Adj. P&amp;L Aug-26'!$D$11:$AI$108,MATCH($C76,'QoE PF Adj. P&amp;L Aug-26'!$C$11:$C$108,0),MATCH(R$8,'QoE PF Adj. P&amp;L Aug-26'!$D$8:$AI$8,0))*1000</f>
        <v>16300</v>
      </c>
      <c r="S76" s="10">
        <f>+INDEX('QoE PF Adj. P&amp;L Aug-26'!$D$11:$AI$108,MATCH($C76,'QoE PF Adj. P&amp;L Aug-26'!$C$11:$C$108,0),MATCH(S$8,'QoE PF Adj. P&amp;L Aug-26'!$D$8:$AI$8,0))*1000</f>
        <v>16500</v>
      </c>
      <c r="T76" s="10">
        <f>+INDEX('QoE PF Adj. P&amp;L Aug-26'!$D$11:$AI$108,MATCH($C76,'QoE PF Adj. P&amp;L Aug-26'!$C$11:$C$108,0),MATCH(T$8,'QoE PF Adj. P&amp;L Aug-26'!$D$8:$AI$8,0))*1000</f>
        <v>17600</v>
      </c>
      <c r="U76" s="10">
        <f>+INDEX('QoE PF Adj. P&amp;L Aug-26'!$D$11:$AI$108,MATCH($C76,'QoE PF Adj. P&amp;L Aug-26'!$C$11:$C$108,0),MATCH(U$8,'QoE PF Adj. P&amp;L Aug-26'!$D$8:$AI$8,0))*1000</f>
        <v>17300</v>
      </c>
      <c r="V76" s="10">
        <f>+INDEX('QoE PF Adj. P&amp;L Aug-26'!$D$11:$AI$108,MATCH($C76,'QoE PF Adj. P&amp;L Aug-26'!$C$11:$C$108,0),MATCH(V$8,'QoE PF Adj. P&amp;L Aug-26'!$D$8:$AI$8,0))*1000</f>
        <v>16400</v>
      </c>
      <c r="W76" s="10">
        <f>+INDEX('QoE PF Adj. P&amp;L Aug-26'!$D$11:$AI$108,MATCH($C76,'QoE PF Adj. P&amp;L Aug-26'!$C$11:$C$108,0),MATCH(W$8,'QoE PF Adj. P&amp;L Aug-26'!$D$8:$AI$8,0))*1000</f>
        <v>15700</v>
      </c>
      <c r="X76" s="10">
        <f>+INDEX('QoE PF Adj. P&amp;L Aug-26'!$D$11:$AI$108,MATCH($C76,'QoE PF Adj. P&amp;L Aug-26'!$C$11:$C$108,0),MATCH(X$8,'QoE PF Adj. P&amp;L Aug-26'!$D$8:$AI$8,0))*1000</f>
        <v>17000</v>
      </c>
      <c r="Y76" s="10">
        <f>+INDEX('QoE PF Adj. P&amp;L Aug-26'!$D$11:$AI$108,MATCH($C76,'QoE PF Adj. P&amp;L Aug-26'!$C$11:$C$108,0),MATCH(Y$8,'QoE PF Adj. P&amp;L Aug-26'!$D$8:$AI$8,0))*1000</f>
        <v>17300</v>
      </c>
      <c r="Z76" s="10">
        <f>+INDEX('QoE PF Adj. P&amp;L Aug-26'!$D$11:$AI$108,MATCH($C76,'QoE PF Adj. P&amp;L Aug-26'!$C$11:$C$108,0),MATCH(Z$8,'QoE PF Adj. P&amp;L Aug-26'!$D$8:$AI$8,0))*1000</f>
        <v>17100</v>
      </c>
      <c r="AA76" s="10">
        <f>+INDEX('QoE PF Adj. P&amp;L Aug-26'!$D$11:$AI$108,MATCH($C76,'QoE PF Adj. P&amp;L Aug-26'!$C$11:$C$108,0),MATCH(AA$8,'QoE PF Adj. P&amp;L Aug-26'!$D$8:$AI$8,0))*1000</f>
        <v>16400</v>
      </c>
      <c r="AB76" s="10">
        <f>+INDEX('QoE PF Adj. P&amp;L Aug-26'!$D$11:$AI$108,MATCH($C76,'QoE PF Adj. P&amp;L Aug-26'!$C$11:$C$108,0),MATCH(AB$8,'QoE PF Adj. P&amp;L Aug-26'!$D$8:$AI$8,0))*1000</f>
        <v>17100</v>
      </c>
      <c r="AC76" s="10">
        <f>+INDEX('QoE PF Adj. P&amp;L Aug-26'!$D$11:$AI$108,MATCH($C76,'QoE PF Adj. P&amp;L Aug-26'!$C$11:$C$108,0),MATCH(AC$8,'QoE PF Adj. P&amp;L Aug-26'!$D$8:$AI$8,0))*1000</f>
        <v>16300</v>
      </c>
      <c r="AD76" s="10">
        <f>+INDEX('QoE PF Adj. P&amp;L Aug-26'!$D$11:$AI$108,MATCH($C76,'QoE PF Adj. P&amp;L Aug-26'!$C$11:$C$108,0),MATCH(AD$8,'QoE PF Adj. P&amp;L Aug-26'!$D$8:$AI$8,0))*1000</f>
        <v>16500</v>
      </c>
      <c r="AE76" s="10">
        <f>+INDEX('QoE PF Adj. P&amp;L Aug-26'!$D$11:$AI$108,MATCH($C76,'QoE PF Adj. P&amp;L Aug-26'!$C$11:$C$108,0),MATCH(AE$8,'QoE PF Adj. P&amp;L Aug-26'!$D$8:$AI$8,0))*1000</f>
        <v>18000</v>
      </c>
      <c r="AF76" s="10">
        <f>+INDEX('QoE PF Adj. P&amp;L Aug-26'!$D$11:$AI$108,MATCH($C76,'QoE PF Adj. P&amp;L Aug-26'!$C$11:$C$108,0),MATCH(AF$8,'QoE PF Adj. P&amp;L Aug-26'!$D$8:$AI$8,0))*1000</f>
        <v>17400</v>
      </c>
      <c r="AG76" s="10">
        <f>+INDEX('QoE PF Adj. P&amp;L Aug-26'!$D$11:$AI$108,MATCH($C76,'QoE PF Adj. P&amp;L Aug-26'!$C$11:$C$108,0),MATCH(AG$8,'QoE PF Adj. P&amp;L Aug-26'!$D$8:$AI$8,0))*1000</f>
        <v>17800</v>
      </c>
      <c r="AH76" s="10">
        <f>+INDEX('QoE PF Adj. P&amp;L Aug-26'!$D$11:$AI$108,MATCH($C76,'QoE PF Adj. P&amp;L Aug-26'!$C$11:$C$108,0),MATCH(AH$8,'QoE PF Adj. P&amp;L Aug-26'!$D$8:$AI$8,0))*1000</f>
        <v>17700</v>
      </c>
      <c r="AI76" s="10">
        <f>+INDEX('QoE PF Adj. P&amp;L Aug-26'!$D$11:$AI$108,MATCH($C76,'QoE PF Adj. P&amp;L Aug-26'!$C$11:$C$108,0),MATCH(AI$8,'QoE PF Adj. P&amp;L Aug-26'!$D$8:$AI$8,0))*1000</f>
        <v>17200</v>
      </c>
      <c r="AJ76" s="10">
        <f>+INDEX('QoE PF Adj. P&amp;L Aug-26'!$D$11:$AI$108,MATCH($C76,'QoE PF Adj. P&amp;L Aug-26'!$C$11:$C$108,0),MATCH(AJ$8,'QoE PF Adj. P&amp;L Aug-26'!$D$8:$AI$8,0))*1000</f>
        <v>19100</v>
      </c>
      <c r="AK76" s="10">
        <f>+INDEX('QoE PF Adj. P&amp;L Aug-26'!$D$11:$AI$108,MATCH($C76,'QoE PF Adj. P&amp;L Aug-26'!$C$11:$C$108,0),MATCH(AK$8,'QoE PF Adj. P&amp;L Aug-26'!$D$8:$AI$8,0))*1000</f>
        <v>19500</v>
      </c>
      <c r="AL76" s="10">
        <f>+INDEX('QoE PF Adj. P&amp;L Aug-26'!$D$11:$AI$108,MATCH($C76,'QoE PF Adj. P&amp;L Aug-26'!$C$11:$C$108,0),MATCH(AL$8,'QoE PF Adj. P&amp;L Aug-26'!$D$8:$AI$8,0))*1000</f>
        <v>18700</v>
      </c>
      <c r="AM76" s="10">
        <f>+INDEX('QoE PF Adj. P&amp;L Aug-26'!$D$11:$AI$108,MATCH($C76,'QoE PF Adj. P&amp;L Aug-26'!$C$11:$C$108,0),MATCH(AM$8,'QoE PF Adj. P&amp;L Aug-26'!$D$8:$AI$8,0))*1000</f>
        <v>18200</v>
      </c>
      <c r="AN76" s="10">
        <f>+INDEX('QoE PF Adj. P&amp;L Aug-26'!$D$11:$AI$108,MATCH($C76,'QoE PF Adj. P&amp;L Aug-26'!$C$11:$C$108,0),MATCH(AN$8,'QoE PF Adj. P&amp;L Aug-26'!$D$8:$AI$8,0))*1000</f>
        <v>18500</v>
      </c>
      <c r="AO76" s="10">
        <f>+INDEX('QoE PF Adj. P&amp;L Aug-26'!$D$11:$AI$108,MATCH($C76,'QoE PF Adj. P&amp;L Aug-26'!$C$11:$C$108,0),MATCH(AO$8,'QoE PF Adj. P&amp;L Aug-26'!$D$8:$AI$8,0))*1000</f>
        <v>19200</v>
      </c>
      <c r="AP76" s="10">
        <f>+SUMIFS('Sep - Nov P&amp;L'!I:I,'Sep - Nov P&amp;L'!$D:$D,$C76)</f>
        <v>24543.03</v>
      </c>
      <c r="AQ76" s="10">
        <f>+SUMIFS('Sep - Nov P&amp;L'!J:J,'Sep - Nov P&amp;L'!$D:$D,$C76)</f>
        <v>22854.29</v>
      </c>
      <c r="AR76" s="10">
        <f>+SUMIFS('Sep - Nov P&amp;L'!K:K,'Sep - Nov P&amp;L'!$D:$D,$C76)</f>
        <v>22776.83</v>
      </c>
      <c r="AS76" s="20">
        <f>+AS184</f>
        <v>19672.8458333333</v>
      </c>
      <c r="AT76" s="20">
        <f>+AT184</f>
        <v>19741.70079375</v>
      </c>
      <c r="AU76" s="20">
        <f>+AU184</f>
        <v>19810.7967465281</v>
      </c>
      <c r="AV76" s="20">
        <f>+AV184</f>
        <v>19880.134535141</v>
      </c>
      <c r="AW76" s="20">
        <f>+AW184</f>
        <v>19949.715006014</v>
      </c>
      <c r="AX76" s="20">
        <f>+AX184</f>
        <v>20019.539008535</v>
      </c>
      <c r="AY76" s="20">
        <f>+AY184</f>
        <v>20089.6073950649</v>
      </c>
      <c r="AZ76" s="20">
        <f>+AZ184</f>
        <v>20159.9210209476</v>
      </c>
      <c r="BA76" s="20">
        <f>+BA184</f>
        <v>20230.4807445209</v>
      </c>
      <c r="BB76" s="20">
        <f>+BB184</f>
        <v>20301.2874271268</v>
      </c>
      <c r="BC76" s="20">
        <f>+BC184</f>
        <v>20372.3419331217</v>
      </c>
      <c r="BD76" s="20">
        <f>+BD184</f>
        <v>20443.6451298876</v>
      </c>
      <c r="BE76" s="20">
        <f>+BE184</f>
        <v>20515.1978878423</v>
      </c>
      <c r="BF76" s="20">
        <f>+BF184</f>
        <v>20587.0010804497</v>
      </c>
      <c r="BG76" s="20">
        <f>+BG184</f>
        <v>20659.0555842313</v>
      </c>
      <c r="BH76" s="20">
        <f>+BH184</f>
        <v>20731.3622787761</v>
      </c>
      <c r="BI76" s="20">
        <f>+BI184</f>
        <v>20803.9220467518</v>
      </c>
      <c r="BJ76" s="20">
        <f>+BJ184</f>
        <v>20876.7357739154</v>
      </c>
      <c r="BK76" s="20">
        <f>+BK184</f>
        <v>20949.8043491241</v>
      </c>
      <c r="BL76" s="20">
        <f>+BL184</f>
        <v>21023.1286643461</v>
      </c>
      <c r="BM76" s="20">
        <f>+BM184</f>
        <v>21096.7096146713</v>
      </c>
      <c r="BN76" s="20">
        <f>+BN184</f>
        <v>21170.5480983226</v>
      </c>
      <c r="BO76" s="20">
        <f>+BO184</f>
        <v>21244.6450166668</v>
      </c>
      <c r="BP76" s="20">
        <f>+BP184</f>
        <v>21319.0012742251</v>
      </c>
      <c r="BQ76" s="20">
        <f>+BQ184</f>
        <v>21393.6177786849</v>
      </c>
    </row>
    <row r="77">
      <c r="C77" s="3" t="inlineStr">
        <is>
          <t>Legal &amp; Professional Fees</t>
        </is>
      </c>
      <c r="D77" s="20">
        <f>+SUMIFS($J77:$BQ77,$J$7:$BQ$7,D$8)</f>
        <v>129800</v>
      </c>
      <c r="E77" s="20">
        <f>+SUMIFS($J77:$BQ77,$J$7:$BQ$7,E$8)</f>
        <v>139700</v>
      </c>
      <c r="F77" s="20">
        <f>+SUMIFS($J77:$BQ77,$J$7:$BQ$7,F$8)</f>
        <v>191147.976666667</v>
      </c>
      <c r="G77" s="20">
        <f>+SUMIFS($J77:$BQ77,$J$7:$BQ$7,G$8)</f>
        <v>192220.286719392</v>
      </c>
      <c r="H77" s="20">
        <f>+SUMIFS($J77:$BQ77,$J$7:$BQ$7,H$8)</f>
        <v>200450.776339863</v>
      </c>
      <c r="J77" s="10">
        <f>+INDEX('QoE PF Adj. P&amp;L Aug-26'!$D$11:$AI$108,MATCH($C77,'QoE PF Adj. P&amp;L Aug-26'!$C$11:$C$108,0),MATCH(J$8,'QoE PF Adj. P&amp;L Aug-26'!$D$8:$AI$8,0))*1000</f>
        <v>10200</v>
      </c>
      <c r="K77" s="10">
        <f>+INDEX('QoE PF Adj. P&amp;L Aug-26'!$D$11:$AI$108,MATCH($C77,'QoE PF Adj. P&amp;L Aug-26'!$C$11:$C$108,0),MATCH(K$8,'QoE PF Adj. P&amp;L Aug-26'!$D$8:$AI$8,0))*1000</f>
        <v>10000</v>
      </c>
      <c r="L77" s="10">
        <f>+INDEX('QoE PF Adj. P&amp;L Aug-26'!$D$11:$AI$108,MATCH($C77,'QoE PF Adj. P&amp;L Aug-26'!$C$11:$C$108,0),MATCH(L$8,'QoE PF Adj. P&amp;L Aug-26'!$D$8:$AI$8,0))*1000</f>
        <v>10700</v>
      </c>
      <c r="M77" s="10">
        <f>+INDEX('QoE PF Adj. P&amp;L Aug-26'!$D$11:$AI$108,MATCH($C77,'QoE PF Adj. P&amp;L Aug-26'!$C$11:$C$108,0),MATCH(M$8,'QoE PF Adj. P&amp;L Aug-26'!$D$8:$AI$8,0))*1000</f>
        <v>10900</v>
      </c>
      <c r="N77" s="10">
        <f>+INDEX('QoE PF Adj. P&amp;L Aug-26'!$D$11:$AI$108,MATCH($C77,'QoE PF Adj. P&amp;L Aug-26'!$C$11:$C$108,0),MATCH(N$8,'QoE PF Adj. P&amp;L Aug-26'!$D$8:$AI$8,0))*1000</f>
        <v>11000</v>
      </c>
      <c r="O77" s="10">
        <f>+INDEX('QoE PF Adj. P&amp;L Aug-26'!$D$11:$AI$108,MATCH($C77,'QoE PF Adj. P&amp;L Aug-26'!$C$11:$C$108,0),MATCH(O$8,'QoE PF Adj. P&amp;L Aug-26'!$D$8:$AI$8,0))*1000</f>
        <v>10900</v>
      </c>
      <c r="P77" s="10">
        <f>+INDEX('QoE PF Adj. P&amp;L Aug-26'!$D$11:$AI$108,MATCH($C77,'QoE PF Adj. P&amp;L Aug-26'!$C$11:$C$108,0),MATCH(P$8,'QoE PF Adj. P&amp;L Aug-26'!$D$8:$AI$8,0))*1000</f>
        <v>10600</v>
      </c>
      <c r="Q77" s="10">
        <f>+INDEX('QoE PF Adj. P&amp;L Aug-26'!$D$11:$AI$108,MATCH($C77,'QoE PF Adj. P&amp;L Aug-26'!$C$11:$C$108,0),MATCH(Q$8,'QoE PF Adj. P&amp;L Aug-26'!$D$8:$AI$8,0))*1000</f>
        <v>11200</v>
      </c>
      <c r="R77" s="10">
        <f>+INDEX('QoE PF Adj. P&amp;L Aug-26'!$D$11:$AI$108,MATCH($C77,'QoE PF Adj. P&amp;L Aug-26'!$C$11:$C$108,0),MATCH(R$8,'QoE PF Adj. P&amp;L Aug-26'!$D$8:$AI$8,0))*1000</f>
        <v>11200</v>
      </c>
      <c r="S77" s="10">
        <f>+INDEX('QoE PF Adj. P&amp;L Aug-26'!$D$11:$AI$108,MATCH($C77,'QoE PF Adj. P&amp;L Aug-26'!$C$11:$C$108,0),MATCH(S$8,'QoE PF Adj. P&amp;L Aug-26'!$D$8:$AI$8,0))*1000</f>
        <v>11400</v>
      </c>
      <c r="T77" s="10">
        <f>+INDEX('QoE PF Adj. P&amp;L Aug-26'!$D$11:$AI$108,MATCH($C77,'QoE PF Adj. P&amp;L Aug-26'!$C$11:$C$108,0),MATCH(T$8,'QoE PF Adj. P&amp;L Aug-26'!$D$8:$AI$8,0))*1000</f>
        <v>10600</v>
      </c>
      <c r="U77" s="10">
        <f>+INDEX('QoE PF Adj. P&amp;L Aug-26'!$D$11:$AI$108,MATCH($C77,'QoE PF Adj. P&amp;L Aug-26'!$C$11:$C$108,0),MATCH(U$8,'QoE PF Adj. P&amp;L Aug-26'!$D$8:$AI$8,0))*1000</f>
        <v>11100</v>
      </c>
      <c r="V77" s="10">
        <f>+INDEX('QoE PF Adj. P&amp;L Aug-26'!$D$11:$AI$108,MATCH($C77,'QoE PF Adj. P&amp;L Aug-26'!$C$11:$C$108,0),MATCH(V$8,'QoE PF Adj. P&amp;L Aug-26'!$D$8:$AI$8,0))*1000</f>
        <v>11200</v>
      </c>
      <c r="W77" s="10">
        <f>+INDEX('QoE PF Adj. P&amp;L Aug-26'!$D$11:$AI$108,MATCH($C77,'QoE PF Adj. P&amp;L Aug-26'!$C$11:$C$108,0),MATCH(W$8,'QoE PF Adj. P&amp;L Aug-26'!$D$8:$AI$8,0))*1000</f>
        <v>11200</v>
      </c>
      <c r="X77" s="10">
        <f>+INDEX('QoE PF Adj. P&amp;L Aug-26'!$D$11:$AI$108,MATCH($C77,'QoE PF Adj. P&amp;L Aug-26'!$C$11:$C$108,0),MATCH(X$8,'QoE PF Adj. P&amp;L Aug-26'!$D$8:$AI$8,0))*1000</f>
        <v>11600</v>
      </c>
      <c r="Y77" s="10">
        <f>+INDEX('QoE PF Adj. P&amp;L Aug-26'!$D$11:$AI$108,MATCH($C77,'QoE PF Adj. P&amp;L Aug-26'!$C$11:$C$108,0),MATCH(Y$8,'QoE PF Adj. P&amp;L Aug-26'!$D$8:$AI$8,0))*1000</f>
        <v>11700</v>
      </c>
      <c r="Z77" s="10">
        <f>+INDEX('QoE PF Adj. P&amp;L Aug-26'!$D$11:$AI$108,MATCH($C77,'QoE PF Adj. P&amp;L Aug-26'!$C$11:$C$108,0),MATCH(Z$8,'QoE PF Adj. P&amp;L Aug-26'!$D$8:$AI$8,0))*1000</f>
        <v>11600</v>
      </c>
      <c r="AA77" s="10">
        <f>+INDEX('QoE PF Adj. P&amp;L Aug-26'!$D$11:$AI$108,MATCH($C77,'QoE PF Adj. P&amp;L Aug-26'!$C$11:$C$108,0),MATCH(AA$8,'QoE PF Adj. P&amp;L Aug-26'!$D$8:$AI$8,0))*1000</f>
        <v>11200</v>
      </c>
      <c r="AB77" s="10">
        <f>+INDEX('QoE PF Adj. P&amp;L Aug-26'!$D$11:$AI$108,MATCH($C77,'QoE PF Adj. P&amp;L Aug-26'!$C$11:$C$108,0),MATCH(AB$8,'QoE PF Adj. P&amp;L Aug-26'!$D$8:$AI$8,0))*1000</f>
        <v>12200</v>
      </c>
      <c r="AC77" s="10">
        <f>+INDEX('QoE PF Adj. P&amp;L Aug-26'!$D$11:$AI$108,MATCH($C77,'QoE PF Adj. P&amp;L Aug-26'!$C$11:$C$108,0),MATCH(AC$8,'QoE PF Adj. P&amp;L Aug-26'!$D$8:$AI$8,0))*1000</f>
        <v>11400</v>
      </c>
      <c r="AD77" s="10">
        <f>+INDEX('QoE PF Adj. P&amp;L Aug-26'!$D$11:$AI$108,MATCH($C77,'QoE PF Adj. P&amp;L Aug-26'!$C$11:$C$108,0),MATCH(AD$8,'QoE PF Adj. P&amp;L Aug-26'!$D$8:$AI$8,0))*1000</f>
        <v>11800</v>
      </c>
      <c r="AE77" s="10">
        <f>+INDEX('QoE PF Adj. P&amp;L Aug-26'!$D$11:$AI$108,MATCH($C77,'QoE PF Adj. P&amp;L Aug-26'!$C$11:$C$108,0),MATCH(AE$8,'QoE PF Adj. P&amp;L Aug-26'!$D$8:$AI$8,0))*1000</f>
        <v>11500</v>
      </c>
      <c r="AF77" s="10">
        <f>+INDEX('QoE PF Adj. P&amp;L Aug-26'!$D$11:$AI$108,MATCH($C77,'QoE PF Adj. P&amp;L Aug-26'!$C$11:$C$108,0),MATCH(AF$8,'QoE PF Adj. P&amp;L Aug-26'!$D$8:$AI$8,0))*1000</f>
        <v>11900</v>
      </c>
      <c r="AG77" s="10">
        <f>+INDEX('QoE PF Adj. P&amp;L Aug-26'!$D$11:$AI$108,MATCH($C77,'QoE PF Adj. P&amp;L Aug-26'!$C$11:$C$108,0),MATCH(AG$8,'QoE PF Adj. P&amp;L Aug-26'!$D$8:$AI$8,0))*1000</f>
        <v>12400</v>
      </c>
      <c r="AH77" s="10">
        <f>+INDEX('QoE PF Adj. P&amp;L Aug-26'!$D$11:$AI$108,MATCH($C77,'QoE PF Adj. P&amp;L Aug-26'!$C$11:$C$108,0),MATCH(AH$8,'QoE PF Adj. P&amp;L Aug-26'!$D$8:$AI$8,0))*1000</f>
        <v>12100</v>
      </c>
      <c r="AI77" s="10">
        <f>+INDEX('QoE PF Adj. P&amp;L Aug-26'!$D$11:$AI$108,MATCH($C77,'QoE PF Adj. P&amp;L Aug-26'!$C$11:$C$108,0),MATCH(AI$8,'QoE PF Adj. P&amp;L Aug-26'!$D$8:$AI$8,0))*1000</f>
        <v>12500</v>
      </c>
      <c r="AJ77" s="10">
        <f>+INDEX('QoE PF Adj. P&amp;L Aug-26'!$D$11:$AI$108,MATCH($C77,'QoE PF Adj. P&amp;L Aug-26'!$C$11:$C$108,0),MATCH(AJ$8,'QoE PF Adj. P&amp;L Aug-26'!$D$8:$AI$8,0))*1000</f>
        <v>12200</v>
      </c>
      <c r="AK77" s="10">
        <f>+INDEX('QoE PF Adj. P&amp;L Aug-26'!$D$11:$AI$108,MATCH($C77,'QoE PF Adj. P&amp;L Aug-26'!$C$11:$C$108,0),MATCH(AK$8,'QoE PF Adj. P&amp;L Aug-26'!$D$8:$AI$8,0))*1000</f>
        <v>11600</v>
      </c>
      <c r="AL77" s="10">
        <f>+INDEX('QoE PF Adj. P&amp;L Aug-26'!$D$11:$AI$108,MATCH($C77,'QoE PF Adj. P&amp;L Aug-26'!$C$11:$C$108,0),MATCH(AL$8,'QoE PF Adj. P&amp;L Aug-26'!$D$8:$AI$8,0))*1000</f>
        <v>12000</v>
      </c>
      <c r="AM77" s="10">
        <f>+INDEX('QoE PF Adj. P&amp;L Aug-26'!$D$11:$AI$108,MATCH($C77,'QoE PF Adj. P&amp;L Aug-26'!$C$11:$C$108,0),MATCH(AM$8,'QoE PF Adj. P&amp;L Aug-26'!$D$8:$AI$8,0))*1000</f>
        <v>11800</v>
      </c>
      <c r="AN77" s="10">
        <f>+INDEX('QoE PF Adj. P&amp;L Aug-26'!$D$11:$AI$108,MATCH($C77,'QoE PF Adj. P&amp;L Aug-26'!$C$11:$C$108,0),MATCH(AN$8,'QoE PF Adj. P&amp;L Aug-26'!$D$8:$AI$8,0))*1000</f>
        <v>11800</v>
      </c>
      <c r="AO77" s="10">
        <f>+INDEX('QoE PF Adj. P&amp;L Aug-26'!$D$11:$AI$108,MATCH($C77,'QoE PF Adj. P&amp;L Aug-26'!$C$11:$C$108,0),MATCH(AO$8,'QoE PF Adj. P&amp;L Aug-26'!$D$8:$AI$8,0))*1000</f>
        <v>12200</v>
      </c>
      <c r="AP77" s="10">
        <f>+SUMIFS('Sep - Nov P&amp;L'!I:I,'Sep - Nov P&amp;L'!$D:$D,$C77)</f>
        <v>25796.95</v>
      </c>
      <c r="AQ77" s="10">
        <f>+SUMIFS('Sep - Nov P&amp;L'!J:J,'Sep - Nov P&amp;L'!$D:$D,$C77)</f>
        <v>26927.53</v>
      </c>
      <c r="AR77" s="10">
        <f>+SUMIFS('Sep - Nov P&amp;L'!K:K,'Sep - Nov P&amp;L'!$D:$D,$C77)</f>
        <v>26565.96</v>
      </c>
      <c r="AS77" s="20">
        <f>+AS185</f>
        <v>15657.5366666667</v>
      </c>
      <c r="AT77" s="20">
        <f>+AT185</f>
        <v>15712.338045</v>
      </c>
      <c r="AU77" s="20">
        <f>+AU185</f>
        <v>15767.3312281575</v>
      </c>
      <c r="AV77" s="20">
        <f>+AV185</f>
        <v>15822.5168874561</v>
      </c>
      <c r="AW77" s="20">
        <f>+AW185</f>
        <v>15877.8956965622</v>
      </c>
      <c r="AX77" s="20">
        <f>+AX185</f>
        <v>15933.4683315001</v>
      </c>
      <c r="AY77" s="20">
        <f>+AY185</f>
        <v>15989.2354706604</v>
      </c>
      <c r="AZ77" s="20">
        <f>+AZ185</f>
        <v>16045.1977948077</v>
      </c>
      <c r="BA77" s="20">
        <f>+BA185</f>
        <v>16101.3559870895</v>
      </c>
      <c r="BB77" s="20">
        <f>+BB185</f>
        <v>16157.7107330443</v>
      </c>
      <c r="BC77" s="20">
        <f>+BC185</f>
        <v>16214.26272061</v>
      </c>
      <c r="BD77" s="20">
        <f>+BD185</f>
        <v>16271.0126401321</v>
      </c>
      <c r="BE77" s="20">
        <f>+BE185</f>
        <v>16327.9611843726</v>
      </c>
      <c r="BF77" s="20">
        <f>+BF185</f>
        <v>16385.1090485179</v>
      </c>
      <c r="BG77" s="20">
        <f>+BG185</f>
        <v>16442.4569301877</v>
      </c>
      <c r="BH77" s="20">
        <f>+BH185</f>
        <v>16500.0055294434</v>
      </c>
      <c r="BI77" s="20">
        <f>+BI185</f>
        <v>16557.7555487964</v>
      </c>
      <c r="BJ77" s="20">
        <f>+BJ185</f>
        <v>16615.7076932172</v>
      </c>
      <c r="BK77" s="20">
        <f>+BK185</f>
        <v>16673.8626701435</v>
      </c>
      <c r="BL77" s="20">
        <f>+BL185</f>
        <v>16732.221189489</v>
      </c>
      <c r="BM77" s="20">
        <f>+BM185</f>
        <v>16790.7839636522</v>
      </c>
      <c r="BN77" s="20">
        <f>+BN185</f>
        <v>16849.551707525</v>
      </c>
      <c r="BO77" s="20">
        <f>+BO185</f>
        <v>16908.5251385013</v>
      </c>
      <c r="BP77" s="20">
        <f>+BP185</f>
        <v>16967.7049764861</v>
      </c>
      <c r="BQ77" s="20">
        <f>+BQ185</f>
        <v>17027.0919439038</v>
      </c>
    </row>
    <row r="78">
      <c r="C78" s="3" t="inlineStr">
        <is>
          <t>Management Fees</t>
        </is>
      </c>
      <c r="D78" s="20">
        <f>+SUMIFS($J78:$BQ78,$J$7:$BQ$7,D$8)</f>
        <v>76700</v>
      </c>
      <c r="E78" s="20">
        <f>+SUMIFS($J78:$BQ78,$J$7:$BQ$7,E$8)</f>
        <v>82100</v>
      </c>
      <c r="F78" s="20">
        <f>+SUMIFS($J78:$BQ78,$J$7:$BQ$7,F$8)</f>
        <v>62275</v>
      </c>
      <c r="G78" s="20">
        <f>+SUMIFS($J78:$BQ78,$J$7:$BQ$7,G$8)</f>
        <v>65986.3721294219</v>
      </c>
      <c r="H78" s="20">
        <f>+SUMIFS($J78:$BQ78,$J$7:$BQ$7,H$8)</f>
        <v>68811.7770862699</v>
      </c>
      <c r="J78" s="10">
        <f>+INDEX('QoE PF Adj. P&amp;L Aug-26'!$D$11:$AI$108,MATCH($C78,'QoE PF Adj. P&amp;L Aug-26'!$C$11:$C$108,0),MATCH(J$8,'QoE PF Adj. P&amp;L Aug-26'!$D$8:$AI$8,0))*1000</f>
        <v>6000</v>
      </c>
      <c r="K78" s="10">
        <f>+INDEX('QoE PF Adj. P&amp;L Aug-26'!$D$11:$AI$108,MATCH($C78,'QoE PF Adj. P&amp;L Aug-26'!$C$11:$C$108,0),MATCH(K$8,'QoE PF Adj. P&amp;L Aug-26'!$D$8:$AI$8,0))*1000</f>
        <v>6300</v>
      </c>
      <c r="L78" s="10">
        <f>+INDEX('QoE PF Adj. P&amp;L Aug-26'!$D$11:$AI$108,MATCH($C78,'QoE PF Adj. P&amp;L Aug-26'!$C$11:$C$108,0),MATCH(L$8,'QoE PF Adj. P&amp;L Aug-26'!$D$8:$AI$8,0))*1000</f>
        <v>6700</v>
      </c>
      <c r="M78" s="10">
        <f>+INDEX('QoE PF Adj. P&amp;L Aug-26'!$D$11:$AI$108,MATCH($C78,'QoE PF Adj. P&amp;L Aug-26'!$C$11:$C$108,0),MATCH(M$8,'QoE PF Adj. P&amp;L Aug-26'!$D$8:$AI$8,0))*1000</f>
        <v>6000</v>
      </c>
      <c r="N78" s="10">
        <f>+INDEX('QoE PF Adj. P&amp;L Aug-26'!$D$11:$AI$108,MATCH($C78,'QoE PF Adj. P&amp;L Aug-26'!$C$11:$C$108,0),MATCH(N$8,'QoE PF Adj. P&amp;L Aug-26'!$D$8:$AI$8,0))*1000</f>
        <v>6300</v>
      </c>
      <c r="O78" s="10">
        <f>+INDEX('QoE PF Adj. P&amp;L Aug-26'!$D$11:$AI$108,MATCH($C78,'QoE PF Adj. P&amp;L Aug-26'!$C$11:$C$108,0),MATCH(O$8,'QoE PF Adj. P&amp;L Aug-26'!$D$8:$AI$8,0))*1000</f>
        <v>6400</v>
      </c>
      <c r="P78" s="10">
        <f>+INDEX('QoE PF Adj. P&amp;L Aug-26'!$D$11:$AI$108,MATCH($C78,'QoE PF Adj. P&amp;L Aug-26'!$C$11:$C$108,0),MATCH(P$8,'QoE PF Adj. P&amp;L Aug-26'!$D$8:$AI$8,0))*1000</f>
        <v>6700</v>
      </c>
      <c r="Q78" s="10">
        <f>+INDEX('QoE PF Adj. P&amp;L Aug-26'!$D$11:$AI$108,MATCH($C78,'QoE PF Adj. P&amp;L Aug-26'!$C$11:$C$108,0),MATCH(Q$8,'QoE PF Adj. P&amp;L Aug-26'!$D$8:$AI$8,0))*1000</f>
        <v>6100</v>
      </c>
      <c r="R78" s="10">
        <f>+INDEX('QoE PF Adj. P&amp;L Aug-26'!$D$11:$AI$108,MATCH($C78,'QoE PF Adj. P&amp;L Aug-26'!$C$11:$C$108,0),MATCH(R$8,'QoE PF Adj. P&amp;L Aug-26'!$D$8:$AI$8,0))*1000</f>
        <v>6700</v>
      </c>
      <c r="S78" s="10">
        <f>+INDEX('QoE PF Adj. P&amp;L Aug-26'!$D$11:$AI$108,MATCH($C78,'QoE PF Adj. P&amp;L Aug-26'!$C$11:$C$108,0),MATCH(S$8,'QoE PF Adj. P&amp;L Aug-26'!$D$8:$AI$8,0))*1000</f>
        <v>6400</v>
      </c>
      <c r="T78" s="10">
        <f>+INDEX('QoE PF Adj. P&amp;L Aug-26'!$D$11:$AI$108,MATCH($C78,'QoE PF Adj. P&amp;L Aug-26'!$C$11:$C$108,0),MATCH(T$8,'QoE PF Adj. P&amp;L Aug-26'!$D$8:$AI$8,0))*1000</f>
        <v>6300</v>
      </c>
      <c r="U78" s="10">
        <f>+INDEX('QoE PF Adj. P&amp;L Aug-26'!$D$11:$AI$108,MATCH($C78,'QoE PF Adj. P&amp;L Aug-26'!$C$11:$C$108,0),MATCH(U$8,'QoE PF Adj. P&amp;L Aug-26'!$D$8:$AI$8,0))*1000</f>
        <v>6800</v>
      </c>
      <c r="V78" s="10">
        <f>+INDEX('QoE PF Adj. P&amp;L Aug-26'!$D$11:$AI$108,MATCH($C78,'QoE PF Adj. P&amp;L Aug-26'!$C$11:$C$108,0),MATCH(V$8,'QoE PF Adj. P&amp;L Aug-26'!$D$8:$AI$8,0))*1000</f>
        <v>6700</v>
      </c>
      <c r="W78" s="10">
        <f>+INDEX('QoE PF Adj. P&amp;L Aug-26'!$D$11:$AI$108,MATCH($C78,'QoE PF Adj. P&amp;L Aug-26'!$C$11:$C$108,0),MATCH(W$8,'QoE PF Adj. P&amp;L Aug-26'!$D$8:$AI$8,0))*1000</f>
        <v>6500</v>
      </c>
      <c r="X78" s="10">
        <f>+INDEX('QoE PF Adj. P&amp;L Aug-26'!$D$11:$AI$108,MATCH($C78,'QoE PF Adj. P&amp;L Aug-26'!$C$11:$C$108,0),MATCH(X$8,'QoE PF Adj. P&amp;L Aug-26'!$D$8:$AI$8,0))*1000</f>
        <v>6900</v>
      </c>
      <c r="Y78" s="10">
        <f>+INDEX('QoE PF Adj. P&amp;L Aug-26'!$D$11:$AI$108,MATCH($C78,'QoE PF Adj. P&amp;L Aug-26'!$C$11:$C$108,0),MATCH(Y$8,'QoE PF Adj. P&amp;L Aug-26'!$D$8:$AI$8,0))*1000</f>
        <v>7200</v>
      </c>
      <c r="Z78" s="10">
        <f>+INDEX('QoE PF Adj. P&amp;L Aug-26'!$D$11:$AI$108,MATCH($C78,'QoE PF Adj. P&amp;L Aug-26'!$C$11:$C$108,0),MATCH(Z$8,'QoE PF Adj. P&amp;L Aug-26'!$D$8:$AI$8,0))*1000</f>
        <v>6400</v>
      </c>
      <c r="AA78" s="10">
        <f>+INDEX('QoE PF Adj. P&amp;L Aug-26'!$D$11:$AI$108,MATCH($C78,'QoE PF Adj. P&amp;L Aug-26'!$C$11:$C$108,0),MATCH(AA$8,'QoE PF Adj. P&amp;L Aug-26'!$D$8:$AI$8,0))*1000</f>
        <v>7300</v>
      </c>
      <c r="AB78" s="10">
        <f>+INDEX('QoE PF Adj. P&amp;L Aug-26'!$D$11:$AI$108,MATCH($C78,'QoE PF Adj. P&amp;L Aug-26'!$C$11:$C$108,0),MATCH(AB$8,'QoE PF Adj. P&amp;L Aug-26'!$D$8:$AI$8,0))*1000</f>
        <v>6800</v>
      </c>
      <c r="AC78" s="10">
        <f>+INDEX('QoE PF Adj. P&amp;L Aug-26'!$D$11:$AI$108,MATCH($C78,'QoE PF Adj. P&amp;L Aug-26'!$C$11:$C$108,0),MATCH(AC$8,'QoE PF Adj. P&amp;L Aug-26'!$D$8:$AI$8,0))*1000</f>
        <v>6700</v>
      </c>
      <c r="AD78" s="10">
        <f>+INDEX('QoE PF Adj. P&amp;L Aug-26'!$D$11:$AI$108,MATCH($C78,'QoE PF Adj. P&amp;L Aug-26'!$C$11:$C$108,0),MATCH(AD$8,'QoE PF Adj. P&amp;L Aug-26'!$D$8:$AI$8,0))*1000</f>
        <v>6600</v>
      </c>
      <c r="AE78" s="10">
        <f>+INDEX('QoE PF Adj. P&amp;L Aug-26'!$D$11:$AI$108,MATCH($C78,'QoE PF Adj. P&amp;L Aug-26'!$C$11:$C$108,0),MATCH(AE$8,'QoE PF Adj. P&amp;L Aug-26'!$D$8:$AI$8,0))*1000</f>
        <v>6800</v>
      </c>
      <c r="AF78" s="10">
        <f>+INDEX('QoE PF Adj. P&amp;L Aug-26'!$D$11:$AI$108,MATCH($C78,'QoE PF Adj. P&amp;L Aug-26'!$C$11:$C$108,0),MATCH(AF$8,'QoE PF Adj. P&amp;L Aug-26'!$D$8:$AI$8,0))*1000</f>
        <v>6600</v>
      </c>
      <c r="AG78" s="10">
        <f>+INDEX('QoE PF Adj. P&amp;L Aug-26'!$D$11:$AI$108,MATCH($C78,'QoE PF Adj. P&amp;L Aug-26'!$C$11:$C$108,0),MATCH(AG$8,'QoE PF Adj. P&amp;L Aug-26'!$D$8:$AI$8,0))*1000</f>
        <v>7600</v>
      </c>
      <c r="AH78" s="10">
        <f>+INDEX('QoE PF Adj. P&amp;L Aug-26'!$D$11:$AI$108,MATCH($C78,'QoE PF Adj. P&amp;L Aug-26'!$C$11:$C$108,0),MATCH(AH$8,'QoE PF Adj. P&amp;L Aug-26'!$D$8:$AI$8,0))*1000</f>
        <v>6900</v>
      </c>
      <c r="AI78" s="10">
        <f>+INDEX('QoE PF Adj. P&amp;L Aug-26'!$D$11:$AI$108,MATCH($C78,'QoE PF Adj. P&amp;L Aug-26'!$C$11:$C$108,0),MATCH(AI$8,'QoE PF Adj. P&amp;L Aug-26'!$D$8:$AI$8,0))*1000</f>
        <v>7500</v>
      </c>
      <c r="AJ78" s="10">
        <f>+INDEX('QoE PF Adj. P&amp;L Aug-26'!$D$11:$AI$108,MATCH($C78,'QoE PF Adj. P&amp;L Aug-26'!$C$11:$C$108,0),MATCH(AJ$8,'QoE PF Adj. P&amp;L Aug-26'!$D$8:$AI$8,0))*1000</f>
        <v>6800</v>
      </c>
      <c r="AK78" s="10">
        <f>+INDEX('QoE PF Adj. P&amp;L Aug-26'!$D$11:$AI$108,MATCH($C78,'QoE PF Adj. P&amp;L Aug-26'!$C$11:$C$108,0),MATCH(AK$8,'QoE PF Adj. P&amp;L Aug-26'!$D$8:$AI$8,0))*1000</f>
        <v>6800</v>
      </c>
      <c r="AL78" s="10">
        <f>+INDEX('QoE PF Adj. P&amp;L Aug-26'!$D$11:$AI$108,MATCH($C78,'QoE PF Adj. P&amp;L Aug-26'!$C$11:$C$108,0),MATCH(AL$8,'QoE PF Adj. P&amp;L Aug-26'!$D$8:$AI$8,0))*1000</f>
        <v>6900</v>
      </c>
      <c r="AM78" s="10">
        <f>+INDEX('QoE PF Adj. P&amp;L Aug-26'!$D$11:$AI$108,MATCH($C78,'QoE PF Adj. P&amp;L Aug-26'!$C$11:$C$108,0),MATCH(AM$8,'QoE PF Adj. P&amp;L Aug-26'!$D$8:$AI$8,0))*1000</f>
        <v>7200</v>
      </c>
      <c r="AN78" s="10">
        <f>+INDEX('QoE PF Adj. P&amp;L Aug-26'!$D$11:$AI$108,MATCH($C78,'QoE PF Adj. P&amp;L Aug-26'!$C$11:$C$108,0),MATCH(AN$8,'QoE PF Adj. P&amp;L Aug-26'!$D$8:$AI$8,0))*1000</f>
        <v>7600</v>
      </c>
      <c r="AO78" s="10">
        <f>+INDEX('QoE PF Adj. P&amp;L Aug-26'!$D$11:$AI$108,MATCH($C78,'QoE PF Adj. P&amp;L Aug-26'!$C$11:$C$108,0),MATCH(AO$8,'QoE PF Adj. P&amp;L Aug-26'!$D$8:$AI$8,0))*1000</f>
        <v>7200</v>
      </c>
      <c r="AP78" s="10">
        <f>+SUMIFS('Sep - Nov P&amp;L'!I:I,'Sep - Nov P&amp;L'!$D:$D,$C78)</f>
        <v>0</v>
      </c>
      <c r="AQ78" s="10">
        <f>+SUMIFS('Sep - Nov P&amp;L'!J:J,'Sep - Nov P&amp;L'!$D:$D,$C78)</f>
        <v>0</v>
      </c>
      <c r="AR78" s="10">
        <f>+SUMIFS('Sep - Nov P&amp;L'!K:K,'Sep - Nov P&amp;L'!$D:$D,$C78)</f>
        <v>0</v>
      </c>
      <c r="AS78" s="20">
        <f>+AS186</f>
        <v>5375</v>
      </c>
      <c r="AT78" s="20">
        <f>+AT186</f>
        <v>5393.8125</v>
      </c>
      <c r="AU78" s="20">
        <f>+AU186</f>
        <v>5412.69084375</v>
      </c>
      <c r="AV78" s="20">
        <f>+AV186</f>
        <v>5431.63526170313</v>
      </c>
      <c r="AW78" s="20">
        <f>+AW186</f>
        <v>5450.64598511909</v>
      </c>
      <c r="AX78" s="20">
        <f>+AX186</f>
        <v>5469.72324606701</v>
      </c>
      <c r="AY78" s="20">
        <f>+AY186</f>
        <v>5488.86727742824</v>
      </c>
      <c r="AZ78" s="20">
        <f>+AZ186</f>
        <v>5508.07831289924</v>
      </c>
      <c r="BA78" s="20">
        <f>+BA186</f>
        <v>5527.35658699439</v>
      </c>
      <c r="BB78" s="20">
        <f>+BB186</f>
        <v>5546.70233504887</v>
      </c>
      <c r="BC78" s="20">
        <f>+BC186</f>
        <v>5566.11579322154</v>
      </c>
      <c r="BD78" s="20">
        <f>+BD186</f>
        <v>5585.59719849781</v>
      </c>
      <c r="BE78" s="20">
        <f>+BE186</f>
        <v>5605.14678869256</v>
      </c>
      <c r="BF78" s="20">
        <f>+BF186</f>
        <v>5624.76480245298</v>
      </c>
      <c r="BG78" s="20">
        <f>+BG186</f>
        <v>5644.45147926157</v>
      </c>
      <c r="BH78" s="20">
        <f>+BH186</f>
        <v>5664.20705943898</v>
      </c>
      <c r="BI78" s="20">
        <f>+BI186</f>
        <v>5684.03178414702</v>
      </c>
      <c r="BJ78" s="20">
        <f>+BJ186</f>
        <v>5703.92589539153</v>
      </c>
      <c r="BK78" s="20">
        <f>+BK186</f>
        <v>5723.88963602541</v>
      </c>
      <c r="BL78" s="20">
        <f>+BL186</f>
        <v>5743.92324975149</v>
      </c>
      <c r="BM78" s="20">
        <f>+BM186</f>
        <v>5764.02698112563</v>
      </c>
      <c r="BN78" s="20">
        <f>+BN186</f>
        <v>5784.20107555957</v>
      </c>
      <c r="BO78" s="20">
        <f>+BO186</f>
        <v>5804.44577932402</v>
      </c>
      <c r="BP78" s="20">
        <f>+BP186</f>
        <v>5824.76133955166</v>
      </c>
      <c r="BQ78" s="20">
        <f>+BQ186</f>
        <v>5845.14800424009</v>
      </c>
    </row>
    <row r="79">
      <c r="C79" s="3" t="inlineStr">
        <is>
          <t>Revenue Cycle Management Services</t>
        </is>
      </c>
      <c r="D79" s="20">
        <f>+SUMIFS($J79:$BQ79,$J$7:$BQ$7,D$8)</f>
        <v>193800</v>
      </c>
      <c r="E79" s="20">
        <f>+SUMIFS($J79:$BQ79,$J$7:$BQ$7,E$8)</f>
        <v>207800</v>
      </c>
      <c r="F79" s="20">
        <f>+SUMIFS($J79:$BQ79,$J$7:$BQ$7,F$8)</f>
        <v>162858.333333333</v>
      </c>
      <c r="G79" s="20">
        <f>+SUMIFS($J79:$BQ79,$J$7:$BQ$7,G$8)</f>
        <v>170132.305195703</v>
      </c>
      <c r="H79" s="20">
        <f>+SUMIFS($J79:$BQ79,$J$7:$BQ$7,H$8)</f>
        <v>177417.03146429</v>
      </c>
      <c r="J79" s="10">
        <f>+INDEX('QoE PF Adj. P&amp;L Aug-26'!$D$11:$AI$108,MATCH($C79,'QoE PF Adj. P&amp;L Aug-26'!$C$11:$C$108,0),MATCH(J$8,'QoE PF Adj. P&amp;L Aug-26'!$D$8:$AI$8,0))*1000</f>
        <v>15400</v>
      </c>
      <c r="K79" s="10">
        <f>+INDEX('QoE PF Adj. P&amp;L Aug-26'!$D$11:$AI$108,MATCH($C79,'QoE PF Adj. P&amp;L Aug-26'!$C$11:$C$108,0),MATCH(K$8,'QoE PF Adj. P&amp;L Aug-26'!$D$8:$AI$8,0))*1000</f>
        <v>16400</v>
      </c>
      <c r="L79" s="10">
        <f>+INDEX('QoE PF Adj. P&amp;L Aug-26'!$D$11:$AI$108,MATCH($C79,'QoE PF Adj. P&amp;L Aug-26'!$C$11:$C$108,0),MATCH(L$8,'QoE PF Adj. P&amp;L Aug-26'!$D$8:$AI$8,0))*1000</f>
        <v>15700</v>
      </c>
      <c r="M79" s="10">
        <f>+INDEX('QoE PF Adj. P&amp;L Aug-26'!$D$11:$AI$108,MATCH($C79,'QoE PF Adj. P&amp;L Aug-26'!$C$11:$C$108,0),MATCH(M$8,'QoE PF Adj. P&amp;L Aug-26'!$D$8:$AI$8,0))*1000</f>
        <v>15100</v>
      </c>
      <c r="N79" s="10">
        <f>+INDEX('QoE PF Adj. P&amp;L Aug-26'!$D$11:$AI$108,MATCH($C79,'QoE PF Adj. P&amp;L Aug-26'!$C$11:$C$108,0),MATCH(N$8,'QoE PF Adj. P&amp;L Aug-26'!$D$8:$AI$8,0))*1000</f>
        <v>16600</v>
      </c>
      <c r="O79" s="10">
        <f>+INDEX('QoE PF Adj. P&amp;L Aug-26'!$D$11:$AI$108,MATCH($C79,'QoE PF Adj. P&amp;L Aug-26'!$C$11:$C$108,0),MATCH(O$8,'QoE PF Adj. P&amp;L Aug-26'!$D$8:$AI$8,0))*1000</f>
        <v>16100</v>
      </c>
      <c r="P79" s="10">
        <f>+INDEX('QoE PF Adj. P&amp;L Aug-26'!$D$11:$AI$108,MATCH($C79,'QoE PF Adj. P&amp;L Aug-26'!$C$11:$C$108,0),MATCH(P$8,'QoE PF Adj. P&amp;L Aug-26'!$D$8:$AI$8,0))*1000</f>
        <v>16200</v>
      </c>
      <c r="Q79" s="10">
        <f>+INDEX('QoE PF Adj. P&amp;L Aug-26'!$D$11:$AI$108,MATCH($C79,'QoE PF Adj. P&amp;L Aug-26'!$C$11:$C$108,0),MATCH(Q$8,'QoE PF Adj. P&amp;L Aug-26'!$D$8:$AI$8,0))*1000</f>
        <v>17200</v>
      </c>
      <c r="R79" s="10">
        <f>+INDEX('QoE PF Adj. P&amp;L Aug-26'!$D$11:$AI$108,MATCH($C79,'QoE PF Adj. P&amp;L Aug-26'!$C$11:$C$108,0),MATCH(R$8,'QoE PF Adj. P&amp;L Aug-26'!$D$8:$AI$8,0))*1000</f>
        <v>16600</v>
      </c>
      <c r="S79" s="10">
        <f>+INDEX('QoE PF Adj. P&amp;L Aug-26'!$D$11:$AI$108,MATCH($C79,'QoE PF Adj. P&amp;L Aug-26'!$C$11:$C$108,0),MATCH(S$8,'QoE PF Adj. P&amp;L Aug-26'!$D$8:$AI$8,0))*1000</f>
        <v>16500</v>
      </c>
      <c r="T79" s="10">
        <f>+INDEX('QoE PF Adj. P&amp;L Aug-26'!$D$11:$AI$108,MATCH($C79,'QoE PF Adj. P&amp;L Aug-26'!$C$11:$C$108,0),MATCH(T$8,'QoE PF Adj. P&amp;L Aug-26'!$D$8:$AI$8,0))*1000</f>
        <v>15900</v>
      </c>
      <c r="U79" s="10">
        <f>+INDEX('QoE PF Adj. P&amp;L Aug-26'!$D$11:$AI$108,MATCH($C79,'QoE PF Adj. P&amp;L Aug-26'!$C$11:$C$108,0),MATCH(U$8,'QoE PF Adj. P&amp;L Aug-26'!$D$8:$AI$8,0))*1000</f>
        <v>16100</v>
      </c>
      <c r="V79" s="10">
        <f>+INDEX('QoE PF Adj. P&amp;L Aug-26'!$D$11:$AI$108,MATCH($C79,'QoE PF Adj. P&amp;L Aug-26'!$C$11:$C$108,0),MATCH(V$8,'QoE PF Adj. P&amp;L Aug-26'!$D$8:$AI$8,0))*1000</f>
        <v>17600</v>
      </c>
      <c r="W79" s="10">
        <f>+INDEX('QoE PF Adj. P&amp;L Aug-26'!$D$11:$AI$108,MATCH($C79,'QoE PF Adj. P&amp;L Aug-26'!$C$11:$C$108,0),MATCH(W$8,'QoE PF Adj. P&amp;L Aug-26'!$D$8:$AI$8,0))*1000</f>
        <v>16500</v>
      </c>
      <c r="X79" s="10">
        <f>+INDEX('QoE PF Adj. P&amp;L Aug-26'!$D$11:$AI$108,MATCH($C79,'QoE PF Adj. P&amp;L Aug-26'!$C$11:$C$108,0),MATCH(X$8,'QoE PF Adj. P&amp;L Aug-26'!$D$8:$AI$8,0))*1000</f>
        <v>17300</v>
      </c>
      <c r="Y79" s="10">
        <f>+INDEX('QoE PF Adj. P&amp;L Aug-26'!$D$11:$AI$108,MATCH($C79,'QoE PF Adj. P&amp;L Aug-26'!$C$11:$C$108,0),MATCH(Y$8,'QoE PF Adj. P&amp;L Aug-26'!$D$8:$AI$8,0))*1000</f>
        <v>16100</v>
      </c>
      <c r="Z79" s="10">
        <f>+INDEX('QoE PF Adj. P&amp;L Aug-26'!$D$11:$AI$108,MATCH($C79,'QoE PF Adj. P&amp;L Aug-26'!$C$11:$C$108,0),MATCH(Z$8,'QoE PF Adj. P&amp;L Aug-26'!$D$8:$AI$8,0))*1000</f>
        <v>16700</v>
      </c>
      <c r="AA79" s="10">
        <f>+INDEX('QoE PF Adj. P&amp;L Aug-26'!$D$11:$AI$108,MATCH($C79,'QoE PF Adj. P&amp;L Aug-26'!$C$11:$C$108,0),MATCH(AA$8,'QoE PF Adj. P&amp;L Aug-26'!$D$8:$AI$8,0))*1000</f>
        <v>17600</v>
      </c>
      <c r="AB79" s="10">
        <f>+INDEX('QoE PF Adj. P&amp;L Aug-26'!$D$11:$AI$108,MATCH($C79,'QoE PF Adj. P&amp;L Aug-26'!$C$11:$C$108,0),MATCH(AB$8,'QoE PF Adj. P&amp;L Aug-26'!$D$8:$AI$8,0))*1000</f>
        <v>16700</v>
      </c>
      <c r="AC79" s="10">
        <f>+INDEX('QoE PF Adj. P&amp;L Aug-26'!$D$11:$AI$108,MATCH($C79,'QoE PF Adj. P&amp;L Aug-26'!$C$11:$C$108,0),MATCH(AC$8,'QoE PF Adj. P&amp;L Aug-26'!$D$8:$AI$8,0))*1000</f>
        <v>18400</v>
      </c>
      <c r="AD79" s="10">
        <f>+INDEX('QoE PF Adj. P&amp;L Aug-26'!$D$11:$AI$108,MATCH($C79,'QoE PF Adj. P&amp;L Aug-26'!$C$11:$C$108,0),MATCH(AD$8,'QoE PF Adj. P&amp;L Aug-26'!$D$8:$AI$8,0))*1000</f>
        <v>18400</v>
      </c>
      <c r="AE79" s="10">
        <f>+INDEX('QoE PF Adj. P&amp;L Aug-26'!$D$11:$AI$108,MATCH($C79,'QoE PF Adj. P&amp;L Aug-26'!$C$11:$C$108,0),MATCH(AE$8,'QoE PF Adj. P&amp;L Aug-26'!$D$8:$AI$8,0))*1000</f>
        <v>16500</v>
      </c>
      <c r="AF79" s="10">
        <f>+INDEX('QoE PF Adj. P&amp;L Aug-26'!$D$11:$AI$108,MATCH($C79,'QoE PF Adj. P&amp;L Aug-26'!$C$11:$C$108,0),MATCH(AF$8,'QoE PF Adj. P&amp;L Aug-26'!$D$8:$AI$8,0))*1000</f>
        <v>18700</v>
      </c>
      <c r="AG79" s="10">
        <f>+INDEX('QoE PF Adj. P&amp;L Aug-26'!$D$11:$AI$108,MATCH($C79,'QoE PF Adj. P&amp;L Aug-26'!$C$11:$C$108,0),MATCH(AG$8,'QoE PF Adj. P&amp;L Aug-26'!$D$8:$AI$8,0))*1000</f>
        <v>17300</v>
      </c>
      <c r="AH79" s="10">
        <f>+INDEX('QoE PF Adj. P&amp;L Aug-26'!$D$11:$AI$108,MATCH($C79,'QoE PF Adj. P&amp;L Aug-26'!$C$11:$C$108,0),MATCH(AH$8,'QoE PF Adj. P&amp;L Aug-26'!$D$8:$AI$8,0))*1000</f>
        <v>18700</v>
      </c>
      <c r="AI79" s="10">
        <f>+INDEX('QoE PF Adj. P&amp;L Aug-26'!$D$11:$AI$108,MATCH($C79,'QoE PF Adj. P&amp;L Aug-26'!$C$11:$C$108,0),MATCH(AI$8,'QoE PF Adj. P&amp;L Aug-26'!$D$8:$AI$8,0))*1000</f>
        <v>17900</v>
      </c>
      <c r="AJ79" s="10">
        <f>+INDEX('QoE PF Adj. P&amp;L Aug-26'!$D$11:$AI$108,MATCH($C79,'QoE PF Adj. P&amp;L Aug-26'!$C$11:$C$108,0),MATCH(AJ$8,'QoE PF Adj. P&amp;L Aug-26'!$D$8:$AI$8,0))*1000</f>
        <v>17300</v>
      </c>
      <c r="AK79" s="10">
        <f>+INDEX('QoE PF Adj. P&amp;L Aug-26'!$D$11:$AI$108,MATCH($C79,'QoE PF Adj. P&amp;L Aug-26'!$C$11:$C$108,0),MATCH(AK$8,'QoE PF Adj. P&amp;L Aug-26'!$D$8:$AI$8,0))*1000</f>
        <v>18500</v>
      </c>
      <c r="AL79" s="10">
        <f>+INDEX('QoE PF Adj. P&amp;L Aug-26'!$D$11:$AI$108,MATCH($C79,'QoE PF Adj. P&amp;L Aug-26'!$C$11:$C$108,0),MATCH(AL$8,'QoE PF Adj. P&amp;L Aug-26'!$D$8:$AI$8,0))*1000</f>
        <v>19300</v>
      </c>
      <c r="AM79" s="10">
        <f>+INDEX('QoE PF Adj. P&amp;L Aug-26'!$D$11:$AI$108,MATCH($C79,'QoE PF Adj. P&amp;L Aug-26'!$C$11:$C$108,0),MATCH(AM$8,'QoE PF Adj. P&amp;L Aug-26'!$D$8:$AI$8,0))*1000</f>
        <v>19100</v>
      </c>
      <c r="AN79" s="10">
        <f>+INDEX('QoE PF Adj. P&amp;L Aug-26'!$D$11:$AI$108,MATCH($C79,'QoE PF Adj. P&amp;L Aug-26'!$C$11:$C$108,0),MATCH(AN$8,'QoE PF Adj. P&amp;L Aug-26'!$D$8:$AI$8,0))*1000</f>
        <v>18900</v>
      </c>
      <c r="AO79" s="10">
        <f>+INDEX('QoE PF Adj. P&amp;L Aug-26'!$D$11:$AI$108,MATCH($C79,'QoE PF Adj. P&amp;L Aug-26'!$C$11:$C$108,0),MATCH(AO$8,'QoE PF Adj. P&amp;L Aug-26'!$D$8:$AI$8,0))*1000</f>
        <v>19300</v>
      </c>
      <c r="AP79" s="10">
        <f>+SUMIFS('Sep - Nov P&amp;L'!I:I,'Sep - Nov P&amp;L'!$D:$D,$C79)</f>
        <v>0</v>
      </c>
      <c r="AQ79" s="10">
        <f>+SUMIFS('Sep - Nov P&amp;L'!J:J,'Sep - Nov P&amp;L'!$D:$D,$C79)</f>
        <v>0</v>
      </c>
      <c r="AR79" s="10">
        <f>+SUMIFS('Sep - Nov P&amp;L'!K:K,'Sep - Nov P&amp;L'!$D:$D,$C79)</f>
        <v>0</v>
      </c>
      <c r="AS79" s="20">
        <f>+AS187</f>
        <v>13858.3333333333</v>
      </c>
      <c r="AT79" s="20">
        <f>+AT187</f>
        <v>13906.8375</v>
      </c>
      <c r="AU79" s="20">
        <f>+AU187</f>
        <v>13955.51143125</v>
      </c>
      <c r="AV79" s="20">
        <f>+AV187</f>
        <v>14004.3557212594</v>
      </c>
      <c r="AW79" s="20">
        <f>+AW187</f>
        <v>14053.3709662838</v>
      </c>
      <c r="AX79" s="20">
        <f>+AX187</f>
        <v>14102.5577646658</v>
      </c>
      <c r="AY79" s="20">
        <f>+AY187</f>
        <v>14151.9167168421</v>
      </c>
      <c r="AZ79" s="20">
        <f>+AZ187</f>
        <v>14201.4484253511</v>
      </c>
      <c r="BA79" s="20">
        <f>+BA187</f>
        <v>14251.1534948398</v>
      </c>
      <c r="BB79" s="20">
        <f>+BB187</f>
        <v>14301.0325320717</v>
      </c>
      <c r="BC79" s="20">
        <f>+BC187</f>
        <v>14351.086145934</v>
      </c>
      <c r="BD79" s="20">
        <f>+BD187</f>
        <v>14401.3149474448</v>
      </c>
      <c r="BE79" s="20">
        <f>+BE187</f>
        <v>14451.7195497608</v>
      </c>
      <c r="BF79" s="20">
        <f>+BF187</f>
        <v>14502.300568185</v>
      </c>
      <c r="BG79" s="20">
        <f>+BG187</f>
        <v>14553.0586201736</v>
      </c>
      <c r="BH79" s="20">
        <f>+BH187</f>
        <v>14603.9943253442</v>
      </c>
      <c r="BI79" s="20">
        <f>+BI187</f>
        <v>14655.1083054829</v>
      </c>
      <c r="BJ79" s="20">
        <f>+BJ187</f>
        <v>14706.4011845521</v>
      </c>
      <c r="BK79" s="20">
        <f>+BK187</f>
        <v>14757.8735886981</v>
      </c>
      <c r="BL79" s="20">
        <f>+BL187</f>
        <v>14809.5261462585</v>
      </c>
      <c r="BM79" s="20">
        <f>+BM187</f>
        <v>14861.3594877704</v>
      </c>
      <c r="BN79" s="20">
        <f>+BN187</f>
        <v>14913.3742459776</v>
      </c>
      <c r="BO79" s="20">
        <f>+BO187</f>
        <v>14965.5710558385</v>
      </c>
      <c r="BP79" s="20">
        <f>+BP187</f>
        <v>15017.950554534</v>
      </c>
      <c r="BQ79" s="20">
        <f>+BQ187</f>
        <v>15070.5133814748</v>
      </c>
    </row>
    <row r="80">
      <c r="C80" s="3" t="inlineStr">
        <is>
          <t>Conferences &amp; Meetings</t>
        </is>
      </c>
      <c r="D80" s="20">
        <f>+SUMIFS($J80:$BQ80,$J$7:$BQ$7,D$8)</f>
        <v>12800</v>
      </c>
      <c r="E80" s="20">
        <f>+SUMIFS($J80:$BQ80,$J$7:$BQ$7,E$8)</f>
        <v>13800</v>
      </c>
      <c r="F80" s="20">
        <f>+SUMIFS($J80:$BQ80,$J$7:$BQ$7,F$8)</f>
        <v>10825</v>
      </c>
      <c r="G80" s="20">
        <f>+SUMIFS($J80:$BQ80,$J$7:$BQ$7,G$8)</f>
        <v>11355.7942734354</v>
      </c>
      <c r="H80" s="20">
        <f>+SUMIFS($J80:$BQ80,$J$7:$BQ$7,H$8)</f>
        <v>11842.0267543813</v>
      </c>
      <c r="J80" s="10">
        <f>+INDEX('QoE PF Adj. P&amp;L Aug-26'!$D$11:$AI$108,MATCH($C80,'QoE PF Adj. P&amp;L Aug-26'!$C$11:$C$108,0),MATCH(J$8,'QoE PF Adj. P&amp;L Aug-26'!$D$8:$AI$8,0))*1000</f>
        <v>1000</v>
      </c>
      <c r="K80" s="10">
        <f>+INDEX('QoE PF Adj. P&amp;L Aug-26'!$D$11:$AI$108,MATCH($C80,'QoE PF Adj. P&amp;L Aug-26'!$C$11:$C$108,0),MATCH(K$8,'QoE PF Adj. P&amp;L Aug-26'!$D$8:$AI$8,0))*1000</f>
        <v>1100</v>
      </c>
      <c r="L80" s="10">
        <f>+INDEX('QoE PF Adj. P&amp;L Aug-26'!$D$11:$AI$108,MATCH($C80,'QoE PF Adj. P&amp;L Aug-26'!$C$11:$C$108,0),MATCH(L$8,'QoE PF Adj. P&amp;L Aug-26'!$D$8:$AI$8,0))*1000</f>
        <v>1000</v>
      </c>
      <c r="M80" s="10">
        <f>+INDEX('QoE PF Adj. P&amp;L Aug-26'!$D$11:$AI$108,MATCH($C80,'QoE PF Adj. P&amp;L Aug-26'!$C$11:$C$108,0),MATCH(M$8,'QoE PF Adj. P&amp;L Aug-26'!$D$8:$AI$8,0))*1000</f>
        <v>1000</v>
      </c>
      <c r="N80" s="10">
        <f>+INDEX('QoE PF Adj. P&amp;L Aug-26'!$D$11:$AI$108,MATCH($C80,'QoE PF Adj. P&amp;L Aug-26'!$C$11:$C$108,0),MATCH(N$8,'QoE PF Adj. P&amp;L Aug-26'!$D$8:$AI$8,0))*1000</f>
        <v>1100</v>
      </c>
      <c r="O80" s="10">
        <f>+INDEX('QoE PF Adj. P&amp;L Aug-26'!$D$11:$AI$108,MATCH($C80,'QoE PF Adj. P&amp;L Aug-26'!$C$11:$C$108,0),MATCH(O$8,'QoE PF Adj. P&amp;L Aug-26'!$D$8:$AI$8,0))*1000</f>
        <v>1100</v>
      </c>
      <c r="P80" s="10">
        <f>+INDEX('QoE PF Adj. P&amp;L Aug-26'!$D$11:$AI$108,MATCH($C80,'QoE PF Adj. P&amp;L Aug-26'!$C$11:$C$108,0),MATCH(P$8,'QoE PF Adj. P&amp;L Aug-26'!$D$8:$AI$8,0))*1000</f>
        <v>1100</v>
      </c>
      <c r="Q80" s="10">
        <f>+INDEX('QoE PF Adj. P&amp;L Aug-26'!$D$11:$AI$108,MATCH($C80,'QoE PF Adj. P&amp;L Aug-26'!$C$11:$C$108,0),MATCH(Q$8,'QoE PF Adj. P&amp;L Aug-26'!$D$8:$AI$8,0))*1000</f>
        <v>1100</v>
      </c>
      <c r="R80" s="10">
        <f>+INDEX('QoE PF Adj. P&amp;L Aug-26'!$D$11:$AI$108,MATCH($C80,'QoE PF Adj. P&amp;L Aug-26'!$C$11:$C$108,0),MATCH(R$8,'QoE PF Adj. P&amp;L Aug-26'!$D$8:$AI$8,0))*1000</f>
        <v>1000</v>
      </c>
      <c r="S80" s="10">
        <f>+INDEX('QoE PF Adj. P&amp;L Aug-26'!$D$11:$AI$108,MATCH($C80,'QoE PF Adj. P&amp;L Aug-26'!$C$11:$C$108,0),MATCH(S$8,'QoE PF Adj. P&amp;L Aug-26'!$D$8:$AI$8,0))*1000</f>
        <v>1100</v>
      </c>
      <c r="T80" s="10">
        <f>+INDEX('QoE PF Adj. P&amp;L Aug-26'!$D$11:$AI$108,MATCH($C80,'QoE PF Adj. P&amp;L Aug-26'!$C$11:$C$108,0),MATCH(T$8,'QoE PF Adj. P&amp;L Aug-26'!$D$8:$AI$8,0))*1000</f>
        <v>1100</v>
      </c>
      <c r="U80" s="10">
        <f>+INDEX('QoE PF Adj. P&amp;L Aug-26'!$D$11:$AI$108,MATCH($C80,'QoE PF Adj. P&amp;L Aug-26'!$C$11:$C$108,0),MATCH(U$8,'QoE PF Adj. P&amp;L Aug-26'!$D$8:$AI$8,0))*1000</f>
        <v>1100</v>
      </c>
      <c r="V80" s="10">
        <f>+INDEX('QoE PF Adj. P&amp;L Aug-26'!$D$11:$AI$108,MATCH($C80,'QoE PF Adj. P&amp;L Aug-26'!$C$11:$C$108,0),MATCH(V$8,'QoE PF Adj. P&amp;L Aug-26'!$D$8:$AI$8,0))*1000</f>
        <v>1100</v>
      </c>
      <c r="W80" s="10">
        <f>+INDEX('QoE PF Adj. P&amp;L Aug-26'!$D$11:$AI$108,MATCH($C80,'QoE PF Adj. P&amp;L Aug-26'!$C$11:$C$108,0),MATCH(W$8,'QoE PF Adj. P&amp;L Aug-26'!$D$8:$AI$8,0))*1000</f>
        <v>1200</v>
      </c>
      <c r="X80" s="10">
        <f>+INDEX('QoE PF Adj. P&amp;L Aug-26'!$D$11:$AI$108,MATCH($C80,'QoE PF Adj. P&amp;L Aug-26'!$C$11:$C$108,0),MATCH(X$8,'QoE PF Adj. P&amp;L Aug-26'!$D$8:$AI$8,0))*1000</f>
        <v>1000</v>
      </c>
      <c r="Y80" s="10">
        <f>+INDEX('QoE PF Adj. P&amp;L Aug-26'!$D$11:$AI$108,MATCH($C80,'QoE PF Adj. P&amp;L Aug-26'!$C$11:$C$108,0),MATCH(Y$8,'QoE PF Adj. P&amp;L Aug-26'!$D$8:$AI$8,0))*1000</f>
        <v>1100</v>
      </c>
      <c r="Z80" s="10">
        <f>+INDEX('QoE PF Adj. P&amp;L Aug-26'!$D$11:$AI$108,MATCH($C80,'QoE PF Adj. P&amp;L Aug-26'!$C$11:$C$108,0),MATCH(Z$8,'QoE PF Adj. P&amp;L Aug-26'!$D$8:$AI$8,0))*1000</f>
        <v>1100</v>
      </c>
      <c r="AA80" s="10">
        <f>+INDEX('QoE PF Adj. P&amp;L Aug-26'!$D$11:$AI$108,MATCH($C80,'QoE PF Adj. P&amp;L Aug-26'!$C$11:$C$108,0),MATCH(AA$8,'QoE PF Adj. P&amp;L Aug-26'!$D$8:$AI$8,0))*1000</f>
        <v>1200</v>
      </c>
      <c r="AB80" s="10">
        <f>+INDEX('QoE PF Adj. P&amp;L Aug-26'!$D$11:$AI$108,MATCH($C80,'QoE PF Adj. P&amp;L Aug-26'!$C$11:$C$108,0),MATCH(AB$8,'QoE PF Adj. P&amp;L Aug-26'!$D$8:$AI$8,0))*1000</f>
        <v>1200</v>
      </c>
      <c r="AC80" s="10">
        <f>+INDEX('QoE PF Adj. P&amp;L Aug-26'!$D$11:$AI$108,MATCH($C80,'QoE PF Adj. P&amp;L Aug-26'!$C$11:$C$108,0),MATCH(AC$8,'QoE PF Adj. P&amp;L Aug-26'!$D$8:$AI$8,0))*1000</f>
        <v>1200</v>
      </c>
      <c r="AD80" s="10">
        <f>+INDEX('QoE PF Adj. P&amp;L Aug-26'!$D$11:$AI$108,MATCH($C80,'QoE PF Adj. P&amp;L Aug-26'!$C$11:$C$108,0),MATCH(AD$8,'QoE PF Adj. P&amp;L Aug-26'!$D$8:$AI$8,0))*1000</f>
        <v>1200</v>
      </c>
      <c r="AE80" s="10">
        <f>+INDEX('QoE PF Adj. P&amp;L Aug-26'!$D$11:$AI$108,MATCH($C80,'QoE PF Adj. P&amp;L Aug-26'!$C$11:$C$108,0),MATCH(AE$8,'QoE PF Adj. P&amp;L Aug-26'!$D$8:$AI$8,0))*1000</f>
        <v>1100</v>
      </c>
      <c r="AF80" s="10">
        <f>+INDEX('QoE PF Adj. P&amp;L Aug-26'!$D$11:$AI$108,MATCH($C80,'QoE PF Adj. P&amp;L Aug-26'!$C$11:$C$108,0),MATCH(AF$8,'QoE PF Adj. P&amp;L Aug-26'!$D$8:$AI$8,0))*1000</f>
        <v>1200</v>
      </c>
      <c r="AG80" s="10">
        <f>+INDEX('QoE PF Adj. P&amp;L Aug-26'!$D$11:$AI$108,MATCH($C80,'QoE PF Adj. P&amp;L Aug-26'!$C$11:$C$108,0),MATCH(AG$8,'QoE PF Adj. P&amp;L Aug-26'!$D$8:$AI$8,0))*1000</f>
        <v>1200</v>
      </c>
      <c r="AH80" s="10">
        <f>+INDEX('QoE PF Adj. P&amp;L Aug-26'!$D$11:$AI$108,MATCH($C80,'QoE PF Adj. P&amp;L Aug-26'!$C$11:$C$108,0),MATCH(AH$8,'QoE PF Adj. P&amp;L Aug-26'!$D$8:$AI$8,0))*1000</f>
        <v>1300</v>
      </c>
      <c r="AI80" s="10">
        <f>+INDEX('QoE PF Adj. P&amp;L Aug-26'!$D$11:$AI$108,MATCH($C80,'QoE PF Adj. P&amp;L Aug-26'!$C$11:$C$108,0),MATCH(AI$8,'QoE PF Adj. P&amp;L Aug-26'!$D$8:$AI$8,0))*1000</f>
        <v>1300</v>
      </c>
      <c r="AJ80" s="10">
        <f>+INDEX('QoE PF Adj. P&amp;L Aug-26'!$D$11:$AI$108,MATCH($C80,'QoE PF Adj. P&amp;L Aug-26'!$C$11:$C$108,0),MATCH(AJ$8,'QoE PF Adj. P&amp;L Aug-26'!$D$8:$AI$8,0))*1000</f>
        <v>1100</v>
      </c>
      <c r="AK80" s="10">
        <f>+INDEX('QoE PF Adj. P&amp;L Aug-26'!$D$11:$AI$108,MATCH($C80,'QoE PF Adj. P&amp;L Aug-26'!$C$11:$C$108,0),MATCH(AK$8,'QoE PF Adj. P&amp;L Aug-26'!$D$8:$AI$8,0))*1000</f>
        <v>1200</v>
      </c>
      <c r="AL80" s="10">
        <f>+INDEX('QoE PF Adj. P&amp;L Aug-26'!$D$11:$AI$108,MATCH($C80,'QoE PF Adj. P&amp;L Aug-26'!$C$11:$C$108,0),MATCH(AL$8,'QoE PF Adj. P&amp;L Aug-26'!$D$8:$AI$8,0))*1000</f>
        <v>1300</v>
      </c>
      <c r="AM80" s="10">
        <f>+INDEX('QoE PF Adj. P&amp;L Aug-26'!$D$11:$AI$108,MATCH($C80,'QoE PF Adj. P&amp;L Aug-26'!$C$11:$C$108,0),MATCH(AM$8,'QoE PF Adj. P&amp;L Aug-26'!$D$8:$AI$8,0))*1000</f>
        <v>1300</v>
      </c>
      <c r="AN80" s="10">
        <f>+INDEX('QoE PF Adj. P&amp;L Aug-26'!$D$11:$AI$108,MATCH($C80,'QoE PF Adj. P&amp;L Aug-26'!$C$11:$C$108,0),MATCH(AN$8,'QoE PF Adj. P&amp;L Aug-26'!$D$8:$AI$8,0))*1000</f>
        <v>1200</v>
      </c>
      <c r="AO80" s="10">
        <f>+INDEX('QoE PF Adj. P&amp;L Aug-26'!$D$11:$AI$108,MATCH($C80,'QoE PF Adj. P&amp;L Aug-26'!$C$11:$C$108,0),MATCH(AO$8,'QoE PF Adj. P&amp;L Aug-26'!$D$8:$AI$8,0))*1000</f>
        <v>1200</v>
      </c>
      <c r="AP80" s="10">
        <f>+SUMIFS('Sep - Nov P&amp;L'!I:I,'Sep - Nov P&amp;L'!$D:$D,$C80)</f>
        <v>0</v>
      </c>
      <c r="AQ80" s="10">
        <f>+SUMIFS('Sep - Nov P&amp;L'!J:J,'Sep - Nov P&amp;L'!$D:$D,$C80)</f>
        <v>0</v>
      </c>
      <c r="AR80" s="10">
        <f>+SUMIFS('Sep - Nov P&amp;L'!K:K,'Sep - Nov P&amp;L'!$D:$D,$C80)</f>
        <v>0</v>
      </c>
      <c r="AS80" s="20">
        <f>+AS188</f>
        <v>925</v>
      </c>
      <c r="AT80" s="20">
        <f>+AT188</f>
        <v>928.2375</v>
      </c>
      <c r="AU80" s="20">
        <f>+AU188</f>
        <v>931.48633125</v>
      </c>
      <c r="AV80" s="20">
        <f>+AV188</f>
        <v>934.746533409375</v>
      </c>
      <c r="AW80" s="20">
        <f>+AW188</f>
        <v>938.018146276308</v>
      </c>
      <c r="AX80" s="20">
        <f>+AX188</f>
        <v>941.301209788275</v>
      </c>
      <c r="AY80" s="20">
        <f>+AY188</f>
        <v>944.595764022534</v>
      </c>
      <c r="AZ80" s="20">
        <f>+AZ188</f>
        <v>947.901849196613</v>
      </c>
      <c r="BA80" s="20">
        <f>+BA188</f>
        <v>951.219505668801</v>
      </c>
      <c r="BB80" s="20">
        <f>+BB188</f>
        <v>954.548773938642</v>
      </c>
      <c r="BC80" s="20">
        <f>+BC188</f>
        <v>957.889694647428</v>
      </c>
      <c r="BD80" s="20">
        <f>+BD188</f>
        <v>961.242308578694</v>
      </c>
      <c r="BE80" s="20">
        <f>+BE188</f>
        <v>964.606656658719</v>
      </c>
      <c r="BF80" s="20">
        <f>+BF188</f>
        <v>967.982779957025</v>
      </c>
      <c r="BG80" s="20">
        <f>+BG188</f>
        <v>971.370719686875</v>
      </c>
      <c r="BH80" s="20">
        <f>+BH188</f>
        <v>974.770517205779</v>
      </c>
      <c r="BI80" s="20">
        <f>+BI188</f>
        <v>978.182214015999</v>
      </c>
      <c r="BJ80" s="20">
        <f>+BJ188</f>
        <v>981.605851765055</v>
      </c>
      <c r="BK80" s="20">
        <f>+BK188</f>
        <v>985.041472246233</v>
      </c>
      <c r="BL80" s="20">
        <f>+BL188</f>
        <v>988.489117399095</v>
      </c>
      <c r="BM80" s="20">
        <f>+BM188</f>
        <v>991.948829309992</v>
      </c>
      <c r="BN80" s="20">
        <f>+BN188</f>
        <v>995.420650212577</v>
      </c>
      <c r="BO80" s="20">
        <f>+BO188</f>
        <v>998.904622488321</v>
      </c>
      <c r="BP80" s="20">
        <f>+BP188</f>
        <v>1002.40078866703</v>
      </c>
      <c r="BQ80" s="20">
        <f>+BQ188</f>
        <v>1005.90919142736</v>
      </c>
    </row>
    <row r="81">
      <c r="C81" s="3" t="inlineStr">
        <is>
          <t>Mileage Reimbursement</t>
        </is>
      </c>
      <c r="D81" s="20">
        <f>+SUMIFS($J81:$BQ81,$J$7:$BQ$7,D$8)</f>
        <v>19600</v>
      </c>
      <c r="E81" s="20">
        <f>+SUMIFS($J81:$BQ81,$J$7:$BQ$7,E$8)</f>
        <v>21200</v>
      </c>
      <c r="F81" s="20">
        <f>+SUMIFS($J81:$BQ81,$J$7:$BQ$7,F$8)</f>
        <v>15975</v>
      </c>
      <c r="G81" s="20">
        <f>+SUMIFS($J81:$BQ81,$J$7:$BQ$7,G$8)</f>
        <v>16880.2347307823</v>
      </c>
      <c r="H81" s="20">
        <f>+SUMIFS($J81:$BQ81,$J$7:$BQ$7,H$8)</f>
        <v>17603.0127429993</v>
      </c>
      <c r="J81" s="10">
        <f>+INDEX('QoE PF Adj. P&amp;L Aug-26'!$D$11:$AI$108,MATCH($C81,'QoE PF Adj. P&amp;L Aug-26'!$C$11:$C$108,0),MATCH(J$8,'QoE PF Adj. P&amp;L Aug-26'!$D$8:$AI$8,0))*1000</f>
        <v>1600</v>
      </c>
      <c r="K81" s="10">
        <f>+INDEX('QoE PF Adj. P&amp;L Aug-26'!$D$11:$AI$108,MATCH($C81,'QoE PF Adj. P&amp;L Aug-26'!$C$11:$C$108,0),MATCH(K$8,'QoE PF Adj. P&amp;L Aug-26'!$D$8:$AI$8,0))*1000</f>
        <v>1600</v>
      </c>
      <c r="L81" s="10">
        <f>+INDEX('QoE PF Adj. P&amp;L Aug-26'!$D$11:$AI$108,MATCH($C81,'QoE PF Adj. P&amp;L Aug-26'!$C$11:$C$108,0),MATCH(L$8,'QoE PF Adj. P&amp;L Aug-26'!$D$8:$AI$8,0))*1000</f>
        <v>1600</v>
      </c>
      <c r="M81" s="10">
        <f>+INDEX('QoE PF Adj. P&amp;L Aug-26'!$D$11:$AI$108,MATCH($C81,'QoE PF Adj. P&amp;L Aug-26'!$C$11:$C$108,0),MATCH(M$8,'QoE PF Adj. P&amp;L Aug-26'!$D$8:$AI$8,0))*1000</f>
        <v>1500</v>
      </c>
      <c r="N81" s="10">
        <f>+INDEX('QoE PF Adj. P&amp;L Aug-26'!$D$11:$AI$108,MATCH($C81,'QoE PF Adj. P&amp;L Aug-26'!$C$11:$C$108,0),MATCH(N$8,'QoE PF Adj. P&amp;L Aug-26'!$D$8:$AI$8,0))*1000</f>
        <v>1600</v>
      </c>
      <c r="O81" s="10">
        <f>+INDEX('QoE PF Adj. P&amp;L Aug-26'!$D$11:$AI$108,MATCH($C81,'QoE PF Adj. P&amp;L Aug-26'!$C$11:$C$108,0),MATCH(O$8,'QoE PF Adj. P&amp;L Aug-26'!$D$8:$AI$8,0))*1000</f>
        <v>1600</v>
      </c>
      <c r="P81" s="10">
        <f>+INDEX('QoE PF Adj. P&amp;L Aug-26'!$D$11:$AI$108,MATCH($C81,'QoE PF Adj. P&amp;L Aug-26'!$C$11:$C$108,0),MATCH(P$8,'QoE PF Adj. P&amp;L Aug-26'!$D$8:$AI$8,0))*1000</f>
        <v>1700</v>
      </c>
      <c r="Q81" s="10">
        <f>+INDEX('QoE PF Adj. P&amp;L Aug-26'!$D$11:$AI$108,MATCH($C81,'QoE PF Adj. P&amp;L Aug-26'!$C$11:$C$108,0),MATCH(Q$8,'QoE PF Adj. P&amp;L Aug-26'!$D$8:$AI$8,0))*1000</f>
        <v>1700</v>
      </c>
      <c r="R81" s="10">
        <f>+INDEX('QoE PF Adj. P&amp;L Aug-26'!$D$11:$AI$108,MATCH($C81,'QoE PF Adj. P&amp;L Aug-26'!$C$11:$C$108,0),MATCH(R$8,'QoE PF Adj. P&amp;L Aug-26'!$D$8:$AI$8,0))*1000</f>
        <v>1700</v>
      </c>
      <c r="S81" s="10">
        <f>+INDEX('QoE PF Adj. P&amp;L Aug-26'!$D$11:$AI$108,MATCH($C81,'QoE PF Adj. P&amp;L Aug-26'!$C$11:$C$108,0),MATCH(S$8,'QoE PF Adj. P&amp;L Aug-26'!$D$8:$AI$8,0))*1000</f>
        <v>1700</v>
      </c>
      <c r="T81" s="10">
        <f>+INDEX('QoE PF Adj. P&amp;L Aug-26'!$D$11:$AI$108,MATCH($C81,'QoE PF Adj. P&amp;L Aug-26'!$C$11:$C$108,0),MATCH(T$8,'QoE PF Adj. P&amp;L Aug-26'!$D$8:$AI$8,0))*1000</f>
        <v>1600</v>
      </c>
      <c r="U81" s="10">
        <f>+INDEX('QoE PF Adj. P&amp;L Aug-26'!$D$11:$AI$108,MATCH($C81,'QoE PF Adj. P&amp;L Aug-26'!$C$11:$C$108,0),MATCH(U$8,'QoE PF Adj. P&amp;L Aug-26'!$D$8:$AI$8,0))*1000</f>
        <v>1700</v>
      </c>
      <c r="V81" s="10">
        <f>+INDEX('QoE PF Adj. P&amp;L Aug-26'!$D$11:$AI$108,MATCH($C81,'QoE PF Adj. P&amp;L Aug-26'!$C$11:$C$108,0),MATCH(V$8,'QoE PF Adj. P&amp;L Aug-26'!$D$8:$AI$8,0))*1000</f>
        <v>1700</v>
      </c>
      <c r="W81" s="10">
        <f>+INDEX('QoE PF Adj. P&amp;L Aug-26'!$D$11:$AI$108,MATCH($C81,'QoE PF Adj. P&amp;L Aug-26'!$C$11:$C$108,0),MATCH(W$8,'QoE PF Adj. P&amp;L Aug-26'!$D$8:$AI$8,0))*1000</f>
        <v>1700</v>
      </c>
      <c r="X81" s="10">
        <f>+INDEX('QoE PF Adj. P&amp;L Aug-26'!$D$11:$AI$108,MATCH($C81,'QoE PF Adj. P&amp;L Aug-26'!$C$11:$C$108,0),MATCH(X$8,'QoE PF Adj. P&amp;L Aug-26'!$D$8:$AI$8,0))*1000</f>
        <v>1700</v>
      </c>
      <c r="Y81" s="10">
        <f>+INDEX('QoE PF Adj. P&amp;L Aug-26'!$D$11:$AI$108,MATCH($C81,'QoE PF Adj. P&amp;L Aug-26'!$C$11:$C$108,0),MATCH(Y$8,'QoE PF Adj. P&amp;L Aug-26'!$D$8:$AI$8,0))*1000</f>
        <v>1600</v>
      </c>
      <c r="Z81" s="10">
        <f>+INDEX('QoE PF Adj. P&amp;L Aug-26'!$D$11:$AI$108,MATCH($C81,'QoE PF Adj. P&amp;L Aug-26'!$C$11:$C$108,0),MATCH(Z$8,'QoE PF Adj. P&amp;L Aug-26'!$D$8:$AI$8,0))*1000</f>
        <v>1800</v>
      </c>
      <c r="AA81" s="10">
        <f>+INDEX('QoE PF Adj. P&amp;L Aug-26'!$D$11:$AI$108,MATCH($C81,'QoE PF Adj. P&amp;L Aug-26'!$C$11:$C$108,0),MATCH(AA$8,'QoE PF Adj. P&amp;L Aug-26'!$D$8:$AI$8,0))*1000</f>
        <v>1800</v>
      </c>
      <c r="AB81" s="10">
        <f>+INDEX('QoE PF Adj. P&amp;L Aug-26'!$D$11:$AI$108,MATCH($C81,'QoE PF Adj. P&amp;L Aug-26'!$C$11:$C$108,0),MATCH(AB$8,'QoE PF Adj. P&amp;L Aug-26'!$D$8:$AI$8,0))*1000</f>
        <v>1800</v>
      </c>
      <c r="AC81" s="10">
        <f>+INDEX('QoE PF Adj. P&amp;L Aug-26'!$D$11:$AI$108,MATCH($C81,'QoE PF Adj. P&amp;L Aug-26'!$C$11:$C$108,0),MATCH(AC$8,'QoE PF Adj. P&amp;L Aug-26'!$D$8:$AI$8,0))*1000</f>
        <v>1700</v>
      </c>
      <c r="AD81" s="10">
        <f>+INDEX('QoE PF Adj. P&amp;L Aug-26'!$D$11:$AI$108,MATCH($C81,'QoE PF Adj. P&amp;L Aug-26'!$C$11:$C$108,0),MATCH(AD$8,'QoE PF Adj. P&amp;L Aug-26'!$D$8:$AI$8,0))*1000</f>
        <v>1900</v>
      </c>
      <c r="AE81" s="10">
        <f>+INDEX('QoE PF Adj. P&amp;L Aug-26'!$D$11:$AI$108,MATCH($C81,'QoE PF Adj. P&amp;L Aug-26'!$C$11:$C$108,0),MATCH(AE$8,'QoE PF Adj. P&amp;L Aug-26'!$D$8:$AI$8,0))*1000</f>
        <v>1700</v>
      </c>
      <c r="AF81" s="10">
        <f>+INDEX('QoE PF Adj. P&amp;L Aug-26'!$D$11:$AI$108,MATCH($C81,'QoE PF Adj. P&amp;L Aug-26'!$C$11:$C$108,0),MATCH(AF$8,'QoE PF Adj. P&amp;L Aug-26'!$D$8:$AI$8,0))*1000</f>
        <v>1900</v>
      </c>
      <c r="AG81" s="10">
        <f>+INDEX('QoE PF Adj. P&amp;L Aug-26'!$D$11:$AI$108,MATCH($C81,'QoE PF Adj. P&amp;L Aug-26'!$C$11:$C$108,0),MATCH(AG$8,'QoE PF Adj. P&amp;L Aug-26'!$D$8:$AI$8,0))*1000</f>
        <v>1900</v>
      </c>
      <c r="AH81" s="10">
        <f>+INDEX('QoE PF Adj. P&amp;L Aug-26'!$D$11:$AI$108,MATCH($C81,'QoE PF Adj. P&amp;L Aug-26'!$C$11:$C$108,0),MATCH(AH$8,'QoE PF Adj. P&amp;L Aug-26'!$D$8:$AI$8,0))*1000</f>
        <v>1700</v>
      </c>
      <c r="AI81" s="10">
        <f>+INDEX('QoE PF Adj. P&amp;L Aug-26'!$D$11:$AI$108,MATCH($C81,'QoE PF Adj. P&amp;L Aug-26'!$C$11:$C$108,0),MATCH(AI$8,'QoE PF Adj. P&amp;L Aug-26'!$D$8:$AI$8,0))*1000</f>
        <v>1900</v>
      </c>
      <c r="AJ81" s="10">
        <f>+INDEX('QoE PF Adj. P&amp;L Aug-26'!$D$11:$AI$108,MATCH($C81,'QoE PF Adj. P&amp;L Aug-26'!$C$11:$C$108,0),MATCH(AJ$8,'QoE PF Adj. P&amp;L Aug-26'!$D$8:$AI$8,0))*1000</f>
        <v>1900</v>
      </c>
      <c r="AK81" s="10">
        <f>+INDEX('QoE PF Adj. P&amp;L Aug-26'!$D$11:$AI$108,MATCH($C81,'QoE PF Adj. P&amp;L Aug-26'!$C$11:$C$108,0),MATCH(AK$8,'QoE PF Adj. P&amp;L Aug-26'!$D$8:$AI$8,0))*1000</f>
        <v>1800</v>
      </c>
      <c r="AL81" s="10">
        <f>+INDEX('QoE PF Adj. P&amp;L Aug-26'!$D$11:$AI$108,MATCH($C81,'QoE PF Adj. P&amp;L Aug-26'!$C$11:$C$108,0),MATCH(AL$8,'QoE PF Adj. P&amp;L Aug-26'!$D$8:$AI$8,0))*1000</f>
        <v>1900</v>
      </c>
      <c r="AM81" s="10">
        <f>+INDEX('QoE PF Adj. P&amp;L Aug-26'!$D$11:$AI$108,MATCH($C81,'QoE PF Adj. P&amp;L Aug-26'!$C$11:$C$108,0),MATCH(AM$8,'QoE PF Adj. P&amp;L Aug-26'!$D$8:$AI$8,0))*1000</f>
        <v>1700</v>
      </c>
      <c r="AN81" s="10">
        <f>+INDEX('QoE PF Adj. P&amp;L Aug-26'!$D$11:$AI$108,MATCH($C81,'QoE PF Adj. P&amp;L Aug-26'!$C$11:$C$108,0),MATCH(AN$8,'QoE PF Adj. P&amp;L Aug-26'!$D$8:$AI$8,0))*1000</f>
        <v>1800</v>
      </c>
      <c r="AO81" s="10">
        <f>+INDEX('QoE PF Adj. P&amp;L Aug-26'!$D$11:$AI$108,MATCH($C81,'QoE PF Adj. P&amp;L Aug-26'!$C$11:$C$108,0),MATCH(AO$8,'QoE PF Adj. P&amp;L Aug-26'!$D$8:$AI$8,0))*1000</f>
        <v>1900</v>
      </c>
      <c r="AP81" s="10">
        <f>+SUMIFS('Sep - Nov P&amp;L'!I:I,'Sep - Nov P&amp;L'!$D:$D,$C81)</f>
        <v>0</v>
      </c>
      <c r="AQ81" s="10">
        <f>+SUMIFS('Sep - Nov P&amp;L'!J:J,'Sep - Nov P&amp;L'!$D:$D,$C81)</f>
        <v>0</v>
      </c>
      <c r="AR81" s="10">
        <f>+SUMIFS('Sep - Nov P&amp;L'!K:K,'Sep - Nov P&amp;L'!$D:$D,$C81)</f>
        <v>0</v>
      </c>
      <c r="AS81" s="20">
        <f>+AS189</f>
        <v>1375</v>
      </c>
      <c r="AT81" s="20">
        <f>+AT189</f>
        <v>1379.8125</v>
      </c>
      <c r="AU81" s="20">
        <f>+AU189</f>
        <v>1384.64184375</v>
      </c>
      <c r="AV81" s="20">
        <f>+AV189</f>
        <v>1389.48809020313</v>
      </c>
      <c r="AW81" s="20">
        <f>+AW189</f>
        <v>1394.35129851884</v>
      </c>
      <c r="AX81" s="20">
        <f>+AX189</f>
        <v>1399.23152806365</v>
      </c>
      <c r="AY81" s="20">
        <f>+AY189</f>
        <v>1404.12883841188</v>
      </c>
      <c r="AZ81" s="20">
        <f>+AZ189</f>
        <v>1409.04328934632</v>
      </c>
      <c r="BA81" s="20">
        <f>+BA189</f>
        <v>1413.97494085903</v>
      </c>
      <c r="BB81" s="20">
        <f>+BB189</f>
        <v>1418.92385315204</v>
      </c>
      <c r="BC81" s="20">
        <f>+BC189</f>
        <v>1423.89008663807</v>
      </c>
      <c r="BD81" s="20">
        <f>+BD189</f>
        <v>1428.8737019413</v>
      </c>
      <c r="BE81" s="20">
        <f>+BE189</f>
        <v>1433.8747598981</v>
      </c>
      <c r="BF81" s="20">
        <f>+BF189</f>
        <v>1438.89332155774</v>
      </c>
      <c r="BG81" s="20">
        <f>+BG189</f>
        <v>1443.92944818319</v>
      </c>
      <c r="BH81" s="20">
        <f>+BH189</f>
        <v>1448.98320125183</v>
      </c>
      <c r="BI81" s="20">
        <f>+BI189</f>
        <v>1454.05464245621</v>
      </c>
      <c r="BJ81" s="20">
        <f>+BJ189</f>
        <v>1459.14383370481</v>
      </c>
      <c r="BK81" s="20">
        <f>+BK189</f>
        <v>1464.25083712278</v>
      </c>
      <c r="BL81" s="20">
        <f>+BL189</f>
        <v>1469.37571505271</v>
      </c>
      <c r="BM81" s="20">
        <f>+BM189</f>
        <v>1474.51853005539</v>
      </c>
      <c r="BN81" s="20">
        <f>+BN189</f>
        <v>1479.67934491059</v>
      </c>
      <c r="BO81" s="20">
        <f>+BO189</f>
        <v>1484.85822261777</v>
      </c>
      <c r="BP81" s="20">
        <f>+BP189</f>
        <v>1490.05522639694</v>
      </c>
      <c r="BQ81" s="20">
        <f>+BQ189</f>
        <v>1495.27041968933</v>
      </c>
    </row>
    <row r="82">
      <c r="C82" s="3" t="inlineStr">
        <is>
          <t>Office Expense, Supplies &amp; Postage</t>
        </is>
      </c>
      <c r="D82" s="20">
        <f>+SUMIFS($J82:$BQ82,$J$7:$BQ$7,D$8)</f>
        <v>44400</v>
      </c>
      <c r="E82" s="20">
        <f>+SUMIFS($J82:$BQ82,$J$7:$BQ$7,E$8)</f>
        <v>48000</v>
      </c>
      <c r="F82" s="20">
        <f>+SUMIFS($J82:$BQ82,$J$7:$BQ$7,F$8)</f>
        <v>51004.0691666667</v>
      </c>
      <c r="G82" s="20">
        <f>+SUMIFS($J82:$BQ82,$J$7:$BQ$7,G$8)</f>
        <v>52226.3311385038</v>
      </c>
      <c r="H82" s="20">
        <f>+SUMIFS($J82:$BQ82,$J$7:$BQ$7,H$8)</f>
        <v>54462.5585611495</v>
      </c>
      <c r="J82" s="10">
        <f>+INDEX('QoE PF Adj. P&amp;L Aug-26'!$D$11:$AI$108,MATCH($C82,'QoE PF Adj. P&amp;L Aug-26'!$C$11:$C$108,0),MATCH(J$8,'QoE PF Adj. P&amp;L Aug-26'!$D$8:$AI$8,0))*1000</f>
        <v>3600</v>
      </c>
      <c r="K82" s="10">
        <f>+INDEX('QoE PF Adj. P&amp;L Aug-26'!$D$11:$AI$108,MATCH($C82,'QoE PF Adj. P&amp;L Aug-26'!$C$11:$C$108,0),MATCH(K$8,'QoE PF Adj. P&amp;L Aug-26'!$D$8:$AI$8,0))*1000</f>
        <v>3600</v>
      </c>
      <c r="L82" s="10">
        <f>+INDEX('QoE PF Adj. P&amp;L Aug-26'!$D$11:$AI$108,MATCH($C82,'QoE PF Adj. P&amp;L Aug-26'!$C$11:$C$108,0),MATCH(L$8,'QoE PF Adj. P&amp;L Aug-26'!$D$8:$AI$8,0))*1000</f>
        <v>3700</v>
      </c>
      <c r="M82" s="10">
        <f>+INDEX('QoE PF Adj. P&amp;L Aug-26'!$D$11:$AI$108,MATCH($C82,'QoE PF Adj. P&amp;L Aug-26'!$C$11:$C$108,0),MATCH(M$8,'QoE PF Adj. P&amp;L Aug-26'!$D$8:$AI$8,0))*1000</f>
        <v>3800</v>
      </c>
      <c r="N82" s="10">
        <f>+INDEX('QoE PF Adj. P&amp;L Aug-26'!$D$11:$AI$108,MATCH($C82,'QoE PF Adj. P&amp;L Aug-26'!$C$11:$C$108,0),MATCH(N$8,'QoE PF Adj. P&amp;L Aug-26'!$D$8:$AI$8,0))*1000</f>
        <v>3500</v>
      </c>
      <c r="O82" s="10">
        <f>+INDEX('QoE PF Adj. P&amp;L Aug-26'!$D$11:$AI$108,MATCH($C82,'QoE PF Adj. P&amp;L Aug-26'!$C$11:$C$108,0),MATCH(O$8,'QoE PF Adj. P&amp;L Aug-26'!$D$8:$AI$8,0))*1000</f>
        <v>3700</v>
      </c>
      <c r="P82" s="10">
        <f>+INDEX('QoE PF Adj. P&amp;L Aug-26'!$D$11:$AI$108,MATCH($C82,'QoE PF Adj. P&amp;L Aug-26'!$C$11:$C$108,0),MATCH(P$8,'QoE PF Adj. P&amp;L Aug-26'!$D$8:$AI$8,0))*1000</f>
        <v>3800</v>
      </c>
      <c r="Q82" s="10">
        <f>+INDEX('QoE PF Adj. P&amp;L Aug-26'!$D$11:$AI$108,MATCH($C82,'QoE PF Adj. P&amp;L Aug-26'!$C$11:$C$108,0),MATCH(Q$8,'QoE PF Adj. P&amp;L Aug-26'!$D$8:$AI$8,0))*1000</f>
        <v>3600</v>
      </c>
      <c r="R82" s="10">
        <f>+INDEX('QoE PF Adj. P&amp;L Aug-26'!$D$11:$AI$108,MATCH($C82,'QoE PF Adj. P&amp;L Aug-26'!$C$11:$C$108,0),MATCH(R$8,'QoE PF Adj. P&amp;L Aug-26'!$D$8:$AI$8,0))*1000</f>
        <v>3600</v>
      </c>
      <c r="S82" s="10">
        <f>+INDEX('QoE PF Adj. P&amp;L Aug-26'!$D$11:$AI$108,MATCH($C82,'QoE PF Adj. P&amp;L Aug-26'!$C$11:$C$108,0),MATCH(S$8,'QoE PF Adj. P&amp;L Aug-26'!$D$8:$AI$8,0))*1000</f>
        <v>4000</v>
      </c>
      <c r="T82" s="10">
        <f>+INDEX('QoE PF Adj. P&amp;L Aug-26'!$D$11:$AI$108,MATCH($C82,'QoE PF Adj. P&amp;L Aug-26'!$C$11:$C$108,0),MATCH(T$8,'QoE PF Adj. P&amp;L Aug-26'!$D$8:$AI$8,0))*1000</f>
        <v>3700</v>
      </c>
      <c r="U82" s="10">
        <f>+INDEX('QoE PF Adj. P&amp;L Aug-26'!$D$11:$AI$108,MATCH($C82,'QoE PF Adj. P&amp;L Aug-26'!$C$11:$C$108,0),MATCH(U$8,'QoE PF Adj. P&amp;L Aug-26'!$D$8:$AI$8,0))*1000</f>
        <v>3800</v>
      </c>
      <c r="V82" s="10">
        <f>+INDEX('QoE PF Adj. P&amp;L Aug-26'!$D$11:$AI$108,MATCH($C82,'QoE PF Adj. P&amp;L Aug-26'!$C$11:$C$108,0),MATCH(V$8,'QoE PF Adj. P&amp;L Aug-26'!$D$8:$AI$8,0))*1000</f>
        <v>4000</v>
      </c>
      <c r="W82" s="10">
        <f>+INDEX('QoE PF Adj. P&amp;L Aug-26'!$D$11:$AI$108,MATCH($C82,'QoE PF Adj. P&amp;L Aug-26'!$C$11:$C$108,0),MATCH(W$8,'QoE PF Adj. P&amp;L Aug-26'!$D$8:$AI$8,0))*1000</f>
        <v>3700</v>
      </c>
      <c r="X82" s="10">
        <f>+INDEX('QoE PF Adj. P&amp;L Aug-26'!$D$11:$AI$108,MATCH($C82,'QoE PF Adj. P&amp;L Aug-26'!$C$11:$C$108,0),MATCH(X$8,'QoE PF Adj. P&amp;L Aug-26'!$D$8:$AI$8,0))*1000</f>
        <v>4100</v>
      </c>
      <c r="Y82" s="10">
        <f>+INDEX('QoE PF Adj. P&amp;L Aug-26'!$D$11:$AI$108,MATCH($C82,'QoE PF Adj. P&amp;L Aug-26'!$C$11:$C$108,0),MATCH(Y$8,'QoE PF Adj. P&amp;L Aug-26'!$D$8:$AI$8,0))*1000</f>
        <v>3800</v>
      </c>
      <c r="Z82" s="10">
        <f>+INDEX('QoE PF Adj. P&amp;L Aug-26'!$D$11:$AI$108,MATCH($C82,'QoE PF Adj. P&amp;L Aug-26'!$C$11:$C$108,0),MATCH(Z$8,'QoE PF Adj. P&amp;L Aug-26'!$D$8:$AI$8,0))*1000</f>
        <v>3700</v>
      </c>
      <c r="AA82" s="10">
        <f>+INDEX('QoE PF Adj. P&amp;L Aug-26'!$D$11:$AI$108,MATCH($C82,'QoE PF Adj. P&amp;L Aug-26'!$C$11:$C$108,0),MATCH(AA$8,'QoE PF Adj. P&amp;L Aug-26'!$D$8:$AI$8,0))*1000</f>
        <v>4000</v>
      </c>
      <c r="AB82" s="10">
        <f>+INDEX('QoE PF Adj. P&amp;L Aug-26'!$D$11:$AI$108,MATCH($C82,'QoE PF Adj. P&amp;L Aug-26'!$C$11:$C$108,0),MATCH(AB$8,'QoE PF Adj. P&amp;L Aug-26'!$D$8:$AI$8,0))*1000</f>
        <v>4100</v>
      </c>
      <c r="AC82" s="10">
        <f>+INDEX('QoE PF Adj. P&amp;L Aug-26'!$D$11:$AI$108,MATCH($C82,'QoE PF Adj. P&amp;L Aug-26'!$C$11:$C$108,0),MATCH(AC$8,'QoE PF Adj. P&amp;L Aug-26'!$D$8:$AI$8,0))*1000</f>
        <v>4300</v>
      </c>
      <c r="AD82" s="10">
        <f>+INDEX('QoE PF Adj. P&amp;L Aug-26'!$D$11:$AI$108,MATCH($C82,'QoE PF Adj. P&amp;L Aug-26'!$C$11:$C$108,0),MATCH(AD$8,'QoE PF Adj. P&amp;L Aug-26'!$D$8:$AI$8,0))*1000</f>
        <v>4000</v>
      </c>
      <c r="AE82" s="10">
        <f>+INDEX('QoE PF Adj. P&amp;L Aug-26'!$D$11:$AI$108,MATCH($C82,'QoE PF Adj. P&amp;L Aug-26'!$C$11:$C$108,0),MATCH(AE$8,'QoE PF Adj. P&amp;L Aug-26'!$D$8:$AI$8,0))*1000</f>
        <v>3900</v>
      </c>
      <c r="AF82" s="10">
        <f>+INDEX('QoE PF Adj. P&amp;L Aug-26'!$D$11:$AI$108,MATCH($C82,'QoE PF Adj. P&amp;L Aug-26'!$C$11:$C$108,0),MATCH(AF$8,'QoE PF Adj. P&amp;L Aug-26'!$D$8:$AI$8,0))*1000</f>
        <v>4100</v>
      </c>
      <c r="AG82" s="10">
        <f>+INDEX('QoE PF Adj. P&amp;L Aug-26'!$D$11:$AI$108,MATCH($C82,'QoE PF Adj. P&amp;L Aug-26'!$C$11:$C$108,0),MATCH(AG$8,'QoE PF Adj. P&amp;L Aug-26'!$D$8:$AI$8,0))*1000</f>
        <v>4300</v>
      </c>
      <c r="AH82" s="10">
        <f>+INDEX('QoE PF Adj. P&amp;L Aug-26'!$D$11:$AI$108,MATCH($C82,'QoE PF Adj. P&amp;L Aug-26'!$C$11:$C$108,0),MATCH(AH$8,'QoE PF Adj. P&amp;L Aug-26'!$D$8:$AI$8,0))*1000</f>
        <v>3900</v>
      </c>
      <c r="AI82" s="10">
        <f>+INDEX('QoE PF Adj. P&amp;L Aug-26'!$D$11:$AI$108,MATCH($C82,'QoE PF Adj. P&amp;L Aug-26'!$C$11:$C$108,0),MATCH(AI$8,'QoE PF Adj. P&amp;L Aug-26'!$D$8:$AI$8,0))*1000</f>
        <v>4200</v>
      </c>
      <c r="AJ82" s="10">
        <f>+INDEX('QoE PF Adj. P&amp;L Aug-26'!$D$11:$AI$108,MATCH($C82,'QoE PF Adj. P&amp;L Aug-26'!$C$11:$C$108,0),MATCH(AJ$8,'QoE PF Adj. P&amp;L Aug-26'!$D$8:$AI$8,0))*1000</f>
        <v>4200</v>
      </c>
      <c r="AK82" s="10">
        <f>+INDEX('QoE PF Adj. P&amp;L Aug-26'!$D$11:$AI$108,MATCH($C82,'QoE PF Adj. P&amp;L Aug-26'!$C$11:$C$108,0),MATCH(AK$8,'QoE PF Adj. P&amp;L Aug-26'!$D$8:$AI$8,0))*1000</f>
        <v>4500</v>
      </c>
      <c r="AL82" s="10">
        <f>+INDEX('QoE PF Adj. P&amp;L Aug-26'!$D$11:$AI$108,MATCH($C82,'QoE PF Adj. P&amp;L Aug-26'!$C$11:$C$108,0),MATCH(AL$8,'QoE PF Adj. P&amp;L Aug-26'!$D$8:$AI$8,0))*1000</f>
        <v>4200</v>
      </c>
      <c r="AM82" s="10">
        <f>+INDEX('QoE PF Adj. P&amp;L Aug-26'!$D$11:$AI$108,MATCH($C82,'QoE PF Adj. P&amp;L Aug-26'!$C$11:$C$108,0),MATCH(AM$8,'QoE PF Adj. P&amp;L Aug-26'!$D$8:$AI$8,0))*1000</f>
        <v>4000</v>
      </c>
      <c r="AN82" s="10">
        <f>+INDEX('QoE PF Adj. P&amp;L Aug-26'!$D$11:$AI$108,MATCH($C82,'QoE PF Adj. P&amp;L Aug-26'!$C$11:$C$108,0),MATCH(AN$8,'QoE PF Adj. P&amp;L Aug-26'!$D$8:$AI$8,0))*1000</f>
        <v>4000</v>
      </c>
      <c r="AO82" s="10">
        <f>+INDEX('QoE PF Adj. P&amp;L Aug-26'!$D$11:$AI$108,MATCH($C82,'QoE PF Adj. P&amp;L Aug-26'!$C$11:$C$108,0),MATCH(AO$8,'QoE PF Adj. P&amp;L Aug-26'!$D$8:$AI$8,0))*1000</f>
        <v>4500</v>
      </c>
      <c r="AP82" s="10">
        <f>+SUMIFS('Sep - Nov P&amp;L'!I:I,'Sep - Nov P&amp;L'!$D:$D,$C82)</f>
        <v>4409.7</v>
      </c>
      <c r="AQ82" s="10">
        <f>+SUMIFS('Sep - Nov P&amp;L'!J:J,'Sep - Nov P&amp;L'!$D:$D,$C82)</f>
        <v>4611.07</v>
      </c>
      <c r="AR82" s="10">
        <f>+SUMIFS('Sep - Nov P&amp;L'!K:K,'Sep - Nov P&amp;L'!$D:$D,$C82)</f>
        <v>4229.14</v>
      </c>
      <c r="AS82" s="20">
        <f>+AS190</f>
        <v>4254.15916666667</v>
      </c>
      <c r="AT82" s="20">
        <f>+AT190</f>
        <v>4269.04872375</v>
      </c>
      <c r="AU82" s="20">
        <f>+AU190</f>
        <v>4283.99039428313</v>
      </c>
      <c r="AV82" s="20">
        <f>+AV190</f>
        <v>4298.98436066312</v>
      </c>
      <c r="AW82" s="20">
        <f>+AW190</f>
        <v>4314.03080592544</v>
      </c>
      <c r="AX82" s="20">
        <f>+AX190</f>
        <v>4329.12991374618</v>
      </c>
      <c r="AY82" s="20">
        <f>+AY190</f>
        <v>4344.28186844429</v>
      </c>
      <c r="AZ82" s="20">
        <f>+AZ190</f>
        <v>4359.48685498385</v>
      </c>
      <c r="BA82" s="20">
        <f>+BA190</f>
        <v>4374.74505897629</v>
      </c>
      <c r="BB82" s="20">
        <f>+BB190</f>
        <v>4390.05666668271</v>
      </c>
      <c r="BC82" s="20">
        <f>+BC190</f>
        <v>4405.4218650161</v>
      </c>
      <c r="BD82" s="20">
        <f>+BD190</f>
        <v>4420.84084154365</v>
      </c>
      <c r="BE82" s="20">
        <f>+BE190</f>
        <v>4436.31378448905</v>
      </c>
      <c r="BF82" s="20">
        <f>+BF190</f>
        <v>4451.84088273477</v>
      </c>
      <c r="BG82" s="20">
        <f>+BG190</f>
        <v>4467.42232582434</v>
      </c>
      <c r="BH82" s="20">
        <f>+BH190</f>
        <v>4483.05830396472</v>
      </c>
      <c r="BI82" s="20">
        <f>+BI190</f>
        <v>4498.7490080286</v>
      </c>
      <c r="BJ82" s="20">
        <f>+BJ190</f>
        <v>4514.4946295567</v>
      </c>
      <c r="BK82" s="20">
        <f>+BK190</f>
        <v>4530.29536076015</v>
      </c>
      <c r="BL82" s="20">
        <f>+BL190</f>
        <v>4546.15139452281</v>
      </c>
      <c r="BM82" s="20">
        <f>+BM190</f>
        <v>4562.06292440364</v>
      </c>
      <c r="BN82" s="20">
        <f>+BN190</f>
        <v>4578.03014463905</v>
      </c>
      <c r="BO82" s="20">
        <f>+BO190</f>
        <v>4594.05325014529</v>
      </c>
      <c r="BP82" s="20">
        <f>+BP190</f>
        <v>4610.1324365208</v>
      </c>
      <c r="BQ82" s="20">
        <f>+BQ190</f>
        <v>4626.26790004862</v>
      </c>
    </row>
    <row r="83">
      <c r="C83" s="3" t="inlineStr">
        <is>
          <t>Other Operating Expenses</t>
        </is>
      </c>
      <c r="D83" s="20">
        <f>+SUMIFS($J83:$BQ83,$J$7:$BQ$7,D$8)</f>
        <v>38800</v>
      </c>
      <c r="E83" s="20">
        <f>+SUMIFS($J83:$BQ83,$J$7:$BQ$7,E$8)</f>
        <v>41300</v>
      </c>
      <c r="F83" s="20">
        <f>+SUMIFS($J83:$BQ83,$J$7:$BQ$7,F$8)</f>
        <v>96651.155</v>
      </c>
      <c r="G83" s="20">
        <f>+SUMIFS($J83:$BQ83,$J$7:$BQ$7,G$8)</f>
        <v>94577.622655047</v>
      </c>
      <c r="H83" s="20">
        <f>+SUMIFS($J83:$BQ83,$J$7:$BQ$7,H$8)</f>
        <v>98627.2479827187</v>
      </c>
      <c r="J83" s="10">
        <f>+INDEX('QoE PF Adj. P&amp;L Aug-26'!$D$11:$AI$108,MATCH($C83,'QoE PF Adj. P&amp;L Aug-26'!$C$11:$C$108,0),MATCH(J$8,'QoE PF Adj. P&amp;L Aug-26'!$D$8:$AI$8,0))*1000</f>
        <v>3300</v>
      </c>
      <c r="K83" s="10">
        <f>+INDEX('QoE PF Adj. P&amp;L Aug-26'!$D$11:$AI$108,MATCH($C83,'QoE PF Adj. P&amp;L Aug-26'!$C$11:$C$108,0),MATCH(K$8,'QoE PF Adj. P&amp;L Aug-26'!$D$8:$AI$8,0))*1000</f>
        <v>3400</v>
      </c>
      <c r="L83" s="10">
        <f>+INDEX('QoE PF Adj. P&amp;L Aug-26'!$D$11:$AI$108,MATCH($C83,'QoE PF Adj. P&amp;L Aug-26'!$C$11:$C$108,0),MATCH(L$8,'QoE PF Adj. P&amp;L Aug-26'!$D$8:$AI$8,0))*1000</f>
        <v>3200</v>
      </c>
      <c r="M83" s="10">
        <f>+INDEX('QoE PF Adj. P&amp;L Aug-26'!$D$11:$AI$108,MATCH($C83,'QoE PF Adj. P&amp;L Aug-26'!$C$11:$C$108,0),MATCH(M$8,'QoE PF Adj. P&amp;L Aug-26'!$D$8:$AI$8,0))*1000</f>
        <v>3300</v>
      </c>
      <c r="N83" s="10">
        <f>+INDEX('QoE PF Adj. P&amp;L Aug-26'!$D$11:$AI$108,MATCH($C83,'QoE PF Adj. P&amp;L Aug-26'!$C$11:$C$108,0),MATCH(N$8,'QoE PF Adj. P&amp;L Aug-26'!$D$8:$AI$8,0))*1000</f>
        <v>3100</v>
      </c>
      <c r="O83" s="10">
        <f>+INDEX('QoE PF Adj. P&amp;L Aug-26'!$D$11:$AI$108,MATCH($C83,'QoE PF Adj. P&amp;L Aug-26'!$C$11:$C$108,0),MATCH(O$8,'QoE PF Adj. P&amp;L Aug-26'!$D$8:$AI$8,0))*1000</f>
        <v>3400</v>
      </c>
      <c r="P83" s="10">
        <f>+INDEX('QoE PF Adj. P&amp;L Aug-26'!$D$11:$AI$108,MATCH($C83,'QoE PF Adj. P&amp;L Aug-26'!$C$11:$C$108,0),MATCH(P$8,'QoE PF Adj. P&amp;L Aug-26'!$D$8:$AI$8,0))*1000</f>
        <v>3200</v>
      </c>
      <c r="Q83" s="10">
        <f>+INDEX('QoE PF Adj. P&amp;L Aug-26'!$D$11:$AI$108,MATCH($C83,'QoE PF Adj. P&amp;L Aug-26'!$C$11:$C$108,0),MATCH(Q$8,'QoE PF Adj. P&amp;L Aug-26'!$D$8:$AI$8,0))*1000</f>
        <v>3000</v>
      </c>
      <c r="R83" s="10">
        <f>+INDEX('QoE PF Adj. P&amp;L Aug-26'!$D$11:$AI$108,MATCH($C83,'QoE PF Adj. P&amp;L Aug-26'!$C$11:$C$108,0),MATCH(R$8,'QoE PF Adj. P&amp;L Aug-26'!$D$8:$AI$8,0))*1000</f>
        <v>3200</v>
      </c>
      <c r="S83" s="10">
        <f>+INDEX('QoE PF Adj. P&amp;L Aug-26'!$D$11:$AI$108,MATCH($C83,'QoE PF Adj. P&amp;L Aug-26'!$C$11:$C$108,0),MATCH(S$8,'QoE PF Adj. P&amp;L Aug-26'!$D$8:$AI$8,0))*1000</f>
        <v>3300</v>
      </c>
      <c r="T83" s="10">
        <f>+INDEX('QoE PF Adj. P&amp;L Aug-26'!$D$11:$AI$108,MATCH($C83,'QoE PF Adj. P&amp;L Aug-26'!$C$11:$C$108,0),MATCH(T$8,'QoE PF Adj. P&amp;L Aug-26'!$D$8:$AI$8,0))*1000</f>
        <v>3100</v>
      </c>
      <c r="U83" s="10">
        <f>+INDEX('QoE PF Adj. P&amp;L Aug-26'!$D$11:$AI$108,MATCH($C83,'QoE PF Adj. P&amp;L Aug-26'!$C$11:$C$108,0),MATCH(U$8,'QoE PF Adj. P&amp;L Aug-26'!$D$8:$AI$8,0))*1000</f>
        <v>3300</v>
      </c>
      <c r="V83" s="10">
        <f>+INDEX('QoE PF Adj. P&amp;L Aug-26'!$D$11:$AI$108,MATCH($C83,'QoE PF Adj. P&amp;L Aug-26'!$C$11:$C$108,0),MATCH(V$8,'QoE PF Adj. P&amp;L Aug-26'!$D$8:$AI$8,0))*1000</f>
        <v>3100</v>
      </c>
      <c r="W83" s="10">
        <f>+INDEX('QoE PF Adj. P&amp;L Aug-26'!$D$11:$AI$108,MATCH($C83,'QoE PF Adj. P&amp;L Aug-26'!$C$11:$C$108,0),MATCH(W$8,'QoE PF Adj. P&amp;L Aug-26'!$D$8:$AI$8,0))*1000</f>
        <v>3400</v>
      </c>
      <c r="X83" s="10">
        <f>+INDEX('QoE PF Adj. P&amp;L Aug-26'!$D$11:$AI$108,MATCH($C83,'QoE PF Adj. P&amp;L Aug-26'!$C$11:$C$108,0),MATCH(X$8,'QoE PF Adj. P&amp;L Aug-26'!$D$8:$AI$8,0))*1000</f>
        <v>3600</v>
      </c>
      <c r="Y83" s="10">
        <f>+INDEX('QoE PF Adj. P&amp;L Aug-26'!$D$11:$AI$108,MATCH($C83,'QoE PF Adj. P&amp;L Aug-26'!$C$11:$C$108,0),MATCH(Y$8,'QoE PF Adj. P&amp;L Aug-26'!$D$8:$AI$8,0))*1000</f>
        <v>3200</v>
      </c>
      <c r="Z83" s="10">
        <f>+INDEX('QoE PF Adj. P&amp;L Aug-26'!$D$11:$AI$108,MATCH($C83,'QoE PF Adj. P&amp;L Aug-26'!$C$11:$C$108,0),MATCH(Z$8,'QoE PF Adj. P&amp;L Aug-26'!$D$8:$AI$8,0))*1000</f>
        <v>3500</v>
      </c>
      <c r="AA83" s="10">
        <f>+INDEX('QoE PF Adj. P&amp;L Aug-26'!$D$11:$AI$108,MATCH($C83,'QoE PF Adj. P&amp;L Aug-26'!$C$11:$C$108,0),MATCH(AA$8,'QoE PF Adj. P&amp;L Aug-26'!$D$8:$AI$8,0))*1000</f>
        <v>3300</v>
      </c>
      <c r="AB83" s="10">
        <f>+INDEX('QoE PF Adj. P&amp;L Aug-26'!$D$11:$AI$108,MATCH($C83,'QoE PF Adj. P&amp;L Aug-26'!$C$11:$C$108,0),MATCH(AB$8,'QoE PF Adj. P&amp;L Aug-26'!$D$8:$AI$8,0))*1000</f>
        <v>3300</v>
      </c>
      <c r="AC83" s="10">
        <f>+INDEX('QoE PF Adj. P&amp;L Aug-26'!$D$11:$AI$108,MATCH($C83,'QoE PF Adj. P&amp;L Aug-26'!$C$11:$C$108,0),MATCH(AC$8,'QoE PF Adj. P&amp;L Aug-26'!$D$8:$AI$8,0))*1000</f>
        <v>3600</v>
      </c>
      <c r="AD83" s="10">
        <f>+INDEX('QoE PF Adj. P&amp;L Aug-26'!$D$11:$AI$108,MATCH($C83,'QoE PF Adj. P&amp;L Aug-26'!$C$11:$C$108,0),MATCH(AD$8,'QoE PF Adj. P&amp;L Aug-26'!$D$8:$AI$8,0))*1000</f>
        <v>3300</v>
      </c>
      <c r="AE83" s="10">
        <f>+INDEX('QoE PF Adj. P&amp;L Aug-26'!$D$11:$AI$108,MATCH($C83,'QoE PF Adj. P&amp;L Aug-26'!$C$11:$C$108,0),MATCH(AE$8,'QoE PF Adj. P&amp;L Aug-26'!$D$8:$AI$8,0))*1000</f>
        <v>3800</v>
      </c>
      <c r="AF83" s="10">
        <f>+INDEX('QoE PF Adj. P&amp;L Aug-26'!$D$11:$AI$108,MATCH($C83,'QoE PF Adj. P&amp;L Aug-26'!$C$11:$C$108,0),MATCH(AF$8,'QoE PF Adj. P&amp;L Aug-26'!$D$8:$AI$8,0))*1000</f>
        <v>3700</v>
      </c>
      <c r="AG83" s="10">
        <f>+INDEX('QoE PF Adj. P&amp;L Aug-26'!$D$11:$AI$108,MATCH($C83,'QoE PF Adj. P&amp;L Aug-26'!$C$11:$C$108,0),MATCH(AG$8,'QoE PF Adj. P&amp;L Aug-26'!$D$8:$AI$8,0))*1000</f>
        <v>3500</v>
      </c>
      <c r="AH83" s="10">
        <f>+INDEX('QoE PF Adj. P&amp;L Aug-26'!$D$11:$AI$108,MATCH($C83,'QoE PF Adj. P&amp;L Aug-26'!$C$11:$C$108,0),MATCH(AH$8,'QoE PF Adj. P&amp;L Aug-26'!$D$8:$AI$8,0))*1000</f>
        <v>3500</v>
      </c>
      <c r="AI83" s="10">
        <f>+INDEX('QoE PF Adj. P&amp;L Aug-26'!$D$11:$AI$108,MATCH($C83,'QoE PF Adj. P&amp;L Aug-26'!$C$11:$C$108,0),MATCH(AI$8,'QoE PF Adj. P&amp;L Aug-26'!$D$8:$AI$8,0))*1000</f>
        <v>3400</v>
      </c>
      <c r="AJ83" s="10">
        <f>+INDEX('QoE PF Adj. P&amp;L Aug-26'!$D$11:$AI$108,MATCH($C83,'QoE PF Adj. P&amp;L Aug-26'!$C$11:$C$108,0),MATCH(AJ$8,'QoE PF Adj. P&amp;L Aug-26'!$D$8:$AI$8,0))*1000</f>
        <v>3600</v>
      </c>
      <c r="AK83" s="10">
        <f>+INDEX('QoE PF Adj. P&amp;L Aug-26'!$D$11:$AI$108,MATCH($C83,'QoE PF Adj. P&amp;L Aug-26'!$C$11:$C$108,0),MATCH(AK$8,'QoE PF Adj. P&amp;L Aug-26'!$D$8:$AI$8,0))*1000</f>
        <v>3700</v>
      </c>
      <c r="AL83" s="10">
        <f>+INDEX('QoE PF Adj. P&amp;L Aug-26'!$D$11:$AI$108,MATCH($C83,'QoE PF Adj. P&amp;L Aug-26'!$C$11:$C$108,0),MATCH(AL$8,'QoE PF Adj. P&amp;L Aug-26'!$D$8:$AI$8,0))*1000</f>
        <v>3500</v>
      </c>
      <c r="AM83" s="10">
        <f>+INDEX('QoE PF Adj. P&amp;L Aug-26'!$D$11:$AI$108,MATCH($C83,'QoE PF Adj. P&amp;L Aug-26'!$C$11:$C$108,0),MATCH(AM$8,'QoE PF Adj. P&amp;L Aug-26'!$D$8:$AI$8,0))*1000</f>
        <v>3800</v>
      </c>
      <c r="AN83" s="10">
        <f>+INDEX('QoE PF Adj. P&amp;L Aug-26'!$D$11:$AI$108,MATCH($C83,'QoE PF Adj. P&amp;L Aug-26'!$C$11:$C$108,0),MATCH(AN$8,'QoE PF Adj. P&amp;L Aug-26'!$D$8:$AI$8,0))*1000</f>
        <v>3500</v>
      </c>
      <c r="AO83" s="10">
        <f>+INDEX('QoE PF Adj. P&amp;L Aug-26'!$D$11:$AI$108,MATCH($C83,'QoE PF Adj. P&amp;L Aug-26'!$C$11:$C$108,0),MATCH(AO$8,'QoE PF Adj. P&amp;L Aug-26'!$D$8:$AI$8,0))*1000</f>
        <v>3800</v>
      </c>
      <c r="AP83" s="10">
        <f>+SUMIFS('Sep - Nov P&amp;L'!I:I,'Sep - Nov P&amp;L'!$D:$D,$C83)</f>
        <v>20633.75</v>
      </c>
      <c r="AQ83" s="10">
        <f>+SUMIFS('Sep - Nov P&amp;L'!J:J,'Sep - Nov P&amp;L'!$D:$D,$C83)</f>
        <v>21555.33</v>
      </c>
      <c r="AR83" s="10">
        <f>+SUMIFS('Sep - Nov P&amp;L'!K:K,'Sep - Nov P&amp;L'!$D:$D,$C83)</f>
        <v>17958.14</v>
      </c>
      <c r="AS83" s="20">
        <f>+AS191</f>
        <v>7703.935</v>
      </c>
      <c r="AT83" s="20">
        <f>+AT191</f>
        <v>7730.8987725</v>
      </c>
      <c r="AU83" s="20">
        <f>+AU191</f>
        <v>7757.95691820375</v>
      </c>
      <c r="AV83" s="20">
        <f>+AV191</f>
        <v>7785.10976741747</v>
      </c>
      <c r="AW83" s="20">
        <f>+AW191</f>
        <v>7812.35765160343</v>
      </c>
      <c r="AX83" s="20">
        <f>+AX191</f>
        <v>7839.70090338404</v>
      </c>
      <c r="AY83" s="20">
        <f>+AY191</f>
        <v>7867.13985654588</v>
      </c>
      <c r="AZ83" s="20">
        <f>+AZ191</f>
        <v>7894.6748460438</v>
      </c>
      <c r="BA83" s="20">
        <f>+BA191</f>
        <v>7922.30620800495</v>
      </c>
      <c r="BB83" s="20">
        <f>+BB191</f>
        <v>7950.03427973297</v>
      </c>
      <c r="BC83" s="20">
        <f>+BC191</f>
        <v>7977.85939971203</v>
      </c>
      <c r="BD83" s="20">
        <f>+BD191</f>
        <v>8005.78190761103</v>
      </c>
      <c r="BE83" s="20">
        <f>+BE191</f>
        <v>8033.80214428766</v>
      </c>
      <c r="BF83" s="20">
        <f>+BF191</f>
        <v>8061.92045179267</v>
      </c>
      <c r="BG83" s="20">
        <f>+BG191</f>
        <v>8090.13717337395</v>
      </c>
      <c r="BH83" s="20">
        <f>+BH191</f>
        <v>8118.45265348076</v>
      </c>
      <c r="BI83" s="20">
        <f>+BI191</f>
        <v>8146.86723776794</v>
      </c>
      <c r="BJ83" s="20">
        <f>+BJ191</f>
        <v>8175.38127310013</v>
      </c>
      <c r="BK83" s="20">
        <f>+BK191</f>
        <v>8203.99510755598</v>
      </c>
      <c r="BL83" s="20">
        <f>+BL191</f>
        <v>8232.70909043243</v>
      </c>
      <c r="BM83" s="20">
        <f>+BM191</f>
        <v>8261.52357224894</v>
      </c>
      <c r="BN83" s="20">
        <f>+BN191</f>
        <v>8290.43890475181</v>
      </c>
      <c r="BO83" s="20">
        <f>+BO191</f>
        <v>8319.45544091844</v>
      </c>
      <c r="BP83" s="20">
        <f>+BP191</f>
        <v>8348.57353496166</v>
      </c>
      <c r="BQ83" s="20">
        <f>+BQ191</f>
        <v>8377.79354233402</v>
      </c>
    </row>
    <row r="84">
      <c r="C84" s="3" t="inlineStr">
        <is>
          <t>Repairs &amp; Maintenance</t>
        </is>
      </c>
      <c r="D84" s="20">
        <f>+SUMIFS($J84:$BQ84,$J$7:$BQ$7,D$8)</f>
        <v>38000</v>
      </c>
      <c r="E84" s="20">
        <f>+SUMIFS($J84:$BQ84,$J$7:$BQ$7,E$8)</f>
        <v>41700</v>
      </c>
      <c r="F84" s="20">
        <f>+SUMIFS($J84:$BQ84,$J$7:$BQ$7,F$8)</f>
        <v>43622.8166666667</v>
      </c>
      <c r="G84" s="20">
        <f>+SUMIFS($J84:$BQ84,$J$7:$BQ$7,G$8)</f>
        <v>44689.2449485377</v>
      </c>
      <c r="H84" s="20">
        <f>+SUMIFS($J84:$BQ84,$J$7:$BQ$7,H$8)</f>
        <v>46602.7493604449</v>
      </c>
      <c r="J84" s="10">
        <f>+INDEX('QoE PF Adj. P&amp;L Aug-26'!$D$11:$AI$108,MATCH($C84,'QoE PF Adj. P&amp;L Aug-26'!$C$11:$C$108,0),MATCH(J$8,'QoE PF Adj. P&amp;L Aug-26'!$D$8:$AI$8,0))*1000</f>
        <v>3000</v>
      </c>
      <c r="K84" s="10">
        <f>+INDEX('QoE PF Adj. P&amp;L Aug-26'!$D$11:$AI$108,MATCH($C84,'QoE PF Adj. P&amp;L Aug-26'!$C$11:$C$108,0),MATCH(K$8,'QoE PF Adj. P&amp;L Aug-26'!$D$8:$AI$8,0))*1000</f>
        <v>3100</v>
      </c>
      <c r="L84" s="10">
        <f>+INDEX('QoE PF Adj. P&amp;L Aug-26'!$D$11:$AI$108,MATCH($C84,'QoE PF Adj. P&amp;L Aug-26'!$C$11:$C$108,0),MATCH(L$8,'QoE PF Adj. P&amp;L Aug-26'!$D$8:$AI$8,0))*1000</f>
        <v>3100</v>
      </c>
      <c r="M84" s="10">
        <f>+INDEX('QoE PF Adj. P&amp;L Aug-26'!$D$11:$AI$108,MATCH($C84,'QoE PF Adj. P&amp;L Aug-26'!$C$11:$C$108,0),MATCH(M$8,'QoE PF Adj. P&amp;L Aug-26'!$D$8:$AI$8,0))*1000</f>
        <v>3000</v>
      </c>
      <c r="N84" s="10">
        <f>+INDEX('QoE PF Adj. P&amp;L Aug-26'!$D$11:$AI$108,MATCH($C84,'QoE PF Adj. P&amp;L Aug-26'!$C$11:$C$108,0),MATCH(N$8,'QoE PF Adj. P&amp;L Aug-26'!$D$8:$AI$8,0))*1000</f>
        <v>3200</v>
      </c>
      <c r="O84" s="10">
        <f>+INDEX('QoE PF Adj. P&amp;L Aug-26'!$D$11:$AI$108,MATCH($C84,'QoE PF Adj. P&amp;L Aug-26'!$C$11:$C$108,0),MATCH(O$8,'QoE PF Adj. P&amp;L Aug-26'!$D$8:$AI$8,0))*1000</f>
        <v>3000</v>
      </c>
      <c r="P84" s="10">
        <f>+INDEX('QoE PF Adj. P&amp;L Aug-26'!$D$11:$AI$108,MATCH($C84,'QoE PF Adj. P&amp;L Aug-26'!$C$11:$C$108,0),MATCH(P$8,'QoE PF Adj. P&amp;L Aug-26'!$D$8:$AI$8,0))*1000</f>
        <v>3000</v>
      </c>
      <c r="Q84" s="10">
        <f>+INDEX('QoE PF Adj. P&amp;L Aug-26'!$D$11:$AI$108,MATCH($C84,'QoE PF Adj. P&amp;L Aug-26'!$C$11:$C$108,0),MATCH(Q$8,'QoE PF Adj. P&amp;L Aug-26'!$D$8:$AI$8,0))*1000</f>
        <v>3400</v>
      </c>
      <c r="R84" s="10">
        <f>+INDEX('QoE PF Adj. P&amp;L Aug-26'!$D$11:$AI$108,MATCH($C84,'QoE PF Adj. P&amp;L Aug-26'!$C$11:$C$108,0),MATCH(R$8,'QoE PF Adj. P&amp;L Aug-26'!$D$8:$AI$8,0))*1000</f>
        <v>3200</v>
      </c>
      <c r="S84" s="10">
        <f>+INDEX('QoE PF Adj. P&amp;L Aug-26'!$D$11:$AI$108,MATCH($C84,'QoE PF Adj. P&amp;L Aug-26'!$C$11:$C$108,0),MATCH(S$8,'QoE PF Adj. P&amp;L Aug-26'!$D$8:$AI$8,0))*1000</f>
        <v>3400</v>
      </c>
      <c r="T84" s="10">
        <f>+INDEX('QoE PF Adj. P&amp;L Aug-26'!$D$11:$AI$108,MATCH($C84,'QoE PF Adj. P&amp;L Aug-26'!$C$11:$C$108,0),MATCH(T$8,'QoE PF Adj. P&amp;L Aug-26'!$D$8:$AI$8,0))*1000</f>
        <v>3100</v>
      </c>
      <c r="U84" s="10">
        <f>+INDEX('QoE PF Adj. P&amp;L Aug-26'!$D$11:$AI$108,MATCH($C84,'QoE PF Adj. P&amp;L Aug-26'!$C$11:$C$108,0),MATCH(U$8,'QoE PF Adj. P&amp;L Aug-26'!$D$8:$AI$8,0))*1000</f>
        <v>3500</v>
      </c>
      <c r="V84" s="10">
        <f>+INDEX('QoE PF Adj. P&amp;L Aug-26'!$D$11:$AI$108,MATCH($C84,'QoE PF Adj. P&amp;L Aug-26'!$C$11:$C$108,0),MATCH(V$8,'QoE PF Adj. P&amp;L Aug-26'!$D$8:$AI$8,0))*1000</f>
        <v>3200</v>
      </c>
      <c r="W84" s="10">
        <f>+INDEX('QoE PF Adj. P&amp;L Aug-26'!$D$11:$AI$108,MATCH($C84,'QoE PF Adj. P&amp;L Aug-26'!$C$11:$C$108,0),MATCH(W$8,'QoE PF Adj. P&amp;L Aug-26'!$D$8:$AI$8,0))*1000</f>
        <v>3400</v>
      </c>
      <c r="X84" s="10">
        <f>+INDEX('QoE PF Adj. P&amp;L Aug-26'!$D$11:$AI$108,MATCH($C84,'QoE PF Adj. P&amp;L Aug-26'!$C$11:$C$108,0),MATCH(X$8,'QoE PF Adj. P&amp;L Aug-26'!$D$8:$AI$8,0))*1000</f>
        <v>3200</v>
      </c>
      <c r="Y84" s="10">
        <f>+INDEX('QoE PF Adj. P&amp;L Aug-26'!$D$11:$AI$108,MATCH($C84,'QoE PF Adj. P&amp;L Aug-26'!$C$11:$C$108,0),MATCH(Y$8,'QoE PF Adj. P&amp;L Aug-26'!$D$8:$AI$8,0))*1000</f>
        <v>3200</v>
      </c>
      <c r="Z84" s="10">
        <f>+INDEX('QoE PF Adj. P&amp;L Aug-26'!$D$11:$AI$108,MATCH($C84,'QoE PF Adj. P&amp;L Aug-26'!$C$11:$C$108,0),MATCH(Z$8,'QoE PF Adj. P&amp;L Aug-26'!$D$8:$AI$8,0))*1000</f>
        <v>3300</v>
      </c>
      <c r="AA84" s="10">
        <f>+INDEX('QoE PF Adj. P&amp;L Aug-26'!$D$11:$AI$108,MATCH($C84,'QoE PF Adj. P&amp;L Aug-26'!$C$11:$C$108,0),MATCH(AA$8,'QoE PF Adj. P&amp;L Aug-26'!$D$8:$AI$8,0))*1000</f>
        <v>3300</v>
      </c>
      <c r="AB84" s="10">
        <f>+INDEX('QoE PF Adj. P&amp;L Aug-26'!$D$11:$AI$108,MATCH($C84,'QoE PF Adj. P&amp;L Aug-26'!$C$11:$C$108,0),MATCH(AB$8,'QoE PF Adj. P&amp;L Aug-26'!$D$8:$AI$8,0))*1000</f>
        <v>3600</v>
      </c>
      <c r="AC84" s="10">
        <f>+INDEX('QoE PF Adj. P&amp;L Aug-26'!$D$11:$AI$108,MATCH($C84,'QoE PF Adj. P&amp;L Aug-26'!$C$11:$C$108,0),MATCH(AC$8,'QoE PF Adj. P&amp;L Aug-26'!$D$8:$AI$8,0))*1000</f>
        <v>3700</v>
      </c>
      <c r="AD84" s="10">
        <f>+INDEX('QoE PF Adj. P&amp;L Aug-26'!$D$11:$AI$108,MATCH($C84,'QoE PF Adj. P&amp;L Aug-26'!$C$11:$C$108,0),MATCH(AD$8,'QoE PF Adj. P&amp;L Aug-26'!$D$8:$AI$8,0))*1000</f>
        <v>3700</v>
      </c>
      <c r="AE84" s="10">
        <f>+INDEX('QoE PF Adj. P&amp;L Aug-26'!$D$11:$AI$108,MATCH($C84,'QoE PF Adj. P&amp;L Aug-26'!$C$11:$C$108,0),MATCH(AE$8,'QoE PF Adj. P&amp;L Aug-26'!$D$8:$AI$8,0))*1000</f>
        <v>3800</v>
      </c>
      <c r="AF84" s="10">
        <f>+INDEX('QoE PF Adj. P&amp;L Aug-26'!$D$11:$AI$108,MATCH($C84,'QoE PF Adj. P&amp;L Aug-26'!$C$11:$C$108,0),MATCH(AF$8,'QoE PF Adj. P&amp;L Aug-26'!$D$8:$AI$8,0))*1000</f>
        <v>3600</v>
      </c>
      <c r="AG84" s="10">
        <f>+INDEX('QoE PF Adj. P&amp;L Aug-26'!$D$11:$AI$108,MATCH($C84,'QoE PF Adj. P&amp;L Aug-26'!$C$11:$C$108,0),MATCH(AG$8,'QoE PF Adj. P&amp;L Aug-26'!$D$8:$AI$8,0))*1000</f>
        <v>3700</v>
      </c>
      <c r="AH84" s="10">
        <f>+INDEX('QoE PF Adj. P&amp;L Aug-26'!$D$11:$AI$108,MATCH($C84,'QoE PF Adj. P&amp;L Aug-26'!$C$11:$C$108,0),MATCH(AH$8,'QoE PF Adj. P&amp;L Aug-26'!$D$8:$AI$8,0))*1000</f>
        <v>3400</v>
      </c>
      <c r="AI84" s="10">
        <f>+INDEX('QoE PF Adj. P&amp;L Aug-26'!$D$11:$AI$108,MATCH($C84,'QoE PF Adj. P&amp;L Aug-26'!$C$11:$C$108,0),MATCH(AI$8,'QoE PF Adj. P&amp;L Aug-26'!$D$8:$AI$8,0))*1000</f>
        <v>3800</v>
      </c>
      <c r="AJ84" s="10">
        <f>+INDEX('QoE PF Adj. P&amp;L Aug-26'!$D$11:$AI$108,MATCH($C84,'QoE PF Adj. P&amp;L Aug-26'!$C$11:$C$108,0),MATCH(AJ$8,'QoE PF Adj. P&amp;L Aug-26'!$D$8:$AI$8,0))*1000</f>
        <v>3400</v>
      </c>
      <c r="AK84" s="10">
        <f>+INDEX('QoE PF Adj. P&amp;L Aug-26'!$D$11:$AI$108,MATCH($C84,'QoE PF Adj. P&amp;L Aug-26'!$C$11:$C$108,0),MATCH(AK$8,'QoE PF Adj. P&amp;L Aug-26'!$D$8:$AI$8,0))*1000</f>
        <v>3500</v>
      </c>
      <c r="AL84" s="10">
        <f>+INDEX('QoE PF Adj. P&amp;L Aug-26'!$D$11:$AI$108,MATCH($C84,'QoE PF Adj. P&amp;L Aug-26'!$C$11:$C$108,0),MATCH(AL$8,'QoE PF Adj. P&amp;L Aug-26'!$D$8:$AI$8,0))*1000</f>
        <v>3700</v>
      </c>
      <c r="AM84" s="10">
        <f>+INDEX('QoE PF Adj. P&amp;L Aug-26'!$D$11:$AI$108,MATCH($C84,'QoE PF Adj. P&amp;L Aug-26'!$C$11:$C$108,0),MATCH(AM$8,'QoE PF Adj. P&amp;L Aug-26'!$D$8:$AI$8,0))*1000</f>
        <v>3700</v>
      </c>
      <c r="AN84" s="10">
        <f>+INDEX('QoE PF Adj. P&amp;L Aug-26'!$D$11:$AI$108,MATCH($C84,'QoE PF Adj. P&amp;L Aug-26'!$C$11:$C$108,0),MATCH(AN$8,'QoE PF Adj. P&amp;L Aug-26'!$D$8:$AI$8,0))*1000</f>
        <v>3900</v>
      </c>
      <c r="AO84" s="10">
        <f>+INDEX('QoE PF Adj. P&amp;L Aug-26'!$D$11:$AI$108,MATCH($C84,'QoE PF Adj. P&amp;L Aug-26'!$C$11:$C$108,0),MATCH(AO$8,'QoE PF Adj. P&amp;L Aug-26'!$D$8:$AI$8,0))*1000</f>
        <v>3500</v>
      </c>
      <c r="AP84" s="10">
        <f>+SUMIFS('Sep - Nov P&amp;L'!I:I,'Sep - Nov P&amp;L'!$D:$D,$C84)</f>
        <v>3753.91</v>
      </c>
      <c r="AQ84" s="10">
        <f>+SUMIFS('Sep - Nov P&amp;L'!J:J,'Sep - Nov P&amp;L'!$D:$D,$C84)</f>
        <v>3766.24</v>
      </c>
      <c r="AR84" s="10">
        <f>+SUMIFS('Sep - Nov P&amp;L'!K:K,'Sep - Nov P&amp;L'!$D:$D,$C84)</f>
        <v>3562.45</v>
      </c>
      <c r="AS84" s="20">
        <f>+AS192</f>
        <v>3640.21666666667</v>
      </c>
      <c r="AT84" s="20">
        <f>+AT192</f>
        <v>3652.957425</v>
      </c>
      <c r="AU84" s="20">
        <f>+AU192</f>
        <v>3665.7427759875</v>
      </c>
      <c r="AV84" s="20">
        <f>+AV192</f>
        <v>3678.57287570346</v>
      </c>
      <c r="AW84" s="20">
        <f>+AW192</f>
        <v>3691.44788076842</v>
      </c>
      <c r="AX84" s="20">
        <f>+AX192</f>
        <v>3704.36794835111</v>
      </c>
      <c r="AY84" s="20">
        <f>+AY192</f>
        <v>3717.33323617034</v>
      </c>
      <c r="AZ84" s="20">
        <f>+AZ192</f>
        <v>3730.34390249693</v>
      </c>
      <c r="BA84" s="20">
        <f>+BA192</f>
        <v>3743.40010615567</v>
      </c>
      <c r="BB84" s="20">
        <f>+BB192</f>
        <v>3756.50200652722</v>
      </c>
      <c r="BC84" s="20">
        <f>+BC192</f>
        <v>3769.64976355006</v>
      </c>
      <c r="BD84" s="20">
        <f>+BD192</f>
        <v>3782.84353772249</v>
      </c>
      <c r="BE84" s="20">
        <f>+BE192</f>
        <v>3796.08349010452</v>
      </c>
      <c r="BF84" s="20">
        <f>+BF192</f>
        <v>3809.36978231988</v>
      </c>
      <c r="BG84" s="20">
        <f>+BG192</f>
        <v>3822.702576558</v>
      </c>
      <c r="BH84" s="20">
        <f>+BH192</f>
        <v>3836.08203557596</v>
      </c>
      <c r="BI84" s="20">
        <f>+BI192</f>
        <v>3849.50832270047</v>
      </c>
      <c r="BJ84" s="20">
        <f>+BJ192</f>
        <v>3862.98160182993</v>
      </c>
      <c r="BK84" s="20">
        <f>+BK192</f>
        <v>3876.50203743633</v>
      </c>
      <c r="BL84" s="20">
        <f>+BL192</f>
        <v>3890.06979456736</v>
      </c>
      <c r="BM84" s="20">
        <f>+BM192</f>
        <v>3903.68503884834</v>
      </c>
      <c r="BN84" s="20">
        <f>+BN192</f>
        <v>3917.34793648431</v>
      </c>
      <c r="BO84" s="20">
        <f>+BO192</f>
        <v>3931.05865426201</v>
      </c>
      <c r="BP84" s="20">
        <f>+BP192</f>
        <v>3944.81735955193</v>
      </c>
      <c r="BQ84" s="20">
        <f>+BQ192</f>
        <v>3958.62422031036</v>
      </c>
    </row>
    <row r="85">
      <c r="C85" s="3" t="inlineStr">
        <is>
          <t>Taxes &amp; Licenses</t>
        </is>
      </c>
      <c r="D85" s="20">
        <f>+SUMIFS($J85:$BQ85,$J$7:$BQ$7,D$8)</f>
        <v>45400</v>
      </c>
      <c r="E85" s="20">
        <f>+SUMIFS($J85:$BQ85,$J$7:$BQ$7,E$8)</f>
        <v>49400</v>
      </c>
      <c r="F85" s="20">
        <f>+SUMIFS($J85:$BQ85,$J$7:$BQ$7,F$8)</f>
        <v>52426.6916666667</v>
      </c>
      <c r="G85" s="20">
        <f>+SUMIFS($J85:$BQ85,$J$7:$BQ$7,G$8)</f>
        <v>53569.7829837229</v>
      </c>
      <c r="H85" s="20">
        <f>+SUMIFS($J85:$BQ85,$J$7:$BQ$7,H$8)</f>
        <v>55863.5343371483</v>
      </c>
      <c r="J85" s="10">
        <f>+INDEX('QoE PF Adj. P&amp;L Aug-26'!$D$11:$AI$108,MATCH($C85,'QoE PF Adj. P&amp;L Aug-26'!$C$11:$C$108,0),MATCH(J$8,'QoE PF Adj. P&amp;L Aug-26'!$D$8:$AI$8,0))*1000</f>
        <v>3900</v>
      </c>
      <c r="K85" s="10">
        <f>+INDEX('QoE PF Adj. P&amp;L Aug-26'!$D$11:$AI$108,MATCH($C85,'QoE PF Adj. P&amp;L Aug-26'!$C$11:$C$108,0),MATCH(K$8,'QoE PF Adj. P&amp;L Aug-26'!$D$8:$AI$8,0))*1000</f>
        <v>3800</v>
      </c>
      <c r="L85" s="10">
        <f>+INDEX('QoE PF Adj. P&amp;L Aug-26'!$D$11:$AI$108,MATCH($C85,'QoE PF Adj. P&amp;L Aug-26'!$C$11:$C$108,0),MATCH(L$8,'QoE PF Adj. P&amp;L Aug-26'!$D$8:$AI$8,0))*1000</f>
        <v>3800</v>
      </c>
      <c r="M85" s="10">
        <f>+INDEX('QoE PF Adj. P&amp;L Aug-26'!$D$11:$AI$108,MATCH($C85,'QoE PF Adj. P&amp;L Aug-26'!$C$11:$C$108,0),MATCH(M$8,'QoE PF Adj. P&amp;L Aug-26'!$D$8:$AI$8,0))*1000</f>
        <v>3600</v>
      </c>
      <c r="N85" s="10">
        <f>+INDEX('QoE PF Adj. P&amp;L Aug-26'!$D$11:$AI$108,MATCH($C85,'QoE PF Adj. P&amp;L Aug-26'!$C$11:$C$108,0),MATCH(N$8,'QoE PF Adj. P&amp;L Aug-26'!$D$8:$AI$8,0))*1000</f>
        <v>3600</v>
      </c>
      <c r="O85" s="10">
        <f>+INDEX('QoE PF Adj. P&amp;L Aug-26'!$D$11:$AI$108,MATCH($C85,'QoE PF Adj. P&amp;L Aug-26'!$C$11:$C$108,0),MATCH(O$8,'QoE PF Adj. P&amp;L Aug-26'!$D$8:$AI$8,0))*1000</f>
        <v>3700</v>
      </c>
      <c r="P85" s="10">
        <f>+INDEX('QoE PF Adj. P&amp;L Aug-26'!$D$11:$AI$108,MATCH($C85,'QoE PF Adj. P&amp;L Aug-26'!$C$11:$C$108,0),MATCH(P$8,'QoE PF Adj. P&amp;L Aug-26'!$D$8:$AI$8,0))*1000</f>
        <v>3800</v>
      </c>
      <c r="Q85" s="10">
        <f>+INDEX('QoE PF Adj. P&amp;L Aug-26'!$D$11:$AI$108,MATCH($C85,'QoE PF Adj. P&amp;L Aug-26'!$C$11:$C$108,0),MATCH(Q$8,'QoE PF Adj. P&amp;L Aug-26'!$D$8:$AI$8,0))*1000</f>
        <v>3900</v>
      </c>
      <c r="R85" s="10">
        <f>+INDEX('QoE PF Adj. P&amp;L Aug-26'!$D$11:$AI$108,MATCH($C85,'QoE PF Adj. P&amp;L Aug-26'!$C$11:$C$108,0),MATCH(R$8,'QoE PF Adj. P&amp;L Aug-26'!$D$8:$AI$8,0))*1000</f>
        <v>3700</v>
      </c>
      <c r="S85" s="10">
        <f>+INDEX('QoE PF Adj. P&amp;L Aug-26'!$D$11:$AI$108,MATCH($C85,'QoE PF Adj. P&amp;L Aug-26'!$C$11:$C$108,0),MATCH(S$8,'QoE PF Adj. P&amp;L Aug-26'!$D$8:$AI$8,0))*1000</f>
        <v>3900</v>
      </c>
      <c r="T85" s="10">
        <f>+INDEX('QoE PF Adj. P&amp;L Aug-26'!$D$11:$AI$108,MATCH($C85,'QoE PF Adj. P&amp;L Aug-26'!$C$11:$C$108,0),MATCH(T$8,'QoE PF Adj. P&amp;L Aug-26'!$D$8:$AI$8,0))*1000</f>
        <v>3800</v>
      </c>
      <c r="U85" s="10">
        <f>+INDEX('QoE PF Adj. P&amp;L Aug-26'!$D$11:$AI$108,MATCH($C85,'QoE PF Adj. P&amp;L Aug-26'!$C$11:$C$108,0),MATCH(U$8,'QoE PF Adj. P&amp;L Aug-26'!$D$8:$AI$8,0))*1000</f>
        <v>3900</v>
      </c>
      <c r="V85" s="10">
        <f>+INDEX('QoE PF Adj. P&amp;L Aug-26'!$D$11:$AI$108,MATCH($C85,'QoE PF Adj. P&amp;L Aug-26'!$C$11:$C$108,0),MATCH(V$8,'QoE PF Adj. P&amp;L Aug-26'!$D$8:$AI$8,0))*1000</f>
        <v>4000</v>
      </c>
      <c r="W85" s="10">
        <f>+INDEX('QoE PF Adj. P&amp;L Aug-26'!$D$11:$AI$108,MATCH($C85,'QoE PF Adj. P&amp;L Aug-26'!$C$11:$C$108,0),MATCH(W$8,'QoE PF Adj. P&amp;L Aug-26'!$D$8:$AI$8,0))*1000</f>
        <v>3900</v>
      </c>
      <c r="X85" s="10">
        <f>+INDEX('QoE PF Adj. P&amp;L Aug-26'!$D$11:$AI$108,MATCH($C85,'QoE PF Adj. P&amp;L Aug-26'!$C$11:$C$108,0),MATCH(X$8,'QoE PF Adj. P&amp;L Aug-26'!$D$8:$AI$8,0))*1000</f>
        <v>4000</v>
      </c>
      <c r="Y85" s="10">
        <f>+INDEX('QoE PF Adj. P&amp;L Aug-26'!$D$11:$AI$108,MATCH($C85,'QoE PF Adj. P&amp;L Aug-26'!$C$11:$C$108,0),MATCH(Y$8,'QoE PF Adj. P&amp;L Aug-26'!$D$8:$AI$8,0))*1000</f>
        <v>3800</v>
      </c>
      <c r="Z85" s="10">
        <f>+INDEX('QoE PF Adj. P&amp;L Aug-26'!$D$11:$AI$108,MATCH($C85,'QoE PF Adj. P&amp;L Aug-26'!$C$11:$C$108,0),MATCH(Z$8,'QoE PF Adj. P&amp;L Aug-26'!$D$8:$AI$8,0))*1000</f>
        <v>4200</v>
      </c>
      <c r="AA85" s="10">
        <f>+INDEX('QoE PF Adj. P&amp;L Aug-26'!$D$11:$AI$108,MATCH($C85,'QoE PF Adj. P&amp;L Aug-26'!$C$11:$C$108,0),MATCH(AA$8,'QoE PF Adj. P&amp;L Aug-26'!$D$8:$AI$8,0))*1000</f>
        <v>4100</v>
      </c>
      <c r="AB85" s="10">
        <f>+INDEX('QoE PF Adj. P&amp;L Aug-26'!$D$11:$AI$108,MATCH($C85,'QoE PF Adj. P&amp;L Aug-26'!$C$11:$C$108,0),MATCH(AB$8,'QoE PF Adj. P&amp;L Aug-26'!$D$8:$AI$8,0))*1000</f>
        <v>4000</v>
      </c>
      <c r="AC85" s="10">
        <f>+INDEX('QoE PF Adj. P&amp;L Aug-26'!$D$11:$AI$108,MATCH($C85,'QoE PF Adj. P&amp;L Aug-26'!$C$11:$C$108,0),MATCH(AC$8,'QoE PF Adj. P&amp;L Aug-26'!$D$8:$AI$8,0))*1000</f>
        <v>4300</v>
      </c>
      <c r="AD85" s="10">
        <f>+INDEX('QoE PF Adj. P&amp;L Aug-26'!$D$11:$AI$108,MATCH($C85,'QoE PF Adj. P&amp;L Aug-26'!$C$11:$C$108,0),MATCH(AD$8,'QoE PF Adj. P&amp;L Aug-26'!$D$8:$AI$8,0))*1000</f>
        <v>4300</v>
      </c>
      <c r="AE85" s="10">
        <f>+INDEX('QoE PF Adj. P&amp;L Aug-26'!$D$11:$AI$108,MATCH($C85,'QoE PF Adj. P&amp;L Aug-26'!$C$11:$C$108,0),MATCH(AE$8,'QoE PF Adj. P&amp;L Aug-26'!$D$8:$AI$8,0))*1000</f>
        <v>4400</v>
      </c>
      <c r="AF85" s="10">
        <f>+INDEX('QoE PF Adj. P&amp;L Aug-26'!$D$11:$AI$108,MATCH($C85,'QoE PF Adj. P&amp;L Aug-26'!$C$11:$C$108,0),MATCH(AF$8,'QoE PF Adj. P&amp;L Aug-26'!$D$8:$AI$8,0))*1000</f>
        <v>4100</v>
      </c>
      <c r="AG85" s="10">
        <f>+INDEX('QoE PF Adj. P&amp;L Aug-26'!$D$11:$AI$108,MATCH($C85,'QoE PF Adj. P&amp;L Aug-26'!$C$11:$C$108,0),MATCH(AG$8,'QoE PF Adj. P&amp;L Aug-26'!$D$8:$AI$8,0))*1000</f>
        <v>4300</v>
      </c>
      <c r="AH85" s="10">
        <f>+INDEX('QoE PF Adj. P&amp;L Aug-26'!$D$11:$AI$108,MATCH($C85,'QoE PF Adj. P&amp;L Aug-26'!$C$11:$C$108,0),MATCH(AH$8,'QoE PF Adj. P&amp;L Aug-26'!$D$8:$AI$8,0))*1000</f>
        <v>4000</v>
      </c>
      <c r="AI85" s="10">
        <f>+INDEX('QoE PF Adj. P&amp;L Aug-26'!$D$11:$AI$108,MATCH($C85,'QoE PF Adj. P&amp;L Aug-26'!$C$11:$C$108,0),MATCH(AI$8,'QoE PF Adj. P&amp;L Aug-26'!$D$8:$AI$8,0))*1000</f>
        <v>4300</v>
      </c>
      <c r="AJ85" s="10">
        <f>+INDEX('QoE PF Adj. P&amp;L Aug-26'!$D$11:$AI$108,MATCH($C85,'QoE PF Adj. P&amp;L Aug-26'!$C$11:$C$108,0),MATCH(AJ$8,'QoE PF Adj. P&amp;L Aug-26'!$D$8:$AI$8,0))*1000</f>
        <v>4400</v>
      </c>
      <c r="AK85" s="10">
        <f>+INDEX('QoE PF Adj. P&amp;L Aug-26'!$D$11:$AI$108,MATCH($C85,'QoE PF Adj. P&amp;L Aug-26'!$C$11:$C$108,0),MATCH(AK$8,'QoE PF Adj. P&amp;L Aug-26'!$D$8:$AI$8,0))*1000</f>
        <v>4500</v>
      </c>
      <c r="AL85" s="10">
        <f>+INDEX('QoE PF Adj. P&amp;L Aug-26'!$D$11:$AI$108,MATCH($C85,'QoE PF Adj. P&amp;L Aug-26'!$C$11:$C$108,0),MATCH(AL$8,'QoE PF Adj. P&amp;L Aug-26'!$D$8:$AI$8,0))*1000</f>
        <v>4500</v>
      </c>
      <c r="AM85" s="10">
        <f>+INDEX('QoE PF Adj. P&amp;L Aug-26'!$D$11:$AI$108,MATCH($C85,'QoE PF Adj. P&amp;L Aug-26'!$C$11:$C$108,0),MATCH(AM$8,'QoE PF Adj. P&amp;L Aug-26'!$D$8:$AI$8,0))*1000</f>
        <v>4600</v>
      </c>
      <c r="AN85" s="10">
        <f>+INDEX('QoE PF Adj. P&amp;L Aug-26'!$D$11:$AI$108,MATCH($C85,'QoE PF Adj. P&amp;L Aug-26'!$C$11:$C$108,0),MATCH(AN$8,'QoE PF Adj. P&amp;L Aug-26'!$D$8:$AI$8,0))*1000</f>
        <v>4200</v>
      </c>
      <c r="AO85" s="10">
        <f>+INDEX('QoE PF Adj. P&amp;L Aug-26'!$D$11:$AI$108,MATCH($C85,'QoE PF Adj. P&amp;L Aug-26'!$C$11:$C$108,0),MATCH(AO$8,'QoE PF Adj. P&amp;L Aug-26'!$D$8:$AI$8,0))*1000</f>
        <v>4400</v>
      </c>
      <c r="AP85" s="10">
        <f>+SUMIFS('Sep - Nov P&amp;L'!I:I,'Sep - Nov P&amp;L'!$D:$D,$C85)</f>
        <v>4313.94</v>
      </c>
      <c r="AQ85" s="10">
        <f>+SUMIFS('Sep - Nov P&amp;L'!J:J,'Sep - Nov P&amp;L'!$D:$D,$C85)</f>
        <v>4498.46</v>
      </c>
      <c r="AR85" s="10">
        <f>+SUMIFS('Sep - Nov P&amp;L'!K:K,'Sep - Nov P&amp;L'!$D:$D,$C85)</f>
        <v>4350.7</v>
      </c>
      <c r="AS85" s="20">
        <f>+AS193</f>
        <v>4363.59166666667</v>
      </c>
      <c r="AT85" s="20">
        <f>+AT193</f>
        <v>4378.8642375</v>
      </c>
      <c r="AU85" s="20">
        <f>+AU193</f>
        <v>4394.19026233125</v>
      </c>
      <c r="AV85" s="20">
        <f>+AV193</f>
        <v>4409.56992824941</v>
      </c>
      <c r="AW85" s="20">
        <f>+AW193</f>
        <v>4425.00342299828</v>
      </c>
      <c r="AX85" s="20">
        <f>+AX193</f>
        <v>4440.49093497878</v>
      </c>
      <c r="AY85" s="20">
        <f>+AY193</f>
        <v>4456.0326532512</v>
      </c>
      <c r="AZ85" s="20">
        <f>+AZ193</f>
        <v>4471.62876753758</v>
      </c>
      <c r="BA85" s="20">
        <f>+BA193</f>
        <v>4487.27946822397</v>
      </c>
      <c r="BB85" s="20">
        <f>+BB193</f>
        <v>4502.98494636275</v>
      </c>
      <c r="BC85" s="20">
        <f>+BC193</f>
        <v>4518.74539367502</v>
      </c>
      <c r="BD85" s="20">
        <f>+BD193</f>
        <v>4534.56100255288</v>
      </c>
      <c r="BE85" s="20">
        <f>+BE193</f>
        <v>4550.43196606182</v>
      </c>
      <c r="BF85" s="20">
        <f>+BF193</f>
        <v>4566.35847794304</v>
      </c>
      <c r="BG85" s="20">
        <f>+BG193</f>
        <v>4582.34073261584</v>
      </c>
      <c r="BH85" s="20">
        <f>+BH193</f>
        <v>4598.37892517999</v>
      </c>
      <c r="BI85" s="20">
        <f>+BI193</f>
        <v>4614.47325141812</v>
      </c>
      <c r="BJ85" s="20">
        <f>+BJ193</f>
        <v>4630.62390779809</v>
      </c>
      <c r="BK85" s="20">
        <f>+BK193</f>
        <v>4646.83109147538</v>
      </c>
      <c r="BL85" s="20">
        <f>+BL193</f>
        <v>4663.09500029554</v>
      </c>
      <c r="BM85" s="20">
        <f>+BM193</f>
        <v>4679.41583279658</v>
      </c>
      <c r="BN85" s="20">
        <f>+BN193</f>
        <v>4695.79378821137</v>
      </c>
      <c r="BO85" s="20">
        <f>+BO193</f>
        <v>4712.22906647011</v>
      </c>
      <c r="BP85" s="20">
        <f>+BP193</f>
        <v>4728.72186820275</v>
      </c>
      <c r="BQ85" s="20">
        <f>+BQ193</f>
        <v>4745.27239474146</v>
      </c>
    </row>
    <row r="86">
      <c r="C86" s="3" t="inlineStr">
        <is>
          <t>Telephone &amp; Message Services</t>
        </is>
      </c>
      <c r="D86" s="20">
        <f>+SUMIFS($J86:$BQ86,$J$7:$BQ$7,D$8)</f>
        <v>52500</v>
      </c>
      <c r="E86" s="20">
        <f>+SUMIFS($J86:$BQ86,$J$7:$BQ$7,E$8)</f>
        <v>55300</v>
      </c>
      <c r="F86" s="20">
        <f>+SUMIFS($J86:$BQ86,$J$7:$BQ$7,F$8)</f>
        <v>42550</v>
      </c>
      <c r="G86" s="20">
        <f>+SUMIFS($J86:$BQ86,$J$7:$BQ$7,G$8)</f>
        <v>44809.3503762586</v>
      </c>
      <c r="H86" s="20">
        <f>+SUMIFS($J86:$BQ86,$J$7:$BQ$7,H$8)</f>
        <v>46727.9974632345</v>
      </c>
      <c r="J86" s="10">
        <f>+INDEX('QoE PF Adj. P&amp;L Aug-26'!$D$11:$AI$108,MATCH($C86,'QoE PF Adj. P&amp;L Aug-26'!$C$11:$C$108,0),MATCH(J$8,'QoE PF Adj. P&amp;L Aug-26'!$D$8:$AI$8,0))*1000</f>
        <v>4400</v>
      </c>
      <c r="K86" s="10">
        <f>+INDEX('QoE PF Adj. P&amp;L Aug-26'!$D$11:$AI$108,MATCH($C86,'QoE PF Adj. P&amp;L Aug-26'!$C$11:$C$108,0),MATCH(K$8,'QoE PF Adj. P&amp;L Aug-26'!$D$8:$AI$8,0))*1000</f>
        <v>4400</v>
      </c>
      <c r="L86" s="10">
        <f>+INDEX('QoE PF Adj. P&amp;L Aug-26'!$D$11:$AI$108,MATCH($C86,'QoE PF Adj. P&amp;L Aug-26'!$C$11:$C$108,0),MATCH(L$8,'QoE PF Adj. P&amp;L Aug-26'!$D$8:$AI$8,0))*1000</f>
        <v>4500</v>
      </c>
      <c r="M86" s="10">
        <f>+INDEX('QoE PF Adj. P&amp;L Aug-26'!$D$11:$AI$108,MATCH($C86,'QoE PF Adj. P&amp;L Aug-26'!$C$11:$C$108,0),MATCH(M$8,'QoE PF Adj. P&amp;L Aug-26'!$D$8:$AI$8,0))*1000</f>
        <v>4500</v>
      </c>
      <c r="N86" s="10">
        <f>+INDEX('QoE PF Adj. P&amp;L Aug-26'!$D$11:$AI$108,MATCH($C86,'QoE PF Adj. P&amp;L Aug-26'!$C$11:$C$108,0),MATCH(N$8,'QoE PF Adj. P&amp;L Aug-26'!$D$8:$AI$8,0))*1000</f>
        <v>4000</v>
      </c>
      <c r="O86" s="10">
        <f>+INDEX('QoE PF Adj. P&amp;L Aug-26'!$D$11:$AI$108,MATCH($C86,'QoE PF Adj. P&amp;L Aug-26'!$C$11:$C$108,0),MATCH(O$8,'QoE PF Adj. P&amp;L Aug-26'!$D$8:$AI$8,0))*1000</f>
        <v>4300</v>
      </c>
      <c r="P86" s="10">
        <f>+INDEX('QoE PF Adj. P&amp;L Aug-26'!$D$11:$AI$108,MATCH($C86,'QoE PF Adj. P&amp;L Aug-26'!$C$11:$C$108,0),MATCH(P$8,'QoE PF Adj. P&amp;L Aug-26'!$D$8:$AI$8,0))*1000</f>
        <v>4300</v>
      </c>
      <c r="Q86" s="10">
        <f>+INDEX('QoE PF Adj. P&amp;L Aug-26'!$D$11:$AI$108,MATCH($C86,'QoE PF Adj. P&amp;L Aug-26'!$C$11:$C$108,0),MATCH(Q$8,'QoE PF Adj. P&amp;L Aug-26'!$D$8:$AI$8,0))*1000</f>
        <v>4400</v>
      </c>
      <c r="R86" s="10">
        <f>+INDEX('QoE PF Adj. P&amp;L Aug-26'!$D$11:$AI$108,MATCH($C86,'QoE PF Adj. P&amp;L Aug-26'!$C$11:$C$108,0),MATCH(R$8,'QoE PF Adj. P&amp;L Aug-26'!$D$8:$AI$8,0))*1000</f>
        <v>4300</v>
      </c>
      <c r="S86" s="10">
        <f>+INDEX('QoE PF Adj. P&amp;L Aug-26'!$D$11:$AI$108,MATCH($C86,'QoE PF Adj. P&amp;L Aug-26'!$C$11:$C$108,0),MATCH(S$8,'QoE PF Adj. P&amp;L Aug-26'!$D$8:$AI$8,0))*1000</f>
        <v>4300</v>
      </c>
      <c r="T86" s="10">
        <f>+INDEX('QoE PF Adj. P&amp;L Aug-26'!$D$11:$AI$108,MATCH($C86,'QoE PF Adj. P&amp;L Aug-26'!$C$11:$C$108,0),MATCH(T$8,'QoE PF Adj. P&amp;L Aug-26'!$D$8:$AI$8,0))*1000</f>
        <v>4500</v>
      </c>
      <c r="U86" s="10">
        <f>+INDEX('QoE PF Adj. P&amp;L Aug-26'!$D$11:$AI$108,MATCH($C86,'QoE PF Adj. P&amp;L Aug-26'!$C$11:$C$108,0),MATCH(U$8,'QoE PF Adj. P&amp;L Aug-26'!$D$8:$AI$8,0))*1000</f>
        <v>4600</v>
      </c>
      <c r="V86" s="10">
        <f>+INDEX('QoE PF Adj. P&amp;L Aug-26'!$D$11:$AI$108,MATCH($C86,'QoE PF Adj. P&amp;L Aug-26'!$C$11:$C$108,0),MATCH(V$8,'QoE PF Adj. P&amp;L Aug-26'!$D$8:$AI$8,0))*1000</f>
        <v>4700</v>
      </c>
      <c r="W86" s="10">
        <f>+INDEX('QoE PF Adj. P&amp;L Aug-26'!$D$11:$AI$108,MATCH($C86,'QoE PF Adj. P&amp;L Aug-26'!$C$11:$C$108,0),MATCH(W$8,'QoE PF Adj. P&amp;L Aug-26'!$D$8:$AI$8,0))*1000</f>
        <v>4300</v>
      </c>
      <c r="X86" s="10">
        <f>+INDEX('QoE PF Adj. P&amp;L Aug-26'!$D$11:$AI$108,MATCH($C86,'QoE PF Adj. P&amp;L Aug-26'!$C$11:$C$108,0),MATCH(X$8,'QoE PF Adj. P&amp;L Aug-26'!$D$8:$AI$8,0))*1000</f>
        <v>4700</v>
      </c>
      <c r="Y86" s="10">
        <f>+INDEX('QoE PF Adj. P&amp;L Aug-26'!$D$11:$AI$108,MATCH($C86,'QoE PF Adj. P&amp;L Aug-26'!$C$11:$C$108,0),MATCH(Y$8,'QoE PF Adj. P&amp;L Aug-26'!$D$8:$AI$8,0))*1000</f>
        <v>4600</v>
      </c>
      <c r="Z86" s="10">
        <f>+INDEX('QoE PF Adj. P&amp;L Aug-26'!$D$11:$AI$108,MATCH($C86,'QoE PF Adj. P&amp;L Aug-26'!$C$11:$C$108,0),MATCH(Z$8,'QoE PF Adj. P&amp;L Aug-26'!$D$8:$AI$8,0))*1000</f>
        <v>4400</v>
      </c>
      <c r="AA86" s="10">
        <f>+INDEX('QoE PF Adj. P&amp;L Aug-26'!$D$11:$AI$108,MATCH($C86,'QoE PF Adj. P&amp;L Aug-26'!$C$11:$C$108,0),MATCH(AA$8,'QoE PF Adj. P&amp;L Aug-26'!$D$8:$AI$8,0))*1000</f>
        <v>4400</v>
      </c>
      <c r="AB86" s="10">
        <f>+INDEX('QoE PF Adj. P&amp;L Aug-26'!$D$11:$AI$108,MATCH($C86,'QoE PF Adj. P&amp;L Aug-26'!$C$11:$C$108,0),MATCH(AB$8,'QoE PF Adj. P&amp;L Aug-26'!$D$8:$AI$8,0))*1000</f>
        <v>4500</v>
      </c>
      <c r="AC86" s="10">
        <f>+INDEX('QoE PF Adj. P&amp;L Aug-26'!$D$11:$AI$108,MATCH($C86,'QoE PF Adj. P&amp;L Aug-26'!$C$11:$C$108,0),MATCH(AC$8,'QoE PF Adj. P&amp;L Aug-26'!$D$8:$AI$8,0))*1000</f>
        <v>4800</v>
      </c>
      <c r="AD86" s="10">
        <f>+INDEX('QoE PF Adj. P&amp;L Aug-26'!$D$11:$AI$108,MATCH($C86,'QoE PF Adj. P&amp;L Aug-26'!$C$11:$C$108,0),MATCH(AD$8,'QoE PF Adj. P&amp;L Aug-26'!$D$8:$AI$8,0))*1000</f>
        <v>4600</v>
      </c>
      <c r="AE86" s="10">
        <f>+INDEX('QoE PF Adj. P&amp;L Aug-26'!$D$11:$AI$108,MATCH($C86,'QoE PF Adj. P&amp;L Aug-26'!$C$11:$C$108,0),MATCH(AE$8,'QoE PF Adj. P&amp;L Aug-26'!$D$8:$AI$8,0))*1000</f>
        <v>4600</v>
      </c>
      <c r="AF86" s="10">
        <f>+INDEX('QoE PF Adj. P&amp;L Aug-26'!$D$11:$AI$108,MATCH($C86,'QoE PF Adj. P&amp;L Aug-26'!$C$11:$C$108,0),MATCH(AF$8,'QoE PF Adj. P&amp;L Aug-26'!$D$8:$AI$8,0))*1000</f>
        <v>4800</v>
      </c>
      <c r="AG86" s="10">
        <f>+INDEX('QoE PF Adj. P&amp;L Aug-26'!$D$11:$AI$108,MATCH($C86,'QoE PF Adj. P&amp;L Aug-26'!$C$11:$C$108,0),MATCH(AG$8,'QoE PF Adj. P&amp;L Aug-26'!$D$8:$AI$8,0))*1000</f>
        <v>4900</v>
      </c>
      <c r="AH86" s="10">
        <f>+INDEX('QoE PF Adj. P&amp;L Aug-26'!$D$11:$AI$108,MATCH($C86,'QoE PF Adj. P&amp;L Aug-26'!$C$11:$C$108,0),MATCH(AH$8,'QoE PF Adj. P&amp;L Aug-26'!$D$8:$AI$8,0))*1000</f>
        <v>4900</v>
      </c>
      <c r="AI86" s="10">
        <f>+INDEX('QoE PF Adj. P&amp;L Aug-26'!$D$11:$AI$108,MATCH($C86,'QoE PF Adj. P&amp;L Aug-26'!$C$11:$C$108,0),MATCH(AI$8,'QoE PF Adj. P&amp;L Aug-26'!$D$8:$AI$8,0))*1000</f>
        <v>4800</v>
      </c>
      <c r="AJ86" s="10">
        <f>+INDEX('QoE PF Adj. P&amp;L Aug-26'!$D$11:$AI$108,MATCH($C86,'QoE PF Adj. P&amp;L Aug-26'!$C$11:$C$108,0),MATCH(AJ$8,'QoE PF Adj. P&amp;L Aug-26'!$D$8:$AI$8,0))*1000</f>
        <v>4500</v>
      </c>
      <c r="AK86" s="10">
        <f>+INDEX('QoE PF Adj. P&amp;L Aug-26'!$D$11:$AI$108,MATCH($C86,'QoE PF Adj. P&amp;L Aug-26'!$C$11:$C$108,0),MATCH(AK$8,'QoE PF Adj. P&amp;L Aug-26'!$D$8:$AI$8,0))*1000</f>
        <v>4600</v>
      </c>
      <c r="AL86" s="10">
        <f>+INDEX('QoE PF Adj. P&amp;L Aug-26'!$D$11:$AI$108,MATCH($C86,'QoE PF Adj. P&amp;L Aug-26'!$C$11:$C$108,0),MATCH(AL$8,'QoE PF Adj. P&amp;L Aug-26'!$D$8:$AI$8,0))*1000</f>
        <v>5000</v>
      </c>
      <c r="AM86" s="10">
        <f>+INDEX('QoE PF Adj. P&amp;L Aug-26'!$D$11:$AI$108,MATCH($C86,'QoE PF Adj. P&amp;L Aug-26'!$C$11:$C$108,0),MATCH(AM$8,'QoE PF Adj. P&amp;L Aug-26'!$D$8:$AI$8,0))*1000</f>
        <v>5100</v>
      </c>
      <c r="AN86" s="10">
        <f>+INDEX('QoE PF Adj. P&amp;L Aug-26'!$D$11:$AI$108,MATCH($C86,'QoE PF Adj. P&amp;L Aug-26'!$C$11:$C$108,0),MATCH(AN$8,'QoE PF Adj. P&amp;L Aug-26'!$D$8:$AI$8,0))*1000</f>
        <v>4900</v>
      </c>
      <c r="AO86" s="10">
        <f>+INDEX('QoE PF Adj. P&amp;L Aug-26'!$D$11:$AI$108,MATCH($C86,'QoE PF Adj. P&amp;L Aug-26'!$C$11:$C$108,0),MATCH(AO$8,'QoE PF Adj. P&amp;L Aug-26'!$D$8:$AI$8,0))*1000</f>
        <v>5100</v>
      </c>
      <c r="AP86" s="10">
        <f>+SUMIFS('Sep - Nov P&amp;L'!I:I,'Sep - Nov P&amp;L'!$D:$D,$C86)</f>
        <v>0</v>
      </c>
      <c r="AQ86" s="10">
        <f>+SUMIFS('Sep - Nov P&amp;L'!J:J,'Sep - Nov P&amp;L'!$D:$D,$C86)</f>
        <v>0</v>
      </c>
      <c r="AR86" s="10">
        <f>+SUMIFS('Sep - Nov P&amp;L'!K:K,'Sep - Nov P&amp;L'!$D:$D,$C86)</f>
        <v>0</v>
      </c>
      <c r="AS86" s="20">
        <f>+AS194</f>
        <v>3650</v>
      </c>
      <c r="AT86" s="20">
        <f>+AT194</f>
        <v>3662.775</v>
      </c>
      <c r="AU86" s="20">
        <f>+AU194</f>
        <v>3675.5947125</v>
      </c>
      <c r="AV86" s="20">
        <f>+AV194</f>
        <v>3688.45929399375</v>
      </c>
      <c r="AW86" s="20">
        <f>+AW194</f>
        <v>3701.36890152273</v>
      </c>
      <c r="AX86" s="20">
        <f>+AX194</f>
        <v>3714.32369267806</v>
      </c>
      <c r="AY86" s="20">
        <f>+AY194</f>
        <v>3727.32382560243</v>
      </c>
      <c r="AZ86" s="20">
        <f>+AZ194</f>
        <v>3740.36945899204</v>
      </c>
      <c r="BA86" s="20">
        <f>+BA194</f>
        <v>3753.46075209851</v>
      </c>
      <c r="BB86" s="20">
        <f>+BB194</f>
        <v>3766.59786473086</v>
      </c>
      <c r="BC86" s="20">
        <f>+BC194</f>
        <v>3779.78095725742</v>
      </c>
      <c r="BD86" s="20">
        <f>+BD194</f>
        <v>3793.01019060782</v>
      </c>
      <c r="BE86" s="20">
        <f>+BE194</f>
        <v>3806.28572627495</v>
      </c>
      <c r="BF86" s="20">
        <f>+BF194</f>
        <v>3819.60772631691</v>
      </c>
      <c r="BG86" s="20">
        <f>+BG194</f>
        <v>3832.97635335902</v>
      </c>
      <c r="BH86" s="20">
        <f>+BH194</f>
        <v>3846.39177059577</v>
      </c>
      <c r="BI86" s="20">
        <f>+BI194</f>
        <v>3859.85414179286</v>
      </c>
      <c r="BJ86" s="20">
        <f>+BJ194</f>
        <v>3873.36363128913</v>
      </c>
      <c r="BK86" s="20">
        <f>+BK194</f>
        <v>3886.92040399865</v>
      </c>
      <c r="BL86" s="20">
        <f>+BL194</f>
        <v>3900.52462541264</v>
      </c>
      <c r="BM86" s="20">
        <f>+BM194</f>
        <v>3914.17646160159</v>
      </c>
      <c r="BN86" s="20">
        <f>+BN194</f>
        <v>3927.87607921719</v>
      </c>
      <c r="BO86" s="20">
        <f>+BO194</f>
        <v>3941.62364549445</v>
      </c>
      <c r="BP86" s="20">
        <f>+BP194</f>
        <v>3955.41932825368</v>
      </c>
      <c r="BQ86" s="20">
        <f>+BQ194</f>
        <v>3969.26329590257</v>
      </c>
    </row>
    <row r="87">
      <c r="C87" s="3" t="inlineStr">
        <is>
          <t>Travel, Meals &amp; Entertainment</t>
        </is>
      </c>
      <c r="D87" s="20">
        <f>+SUMIFS($J87:$BQ87,$J$7:$BQ$7,D$8)</f>
        <v>38500</v>
      </c>
      <c r="E87" s="20">
        <f>+SUMIFS($J87:$BQ87,$J$7:$BQ$7,E$8)</f>
        <v>41900</v>
      </c>
      <c r="F87" s="20">
        <f>+SUMIFS($J87:$BQ87,$J$7:$BQ$7,F$8)</f>
        <v>44524.6375</v>
      </c>
      <c r="G87" s="20">
        <f>+SUMIFS($J87:$BQ87,$J$7:$BQ$7,G$8)</f>
        <v>45540.8783668189</v>
      </c>
      <c r="H87" s="20">
        <f>+SUMIFS($J87:$BQ87,$J$7:$BQ$7,H$8)</f>
        <v>47490.8480245606</v>
      </c>
      <c r="J87" s="10">
        <f>+INDEX('QoE PF Adj. P&amp;L Aug-26'!$D$11:$AI$108,MATCH($C87,'QoE PF Adj. P&amp;L Aug-26'!$C$11:$C$108,0),MATCH(J$8,'QoE PF Adj. P&amp;L Aug-26'!$D$8:$AI$8,0))*1000</f>
        <v>3100</v>
      </c>
      <c r="K87" s="10">
        <f>+INDEX('QoE PF Adj. P&amp;L Aug-26'!$D$11:$AI$108,MATCH($C87,'QoE PF Adj. P&amp;L Aug-26'!$C$11:$C$108,0),MATCH(K$8,'QoE PF Adj. P&amp;L Aug-26'!$D$8:$AI$8,0))*1000</f>
        <v>3000</v>
      </c>
      <c r="L87" s="10">
        <f>+INDEX('QoE PF Adj. P&amp;L Aug-26'!$D$11:$AI$108,MATCH($C87,'QoE PF Adj. P&amp;L Aug-26'!$C$11:$C$108,0),MATCH(L$8,'QoE PF Adj. P&amp;L Aug-26'!$D$8:$AI$8,0))*1000</f>
        <v>3100</v>
      </c>
      <c r="M87" s="10">
        <f>+INDEX('QoE PF Adj. P&amp;L Aug-26'!$D$11:$AI$108,MATCH($C87,'QoE PF Adj. P&amp;L Aug-26'!$C$11:$C$108,0),MATCH(M$8,'QoE PF Adj. P&amp;L Aug-26'!$D$8:$AI$8,0))*1000</f>
        <v>3200</v>
      </c>
      <c r="N87" s="10">
        <f>+INDEX('QoE PF Adj. P&amp;L Aug-26'!$D$11:$AI$108,MATCH($C87,'QoE PF Adj. P&amp;L Aug-26'!$C$11:$C$108,0),MATCH(N$8,'QoE PF Adj. P&amp;L Aug-26'!$D$8:$AI$8,0))*1000</f>
        <v>3100</v>
      </c>
      <c r="O87" s="10">
        <f>+INDEX('QoE PF Adj. P&amp;L Aug-26'!$D$11:$AI$108,MATCH($C87,'QoE PF Adj. P&amp;L Aug-26'!$C$11:$C$108,0),MATCH(O$8,'QoE PF Adj. P&amp;L Aug-26'!$D$8:$AI$8,0))*1000</f>
        <v>3300</v>
      </c>
      <c r="P87" s="10">
        <f>+INDEX('QoE PF Adj. P&amp;L Aug-26'!$D$11:$AI$108,MATCH($C87,'QoE PF Adj. P&amp;L Aug-26'!$C$11:$C$108,0),MATCH(P$8,'QoE PF Adj. P&amp;L Aug-26'!$D$8:$AI$8,0))*1000</f>
        <v>3400</v>
      </c>
      <c r="Q87" s="10">
        <f>+INDEX('QoE PF Adj. P&amp;L Aug-26'!$D$11:$AI$108,MATCH($C87,'QoE PF Adj. P&amp;L Aug-26'!$C$11:$C$108,0),MATCH(Q$8,'QoE PF Adj. P&amp;L Aug-26'!$D$8:$AI$8,0))*1000</f>
        <v>3200</v>
      </c>
      <c r="R87" s="10">
        <f>+INDEX('QoE PF Adj. P&amp;L Aug-26'!$D$11:$AI$108,MATCH($C87,'QoE PF Adj. P&amp;L Aug-26'!$C$11:$C$108,0),MATCH(R$8,'QoE PF Adj. P&amp;L Aug-26'!$D$8:$AI$8,0))*1000</f>
        <v>3400</v>
      </c>
      <c r="S87" s="10">
        <f>+INDEX('QoE PF Adj. P&amp;L Aug-26'!$D$11:$AI$108,MATCH($C87,'QoE PF Adj. P&amp;L Aug-26'!$C$11:$C$108,0),MATCH(S$8,'QoE PF Adj. P&amp;L Aug-26'!$D$8:$AI$8,0))*1000</f>
        <v>3200</v>
      </c>
      <c r="T87" s="10">
        <f>+INDEX('QoE PF Adj. P&amp;L Aug-26'!$D$11:$AI$108,MATCH($C87,'QoE PF Adj. P&amp;L Aug-26'!$C$11:$C$108,0),MATCH(T$8,'QoE PF Adj. P&amp;L Aug-26'!$D$8:$AI$8,0))*1000</f>
        <v>3200</v>
      </c>
      <c r="U87" s="10">
        <f>+INDEX('QoE PF Adj. P&amp;L Aug-26'!$D$11:$AI$108,MATCH($C87,'QoE PF Adj. P&amp;L Aug-26'!$C$11:$C$108,0),MATCH(U$8,'QoE PF Adj. P&amp;L Aug-26'!$D$8:$AI$8,0))*1000</f>
        <v>3300</v>
      </c>
      <c r="V87" s="10">
        <f>+INDEX('QoE PF Adj. P&amp;L Aug-26'!$D$11:$AI$108,MATCH($C87,'QoE PF Adj. P&amp;L Aug-26'!$C$11:$C$108,0),MATCH(V$8,'QoE PF Adj. P&amp;L Aug-26'!$D$8:$AI$8,0))*1000</f>
        <v>3500</v>
      </c>
      <c r="W87" s="10">
        <f>+INDEX('QoE PF Adj. P&amp;L Aug-26'!$D$11:$AI$108,MATCH($C87,'QoE PF Adj. P&amp;L Aug-26'!$C$11:$C$108,0),MATCH(W$8,'QoE PF Adj. P&amp;L Aug-26'!$D$8:$AI$8,0))*1000</f>
        <v>3200</v>
      </c>
      <c r="X87" s="10">
        <f>+INDEX('QoE PF Adj. P&amp;L Aug-26'!$D$11:$AI$108,MATCH($C87,'QoE PF Adj. P&amp;L Aug-26'!$C$11:$C$108,0),MATCH(X$8,'QoE PF Adj. P&amp;L Aug-26'!$D$8:$AI$8,0))*1000</f>
        <v>3500</v>
      </c>
      <c r="Y87" s="10">
        <f>+INDEX('QoE PF Adj. P&amp;L Aug-26'!$D$11:$AI$108,MATCH($C87,'QoE PF Adj. P&amp;L Aug-26'!$C$11:$C$108,0),MATCH(Y$8,'QoE PF Adj. P&amp;L Aug-26'!$D$8:$AI$8,0))*1000</f>
        <v>3500</v>
      </c>
      <c r="Z87" s="10">
        <f>+INDEX('QoE PF Adj. P&amp;L Aug-26'!$D$11:$AI$108,MATCH($C87,'QoE PF Adj. P&amp;L Aug-26'!$C$11:$C$108,0),MATCH(Z$8,'QoE PF Adj. P&amp;L Aug-26'!$D$8:$AI$8,0))*1000</f>
        <v>3300</v>
      </c>
      <c r="AA87" s="10">
        <f>+INDEX('QoE PF Adj. P&amp;L Aug-26'!$D$11:$AI$108,MATCH($C87,'QoE PF Adj. P&amp;L Aug-26'!$C$11:$C$108,0),MATCH(AA$8,'QoE PF Adj. P&amp;L Aug-26'!$D$8:$AI$8,0))*1000</f>
        <v>3600</v>
      </c>
      <c r="AB87" s="10">
        <f>+INDEX('QoE PF Adj. P&amp;L Aug-26'!$D$11:$AI$108,MATCH($C87,'QoE PF Adj. P&amp;L Aug-26'!$C$11:$C$108,0),MATCH(AB$8,'QoE PF Adj. P&amp;L Aug-26'!$D$8:$AI$8,0))*1000</f>
        <v>3600</v>
      </c>
      <c r="AC87" s="10">
        <f>+INDEX('QoE PF Adj. P&amp;L Aug-26'!$D$11:$AI$108,MATCH($C87,'QoE PF Adj. P&amp;L Aug-26'!$C$11:$C$108,0),MATCH(AC$8,'QoE PF Adj. P&amp;L Aug-26'!$D$8:$AI$8,0))*1000</f>
        <v>3300</v>
      </c>
      <c r="AD87" s="10">
        <f>+INDEX('QoE PF Adj. P&amp;L Aug-26'!$D$11:$AI$108,MATCH($C87,'QoE PF Adj. P&amp;L Aug-26'!$C$11:$C$108,0),MATCH(AD$8,'QoE PF Adj. P&amp;L Aug-26'!$D$8:$AI$8,0))*1000</f>
        <v>3500</v>
      </c>
      <c r="AE87" s="10">
        <f>+INDEX('QoE PF Adj. P&amp;L Aug-26'!$D$11:$AI$108,MATCH($C87,'QoE PF Adj. P&amp;L Aug-26'!$C$11:$C$108,0),MATCH(AE$8,'QoE PF Adj. P&amp;L Aug-26'!$D$8:$AI$8,0))*1000</f>
        <v>3700</v>
      </c>
      <c r="AF87" s="10">
        <f>+INDEX('QoE PF Adj. P&amp;L Aug-26'!$D$11:$AI$108,MATCH($C87,'QoE PF Adj. P&amp;L Aug-26'!$C$11:$C$108,0),MATCH(AF$8,'QoE PF Adj. P&amp;L Aug-26'!$D$8:$AI$8,0))*1000</f>
        <v>3500</v>
      </c>
      <c r="AG87" s="10">
        <f>+INDEX('QoE PF Adj. P&amp;L Aug-26'!$D$11:$AI$108,MATCH($C87,'QoE PF Adj. P&amp;L Aug-26'!$C$11:$C$108,0),MATCH(AG$8,'QoE PF Adj. P&amp;L Aug-26'!$D$8:$AI$8,0))*1000</f>
        <v>3700</v>
      </c>
      <c r="AH87" s="10">
        <f>+INDEX('QoE PF Adj. P&amp;L Aug-26'!$D$11:$AI$108,MATCH($C87,'QoE PF Adj. P&amp;L Aug-26'!$C$11:$C$108,0),MATCH(AH$8,'QoE PF Adj. P&amp;L Aug-26'!$D$8:$AI$8,0))*1000</f>
        <v>3800</v>
      </c>
      <c r="AI87" s="10">
        <f>+INDEX('QoE PF Adj. P&amp;L Aug-26'!$D$11:$AI$108,MATCH($C87,'QoE PF Adj. P&amp;L Aug-26'!$C$11:$C$108,0),MATCH(AI$8,'QoE PF Adj. P&amp;L Aug-26'!$D$8:$AI$8,0))*1000</f>
        <v>3600</v>
      </c>
      <c r="AJ87" s="10">
        <f>+INDEX('QoE PF Adj. P&amp;L Aug-26'!$D$11:$AI$108,MATCH($C87,'QoE PF Adj. P&amp;L Aug-26'!$C$11:$C$108,0),MATCH(AJ$8,'QoE PF Adj. P&amp;L Aug-26'!$D$8:$AI$8,0))*1000</f>
        <v>3700</v>
      </c>
      <c r="AK87" s="10">
        <f>+INDEX('QoE PF Adj. P&amp;L Aug-26'!$D$11:$AI$108,MATCH($C87,'QoE PF Adj. P&amp;L Aug-26'!$C$11:$C$108,0),MATCH(AK$8,'QoE PF Adj. P&amp;L Aug-26'!$D$8:$AI$8,0))*1000</f>
        <v>3700</v>
      </c>
      <c r="AL87" s="10">
        <f>+INDEX('QoE PF Adj. P&amp;L Aug-26'!$D$11:$AI$108,MATCH($C87,'QoE PF Adj. P&amp;L Aug-26'!$C$11:$C$108,0),MATCH(AL$8,'QoE PF Adj. P&amp;L Aug-26'!$D$8:$AI$8,0))*1000</f>
        <v>3400</v>
      </c>
      <c r="AM87" s="10">
        <f>+INDEX('QoE PF Adj. P&amp;L Aug-26'!$D$11:$AI$108,MATCH($C87,'QoE PF Adj. P&amp;L Aug-26'!$C$11:$C$108,0),MATCH(AM$8,'QoE PF Adj. P&amp;L Aug-26'!$D$8:$AI$8,0))*1000</f>
        <v>3700</v>
      </c>
      <c r="AN87" s="10">
        <f>+INDEX('QoE PF Adj. P&amp;L Aug-26'!$D$11:$AI$108,MATCH($C87,'QoE PF Adj. P&amp;L Aug-26'!$C$11:$C$108,0),MATCH(AN$8,'QoE PF Adj. P&amp;L Aug-26'!$D$8:$AI$8,0))*1000</f>
        <v>3800</v>
      </c>
      <c r="AO87" s="10">
        <f>+INDEX('QoE PF Adj. P&amp;L Aug-26'!$D$11:$AI$108,MATCH($C87,'QoE PF Adj. P&amp;L Aug-26'!$C$11:$C$108,0),MATCH(AO$8,'QoE PF Adj. P&amp;L Aug-26'!$D$8:$AI$8,0))*1000</f>
        <v>3500</v>
      </c>
      <c r="AP87" s="10">
        <f>+SUMIFS('Sep - Nov P&amp;L'!I:I,'Sep - Nov P&amp;L'!$D:$D,$C87)</f>
        <v>3897.05</v>
      </c>
      <c r="AQ87" s="10">
        <f>+SUMIFS('Sep - Nov P&amp;L'!J:J,'Sep - Nov P&amp;L'!$D:$D,$C87)</f>
        <v>3933.75</v>
      </c>
      <c r="AR87" s="10">
        <f>+SUMIFS('Sep - Nov P&amp;L'!K:K,'Sep - Nov P&amp;L'!$D:$D,$C87)</f>
        <v>3784.25</v>
      </c>
      <c r="AS87" s="20">
        <f>+AS195</f>
        <v>3709.5875</v>
      </c>
      <c r="AT87" s="20">
        <f>+AT195</f>
        <v>3722.57105625</v>
      </c>
      <c r="AU87" s="20">
        <f>+AU195</f>
        <v>3735.60005494688</v>
      </c>
      <c r="AV87" s="20">
        <f>+AV195</f>
        <v>3748.67465513919</v>
      </c>
      <c r="AW87" s="20">
        <f>+AW195</f>
        <v>3761.79501643218</v>
      </c>
      <c r="AX87" s="20">
        <f>+AX195</f>
        <v>3774.96129898969</v>
      </c>
      <c r="AY87" s="20">
        <f>+AY195</f>
        <v>3788.17366353615</v>
      </c>
      <c r="AZ87" s="20">
        <f>+AZ195</f>
        <v>3801.43227135853</v>
      </c>
      <c r="BA87" s="20">
        <f>+BA195</f>
        <v>3814.73728430829</v>
      </c>
      <c r="BB87" s="20">
        <f>+BB195</f>
        <v>3828.08886480337</v>
      </c>
      <c r="BC87" s="20">
        <f>+BC195</f>
        <v>3841.48717583018</v>
      </c>
      <c r="BD87" s="20">
        <f>+BD195</f>
        <v>3854.93238094558</v>
      </c>
      <c r="BE87" s="20">
        <f>+BE195</f>
        <v>3868.42464427889</v>
      </c>
      <c r="BF87" s="20">
        <f>+BF195</f>
        <v>3881.96413053387</v>
      </c>
      <c r="BG87" s="20">
        <f>+BG195</f>
        <v>3895.55100499074</v>
      </c>
      <c r="BH87" s="20">
        <f>+BH195</f>
        <v>3909.18543350821</v>
      </c>
      <c r="BI87" s="20">
        <f>+BI195</f>
        <v>3922.86758252548</v>
      </c>
      <c r="BJ87" s="20">
        <f>+BJ195</f>
        <v>3936.59761906432</v>
      </c>
      <c r="BK87" s="20">
        <f>+BK195</f>
        <v>3950.37571073105</v>
      </c>
      <c r="BL87" s="20">
        <f>+BL195</f>
        <v>3964.20202571861</v>
      </c>
      <c r="BM87" s="20">
        <f>+BM195</f>
        <v>3978.07673280862</v>
      </c>
      <c r="BN87" s="20">
        <f>+BN195</f>
        <v>3992.00000137345</v>
      </c>
      <c r="BO87" s="20">
        <f>+BO195</f>
        <v>4005.97200137826</v>
      </c>
      <c r="BP87" s="20">
        <f>+BP195</f>
        <v>4019.99290338309</v>
      </c>
      <c r="BQ87" s="20">
        <f>+BQ195</f>
        <v>4034.06287854493</v>
      </c>
    </row>
    <row r="88">
      <c r="C88" s="3" t="inlineStr">
        <is>
          <t>Donations &amp; Gifts</t>
        </is>
      </c>
      <c r="D88" s="20">
        <f>+SUMIFS($J88:$BQ88,$J$7:$BQ$7,D$8)</f>
        <v>6200</v>
      </c>
      <c r="E88" s="20">
        <f>+SUMIFS($J88:$BQ88,$J$7:$BQ$7,E$8)</f>
        <v>7000</v>
      </c>
      <c r="F88" s="20">
        <f>+SUMIFS($J88:$BQ88,$J$7:$BQ$7,F$8)</f>
        <v>5250</v>
      </c>
      <c r="G88" s="20">
        <f>+SUMIFS($J88:$BQ88,$J$7:$BQ$7,G$8)</f>
        <v>5524.44045734695</v>
      </c>
      <c r="H88" s="20">
        <f>+SUMIFS($J88:$BQ88,$J$7:$BQ$7,H$8)</f>
        <v>5760.98598861795</v>
      </c>
      <c r="J88" s="10">
        <f>+INDEX('QoE PF Adj. P&amp;L Aug-26'!$D$11:$AI$108,MATCH($C88,'QoE PF Adj. P&amp;L Aug-26'!$C$11:$C$108,0),MATCH(J$8,'QoE PF Adj. P&amp;L Aug-26'!$D$8:$AI$8,0))*1000</f>
        <v>500</v>
      </c>
      <c r="K88" s="10">
        <f>+INDEX('QoE PF Adj. P&amp;L Aug-26'!$D$11:$AI$108,MATCH($C88,'QoE PF Adj. P&amp;L Aug-26'!$C$11:$C$108,0),MATCH(K$8,'QoE PF Adj. P&amp;L Aug-26'!$D$8:$AI$8,0))*1000</f>
        <v>500</v>
      </c>
      <c r="L88" s="10">
        <f>+INDEX('QoE PF Adj. P&amp;L Aug-26'!$D$11:$AI$108,MATCH($C88,'QoE PF Adj. P&amp;L Aug-26'!$C$11:$C$108,0),MATCH(L$8,'QoE PF Adj. P&amp;L Aug-26'!$D$8:$AI$8,0))*1000</f>
        <v>500</v>
      </c>
      <c r="M88" s="10">
        <f>+INDEX('QoE PF Adj. P&amp;L Aug-26'!$D$11:$AI$108,MATCH($C88,'QoE PF Adj. P&amp;L Aug-26'!$C$11:$C$108,0),MATCH(M$8,'QoE PF Adj. P&amp;L Aug-26'!$D$8:$AI$8,0))*1000</f>
        <v>500</v>
      </c>
      <c r="N88" s="10">
        <f>+INDEX('QoE PF Adj. P&amp;L Aug-26'!$D$11:$AI$108,MATCH($C88,'QoE PF Adj. P&amp;L Aug-26'!$C$11:$C$108,0),MATCH(N$8,'QoE PF Adj. P&amp;L Aug-26'!$D$8:$AI$8,0))*1000</f>
        <v>500</v>
      </c>
      <c r="O88" s="10">
        <f>+INDEX('QoE PF Adj. P&amp;L Aug-26'!$D$11:$AI$108,MATCH($C88,'QoE PF Adj. P&amp;L Aug-26'!$C$11:$C$108,0),MATCH(O$8,'QoE PF Adj. P&amp;L Aug-26'!$D$8:$AI$8,0))*1000</f>
        <v>500</v>
      </c>
      <c r="P88" s="10">
        <f>+INDEX('QoE PF Adj. P&amp;L Aug-26'!$D$11:$AI$108,MATCH($C88,'QoE PF Adj. P&amp;L Aug-26'!$C$11:$C$108,0),MATCH(P$8,'QoE PF Adj. P&amp;L Aug-26'!$D$8:$AI$8,0))*1000</f>
        <v>500</v>
      </c>
      <c r="Q88" s="10">
        <f>+INDEX('QoE PF Adj. P&amp;L Aug-26'!$D$11:$AI$108,MATCH($C88,'QoE PF Adj. P&amp;L Aug-26'!$C$11:$C$108,0),MATCH(Q$8,'QoE PF Adj. P&amp;L Aug-26'!$D$8:$AI$8,0))*1000</f>
        <v>500</v>
      </c>
      <c r="R88" s="10">
        <f>+INDEX('QoE PF Adj. P&amp;L Aug-26'!$D$11:$AI$108,MATCH($C88,'QoE PF Adj. P&amp;L Aug-26'!$C$11:$C$108,0),MATCH(R$8,'QoE PF Adj. P&amp;L Aug-26'!$D$8:$AI$8,0))*1000</f>
        <v>600</v>
      </c>
      <c r="S88" s="10">
        <f>+INDEX('QoE PF Adj. P&amp;L Aug-26'!$D$11:$AI$108,MATCH($C88,'QoE PF Adj. P&amp;L Aug-26'!$C$11:$C$108,0),MATCH(S$8,'QoE PF Adj. P&amp;L Aug-26'!$D$8:$AI$8,0))*1000</f>
        <v>600</v>
      </c>
      <c r="T88" s="10">
        <f>+INDEX('QoE PF Adj. P&amp;L Aug-26'!$D$11:$AI$108,MATCH($C88,'QoE PF Adj. P&amp;L Aug-26'!$C$11:$C$108,0),MATCH(T$8,'QoE PF Adj. P&amp;L Aug-26'!$D$8:$AI$8,0))*1000</f>
        <v>500</v>
      </c>
      <c r="U88" s="10">
        <f>+INDEX('QoE PF Adj. P&amp;L Aug-26'!$D$11:$AI$108,MATCH($C88,'QoE PF Adj. P&amp;L Aug-26'!$C$11:$C$108,0),MATCH(U$8,'QoE PF Adj. P&amp;L Aug-26'!$D$8:$AI$8,0))*1000</f>
        <v>500</v>
      </c>
      <c r="V88" s="10">
        <f>+INDEX('QoE PF Adj. P&amp;L Aug-26'!$D$11:$AI$108,MATCH($C88,'QoE PF Adj. P&amp;L Aug-26'!$C$11:$C$108,0),MATCH(V$8,'QoE PF Adj. P&amp;L Aug-26'!$D$8:$AI$8,0))*1000</f>
        <v>600</v>
      </c>
      <c r="W88" s="10">
        <f>+INDEX('QoE PF Adj. P&amp;L Aug-26'!$D$11:$AI$108,MATCH($C88,'QoE PF Adj. P&amp;L Aug-26'!$C$11:$C$108,0),MATCH(W$8,'QoE PF Adj. P&amp;L Aug-26'!$D$8:$AI$8,0))*1000</f>
        <v>600</v>
      </c>
      <c r="X88" s="10">
        <f>+INDEX('QoE PF Adj. P&amp;L Aug-26'!$D$11:$AI$108,MATCH($C88,'QoE PF Adj. P&amp;L Aug-26'!$C$11:$C$108,0),MATCH(X$8,'QoE PF Adj. P&amp;L Aug-26'!$D$8:$AI$8,0))*1000</f>
        <v>600</v>
      </c>
      <c r="Y88" s="10">
        <f>+INDEX('QoE PF Adj. P&amp;L Aug-26'!$D$11:$AI$108,MATCH($C88,'QoE PF Adj. P&amp;L Aug-26'!$C$11:$C$108,0),MATCH(Y$8,'QoE PF Adj. P&amp;L Aug-26'!$D$8:$AI$8,0))*1000</f>
        <v>600</v>
      </c>
      <c r="Z88" s="10">
        <f>+INDEX('QoE PF Adj. P&amp;L Aug-26'!$D$11:$AI$108,MATCH($C88,'QoE PF Adj. P&amp;L Aug-26'!$C$11:$C$108,0),MATCH(Z$8,'QoE PF Adj. P&amp;L Aug-26'!$D$8:$AI$8,0))*1000</f>
        <v>600</v>
      </c>
      <c r="AA88" s="10">
        <f>+INDEX('QoE PF Adj. P&amp;L Aug-26'!$D$11:$AI$108,MATCH($C88,'QoE PF Adj. P&amp;L Aug-26'!$C$11:$C$108,0),MATCH(AA$8,'QoE PF Adj. P&amp;L Aug-26'!$D$8:$AI$8,0))*1000</f>
        <v>600</v>
      </c>
      <c r="AB88" s="10">
        <f>+INDEX('QoE PF Adj. P&amp;L Aug-26'!$D$11:$AI$108,MATCH($C88,'QoE PF Adj. P&amp;L Aug-26'!$C$11:$C$108,0),MATCH(AB$8,'QoE PF Adj. P&amp;L Aug-26'!$D$8:$AI$8,0))*1000</f>
        <v>500</v>
      </c>
      <c r="AC88" s="10">
        <f>+INDEX('QoE PF Adj. P&amp;L Aug-26'!$D$11:$AI$108,MATCH($C88,'QoE PF Adj. P&amp;L Aug-26'!$C$11:$C$108,0),MATCH(AC$8,'QoE PF Adj. P&amp;L Aug-26'!$D$8:$AI$8,0))*1000</f>
        <v>500</v>
      </c>
      <c r="AD88" s="10">
        <f>+INDEX('QoE PF Adj. P&amp;L Aug-26'!$D$11:$AI$108,MATCH($C88,'QoE PF Adj. P&amp;L Aug-26'!$C$11:$C$108,0),MATCH(AD$8,'QoE PF Adj. P&amp;L Aug-26'!$D$8:$AI$8,0))*1000</f>
        <v>600</v>
      </c>
      <c r="AE88" s="10">
        <f>+INDEX('QoE PF Adj. P&amp;L Aug-26'!$D$11:$AI$108,MATCH($C88,'QoE PF Adj. P&amp;L Aug-26'!$C$11:$C$108,0),MATCH(AE$8,'QoE PF Adj. P&amp;L Aug-26'!$D$8:$AI$8,0))*1000</f>
        <v>600</v>
      </c>
      <c r="AF88" s="10">
        <f>+INDEX('QoE PF Adj. P&amp;L Aug-26'!$D$11:$AI$108,MATCH($C88,'QoE PF Adj. P&amp;L Aug-26'!$C$11:$C$108,0),MATCH(AF$8,'QoE PF Adj. P&amp;L Aug-26'!$D$8:$AI$8,0))*1000</f>
        <v>600</v>
      </c>
      <c r="AG88" s="10">
        <f>+INDEX('QoE PF Adj. P&amp;L Aug-26'!$D$11:$AI$108,MATCH($C88,'QoE PF Adj. P&amp;L Aug-26'!$C$11:$C$108,0),MATCH(AG$8,'QoE PF Adj. P&amp;L Aug-26'!$D$8:$AI$8,0))*1000</f>
        <v>600</v>
      </c>
      <c r="AH88" s="10">
        <f>+INDEX('QoE PF Adj. P&amp;L Aug-26'!$D$11:$AI$108,MATCH($C88,'QoE PF Adj. P&amp;L Aug-26'!$C$11:$C$108,0),MATCH(AH$8,'QoE PF Adj. P&amp;L Aug-26'!$D$8:$AI$8,0))*1000</f>
        <v>600</v>
      </c>
      <c r="AI88" s="10">
        <f>+INDEX('QoE PF Adj. P&amp;L Aug-26'!$D$11:$AI$108,MATCH($C88,'QoE PF Adj. P&amp;L Aug-26'!$C$11:$C$108,0),MATCH(AI$8,'QoE PF Adj. P&amp;L Aug-26'!$D$8:$AI$8,0))*1000</f>
        <v>600</v>
      </c>
      <c r="AJ88" s="10">
        <f>+INDEX('QoE PF Adj. P&amp;L Aug-26'!$D$11:$AI$108,MATCH($C88,'QoE PF Adj. P&amp;L Aug-26'!$C$11:$C$108,0),MATCH(AJ$8,'QoE PF Adj. P&amp;L Aug-26'!$D$8:$AI$8,0))*1000</f>
        <v>600</v>
      </c>
      <c r="AK88" s="10">
        <f>+INDEX('QoE PF Adj. P&amp;L Aug-26'!$D$11:$AI$108,MATCH($C88,'QoE PF Adj. P&amp;L Aug-26'!$C$11:$C$108,0),MATCH(AK$8,'QoE PF Adj. P&amp;L Aug-26'!$D$8:$AI$8,0))*1000</f>
        <v>600</v>
      </c>
      <c r="AL88" s="10">
        <f>+INDEX('QoE PF Adj. P&amp;L Aug-26'!$D$11:$AI$108,MATCH($C88,'QoE PF Adj. P&amp;L Aug-26'!$C$11:$C$108,0),MATCH(AL$8,'QoE PF Adj. P&amp;L Aug-26'!$D$8:$AI$8,0))*1000</f>
        <v>600</v>
      </c>
      <c r="AM88" s="10">
        <f>+INDEX('QoE PF Adj. P&amp;L Aug-26'!$D$11:$AI$108,MATCH($C88,'QoE PF Adj. P&amp;L Aug-26'!$C$11:$C$108,0),MATCH(AM$8,'QoE PF Adj. P&amp;L Aug-26'!$D$8:$AI$8,0))*1000</f>
        <v>600</v>
      </c>
      <c r="AN88" s="10">
        <f>+INDEX('QoE PF Adj. P&amp;L Aug-26'!$D$11:$AI$108,MATCH($C88,'QoE PF Adj. P&amp;L Aug-26'!$C$11:$C$108,0),MATCH(AN$8,'QoE PF Adj. P&amp;L Aug-26'!$D$8:$AI$8,0))*1000</f>
        <v>600</v>
      </c>
      <c r="AO88" s="10">
        <f>+INDEX('QoE PF Adj. P&amp;L Aug-26'!$D$11:$AI$108,MATCH($C88,'QoE PF Adj. P&amp;L Aug-26'!$C$11:$C$108,0),MATCH(AO$8,'QoE PF Adj. P&amp;L Aug-26'!$D$8:$AI$8,0))*1000</f>
        <v>600</v>
      </c>
      <c r="AP88" s="10">
        <f>+SUMIFS('Sep - Nov P&amp;L'!I:I,'Sep - Nov P&amp;L'!$D:$D,$C88)</f>
        <v>0</v>
      </c>
      <c r="AQ88" s="10">
        <f>+SUMIFS('Sep - Nov P&amp;L'!J:J,'Sep - Nov P&amp;L'!$D:$D,$C88)</f>
        <v>0</v>
      </c>
      <c r="AR88" s="10">
        <f>+SUMIFS('Sep - Nov P&amp;L'!K:K,'Sep - Nov P&amp;L'!$D:$D,$C88)</f>
        <v>0</v>
      </c>
      <c r="AS88" s="20">
        <f>+AS196</f>
        <v>450</v>
      </c>
      <c r="AT88" s="20">
        <f>+AT196</f>
        <v>451.575</v>
      </c>
      <c r="AU88" s="20">
        <f>+AU196</f>
        <v>453.1555125</v>
      </c>
      <c r="AV88" s="20">
        <f>+AV196</f>
        <v>454.74155679375</v>
      </c>
      <c r="AW88" s="20">
        <f>+AW196</f>
        <v>456.333152242528</v>
      </c>
      <c r="AX88" s="20">
        <f>+AX196</f>
        <v>457.930318275377</v>
      </c>
      <c r="AY88" s="20">
        <f>+AY196</f>
        <v>459.533074389341</v>
      </c>
      <c r="AZ88" s="20">
        <f>+AZ196</f>
        <v>461.141440149704</v>
      </c>
      <c r="BA88" s="20">
        <f>+BA196</f>
        <v>462.755435190228</v>
      </c>
      <c r="BB88" s="20">
        <f>+BB196</f>
        <v>464.375079213394</v>
      </c>
      <c r="BC88" s="20">
        <f>+BC196</f>
        <v>466.000391990641</v>
      </c>
      <c r="BD88" s="20">
        <f>+BD196</f>
        <v>467.631393362608</v>
      </c>
      <c r="BE88" s="20">
        <f>+BE196</f>
        <v>469.268103239377</v>
      </c>
      <c r="BF88" s="20">
        <f>+BF196</f>
        <v>470.910541600715</v>
      </c>
      <c r="BG88" s="20">
        <f>+BG196</f>
        <v>472.558728496317</v>
      </c>
      <c r="BH88" s="20">
        <f>+BH196</f>
        <v>474.212684046054</v>
      </c>
      <c r="BI88" s="20">
        <f>+BI196</f>
        <v>475.872428440216</v>
      </c>
      <c r="BJ88" s="20">
        <f>+BJ196</f>
        <v>477.537981939756</v>
      </c>
      <c r="BK88" s="20">
        <f>+BK196</f>
        <v>479.209364876546</v>
      </c>
      <c r="BL88" s="20">
        <f>+BL196</f>
        <v>480.886597653614</v>
      </c>
      <c r="BM88" s="20">
        <f>+BM196</f>
        <v>482.569700745401</v>
      </c>
      <c r="BN88" s="20">
        <f>+BN196</f>
        <v>484.25869469801</v>
      </c>
      <c r="BO88" s="20">
        <f>+BO196</f>
        <v>485.953600129453</v>
      </c>
      <c r="BP88" s="20">
        <f>+BP196</f>
        <v>487.654437729906</v>
      </c>
      <c r="BQ88" s="20">
        <f>+BQ196</f>
        <v>489.361228261961</v>
      </c>
    </row>
    <row r="89">
      <c r="C89" s="3" t="inlineStr">
        <is>
          <t>Automobile Expense</t>
        </is>
      </c>
      <c r="D89" s="20">
        <f>+SUMIFS($J89:$BQ89,$J$7:$BQ$7,D$8)</f>
        <v>45200</v>
      </c>
      <c r="E89" s="20">
        <f>+SUMIFS($J89:$BQ89,$J$7:$BQ$7,E$8)</f>
        <v>47700</v>
      </c>
      <c r="F89" s="20">
        <f>+SUMIFS($J89:$BQ89,$J$7:$BQ$7,F$8)</f>
        <v>58074.38</v>
      </c>
      <c r="G89" s="20">
        <f>+SUMIFS($J89:$BQ89,$J$7:$BQ$7,G$8)</f>
        <v>58525.4311437596</v>
      </c>
      <c r="H89" s="20">
        <f>+SUMIFS($J89:$BQ89,$J$7:$BQ$7,H$8)</f>
        <v>61031.3734757751</v>
      </c>
      <c r="J89" s="10">
        <f>+INDEX('QoE PF Adj. P&amp;L Aug-26'!$D$11:$AI$108,MATCH($C89,'QoE PF Adj. P&amp;L Aug-26'!$C$11:$C$108,0),MATCH(J$8,'QoE PF Adj. P&amp;L Aug-26'!$D$8:$AI$8,0))*1000</f>
        <v>3600</v>
      </c>
      <c r="K89" s="10">
        <f>+INDEX('QoE PF Adj. P&amp;L Aug-26'!$D$11:$AI$108,MATCH($C89,'QoE PF Adj. P&amp;L Aug-26'!$C$11:$C$108,0),MATCH(K$8,'QoE PF Adj. P&amp;L Aug-26'!$D$8:$AI$8,0))*1000</f>
        <v>3800</v>
      </c>
      <c r="L89" s="10">
        <f>+INDEX('QoE PF Adj. P&amp;L Aug-26'!$D$11:$AI$108,MATCH($C89,'QoE PF Adj. P&amp;L Aug-26'!$C$11:$C$108,0),MATCH(L$8,'QoE PF Adj. P&amp;L Aug-26'!$D$8:$AI$8,0))*1000</f>
        <v>3800</v>
      </c>
      <c r="M89" s="10">
        <f>+INDEX('QoE PF Adj. P&amp;L Aug-26'!$D$11:$AI$108,MATCH($C89,'QoE PF Adj. P&amp;L Aug-26'!$C$11:$C$108,0),MATCH(M$8,'QoE PF Adj. P&amp;L Aug-26'!$D$8:$AI$8,0))*1000</f>
        <v>3600</v>
      </c>
      <c r="N89" s="10">
        <f>+INDEX('QoE PF Adj. P&amp;L Aug-26'!$D$11:$AI$108,MATCH($C89,'QoE PF Adj. P&amp;L Aug-26'!$C$11:$C$108,0),MATCH(N$8,'QoE PF Adj. P&amp;L Aug-26'!$D$8:$AI$8,0))*1000</f>
        <v>3600</v>
      </c>
      <c r="O89" s="10">
        <f>+INDEX('QoE PF Adj. P&amp;L Aug-26'!$D$11:$AI$108,MATCH($C89,'QoE PF Adj. P&amp;L Aug-26'!$C$11:$C$108,0),MATCH(O$8,'QoE PF Adj. P&amp;L Aug-26'!$D$8:$AI$8,0))*1000</f>
        <v>3600</v>
      </c>
      <c r="P89" s="10">
        <f>+INDEX('QoE PF Adj. P&amp;L Aug-26'!$D$11:$AI$108,MATCH($C89,'QoE PF Adj. P&amp;L Aug-26'!$C$11:$C$108,0),MATCH(P$8,'QoE PF Adj. P&amp;L Aug-26'!$D$8:$AI$8,0))*1000</f>
        <v>3800</v>
      </c>
      <c r="Q89" s="10">
        <f>+INDEX('QoE PF Adj. P&amp;L Aug-26'!$D$11:$AI$108,MATCH($C89,'QoE PF Adj. P&amp;L Aug-26'!$C$11:$C$108,0),MATCH(Q$8,'QoE PF Adj. P&amp;L Aug-26'!$D$8:$AI$8,0))*1000</f>
        <v>3800</v>
      </c>
      <c r="R89" s="10">
        <f>+INDEX('QoE PF Adj. P&amp;L Aug-26'!$D$11:$AI$108,MATCH($C89,'QoE PF Adj. P&amp;L Aug-26'!$C$11:$C$108,0),MATCH(R$8,'QoE PF Adj. P&amp;L Aug-26'!$D$8:$AI$8,0))*1000</f>
        <v>3800</v>
      </c>
      <c r="S89" s="10">
        <f>+INDEX('QoE PF Adj. P&amp;L Aug-26'!$D$11:$AI$108,MATCH($C89,'QoE PF Adj. P&amp;L Aug-26'!$C$11:$C$108,0),MATCH(S$8,'QoE PF Adj. P&amp;L Aug-26'!$D$8:$AI$8,0))*1000</f>
        <v>3700</v>
      </c>
      <c r="T89" s="10">
        <f>+INDEX('QoE PF Adj. P&amp;L Aug-26'!$D$11:$AI$108,MATCH($C89,'QoE PF Adj. P&amp;L Aug-26'!$C$11:$C$108,0),MATCH(T$8,'QoE PF Adj. P&amp;L Aug-26'!$D$8:$AI$8,0))*1000</f>
        <v>4000</v>
      </c>
      <c r="U89" s="10">
        <f>+INDEX('QoE PF Adj. P&amp;L Aug-26'!$D$11:$AI$108,MATCH($C89,'QoE PF Adj. P&amp;L Aug-26'!$C$11:$C$108,0),MATCH(U$8,'QoE PF Adj. P&amp;L Aug-26'!$D$8:$AI$8,0))*1000</f>
        <v>4100</v>
      </c>
      <c r="V89" s="10">
        <f>+INDEX('QoE PF Adj. P&amp;L Aug-26'!$D$11:$AI$108,MATCH($C89,'QoE PF Adj. P&amp;L Aug-26'!$C$11:$C$108,0),MATCH(V$8,'QoE PF Adj. P&amp;L Aug-26'!$D$8:$AI$8,0))*1000</f>
        <v>3800</v>
      </c>
      <c r="W89" s="10">
        <f>+INDEX('QoE PF Adj. P&amp;L Aug-26'!$D$11:$AI$108,MATCH($C89,'QoE PF Adj. P&amp;L Aug-26'!$C$11:$C$108,0),MATCH(W$8,'QoE PF Adj. P&amp;L Aug-26'!$D$8:$AI$8,0))*1000</f>
        <v>3800</v>
      </c>
      <c r="X89" s="10">
        <f>+INDEX('QoE PF Adj. P&amp;L Aug-26'!$D$11:$AI$108,MATCH($C89,'QoE PF Adj. P&amp;L Aug-26'!$C$11:$C$108,0),MATCH(X$8,'QoE PF Adj. P&amp;L Aug-26'!$D$8:$AI$8,0))*1000</f>
        <v>3700</v>
      </c>
      <c r="Y89" s="10">
        <f>+INDEX('QoE PF Adj. P&amp;L Aug-26'!$D$11:$AI$108,MATCH($C89,'QoE PF Adj. P&amp;L Aug-26'!$C$11:$C$108,0),MATCH(Y$8,'QoE PF Adj. P&amp;L Aug-26'!$D$8:$AI$8,0))*1000</f>
        <v>3800</v>
      </c>
      <c r="Z89" s="10">
        <f>+INDEX('QoE PF Adj. P&amp;L Aug-26'!$D$11:$AI$108,MATCH($C89,'QoE PF Adj. P&amp;L Aug-26'!$C$11:$C$108,0),MATCH(Z$8,'QoE PF Adj. P&amp;L Aug-26'!$D$8:$AI$8,0))*1000</f>
        <v>3900</v>
      </c>
      <c r="AA89" s="10">
        <f>+INDEX('QoE PF Adj. P&amp;L Aug-26'!$D$11:$AI$108,MATCH($C89,'QoE PF Adj. P&amp;L Aug-26'!$C$11:$C$108,0),MATCH(AA$8,'QoE PF Adj. P&amp;L Aug-26'!$D$8:$AI$8,0))*1000</f>
        <v>4200</v>
      </c>
      <c r="AB89" s="10">
        <f>+INDEX('QoE PF Adj. P&amp;L Aug-26'!$D$11:$AI$108,MATCH($C89,'QoE PF Adj. P&amp;L Aug-26'!$C$11:$C$108,0),MATCH(AB$8,'QoE PF Adj. P&amp;L Aug-26'!$D$8:$AI$8,0))*1000</f>
        <v>4100</v>
      </c>
      <c r="AC89" s="10">
        <f>+INDEX('QoE PF Adj. P&amp;L Aug-26'!$D$11:$AI$108,MATCH($C89,'QoE PF Adj. P&amp;L Aug-26'!$C$11:$C$108,0),MATCH(AC$8,'QoE PF Adj. P&amp;L Aug-26'!$D$8:$AI$8,0))*1000</f>
        <v>4300</v>
      </c>
      <c r="AD89" s="10">
        <f>+INDEX('QoE PF Adj. P&amp;L Aug-26'!$D$11:$AI$108,MATCH($C89,'QoE PF Adj. P&amp;L Aug-26'!$C$11:$C$108,0),MATCH(AD$8,'QoE PF Adj. P&amp;L Aug-26'!$D$8:$AI$8,0))*1000</f>
        <v>4300</v>
      </c>
      <c r="AE89" s="10">
        <f>+INDEX('QoE PF Adj. P&amp;L Aug-26'!$D$11:$AI$108,MATCH($C89,'QoE PF Adj. P&amp;L Aug-26'!$C$11:$C$108,0),MATCH(AE$8,'QoE PF Adj. P&amp;L Aug-26'!$D$8:$AI$8,0))*1000</f>
        <v>4000</v>
      </c>
      <c r="AF89" s="10">
        <f>+INDEX('QoE PF Adj. P&amp;L Aug-26'!$D$11:$AI$108,MATCH($C89,'QoE PF Adj. P&amp;L Aug-26'!$C$11:$C$108,0),MATCH(AF$8,'QoE PF Adj. P&amp;L Aug-26'!$D$8:$AI$8,0))*1000</f>
        <v>3900</v>
      </c>
      <c r="AG89" s="10">
        <f>+INDEX('QoE PF Adj. P&amp;L Aug-26'!$D$11:$AI$108,MATCH($C89,'QoE PF Adj. P&amp;L Aug-26'!$C$11:$C$108,0),MATCH(AG$8,'QoE PF Adj. P&amp;L Aug-26'!$D$8:$AI$8,0))*1000</f>
        <v>3900</v>
      </c>
      <c r="AH89" s="10">
        <f>+INDEX('QoE PF Adj. P&amp;L Aug-26'!$D$11:$AI$108,MATCH($C89,'QoE PF Adj. P&amp;L Aug-26'!$C$11:$C$108,0),MATCH(AH$8,'QoE PF Adj. P&amp;L Aug-26'!$D$8:$AI$8,0))*1000</f>
        <v>4400</v>
      </c>
      <c r="AI89" s="10">
        <f>+INDEX('QoE PF Adj. P&amp;L Aug-26'!$D$11:$AI$108,MATCH($C89,'QoE PF Adj. P&amp;L Aug-26'!$C$11:$C$108,0),MATCH(AI$8,'QoE PF Adj. P&amp;L Aug-26'!$D$8:$AI$8,0))*1000</f>
        <v>4000</v>
      </c>
      <c r="AJ89" s="10">
        <f>+INDEX('QoE PF Adj. P&amp;L Aug-26'!$D$11:$AI$108,MATCH($C89,'QoE PF Adj. P&amp;L Aug-26'!$C$11:$C$108,0),MATCH(AJ$8,'QoE PF Adj. P&amp;L Aug-26'!$D$8:$AI$8,0))*1000</f>
        <v>4200</v>
      </c>
      <c r="AK89" s="10">
        <f>+INDEX('QoE PF Adj. P&amp;L Aug-26'!$D$11:$AI$108,MATCH($C89,'QoE PF Adj. P&amp;L Aug-26'!$C$11:$C$108,0),MATCH(AK$8,'QoE PF Adj. P&amp;L Aug-26'!$D$8:$AI$8,0))*1000</f>
        <v>4400</v>
      </c>
      <c r="AL89" s="10">
        <f>+INDEX('QoE PF Adj. P&amp;L Aug-26'!$D$11:$AI$108,MATCH($C89,'QoE PF Adj. P&amp;L Aug-26'!$C$11:$C$108,0),MATCH(AL$8,'QoE PF Adj. P&amp;L Aug-26'!$D$8:$AI$8,0))*1000</f>
        <v>4000</v>
      </c>
      <c r="AM89" s="10">
        <f>+INDEX('QoE PF Adj. P&amp;L Aug-26'!$D$11:$AI$108,MATCH($C89,'QoE PF Adj. P&amp;L Aug-26'!$C$11:$C$108,0),MATCH(AM$8,'QoE PF Adj. P&amp;L Aug-26'!$D$8:$AI$8,0))*1000</f>
        <v>4300</v>
      </c>
      <c r="AN89" s="10">
        <f>+INDEX('QoE PF Adj. P&amp;L Aug-26'!$D$11:$AI$108,MATCH($C89,'QoE PF Adj. P&amp;L Aug-26'!$C$11:$C$108,0),MATCH(AN$8,'QoE PF Adj. P&amp;L Aug-26'!$D$8:$AI$8,0))*1000</f>
        <v>4300</v>
      </c>
      <c r="AO89" s="10">
        <f>+INDEX('QoE PF Adj. P&amp;L Aug-26'!$D$11:$AI$108,MATCH($C89,'QoE PF Adj. P&amp;L Aug-26'!$C$11:$C$108,0),MATCH(AO$8,'QoE PF Adj. P&amp;L Aug-26'!$D$8:$AI$8,0))*1000</f>
        <v>4500</v>
      </c>
      <c r="AP89" s="10">
        <f>+SUMIFS('Sep - Nov P&amp;L'!I:I,'Sep - Nov P&amp;L'!$D:$D,$C89)</f>
        <v>6537.08</v>
      </c>
      <c r="AQ89" s="10">
        <f>+SUMIFS('Sep - Nov P&amp;L'!J:J,'Sep - Nov P&amp;L'!$D:$D,$C89)</f>
        <v>6086.88</v>
      </c>
      <c r="AR89" s="10">
        <f>+SUMIFS('Sep - Nov P&amp;L'!K:K,'Sep - Nov P&amp;L'!$D:$D,$C89)</f>
        <v>6583.16</v>
      </c>
      <c r="AS89" s="20">
        <f>+AS197</f>
        <v>4767.26</v>
      </c>
      <c r="AT89" s="20">
        <f>+AT197</f>
        <v>4783.94541</v>
      </c>
      <c r="AU89" s="20">
        <f>+AU197</f>
        <v>4800.689218935</v>
      </c>
      <c r="AV89" s="20">
        <f>+AV197</f>
        <v>4817.49163120127</v>
      </c>
      <c r="AW89" s="20">
        <f>+AW197</f>
        <v>4834.35285191048</v>
      </c>
      <c r="AX89" s="20">
        <f>+AX197</f>
        <v>4851.27308689216</v>
      </c>
      <c r="AY89" s="20">
        <f>+AY197</f>
        <v>4868.25254269629</v>
      </c>
      <c r="AZ89" s="20">
        <f>+AZ197</f>
        <v>4885.29142659573</v>
      </c>
      <c r="BA89" s="20">
        <f>+BA197</f>
        <v>4902.38994658881</v>
      </c>
      <c r="BB89" s="20">
        <f>+BB197</f>
        <v>4919.54831140187</v>
      </c>
      <c r="BC89" s="20">
        <f>+BC197</f>
        <v>4936.76673049178</v>
      </c>
      <c r="BD89" s="20">
        <f>+BD197</f>
        <v>4954.0454140485</v>
      </c>
      <c r="BE89" s="20">
        <f>+BE197</f>
        <v>4971.38457299767</v>
      </c>
      <c r="BF89" s="20">
        <f>+BF197</f>
        <v>4988.78441900316</v>
      </c>
      <c r="BG89" s="20">
        <f>+BG197</f>
        <v>5006.24516446967</v>
      </c>
      <c r="BH89" s="20">
        <f>+BH197</f>
        <v>5023.76702254532</v>
      </c>
      <c r="BI89" s="20">
        <f>+BI197</f>
        <v>5041.35020712423</v>
      </c>
      <c r="BJ89" s="20">
        <f>+BJ197</f>
        <v>5058.99493284916</v>
      </c>
      <c r="BK89" s="20">
        <f>+BK197</f>
        <v>5076.70141511413</v>
      </c>
      <c r="BL89" s="20">
        <f>+BL197</f>
        <v>5094.46987006703</v>
      </c>
      <c r="BM89" s="20">
        <f>+BM197</f>
        <v>5112.30051461227</v>
      </c>
      <c r="BN89" s="20">
        <f>+BN197</f>
        <v>5130.19356641341</v>
      </c>
      <c r="BO89" s="20">
        <f>+BO197</f>
        <v>5148.14924389586</v>
      </c>
      <c r="BP89" s="20">
        <f>+BP197</f>
        <v>5166.16776624949</v>
      </c>
      <c r="BQ89" s="20">
        <f>+BQ197</f>
        <v>5184.24935343137</v>
      </c>
    </row>
    <row r="90">
      <c r="C90" s="3" t="inlineStr">
        <is>
          <t>Quality Control</t>
        </is>
      </c>
      <c r="D90" s="20">
        <f>+SUMIFS($J90:$BQ90,$J$7:$BQ$7,D$8)</f>
        <v>38100</v>
      </c>
      <c r="E90" s="20">
        <f>+SUMIFS($J90:$BQ90,$J$7:$BQ$7,E$8)</f>
        <v>41100</v>
      </c>
      <c r="F90" s="20">
        <f>+SUMIFS($J90:$BQ90,$J$7:$BQ$7,F$8)</f>
        <v>43950.5791666667</v>
      </c>
      <c r="G90" s="20">
        <f>+SUMIFS($J90:$BQ90,$J$7:$BQ$7,G$8)</f>
        <v>44998.7670708285</v>
      </c>
      <c r="H90" s="20">
        <f>+SUMIFS($J90:$BQ90,$J$7:$BQ$7,H$8)</f>
        <v>46925.5246031961</v>
      </c>
      <c r="J90" s="10">
        <f>+INDEX('QoE PF Adj. P&amp;L Aug-26'!$D$11:$AI$108,MATCH($C90,'QoE PF Adj. P&amp;L Aug-26'!$C$11:$C$108,0),MATCH(J$8,'QoE PF Adj. P&amp;L Aug-26'!$D$8:$AI$8,0))*1000</f>
        <v>3200</v>
      </c>
      <c r="K90" s="10">
        <f>+INDEX('QoE PF Adj. P&amp;L Aug-26'!$D$11:$AI$108,MATCH($C90,'QoE PF Adj. P&amp;L Aug-26'!$C$11:$C$108,0),MATCH(K$8,'QoE PF Adj. P&amp;L Aug-26'!$D$8:$AI$8,0))*1000</f>
        <v>3300</v>
      </c>
      <c r="L90" s="10">
        <f>+INDEX('QoE PF Adj. P&amp;L Aug-26'!$D$11:$AI$108,MATCH($C90,'QoE PF Adj. P&amp;L Aug-26'!$C$11:$C$108,0),MATCH(L$8,'QoE PF Adj. P&amp;L Aug-26'!$D$8:$AI$8,0))*1000</f>
        <v>3300</v>
      </c>
      <c r="M90" s="10">
        <f>+INDEX('QoE PF Adj. P&amp;L Aug-26'!$D$11:$AI$108,MATCH($C90,'QoE PF Adj. P&amp;L Aug-26'!$C$11:$C$108,0),MATCH(M$8,'QoE PF Adj. P&amp;L Aug-26'!$D$8:$AI$8,0))*1000</f>
        <v>3100</v>
      </c>
      <c r="N90" s="10">
        <f>+INDEX('QoE PF Adj. P&amp;L Aug-26'!$D$11:$AI$108,MATCH($C90,'QoE PF Adj. P&amp;L Aug-26'!$C$11:$C$108,0),MATCH(N$8,'QoE PF Adj. P&amp;L Aug-26'!$D$8:$AI$8,0))*1000</f>
        <v>3300</v>
      </c>
      <c r="O90" s="10">
        <f>+INDEX('QoE PF Adj. P&amp;L Aug-26'!$D$11:$AI$108,MATCH($C90,'QoE PF Adj. P&amp;L Aug-26'!$C$11:$C$108,0),MATCH(O$8,'QoE PF Adj. P&amp;L Aug-26'!$D$8:$AI$8,0))*1000</f>
        <v>3300</v>
      </c>
      <c r="P90" s="10">
        <f>+INDEX('QoE PF Adj. P&amp;L Aug-26'!$D$11:$AI$108,MATCH($C90,'QoE PF Adj. P&amp;L Aug-26'!$C$11:$C$108,0),MATCH(P$8,'QoE PF Adj. P&amp;L Aug-26'!$D$8:$AI$8,0))*1000</f>
        <v>3000</v>
      </c>
      <c r="Q90" s="10">
        <f>+INDEX('QoE PF Adj. P&amp;L Aug-26'!$D$11:$AI$108,MATCH($C90,'QoE PF Adj. P&amp;L Aug-26'!$C$11:$C$108,0),MATCH(Q$8,'QoE PF Adj. P&amp;L Aug-26'!$D$8:$AI$8,0))*1000</f>
        <v>3100</v>
      </c>
      <c r="R90" s="10">
        <f>+INDEX('QoE PF Adj. P&amp;L Aug-26'!$D$11:$AI$108,MATCH($C90,'QoE PF Adj. P&amp;L Aug-26'!$C$11:$C$108,0),MATCH(R$8,'QoE PF Adj. P&amp;L Aug-26'!$D$8:$AI$8,0))*1000</f>
        <v>3000</v>
      </c>
      <c r="S90" s="10">
        <f>+INDEX('QoE PF Adj. P&amp;L Aug-26'!$D$11:$AI$108,MATCH($C90,'QoE PF Adj. P&amp;L Aug-26'!$C$11:$C$108,0),MATCH(S$8,'QoE PF Adj. P&amp;L Aug-26'!$D$8:$AI$8,0))*1000</f>
        <v>3300</v>
      </c>
      <c r="T90" s="10">
        <f>+INDEX('QoE PF Adj. P&amp;L Aug-26'!$D$11:$AI$108,MATCH($C90,'QoE PF Adj. P&amp;L Aug-26'!$C$11:$C$108,0),MATCH(T$8,'QoE PF Adj. P&amp;L Aug-26'!$D$8:$AI$8,0))*1000</f>
        <v>3100</v>
      </c>
      <c r="U90" s="10">
        <f>+INDEX('QoE PF Adj. P&amp;L Aug-26'!$D$11:$AI$108,MATCH($C90,'QoE PF Adj. P&amp;L Aug-26'!$C$11:$C$108,0),MATCH(U$8,'QoE PF Adj. P&amp;L Aug-26'!$D$8:$AI$8,0))*1000</f>
        <v>3100</v>
      </c>
      <c r="V90" s="10">
        <f>+INDEX('QoE PF Adj. P&amp;L Aug-26'!$D$11:$AI$108,MATCH($C90,'QoE PF Adj. P&amp;L Aug-26'!$C$11:$C$108,0),MATCH(V$8,'QoE PF Adj. P&amp;L Aug-26'!$D$8:$AI$8,0))*1000</f>
        <v>3100</v>
      </c>
      <c r="W90" s="10">
        <f>+INDEX('QoE PF Adj. P&amp;L Aug-26'!$D$11:$AI$108,MATCH($C90,'QoE PF Adj. P&amp;L Aug-26'!$C$11:$C$108,0),MATCH(W$8,'QoE PF Adj. P&amp;L Aug-26'!$D$8:$AI$8,0))*1000</f>
        <v>3200</v>
      </c>
      <c r="X90" s="10">
        <f>+INDEX('QoE PF Adj. P&amp;L Aug-26'!$D$11:$AI$108,MATCH($C90,'QoE PF Adj. P&amp;L Aug-26'!$C$11:$C$108,0),MATCH(X$8,'QoE PF Adj. P&amp;L Aug-26'!$D$8:$AI$8,0))*1000</f>
        <v>3300</v>
      </c>
      <c r="Y90" s="10">
        <f>+INDEX('QoE PF Adj. P&amp;L Aug-26'!$D$11:$AI$108,MATCH($C90,'QoE PF Adj. P&amp;L Aug-26'!$C$11:$C$108,0),MATCH(Y$8,'QoE PF Adj. P&amp;L Aug-26'!$D$8:$AI$8,0))*1000</f>
        <v>3300</v>
      </c>
      <c r="Z90" s="10">
        <f>+INDEX('QoE PF Adj. P&amp;L Aug-26'!$D$11:$AI$108,MATCH($C90,'QoE PF Adj. P&amp;L Aug-26'!$C$11:$C$108,0),MATCH(Z$8,'QoE PF Adj. P&amp;L Aug-26'!$D$8:$AI$8,0))*1000</f>
        <v>3200</v>
      </c>
      <c r="AA90" s="10">
        <f>+INDEX('QoE PF Adj. P&amp;L Aug-26'!$D$11:$AI$108,MATCH($C90,'QoE PF Adj. P&amp;L Aug-26'!$C$11:$C$108,0),MATCH(AA$8,'QoE PF Adj. P&amp;L Aug-26'!$D$8:$AI$8,0))*1000</f>
        <v>3600</v>
      </c>
      <c r="AB90" s="10">
        <f>+INDEX('QoE PF Adj. P&amp;L Aug-26'!$D$11:$AI$108,MATCH($C90,'QoE PF Adj. P&amp;L Aug-26'!$C$11:$C$108,0),MATCH(AB$8,'QoE PF Adj. P&amp;L Aug-26'!$D$8:$AI$8,0))*1000</f>
        <v>3600</v>
      </c>
      <c r="AC90" s="10">
        <f>+INDEX('QoE PF Adj. P&amp;L Aug-26'!$D$11:$AI$108,MATCH($C90,'QoE PF Adj. P&amp;L Aug-26'!$C$11:$C$108,0),MATCH(AC$8,'QoE PF Adj. P&amp;L Aug-26'!$D$8:$AI$8,0))*1000</f>
        <v>3300</v>
      </c>
      <c r="AD90" s="10">
        <f>+INDEX('QoE PF Adj. P&amp;L Aug-26'!$D$11:$AI$108,MATCH($C90,'QoE PF Adj. P&amp;L Aug-26'!$C$11:$C$108,0),MATCH(AD$8,'QoE PF Adj. P&amp;L Aug-26'!$D$8:$AI$8,0))*1000</f>
        <v>3700</v>
      </c>
      <c r="AE90" s="10">
        <f>+INDEX('QoE PF Adj. P&amp;L Aug-26'!$D$11:$AI$108,MATCH($C90,'QoE PF Adj. P&amp;L Aug-26'!$C$11:$C$108,0),MATCH(AE$8,'QoE PF Adj. P&amp;L Aug-26'!$D$8:$AI$8,0))*1000</f>
        <v>3600</v>
      </c>
      <c r="AF90" s="10">
        <f>+INDEX('QoE PF Adj. P&amp;L Aug-26'!$D$11:$AI$108,MATCH($C90,'QoE PF Adj. P&amp;L Aug-26'!$C$11:$C$108,0),MATCH(AF$8,'QoE PF Adj. P&amp;L Aug-26'!$D$8:$AI$8,0))*1000</f>
        <v>3500</v>
      </c>
      <c r="AG90" s="10">
        <f>+INDEX('QoE PF Adj. P&amp;L Aug-26'!$D$11:$AI$108,MATCH($C90,'QoE PF Adj. P&amp;L Aug-26'!$C$11:$C$108,0),MATCH(AG$8,'QoE PF Adj. P&amp;L Aug-26'!$D$8:$AI$8,0))*1000</f>
        <v>3700</v>
      </c>
      <c r="AH90" s="10">
        <f>+INDEX('QoE PF Adj. P&amp;L Aug-26'!$D$11:$AI$108,MATCH($C90,'QoE PF Adj. P&amp;L Aug-26'!$C$11:$C$108,0),MATCH(AH$8,'QoE PF Adj. P&amp;L Aug-26'!$D$8:$AI$8,0))*1000</f>
        <v>3500</v>
      </c>
      <c r="AI90" s="10">
        <f>+INDEX('QoE PF Adj. P&amp;L Aug-26'!$D$11:$AI$108,MATCH($C90,'QoE PF Adj. P&amp;L Aug-26'!$C$11:$C$108,0),MATCH(AI$8,'QoE PF Adj. P&amp;L Aug-26'!$D$8:$AI$8,0))*1000</f>
        <v>3700</v>
      </c>
      <c r="AJ90" s="10">
        <f>+INDEX('QoE PF Adj. P&amp;L Aug-26'!$D$11:$AI$108,MATCH($C90,'QoE PF Adj. P&amp;L Aug-26'!$C$11:$C$108,0),MATCH(AJ$8,'QoE PF Adj. P&amp;L Aug-26'!$D$8:$AI$8,0))*1000</f>
        <v>3400</v>
      </c>
      <c r="AK90" s="10">
        <f>+INDEX('QoE PF Adj. P&amp;L Aug-26'!$D$11:$AI$108,MATCH($C90,'QoE PF Adj. P&amp;L Aug-26'!$C$11:$C$108,0),MATCH(AK$8,'QoE PF Adj. P&amp;L Aug-26'!$D$8:$AI$8,0))*1000</f>
        <v>3500</v>
      </c>
      <c r="AL90" s="10">
        <f>+INDEX('QoE PF Adj. P&amp;L Aug-26'!$D$11:$AI$108,MATCH($C90,'QoE PF Adj. P&amp;L Aug-26'!$C$11:$C$108,0),MATCH(AL$8,'QoE PF Adj. P&amp;L Aug-26'!$D$8:$AI$8,0))*1000</f>
        <v>3700</v>
      </c>
      <c r="AM90" s="10">
        <f>+INDEX('QoE PF Adj. P&amp;L Aug-26'!$D$11:$AI$108,MATCH($C90,'QoE PF Adj. P&amp;L Aug-26'!$C$11:$C$108,0),MATCH(AM$8,'QoE PF Adj. P&amp;L Aug-26'!$D$8:$AI$8,0))*1000</f>
        <v>3600</v>
      </c>
      <c r="AN90" s="10">
        <f>+INDEX('QoE PF Adj. P&amp;L Aug-26'!$D$11:$AI$108,MATCH($C90,'QoE PF Adj. P&amp;L Aug-26'!$C$11:$C$108,0),MATCH(AN$8,'QoE PF Adj. P&amp;L Aug-26'!$D$8:$AI$8,0))*1000</f>
        <v>3500</v>
      </c>
      <c r="AO90" s="10">
        <f>+INDEX('QoE PF Adj. P&amp;L Aug-26'!$D$11:$AI$108,MATCH($C90,'QoE PF Adj. P&amp;L Aug-26'!$C$11:$C$108,0),MATCH(AO$8,'QoE PF Adj. P&amp;L Aug-26'!$D$8:$AI$8,0))*1000</f>
        <v>3700</v>
      </c>
      <c r="AP90" s="10">
        <f>+SUMIFS('Sep - Nov P&amp;L'!I:I,'Sep - Nov P&amp;L'!$D:$D,$C90)</f>
        <v>3882.98</v>
      </c>
      <c r="AQ90" s="10">
        <f>+SUMIFS('Sep - Nov P&amp;L'!J:J,'Sep - Nov P&amp;L'!$D:$D,$C90)</f>
        <v>3777.36</v>
      </c>
      <c r="AR90" s="10">
        <f>+SUMIFS('Sep - Nov P&amp;L'!K:K,'Sep - Nov P&amp;L'!$D:$D,$C90)</f>
        <v>4024.81</v>
      </c>
      <c r="AS90" s="20">
        <f>+AS198</f>
        <v>3665.42916666667</v>
      </c>
      <c r="AT90" s="20">
        <f>+AT198</f>
        <v>3678.25816875</v>
      </c>
      <c r="AU90" s="20">
        <f>+AU198</f>
        <v>3691.13207234063</v>
      </c>
      <c r="AV90" s="20">
        <f>+AV198</f>
        <v>3704.05103459382</v>
      </c>
      <c r="AW90" s="20">
        <f>+AW198</f>
        <v>3717.0152132149</v>
      </c>
      <c r="AX90" s="20">
        <f>+AX198</f>
        <v>3730.02476646115</v>
      </c>
      <c r="AY90" s="20">
        <f>+AY198</f>
        <v>3743.07985314376</v>
      </c>
      <c r="AZ90" s="20">
        <f>+AZ198</f>
        <v>3756.18063262977</v>
      </c>
      <c r="BA90" s="20">
        <f>+BA198</f>
        <v>3769.32726484397</v>
      </c>
      <c r="BB90" s="20">
        <f>+BB198</f>
        <v>3782.51991027093</v>
      </c>
      <c r="BC90" s="20">
        <f>+BC198</f>
        <v>3795.75872995687</v>
      </c>
      <c r="BD90" s="20">
        <f>+BD198</f>
        <v>3809.04388551172</v>
      </c>
      <c r="BE90" s="20">
        <f>+BE198</f>
        <v>3822.37553911101</v>
      </c>
      <c r="BF90" s="20">
        <f>+BF198</f>
        <v>3835.7538534979</v>
      </c>
      <c r="BG90" s="20">
        <f>+BG198</f>
        <v>3849.17899198515</v>
      </c>
      <c r="BH90" s="20">
        <f>+BH198</f>
        <v>3862.65111845709</v>
      </c>
      <c r="BI90" s="20">
        <f>+BI198</f>
        <v>3876.17039737169</v>
      </c>
      <c r="BJ90" s="20">
        <f>+BJ198</f>
        <v>3889.7369937625</v>
      </c>
      <c r="BK90" s="20">
        <f>+BK198</f>
        <v>3903.35107324066</v>
      </c>
      <c r="BL90" s="20">
        <f>+BL198</f>
        <v>3917.01280199701</v>
      </c>
      <c r="BM90" s="20">
        <f>+BM198</f>
        <v>3930.722346804</v>
      </c>
      <c r="BN90" s="20">
        <f>+BN198</f>
        <v>3944.47987501781</v>
      </c>
      <c r="BO90" s="20">
        <f>+BO198</f>
        <v>3958.28555458037</v>
      </c>
      <c r="BP90" s="20">
        <f>+BP198</f>
        <v>3972.13955402141</v>
      </c>
      <c r="BQ90" s="20">
        <f>+BQ198</f>
        <v>3986.04204246048</v>
      </c>
    </row>
    <row r="91">
      <c r="B91" s="4" t="inlineStr">
        <is>
          <t>% rev</t>
        </is>
      </c>
      <c r="C91" s="3" t="inlineStr">
        <is>
          <t>Delivery and Transportation</t>
        </is>
      </c>
      <c r="D91" s="20">
        <f>+SUMIFS($J91:$BQ91,$J$7:$BQ$7,D$8)</f>
        <v>76300</v>
      </c>
      <c r="E91" s="20">
        <f>+SUMIFS($J91:$BQ91,$J$7:$BQ$7,E$8)</f>
        <v>82000</v>
      </c>
      <c r="F91" s="20">
        <f>+SUMIFS($J91:$BQ91,$J$7:$BQ$7,F$8)</f>
        <v>90166.3540252273</v>
      </c>
      <c r="G91" s="20">
        <f>+SUMIFS($J91:$BQ91,$J$7:$BQ$7,G$8)</f>
        <v>99061.9194928168</v>
      </c>
      <c r="H91" s="20">
        <f>+SUMIFS($J91:$BQ91,$J$7:$BQ$7,H$8)</f>
        <v>115564.753021039</v>
      </c>
      <c r="J91" s="10">
        <f>+INDEX('QoE PF Adj. P&amp;L Aug-26'!$D$11:$AI$108,MATCH($C91,'QoE PF Adj. P&amp;L Aug-26'!$C$11:$C$108,0),MATCH(J$8,'QoE PF Adj. P&amp;L Aug-26'!$D$8:$AI$8,0))*1000</f>
        <v>6300</v>
      </c>
      <c r="K91" s="10">
        <f>+INDEX('QoE PF Adj. P&amp;L Aug-26'!$D$11:$AI$108,MATCH($C91,'QoE PF Adj. P&amp;L Aug-26'!$C$11:$C$108,0),MATCH(K$8,'QoE PF Adj. P&amp;L Aug-26'!$D$8:$AI$8,0))*1000</f>
        <v>5900</v>
      </c>
      <c r="L91" s="10">
        <f>+INDEX('QoE PF Adj. P&amp;L Aug-26'!$D$11:$AI$108,MATCH($C91,'QoE PF Adj. P&amp;L Aug-26'!$C$11:$C$108,0),MATCH(L$8,'QoE PF Adj. P&amp;L Aug-26'!$D$8:$AI$8,0))*1000</f>
        <v>6300</v>
      </c>
      <c r="M91" s="10">
        <f>+INDEX('QoE PF Adj. P&amp;L Aug-26'!$D$11:$AI$108,MATCH($C91,'QoE PF Adj. P&amp;L Aug-26'!$C$11:$C$108,0),MATCH(M$8,'QoE PF Adj. P&amp;L Aug-26'!$D$8:$AI$8,0))*1000</f>
        <v>6100</v>
      </c>
      <c r="N91" s="10">
        <f>+INDEX('QoE PF Adj. P&amp;L Aug-26'!$D$11:$AI$108,MATCH($C91,'QoE PF Adj. P&amp;L Aug-26'!$C$11:$C$108,0),MATCH(N$8,'QoE PF Adj. P&amp;L Aug-26'!$D$8:$AI$8,0))*1000</f>
        <v>6800</v>
      </c>
      <c r="O91" s="10">
        <f>+INDEX('QoE PF Adj. P&amp;L Aug-26'!$D$11:$AI$108,MATCH($C91,'QoE PF Adj. P&amp;L Aug-26'!$C$11:$C$108,0),MATCH(O$8,'QoE PF Adj. P&amp;L Aug-26'!$D$8:$AI$8,0))*1000</f>
        <v>5700</v>
      </c>
      <c r="P91" s="10">
        <f>+INDEX('QoE PF Adj. P&amp;L Aug-26'!$D$11:$AI$108,MATCH($C91,'QoE PF Adj. P&amp;L Aug-26'!$C$11:$C$108,0),MATCH(P$8,'QoE PF Adj. P&amp;L Aug-26'!$D$8:$AI$8,0))*1000</f>
        <v>6600</v>
      </c>
      <c r="Q91" s="10">
        <f>+INDEX('QoE PF Adj. P&amp;L Aug-26'!$D$11:$AI$108,MATCH($C91,'QoE PF Adj. P&amp;L Aug-26'!$C$11:$C$108,0),MATCH(Q$8,'QoE PF Adj. P&amp;L Aug-26'!$D$8:$AI$8,0))*1000</f>
        <v>6900</v>
      </c>
      <c r="R91" s="10">
        <f>+INDEX('QoE PF Adj. P&amp;L Aug-26'!$D$11:$AI$108,MATCH($C91,'QoE PF Adj. P&amp;L Aug-26'!$C$11:$C$108,0),MATCH(R$8,'QoE PF Adj. P&amp;L Aug-26'!$D$8:$AI$8,0))*1000</f>
        <v>6200</v>
      </c>
      <c r="S91" s="10">
        <f>+INDEX('QoE PF Adj. P&amp;L Aug-26'!$D$11:$AI$108,MATCH($C91,'QoE PF Adj. P&amp;L Aug-26'!$C$11:$C$108,0),MATCH(S$8,'QoE PF Adj. P&amp;L Aug-26'!$D$8:$AI$8,0))*1000</f>
        <v>7200</v>
      </c>
      <c r="T91" s="10">
        <f>+INDEX('QoE PF Adj. P&amp;L Aug-26'!$D$11:$AI$108,MATCH($C91,'QoE PF Adj. P&amp;L Aug-26'!$C$11:$C$108,0),MATCH(T$8,'QoE PF Adj. P&amp;L Aug-26'!$D$8:$AI$8,0))*1000</f>
        <v>6300</v>
      </c>
      <c r="U91" s="10">
        <f>+INDEX('QoE PF Adj. P&amp;L Aug-26'!$D$11:$AI$108,MATCH($C91,'QoE PF Adj. P&amp;L Aug-26'!$C$11:$C$108,0),MATCH(U$8,'QoE PF Adj. P&amp;L Aug-26'!$D$8:$AI$8,0))*1000</f>
        <v>6000</v>
      </c>
      <c r="V91" s="10">
        <f>+INDEX('QoE PF Adj. P&amp;L Aug-26'!$D$11:$AI$108,MATCH($C91,'QoE PF Adj. P&amp;L Aug-26'!$C$11:$C$108,0),MATCH(V$8,'QoE PF Adj. P&amp;L Aug-26'!$D$8:$AI$8,0))*1000</f>
        <v>7000</v>
      </c>
      <c r="W91" s="10">
        <f>+INDEX('QoE PF Adj. P&amp;L Aug-26'!$D$11:$AI$108,MATCH($C91,'QoE PF Adj. P&amp;L Aug-26'!$C$11:$C$108,0),MATCH(W$8,'QoE PF Adj. P&amp;L Aug-26'!$D$8:$AI$8,0))*1000</f>
        <v>5700</v>
      </c>
      <c r="X91" s="10">
        <f>+INDEX('QoE PF Adj. P&amp;L Aug-26'!$D$11:$AI$108,MATCH($C91,'QoE PF Adj. P&amp;L Aug-26'!$C$11:$C$108,0),MATCH(X$8,'QoE PF Adj. P&amp;L Aug-26'!$D$8:$AI$8,0))*1000</f>
        <v>6600</v>
      </c>
      <c r="Y91" s="10">
        <f>+INDEX('QoE PF Adj. P&amp;L Aug-26'!$D$11:$AI$108,MATCH($C91,'QoE PF Adj. P&amp;L Aug-26'!$C$11:$C$108,0),MATCH(Y$8,'QoE PF Adj. P&amp;L Aug-26'!$D$8:$AI$8,0))*1000</f>
        <v>7100</v>
      </c>
      <c r="Z91" s="10">
        <f>+INDEX('QoE PF Adj. P&amp;L Aug-26'!$D$11:$AI$108,MATCH($C91,'QoE PF Adj. P&amp;L Aug-26'!$C$11:$C$108,0),MATCH(Z$8,'QoE PF Adj. P&amp;L Aug-26'!$D$8:$AI$8,0))*1000</f>
        <v>7300</v>
      </c>
      <c r="AA91" s="10">
        <f>+INDEX('QoE PF Adj. P&amp;L Aug-26'!$D$11:$AI$108,MATCH($C91,'QoE PF Adj. P&amp;L Aug-26'!$C$11:$C$108,0),MATCH(AA$8,'QoE PF Adj. P&amp;L Aug-26'!$D$8:$AI$8,0))*1000</f>
        <v>6300</v>
      </c>
      <c r="AB91" s="10">
        <f>+INDEX('QoE PF Adj. P&amp;L Aug-26'!$D$11:$AI$108,MATCH($C91,'QoE PF Adj. P&amp;L Aug-26'!$C$11:$C$108,0),MATCH(AB$8,'QoE PF Adj. P&amp;L Aug-26'!$D$8:$AI$8,0))*1000</f>
        <v>6900</v>
      </c>
      <c r="AC91" s="10">
        <f>+INDEX('QoE PF Adj. P&amp;L Aug-26'!$D$11:$AI$108,MATCH($C91,'QoE PF Adj. P&amp;L Aug-26'!$C$11:$C$108,0),MATCH(AC$8,'QoE PF Adj. P&amp;L Aug-26'!$D$8:$AI$8,0))*1000</f>
        <v>6800</v>
      </c>
      <c r="AD91" s="10">
        <f>+INDEX('QoE PF Adj. P&amp;L Aug-26'!$D$11:$AI$108,MATCH($C91,'QoE PF Adj. P&amp;L Aug-26'!$C$11:$C$108,0),MATCH(AD$8,'QoE PF Adj. P&amp;L Aug-26'!$D$8:$AI$8,0))*1000</f>
        <v>7200</v>
      </c>
      <c r="AE91" s="10">
        <f>+INDEX('QoE PF Adj. P&amp;L Aug-26'!$D$11:$AI$108,MATCH($C91,'QoE PF Adj. P&amp;L Aug-26'!$C$11:$C$108,0),MATCH(AE$8,'QoE PF Adj. P&amp;L Aug-26'!$D$8:$AI$8,0))*1000</f>
        <v>7700</v>
      </c>
      <c r="AF91" s="10">
        <f>+INDEX('QoE PF Adj. P&amp;L Aug-26'!$D$11:$AI$108,MATCH($C91,'QoE PF Adj. P&amp;L Aug-26'!$C$11:$C$108,0),MATCH(AF$8,'QoE PF Adj. P&amp;L Aug-26'!$D$8:$AI$8,0))*1000</f>
        <v>6600</v>
      </c>
      <c r="AG91" s="10">
        <f>+INDEX('QoE PF Adj. P&amp;L Aug-26'!$D$11:$AI$108,MATCH($C91,'QoE PF Adj. P&amp;L Aug-26'!$C$11:$C$108,0),MATCH(AG$8,'QoE PF Adj. P&amp;L Aug-26'!$D$8:$AI$8,0))*1000</f>
        <v>6800</v>
      </c>
      <c r="AH91" s="10">
        <f>+INDEX('QoE PF Adj. P&amp;L Aug-26'!$D$11:$AI$108,MATCH($C91,'QoE PF Adj. P&amp;L Aug-26'!$C$11:$C$108,0),MATCH(AH$8,'QoE PF Adj. P&amp;L Aug-26'!$D$8:$AI$8,0))*1000</f>
        <v>7500</v>
      </c>
      <c r="AI91" s="10">
        <f>+INDEX('QoE PF Adj. P&amp;L Aug-26'!$D$11:$AI$108,MATCH($C91,'QoE PF Adj. P&amp;L Aug-26'!$C$11:$C$108,0),MATCH(AI$8,'QoE PF Adj. P&amp;L Aug-26'!$D$8:$AI$8,0))*1000</f>
        <v>6400</v>
      </c>
      <c r="AJ91" s="10">
        <f>+INDEX('QoE PF Adj. P&amp;L Aug-26'!$D$11:$AI$108,MATCH($C91,'QoE PF Adj. P&amp;L Aug-26'!$C$11:$C$108,0),MATCH(AJ$8,'QoE PF Adj. P&amp;L Aug-26'!$D$8:$AI$8,0))*1000</f>
        <v>7600</v>
      </c>
      <c r="AK91" s="10">
        <f>+INDEX('QoE PF Adj. P&amp;L Aug-26'!$D$11:$AI$108,MATCH($C91,'QoE PF Adj. P&amp;L Aug-26'!$C$11:$C$108,0),MATCH(AK$8,'QoE PF Adj. P&amp;L Aug-26'!$D$8:$AI$8,0))*1000</f>
        <v>8100</v>
      </c>
      <c r="AL91" s="10">
        <f>+INDEX('QoE PF Adj. P&amp;L Aug-26'!$D$11:$AI$108,MATCH($C91,'QoE PF Adj. P&amp;L Aug-26'!$C$11:$C$108,0),MATCH(AL$8,'QoE PF Adj. P&amp;L Aug-26'!$D$8:$AI$8,0))*1000</f>
        <v>7400</v>
      </c>
      <c r="AM91" s="10">
        <f>+INDEX('QoE PF Adj. P&amp;L Aug-26'!$D$11:$AI$108,MATCH($C91,'QoE PF Adj. P&amp;L Aug-26'!$C$11:$C$108,0),MATCH(AM$8,'QoE PF Adj. P&amp;L Aug-26'!$D$8:$AI$8,0))*1000</f>
        <v>7000</v>
      </c>
      <c r="AN91" s="10">
        <f>+INDEX('QoE PF Adj. P&amp;L Aug-26'!$D$11:$AI$108,MATCH($C91,'QoE PF Adj. P&amp;L Aug-26'!$C$11:$C$108,0),MATCH(AN$8,'QoE PF Adj. P&amp;L Aug-26'!$D$8:$AI$8,0))*1000</f>
        <v>7600</v>
      </c>
      <c r="AO91" s="10">
        <f>+INDEX('QoE PF Adj. P&amp;L Aug-26'!$D$11:$AI$108,MATCH($C91,'QoE PF Adj. P&amp;L Aug-26'!$C$11:$C$108,0),MATCH(AO$8,'QoE PF Adj. P&amp;L Aug-26'!$D$8:$AI$8,0))*1000</f>
        <v>7500</v>
      </c>
      <c r="AP91" s="10">
        <f>+SUMIFS('Sep - Nov P&amp;L'!I:I,'Sep - Nov P&amp;L'!$D:$D,$C91)</f>
        <v>7570.09</v>
      </c>
      <c r="AQ91" s="10">
        <f>+SUMIFS('Sep - Nov P&amp;L'!J:J,'Sep - Nov P&amp;L'!$D:$D,$C91)</f>
        <v>8438.76</v>
      </c>
      <c r="AR91" s="10">
        <f>+SUMIFS('Sep - Nov P&amp;L'!K:K,'Sep - Nov P&amp;L'!$D:$D,$C91)</f>
        <v>7180.27</v>
      </c>
      <c r="AS91" s="20">
        <f>+AS$10*AS199</f>
        <v>7877.2340252273</v>
      </c>
      <c r="AT91" s="20">
        <f>+AT$10*AT199</f>
        <v>7192.01141299738</v>
      </c>
      <c r="AU91" s="20">
        <f>+AU$10*AU199</f>
        <v>6849.40010688243</v>
      </c>
      <c r="AV91" s="20">
        <f>+AV$10*AV199</f>
        <v>8091.6124252273</v>
      </c>
      <c r="AW91" s="20">
        <f>+AW$10*AW199</f>
        <v>8248.7484252273</v>
      </c>
      <c r="AX91" s="20">
        <f>+AX$10*AX199</f>
        <v>7674.69221299738</v>
      </c>
      <c r="AY91" s="20">
        <f>+AY$10*AY199</f>
        <v>8202.83838591805</v>
      </c>
      <c r="AZ91" s="20">
        <f>+AZ$10*AZ199</f>
        <v>8365.38845272375</v>
      </c>
      <c r="BA91" s="20">
        <f>+BA$10*BA199</f>
        <v>8527.93851952946</v>
      </c>
      <c r="BB91" s="20">
        <f>+BB$10*BB199</f>
        <v>8731.55378633516</v>
      </c>
      <c r="BC91" s="20">
        <f>+BC$10*BC199</f>
        <v>8894.10385314087</v>
      </c>
      <c r="BD91" s="20">
        <f>+BD$10*BD199</f>
        <v>8645.37319841492</v>
      </c>
      <c r="BE91" s="20">
        <f>+BE$10*BE199</f>
        <v>9638.25871342284</v>
      </c>
      <c r="BF91" s="20">
        <f>+BF$10*BF199</f>
        <v>9384.26998675228</v>
      </c>
      <c r="BG91" s="20">
        <f>+BG$10*BG199</f>
        <v>9534.57398675228</v>
      </c>
      <c r="BH91" s="20">
        <f>+BH$10*BH199</f>
        <v>10401.3534400934</v>
      </c>
      <c r="BI91" s="20">
        <f>+BI$10*BI199</f>
        <v>9101.18426008172</v>
      </c>
      <c r="BJ91" s="20">
        <f>+BJ$10*BJ199</f>
        <v>9534.57398675228</v>
      </c>
      <c r="BK91" s="20">
        <f>+BK$10*BK199</f>
        <v>9967.96371342284</v>
      </c>
      <c r="BL91" s="20">
        <f>+BL$10*BL199</f>
        <v>9101.18426008172</v>
      </c>
      <c r="BM91" s="20">
        <f>+BM$10*BM199</f>
        <v>10401.3534400934</v>
      </c>
      <c r="BN91" s="20">
        <f>+BN$10*BN199</f>
        <v>9534.57398675228</v>
      </c>
      <c r="BO91" s="20">
        <f>+BO$10*BO199</f>
        <v>9534.57398675228</v>
      </c>
      <c r="BP91" s="20">
        <f>+BP$10*BP199</f>
        <v>9534.57398675228</v>
      </c>
      <c r="BQ91" s="20">
        <f>+BQ$10*BQ199</f>
        <v>9534.57398675228</v>
      </c>
    </row>
    <row r="92">
      <c r="C92" s="3" t="inlineStr">
        <is>
          <t>Recruitment Costs</t>
        </is>
      </c>
      <c r="D92" s="20">
        <f>+SUMIFS($J92:$BQ92,$J$7:$BQ$7,D$8)</f>
        <v>25400</v>
      </c>
      <c r="E92" s="20">
        <f>+SUMIFS($J92:$BQ92,$J$7:$BQ$7,E$8)</f>
        <v>27100</v>
      </c>
      <c r="F92" s="20">
        <f>+SUMIFS($J92:$BQ92,$J$7:$BQ$7,F$8)</f>
        <v>29094.745</v>
      </c>
      <c r="G92" s="20">
        <f>+SUMIFS($J92:$BQ92,$J$7:$BQ$7,G$8)</f>
        <v>29836.4594047111</v>
      </c>
      <c r="H92" s="20">
        <f>+SUMIFS($J92:$BQ92,$J$7:$BQ$7,H$8)</f>
        <v>31113.9971382833</v>
      </c>
      <c r="J92" s="10">
        <f>+INDEX('QoE PF Adj. P&amp;L Aug-26'!$D$11:$AI$108,MATCH($C92,'QoE PF Adj. P&amp;L Aug-26'!$C$11:$C$108,0),MATCH(J$8,'QoE PF Adj. P&amp;L Aug-26'!$D$8:$AI$8,0))*1000</f>
        <v>2100</v>
      </c>
      <c r="K92" s="10">
        <f>+INDEX('QoE PF Adj. P&amp;L Aug-26'!$D$11:$AI$108,MATCH($C92,'QoE PF Adj. P&amp;L Aug-26'!$C$11:$C$108,0),MATCH(K$8,'QoE PF Adj. P&amp;L Aug-26'!$D$8:$AI$8,0))*1000</f>
        <v>2000</v>
      </c>
      <c r="L92" s="10">
        <f>+INDEX('QoE PF Adj. P&amp;L Aug-26'!$D$11:$AI$108,MATCH($C92,'QoE PF Adj. P&amp;L Aug-26'!$C$11:$C$108,0),MATCH(L$8,'QoE PF Adj. P&amp;L Aug-26'!$D$8:$AI$8,0))*1000</f>
        <v>2000</v>
      </c>
      <c r="M92" s="10">
        <f>+INDEX('QoE PF Adj. P&amp;L Aug-26'!$D$11:$AI$108,MATCH($C92,'QoE PF Adj. P&amp;L Aug-26'!$C$11:$C$108,0),MATCH(M$8,'QoE PF Adj. P&amp;L Aug-26'!$D$8:$AI$8,0))*1000</f>
        <v>2000</v>
      </c>
      <c r="N92" s="10">
        <f>+INDEX('QoE PF Adj. P&amp;L Aug-26'!$D$11:$AI$108,MATCH($C92,'QoE PF Adj. P&amp;L Aug-26'!$C$11:$C$108,0),MATCH(N$8,'QoE PF Adj. P&amp;L Aug-26'!$D$8:$AI$8,0))*1000</f>
        <v>2200</v>
      </c>
      <c r="O92" s="10">
        <f>+INDEX('QoE PF Adj. P&amp;L Aug-26'!$D$11:$AI$108,MATCH($C92,'QoE PF Adj. P&amp;L Aug-26'!$C$11:$C$108,0),MATCH(O$8,'QoE PF Adj. P&amp;L Aug-26'!$D$8:$AI$8,0))*1000</f>
        <v>2100</v>
      </c>
      <c r="P92" s="10">
        <f>+INDEX('QoE PF Adj. P&amp;L Aug-26'!$D$11:$AI$108,MATCH($C92,'QoE PF Adj. P&amp;L Aug-26'!$C$11:$C$108,0),MATCH(P$8,'QoE PF Adj. P&amp;L Aug-26'!$D$8:$AI$8,0))*1000</f>
        <v>2100</v>
      </c>
      <c r="Q92" s="10">
        <f>+INDEX('QoE PF Adj. P&amp;L Aug-26'!$D$11:$AI$108,MATCH($C92,'QoE PF Adj. P&amp;L Aug-26'!$C$11:$C$108,0),MATCH(Q$8,'QoE PF Adj. P&amp;L Aug-26'!$D$8:$AI$8,0))*1000</f>
        <v>2200</v>
      </c>
      <c r="R92" s="10">
        <f>+INDEX('QoE PF Adj. P&amp;L Aug-26'!$D$11:$AI$108,MATCH($C92,'QoE PF Adj. P&amp;L Aug-26'!$C$11:$C$108,0),MATCH(R$8,'QoE PF Adj. P&amp;L Aug-26'!$D$8:$AI$8,0))*1000</f>
        <v>2200</v>
      </c>
      <c r="S92" s="10">
        <f>+INDEX('QoE PF Adj. P&amp;L Aug-26'!$D$11:$AI$108,MATCH($C92,'QoE PF Adj. P&amp;L Aug-26'!$C$11:$C$108,0),MATCH(S$8,'QoE PF Adj. P&amp;L Aug-26'!$D$8:$AI$8,0))*1000</f>
        <v>2100</v>
      </c>
      <c r="T92" s="10">
        <f>+INDEX('QoE PF Adj. P&amp;L Aug-26'!$D$11:$AI$108,MATCH($C92,'QoE PF Adj. P&amp;L Aug-26'!$C$11:$C$108,0),MATCH(T$8,'QoE PF Adj. P&amp;L Aug-26'!$D$8:$AI$8,0))*1000</f>
        <v>2300</v>
      </c>
      <c r="U92" s="10">
        <f>+INDEX('QoE PF Adj. P&amp;L Aug-26'!$D$11:$AI$108,MATCH($C92,'QoE PF Adj. P&amp;L Aug-26'!$C$11:$C$108,0),MATCH(U$8,'QoE PF Adj. P&amp;L Aug-26'!$D$8:$AI$8,0))*1000</f>
        <v>2100</v>
      </c>
      <c r="V92" s="10">
        <f>+INDEX('QoE PF Adj. P&amp;L Aug-26'!$D$11:$AI$108,MATCH($C92,'QoE PF Adj. P&amp;L Aug-26'!$C$11:$C$108,0),MATCH(V$8,'QoE PF Adj. P&amp;L Aug-26'!$D$8:$AI$8,0))*1000</f>
        <v>2200</v>
      </c>
      <c r="W92" s="10">
        <f>+INDEX('QoE PF Adj. P&amp;L Aug-26'!$D$11:$AI$108,MATCH($C92,'QoE PF Adj. P&amp;L Aug-26'!$C$11:$C$108,0),MATCH(W$8,'QoE PF Adj. P&amp;L Aug-26'!$D$8:$AI$8,0))*1000</f>
        <v>2300</v>
      </c>
      <c r="X92" s="10">
        <f>+INDEX('QoE PF Adj. P&amp;L Aug-26'!$D$11:$AI$108,MATCH($C92,'QoE PF Adj. P&amp;L Aug-26'!$C$11:$C$108,0),MATCH(X$8,'QoE PF Adj. P&amp;L Aug-26'!$D$8:$AI$8,0))*1000</f>
        <v>2100</v>
      </c>
      <c r="Y92" s="10">
        <f>+INDEX('QoE PF Adj. P&amp;L Aug-26'!$D$11:$AI$108,MATCH($C92,'QoE PF Adj. P&amp;L Aug-26'!$C$11:$C$108,0),MATCH(Y$8,'QoE PF Adj. P&amp;L Aug-26'!$D$8:$AI$8,0))*1000</f>
        <v>2100</v>
      </c>
      <c r="Z92" s="10">
        <f>+INDEX('QoE PF Adj. P&amp;L Aug-26'!$D$11:$AI$108,MATCH($C92,'QoE PF Adj. P&amp;L Aug-26'!$C$11:$C$108,0),MATCH(Z$8,'QoE PF Adj. P&amp;L Aug-26'!$D$8:$AI$8,0))*1000</f>
        <v>2300</v>
      </c>
      <c r="AA92" s="10">
        <f>+INDEX('QoE PF Adj. P&amp;L Aug-26'!$D$11:$AI$108,MATCH($C92,'QoE PF Adj. P&amp;L Aug-26'!$C$11:$C$108,0),MATCH(AA$8,'QoE PF Adj. P&amp;L Aug-26'!$D$8:$AI$8,0))*1000</f>
        <v>2200</v>
      </c>
      <c r="AB92" s="10">
        <f>+INDEX('QoE PF Adj. P&amp;L Aug-26'!$D$11:$AI$108,MATCH($C92,'QoE PF Adj. P&amp;L Aug-26'!$C$11:$C$108,0),MATCH(AB$8,'QoE PF Adj. P&amp;L Aug-26'!$D$8:$AI$8,0))*1000</f>
        <v>2200</v>
      </c>
      <c r="AC92" s="10">
        <f>+INDEX('QoE PF Adj. P&amp;L Aug-26'!$D$11:$AI$108,MATCH($C92,'QoE PF Adj. P&amp;L Aug-26'!$C$11:$C$108,0),MATCH(AC$8,'QoE PF Adj. P&amp;L Aug-26'!$D$8:$AI$8,0))*1000</f>
        <v>2300</v>
      </c>
      <c r="AD92" s="10">
        <f>+INDEX('QoE PF Adj. P&amp;L Aug-26'!$D$11:$AI$108,MATCH($C92,'QoE PF Adj. P&amp;L Aug-26'!$C$11:$C$108,0),MATCH(AD$8,'QoE PF Adj. P&amp;L Aug-26'!$D$8:$AI$8,0))*1000</f>
        <v>2400</v>
      </c>
      <c r="AE92" s="10">
        <f>+INDEX('QoE PF Adj. P&amp;L Aug-26'!$D$11:$AI$108,MATCH($C92,'QoE PF Adj. P&amp;L Aug-26'!$C$11:$C$108,0),MATCH(AE$8,'QoE PF Adj. P&amp;L Aug-26'!$D$8:$AI$8,0))*1000</f>
        <v>2200</v>
      </c>
      <c r="AF92" s="10">
        <f>+INDEX('QoE PF Adj. P&amp;L Aug-26'!$D$11:$AI$108,MATCH($C92,'QoE PF Adj. P&amp;L Aug-26'!$C$11:$C$108,0),MATCH(AF$8,'QoE PF Adj. P&amp;L Aug-26'!$D$8:$AI$8,0))*1000</f>
        <v>2300</v>
      </c>
      <c r="AG92" s="10">
        <f>+INDEX('QoE PF Adj. P&amp;L Aug-26'!$D$11:$AI$108,MATCH($C92,'QoE PF Adj. P&amp;L Aug-26'!$C$11:$C$108,0),MATCH(AG$8,'QoE PF Adj. P&amp;L Aug-26'!$D$8:$AI$8,0))*1000</f>
        <v>2500</v>
      </c>
      <c r="AH92" s="10">
        <f>+INDEX('QoE PF Adj. P&amp;L Aug-26'!$D$11:$AI$108,MATCH($C92,'QoE PF Adj. P&amp;L Aug-26'!$C$11:$C$108,0),MATCH(AH$8,'QoE PF Adj. P&amp;L Aug-26'!$D$8:$AI$8,0))*1000</f>
        <v>2300</v>
      </c>
      <c r="AI92" s="10">
        <f>+INDEX('QoE PF Adj. P&amp;L Aug-26'!$D$11:$AI$108,MATCH($C92,'QoE PF Adj. P&amp;L Aug-26'!$C$11:$C$108,0),MATCH(AI$8,'QoE PF Adj. P&amp;L Aug-26'!$D$8:$AI$8,0))*1000</f>
        <v>2400</v>
      </c>
      <c r="AJ92" s="10">
        <f>+INDEX('QoE PF Adj. P&amp;L Aug-26'!$D$11:$AI$108,MATCH($C92,'QoE PF Adj. P&amp;L Aug-26'!$C$11:$C$108,0),MATCH(AJ$8,'QoE PF Adj. P&amp;L Aug-26'!$D$8:$AI$8,0))*1000</f>
        <v>2500</v>
      </c>
      <c r="AK92" s="10">
        <f>+INDEX('QoE PF Adj. P&amp;L Aug-26'!$D$11:$AI$108,MATCH($C92,'QoE PF Adj. P&amp;L Aug-26'!$C$11:$C$108,0),MATCH(AK$8,'QoE PF Adj. P&amp;L Aug-26'!$D$8:$AI$8,0))*1000</f>
        <v>2400</v>
      </c>
      <c r="AL92" s="10">
        <f>+INDEX('QoE PF Adj. P&amp;L Aug-26'!$D$11:$AI$108,MATCH($C92,'QoE PF Adj. P&amp;L Aug-26'!$C$11:$C$108,0),MATCH(AL$8,'QoE PF Adj. P&amp;L Aug-26'!$D$8:$AI$8,0))*1000</f>
        <v>2300</v>
      </c>
      <c r="AM92" s="10">
        <f>+INDEX('QoE PF Adj. P&amp;L Aug-26'!$D$11:$AI$108,MATCH($C92,'QoE PF Adj. P&amp;L Aug-26'!$C$11:$C$108,0),MATCH(AM$8,'QoE PF Adj. P&amp;L Aug-26'!$D$8:$AI$8,0))*1000</f>
        <v>2300</v>
      </c>
      <c r="AN92" s="10">
        <f>+INDEX('QoE PF Adj. P&amp;L Aug-26'!$D$11:$AI$108,MATCH($C92,'QoE PF Adj. P&amp;L Aug-26'!$C$11:$C$108,0),MATCH(AN$8,'QoE PF Adj. P&amp;L Aug-26'!$D$8:$AI$8,0))*1000</f>
        <v>2400</v>
      </c>
      <c r="AO92" s="10">
        <f>+INDEX('QoE PF Adj. P&amp;L Aug-26'!$D$11:$AI$108,MATCH($C92,'QoE PF Adj. P&amp;L Aug-26'!$C$11:$C$108,0),MATCH(AO$8,'QoE PF Adj. P&amp;L Aug-26'!$D$8:$AI$8,0))*1000</f>
        <v>2600</v>
      </c>
      <c r="AP92" s="10">
        <f>+SUMIFS('Sep - Nov P&amp;L'!I:I,'Sep - Nov P&amp;L'!$D:$D,$C92)</f>
        <v>2625.69</v>
      </c>
      <c r="AQ92" s="10">
        <f>+SUMIFS('Sep - Nov P&amp;L'!J:J,'Sep - Nov P&amp;L'!$D:$D,$C92)</f>
        <v>2407.03</v>
      </c>
      <c r="AR92" s="10">
        <f>+SUMIFS('Sep - Nov P&amp;L'!K:K,'Sep - Nov P&amp;L'!$D:$D,$C92)</f>
        <v>2431.66</v>
      </c>
      <c r="AS92" s="20">
        <f>+AS200</f>
        <v>2430.365</v>
      </c>
      <c r="AT92" s="20">
        <f>+AT200</f>
        <v>2438.8712775</v>
      </c>
      <c r="AU92" s="20">
        <f>+AU200</f>
        <v>2447.40732697125</v>
      </c>
      <c r="AV92" s="20">
        <f>+AV200</f>
        <v>2455.97325261565</v>
      </c>
      <c r="AW92" s="20">
        <f>+AW200</f>
        <v>2464.56915899981</v>
      </c>
      <c r="AX92" s="20">
        <f>+AX200</f>
        <v>2473.1951510563</v>
      </c>
      <c r="AY92" s="20">
        <f>+AY200</f>
        <v>2481.851334085</v>
      </c>
      <c r="AZ92" s="20">
        <f>+AZ200</f>
        <v>2490.5378137543</v>
      </c>
      <c r="BA92" s="20">
        <f>+BA200</f>
        <v>2499.25469610244</v>
      </c>
      <c r="BB92" s="20">
        <f>+BB200</f>
        <v>2508.0020875388</v>
      </c>
      <c r="BC92" s="20">
        <f>+BC200</f>
        <v>2516.78009484518</v>
      </c>
      <c r="BD92" s="20">
        <f>+BD200</f>
        <v>2525.58882517714</v>
      </c>
      <c r="BE92" s="20">
        <f>+BE200</f>
        <v>2534.42838606526</v>
      </c>
      <c r="BF92" s="20">
        <f>+BF200</f>
        <v>2543.29888541649</v>
      </c>
      <c r="BG92" s="20">
        <f>+BG200</f>
        <v>2552.20043151545</v>
      </c>
      <c r="BH92" s="20">
        <f>+BH200</f>
        <v>2561.13313302575</v>
      </c>
      <c r="BI92" s="20">
        <f>+BI200</f>
        <v>2570.09709899134</v>
      </c>
      <c r="BJ92" s="20">
        <f>+BJ200</f>
        <v>2579.09243883781</v>
      </c>
      <c r="BK92" s="20">
        <f>+BK200</f>
        <v>2588.11926237375</v>
      </c>
      <c r="BL92" s="20">
        <f>+BL200</f>
        <v>2597.17767979205</v>
      </c>
      <c r="BM92" s="20">
        <f>+BM200</f>
        <v>2606.26780167133</v>
      </c>
      <c r="BN92" s="20">
        <f>+BN200</f>
        <v>2615.38973897718</v>
      </c>
      <c r="BO92" s="20">
        <f>+BO200</f>
        <v>2624.5436030636</v>
      </c>
      <c r="BP92" s="20">
        <f>+BP200</f>
        <v>2633.72950567432</v>
      </c>
      <c r="BQ92" s="20">
        <f>+BQ200</f>
        <v>2642.94755894418</v>
      </c>
    </row>
    <row r="93">
      <c r="C93" s="2" t="inlineStr">
        <is>
          <t>Total General &amp; Administrative</t>
        </is>
      </c>
      <c r="D93" s="15">
        <f>+SUMIFS($J93:$BQ93,$J$7:$BQ$7,D$8)</f>
        <v>1952800</v>
      </c>
      <c r="E93" s="15">
        <f>+SUMIFS($J93:$BQ93,$J$7:$BQ$7,E$8)</f>
        <v>2091500</v>
      </c>
      <c r="F93" s="15">
        <f>+SUMIFS($J93:$BQ93,$J$7:$BQ$7,F$8)</f>
        <v>2251314.00077961</v>
      </c>
      <c r="G93" s="15">
        <f>+SUMIFS($J93:$BQ93,$J$7:$BQ$7,G$8)</f>
        <v>2356781.09780959</v>
      </c>
      <c r="H93" s="15">
        <f>+SUMIFS($J93:$BQ93,$J$7:$BQ$7,H$8)</f>
        <v>2573672.65533261</v>
      </c>
      <c r="J93" s="15">
        <f>SUM(J69:J92)</f>
        <v>160700</v>
      </c>
      <c r="K93" s="15">
        <f>SUM(K69:K92)</f>
        <v>156000</v>
      </c>
      <c r="L93" s="15">
        <f>SUM(L69:L92)</f>
        <v>162900</v>
      </c>
      <c r="M93" s="15">
        <f>SUM(M69:M92)</f>
        <v>158800</v>
      </c>
      <c r="N93" s="15">
        <f>SUM(N69:N92)</f>
        <v>165000</v>
      </c>
      <c r="O93" s="15">
        <f>SUM(O69:O92)</f>
        <v>156900</v>
      </c>
      <c r="P93" s="15">
        <f>SUM(P69:P92)</f>
        <v>165000</v>
      </c>
      <c r="Q93" s="15">
        <f>SUM(Q69:Q92)</f>
        <v>166100</v>
      </c>
      <c r="R93" s="15">
        <f>SUM(R69:R92)</f>
        <v>161600</v>
      </c>
      <c r="S93" s="15">
        <f>SUM(S69:S92)</f>
        <v>172000</v>
      </c>
      <c r="T93" s="15">
        <f>SUM(T69:T92)</f>
        <v>162300</v>
      </c>
      <c r="U93" s="15">
        <f>SUM(U69:U92)</f>
        <v>165500</v>
      </c>
      <c r="V93" s="15">
        <f>SUM(V69:V92)</f>
        <v>170800</v>
      </c>
      <c r="W93" s="15">
        <f>SUM(W69:W92)</f>
        <v>158600</v>
      </c>
      <c r="X93" s="15">
        <f>SUM(X69:X92)</f>
        <v>169800</v>
      </c>
      <c r="Y93" s="15">
        <f>SUM(Y69:Y92)</f>
        <v>172000</v>
      </c>
      <c r="Z93" s="15">
        <f>SUM(Z69:Z92)</f>
        <v>175200</v>
      </c>
      <c r="AA93" s="15">
        <f>SUM(AA69:AA92)</f>
        <v>168300</v>
      </c>
      <c r="AB93" s="15">
        <f>SUM(AB69:AB92)</f>
        <v>176700</v>
      </c>
      <c r="AC93" s="15">
        <f>SUM(AC69:AC92)</f>
        <v>176500</v>
      </c>
      <c r="AD93" s="15">
        <f>SUM(AD69:AD92)</f>
        <v>178300</v>
      </c>
      <c r="AE93" s="15">
        <f>SUM(AE69:AE92)</f>
        <v>186800</v>
      </c>
      <c r="AF93" s="15">
        <f>SUM(AF69:AF92)</f>
        <v>177500</v>
      </c>
      <c r="AG93" s="15">
        <f>SUM(AG69:AG92)</f>
        <v>181000</v>
      </c>
      <c r="AH93" s="15">
        <f>SUM(AH69:AH92)</f>
        <v>185000</v>
      </c>
      <c r="AI93" s="15">
        <f>SUM(AI69:AI92)</f>
        <v>172700</v>
      </c>
      <c r="AJ93" s="15">
        <f>SUM(AJ69:AJ92)</f>
        <v>185400</v>
      </c>
      <c r="AK93" s="15">
        <f>SUM(AK69:AK92)</f>
        <v>190400</v>
      </c>
      <c r="AL93" s="15">
        <f>SUM(AL69:AL92)</f>
        <v>186400</v>
      </c>
      <c r="AM93" s="15">
        <f>SUM(AM69:AM92)</f>
        <v>185200</v>
      </c>
      <c r="AN93" s="15">
        <f>SUM(AN69:AN92)</f>
        <v>187700</v>
      </c>
      <c r="AO93" s="15">
        <f>SUM(AO69:AO92)</f>
        <v>187800</v>
      </c>
      <c r="AP93" s="15">
        <f>SUM(AP69:AP92)</f>
        <v>195961.48</v>
      </c>
      <c r="AQ93" s="15">
        <f>SUM(AQ69:AQ92)</f>
        <v>198586.15</v>
      </c>
      <c r="AR93" s="15">
        <f>SUM(AR69:AR92)</f>
        <v>186007.8</v>
      </c>
      <c r="AS93" s="15">
        <f>SUM(AS69:AS92)</f>
        <v>190158.570779609</v>
      </c>
      <c r="AT93" s="15">
        <f>SUM(AT69:AT92)</f>
        <v>184081.805754869</v>
      </c>
      <c r="AU93" s="15">
        <f>SUM(AU69:AU92)</f>
        <v>181247.22337539</v>
      </c>
      <c r="AV93" s="15">
        <f>SUM(AV69:AV92)</f>
        <v>193404.935282927</v>
      </c>
      <c r="AW93" s="15">
        <f>SUM(AW69:AW92)</f>
        <v>195300.319125389</v>
      </c>
      <c r="AX93" s="15">
        <f>SUM(AX69:AX92)</f>
        <v>190280.775457059</v>
      </c>
      <c r="AY93" s="15">
        <f>SUM(AY69:AY92)</f>
        <v>195688.418840848</v>
      </c>
      <c r="AZ93" s="15">
        <f>SUM(AZ69:AZ92)</f>
        <v>197639.324313784</v>
      </c>
      <c r="BA93" s="15">
        <f>SUM(BA69:BA92)</f>
        <v>199591.676482761</v>
      </c>
      <c r="BB93" s="15">
        <f>SUM(BB69:BB92)</f>
        <v>201933.916811216</v>
      </c>
      <c r="BC93" s="15">
        <f>SUM(BC69:BC92)</f>
        <v>203889.177580308</v>
      </c>
      <c r="BD93" s="15">
        <f>SUM(BD69:BD92)</f>
        <v>201955.589201703</v>
      </c>
      <c r="BE93" s="15">
        <f>SUM(BE69:BE92)</f>
        <v>211767.935583341</v>
      </c>
      <c r="BF93" s="15">
        <f>SUM(BF69:BF92)</f>
        <v>209787.550263446</v>
      </c>
      <c r="BG93" s="15">
        <f>SUM(BG69:BG92)</f>
        <v>211632.853816609</v>
      </c>
      <c r="BH93" s="15">
        <f>SUM(BH69:BH92)</f>
        <v>220256.792942862</v>
      </c>
      <c r="BI93" s="15">
        <f>SUM(BI69:BI92)</f>
        <v>208385.01712572</v>
      </c>
      <c r="BJ93" s="15">
        <f>SUM(BJ69:BJ92)</f>
        <v>212912.496336081</v>
      </c>
      <c r="BK93" s="15">
        <f>SUM(BK69:BK92)</f>
        <v>217441.473681825</v>
      </c>
      <c r="BL93" s="15">
        <f>SUM(BL69:BL92)</f>
        <v>209673.632818448</v>
      </c>
      <c r="BM93" s="15">
        <f>SUM(BM69:BM92)</f>
        <v>222404.503242386</v>
      </c>
      <c r="BN93" s="15">
        <f>SUM(BN69:BN92)</f>
        <v>214639.684940618</v>
      </c>
      <c r="BO93" s="15">
        <f>SUM(BO69:BO92)</f>
        <v>215075.266917152</v>
      </c>
      <c r="BP93" s="15">
        <f>SUM(BP69:BP92)</f>
        <v>215512.373430604</v>
      </c>
      <c r="BQ93" s="15">
        <f>SUM(BQ69:BQ92)</f>
        <v>215951.009816853</v>
      </c>
    </row>
    <row r="95">
      <c r="C95" s="2" t="inlineStr">
        <is>
          <t>Total Operating Expenses</t>
        </is>
      </c>
      <c r="D95" s="15">
        <f>+SUMIFS($J95:$BQ95,$J$7:$BQ$7,D$8)</f>
        <v>10218300</v>
      </c>
      <c r="E95" s="15">
        <f>+SUMIFS($J95:$BQ95,$J$7:$BQ$7,E$8)</f>
        <v>10939200</v>
      </c>
      <c r="F95" s="15">
        <f>+SUMIFS($J95:$BQ95,$J$7:$BQ$7,F$8)</f>
        <v>11731601.4490008</v>
      </c>
      <c r="G95" s="15">
        <f>+SUMIFS($J95:$BQ95,$J$7:$BQ$7,G$8)</f>
        <v>12969194.8608378</v>
      </c>
      <c r="H95" s="15">
        <f>+SUMIFS($J95:$BQ95,$J$7:$BQ$7,H$8)</f>
        <v>14478033.8781663</v>
      </c>
      <c r="J95" s="15">
        <f>+J93+J66+J59+J53+J45+J38+J27+J19</f>
        <v>843600</v>
      </c>
      <c r="K95" s="15">
        <f>+K93+K66+K59+K53+K45+K38+K27+K19</f>
        <v>810400</v>
      </c>
      <c r="L95" s="15">
        <f>+L93+L66+L59+L53+L45+L38+L27+L19</f>
        <v>848300</v>
      </c>
      <c r="M95" s="15">
        <f>+M93+M66+M59+M53+M45+M38+M27+M19</f>
        <v>844000</v>
      </c>
      <c r="N95" s="15">
        <f>+N93+N66+N59+N53+N45+N38+N27+N19</f>
        <v>877100</v>
      </c>
      <c r="O95" s="15">
        <f>+O93+O66+O59+O53+O45+O38+O27+O19</f>
        <v>824600</v>
      </c>
      <c r="P95" s="15">
        <f>+P93+P66+P59+P53+P45+P38+P27+P19</f>
        <v>862000</v>
      </c>
      <c r="Q95" s="15">
        <f>+Q93+Q66+Q59+Q53+Q45+Q38+Q27+Q19</f>
        <v>870000</v>
      </c>
      <c r="R95" s="15">
        <f>+R93+R66+R59+R53+R45+R38+R27+R19</f>
        <v>837000</v>
      </c>
      <c r="S95" s="15">
        <f>+S93+S66+S59+S53+S45+S38+S27+S19</f>
        <v>906700</v>
      </c>
      <c r="T95" s="15">
        <f>+T93+T66+T59+T53+T45+T38+T27+T19</f>
        <v>849000</v>
      </c>
      <c r="U95" s="15">
        <f>+U93+U66+U59+U53+U45+U38+U27+U19</f>
        <v>845600</v>
      </c>
      <c r="V95" s="15">
        <f>+V93+V66+V59+V53+V45+V38+V27+V19</f>
        <v>894100</v>
      </c>
      <c r="W95" s="15">
        <f>+W93+W66+W59+W53+W45+W38+W27+W19</f>
        <v>839200</v>
      </c>
      <c r="X95" s="15">
        <f>+X93+X66+X59+X53+X45+X38+X27+X19</f>
        <v>874400</v>
      </c>
      <c r="Y95" s="15">
        <f>+Y93+Y66+Y59+Y53+Y45+Y38+Y27+Y19</f>
        <v>908600</v>
      </c>
      <c r="Z95" s="15">
        <f>+Z93+Z66+Z59+Z53+Z45+Z38+Z27+Z19</f>
        <v>925300</v>
      </c>
      <c r="AA95" s="15">
        <f>+AA93+AA66+AA59+AA53+AA45+AA38+AA27+AA19</f>
        <v>886400</v>
      </c>
      <c r="AB95" s="15">
        <f>+AB93+AB66+AB59+AB53+AB45+AB38+AB27+AB19</f>
        <v>933300</v>
      </c>
      <c r="AC95" s="15">
        <f>+AC93+AC66+AC59+AC53+AC45+AC38+AC27+AC19</f>
        <v>909400</v>
      </c>
      <c r="AD95" s="15">
        <f>+AD93+AD66+AD59+AD53+AD45+AD38+AD27+AD19</f>
        <v>920300</v>
      </c>
      <c r="AE95" s="15">
        <f>+AE93+AE66+AE59+AE53+AE45+AE38+AE27+AE19</f>
        <v>975600</v>
      </c>
      <c r="AF95" s="15">
        <f>+AF93+AF66+AF59+AF53+AF45+AF38+AF27+AF19</f>
        <v>926800</v>
      </c>
      <c r="AG95" s="15">
        <f>+AG93+AG66+AG59+AG53+AG45+AG38+AG27+AG19</f>
        <v>945800</v>
      </c>
      <c r="AH95" s="15">
        <f>+AH93+AH66+AH59+AH53+AH45+AH38+AH27+AH19</f>
        <v>982500</v>
      </c>
      <c r="AI95" s="15">
        <f>+AI93+AI66+AI59+AI53+AI45+AI38+AI27+AI19</f>
        <v>900600</v>
      </c>
      <c r="AJ95" s="15">
        <f>+AJ93+AJ66+AJ59+AJ53+AJ45+AJ38+AJ27+AJ19</f>
        <v>968200</v>
      </c>
      <c r="AK95" s="15">
        <f>+AK93+AK66+AK59+AK53+AK45+AK38+AK27+AK19</f>
        <v>994400</v>
      </c>
      <c r="AL95" s="15">
        <f>+AL93+AL66+AL59+AL53+AL45+AL38+AL27+AL19</f>
        <v>977200</v>
      </c>
      <c r="AM95" s="15">
        <f>+AM93+AM66+AM59+AM53+AM45+AM38+AM27+AM19</f>
        <v>952500</v>
      </c>
      <c r="AN95" s="15">
        <f>+AN93+AN66+AN59+AN53+AN45+AN38+AN27+AN19</f>
        <v>981600</v>
      </c>
      <c r="AO95" s="15">
        <f>+AO93+AO66+AO59+AO53+AO45+AO38+AO27+AO19</f>
        <v>972300</v>
      </c>
      <c r="AP95" s="15">
        <f>+AP93+AP66+AP59+AP53+AP45+AP38+AP27+AP19</f>
        <v>998576.67</v>
      </c>
      <c r="AQ95" s="15">
        <f>+AQ93+AQ66+AQ59+AQ53+AQ45+AQ38+AQ27+AQ19</f>
        <v>1034017.06</v>
      </c>
      <c r="AR95" s="15">
        <f>+AR93+AR66+AR59+AR53+AR45+AR38+AR27+AR19</f>
        <v>963941.54</v>
      </c>
      <c r="AS95" s="15">
        <f>+AS93+AS66+AS59+AS53+AS45+AS38+AS27+AS19</f>
        <v>1005766.17900075</v>
      </c>
      <c r="AT95" s="15">
        <f>+AT93+AT66+AT59+AT53+AT45+AT38+AT27+AT19</f>
        <v>974391.289276474</v>
      </c>
      <c r="AU95" s="15">
        <f>+AU93+AU66+AU59+AU53+AU45+AU38+AU27+AU19</f>
        <v>979526.722732302</v>
      </c>
      <c r="AV95" s="15">
        <f>+AV93+AV66+AV59+AV53+AV45+AV38+AV27+AV19</f>
        <v>1062322.16688378</v>
      </c>
      <c r="AW95" s="15">
        <f>+AW93+AW66+AW59+AW53+AW45+AW38+AW27+AW19</f>
        <v>1072938.80019609</v>
      </c>
      <c r="AX95" s="15">
        <f>+AX93+AX66+AX59+AX53+AX45+AX38+AX27+AX19</f>
        <v>1050253.60823566</v>
      </c>
      <c r="AY95" s="15">
        <f>+AY93+AY66+AY59+AY53+AY45+AY38+AY27+AY19</f>
        <v>1082512.09115273</v>
      </c>
      <c r="AZ95" s="15">
        <f>+AZ93+AZ66+AZ59+AZ53+AZ45+AZ38+AZ27+AZ19</f>
        <v>1093251.53786208</v>
      </c>
      <c r="BA95" s="15">
        <f>+BA93+BA66+BA59+BA53+BA45+BA38+BA27+BA19</f>
        <v>1103993.55587871</v>
      </c>
      <c r="BB95" s="15">
        <f>+BB93+BB66+BB59+BB53+BB45+BB38+BB27+BB19</f>
        <v>1116566.18364118</v>
      </c>
      <c r="BC95" s="15">
        <f>+BC93+BC66+BC59+BC53+BC45+BC38+BC27+BC19</f>
        <v>1132182.7849648</v>
      </c>
      <c r="BD95" s="15">
        <f>+BD93+BD66+BD59+BD53+BD45+BD38+BD27+BD19</f>
        <v>1123491.58838128</v>
      </c>
      <c r="BE95" s="15">
        <f>+BE93+BE66+BE59+BE53+BE45+BE38+BE27+BE19</f>
        <v>1177764.53163269</v>
      </c>
      <c r="BF95" s="15">
        <f>+BF93+BF66+BF59+BF53+BF45+BF38+BF27+BF19</f>
        <v>1181547.25088229</v>
      </c>
      <c r="BG95" s="15">
        <f>+BG93+BG66+BG59+BG53+BG45+BG38+BG27+BG19</f>
        <v>1196629.16324161</v>
      </c>
      <c r="BH95" s="15">
        <f>+BH93+BH66+BH59+BH53+BH45+BH38+BH27+BH19</f>
        <v>1238990.12337462</v>
      </c>
      <c r="BI95" s="15">
        <f>+BI93+BI66+BI59+BI53+BI45+BI38+BI27+BI19</f>
        <v>1177340.03596596</v>
      </c>
      <c r="BJ95" s="15">
        <f>+BJ93+BJ66+BJ59+BJ53+BJ45+BJ38+BJ27+BJ19</f>
        <v>1198903.55539098</v>
      </c>
      <c r="BK95" s="15">
        <f>+BK93+BK66+BK59+BK53+BK45+BK38+BK27+BK19</f>
        <v>1224636.40421643</v>
      </c>
      <c r="BL95" s="15">
        <f>+BL93+BL66+BL59+BL53+BL45+BL38+BL27+BL19</f>
        <v>1183797.04338834</v>
      </c>
      <c r="BM95" s="15">
        <f>+BM93+BM66+BM59+BM53+BM45+BM38+BM27+BM19</f>
        <v>1246974.05569949</v>
      </c>
      <c r="BN95" s="15">
        <f>+BN93+BN66+BN59+BN53+BN45+BN38+BN27+BN19</f>
        <v>1206140.06706737</v>
      </c>
      <c r="BO95" s="15">
        <f>+BO93+BO66+BO59+BO53+BO45+BO38+BO27+BO19</f>
        <v>1206914.25533696</v>
      </c>
      <c r="BP95" s="15">
        <f>+BP93+BP66+BP59+BP53+BP45+BP38+BP27+BP19</f>
        <v>1207691.15326549</v>
      </c>
      <c r="BQ95" s="15">
        <f>+BQ93+BQ66+BQ59+BQ53+BQ45+BQ38+BQ27+BQ19</f>
        <v>1208470.77033676</v>
      </c>
    </row>
    <row r="96">
      <c r="C96" s="3" t="inlineStr">
        <is>
          <t>% of Revenue</t>
        </is>
      </c>
      <c r="D96" s="11">
        <f>+IFERROR(D95/D$10,)</f>
        <v>0.803837349255422</v>
      </c>
      <c r="E96" s="11">
        <f>+IFERROR(E95/E$10,)</f>
        <v>0.79515024641284</v>
      </c>
      <c r="F96" s="11">
        <f>+IFERROR(F95/F$10,)</f>
        <v>0.784558860655071</v>
      </c>
      <c r="G96" s="11">
        <f>+IFERROR(G95/G$10,)</f>
        <v>0.798612514840751</v>
      </c>
      <c r="H96" s="11">
        <f>+IFERROR(H95/H$10,)</f>
        <v>0.764212308234986</v>
      </c>
      <c r="J96" s="11">
        <f>+IFERROR(J95/J$10,)</f>
        <v>0.796149490373726</v>
      </c>
      <c r="K96" s="11">
        <f>+IFERROR(K95/K$10,)</f>
        <v>0.846724480200606</v>
      </c>
      <c r="L96" s="11">
        <f>+IFERROR(L95/L$10,)</f>
        <v>0.805373587771765</v>
      </c>
      <c r="M96" s="11">
        <f>+IFERROR(M95/M$10,)</f>
        <v>0.82365570410852</v>
      </c>
      <c r="N96" s="11">
        <f>+IFERROR(N95/N$10,)</f>
        <v>0.760645217240482</v>
      </c>
      <c r="O96" s="11">
        <f>+IFERROR(O95/O$10,)</f>
        <v>0.847830557269175</v>
      </c>
      <c r="P96" s="11">
        <f>+IFERROR(P95/P$10,)</f>
        <v>0.8029809035864</v>
      </c>
      <c r="Q96" s="11">
        <f>+IFERROR(Q95/Q$10,)</f>
        <v>0.792782941498086</v>
      </c>
      <c r="R96" s="11">
        <f>+IFERROR(R95/R$10,)</f>
        <v>0.825362390296815</v>
      </c>
      <c r="S96" s="11">
        <f>+IFERROR(S95/S$10,)</f>
        <v>0.742223313686968</v>
      </c>
      <c r="T96" s="11">
        <f>+IFERROR(T95/T$10,)</f>
        <v>0.798833270605947</v>
      </c>
      <c r="U96" s="11">
        <f>+IFERROR(U95/U$10,)</f>
        <v>0.827316309558752</v>
      </c>
      <c r="V96" s="11">
        <f>+IFERROR(V95/V$10,)</f>
        <v>0.772574094876004</v>
      </c>
      <c r="W96" s="11">
        <f>+IFERROR(W95/W$10,)</f>
        <v>0.889077232757707</v>
      </c>
      <c r="X96" s="11">
        <f>+IFERROR(X95/X$10,)</f>
        <v>0.808207782604677</v>
      </c>
      <c r="Y96" s="11">
        <f>+IFERROR(Y95/Y$10,)</f>
        <v>0.775851763299462</v>
      </c>
      <c r="Z96" s="11">
        <f>+IFERROR(Z95/Z$10,)</f>
        <v>0.766738481935698</v>
      </c>
      <c r="AA96" s="11">
        <f>+IFERROR(AA95/AA$10,)</f>
        <v>0.838441165342414</v>
      </c>
      <c r="AB96" s="11">
        <f>+IFERROR(AB95/AB$10,)</f>
        <v>0.772663299942048</v>
      </c>
      <c r="AC96" s="11">
        <f>+IFERROR(AC95/AC$10,)</f>
        <v>0.79002693076188</v>
      </c>
      <c r="AD96" s="11">
        <f>+IFERROR(AD95/AD$10,)</f>
        <v>0.799010244834173</v>
      </c>
      <c r="AE96" s="11">
        <f>+IFERROR(AE95/AE$10,)</f>
        <v>0.735635650731413</v>
      </c>
      <c r="AF96" s="11">
        <f>+IFERROR(AF95/AF$10,)</f>
        <v>0.825215920220817</v>
      </c>
      <c r="AG96" s="11">
        <f>+IFERROR(AG95/AG$10,)</f>
        <v>0.802137223305911</v>
      </c>
      <c r="AH96" s="11">
        <f>+IFERROR(AH95/AH$10,)</f>
        <v>0.79612673203144</v>
      </c>
      <c r="AI96" s="11">
        <f>+IFERROR(AI95/AI$10,)</f>
        <v>0.862726314781109</v>
      </c>
      <c r="AJ96" s="11">
        <f>+IFERROR(AJ95/AJ$10,)</f>
        <v>0.781562802712302</v>
      </c>
      <c r="AK96" s="11">
        <f>+IFERROR(AK95/AK$10,)</f>
        <v>0.771390892870995</v>
      </c>
      <c r="AL96" s="11">
        <f>+IFERROR(AL95/AL$10,)</f>
        <v>0.782761935277155</v>
      </c>
      <c r="AM96" s="11">
        <f>+IFERROR(AM95/AM$10,)</f>
        <v>0.801767676767677</v>
      </c>
      <c r="AN96" s="11">
        <f>+IFERROR(AN95/AN$10,)</f>
        <v>0.756415196116206</v>
      </c>
      <c r="AO96" s="11">
        <f>+IFERROR(AO95/AO$10,)</f>
        <v>0.788564476885645</v>
      </c>
      <c r="AP96" s="11">
        <f>+IFERROR(AP95/AP$10,)</f>
        <v>0.761481686425618</v>
      </c>
      <c r="AQ96" s="11">
        <f>+IFERROR(AQ95/AQ$10,)</f>
        <v>0.741744276717756</v>
      </c>
      <c r="AR96" s="11">
        <f>+IFERROR(AR95/AR$10,)</f>
        <v>0.814570518350767</v>
      </c>
      <c r="AS96" s="11">
        <f>+IFERROR(AS95/AS$10,)</f>
        <v>0.7788487268826</v>
      </c>
      <c r="AT96" s="11">
        <f>+IFERROR(AT95/AT$10,)</f>
        <v>0.826442913291947</v>
      </c>
      <c r="AU96" s="11">
        <f>+IFERROR(AU95/AU$10,)</f>
        <v>0.872355668442134</v>
      </c>
      <c r="AV96" s="11">
        <f>+IFERROR(AV95/AV$10,)</f>
        <v>0.800849679575334</v>
      </c>
      <c r="AW96" s="11">
        <f>+IFERROR(AW95/AW$10,)</f>
        <v>0.793444816571163</v>
      </c>
      <c r="AX96" s="11">
        <f>+IFERROR(AX95/AX$10,)</f>
        <v>0.834762728254798</v>
      </c>
      <c r="AY96" s="11">
        <f>+IFERROR(AY95/AY$10,)</f>
        <v>0.805004736819839</v>
      </c>
      <c r="AZ96" s="11">
        <f>+IFERROR(AZ95/AZ$10,)</f>
        <v>0.797193629279381</v>
      </c>
      <c r="BA96" s="11">
        <f>+IFERROR(BA95/BA$10,)</f>
        <v>0.789682134250621</v>
      </c>
      <c r="BB96" s="11">
        <f>+IFERROR(BB95/BB$10,)</f>
        <v>0.780050594302068</v>
      </c>
      <c r="BC96" s="11">
        <f>+IFERROR(BC95/BC$10,)</f>
        <v>0.776504873601894</v>
      </c>
      <c r="BD96" s="11">
        <f>+IFERROR(BD95/BD$10,)</f>
        <v>0.792712880270149</v>
      </c>
      <c r="BE96" s="11">
        <f>+IFERROR(BE95/BE$10,)</f>
        <v>0.74540058080761</v>
      </c>
      <c r="BF96" s="11">
        <f>+IFERROR(BF95/BF$10,)</f>
        <v>0.768033980326295</v>
      </c>
      <c r="BG96" s="11">
        <f>+IFERROR(BG95/BG$10,)</f>
        <v>0.765575672905358</v>
      </c>
      <c r="BH96" s="11">
        <f>+IFERROR(BH95/BH$10,)</f>
        <v>0.726620799506001</v>
      </c>
      <c r="BI96" s="11">
        <f>+IFERROR(BI95/BI$10,)</f>
        <v>0.789103265482931</v>
      </c>
      <c r="BJ96" s="11">
        <f>+IFERROR(BJ95/BJ$10,)</f>
        <v>0.767030776419204</v>
      </c>
      <c r="BK96" s="11">
        <f>+IFERROR(BK95/BK$10,)</f>
        <v>0.749429099110862</v>
      </c>
      <c r="BL96" s="11">
        <f>+IFERROR(BL95/BL$10,)</f>
        <v>0.793431025931569</v>
      </c>
      <c r="BM96" s="11">
        <f>+IFERROR(BM95/BM$10,)</f>
        <v>0.731303073544876</v>
      </c>
      <c r="BN96" s="11">
        <f>+IFERROR(BN95/BN$10,)</f>
        <v>0.771660529283607</v>
      </c>
      <c r="BO96" s="11">
        <f>+IFERROR(BO95/BO$10,)</f>
        <v>0.772155837039468</v>
      </c>
      <c r="BP96" s="11">
        <f>+IFERROR(BP95/BP$10,)</f>
        <v>0.772652878372474</v>
      </c>
      <c r="BQ96" s="11">
        <f>+IFERROR(BQ95/BQ$10,)</f>
        <v>0.773151659350145</v>
      </c>
    </row>
    <row r="98">
      <c r="C98" s="2" t="inlineStr">
        <is>
          <t>Operating Margin</t>
        </is>
      </c>
      <c r="D98" s="21">
        <f>+SUMIFS($J98:$BQ98,$J$7:$BQ$7,D$8)</f>
        <v>2493600</v>
      </c>
      <c r="E98" s="21">
        <f>+SUMIFS($J98:$BQ98,$J$7:$BQ$7,E$8)</f>
        <v>2818200</v>
      </c>
      <c r="F98" s="21">
        <f>+SUMIFS($J98:$BQ98,$J$7:$BQ$7,F$8)</f>
        <v>3221516.84120045</v>
      </c>
      <c r="G98" s="21">
        <f>+SUMIFS($J98:$BQ98,$J$7:$BQ$7,G$8)</f>
        <v>3270464.07241089</v>
      </c>
      <c r="H98" s="21">
        <f>+SUMIFS($J98:$BQ98,$J$7:$BQ$7,H$8)</f>
        <v>4467007.60069258</v>
      </c>
      <c r="J98" s="21">
        <f>+J10-J95</f>
        <v>216000</v>
      </c>
      <c r="K98" s="21">
        <f>+K10-K95</f>
        <v>146700</v>
      </c>
      <c r="L98" s="21">
        <f>+L10-L95</f>
        <v>205000</v>
      </c>
      <c r="M98" s="21">
        <f>+M10-M95</f>
        <v>180700</v>
      </c>
      <c r="N98" s="21">
        <f>+N10-N95</f>
        <v>276000</v>
      </c>
      <c r="O98" s="21">
        <f>+O10-O95</f>
        <v>148000</v>
      </c>
      <c r="P98" s="21">
        <f>+P10-P95</f>
        <v>211500</v>
      </c>
      <c r="Q98" s="21">
        <f>+Q10-Q95</f>
        <v>227400</v>
      </c>
      <c r="R98" s="21">
        <f>+R10-R95</f>
        <v>177100</v>
      </c>
      <c r="S98" s="21">
        <f>+S10-S95</f>
        <v>314900</v>
      </c>
      <c r="T98" s="21">
        <f>+T10-T95</f>
        <v>213800</v>
      </c>
      <c r="U98" s="21">
        <f>+U10-U95</f>
        <v>176500</v>
      </c>
      <c r="V98" s="21">
        <f>+V10-V95</f>
        <v>263200</v>
      </c>
      <c r="W98" s="21">
        <f>+W10-W95</f>
        <v>104700</v>
      </c>
      <c r="X98" s="21">
        <f>+X10-X95</f>
        <v>207500</v>
      </c>
      <c r="Y98" s="21">
        <f>+Y10-Y95</f>
        <v>262500</v>
      </c>
      <c r="Z98" s="21">
        <f>+Z10-Z95</f>
        <v>281500</v>
      </c>
      <c r="AA98" s="21">
        <f>+AA10-AA95</f>
        <v>170800</v>
      </c>
      <c r="AB98" s="21">
        <f>+AB10-AB95</f>
        <v>274600</v>
      </c>
      <c r="AC98" s="21">
        <f>+AC10-AC95</f>
        <v>241700</v>
      </c>
      <c r="AD98" s="21">
        <f>+AD10-AD95</f>
        <v>231500</v>
      </c>
      <c r="AE98" s="21">
        <f>+AE10-AE95</f>
        <v>350600</v>
      </c>
      <c r="AF98" s="21">
        <f>+AF10-AF95</f>
        <v>196300</v>
      </c>
      <c r="AG98" s="21">
        <f>+AG10-AG95</f>
        <v>233300</v>
      </c>
      <c r="AH98" s="21">
        <f>+AH10-AH95</f>
        <v>251600</v>
      </c>
      <c r="AI98" s="21">
        <f>+AI10-AI95</f>
        <v>143300</v>
      </c>
      <c r="AJ98" s="21">
        <f>+AJ10-AJ95</f>
        <v>270600</v>
      </c>
      <c r="AK98" s="21">
        <f>+AK10-AK95</f>
        <v>294700</v>
      </c>
      <c r="AL98" s="21">
        <f>+AL10-AL95</f>
        <v>271200</v>
      </c>
      <c r="AM98" s="21">
        <f>+AM10-AM95</f>
        <v>235500</v>
      </c>
      <c r="AN98" s="21">
        <f>+AN10-AN95</f>
        <v>316100</v>
      </c>
      <c r="AO98" s="21">
        <f>+AO10-AO95</f>
        <v>260700</v>
      </c>
      <c r="AP98" s="21">
        <f>+AP10-AP95</f>
        <v>312783.39</v>
      </c>
      <c r="AQ98" s="21">
        <f>+AQ10-AQ95</f>
        <v>360017.37</v>
      </c>
      <c r="AR98" s="21">
        <f>+AR10-AR95</f>
        <v>219432.42</v>
      </c>
      <c r="AS98" s="21">
        <f>+AS10-AS95</f>
        <v>285583.661200445</v>
      </c>
      <c r="AT98" s="21">
        <f>+AT10-AT95</f>
        <v>204626.975149327</v>
      </c>
      <c r="AU98" s="21">
        <f>+AU10-AU95</f>
        <v>143325.753805801</v>
      </c>
      <c r="AV98" s="21">
        <f>+AV10-AV95</f>
        <v>264171.673317414</v>
      </c>
      <c r="AW98" s="21">
        <f>+AW10-AW95</f>
        <v>279315.040005108</v>
      </c>
      <c r="AX98" s="21">
        <f>+AX10-AX95</f>
        <v>207892.656190137</v>
      </c>
      <c r="AY98" s="21">
        <f>+AY10-AY95</f>
        <v>262215.513096134</v>
      </c>
      <c r="AZ98" s="21">
        <f>+AZ10-AZ95</f>
        <v>278123.618322144</v>
      </c>
      <c r="BA98" s="21">
        <f>+BA10-BA95</f>
        <v>294029.152240878</v>
      </c>
      <c r="BB98" s="21">
        <f>+BB10-BB95</f>
        <v>314836.076413762</v>
      </c>
      <c r="BC98" s="21">
        <f>+BC10-BC95</f>
        <v>325867.027025508</v>
      </c>
      <c r="BD98" s="21">
        <f>+BD10-BD95</f>
        <v>293782.706440833</v>
      </c>
      <c r="BE98" s="21">
        <f>+BE10-BE95</f>
        <v>402277.880403843</v>
      </c>
      <c r="BF98" s="21">
        <f>+BF10-BF95</f>
        <v>356857.664978744</v>
      </c>
      <c r="BG98" s="21">
        <f>+BG10-BG95</f>
        <v>366415.752619423</v>
      </c>
      <c r="BH98" s="21">
        <f>+BH10-BH95</f>
        <v>466149.784837416</v>
      </c>
      <c r="BI98" s="21">
        <f>+BI10-BI95</f>
        <v>314657.383719571</v>
      </c>
      <c r="BJ98" s="21">
        <f>+BJ10-BJ95</f>
        <v>364141.360470055</v>
      </c>
      <c r="BK98" s="21">
        <f>+BK10-BK95</f>
        <v>409456.007820098</v>
      </c>
      <c r="BL98" s="21">
        <f>+BL10-BL95</f>
        <v>308200.376297186</v>
      </c>
      <c r="BM98" s="21">
        <f>+BM10-BM95</f>
        <v>458165.852512545</v>
      </c>
      <c r="BN98" s="21">
        <f>+BN10-BN95</f>
        <v>356904.848793656</v>
      </c>
      <c r="BO98" s="21">
        <f>+BO10-BO95</f>
        <v>356130.660524072</v>
      </c>
      <c r="BP98" s="21">
        <f>+BP10-BP95</f>
        <v>355353.762595544</v>
      </c>
      <c r="BQ98" s="21">
        <f>+BQ10-BQ95</f>
        <v>354574.145524267</v>
      </c>
    </row>
    <row r="99">
      <c r="C99" s="3" t="inlineStr">
        <is>
          <t>YoY % Growth</t>
        </is>
      </c>
      <c r="E99" s="11">
        <f>+IFERROR(E98/D98-1,)</f>
        <v>0.130173243503369</v>
      </c>
      <c r="F99" s="11">
        <f>+IFERROR(F98/E98-1,)</f>
        <v>0.143111504222711</v>
      </c>
      <c r="G99" s="11">
        <f>+IFERROR(G98/F98-1,)</f>
        <v>0.0151938461362204</v>
      </c>
      <c r="H99" s="11">
        <f>+IFERROR(H98/G98-1,)</f>
        <v>0.36586352939191</v>
      </c>
    </row>
    <row r="100">
      <c r="C100" s="3" t="inlineStr">
        <is>
          <t>% Margin</t>
        </is>
      </c>
      <c r="D100" s="11">
        <f>+IFERROR(D98/D$10,)</f>
        <v>0.196162650744578</v>
      </c>
      <c r="E100" s="11">
        <f>+IFERROR(E98/E$10,)</f>
        <v>0.20484975358716</v>
      </c>
      <c r="F100" s="11">
        <f>+IFERROR(F98/F$10,)</f>
        <v>0.215441139344929</v>
      </c>
      <c r="G100" s="11">
        <f>+IFERROR(G98/G$10,)</f>
        <v>0.20138748515925</v>
      </c>
      <c r="H100" s="11">
        <f>+IFERROR(H98/H$10,)</f>
        <v>0.235787691765014</v>
      </c>
      <c r="J100" s="11">
        <f>+IFERROR(J98/J$10,)</f>
        <v>0.203850509626274</v>
      </c>
      <c r="K100" s="11">
        <f>+IFERROR(K98/K$10,)</f>
        <v>0.153275519799394</v>
      </c>
      <c r="L100" s="11">
        <f>+IFERROR(L98/L$10,)</f>
        <v>0.194626412228235</v>
      </c>
      <c r="M100" s="11">
        <f>+IFERROR(M98/M$10,)</f>
        <v>0.17634429589148</v>
      </c>
      <c r="N100" s="11">
        <f>+IFERROR(N98/N$10,)</f>
        <v>0.239354782759518</v>
      </c>
      <c r="O100" s="11">
        <f>+IFERROR(O98/O$10,)</f>
        <v>0.152169442730825</v>
      </c>
      <c r="P100" s="11">
        <f>+IFERROR(P98/P$10,)</f>
        <v>0.1970190964136</v>
      </c>
      <c r="Q100" s="11">
        <f>+IFERROR(Q98/Q$10,)</f>
        <v>0.207217058501914</v>
      </c>
      <c r="R100" s="11">
        <f>+IFERROR(R98/R$10,)</f>
        <v>0.174637609703185</v>
      </c>
      <c r="S100" s="11">
        <f>+IFERROR(S98/S$10,)</f>
        <v>0.257776686313032</v>
      </c>
      <c r="T100" s="11">
        <f>+IFERROR(T98/T$10,)</f>
        <v>0.201166729394053</v>
      </c>
      <c r="U100" s="11">
        <f>+IFERROR(U98/U$10,)</f>
        <v>0.172683690441248</v>
      </c>
      <c r="V100" s="11">
        <f>+IFERROR(V98/V$10,)</f>
        <v>0.227425905123996</v>
      </c>
      <c r="W100" s="11">
        <f>+IFERROR(W98/W$10,)</f>
        <v>0.110922767242293</v>
      </c>
      <c r="X100" s="11">
        <f>+IFERROR(X98/X$10,)</f>
        <v>0.191792217395323</v>
      </c>
      <c r="Y100" s="11">
        <f>+IFERROR(Y98/Y$10,)</f>
        <v>0.224148236700538</v>
      </c>
      <c r="Z100" s="11">
        <f>+IFERROR(Z98/Z$10,)</f>
        <v>0.233261518064302</v>
      </c>
      <c r="AA100" s="11">
        <f>+IFERROR(AA98/AA$10,)</f>
        <v>0.161558834657586</v>
      </c>
      <c r="AB100" s="11">
        <f>+IFERROR(AB98/AB$10,)</f>
        <v>0.227336700057952</v>
      </c>
      <c r="AC100" s="11">
        <f>+IFERROR(AC98/AC$10,)</f>
        <v>0.20997306923812</v>
      </c>
      <c r="AD100" s="11">
        <f>+IFERROR(AD98/AD$10,)</f>
        <v>0.200989755165827</v>
      </c>
      <c r="AE100" s="11">
        <f>+IFERROR(AE98/AE$10,)</f>
        <v>0.264364349268587</v>
      </c>
      <c r="AF100" s="11">
        <f>+IFERROR(AF98/AF$10,)</f>
        <v>0.174784079779183</v>
      </c>
      <c r="AG100" s="11">
        <f>+IFERROR(AG98/AG$10,)</f>
        <v>0.197862776694089</v>
      </c>
      <c r="AH100" s="11">
        <f>+IFERROR(AH98/AH$10,)</f>
        <v>0.20387326796856</v>
      </c>
      <c r="AI100" s="11">
        <f>+IFERROR(AI98/AI$10,)</f>
        <v>0.137273685218891</v>
      </c>
      <c r="AJ100" s="11">
        <f>+IFERROR(AJ98/AJ$10,)</f>
        <v>0.218437197287698</v>
      </c>
      <c r="AK100" s="11">
        <f>+IFERROR(AK98/AK$10,)</f>
        <v>0.228609107129005</v>
      </c>
      <c r="AL100" s="11">
        <f>+IFERROR(AL98/AL$10,)</f>
        <v>0.217238064722845</v>
      </c>
      <c r="AM100" s="11">
        <f>+IFERROR(AM98/AM$10,)</f>
        <v>0.198232323232323</v>
      </c>
      <c r="AN100" s="11">
        <f>+IFERROR(AN98/AN$10,)</f>
        <v>0.243584803883794</v>
      </c>
      <c r="AO100" s="11">
        <f>+IFERROR(AO98/AO$10,)</f>
        <v>0.211435523114355</v>
      </c>
      <c r="AP100" s="11">
        <f>+IFERROR(AP98/AP$10,)</f>
        <v>0.238518313574382</v>
      </c>
      <c r="AQ100" s="11">
        <f>+IFERROR(AQ98/AQ$10,)</f>
        <v>0.258255723282244</v>
      </c>
      <c r="AR100" s="11">
        <f>+IFERROR(AR98/AR$10,)</f>
        <v>0.185429481649233</v>
      </c>
      <c r="AS100" s="11">
        <f>+IFERROR(AS98/AS$10,)</f>
        <v>0.2211512731174</v>
      </c>
      <c r="AT100" s="11">
        <f>+IFERROR(AT98/AT$10,)</f>
        <v>0.173557086708053</v>
      </c>
      <c r="AU100" s="11">
        <f>+IFERROR(AU98/AU$10,)</f>
        <v>0.127644331557866</v>
      </c>
      <c r="AV100" s="11">
        <f>+IFERROR(AV98/AV$10,)</f>
        <v>0.199150320424666</v>
      </c>
      <c r="AW100" s="11">
        <f>+IFERROR(AW98/AW$10,)</f>
        <v>0.206555183428837</v>
      </c>
      <c r="AX100" s="11">
        <f>+IFERROR(AX98/AX$10,)</f>
        <v>0.165237271745202</v>
      </c>
      <c r="AY100" s="11">
        <f>+IFERROR(AY98/AY$10,)</f>
        <v>0.194995263180161</v>
      </c>
      <c r="AZ100" s="11">
        <f>+IFERROR(AZ98/AZ$10,)</f>
        <v>0.202806370720619</v>
      </c>
      <c r="BA100" s="11">
        <f>+IFERROR(BA98/BA$10,)</f>
        <v>0.210317865749379</v>
      </c>
      <c r="BB100" s="11">
        <f>+IFERROR(BB98/BB$10,)</f>
        <v>0.219949405697932</v>
      </c>
      <c r="BC100" s="11">
        <f>+IFERROR(BC98/BC$10,)</f>
        <v>0.223495126398106</v>
      </c>
      <c r="BD100" s="11">
        <f>+IFERROR(BD98/BD$10,)</f>
        <v>0.207287119729852</v>
      </c>
      <c r="BE100" s="11">
        <f>+IFERROR(BE98/BE$10,)</f>
        <v>0.25459941919239</v>
      </c>
      <c r="BF100" s="11">
        <f>+IFERROR(BF98/BF$10,)</f>
        <v>0.231966019673705</v>
      </c>
      <c r="BG100" s="11">
        <f>+IFERROR(BG98/BG$10,)</f>
        <v>0.234424327094642</v>
      </c>
      <c r="BH100" s="11">
        <f>+IFERROR(BH98/BH$10,)</f>
        <v>0.273379200493999</v>
      </c>
      <c r="BI100" s="11">
        <f>+IFERROR(BI98/BI$10,)</f>
        <v>0.210896734517069</v>
      </c>
      <c r="BJ100" s="11">
        <f>+IFERROR(BJ98/BJ$10,)</f>
        <v>0.232969223580796</v>
      </c>
      <c r="BK100" s="11">
        <f>+IFERROR(BK98/BK$10,)</f>
        <v>0.250570900889138</v>
      </c>
      <c r="BL100" s="11">
        <f>+IFERROR(BL98/BL$10,)</f>
        <v>0.206568974068431</v>
      </c>
      <c r="BM100" s="11">
        <f>+IFERROR(BM98/BM$10,)</f>
        <v>0.268696926455124</v>
      </c>
      <c r="BN100" s="11">
        <f>+IFERROR(BN98/BN$10,)</f>
        <v>0.228339470716393</v>
      </c>
      <c r="BO100" s="11">
        <f>+IFERROR(BO98/BO$10,)</f>
        <v>0.227844162960532</v>
      </c>
      <c r="BP100" s="11">
        <f>+IFERROR(BP98/BP$10,)</f>
        <v>0.227347121627526</v>
      </c>
      <c r="BQ100" s="11">
        <f>+IFERROR(BQ98/BQ$10,)</f>
        <v>0.226848340649855</v>
      </c>
    </row>
    <row r="102">
      <c r="C102" s="3" t="inlineStr">
        <is>
          <t>Non-Operating Expense / (Income)</t>
        </is>
      </c>
      <c r="D102" s="20">
        <f>+SUMIFS($J102:$BQ102,$J$7:$BQ$7,D$8)</f>
        <v>29400</v>
      </c>
      <c r="E102" s="20">
        <f>+SUMIFS($J102:$BQ102,$J$7:$BQ$7,E$8)</f>
        <v>29300</v>
      </c>
      <c r="F102" s="20">
        <f>+SUMIFS($J102:$BQ102,$J$7:$BQ$7,F$8)</f>
        <v>21808.3333333333</v>
      </c>
      <c r="G102" s="20">
        <f>+SUMIFS($J102:$BQ102,$J$7:$BQ$7,G$8)</f>
        <v>23427.7197172676</v>
      </c>
      <c r="H102" s="20">
        <f>+SUMIFS($J102:$BQ102,$J$7:$BQ$7,H$8)</f>
        <v>24430.8479887687</v>
      </c>
      <c r="J102" s="10">
        <f>+INDEX('QoE PF Adj. P&amp;L Aug-26'!$D$11:$AI$108,MATCH($C102,'QoE PF Adj. P&amp;L Aug-26'!$C$11:$C$108,0),MATCH(J$8,'QoE PF Adj. P&amp;L Aug-26'!$D$8:$AI$8,0))*1000</f>
        <v>2100</v>
      </c>
      <c r="K102" s="10">
        <f>+INDEX('QoE PF Adj. P&amp;L Aug-26'!$D$11:$AI$108,MATCH($C102,'QoE PF Adj. P&amp;L Aug-26'!$C$11:$C$108,0),MATCH(K$8,'QoE PF Adj. P&amp;L Aug-26'!$D$8:$AI$8,0))*1000</f>
        <v>2300</v>
      </c>
      <c r="L102" s="10">
        <f>+INDEX('QoE PF Adj. P&amp;L Aug-26'!$D$11:$AI$108,MATCH($C102,'QoE PF Adj. P&amp;L Aug-26'!$C$11:$C$108,0),MATCH(L$8,'QoE PF Adj. P&amp;L Aug-26'!$D$8:$AI$8,0))*1000</f>
        <v>3000</v>
      </c>
      <c r="M102" s="10">
        <f>+INDEX('QoE PF Adj. P&amp;L Aug-26'!$D$11:$AI$108,MATCH($C102,'QoE PF Adj. P&amp;L Aug-26'!$C$11:$C$108,0),MATCH(M$8,'QoE PF Adj. P&amp;L Aug-26'!$D$8:$AI$8,0))*1000</f>
        <v>2500</v>
      </c>
      <c r="N102" s="10">
        <f>+INDEX('QoE PF Adj. P&amp;L Aug-26'!$D$11:$AI$108,MATCH($C102,'QoE PF Adj. P&amp;L Aug-26'!$C$11:$C$108,0),MATCH(N$8,'QoE PF Adj. P&amp;L Aug-26'!$D$8:$AI$8,0))*1000</f>
        <v>1800</v>
      </c>
      <c r="O102" s="10">
        <f>+INDEX('QoE PF Adj. P&amp;L Aug-26'!$D$11:$AI$108,MATCH($C102,'QoE PF Adj. P&amp;L Aug-26'!$C$11:$C$108,0),MATCH(O$8,'QoE PF Adj. P&amp;L Aug-26'!$D$8:$AI$8,0))*1000</f>
        <v>2400</v>
      </c>
      <c r="P102" s="10">
        <f>+INDEX('QoE PF Adj. P&amp;L Aug-26'!$D$11:$AI$108,MATCH($C102,'QoE PF Adj. P&amp;L Aug-26'!$C$11:$C$108,0),MATCH(P$8,'QoE PF Adj. P&amp;L Aug-26'!$D$8:$AI$8,0))*1000</f>
        <v>2700</v>
      </c>
      <c r="Q102" s="10">
        <f>+INDEX('QoE PF Adj. P&amp;L Aug-26'!$D$11:$AI$108,MATCH($C102,'QoE PF Adj. P&amp;L Aug-26'!$C$11:$C$108,0),MATCH(Q$8,'QoE PF Adj. P&amp;L Aug-26'!$D$8:$AI$8,0))*1000</f>
        <v>2600</v>
      </c>
      <c r="R102" s="10">
        <f>+INDEX('QoE PF Adj. P&amp;L Aug-26'!$D$11:$AI$108,MATCH($C102,'QoE PF Adj. P&amp;L Aug-26'!$C$11:$C$108,0),MATCH(R$8,'QoE PF Adj. P&amp;L Aug-26'!$D$8:$AI$8,0))*1000</f>
        <v>1900</v>
      </c>
      <c r="S102" s="10">
        <f>+INDEX('QoE PF Adj. P&amp;L Aug-26'!$D$11:$AI$108,MATCH($C102,'QoE PF Adj. P&amp;L Aug-26'!$C$11:$C$108,0),MATCH(S$8,'QoE PF Adj. P&amp;L Aug-26'!$D$8:$AI$8,0))*1000</f>
        <v>2900</v>
      </c>
      <c r="T102" s="10">
        <f>+INDEX('QoE PF Adj. P&amp;L Aug-26'!$D$11:$AI$108,MATCH($C102,'QoE PF Adj. P&amp;L Aug-26'!$C$11:$C$108,0),MATCH(T$8,'QoE PF Adj. P&amp;L Aug-26'!$D$8:$AI$8,0))*1000</f>
        <v>2600</v>
      </c>
      <c r="U102" s="10">
        <f>+INDEX('QoE PF Adj. P&amp;L Aug-26'!$D$11:$AI$108,MATCH($C102,'QoE PF Adj. P&amp;L Aug-26'!$C$11:$C$108,0),MATCH(U$8,'QoE PF Adj. P&amp;L Aug-26'!$D$8:$AI$8,0))*1000</f>
        <v>2600</v>
      </c>
      <c r="V102" s="10">
        <f>+INDEX('QoE PF Adj. P&amp;L Aug-26'!$D$11:$AI$108,MATCH($C102,'QoE PF Adj. P&amp;L Aug-26'!$C$11:$C$108,0),MATCH(V$8,'QoE PF Adj. P&amp;L Aug-26'!$D$8:$AI$8,0))*1000</f>
        <v>2300</v>
      </c>
      <c r="W102" s="10">
        <f>+INDEX('QoE PF Adj. P&amp;L Aug-26'!$D$11:$AI$108,MATCH($C102,'QoE PF Adj. P&amp;L Aug-26'!$C$11:$C$108,0),MATCH(W$8,'QoE PF Adj. P&amp;L Aug-26'!$D$8:$AI$8,0))*1000</f>
        <v>2300</v>
      </c>
      <c r="X102" s="10">
        <f>+INDEX('QoE PF Adj. P&amp;L Aug-26'!$D$11:$AI$108,MATCH($C102,'QoE PF Adj. P&amp;L Aug-26'!$C$11:$C$108,0),MATCH(X$8,'QoE PF Adj. P&amp;L Aug-26'!$D$8:$AI$8,0))*1000</f>
        <v>2200</v>
      </c>
      <c r="Y102" s="10">
        <f>+INDEX('QoE PF Adj. P&amp;L Aug-26'!$D$11:$AI$108,MATCH($C102,'QoE PF Adj. P&amp;L Aug-26'!$C$11:$C$108,0),MATCH(Y$8,'QoE PF Adj. P&amp;L Aug-26'!$D$8:$AI$8,0))*1000</f>
        <v>2000</v>
      </c>
      <c r="Z102" s="10">
        <f>+INDEX('QoE PF Adj. P&amp;L Aug-26'!$D$11:$AI$108,MATCH($C102,'QoE PF Adj. P&amp;L Aug-26'!$C$11:$C$108,0),MATCH(Z$8,'QoE PF Adj. P&amp;L Aug-26'!$D$8:$AI$8,0))*1000</f>
        <v>2500</v>
      </c>
      <c r="AA102" s="10">
        <f>+INDEX('QoE PF Adj. P&amp;L Aug-26'!$D$11:$AI$108,MATCH($C102,'QoE PF Adj. P&amp;L Aug-26'!$C$11:$C$108,0),MATCH(AA$8,'QoE PF Adj. P&amp;L Aug-26'!$D$8:$AI$8,0))*1000</f>
        <v>2400</v>
      </c>
      <c r="AB102" s="10">
        <f>+INDEX('QoE PF Adj. P&amp;L Aug-26'!$D$11:$AI$108,MATCH($C102,'QoE PF Adj. P&amp;L Aug-26'!$C$11:$C$108,0),MATCH(AB$8,'QoE PF Adj. P&amp;L Aug-26'!$D$8:$AI$8,0))*1000</f>
        <v>2600</v>
      </c>
      <c r="AC102" s="10">
        <f>+INDEX('QoE PF Adj. P&amp;L Aug-26'!$D$11:$AI$108,MATCH($C102,'QoE PF Adj. P&amp;L Aug-26'!$C$11:$C$108,0),MATCH(AC$8,'QoE PF Adj. P&amp;L Aug-26'!$D$8:$AI$8,0))*1000</f>
        <v>2400</v>
      </c>
      <c r="AD102" s="10">
        <f>+INDEX('QoE PF Adj. P&amp;L Aug-26'!$D$11:$AI$108,MATCH($C102,'QoE PF Adj. P&amp;L Aug-26'!$C$11:$C$108,0),MATCH(AD$8,'QoE PF Adj. P&amp;L Aug-26'!$D$8:$AI$8,0))*1000</f>
        <v>2700</v>
      </c>
      <c r="AE102" s="10">
        <f>+INDEX('QoE PF Adj. P&amp;L Aug-26'!$D$11:$AI$108,MATCH($C102,'QoE PF Adj. P&amp;L Aug-26'!$C$11:$C$108,0),MATCH(AE$8,'QoE PF Adj. P&amp;L Aug-26'!$D$8:$AI$8,0))*1000</f>
        <v>2300</v>
      </c>
      <c r="AF102" s="10">
        <f>+INDEX('QoE PF Adj. P&amp;L Aug-26'!$D$11:$AI$108,MATCH($C102,'QoE PF Adj. P&amp;L Aug-26'!$C$11:$C$108,0),MATCH(AF$8,'QoE PF Adj. P&amp;L Aug-26'!$D$8:$AI$8,0))*1000</f>
        <v>2600</v>
      </c>
      <c r="AG102" s="10">
        <f>+INDEX('QoE PF Adj. P&amp;L Aug-26'!$D$11:$AI$108,MATCH($C102,'QoE PF Adj. P&amp;L Aug-26'!$C$11:$C$108,0),MATCH(AG$8,'QoE PF Adj. P&amp;L Aug-26'!$D$8:$AI$8,0))*1000</f>
        <v>3000</v>
      </c>
      <c r="AH102" s="10">
        <f>+INDEX('QoE PF Adj. P&amp;L Aug-26'!$D$11:$AI$108,MATCH($C102,'QoE PF Adj. P&amp;L Aug-26'!$C$11:$C$108,0),MATCH(AH$8,'QoE PF Adj. P&amp;L Aug-26'!$D$8:$AI$8,0))*1000</f>
        <v>2100</v>
      </c>
      <c r="AI102" s="10">
        <f>+INDEX('QoE PF Adj. P&amp;L Aug-26'!$D$11:$AI$108,MATCH($C102,'QoE PF Adj. P&amp;L Aug-26'!$C$11:$C$108,0),MATCH(AI$8,'QoE PF Adj. P&amp;L Aug-26'!$D$8:$AI$8,0))*1000</f>
        <v>2100</v>
      </c>
      <c r="AJ102" s="10">
        <f>+INDEX('QoE PF Adj. P&amp;L Aug-26'!$D$11:$AI$108,MATCH($C102,'QoE PF Adj. P&amp;L Aug-26'!$C$11:$C$108,0),MATCH(AJ$8,'QoE PF Adj. P&amp;L Aug-26'!$D$8:$AI$8,0))*1000</f>
        <v>2000</v>
      </c>
      <c r="AK102" s="10">
        <f>+INDEX('QoE PF Adj. P&amp;L Aug-26'!$D$11:$AI$108,MATCH($C102,'QoE PF Adj. P&amp;L Aug-26'!$C$11:$C$108,0),MATCH(AK$8,'QoE PF Adj. P&amp;L Aug-26'!$D$8:$AI$8,0))*1000</f>
        <v>3000</v>
      </c>
      <c r="AL102" s="10">
        <f>+INDEX('QoE PF Adj. P&amp;L Aug-26'!$D$11:$AI$108,MATCH($C102,'QoE PF Adj. P&amp;L Aug-26'!$C$11:$C$108,0),MATCH(AL$8,'QoE PF Adj. P&amp;L Aug-26'!$D$8:$AI$8,0))*1000</f>
        <v>2700</v>
      </c>
      <c r="AM102" s="10">
        <f>+INDEX('QoE PF Adj. P&amp;L Aug-26'!$D$11:$AI$108,MATCH($C102,'QoE PF Adj. P&amp;L Aug-26'!$C$11:$C$108,0),MATCH(AM$8,'QoE PF Adj. P&amp;L Aug-26'!$D$8:$AI$8,0))*1000</f>
        <v>2200</v>
      </c>
      <c r="AN102" s="10">
        <f>+INDEX('QoE PF Adj. P&amp;L Aug-26'!$D$11:$AI$108,MATCH($C102,'QoE PF Adj. P&amp;L Aug-26'!$C$11:$C$108,0),MATCH(AN$8,'QoE PF Adj. P&amp;L Aug-26'!$D$8:$AI$8,0))*1000</f>
        <v>3000</v>
      </c>
      <c r="AO102" s="10">
        <f>+INDEX('QoE PF Adj. P&amp;L Aug-26'!$D$11:$AI$108,MATCH($C102,'QoE PF Adj. P&amp;L Aug-26'!$C$11:$C$108,0),MATCH(AO$8,'QoE PF Adj. P&amp;L Aug-26'!$D$8:$AI$8,0))*1000</f>
        <v>2800</v>
      </c>
      <c r="AP102" s="10">
        <f>+SUMIFS('Sep - Nov P&amp;L'!I:I,'Sep - Nov P&amp;L'!$D:$D,$C102)</f>
        <v>0</v>
      </c>
      <c r="AQ102" s="10">
        <f>+SUMIFS('Sep - Nov P&amp;L'!J:J,'Sep - Nov P&amp;L'!$D:$D,$C102)</f>
        <v>0</v>
      </c>
      <c r="AR102" s="10">
        <f>+SUMIFS('Sep - Nov P&amp;L'!K:K,'Sep - Nov P&amp;L'!$D:$D,$C102)</f>
        <v>0</v>
      </c>
      <c r="AS102" s="20">
        <f>+AS210</f>
        <v>1908.33333333333</v>
      </c>
      <c r="AT102" s="20">
        <f>+AT210</f>
        <v>1915.0125</v>
      </c>
      <c r="AU102" s="20">
        <f>+AU210</f>
        <v>1921.71504375</v>
      </c>
      <c r="AV102" s="20">
        <f>+AV210</f>
        <v>1928.44104640313</v>
      </c>
      <c r="AW102" s="20">
        <f>+AW210</f>
        <v>1935.19059006554</v>
      </c>
      <c r="AX102" s="20">
        <f>+AX210</f>
        <v>1941.96375713077</v>
      </c>
      <c r="AY102" s="20">
        <f>+AY210</f>
        <v>1948.76063028072</v>
      </c>
      <c r="AZ102" s="20">
        <f>+AZ210</f>
        <v>1955.58129248671</v>
      </c>
      <c r="BA102" s="20">
        <f>+BA210</f>
        <v>1962.42582701041</v>
      </c>
      <c r="BB102" s="20">
        <f>+BB210</f>
        <v>1969.29431740495</v>
      </c>
      <c r="BC102" s="20">
        <f>+BC210</f>
        <v>1976.18684751586</v>
      </c>
      <c r="BD102" s="20">
        <f>+BD210</f>
        <v>1983.10350148217</v>
      </c>
      <c r="BE102" s="20">
        <f>+BE210</f>
        <v>1990.04436373736</v>
      </c>
      <c r="BF102" s="20">
        <f>+BF210</f>
        <v>1997.00951901044</v>
      </c>
      <c r="BG102" s="20">
        <f>+BG210</f>
        <v>2003.99905232697</v>
      </c>
      <c r="BH102" s="20">
        <f>+BH210</f>
        <v>2011.01304901012</v>
      </c>
      <c r="BI102" s="20">
        <f>+BI210</f>
        <v>2018.05159468165</v>
      </c>
      <c r="BJ102" s="20">
        <f>+BJ210</f>
        <v>2025.11477526304</v>
      </c>
      <c r="BK102" s="20">
        <f>+BK210</f>
        <v>2032.20267697646</v>
      </c>
      <c r="BL102" s="20">
        <f>+BL210</f>
        <v>2039.31538634588</v>
      </c>
      <c r="BM102" s="20">
        <f>+BM210</f>
        <v>2046.45299019809</v>
      </c>
      <c r="BN102" s="20">
        <f>+BN210</f>
        <v>2053.61557566378</v>
      </c>
      <c r="BO102" s="20">
        <f>+BO210</f>
        <v>2060.80323017861</v>
      </c>
      <c r="BP102" s="20">
        <f>+BP210</f>
        <v>2068.01604148423</v>
      </c>
      <c r="BQ102" s="20">
        <f>+BQ210</f>
        <v>2075.25409762943</v>
      </c>
    </row>
    <row r="103">
      <c r="C103" s="3" t="inlineStr">
        <is>
          <t>Non-Operating Income / (Expense)</t>
        </is>
      </c>
      <c r="D103" s="20">
        <f>+SUMIFS($J103:$BQ103,$J$7:$BQ$7,D$8)</f>
        <v>11300</v>
      </c>
      <c r="E103" s="20">
        <f>+SUMIFS($J103:$BQ103,$J$7:$BQ$7,E$8)</f>
        <v>11800</v>
      </c>
      <c r="F103" s="20">
        <f>+SUMIFS($J103:$BQ103,$J$7:$BQ$7,F$8)</f>
        <v>7558.33333333333</v>
      </c>
      <c r="G103" s="20">
        <f>+SUMIFS($J103:$BQ103,$J$7:$BQ$7,G$8)</f>
        <v>8082.05178019275</v>
      </c>
      <c r="H103" s="20">
        <f>+SUMIFS($J103:$BQ103,$J$7:$BQ$7,H$8)</f>
        <v>8428.10913149663</v>
      </c>
      <c r="J103" s="10">
        <f>+INDEX('QoE PF Adj. P&amp;L Aug-26'!$D$11:$AI$108,MATCH($C103,'QoE PF Adj. P&amp;L Aug-26'!$C$11:$C$108,0),MATCH(J$8,'QoE PF Adj. P&amp;L Aug-26'!$D$8:$AI$8,0))*1000</f>
        <v>900</v>
      </c>
      <c r="K103" s="10">
        <f>+INDEX('QoE PF Adj. P&amp;L Aug-26'!$D$11:$AI$108,MATCH($C103,'QoE PF Adj. P&amp;L Aug-26'!$C$11:$C$108,0),MATCH(K$8,'QoE PF Adj. P&amp;L Aug-26'!$D$8:$AI$8,0))*1000</f>
        <v>800</v>
      </c>
      <c r="L103" s="10">
        <f>+INDEX('QoE PF Adj. P&amp;L Aug-26'!$D$11:$AI$108,MATCH($C103,'QoE PF Adj. P&amp;L Aug-26'!$C$11:$C$108,0),MATCH(L$8,'QoE PF Adj. P&amp;L Aug-26'!$D$8:$AI$8,0))*1000</f>
        <v>1000</v>
      </c>
      <c r="M103" s="10">
        <f>+INDEX('QoE PF Adj. P&amp;L Aug-26'!$D$11:$AI$108,MATCH($C103,'QoE PF Adj. P&amp;L Aug-26'!$C$11:$C$108,0),MATCH(M$8,'QoE PF Adj. P&amp;L Aug-26'!$D$8:$AI$8,0))*1000</f>
        <v>700</v>
      </c>
      <c r="N103" s="10">
        <f>+INDEX('QoE PF Adj. P&amp;L Aug-26'!$D$11:$AI$108,MATCH($C103,'QoE PF Adj. P&amp;L Aug-26'!$C$11:$C$108,0),MATCH(N$8,'QoE PF Adj. P&amp;L Aug-26'!$D$8:$AI$8,0))*1000</f>
        <v>900</v>
      </c>
      <c r="O103" s="10">
        <f>+INDEX('QoE PF Adj. P&amp;L Aug-26'!$D$11:$AI$108,MATCH($C103,'QoE PF Adj. P&amp;L Aug-26'!$C$11:$C$108,0),MATCH(O$8,'QoE PF Adj. P&amp;L Aug-26'!$D$8:$AI$8,0))*1000</f>
        <v>1000</v>
      </c>
      <c r="P103" s="10">
        <f>+INDEX('QoE PF Adj. P&amp;L Aug-26'!$D$11:$AI$108,MATCH($C103,'QoE PF Adj. P&amp;L Aug-26'!$C$11:$C$108,0),MATCH(P$8,'QoE PF Adj. P&amp;L Aug-26'!$D$8:$AI$8,0))*1000</f>
        <v>700</v>
      </c>
      <c r="Q103" s="10">
        <f>+INDEX('QoE PF Adj. P&amp;L Aug-26'!$D$11:$AI$108,MATCH($C103,'QoE PF Adj. P&amp;L Aug-26'!$C$11:$C$108,0),MATCH(Q$8,'QoE PF Adj. P&amp;L Aug-26'!$D$8:$AI$8,0))*1000</f>
        <v>1100</v>
      </c>
      <c r="R103" s="10">
        <f>+INDEX('QoE PF Adj. P&amp;L Aug-26'!$D$11:$AI$108,MATCH($C103,'QoE PF Adj. P&amp;L Aug-26'!$C$11:$C$108,0),MATCH(R$8,'QoE PF Adj. P&amp;L Aug-26'!$D$8:$AI$8,0))*1000</f>
        <v>1000</v>
      </c>
      <c r="S103" s="10">
        <f>+INDEX('QoE PF Adj. P&amp;L Aug-26'!$D$11:$AI$108,MATCH($C103,'QoE PF Adj. P&amp;L Aug-26'!$C$11:$C$108,0),MATCH(S$8,'QoE PF Adj. P&amp;L Aug-26'!$D$8:$AI$8,0))*1000</f>
        <v>1000</v>
      </c>
      <c r="T103" s="10">
        <f>+INDEX('QoE PF Adj. P&amp;L Aug-26'!$D$11:$AI$108,MATCH($C103,'QoE PF Adj. P&amp;L Aug-26'!$C$11:$C$108,0),MATCH(T$8,'QoE PF Adj. P&amp;L Aug-26'!$D$8:$AI$8,0))*1000</f>
        <v>1200</v>
      </c>
      <c r="U103" s="10">
        <f>+INDEX('QoE PF Adj. P&amp;L Aug-26'!$D$11:$AI$108,MATCH($C103,'QoE PF Adj. P&amp;L Aug-26'!$C$11:$C$108,0),MATCH(U$8,'QoE PF Adj. P&amp;L Aug-26'!$D$8:$AI$8,0))*1000</f>
        <v>1000</v>
      </c>
      <c r="V103" s="10">
        <f>+INDEX('QoE PF Adj. P&amp;L Aug-26'!$D$11:$AI$108,MATCH($C103,'QoE PF Adj. P&amp;L Aug-26'!$C$11:$C$108,0),MATCH(V$8,'QoE PF Adj. P&amp;L Aug-26'!$D$8:$AI$8,0))*1000</f>
        <v>1100</v>
      </c>
      <c r="W103" s="10">
        <f>+INDEX('QoE PF Adj. P&amp;L Aug-26'!$D$11:$AI$108,MATCH($C103,'QoE PF Adj. P&amp;L Aug-26'!$C$11:$C$108,0),MATCH(W$8,'QoE PF Adj. P&amp;L Aug-26'!$D$8:$AI$8,0))*1000</f>
        <v>1000</v>
      </c>
      <c r="X103" s="10">
        <f>+INDEX('QoE PF Adj. P&amp;L Aug-26'!$D$11:$AI$108,MATCH($C103,'QoE PF Adj. P&amp;L Aug-26'!$C$11:$C$108,0),MATCH(X$8,'QoE PF Adj. P&amp;L Aug-26'!$D$8:$AI$8,0))*1000</f>
        <v>900</v>
      </c>
      <c r="Y103" s="10">
        <f>+INDEX('QoE PF Adj. P&amp;L Aug-26'!$D$11:$AI$108,MATCH($C103,'QoE PF Adj. P&amp;L Aug-26'!$C$11:$C$108,0),MATCH(Y$8,'QoE PF Adj. P&amp;L Aug-26'!$D$8:$AI$8,0))*1000</f>
        <v>1100</v>
      </c>
      <c r="Z103" s="10">
        <f>+INDEX('QoE PF Adj. P&amp;L Aug-26'!$D$11:$AI$108,MATCH($C103,'QoE PF Adj. P&amp;L Aug-26'!$C$11:$C$108,0),MATCH(Z$8,'QoE PF Adj. P&amp;L Aug-26'!$D$8:$AI$8,0))*1000</f>
        <v>900</v>
      </c>
      <c r="AA103" s="10">
        <f>+INDEX('QoE PF Adj. P&amp;L Aug-26'!$D$11:$AI$108,MATCH($C103,'QoE PF Adj. P&amp;L Aug-26'!$C$11:$C$108,0),MATCH(AA$8,'QoE PF Adj. P&amp;L Aug-26'!$D$8:$AI$8,0))*1000</f>
        <v>1000</v>
      </c>
      <c r="AB103" s="10">
        <f>+INDEX('QoE PF Adj. P&amp;L Aug-26'!$D$11:$AI$108,MATCH($C103,'QoE PF Adj. P&amp;L Aug-26'!$C$11:$C$108,0),MATCH(AB$8,'QoE PF Adj. P&amp;L Aug-26'!$D$8:$AI$8,0))*1000</f>
        <v>1000</v>
      </c>
      <c r="AC103" s="10">
        <f>+INDEX('QoE PF Adj. P&amp;L Aug-26'!$D$11:$AI$108,MATCH($C103,'QoE PF Adj. P&amp;L Aug-26'!$C$11:$C$108,0),MATCH(AC$8,'QoE PF Adj. P&amp;L Aug-26'!$D$8:$AI$8,0))*1000</f>
        <v>1000</v>
      </c>
      <c r="AD103" s="10">
        <f>+INDEX('QoE PF Adj. P&amp;L Aug-26'!$D$11:$AI$108,MATCH($C103,'QoE PF Adj. P&amp;L Aug-26'!$C$11:$C$108,0),MATCH(AD$8,'QoE PF Adj. P&amp;L Aug-26'!$D$8:$AI$8,0))*1000</f>
        <v>900</v>
      </c>
      <c r="AE103" s="10">
        <f>+INDEX('QoE PF Adj. P&amp;L Aug-26'!$D$11:$AI$108,MATCH($C103,'QoE PF Adj. P&amp;L Aug-26'!$C$11:$C$108,0),MATCH(AE$8,'QoE PF Adj. P&amp;L Aug-26'!$D$8:$AI$8,0))*1000</f>
        <v>800</v>
      </c>
      <c r="AF103" s="10">
        <f>+INDEX('QoE PF Adj. P&amp;L Aug-26'!$D$11:$AI$108,MATCH($C103,'QoE PF Adj. P&amp;L Aug-26'!$C$11:$C$108,0),MATCH(AF$8,'QoE PF Adj. P&amp;L Aug-26'!$D$8:$AI$8,0))*1000</f>
        <v>1100</v>
      </c>
      <c r="AG103" s="10">
        <f>+INDEX('QoE PF Adj. P&amp;L Aug-26'!$D$11:$AI$108,MATCH($C103,'QoE PF Adj. P&amp;L Aug-26'!$C$11:$C$108,0),MATCH(AG$8,'QoE PF Adj. P&amp;L Aug-26'!$D$8:$AI$8,0))*1000</f>
        <v>1000</v>
      </c>
      <c r="AH103" s="10">
        <f>+INDEX('QoE PF Adj. P&amp;L Aug-26'!$D$11:$AI$108,MATCH($C103,'QoE PF Adj. P&amp;L Aug-26'!$C$11:$C$108,0),MATCH(AH$8,'QoE PF Adj. P&amp;L Aug-26'!$D$8:$AI$8,0))*1000</f>
        <v>700</v>
      </c>
      <c r="AI103" s="10">
        <f>+INDEX('QoE PF Adj. P&amp;L Aug-26'!$D$11:$AI$108,MATCH($C103,'QoE PF Adj. P&amp;L Aug-26'!$C$11:$C$108,0),MATCH(AI$8,'QoE PF Adj. P&amp;L Aug-26'!$D$8:$AI$8,0))*1000</f>
        <v>1100</v>
      </c>
      <c r="AJ103" s="10">
        <f>+INDEX('QoE PF Adj. P&amp;L Aug-26'!$D$11:$AI$108,MATCH($C103,'QoE PF Adj. P&amp;L Aug-26'!$C$11:$C$108,0),MATCH(AJ$8,'QoE PF Adj. P&amp;L Aug-26'!$D$8:$AI$8,0))*1000</f>
        <v>1100</v>
      </c>
      <c r="AK103" s="10">
        <f>+INDEX('QoE PF Adj. P&amp;L Aug-26'!$D$11:$AI$108,MATCH($C103,'QoE PF Adj. P&amp;L Aug-26'!$C$11:$C$108,0),MATCH(AK$8,'QoE PF Adj. P&amp;L Aug-26'!$D$8:$AI$8,0))*1000</f>
        <v>700</v>
      </c>
      <c r="AL103" s="10">
        <f>+INDEX('QoE PF Adj. P&amp;L Aug-26'!$D$11:$AI$108,MATCH($C103,'QoE PF Adj. P&amp;L Aug-26'!$C$11:$C$108,0),MATCH(AL$8,'QoE PF Adj. P&amp;L Aug-26'!$D$8:$AI$8,0))*1000</f>
        <v>700</v>
      </c>
      <c r="AM103" s="10">
        <f>+INDEX('QoE PF Adj. P&amp;L Aug-26'!$D$11:$AI$108,MATCH($C103,'QoE PF Adj. P&amp;L Aug-26'!$C$11:$C$108,0),MATCH(AM$8,'QoE PF Adj. P&amp;L Aug-26'!$D$8:$AI$8,0))*1000</f>
        <v>900</v>
      </c>
      <c r="AN103" s="10">
        <f>+INDEX('QoE PF Adj. P&amp;L Aug-26'!$D$11:$AI$108,MATCH($C103,'QoE PF Adj. P&amp;L Aug-26'!$C$11:$C$108,0),MATCH(AN$8,'QoE PF Adj. P&amp;L Aug-26'!$D$8:$AI$8,0))*1000</f>
        <v>1000</v>
      </c>
      <c r="AO103" s="10">
        <f>+INDEX('QoE PF Adj. P&amp;L Aug-26'!$D$11:$AI$108,MATCH($C103,'QoE PF Adj. P&amp;L Aug-26'!$C$11:$C$108,0),MATCH(AO$8,'QoE PF Adj. P&amp;L Aug-26'!$D$8:$AI$8,0))*1000</f>
        <v>700</v>
      </c>
      <c r="AP103" s="10">
        <f>+SUMIFS('Sep - Nov P&amp;L'!I:I,'Sep - Nov P&amp;L'!$D:$D,$C103)</f>
        <v>0</v>
      </c>
      <c r="AQ103" s="10">
        <f>+SUMIFS('Sep - Nov P&amp;L'!J:J,'Sep - Nov P&amp;L'!$D:$D,$C103)</f>
        <v>0</v>
      </c>
      <c r="AR103" s="10">
        <f>+SUMIFS('Sep - Nov P&amp;L'!K:K,'Sep - Nov P&amp;L'!$D:$D,$C103)</f>
        <v>0</v>
      </c>
      <c r="AS103" s="20">
        <f>+AS211</f>
        <v>658.333333333333</v>
      </c>
      <c r="AT103" s="20">
        <f>+AT211</f>
        <v>660.6375</v>
      </c>
      <c r="AU103" s="20">
        <f>+AU211</f>
        <v>662.94973125</v>
      </c>
      <c r="AV103" s="20">
        <f>+AV211</f>
        <v>665.270055309375</v>
      </c>
      <c r="AW103" s="20">
        <f>+AW211</f>
        <v>667.598500502958</v>
      </c>
      <c r="AX103" s="20">
        <f>+AX211</f>
        <v>669.935095254718</v>
      </c>
      <c r="AY103" s="20">
        <f>+AY211</f>
        <v>672.27986808811</v>
      </c>
      <c r="AZ103" s="20">
        <f>+AZ211</f>
        <v>674.632847626418</v>
      </c>
      <c r="BA103" s="20">
        <f>+BA211</f>
        <v>676.994062593111</v>
      </c>
      <c r="BB103" s="20">
        <f>+BB211</f>
        <v>679.363541812187</v>
      </c>
      <c r="BC103" s="20">
        <f>+BC211</f>
        <v>681.74131420853</v>
      </c>
      <c r="BD103" s="20">
        <f>+BD211</f>
        <v>684.127408808259</v>
      </c>
      <c r="BE103" s="20">
        <f>+BE211</f>
        <v>686.521854739088</v>
      </c>
      <c r="BF103" s="20">
        <f>+BF211</f>
        <v>688.924681230675</v>
      </c>
      <c r="BG103" s="20">
        <f>+BG211</f>
        <v>691.335917614983</v>
      </c>
      <c r="BH103" s="20">
        <f>+BH211</f>
        <v>693.755593326635</v>
      </c>
      <c r="BI103" s="20">
        <f>+BI211</f>
        <v>696.183737903278</v>
      </c>
      <c r="BJ103" s="20">
        <f>+BJ211</f>
        <v>698.62038098594</v>
      </c>
      <c r="BK103" s="20">
        <f>+BK211</f>
        <v>701.065552319391</v>
      </c>
      <c r="BL103" s="20">
        <f>+BL211</f>
        <v>703.519281752509</v>
      </c>
      <c r="BM103" s="20">
        <f>+BM211</f>
        <v>705.981599238642</v>
      </c>
      <c r="BN103" s="20">
        <f>+BN211</f>
        <v>708.452534835978</v>
      </c>
      <c r="BO103" s="20">
        <f>+BO211</f>
        <v>710.932118707904</v>
      </c>
      <c r="BP103" s="20">
        <f>+BP211</f>
        <v>713.420381123381</v>
      </c>
      <c r="BQ103" s="20">
        <f>+BQ211</f>
        <v>715.917352457313</v>
      </c>
    </row>
    <row r="105">
      <c r="A105" s="3" t="inlineStr">
        <is>
          <t>x</t>
        </is>
      </c>
      <c r="C105" s="2" t="inlineStr">
        <is>
          <t>EBITDA</t>
        </is>
      </c>
      <c r="D105" s="22">
        <f>+SUMIFS($J105:$BQ105,$J$7:$BQ$7,D$8)</f>
        <v>2475500</v>
      </c>
      <c r="E105" s="22">
        <f>+SUMIFS($J105:$BQ105,$J$7:$BQ$7,E$8)</f>
        <v>2800700</v>
      </c>
      <c r="F105" s="22">
        <f>+SUMIFS($J105:$BQ105,$J$7:$BQ$7,F$8)</f>
        <v>3207266.84120045</v>
      </c>
      <c r="G105" s="22">
        <f>+SUMIFS($J105:$BQ105,$J$7:$BQ$7,G$8)</f>
        <v>3255118.40447381</v>
      </c>
      <c r="H105" s="22">
        <f>+SUMIFS($J105:$BQ105,$J$7:$BQ$7,H$8)</f>
        <v>4451004.8618353</v>
      </c>
      <c r="J105" s="22">
        <f>+J98-J102+J103</f>
        <v>214800</v>
      </c>
      <c r="K105" s="22">
        <f>+K98-K102+K103</f>
        <v>145200</v>
      </c>
      <c r="L105" s="22">
        <f>+L98-L102+L103</f>
        <v>203000</v>
      </c>
      <c r="M105" s="22">
        <f>+M98-M102+M103</f>
        <v>178900</v>
      </c>
      <c r="N105" s="22">
        <f>+N98-N102+N103</f>
        <v>275100</v>
      </c>
      <c r="O105" s="22">
        <f>+O98-O102+O103</f>
        <v>146600</v>
      </c>
      <c r="P105" s="22">
        <f>+P98-P102+P103</f>
        <v>209500</v>
      </c>
      <c r="Q105" s="22">
        <f>+Q98-Q102+Q103</f>
        <v>225900</v>
      </c>
      <c r="R105" s="22">
        <f>+R98-R102+R103</f>
        <v>176200</v>
      </c>
      <c r="S105" s="22">
        <f>+S98-S102+S103</f>
        <v>313000</v>
      </c>
      <c r="T105" s="22">
        <f>+T98-T102+T103</f>
        <v>212400</v>
      </c>
      <c r="U105" s="22">
        <f>+U98-U102+U103</f>
        <v>174900</v>
      </c>
      <c r="V105" s="22">
        <f>+V98-V102+V103</f>
        <v>262000</v>
      </c>
      <c r="W105" s="22">
        <f>+W98-W102+W103</f>
        <v>103400</v>
      </c>
      <c r="X105" s="22">
        <f>+X98-X102+X103</f>
        <v>206200</v>
      </c>
      <c r="Y105" s="22">
        <f>+Y98-Y102+Y103</f>
        <v>261600</v>
      </c>
      <c r="Z105" s="22">
        <f>+Z98-Z102+Z103</f>
        <v>279900</v>
      </c>
      <c r="AA105" s="22">
        <f>+AA98-AA102+AA103</f>
        <v>169400</v>
      </c>
      <c r="AB105" s="22">
        <f>+AB98-AB102+AB103</f>
        <v>273000</v>
      </c>
      <c r="AC105" s="22">
        <f>+AC98-AC102+AC103</f>
        <v>240300</v>
      </c>
      <c r="AD105" s="22">
        <f>+AD98-AD102+AD103</f>
        <v>229700</v>
      </c>
      <c r="AE105" s="22">
        <f>+AE98-AE102+AE103</f>
        <v>349100</v>
      </c>
      <c r="AF105" s="22">
        <f>+AF98-AF102+AF103</f>
        <v>194800</v>
      </c>
      <c r="AG105" s="22">
        <f>+AG98-AG102+AG103</f>
        <v>231300</v>
      </c>
      <c r="AH105" s="22">
        <f>+AH98-AH102+AH103</f>
        <v>250200</v>
      </c>
      <c r="AI105" s="22">
        <f>+AI98-AI102+AI103</f>
        <v>142300</v>
      </c>
      <c r="AJ105" s="22">
        <f>+AJ98-AJ102+AJ103</f>
        <v>269700</v>
      </c>
      <c r="AK105" s="22">
        <f>+AK98-AK102+AK103</f>
        <v>292400</v>
      </c>
      <c r="AL105" s="22">
        <f>+AL98-AL102+AL103</f>
        <v>269200</v>
      </c>
      <c r="AM105" s="22">
        <f>+AM98-AM102+AM103</f>
        <v>234200</v>
      </c>
      <c r="AN105" s="22">
        <f>+AN98-AN102+AN103</f>
        <v>314100</v>
      </c>
      <c r="AO105" s="22">
        <f>+AO98-AO102+AO103</f>
        <v>258600</v>
      </c>
      <c r="AP105" s="22">
        <f>+AP98-AP102+AP103</f>
        <v>312783.39</v>
      </c>
      <c r="AQ105" s="22">
        <f>+AQ98-AQ102+AQ103</f>
        <v>360017.37</v>
      </c>
      <c r="AR105" s="22">
        <f>+AR98-AR102+AR103</f>
        <v>219432.42</v>
      </c>
      <c r="AS105" s="22">
        <f>+AS98-AS102+AS103</f>
        <v>284333.661200445</v>
      </c>
      <c r="AT105" s="22">
        <f>+AT98-AT102+AT103</f>
        <v>203372.600149327</v>
      </c>
      <c r="AU105" s="22">
        <f>+AU98-AU102+AU103</f>
        <v>142066.988493301</v>
      </c>
      <c r="AV105" s="22">
        <f>+AV98-AV102+AV103</f>
        <v>262908.50232632</v>
      </c>
      <c r="AW105" s="22">
        <f>+AW98-AW102+AW103</f>
        <v>278047.447915545</v>
      </c>
      <c r="AX105" s="22">
        <f>+AX98-AX102+AX103</f>
        <v>206620.627528261</v>
      </c>
      <c r="AY105" s="22">
        <f>+AY98-AY102+AY103</f>
        <v>260939.032333942</v>
      </c>
      <c r="AZ105" s="22">
        <f>+AZ98-AZ102+AZ103</f>
        <v>276842.669877284</v>
      </c>
      <c r="BA105" s="22">
        <f>+BA98-BA102+BA103</f>
        <v>292743.720476461</v>
      </c>
      <c r="BB105" s="22">
        <f>+BB98-BB102+BB103</f>
        <v>313546.145638169</v>
      </c>
      <c r="BC105" s="22">
        <f>+BC98-BC102+BC103</f>
        <v>324572.5814922</v>
      </c>
      <c r="BD105" s="22">
        <f>+BD98-BD102+BD103</f>
        <v>292483.730348159</v>
      </c>
      <c r="BE105" s="22">
        <f>+BE98-BE102+BE103</f>
        <v>400974.357894845</v>
      </c>
      <c r="BF105" s="22">
        <f>+BF98-BF102+BF103</f>
        <v>355549.580140964</v>
      </c>
      <c r="BG105" s="22">
        <f>+BG98-BG102+BG103</f>
        <v>365103.089484711</v>
      </c>
      <c r="BH105" s="22">
        <f>+BH98-BH102+BH103</f>
        <v>464832.527381732</v>
      </c>
      <c r="BI105" s="22">
        <f>+BI98-BI102+BI103</f>
        <v>313335.515862792</v>
      </c>
      <c r="BJ105" s="22">
        <f>+BJ98-BJ102+BJ103</f>
        <v>362814.866075778</v>
      </c>
      <c r="BK105" s="22">
        <f>+BK98-BK102+BK103</f>
        <v>408124.870695441</v>
      </c>
      <c r="BL105" s="22">
        <f>+BL98-BL102+BL103</f>
        <v>306864.580192593</v>
      </c>
      <c r="BM105" s="22">
        <f>+BM98-BM102+BM103</f>
        <v>456825.381121585</v>
      </c>
      <c r="BN105" s="22">
        <f>+BN98-BN102+BN103</f>
        <v>355559.685752828</v>
      </c>
      <c r="BO105" s="22">
        <f>+BO98-BO102+BO103</f>
        <v>354780.789412601</v>
      </c>
      <c r="BP105" s="22">
        <f>+BP98-BP102+BP103</f>
        <v>353999.166935183</v>
      </c>
      <c r="BQ105" s="22">
        <f>+BQ98-BQ102+BQ103</f>
        <v>353214.808779095</v>
      </c>
    </row>
    <row r="106">
      <c r="C106" s="3" t="inlineStr">
        <is>
          <t>YoY % Growth</t>
        </is>
      </c>
      <c r="E106" s="11">
        <f>+IFERROR(E105/D105-1,)</f>
        <v>0.131367400525147</v>
      </c>
      <c r="F106" s="11">
        <f>+IFERROR(F105/E105-1,)</f>
        <v>0.145166151747936</v>
      </c>
      <c r="G106" s="11">
        <f>+IFERROR(G105/F105-1,)</f>
        <v>0.0149197324833306</v>
      </c>
      <c r="H106" s="11">
        <f>+IFERROR(H105/G105-1,)</f>
        <v>0.367386469173555</v>
      </c>
    </row>
    <row r="107">
      <c r="C107" s="3" t="inlineStr">
        <is>
          <t>% Margin</t>
        </is>
      </c>
      <c r="D107" s="11">
        <f>+IFERROR(D105/D$10,)</f>
        <v>0.194738788064727</v>
      </c>
      <c r="E107" s="11">
        <f>+IFERROR(E105/E$10,)</f>
        <v>0.203577710904677</v>
      </c>
      <c r="F107" s="11">
        <f>+IFERROR(F105/F$10,)</f>
        <v>0.21448816086088</v>
      </c>
      <c r="G107" s="11">
        <f>+IFERROR(G105/G$10,)</f>
        <v>0.200442535022048</v>
      </c>
      <c r="H107" s="11">
        <f>+IFERROR(H105/H$10,)</f>
        <v>0.234942999032347</v>
      </c>
      <c r="J107" s="11">
        <f>+IFERROR(J105/J$10,)</f>
        <v>0.202718006795017</v>
      </c>
      <c r="K107" s="11">
        <f>+IFERROR(K105/K$10,)</f>
        <v>0.151708285445617</v>
      </c>
      <c r="L107" s="11">
        <f>+IFERROR(L105/L$10,)</f>
        <v>0.192727617962594</v>
      </c>
      <c r="M107" s="11">
        <f>+IFERROR(M105/M$10,)</f>
        <v>0.174587684200254</v>
      </c>
      <c r="N107" s="11">
        <f>+IFERROR(N105/N$10,)</f>
        <v>0.238574278033128</v>
      </c>
      <c r="O107" s="11">
        <f>+IFERROR(O105/O$10,)</f>
        <v>0.150730002056344</v>
      </c>
      <c r="P107" s="11">
        <f>+IFERROR(P105/P$10,)</f>
        <v>0.195156031672101</v>
      </c>
      <c r="Q107" s="11">
        <f>+IFERROR(Q105/Q$10,)</f>
        <v>0.2058501913614</v>
      </c>
      <c r="R107" s="11">
        <f>+IFERROR(R105/R$10,)</f>
        <v>0.173750123262006</v>
      </c>
      <c r="S107" s="11">
        <f>+IFERROR(S105/S$10,)</f>
        <v>0.256221349050426</v>
      </c>
      <c r="T107" s="11">
        <f>+IFERROR(T105/T$10,)</f>
        <v>0.199849454271735</v>
      </c>
      <c r="U107" s="11">
        <f>+IFERROR(U105/U$10,)</f>
        <v>0.171118285882008</v>
      </c>
      <c r="V107" s="11">
        <f>+IFERROR(V105/V$10,)</f>
        <v>0.226389008900026</v>
      </c>
      <c r="W107" s="11">
        <f>+IFERROR(W105/W$10,)</f>
        <v>0.109545502701557</v>
      </c>
      <c r="X107" s="11">
        <f>+IFERROR(X105/X$10,)</f>
        <v>0.190590627599593</v>
      </c>
      <c r="Y107" s="11">
        <f>+IFERROR(Y105/Y$10,)</f>
        <v>0.223379728460422</v>
      </c>
      <c r="Z107" s="11">
        <f>+IFERROR(Z105/Z$10,)</f>
        <v>0.23193569771296</v>
      </c>
      <c r="AA107" s="11">
        <f>+IFERROR(AA105/AA$10,)</f>
        <v>0.160234581914491</v>
      </c>
      <c r="AB107" s="11">
        <f>+IFERROR(AB105/AB$10,)</f>
        <v>0.226012087093302</v>
      </c>
      <c r="AC107" s="11">
        <f>+IFERROR(AC105/AC$10,)</f>
        <v>0.208756841282252</v>
      </c>
      <c r="AD107" s="11">
        <f>+IFERROR(AD105/AD$10,)</f>
        <v>0.199426983851363</v>
      </c>
      <c r="AE107" s="11">
        <f>+IFERROR(AE105/AE$10,)</f>
        <v>0.263233298145076</v>
      </c>
      <c r="AF107" s="11">
        <f>+IFERROR(AF105/AF$10,)</f>
        <v>0.173448490784436</v>
      </c>
      <c r="AG107" s="11">
        <f>+IFERROR(AG105/AG$10,)</f>
        <v>0.196166567721143</v>
      </c>
      <c r="AH107" s="11">
        <f>+IFERROR(AH105/AH$10,)</f>
        <v>0.202738838019609</v>
      </c>
      <c r="AI107" s="11">
        <f>+IFERROR(AI105/AI$10,)</f>
        <v>0.136315739055465</v>
      </c>
      <c r="AJ107" s="11">
        <f>+IFERROR(AJ105/AJ$10,)</f>
        <v>0.217710687762351</v>
      </c>
      <c r="AK107" s="11">
        <f>+IFERROR(AK105/AK$10,)</f>
        <v>0.226824916608487</v>
      </c>
      <c r="AL107" s="11">
        <f>+IFERROR(AL105/AL$10,)</f>
        <v>0.215636014098046</v>
      </c>
      <c r="AM107" s="11">
        <f>+IFERROR(AM105/AM$10,)</f>
        <v>0.197138047138047</v>
      </c>
      <c r="AN107" s="11">
        <f>+IFERROR(AN105/AN$10,)</f>
        <v>0.242043615627649</v>
      </c>
      <c r="AO107" s="11">
        <f>+IFERROR(AO105/AO$10,)</f>
        <v>0.209732360097324</v>
      </c>
      <c r="AP107" s="11">
        <f>+IFERROR(AP105/AP$10,)</f>
        <v>0.238518313574382</v>
      </c>
      <c r="AQ107" s="11">
        <f>+IFERROR(AQ105/AQ$10,)</f>
        <v>0.258255723282244</v>
      </c>
      <c r="AR107" s="11">
        <f>+IFERROR(AR105/AR$10,)</f>
        <v>0.185429481649233</v>
      </c>
      <c r="AS107" s="11">
        <f>+IFERROR(AS105/AS$10,)</f>
        <v>0.220183293751092</v>
      </c>
      <c r="AT107" s="11">
        <f>+IFERROR(AT105/AT$10,)</f>
        <v>0.172493171891932</v>
      </c>
      <c r="AU107" s="11">
        <f>+IFERROR(AU105/AU$10,)</f>
        <v>0.126523289088974</v>
      </c>
      <c r="AV107" s="11">
        <f>+IFERROR(AV105/AV$10,)</f>
        <v>0.198198057434208</v>
      </c>
      <c r="AW107" s="11">
        <f>+IFERROR(AW105/AW$10,)</f>
        <v>0.205617791312152</v>
      </c>
      <c r="AX107" s="11">
        <f>+IFERROR(AX105/AX$10,)</f>
        <v>0.164226237736007</v>
      </c>
      <c r="AY107" s="11">
        <f>+IFERROR(AY105/AY$10,)</f>
        <v>0.19404601460509</v>
      </c>
      <c r="AZ107" s="11">
        <f>+IFERROR(AZ105/AZ$10,)</f>
        <v>0.201872309432514</v>
      </c>
      <c r="BA107" s="11">
        <f>+IFERROR(BA105/BA$10,)</f>
        <v>0.209398401596936</v>
      </c>
      <c r="BB107" s="11">
        <f>+IFERROR(BB105/BB$10,)</f>
        <v>0.219048239888998</v>
      </c>
      <c r="BC107" s="11">
        <f>+IFERROR(BC105/BC$10,)</f>
        <v>0.222607334004003</v>
      </c>
      <c r="BD107" s="11">
        <f>+IFERROR(BD105/BD$10,)</f>
        <v>0.206370588542191</v>
      </c>
      <c r="BE107" s="11">
        <f>+IFERROR(BE105/BE$10,)</f>
        <v>0.253774427091502</v>
      </c>
      <c r="BF107" s="11">
        <f>+IFERROR(BF105/BF$10,)</f>
        <v>0.231115733234619</v>
      </c>
      <c r="BG107" s="11">
        <f>+IFERROR(BG105/BG$10,)</f>
        <v>0.233584515569463</v>
      </c>
      <c r="BH107" s="11">
        <f>+IFERROR(BH105/BH$10,)</f>
        <v>0.272606678867275</v>
      </c>
      <c r="BI107" s="11">
        <f>+IFERROR(BI105/BI$10,)</f>
        <v>0.210010762571449</v>
      </c>
      <c r="BJ107" s="11">
        <f>+IFERROR(BJ105/BJ$10,)</f>
        <v>0.232120563135522</v>
      </c>
      <c r="BK107" s="11">
        <f>+IFERROR(BK105/BK$10,)</f>
        <v>0.249756297556516</v>
      </c>
      <c r="BL107" s="11">
        <f>+IFERROR(BL105/BL$10,)</f>
        <v>0.205673666819927</v>
      </c>
      <c r="BM107" s="11">
        <f>+IFERROR(BM105/BM$10,)</f>
        <v>0.267910790734234</v>
      </c>
      <c r="BN107" s="11">
        <f>+IFERROR(BN105/BN$10,)</f>
        <v>0.22747886650267</v>
      </c>
      <c r="BO107" s="11">
        <f>+IFERROR(BO105/BO$10,)</f>
        <v>0.226980546632062</v>
      </c>
      <c r="BP107" s="11">
        <f>+IFERROR(BP105/BP$10,)</f>
        <v>0.226480482641906</v>
      </c>
      <c r="BQ107" s="11">
        <f>+IFERROR(BQ105/BQ$10,)</f>
        <v>0.225978668427785</v>
      </c>
    </row>
    <row r="109">
      <c r="C109" s="2" t="inlineStr">
        <is>
          <t>Other Expense</t>
        </is>
      </c>
    </row>
    <row r="110">
      <c r="C110" s="3" t="inlineStr">
        <is>
          <t>Depreciation &amp; Amortization Expense</t>
        </is>
      </c>
      <c r="D110" s="20">
        <f>+SUMIFS($J110:$BQ110,$J$7:$BQ$7,D$8)</f>
        <v>248500</v>
      </c>
      <c r="E110" s="20">
        <f>+SUMIFS($J110:$BQ110,$J$7:$BQ$7,E$8)</f>
        <v>261500</v>
      </c>
      <c r="F110" s="20">
        <f>+SUMIFS($J110:$BQ110,$J$7:$BQ$7,F$8)</f>
        <v>188075</v>
      </c>
      <c r="G110" s="20">
        <f>+SUMIFS($J110:$BQ110,$J$7:$BQ$7,G$8)</f>
        <v>196500</v>
      </c>
      <c r="H110" s="20">
        <f>+SUMIFS($J110:$BQ110,$J$7:$BQ$7,H$8)</f>
        <v>196500</v>
      </c>
      <c r="J110" s="10">
        <f>+INDEX('QoE PF Adj. P&amp;L Aug-26'!$D$111:$AI$118,MATCH($C110,'QoE PF Adj. P&amp;L Aug-26'!$C$111:$C$118,0),MATCH(J$8,'QoE PF Adj. P&amp;L Aug-26'!$D$8:$AI$8,0))*1000</f>
        <v>17800</v>
      </c>
      <c r="K110" s="10">
        <f>+INDEX('QoE PF Adj. P&amp;L Aug-26'!$D$111:$AI$118,MATCH($C110,'QoE PF Adj. P&amp;L Aug-26'!$C$111:$C$118,0),MATCH(K$8,'QoE PF Adj. P&amp;L Aug-26'!$D$8:$AI$8,0))*1000</f>
        <v>17800</v>
      </c>
      <c r="L110" s="10">
        <f>+INDEX('QoE PF Adj. P&amp;L Aug-26'!$D$111:$AI$118,MATCH($C110,'QoE PF Adj. P&amp;L Aug-26'!$C$111:$C$118,0),MATCH(L$8,'QoE PF Adj. P&amp;L Aug-26'!$D$8:$AI$8,0))*1000</f>
        <v>22900</v>
      </c>
      <c r="M110" s="10">
        <f>+INDEX('QoE PF Adj. P&amp;L Aug-26'!$D$111:$AI$118,MATCH($C110,'QoE PF Adj. P&amp;L Aug-26'!$C$111:$C$118,0),MATCH(M$8,'QoE PF Adj. P&amp;L Aug-26'!$D$8:$AI$8,0))*1000</f>
        <v>18300</v>
      </c>
      <c r="N110" s="10">
        <f>+INDEX('QoE PF Adj. P&amp;L Aug-26'!$D$111:$AI$118,MATCH($C110,'QoE PF Adj. P&amp;L Aug-26'!$C$111:$C$118,0),MATCH(N$8,'QoE PF Adj. P&amp;L Aug-26'!$D$8:$AI$8,0))*1000</f>
        <v>18400</v>
      </c>
      <c r="O110" s="10">
        <f>+INDEX('QoE PF Adj. P&amp;L Aug-26'!$D$111:$AI$118,MATCH($C110,'QoE PF Adj. P&amp;L Aug-26'!$C$111:$C$118,0),MATCH(O$8,'QoE PF Adj. P&amp;L Aug-26'!$D$8:$AI$8,0))*1000</f>
        <v>23400</v>
      </c>
      <c r="P110" s="10">
        <f>+INDEX('QoE PF Adj. P&amp;L Aug-26'!$D$111:$AI$118,MATCH($C110,'QoE PF Adj. P&amp;L Aug-26'!$C$111:$C$118,0),MATCH(P$8,'QoE PF Adj. P&amp;L Aug-26'!$D$8:$AI$8,0))*1000</f>
        <v>21200</v>
      </c>
      <c r="Q110" s="10">
        <f>+INDEX('QoE PF Adj. P&amp;L Aug-26'!$D$111:$AI$118,MATCH($C110,'QoE PF Adj. P&amp;L Aug-26'!$C$111:$C$118,0),MATCH(Q$8,'QoE PF Adj. P&amp;L Aug-26'!$D$8:$AI$8,0))*1000</f>
        <v>21900</v>
      </c>
      <c r="R110" s="10">
        <f>+INDEX('QoE PF Adj. P&amp;L Aug-26'!$D$111:$AI$118,MATCH($C110,'QoE PF Adj. P&amp;L Aug-26'!$C$111:$C$118,0),MATCH(R$8,'QoE PF Adj. P&amp;L Aug-26'!$D$8:$AI$8,0))*1000</f>
        <v>22100</v>
      </c>
      <c r="S110" s="10">
        <f>+INDEX('QoE PF Adj. P&amp;L Aug-26'!$D$111:$AI$118,MATCH($C110,'QoE PF Adj. P&amp;L Aug-26'!$C$111:$C$118,0),MATCH(S$8,'QoE PF Adj. P&amp;L Aug-26'!$D$8:$AI$8,0))*1000</f>
        <v>23900</v>
      </c>
      <c r="T110" s="10">
        <f>+INDEX('QoE PF Adj. P&amp;L Aug-26'!$D$111:$AI$118,MATCH($C110,'QoE PF Adj. P&amp;L Aug-26'!$C$111:$C$118,0),MATCH(T$8,'QoE PF Adj. P&amp;L Aug-26'!$D$8:$AI$8,0))*1000</f>
        <v>22400</v>
      </c>
      <c r="U110" s="10">
        <f>+INDEX('QoE PF Adj. P&amp;L Aug-26'!$D$111:$AI$118,MATCH($C110,'QoE PF Adj. P&amp;L Aug-26'!$C$111:$C$118,0),MATCH(U$8,'QoE PF Adj. P&amp;L Aug-26'!$D$8:$AI$8,0))*1000</f>
        <v>18400</v>
      </c>
      <c r="V110" s="10">
        <f>+INDEX('QoE PF Adj. P&amp;L Aug-26'!$D$111:$AI$118,MATCH($C110,'QoE PF Adj. P&amp;L Aug-26'!$C$111:$C$118,0),MATCH(V$8,'QoE PF Adj. P&amp;L Aug-26'!$D$8:$AI$8,0))*1000</f>
        <v>20100</v>
      </c>
      <c r="W110" s="10">
        <f>+INDEX('QoE PF Adj. P&amp;L Aug-26'!$D$111:$AI$118,MATCH($C110,'QoE PF Adj. P&amp;L Aug-26'!$C$111:$C$118,0),MATCH(W$8,'QoE PF Adj. P&amp;L Aug-26'!$D$8:$AI$8,0))*1000</f>
        <v>22300</v>
      </c>
      <c r="X110" s="10">
        <f>+INDEX('QoE PF Adj. P&amp;L Aug-26'!$D$111:$AI$118,MATCH($C110,'QoE PF Adj. P&amp;L Aug-26'!$C$111:$C$118,0),MATCH(X$8,'QoE PF Adj. P&amp;L Aug-26'!$D$8:$AI$8,0))*1000</f>
        <v>23300</v>
      </c>
      <c r="Y110" s="10">
        <f>+INDEX('QoE PF Adj. P&amp;L Aug-26'!$D$111:$AI$118,MATCH($C110,'QoE PF Adj. P&amp;L Aug-26'!$C$111:$C$118,0),MATCH(Y$8,'QoE PF Adj. P&amp;L Aug-26'!$D$8:$AI$8,0))*1000</f>
        <v>22800</v>
      </c>
      <c r="Z110" s="10">
        <f>+INDEX('QoE PF Adj. P&amp;L Aug-26'!$D$111:$AI$118,MATCH($C110,'QoE PF Adj. P&amp;L Aug-26'!$C$111:$C$118,0),MATCH(Z$8,'QoE PF Adj. P&amp;L Aug-26'!$D$8:$AI$8,0))*1000</f>
        <v>22500</v>
      </c>
      <c r="AA110" s="10">
        <f>+INDEX('QoE PF Adj. P&amp;L Aug-26'!$D$111:$AI$118,MATCH($C110,'QoE PF Adj. P&amp;L Aug-26'!$C$111:$C$118,0),MATCH(AA$8,'QoE PF Adj. P&amp;L Aug-26'!$D$8:$AI$8,0))*1000</f>
        <v>22500</v>
      </c>
      <c r="AB110" s="10">
        <f>+INDEX('QoE PF Adj. P&amp;L Aug-26'!$D$111:$AI$118,MATCH($C110,'QoE PF Adj. P&amp;L Aug-26'!$C$111:$C$118,0),MATCH(AB$8,'QoE PF Adj. P&amp;L Aug-26'!$D$8:$AI$8,0))*1000</f>
        <v>19400</v>
      </c>
      <c r="AC110" s="10">
        <f>+INDEX('QoE PF Adj. P&amp;L Aug-26'!$D$111:$AI$118,MATCH($C110,'QoE PF Adj. P&amp;L Aug-26'!$C$111:$C$118,0),MATCH(AC$8,'QoE PF Adj. P&amp;L Aug-26'!$D$8:$AI$8,0))*1000</f>
        <v>19600</v>
      </c>
      <c r="AD110" s="10">
        <f>+INDEX('QoE PF Adj. P&amp;L Aug-26'!$D$111:$AI$118,MATCH($C110,'QoE PF Adj. P&amp;L Aug-26'!$C$111:$C$118,0),MATCH(AD$8,'QoE PF Adj. P&amp;L Aug-26'!$D$8:$AI$8,0))*1000</f>
        <v>23700</v>
      </c>
      <c r="AE110" s="10">
        <f>+INDEX('QoE PF Adj. P&amp;L Aug-26'!$D$111:$AI$118,MATCH($C110,'QoE PF Adj. P&amp;L Aug-26'!$C$111:$C$118,0),MATCH(AE$8,'QoE PF Adj. P&amp;L Aug-26'!$D$8:$AI$8,0))*1000</f>
        <v>20600</v>
      </c>
      <c r="AF110" s="10">
        <f>+INDEX('QoE PF Adj. P&amp;L Aug-26'!$D$111:$AI$118,MATCH($C110,'QoE PF Adj. P&amp;L Aug-26'!$C$111:$C$118,0),MATCH(AF$8,'QoE PF Adj. P&amp;L Aug-26'!$D$8:$AI$8,0))*1000</f>
        <v>19900</v>
      </c>
      <c r="AG110" s="10">
        <f>+INDEX('QoE PF Adj. P&amp;L Aug-26'!$D$111:$AI$118,MATCH($C110,'QoE PF Adj. P&amp;L Aug-26'!$C$111:$C$118,0),MATCH(AG$8,'QoE PF Adj. P&amp;L Aug-26'!$D$8:$AI$8,0))*1000</f>
        <v>24800</v>
      </c>
      <c r="AH110" s="10">
        <f>+INDEX('QoE PF Adj. P&amp;L Aug-26'!$D$111:$AI$118,MATCH($C110,'QoE PF Adj. P&amp;L Aug-26'!$C$111:$C$118,0),MATCH(AH$8,'QoE PF Adj. P&amp;L Aug-26'!$D$8:$AI$8,0))*1000</f>
        <v>25000</v>
      </c>
      <c r="AI110" s="10">
        <f>+INDEX('QoE PF Adj. P&amp;L Aug-26'!$D$111:$AI$118,MATCH($C110,'QoE PF Adj. P&amp;L Aug-26'!$C$111:$C$118,0),MATCH(AI$8,'QoE PF Adj. P&amp;L Aug-26'!$D$8:$AI$8,0))*1000</f>
        <v>20500</v>
      </c>
      <c r="AJ110" s="10">
        <f>+INDEX('QoE PF Adj. P&amp;L Aug-26'!$D$111:$AI$118,MATCH($C110,'QoE PF Adj. P&amp;L Aug-26'!$C$111:$C$118,0),MATCH(AJ$8,'QoE PF Adj. P&amp;L Aug-26'!$D$8:$AI$8,0))*1000</f>
        <v>22900</v>
      </c>
      <c r="AK110" s="10">
        <f>+INDEX('QoE PF Adj. P&amp;L Aug-26'!$D$111:$AI$118,MATCH($C110,'QoE PF Adj. P&amp;L Aug-26'!$C$111:$C$118,0),MATCH(AK$8,'QoE PF Adj. P&amp;L Aug-26'!$D$8:$AI$8,0))*1000</f>
        <v>18700</v>
      </c>
      <c r="AL110" s="10">
        <f>+INDEX('QoE PF Adj. P&amp;L Aug-26'!$D$111:$AI$118,MATCH($C110,'QoE PF Adj. P&amp;L Aug-26'!$C$111:$C$118,0),MATCH(AL$8,'QoE PF Adj. P&amp;L Aug-26'!$D$8:$AI$8,0))*1000</f>
        <v>20100</v>
      </c>
      <c r="AM110" s="10">
        <f>+INDEX('QoE PF Adj. P&amp;L Aug-26'!$D$111:$AI$118,MATCH($C110,'QoE PF Adj. P&amp;L Aug-26'!$C$111:$C$118,0),MATCH(AM$8,'QoE PF Adj. P&amp;L Aug-26'!$D$8:$AI$8,0))*1000</f>
        <v>20000</v>
      </c>
      <c r="AN110" s="10">
        <f>+INDEX('QoE PF Adj. P&amp;L Aug-26'!$D$111:$AI$118,MATCH($C110,'QoE PF Adj. P&amp;L Aug-26'!$C$111:$C$118,0),MATCH(AN$8,'QoE PF Adj. P&amp;L Aug-26'!$D$8:$AI$8,0))*1000</f>
        <v>23600</v>
      </c>
      <c r="AO110" s="10">
        <f>+INDEX('QoE PF Adj. P&amp;L Aug-26'!$D$111:$AI$118,MATCH($C110,'QoE PF Adj. P&amp;L Aug-26'!$C$111:$C$118,0),MATCH(AO$8,'QoE PF Adj. P&amp;L Aug-26'!$D$8:$AI$8,0))*1000</f>
        <v>20900</v>
      </c>
      <c r="AP110" s="10">
        <f>+SUMIFS('Sep - Nov P&amp;L'!I:I,'Sep - Nov P&amp;L'!$D:$D,$C110)</f>
        <v>0</v>
      </c>
      <c r="AQ110" s="10">
        <f>+SUMIFS('Sep - Nov P&amp;L'!J:J,'Sep - Nov P&amp;L'!$D:$D,$C110)</f>
        <v>0</v>
      </c>
      <c r="AR110" s="10">
        <f>+SUMIFS('Sep - Nov P&amp;L'!K:K,'Sep - Nov P&amp;L'!$D:$D,$C110)</f>
        <v>0</v>
      </c>
      <c r="AS110" s="20">
        <f>+AVERAGE(AG110:AR110)</f>
        <v>16375</v>
      </c>
      <c r="AT110" s="20">
        <f>+AS110</f>
        <v>16375</v>
      </c>
      <c r="AU110" s="20">
        <f>+AT110</f>
        <v>16375</v>
      </c>
      <c r="AV110" s="20">
        <f>+AU110</f>
        <v>16375</v>
      </c>
      <c r="AW110" s="20">
        <f>+AV110</f>
        <v>16375</v>
      </c>
      <c r="AX110" s="20">
        <f>+AW110</f>
        <v>16375</v>
      </c>
      <c r="AY110" s="20">
        <f>+AX110</f>
        <v>16375</v>
      </c>
      <c r="AZ110" s="20">
        <f>+AY110</f>
        <v>16375</v>
      </c>
      <c r="BA110" s="20">
        <f>+AZ110</f>
        <v>16375</v>
      </c>
      <c r="BB110" s="20">
        <f>+BA110</f>
        <v>16375</v>
      </c>
      <c r="BC110" s="20">
        <f>+BB110</f>
        <v>16375</v>
      </c>
      <c r="BD110" s="20">
        <f>+BC110</f>
        <v>16375</v>
      </c>
      <c r="BE110" s="20">
        <f>+BD110</f>
        <v>16375</v>
      </c>
      <c r="BF110" s="20">
        <f>+BE110</f>
        <v>16375</v>
      </c>
      <c r="BG110" s="20">
        <f>+BF110</f>
        <v>16375</v>
      </c>
      <c r="BH110" s="20">
        <f>+BG110</f>
        <v>16375</v>
      </c>
      <c r="BI110" s="20">
        <f>+BH110</f>
        <v>16375</v>
      </c>
      <c r="BJ110" s="20">
        <f>+BI110</f>
        <v>16375</v>
      </c>
      <c r="BK110" s="20">
        <f>+BJ110</f>
        <v>16375</v>
      </c>
      <c r="BL110" s="20">
        <f>+BK110</f>
        <v>16375</v>
      </c>
      <c r="BM110" s="20">
        <f>+BL110</f>
        <v>16375</v>
      </c>
      <c r="BN110" s="20">
        <f>+BM110</f>
        <v>16375</v>
      </c>
      <c r="BO110" s="20">
        <f>+BN110</f>
        <v>16375</v>
      </c>
      <c r="BP110" s="20">
        <f>+BO110</f>
        <v>16375</v>
      </c>
      <c r="BQ110" s="20">
        <f>+BP110</f>
        <v>16375</v>
      </c>
    </row>
    <row r="111">
      <c r="C111" s="3" t="inlineStr">
        <is>
          <t>Interest Income</t>
        </is>
      </c>
      <c r="D111" s="20">
        <f>+SUMIFS($J111:$BQ111,$J$7:$BQ$7,D$8)</f>
        <v>-5100</v>
      </c>
      <c r="E111" s="20">
        <f>+SUMIFS($J111:$BQ111,$J$7:$BQ$7,E$8)</f>
        <v>-5400</v>
      </c>
      <c r="F111" s="20">
        <f>+SUMIFS($J111:$BQ111,$J$7:$BQ$7,F$8)</f>
        <v>-5011.89166666667</v>
      </c>
      <c r="G111" s="20">
        <f>+SUMIFS($J111:$BQ111,$J$7:$BQ$7,G$8)</f>
        <v>-5087.9</v>
      </c>
      <c r="H111" s="20">
        <f>+SUMIFS($J111:$BQ111,$J$7:$BQ$7,H$8)</f>
        <v>-5087.9</v>
      </c>
      <c r="J111" s="10">
        <f>+INDEX('QoE PF Adj. P&amp;L Aug-26'!$D$111:$AI$118,MATCH($C111,'QoE PF Adj. P&amp;L Aug-26'!$C$111:$C$118,0),MATCH(J$8,'QoE PF Adj. P&amp;L Aug-26'!$D$8:$AI$8,0))*1000</f>
        <v>-400</v>
      </c>
      <c r="K111" s="10">
        <f>+INDEX('QoE PF Adj. P&amp;L Aug-26'!$D$111:$AI$118,MATCH($C111,'QoE PF Adj. P&amp;L Aug-26'!$C$111:$C$118,0),MATCH(K$8,'QoE PF Adj. P&amp;L Aug-26'!$D$8:$AI$8,0))*1000</f>
        <v>-500</v>
      </c>
      <c r="L111" s="10">
        <f>+INDEX('QoE PF Adj. P&amp;L Aug-26'!$D$111:$AI$118,MATCH($C111,'QoE PF Adj. P&amp;L Aug-26'!$C$111:$C$118,0),MATCH(L$8,'QoE PF Adj. P&amp;L Aug-26'!$D$8:$AI$8,0))*1000</f>
        <v>-400</v>
      </c>
      <c r="M111" s="10">
        <f>+INDEX('QoE PF Adj. P&amp;L Aug-26'!$D$111:$AI$118,MATCH($C111,'QoE PF Adj. P&amp;L Aug-26'!$C$111:$C$118,0),MATCH(M$8,'QoE PF Adj. P&amp;L Aug-26'!$D$8:$AI$8,0))*1000</f>
        <v>-400</v>
      </c>
      <c r="N111" s="10">
        <f>+INDEX('QoE PF Adj. P&amp;L Aug-26'!$D$111:$AI$118,MATCH($C111,'QoE PF Adj. P&amp;L Aug-26'!$C$111:$C$118,0),MATCH(N$8,'QoE PF Adj. P&amp;L Aug-26'!$D$8:$AI$8,0))*1000</f>
        <v>-400</v>
      </c>
      <c r="O111" s="10">
        <f>+INDEX('QoE PF Adj. P&amp;L Aug-26'!$D$111:$AI$118,MATCH($C111,'QoE PF Adj. P&amp;L Aug-26'!$C$111:$C$118,0),MATCH(O$8,'QoE PF Adj. P&amp;L Aug-26'!$D$8:$AI$8,0))*1000</f>
        <v>-400</v>
      </c>
      <c r="P111" s="10">
        <f>+INDEX('QoE PF Adj. P&amp;L Aug-26'!$D$111:$AI$118,MATCH($C111,'QoE PF Adj. P&amp;L Aug-26'!$C$111:$C$118,0),MATCH(P$8,'QoE PF Adj. P&amp;L Aug-26'!$D$8:$AI$8,0))*1000</f>
        <v>-400</v>
      </c>
      <c r="Q111" s="10">
        <f>+INDEX('QoE PF Adj. P&amp;L Aug-26'!$D$111:$AI$118,MATCH($C111,'QoE PF Adj. P&amp;L Aug-26'!$C$111:$C$118,0),MATCH(Q$8,'QoE PF Adj. P&amp;L Aug-26'!$D$8:$AI$8,0))*1000</f>
        <v>-500</v>
      </c>
      <c r="R111" s="10">
        <f>+INDEX('QoE PF Adj. P&amp;L Aug-26'!$D$111:$AI$118,MATCH($C111,'QoE PF Adj. P&amp;L Aug-26'!$C$111:$C$118,0),MATCH(R$8,'QoE PF Adj. P&amp;L Aug-26'!$D$8:$AI$8,0))*1000</f>
        <v>-400</v>
      </c>
      <c r="S111" s="10">
        <f>+INDEX('QoE PF Adj. P&amp;L Aug-26'!$D$111:$AI$118,MATCH($C111,'QoE PF Adj. P&amp;L Aug-26'!$C$111:$C$118,0),MATCH(S$8,'QoE PF Adj. P&amp;L Aug-26'!$D$8:$AI$8,0))*1000</f>
        <v>-500</v>
      </c>
      <c r="T111" s="10">
        <f>+INDEX('QoE PF Adj. P&amp;L Aug-26'!$D$111:$AI$118,MATCH($C111,'QoE PF Adj. P&amp;L Aug-26'!$C$111:$C$118,0),MATCH(T$8,'QoE PF Adj. P&amp;L Aug-26'!$D$8:$AI$8,0))*1000</f>
        <v>-400</v>
      </c>
      <c r="U111" s="10">
        <f>+INDEX('QoE PF Adj. P&amp;L Aug-26'!$D$111:$AI$118,MATCH($C111,'QoE PF Adj. P&amp;L Aug-26'!$C$111:$C$118,0),MATCH(U$8,'QoE PF Adj. P&amp;L Aug-26'!$D$8:$AI$8,0))*1000</f>
        <v>-400</v>
      </c>
      <c r="V111" s="10">
        <f>+INDEX('QoE PF Adj. P&amp;L Aug-26'!$D$111:$AI$118,MATCH($C111,'QoE PF Adj. P&amp;L Aug-26'!$C$111:$C$118,0),MATCH(V$8,'QoE PF Adj. P&amp;L Aug-26'!$D$8:$AI$8,0))*1000</f>
        <v>-500</v>
      </c>
      <c r="W111" s="10">
        <f>+INDEX('QoE PF Adj. P&amp;L Aug-26'!$D$111:$AI$118,MATCH($C111,'QoE PF Adj. P&amp;L Aug-26'!$C$111:$C$118,0),MATCH(W$8,'QoE PF Adj. P&amp;L Aug-26'!$D$8:$AI$8,0))*1000</f>
        <v>-500</v>
      </c>
      <c r="X111" s="10">
        <f>+INDEX('QoE PF Adj. P&amp;L Aug-26'!$D$111:$AI$118,MATCH($C111,'QoE PF Adj. P&amp;L Aug-26'!$C$111:$C$118,0),MATCH(X$8,'QoE PF Adj. P&amp;L Aug-26'!$D$8:$AI$8,0))*1000</f>
        <v>-400</v>
      </c>
      <c r="Y111" s="10">
        <f>+INDEX('QoE PF Adj. P&amp;L Aug-26'!$D$111:$AI$118,MATCH($C111,'QoE PF Adj. P&amp;L Aug-26'!$C$111:$C$118,0),MATCH(Y$8,'QoE PF Adj. P&amp;L Aug-26'!$D$8:$AI$8,0))*1000</f>
        <v>-400</v>
      </c>
      <c r="Z111" s="10">
        <f>+INDEX('QoE PF Adj. P&amp;L Aug-26'!$D$111:$AI$118,MATCH($C111,'QoE PF Adj. P&amp;L Aug-26'!$C$111:$C$118,0),MATCH(Z$8,'QoE PF Adj. P&amp;L Aug-26'!$D$8:$AI$8,0))*1000</f>
        <v>-500</v>
      </c>
      <c r="AA111" s="10">
        <f>+INDEX('QoE PF Adj. P&amp;L Aug-26'!$D$111:$AI$118,MATCH($C111,'QoE PF Adj. P&amp;L Aug-26'!$C$111:$C$118,0),MATCH(AA$8,'QoE PF Adj. P&amp;L Aug-26'!$D$8:$AI$8,0))*1000</f>
        <v>-400</v>
      </c>
      <c r="AB111" s="10">
        <f>+INDEX('QoE PF Adj. P&amp;L Aug-26'!$D$111:$AI$118,MATCH($C111,'QoE PF Adj. P&amp;L Aug-26'!$C$111:$C$118,0),MATCH(AB$8,'QoE PF Adj. P&amp;L Aug-26'!$D$8:$AI$8,0))*1000</f>
        <v>-400</v>
      </c>
      <c r="AC111" s="10">
        <f>+INDEX('QoE PF Adj. P&amp;L Aug-26'!$D$111:$AI$118,MATCH($C111,'QoE PF Adj. P&amp;L Aug-26'!$C$111:$C$118,0),MATCH(AC$8,'QoE PF Adj. P&amp;L Aug-26'!$D$8:$AI$8,0))*1000</f>
        <v>-400</v>
      </c>
      <c r="AD111" s="10">
        <f>+INDEX('QoE PF Adj. P&amp;L Aug-26'!$D$111:$AI$118,MATCH($C111,'QoE PF Adj. P&amp;L Aug-26'!$C$111:$C$118,0),MATCH(AD$8,'QoE PF Adj. P&amp;L Aug-26'!$D$8:$AI$8,0))*1000</f>
        <v>-500</v>
      </c>
      <c r="AE111" s="10">
        <f>+INDEX('QoE PF Adj. P&amp;L Aug-26'!$D$111:$AI$118,MATCH($C111,'QoE PF Adj. P&amp;L Aug-26'!$C$111:$C$118,0),MATCH(AE$8,'QoE PF Adj. P&amp;L Aug-26'!$D$8:$AI$8,0))*1000</f>
        <v>-500</v>
      </c>
      <c r="AF111" s="10">
        <f>+INDEX('QoE PF Adj. P&amp;L Aug-26'!$D$111:$AI$118,MATCH($C111,'QoE PF Adj. P&amp;L Aug-26'!$C$111:$C$118,0),MATCH(AF$8,'QoE PF Adj. P&amp;L Aug-26'!$D$8:$AI$8,0))*1000</f>
        <v>-400</v>
      </c>
      <c r="AG111" s="10">
        <f>+INDEX('QoE PF Adj. P&amp;L Aug-26'!$D$111:$AI$118,MATCH($C111,'QoE PF Adj. P&amp;L Aug-26'!$C$111:$C$118,0),MATCH(AG$8,'QoE PF Adj. P&amp;L Aug-26'!$D$8:$AI$8,0))*1000</f>
        <v>-500</v>
      </c>
      <c r="AH111" s="10">
        <f>+INDEX('QoE PF Adj. P&amp;L Aug-26'!$D$111:$AI$118,MATCH($C111,'QoE PF Adj. P&amp;L Aug-26'!$C$111:$C$118,0),MATCH(AH$8,'QoE PF Adj. P&amp;L Aug-26'!$D$8:$AI$8,0))*1000</f>
        <v>-500</v>
      </c>
      <c r="AI111" s="10">
        <f>+INDEX('QoE PF Adj. P&amp;L Aug-26'!$D$111:$AI$118,MATCH($C111,'QoE PF Adj. P&amp;L Aug-26'!$C$111:$C$118,0),MATCH(AI$8,'QoE PF Adj. P&amp;L Aug-26'!$D$8:$AI$8,0))*1000</f>
        <v>-400</v>
      </c>
      <c r="AJ111" s="10">
        <f>+INDEX('QoE PF Adj. P&amp;L Aug-26'!$D$111:$AI$118,MATCH($C111,'QoE PF Adj. P&amp;L Aug-26'!$C$111:$C$118,0),MATCH(AJ$8,'QoE PF Adj. P&amp;L Aug-26'!$D$8:$AI$8,0))*1000</f>
        <v>-400</v>
      </c>
      <c r="AK111" s="10">
        <f>+INDEX('QoE PF Adj. P&amp;L Aug-26'!$D$111:$AI$118,MATCH($C111,'QoE PF Adj. P&amp;L Aug-26'!$C$111:$C$118,0),MATCH(AK$8,'QoE PF Adj. P&amp;L Aug-26'!$D$8:$AI$8,0))*1000</f>
        <v>-400</v>
      </c>
      <c r="AL111" s="10">
        <f>+INDEX('QoE PF Adj. P&amp;L Aug-26'!$D$111:$AI$118,MATCH($C111,'QoE PF Adj. P&amp;L Aug-26'!$C$111:$C$118,0),MATCH(AL$8,'QoE PF Adj. P&amp;L Aug-26'!$D$8:$AI$8,0))*1000</f>
        <v>-400</v>
      </c>
      <c r="AM111" s="10">
        <f>+INDEX('QoE PF Adj. P&amp;L Aug-26'!$D$111:$AI$118,MATCH($C111,'QoE PF Adj. P&amp;L Aug-26'!$C$111:$C$118,0),MATCH(AM$8,'QoE PF Adj. P&amp;L Aug-26'!$D$8:$AI$8,0))*1000</f>
        <v>-400</v>
      </c>
      <c r="AN111" s="10">
        <f>+INDEX('QoE PF Adj. P&amp;L Aug-26'!$D$111:$AI$118,MATCH($C111,'QoE PF Adj. P&amp;L Aug-26'!$C$111:$C$118,0),MATCH(AN$8,'QoE PF Adj. P&amp;L Aug-26'!$D$8:$AI$8,0))*1000</f>
        <v>-400</v>
      </c>
      <c r="AO111" s="10">
        <f>+INDEX('QoE PF Adj. P&amp;L Aug-26'!$D$111:$AI$118,MATCH($C111,'QoE PF Adj. P&amp;L Aug-26'!$C$111:$C$118,0),MATCH(AO$8,'QoE PF Adj. P&amp;L Aug-26'!$D$8:$AI$8,0))*1000</f>
        <v>-400</v>
      </c>
      <c r="AP111" s="10">
        <f>+SUMIFS('Sep - Nov P&amp;L'!I:I,'Sep - Nov P&amp;L'!$D:$D,$C111)</f>
        <v>-407.27</v>
      </c>
      <c r="AQ111" s="10">
        <f>+SUMIFS('Sep - Nov P&amp;L'!J:J,'Sep - Nov P&amp;L'!$D:$D,$C111)</f>
        <v>-429.84</v>
      </c>
      <c r="AR111" s="10">
        <f>+SUMIFS('Sep - Nov P&amp;L'!K:K,'Sep - Nov P&amp;L'!$D:$D,$C111)</f>
        <v>-450.79</v>
      </c>
      <c r="AS111" s="20">
        <f>+AVERAGE(AG111:AR111)</f>
        <v>-423.991666666667</v>
      </c>
      <c r="AT111" s="20">
        <f>+AS111</f>
        <v>-423.991666666667</v>
      </c>
      <c r="AU111" s="20">
        <f>+AT111</f>
        <v>-423.991666666667</v>
      </c>
      <c r="AV111" s="20">
        <f>+AU111</f>
        <v>-423.991666666667</v>
      </c>
      <c r="AW111" s="20">
        <f>+AV111</f>
        <v>-423.991666666667</v>
      </c>
      <c r="AX111" s="20">
        <f>+AW111</f>
        <v>-423.991666666667</v>
      </c>
      <c r="AY111" s="20">
        <f>+AX111</f>
        <v>-423.991666666667</v>
      </c>
      <c r="AZ111" s="20">
        <f>+AY111</f>
        <v>-423.991666666667</v>
      </c>
      <c r="BA111" s="20">
        <f>+AZ111</f>
        <v>-423.991666666667</v>
      </c>
      <c r="BB111" s="20">
        <f>+BA111</f>
        <v>-423.991666666667</v>
      </c>
      <c r="BC111" s="20">
        <f>+BB111</f>
        <v>-423.991666666667</v>
      </c>
      <c r="BD111" s="20">
        <f>+BC111</f>
        <v>-423.991666666667</v>
      </c>
      <c r="BE111" s="20">
        <f>+BD111</f>
        <v>-423.991666666667</v>
      </c>
      <c r="BF111" s="20">
        <f>+BE111</f>
        <v>-423.991666666667</v>
      </c>
      <c r="BG111" s="20">
        <f>+BF111</f>
        <v>-423.991666666667</v>
      </c>
      <c r="BH111" s="20">
        <f>+BG111</f>
        <v>-423.991666666667</v>
      </c>
      <c r="BI111" s="20">
        <f>+BH111</f>
        <v>-423.991666666667</v>
      </c>
      <c r="BJ111" s="20">
        <f>+BI111</f>
        <v>-423.991666666667</v>
      </c>
      <c r="BK111" s="20">
        <f>+BJ111</f>
        <v>-423.991666666667</v>
      </c>
      <c r="BL111" s="20">
        <f>+BK111</f>
        <v>-423.991666666667</v>
      </c>
      <c r="BM111" s="20">
        <f>+BL111</f>
        <v>-423.991666666667</v>
      </c>
      <c r="BN111" s="20">
        <f>+BM111</f>
        <v>-423.991666666667</v>
      </c>
      <c r="BO111" s="20">
        <f>+BN111</f>
        <v>-423.991666666667</v>
      </c>
      <c r="BP111" s="20">
        <f>+BO111</f>
        <v>-423.991666666667</v>
      </c>
      <c r="BQ111" s="20">
        <f>+BP111</f>
        <v>-423.991666666667</v>
      </c>
    </row>
    <row r="112">
      <c r="C112" s="3" t="inlineStr">
        <is>
          <t>Interest Expense</t>
        </is>
      </c>
      <c r="D112" s="20">
        <f>+SUMIFS($J112:$BQ112,$J$7:$BQ$7,D$8)</f>
        <v>34600</v>
      </c>
      <c r="E112" s="20">
        <f>+SUMIFS($J112:$BQ112,$J$7:$BQ$7,E$8)</f>
        <v>34000</v>
      </c>
      <c r="F112" s="20">
        <f>+SUMIFS($J112:$BQ112,$J$7:$BQ$7,F$8)</f>
        <v>35458.36</v>
      </c>
      <c r="G112" s="20">
        <f>+SUMIFS($J112:$BQ112,$J$7:$BQ$7,G$8)</f>
        <v>35684.64</v>
      </c>
      <c r="H112" s="20">
        <f>+SUMIFS($J112:$BQ112,$J$7:$BQ$7,H$8)</f>
        <v>35684.64</v>
      </c>
      <c r="J112" s="10">
        <f>+INDEX('QoE PF Adj. P&amp;L Aug-26'!$D$111:$AI$118,MATCH($C112,'QoE PF Adj. P&amp;L Aug-26'!$C$111:$C$118,0),MATCH(J$8,'QoE PF Adj. P&amp;L Aug-26'!$D$8:$AI$8,0))*1000</f>
        <v>2800</v>
      </c>
      <c r="K112" s="10">
        <f>+INDEX('QoE PF Adj. P&amp;L Aug-26'!$D$111:$AI$118,MATCH($C112,'QoE PF Adj. P&amp;L Aug-26'!$C$111:$C$118,0),MATCH(K$8,'QoE PF Adj. P&amp;L Aug-26'!$D$8:$AI$8,0))*1000</f>
        <v>2800</v>
      </c>
      <c r="L112" s="10">
        <f>+INDEX('QoE PF Adj. P&amp;L Aug-26'!$D$111:$AI$118,MATCH($C112,'QoE PF Adj. P&amp;L Aug-26'!$C$111:$C$118,0),MATCH(L$8,'QoE PF Adj. P&amp;L Aug-26'!$D$8:$AI$8,0))*1000</f>
        <v>3100</v>
      </c>
      <c r="M112" s="10">
        <f>+INDEX('QoE PF Adj. P&amp;L Aug-26'!$D$111:$AI$118,MATCH($C112,'QoE PF Adj. P&amp;L Aug-26'!$C$111:$C$118,0),MATCH(M$8,'QoE PF Adj. P&amp;L Aug-26'!$D$8:$AI$8,0))*1000</f>
        <v>2700</v>
      </c>
      <c r="N112" s="10">
        <f>+INDEX('QoE PF Adj. P&amp;L Aug-26'!$D$111:$AI$118,MATCH($C112,'QoE PF Adj. P&amp;L Aug-26'!$C$111:$C$118,0),MATCH(N$8,'QoE PF Adj. P&amp;L Aug-26'!$D$8:$AI$8,0))*1000</f>
        <v>3200</v>
      </c>
      <c r="O112" s="10">
        <f>+INDEX('QoE PF Adj. P&amp;L Aug-26'!$D$111:$AI$118,MATCH($C112,'QoE PF Adj. P&amp;L Aug-26'!$C$111:$C$118,0),MATCH(O$8,'QoE PF Adj. P&amp;L Aug-26'!$D$8:$AI$8,0))*1000</f>
        <v>3200</v>
      </c>
      <c r="P112" s="10">
        <f>+INDEX('QoE PF Adj. P&amp;L Aug-26'!$D$111:$AI$118,MATCH($C112,'QoE PF Adj. P&amp;L Aug-26'!$C$111:$C$118,0),MATCH(P$8,'QoE PF Adj. P&amp;L Aug-26'!$D$8:$AI$8,0))*1000</f>
        <v>2800</v>
      </c>
      <c r="Q112" s="10">
        <f>+INDEX('QoE PF Adj. P&amp;L Aug-26'!$D$111:$AI$118,MATCH($C112,'QoE PF Adj. P&amp;L Aug-26'!$C$111:$C$118,0),MATCH(Q$8,'QoE PF Adj. P&amp;L Aug-26'!$D$8:$AI$8,0))*1000</f>
        <v>2800</v>
      </c>
      <c r="R112" s="10">
        <f>+INDEX('QoE PF Adj. P&amp;L Aug-26'!$D$111:$AI$118,MATCH($C112,'QoE PF Adj. P&amp;L Aug-26'!$C$111:$C$118,0),MATCH(R$8,'QoE PF Adj. P&amp;L Aug-26'!$D$8:$AI$8,0))*1000</f>
        <v>2700</v>
      </c>
      <c r="S112" s="10">
        <f>+INDEX('QoE PF Adj. P&amp;L Aug-26'!$D$111:$AI$118,MATCH($C112,'QoE PF Adj. P&amp;L Aug-26'!$C$111:$C$118,0),MATCH(S$8,'QoE PF Adj. P&amp;L Aug-26'!$D$8:$AI$8,0))*1000</f>
        <v>2700</v>
      </c>
      <c r="T112" s="10">
        <f>+INDEX('QoE PF Adj. P&amp;L Aug-26'!$D$111:$AI$118,MATCH($C112,'QoE PF Adj. P&amp;L Aug-26'!$C$111:$C$118,0),MATCH(T$8,'QoE PF Adj. P&amp;L Aug-26'!$D$8:$AI$8,0))*1000</f>
        <v>2900</v>
      </c>
      <c r="U112" s="10">
        <f>+INDEX('QoE PF Adj. P&amp;L Aug-26'!$D$111:$AI$118,MATCH($C112,'QoE PF Adj. P&amp;L Aug-26'!$C$111:$C$118,0),MATCH(U$8,'QoE PF Adj. P&amp;L Aug-26'!$D$8:$AI$8,0))*1000</f>
        <v>2900</v>
      </c>
      <c r="V112" s="10">
        <f>+INDEX('QoE PF Adj. P&amp;L Aug-26'!$D$111:$AI$118,MATCH($C112,'QoE PF Adj. P&amp;L Aug-26'!$C$111:$C$118,0),MATCH(V$8,'QoE PF Adj. P&amp;L Aug-26'!$D$8:$AI$8,0))*1000</f>
        <v>2900</v>
      </c>
      <c r="W112" s="10">
        <f>+INDEX('QoE PF Adj. P&amp;L Aug-26'!$D$111:$AI$118,MATCH($C112,'QoE PF Adj. P&amp;L Aug-26'!$C$111:$C$118,0),MATCH(W$8,'QoE PF Adj. P&amp;L Aug-26'!$D$8:$AI$8,0))*1000</f>
        <v>2400</v>
      </c>
      <c r="X112" s="10">
        <f>+INDEX('QoE PF Adj. P&amp;L Aug-26'!$D$111:$AI$118,MATCH($C112,'QoE PF Adj. P&amp;L Aug-26'!$C$111:$C$118,0),MATCH(X$8,'QoE PF Adj. P&amp;L Aug-26'!$D$8:$AI$8,0))*1000</f>
        <v>2900</v>
      </c>
      <c r="Y112" s="10">
        <f>+INDEX('QoE PF Adj. P&amp;L Aug-26'!$D$111:$AI$118,MATCH($C112,'QoE PF Adj. P&amp;L Aug-26'!$C$111:$C$118,0),MATCH(Y$8,'QoE PF Adj. P&amp;L Aug-26'!$D$8:$AI$8,0))*1000</f>
        <v>2500</v>
      </c>
      <c r="Z112" s="10">
        <f>+INDEX('QoE PF Adj. P&amp;L Aug-26'!$D$111:$AI$118,MATCH($C112,'QoE PF Adj. P&amp;L Aug-26'!$C$111:$C$118,0),MATCH(Z$8,'QoE PF Adj. P&amp;L Aug-26'!$D$8:$AI$8,0))*1000</f>
        <v>2600</v>
      </c>
      <c r="AA112" s="10">
        <f>+INDEX('QoE PF Adj. P&amp;L Aug-26'!$D$111:$AI$118,MATCH($C112,'QoE PF Adj. P&amp;L Aug-26'!$C$111:$C$118,0),MATCH(AA$8,'QoE PF Adj. P&amp;L Aug-26'!$D$8:$AI$8,0))*1000</f>
        <v>3100</v>
      </c>
      <c r="AB112" s="10">
        <f>+INDEX('QoE PF Adj. P&amp;L Aug-26'!$D$111:$AI$118,MATCH($C112,'QoE PF Adj. P&amp;L Aug-26'!$C$111:$C$118,0),MATCH(AB$8,'QoE PF Adj. P&amp;L Aug-26'!$D$8:$AI$8,0))*1000</f>
        <v>2400</v>
      </c>
      <c r="AC112" s="10">
        <f>+INDEX('QoE PF Adj. P&amp;L Aug-26'!$D$111:$AI$118,MATCH($C112,'QoE PF Adj. P&amp;L Aug-26'!$C$111:$C$118,0),MATCH(AC$8,'QoE PF Adj. P&amp;L Aug-26'!$D$8:$AI$8,0))*1000</f>
        <v>2800</v>
      </c>
      <c r="AD112" s="10">
        <f>+INDEX('QoE PF Adj. P&amp;L Aug-26'!$D$111:$AI$118,MATCH($C112,'QoE PF Adj. P&amp;L Aug-26'!$C$111:$C$118,0),MATCH(AD$8,'QoE PF Adj. P&amp;L Aug-26'!$D$8:$AI$8,0))*1000</f>
        <v>3200</v>
      </c>
      <c r="AE112" s="10">
        <f>+INDEX('QoE PF Adj. P&amp;L Aug-26'!$D$111:$AI$118,MATCH($C112,'QoE PF Adj. P&amp;L Aug-26'!$C$111:$C$118,0),MATCH(AE$8,'QoE PF Adj. P&amp;L Aug-26'!$D$8:$AI$8,0))*1000</f>
        <v>3000</v>
      </c>
      <c r="AF112" s="10">
        <f>+INDEX('QoE PF Adj. P&amp;L Aug-26'!$D$111:$AI$118,MATCH($C112,'QoE PF Adj. P&amp;L Aug-26'!$C$111:$C$118,0),MATCH(AF$8,'QoE PF Adj. P&amp;L Aug-26'!$D$8:$AI$8,0))*1000</f>
        <v>3000</v>
      </c>
      <c r="AG112" s="10">
        <f>+INDEX('QoE PF Adj. P&amp;L Aug-26'!$D$111:$AI$118,MATCH($C112,'QoE PF Adj. P&amp;L Aug-26'!$C$111:$C$118,0),MATCH(AG$8,'QoE PF Adj. P&amp;L Aug-26'!$D$8:$AI$8,0))*1000</f>
        <v>3200</v>
      </c>
      <c r="AH112" s="10">
        <f>+INDEX('QoE PF Adj. P&amp;L Aug-26'!$D$111:$AI$118,MATCH($C112,'QoE PF Adj. P&amp;L Aug-26'!$C$111:$C$118,0),MATCH(AH$8,'QoE PF Adj. P&amp;L Aug-26'!$D$8:$AI$8,0))*1000</f>
        <v>3100</v>
      </c>
      <c r="AI112" s="10">
        <f>+INDEX('QoE PF Adj. P&amp;L Aug-26'!$D$111:$AI$118,MATCH($C112,'QoE PF Adj. P&amp;L Aug-26'!$C$111:$C$118,0),MATCH(AI$8,'QoE PF Adj. P&amp;L Aug-26'!$D$8:$AI$8,0))*1000</f>
        <v>2700</v>
      </c>
      <c r="AJ112" s="10">
        <f>+INDEX('QoE PF Adj. P&amp;L Aug-26'!$D$111:$AI$118,MATCH($C112,'QoE PF Adj. P&amp;L Aug-26'!$C$111:$C$118,0),MATCH(AJ$8,'QoE PF Adj. P&amp;L Aug-26'!$D$8:$AI$8,0))*1000</f>
        <v>2400</v>
      </c>
      <c r="AK112" s="10">
        <f>+INDEX('QoE PF Adj. P&amp;L Aug-26'!$D$111:$AI$118,MATCH($C112,'QoE PF Adj. P&amp;L Aug-26'!$C$111:$C$118,0),MATCH(AK$8,'QoE PF Adj. P&amp;L Aug-26'!$D$8:$AI$8,0))*1000</f>
        <v>3000</v>
      </c>
      <c r="AL112" s="10">
        <f>+INDEX('QoE PF Adj. P&amp;L Aug-26'!$D$111:$AI$118,MATCH($C112,'QoE PF Adj. P&amp;L Aug-26'!$C$111:$C$118,0),MATCH(AL$8,'QoE PF Adj. P&amp;L Aug-26'!$D$8:$AI$8,0))*1000</f>
        <v>3200</v>
      </c>
      <c r="AM112" s="10">
        <f>+INDEX('QoE PF Adj. P&amp;L Aug-26'!$D$111:$AI$118,MATCH($C112,'QoE PF Adj. P&amp;L Aug-26'!$C$111:$C$118,0),MATCH(AM$8,'QoE PF Adj. P&amp;L Aug-26'!$D$8:$AI$8,0))*1000</f>
        <v>3200</v>
      </c>
      <c r="AN112" s="10">
        <f>+INDEX('QoE PF Adj. P&amp;L Aug-26'!$D$111:$AI$118,MATCH($C112,'QoE PF Adj. P&amp;L Aug-26'!$C$111:$C$118,0),MATCH(AN$8,'QoE PF Adj. P&amp;L Aug-26'!$D$8:$AI$8,0))*1000</f>
        <v>3200</v>
      </c>
      <c r="AO112" s="10">
        <f>+INDEX('QoE PF Adj. P&amp;L Aug-26'!$D$111:$AI$118,MATCH($C112,'QoE PF Adj. P&amp;L Aug-26'!$C$111:$C$118,0),MATCH(AO$8,'QoE PF Adj. P&amp;L Aug-26'!$D$8:$AI$8,0))*1000</f>
        <v>2600</v>
      </c>
      <c r="AP112" s="10">
        <f>+SUMIFS('Sep - Nov P&amp;L'!I:I,'Sep - Nov P&amp;L'!$D:$D,$C112)</f>
        <v>3128.52</v>
      </c>
      <c r="AQ112" s="10">
        <f>+SUMIFS('Sep - Nov P&amp;L'!J:J,'Sep - Nov P&amp;L'!$D:$D,$C112)</f>
        <v>3152.9</v>
      </c>
      <c r="AR112" s="10">
        <f>+SUMIFS('Sep - Nov P&amp;L'!K:K,'Sep - Nov P&amp;L'!$D:$D,$C112)</f>
        <v>2803.22</v>
      </c>
      <c r="AS112" s="20">
        <f>+AVERAGE(AG112:AR112)</f>
        <v>2973.72</v>
      </c>
      <c r="AT112" s="20">
        <f>+AS112</f>
        <v>2973.72</v>
      </c>
      <c r="AU112" s="20">
        <f>+AT112</f>
        <v>2973.72</v>
      </c>
      <c r="AV112" s="20">
        <f>+AU112</f>
        <v>2973.72</v>
      </c>
      <c r="AW112" s="20">
        <f>+AV112</f>
        <v>2973.72</v>
      </c>
      <c r="AX112" s="20">
        <f>+AW112</f>
        <v>2973.72</v>
      </c>
      <c r="AY112" s="20">
        <f>+AX112</f>
        <v>2973.72</v>
      </c>
      <c r="AZ112" s="20">
        <f>+AY112</f>
        <v>2973.72</v>
      </c>
      <c r="BA112" s="20">
        <f>+AZ112</f>
        <v>2973.72</v>
      </c>
      <c r="BB112" s="20">
        <f>+BA112</f>
        <v>2973.72</v>
      </c>
      <c r="BC112" s="20">
        <f>+BB112</f>
        <v>2973.72</v>
      </c>
      <c r="BD112" s="20">
        <f>+BC112</f>
        <v>2973.72</v>
      </c>
      <c r="BE112" s="20">
        <f>+BD112</f>
        <v>2973.72</v>
      </c>
      <c r="BF112" s="20">
        <f>+BE112</f>
        <v>2973.72</v>
      </c>
      <c r="BG112" s="20">
        <f>+BF112</f>
        <v>2973.72</v>
      </c>
      <c r="BH112" s="20">
        <f>+BG112</f>
        <v>2973.72</v>
      </c>
      <c r="BI112" s="20">
        <f>+BH112</f>
        <v>2973.72</v>
      </c>
      <c r="BJ112" s="20">
        <f>+BI112</f>
        <v>2973.72</v>
      </c>
      <c r="BK112" s="20">
        <f>+BJ112</f>
        <v>2973.72</v>
      </c>
      <c r="BL112" s="20">
        <f>+BK112</f>
        <v>2973.72</v>
      </c>
      <c r="BM112" s="20">
        <f>+BL112</f>
        <v>2973.72</v>
      </c>
      <c r="BN112" s="20">
        <f>+BM112</f>
        <v>2973.72</v>
      </c>
      <c r="BO112" s="20">
        <f>+BN112</f>
        <v>2973.72</v>
      </c>
      <c r="BP112" s="20">
        <f>+BO112</f>
        <v>2973.72</v>
      </c>
      <c r="BQ112" s="20">
        <f>+BP112</f>
        <v>2973.72</v>
      </c>
    </row>
    <row r="113">
      <c r="C113" s="3" t="inlineStr">
        <is>
          <t>Other Income - Non RCM Revenue</t>
        </is>
      </c>
      <c r="D113" s="20">
        <f>+SUMIFS($J113:$BQ113,$J$7:$BQ$7,D$8)</f>
        <v>-16500</v>
      </c>
      <c r="E113" s="20">
        <f>+SUMIFS($J113:$BQ113,$J$7:$BQ$7,E$8)</f>
        <v>-18400</v>
      </c>
      <c r="F113" s="20">
        <f>+SUMIFS($J113:$BQ113,$J$7:$BQ$7,F$8)</f>
        <v>-12925</v>
      </c>
      <c r="G113" s="20">
        <f>+SUMIFS($J113:$BQ113,$J$7:$BQ$7,G$8)</f>
        <v>-13500</v>
      </c>
      <c r="H113" s="20">
        <f>+SUMIFS($J113:$BQ113,$J$7:$BQ$7,H$8)</f>
        <v>-13500</v>
      </c>
      <c r="J113" s="10">
        <f>+INDEX('QoE PF Adj. P&amp;L Aug-26'!$D$111:$AI$118,MATCH($C113,'QoE PF Adj. P&amp;L Aug-26'!$C$111:$C$118,0),MATCH(J$8,'QoE PF Adj. P&amp;L Aug-26'!$D$8:$AI$8,0))*1000</f>
        <v>-1300</v>
      </c>
      <c r="K113" s="10">
        <f>+INDEX('QoE PF Adj. P&amp;L Aug-26'!$D$111:$AI$118,MATCH($C113,'QoE PF Adj. P&amp;L Aug-26'!$C$111:$C$118,0),MATCH(K$8,'QoE PF Adj. P&amp;L Aug-26'!$D$8:$AI$8,0))*1000</f>
        <v>-1500</v>
      </c>
      <c r="L113" s="10">
        <f>+INDEX('QoE PF Adj. P&amp;L Aug-26'!$D$111:$AI$118,MATCH($C113,'QoE PF Adj. P&amp;L Aug-26'!$C$111:$C$118,0),MATCH(L$8,'QoE PF Adj. P&amp;L Aug-26'!$D$8:$AI$8,0))*1000</f>
        <v>-1300</v>
      </c>
      <c r="M113" s="10">
        <f>+INDEX('QoE PF Adj. P&amp;L Aug-26'!$D$111:$AI$118,MATCH($C113,'QoE PF Adj. P&amp;L Aug-26'!$C$111:$C$118,0),MATCH(M$8,'QoE PF Adj. P&amp;L Aug-26'!$D$8:$AI$8,0))*1000</f>
        <v>-1300</v>
      </c>
      <c r="N113" s="10">
        <f>+INDEX('QoE PF Adj. P&amp;L Aug-26'!$D$111:$AI$118,MATCH($C113,'QoE PF Adj. P&amp;L Aug-26'!$C$111:$C$118,0),MATCH(N$8,'QoE PF Adj. P&amp;L Aug-26'!$D$8:$AI$8,0))*1000</f>
        <v>-1500</v>
      </c>
      <c r="O113" s="10">
        <f>+INDEX('QoE PF Adj. P&amp;L Aug-26'!$D$111:$AI$118,MATCH($C113,'QoE PF Adj. P&amp;L Aug-26'!$C$111:$C$118,0),MATCH(O$8,'QoE PF Adj. P&amp;L Aug-26'!$D$8:$AI$8,0))*1000</f>
        <v>-1300</v>
      </c>
      <c r="P113" s="10">
        <f>+INDEX('QoE PF Adj. P&amp;L Aug-26'!$D$111:$AI$118,MATCH($C113,'QoE PF Adj. P&amp;L Aug-26'!$C$111:$C$118,0),MATCH(P$8,'QoE PF Adj. P&amp;L Aug-26'!$D$8:$AI$8,0))*1000</f>
        <v>-1300</v>
      </c>
      <c r="Q113" s="10">
        <f>+INDEX('QoE PF Adj. P&amp;L Aug-26'!$D$111:$AI$118,MATCH($C113,'QoE PF Adj. P&amp;L Aug-26'!$C$111:$C$118,0),MATCH(Q$8,'QoE PF Adj. P&amp;L Aug-26'!$D$8:$AI$8,0))*1000</f>
        <v>-1400</v>
      </c>
      <c r="R113" s="10">
        <f>+INDEX('QoE PF Adj. P&amp;L Aug-26'!$D$111:$AI$118,MATCH($C113,'QoE PF Adj. P&amp;L Aug-26'!$C$111:$C$118,0),MATCH(R$8,'QoE PF Adj. P&amp;L Aug-26'!$D$8:$AI$8,0))*1000</f>
        <v>-1500</v>
      </c>
      <c r="S113" s="10">
        <f>+INDEX('QoE PF Adj. P&amp;L Aug-26'!$D$111:$AI$118,MATCH($C113,'QoE PF Adj. P&amp;L Aug-26'!$C$111:$C$118,0),MATCH(S$8,'QoE PF Adj. P&amp;L Aug-26'!$D$8:$AI$8,0))*1000</f>
        <v>-1300</v>
      </c>
      <c r="T113" s="10">
        <f>+INDEX('QoE PF Adj. P&amp;L Aug-26'!$D$111:$AI$118,MATCH($C113,'QoE PF Adj. P&amp;L Aug-26'!$C$111:$C$118,0),MATCH(T$8,'QoE PF Adj. P&amp;L Aug-26'!$D$8:$AI$8,0))*1000</f>
        <v>-1300</v>
      </c>
      <c r="U113" s="10">
        <f>+INDEX('QoE PF Adj. P&amp;L Aug-26'!$D$111:$AI$118,MATCH($C113,'QoE PF Adj. P&amp;L Aug-26'!$C$111:$C$118,0),MATCH(U$8,'QoE PF Adj. P&amp;L Aug-26'!$D$8:$AI$8,0))*1000</f>
        <v>-1500</v>
      </c>
      <c r="V113" s="10">
        <f>+INDEX('QoE PF Adj. P&amp;L Aug-26'!$D$111:$AI$118,MATCH($C113,'QoE PF Adj. P&amp;L Aug-26'!$C$111:$C$118,0),MATCH(V$8,'QoE PF Adj. P&amp;L Aug-26'!$D$8:$AI$8,0))*1000</f>
        <v>-1600</v>
      </c>
      <c r="W113" s="10">
        <f>+INDEX('QoE PF Adj. P&amp;L Aug-26'!$D$111:$AI$118,MATCH($C113,'QoE PF Adj. P&amp;L Aug-26'!$C$111:$C$118,0),MATCH(W$8,'QoE PF Adj. P&amp;L Aug-26'!$D$8:$AI$8,0))*1000</f>
        <v>-1300</v>
      </c>
      <c r="X113" s="10">
        <f>+INDEX('QoE PF Adj. P&amp;L Aug-26'!$D$111:$AI$118,MATCH($C113,'QoE PF Adj. P&amp;L Aug-26'!$C$111:$C$118,0),MATCH(X$8,'QoE PF Adj. P&amp;L Aug-26'!$D$8:$AI$8,0))*1000</f>
        <v>-1400</v>
      </c>
      <c r="Y113" s="10">
        <f>+INDEX('QoE PF Adj. P&amp;L Aug-26'!$D$111:$AI$118,MATCH($C113,'QoE PF Adj. P&amp;L Aug-26'!$C$111:$C$118,0),MATCH(Y$8,'QoE PF Adj. P&amp;L Aug-26'!$D$8:$AI$8,0))*1000</f>
        <v>-1400</v>
      </c>
      <c r="Z113" s="10">
        <f>+INDEX('QoE PF Adj. P&amp;L Aug-26'!$D$111:$AI$118,MATCH($C113,'QoE PF Adj. P&amp;L Aug-26'!$C$111:$C$118,0),MATCH(Z$8,'QoE PF Adj. P&amp;L Aug-26'!$D$8:$AI$8,0))*1000</f>
        <v>-1700</v>
      </c>
      <c r="AA113" s="10">
        <f>+INDEX('QoE PF Adj. P&amp;L Aug-26'!$D$111:$AI$118,MATCH($C113,'QoE PF Adj. P&amp;L Aug-26'!$C$111:$C$118,0),MATCH(AA$8,'QoE PF Adj. P&amp;L Aug-26'!$D$8:$AI$8,0))*1000</f>
        <v>-1400</v>
      </c>
      <c r="AB113" s="10">
        <f>+INDEX('QoE PF Adj. P&amp;L Aug-26'!$D$111:$AI$118,MATCH($C113,'QoE PF Adj. P&amp;L Aug-26'!$C$111:$C$118,0),MATCH(AB$8,'QoE PF Adj. P&amp;L Aug-26'!$D$8:$AI$8,0))*1000</f>
        <v>-1600</v>
      </c>
      <c r="AC113" s="10">
        <f>+INDEX('QoE PF Adj. P&amp;L Aug-26'!$D$111:$AI$118,MATCH($C113,'QoE PF Adj. P&amp;L Aug-26'!$C$111:$C$118,0),MATCH(AC$8,'QoE PF Adj. P&amp;L Aug-26'!$D$8:$AI$8,0))*1000</f>
        <v>-1400</v>
      </c>
      <c r="AD113" s="10">
        <f>+INDEX('QoE PF Adj. P&amp;L Aug-26'!$D$111:$AI$118,MATCH($C113,'QoE PF Adj. P&amp;L Aug-26'!$C$111:$C$118,0),MATCH(AD$8,'QoE PF Adj. P&amp;L Aug-26'!$D$8:$AI$8,0))*1000</f>
        <v>-1600</v>
      </c>
      <c r="AE113" s="10">
        <f>+INDEX('QoE PF Adj. P&amp;L Aug-26'!$D$111:$AI$118,MATCH($C113,'QoE PF Adj. P&amp;L Aug-26'!$C$111:$C$118,0),MATCH(AE$8,'QoE PF Adj. P&amp;L Aug-26'!$D$8:$AI$8,0))*1000</f>
        <v>-1700</v>
      </c>
      <c r="AF113" s="10">
        <f>+INDEX('QoE PF Adj. P&amp;L Aug-26'!$D$111:$AI$118,MATCH($C113,'QoE PF Adj. P&amp;L Aug-26'!$C$111:$C$118,0),MATCH(AF$8,'QoE PF Adj. P&amp;L Aug-26'!$D$8:$AI$8,0))*1000</f>
        <v>-1600</v>
      </c>
      <c r="AG113" s="10">
        <f>+INDEX('QoE PF Adj. P&amp;L Aug-26'!$D$111:$AI$118,MATCH($C113,'QoE PF Adj. P&amp;L Aug-26'!$C$111:$C$118,0),MATCH(AG$8,'QoE PF Adj. P&amp;L Aug-26'!$D$8:$AI$8,0))*1000</f>
        <v>-1700</v>
      </c>
      <c r="AH113" s="10">
        <f>+INDEX('QoE PF Adj. P&amp;L Aug-26'!$D$111:$AI$118,MATCH($C113,'QoE PF Adj. P&amp;L Aug-26'!$C$111:$C$118,0),MATCH(AH$8,'QoE PF Adj. P&amp;L Aug-26'!$D$8:$AI$8,0))*1000</f>
        <v>-1400</v>
      </c>
      <c r="AI113" s="10">
        <f>+INDEX('QoE PF Adj. P&amp;L Aug-26'!$D$111:$AI$118,MATCH($C113,'QoE PF Adj. P&amp;L Aug-26'!$C$111:$C$118,0),MATCH(AI$8,'QoE PF Adj. P&amp;L Aug-26'!$D$8:$AI$8,0))*1000</f>
        <v>-1500</v>
      </c>
      <c r="AJ113" s="10">
        <f>+INDEX('QoE PF Adj. P&amp;L Aug-26'!$D$111:$AI$118,MATCH($C113,'QoE PF Adj. P&amp;L Aug-26'!$C$111:$C$118,0),MATCH(AJ$8,'QoE PF Adj. P&amp;L Aug-26'!$D$8:$AI$8,0))*1000</f>
        <v>-1600</v>
      </c>
      <c r="AK113" s="10">
        <f>+INDEX('QoE PF Adj. P&amp;L Aug-26'!$D$111:$AI$118,MATCH($C113,'QoE PF Adj. P&amp;L Aug-26'!$C$111:$C$118,0),MATCH(AK$8,'QoE PF Adj. P&amp;L Aug-26'!$D$8:$AI$8,0))*1000</f>
        <v>-1400</v>
      </c>
      <c r="AL113" s="10">
        <f>+INDEX('QoE PF Adj. P&amp;L Aug-26'!$D$111:$AI$118,MATCH($C113,'QoE PF Adj. P&amp;L Aug-26'!$C$111:$C$118,0),MATCH(AL$8,'QoE PF Adj. P&amp;L Aug-26'!$D$8:$AI$8,0))*1000</f>
        <v>-1400</v>
      </c>
      <c r="AM113" s="10">
        <f>+INDEX('QoE PF Adj. P&amp;L Aug-26'!$D$111:$AI$118,MATCH($C113,'QoE PF Adj. P&amp;L Aug-26'!$C$111:$C$118,0),MATCH(AM$8,'QoE PF Adj. P&amp;L Aug-26'!$D$8:$AI$8,0))*1000</f>
        <v>-1400</v>
      </c>
      <c r="AN113" s="10">
        <f>+INDEX('QoE PF Adj. P&amp;L Aug-26'!$D$111:$AI$118,MATCH($C113,'QoE PF Adj. P&amp;L Aug-26'!$C$111:$C$118,0),MATCH(AN$8,'QoE PF Adj. P&amp;L Aug-26'!$D$8:$AI$8,0))*1000</f>
        <v>-1600</v>
      </c>
      <c r="AO113" s="10">
        <f>+INDEX('QoE PF Adj. P&amp;L Aug-26'!$D$111:$AI$118,MATCH($C113,'QoE PF Adj. P&amp;L Aug-26'!$C$111:$C$118,0),MATCH(AO$8,'QoE PF Adj. P&amp;L Aug-26'!$D$8:$AI$8,0))*1000</f>
        <v>-1500</v>
      </c>
      <c r="AP113" s="10">
        <f>+SUMIFS('Sep - Nov P&amp;L'!I:I,'Sep - Nov P&amp;L'!$D:$D,$C113)</f>
        <v>0</v>
      </c>
      <c r="AQ113" s="10">
        <f>+SUMIFS('Sep - Nov P&amp;L'!J:J,'Sep - Nov P&amp;L'!$D:$D,$C113)</f>
        <v>0</v>
      </c>
      <c r="AR113" s="10">
        <f>+SUMIFS('Sep - Nov P&amp;L'!K:K,'Sep - Nov P&amp;L'!$D:$D,$C113)</f>
        <v>0</v>
      </c>
      <c r="AS113" s="20">
        <f>+AVERAGE(AG113:AR113)</f>
        <v>-1125</v>
      </c>
      <c r="AT113" s="20">
        <f>+AS113</f>
        <v>-1125</v>
      </c>
      <c r="AU113" s="20">
        <f>+AT113</f>
        <v>-1125</v>
      </c>
      <c r="AV113" s="20">
        <f>+AU113</f>
        <v>-1125</v>
      </c>
      <c r="AW113" s="20">
        <f>+AV113</f>
        <v>-1125</v>
      </c>
      <c r="AX113" s="20">
        <f>+AW113</f>
        <v>-1125</v>
      </c>
      <c r="AY113" s="20">
        <f>+AX113</f>
        <v>-1125</v>
      </c>
      <c r="AZ113" s="20">
        <f>+AY113</f>
        <v>-1125</v>
      </c>
      <c r="BA113" s="20">
        <f>+AZ113</f>
        <v>-1125</v>
      </c>
      <c r="BB113" s="20">
        <f>+BA113</f>
        <v>-1125</v>
      </c>
      <c r="BC113" s="20">
        <f>+BB113</f>
        <v>-1125</v>
      </c>
      <c r="BD113" s="20">
        <f>+BC113</f>
        <v>-1125</v>
      </c>
      <c r="BE113" s="20">
        <f>+BD113</f>
        <v>-1125</v>
      </c>
      <c r="BF113" s="20">
        <f>+BE113</f>
        <v>-1125</v>
      </c>
      <c r="BG113" s="20">
        <f>+BF113</f>
        <v>-1125</v>
      </c>
      <c r="BH113" s="20">
        <f>+BG113</f>
        <v>-1125</v>
      </c>
      <c r="BI113" s="20">
        <f>+BH113</f>
        <v>-1125</v>
      </c>
      <c r="BJ113" s="20">
        <f>+BI113</f>
        <v>-1125</v>
      </c>
      <c r="BK113" s="20">
        <f>+BJ113</f>
        <v>-1125</v>
      </c>
      <c r="BL113" s="20">
        <f>+BK113</f>
        <v>-1125</v>
      </c>
      <c r="BM113" s="20">
        <f>+BL113</f>
        <v>-1125</v>
      </c>
      <c r="BN113" s="20">
        <f>+BM113</f>
        <v>-1125</v>
      </c>
      <c r="BO113" s="20">
        <f>+BN113</f>
        <v>-1125</v>
      </c>
      <c r="BP113" s="20">
        <f>+BO113</f>
        <v>-1125</v>
      </c>
      <c r="BQ113" s="20">
        <f>+BP113</f>
        <v>-1125</v>
      </c>
    </row>
    <row r="115">
      <c r="C115" s="2" t="inlineStr">
        <is>
          <t>EBT</t>
        </is>
      </c>
      <c r="D115" s="15">
        <f>+SUMIFS($J115:$BQ115,$J$7:$BQ$7,D$8)</f>
        <v>2214000</v>
      </c>
      <c r="E115" s="15">
        <f>+SUMIFS($J115:$BQ115,$J$7:$BQ$7,E$8)</f>
        <v>2529000</v>
      </c>
      <c r="F115" s="15">
        <f>+SUMIFS($J115:$BQ115,$J$7:$BQ$7,F$8)</f>
        <v>3001670.37286711</v>
      </c>
      <c r="G115" s="15">
        <f>+SUMIFS($J115:$BQ115,$J$7:$BQ$7,G$8)</f>
        <v>3041521.66447381</v>
      </c>
      <c r="H115" s="15">
        <f>+SUMIFS($J115:$BQ115,$J$7:$BQ$7,H$8)</f>
        <v>4237408.1218353</v>
      </c>
      <c r="J115" s="15">
        <f>+J105-SUM(J110:J113)</f>
        <v>195900</v>
      </c>
      <c r="K115" s="15">
        <f>+K105-SUM(K110:K113)</f>
        <v>126600</v>
      </c>
      <c r="L115" s="15">
        <f>+L105-SUM(L110:L113)</f>
        <v>178700</v>
      </c>
      <c r="M115" s="15">
        <f>+M105-SUM(M110:M113)</f>
        <v>159600</v>
      </c>
      <c r="N115" s="15">
        <f>+N105-SUM(N110:N113)</f>
        <v>255400</v>
      </c>
      <c r="O115" s="15">
        <f>+O105-SUM(O110:O113)</f>
        <v>121700</v>
      </c>
      <c r="P115" s="15">
        <f>+P105-SUM(P110:P113)</f>
        <v>187200</v>
      </c>
      <c r="Q115" s="15">
        <f>+Q105-SUM(Q110:Q113)</f>
        <v>203100</v>
      </c>
      <c r="R115" s="15">
        <f>+R105-SUM(R110:R113)</f>
        <v>153300</v>
      </c>
      <c r="S115" s="15">
        <f>+S105-SUM(S110:S113)</f>
        <v>288200</v>
      </c>
      <c r="T115" s="15">
        <f>+T105-SUM(T110:T113)</f>
        <v>188800</v>
      </c>
      <c r="U115" s="15">
        <f>+U105-SUM(U110:U113)</f>
        <v>155500</v>
      </c>
      <c r="V115" s="15">
        <f>+V105-SUM(V110:V113)</f>
        <v>241100</v>
      </c>
      <c r="W115" s="15">
        <f>+W105-SUM(W110:W113)</f>
        <v>80500</v>
      </c>
      <c r="X115" s="15">
        <f>+X105-SUM(X110:X113)</f>
        <v>181800</v>
      </c>
      <c r="Y115" s="15">
        <f>+Y105-SUM(Y110:Y113)</f>
        <v>238100</v>
      </c>
      <c r="Z115" s="15">
        <f>+Z105-SUM(Z110:Z113)</f>
        <v>257000</v>
      </c>
      <c r="AA115" s="15">
        <f>+AA105-SUM(AA110:AA113)</f>
        <v>145600</v>
      </c>
      <c r="AB115" s="15">
        <f>+AB105-SUM(AB110:AB113)</f>
        <v>253200</v>
      </c>
      <c r="AC115" s="15">
        <f>+AC105-SUM(AC110:AC113)</f>
        <v>219700</v>
      </c>
      <c r="AD115" s="15">
        <f>+AD105-SUM(AD110:AD113)</f>
        <v>204900</v>
      </c>
      <c r="AE115" s="15">
        <f>+AE105-SUM(AE110:AE113)</f>
        <v>327700</v>
      </c>
      <c r="AF115" s="15">
        <f>+AF105-SUM(AF110:AF113)</f>
        <v>173900</v>
      </c>
      <c r="AG115" s="15">
        <f>+AG105-SUM(AG110:AG113)</f>
        <v>205500</v>
      </c>
      <c r="AH115" s="15">
        <f>+AH105-SUM(AH110:AH113)</f>
        <v>224000</v>
      </c>
      <c r="AI115" s="15">
        <f>+AI105-SUM(AI110:AI113)</f>
        <v>121000</v>
      </c>
      <c r="AJ115" s="15">
        <f>+AJ105-SUM(AJ110:AJ113)</f>
        <v>246400</v>
      </c>
      <c r="AK115" s="15">
        <f>+AK105-SUM(AK110:AK113)</f>
        <v>272500</v>
      </c>
      <c r="AL115" s="15">
        <f>+AL105-SUM(AL110:AL113)</f>
        <v>247700</v>
      </c>
      <c r="AM115" s="15">
        <f>+AM105-SUM(AM110:AM113)</f>
        <v>212800</v>
      </c>
      <c r="AN115" s="15">
        <f>+AN105-SUM(AN110:AN113)</f>
        <v>289300</v>
      </c>
      <c r="AO115" s="15">
        <f>+AO105-SUM(AO110:AO113)</f>
        <v>237000</v>
      </c>
      <c r="AP115" s="15">
        <f>+AP105-SUM(AP110:AP113)</f>
        <v>310062.14</v>
      </c>
      <c r="AQ115" s="15">
        <f>+AQ105-SUM(AQ110:AQ113)</f>
        <v>357294.31</v>
      </c>
      <c r="AR115" s="15">
        <f>+AR105-SUM(AR110:AR113)</f>
        <v>217079.99</v>
      </c>
      <c r="AS115" s="15">
        <f>+AS105-SUM(AS110:AS113)</f>
        <v>266533.932867112</v>
      </c>
      <c r="AT115" s="15">
        <f>+AT105-SUM(AT110:AT113)</f>
        <v>185572.871815994</v>
      </c>
      <c r="AU115" s="15">
        <f>+AU105-SUM(AU110:AU113)</f>
        <v>124267.260159967</v>
      </c>
      <c r="AV115" s="15">
        <f>+AV105-SUM(AV110:AV113)</f>
        <v>245108.773992987</v>
      </c>
      <c r="AW115" s="15">
        <f>+AW105-SUM(AW110:AW113)</f>
        <v>260247.719582212</v>
      </c>
      <c r="AX115" s="15">
        <f>+AX105-SUM(AX110:AX113)</f>
        <v>188820.899194928</v>
      </c>
      <c r="AY115" s="15">
        <f>+AY105-SUM(AY110:AY113)</f>
        <v>243139.304000608</v>
      </c>
      <c r="AZ115" s="15">
        <f>+AZ105-SUM(AZ110:AZ113)</f>
        <v>259042.94154395</v>
      </c>
      <c r="BA115" s="15">
        <f>+BA105-SUM(BA110:BA113)</f>
        <v>274943.992143127</v>
      </c>
      <c r="BB115" s="15">
        <f>+BB105-SUM(BB110:BB113)</f>
        <v>295746.417304835</v>
      </c>
      <c r="BC115" s="15">
        <f>+BC105-SUM(BC110:BC113)</f>
        <v>306772.853158867</v>
      </c>
      <c r="BD115" s="15">
        <f>+BD105-SUM(BD110:BD113)</f>
        <v>274684.002014826</v>
      </c>
      <c r="BE115" s="15">
        <f>+BE105-SUM(BE110:BE113)</f>
        <v>383174.629561512</v>
      </c>
      <c r="BF115" s="15">
        <f>+BF105-SUM(BF110:BF113)</f>
        <v>337749.851807631</v>
      </c>
      <c r="BG115" s="15">
        <f>+BG105-SUM(BG110:BG113)</f>
        <v>347303.361151378</v>
      </c>
      <c r="BH115" s="15">
        <f>+BH105-SUM(BH110:BH113)</f>
        <v>447032.799048399</v>
      </c>
      <c r="BI115" s="15">
        <f>+BI105-SUM(BI110:BI113)</f>
        <v>295535.787529459</v>
      </c>
      <c r="BJ115" s="15">
        <f>+BJ105-SUM(BJ110:BJ113)</f>
        <v>345015.137742444</v>
      </c>
      <c r="BK115" s="15">
        <f>+BK105-SUM(BK110:BK113)</f>
        <v>390325.142362108</v>
      </c>
      <c r="BL115" s="15">
        <f>+BL105-SUM(BL110:BL113)</f>
        <v>289064.851859259</v>
      </c>
      <c r="BM115" s="15">
        <f>+BM105-SUM(BM110:BM113)</f>
        <v>439025.652788252</v>
      </c>
      <c r="BN115" s="15">
        <f>+BN105-SUM(BN110:BN113)</f>
        <v>337759.957419495</v>
      </c>
      <c r="BO115" s="15">
        <f>+BO105-SUM(BO110:BO113)</f>
        <v>336981.061079268</v>
      </c>
      <c r="BP115" s="15">
        <f>+BP105-SUM(BP110:BP113)</f>
        <v>336199.43860185</v>
      </c>
      <c r="BQ115" s="15">
        <f>+BQ105-SUM(BQ110:BQ113)</f>
        <v>335415.080445761</v>
      </c>
    </row>
    <row r="117">
      <c r="C117" s="4" t="inlineStr">
        <is>
          <t>check</t>
        </is>
      </c>
      <c r="D117" s="23">
        <f>+D105-SUM('QoE PF Adj. P&amp;L Aug-26'!D108:O108)*1000</f>
        <v>0</v>
      </c>
      <c r="E117" s="23">
        <f>+E105-SUM('QoE PF Adj. P&amp;L Aug-26'!P108:AA108)*1000</f>
        <v>0</v>
      </c>
      <c r="J117" s="23">
        <f>+J105-'QoE PF Adj. P&amp;L Aug-26'!D108*1000</f>
        <v>0</v>
      </c>
      <c r="K117" s="23">
        <f>+K105-'QoE PF Adj. P&amp;L Aug-26'!E108*1000</f>
        <v>0</v>
      </c>
      <c r="L117" s="23">
        <f>+L105-'QoE PF Adj. P&amp;L Aug-26'!F108*1000</f>
        <v>0</v>
      </c>
      <c r="M117" s="23">
        <f>+M105-'QoE PF Adj. P&amp;L Aug-26'!G108*1000</f>
        <v>0</v>
      </c>
      <c r="N117" s="23">
        <f>+N105-'QoE PF Adj. P&amp;L Aug-26'!H108*1000</f>
        <v>0</v>
      </c>
      <c r="O117" s="23">
        <f>+O105-'QoE PF Adj. P&amp;L Aug-26'!I108*1000</f>
        <v>0</v>
      </c>
      <c r="P117" s="23">
        <f>+P105-'QoE PF Adj. P&amp;L Aug-26'!J108*1000</f>
        <v>0</v>
      </c>
      <c r="Q117" s="23">
        <f>+Q105-'QoE PF Adj. P&amp;L Aug-26'!K108*1000</f>
        <v>0</v>
      </c>
      <c r="R117" s="23">
        <f>+R105-'QoE PF Adj. P&amp;L Aug-26'!L108*1000</f>
        <v>0</v>
      </c>
      <c r="S117" s="23">
        <f>+S105-'QoE PF Adj. P&amp;L Aug-26'!M108*1000</f>
        <v>0</v>
      </c>
      <c r="T117" s="23">
        <f>+T105-'QoE PF Adj. P&amp;L Aug-26'!N108*1000</f>
        <v>0</v>
      </c>
      <c r="U117" s="23">
        <f>+U105-'QoE PF Adj. P&amp;L Aug-26'!O108*1000</f>
        <v>0</v>
      </c>
      <c r="V117" s="23">
        <f>+V105-'QoE PF Adj. P&amp;L Aug-26'!P108*1000</f>
        <v>0</v>
      </c>
      <c r="W117" s="23">
        <f>+W105-'QoE PF Adj. P&amp;L Aug-26'!Q108*1000</f>
        <v>0</v>
      </c>
      <c r="X117" s="23">
        <f>+X105-'QoE PF Adj. P&amp;L Aug-26'!R108*1000</f>
        <v>0</v>
      </c>
      <c r="Y117" s="23">
        <f>+Y105-'QoE PF Adj. P&amp;L Aug-26'!S108*1000</f>
        <v>0</v>
      </c>
      <c r="Z117" s="23">
        <f>+Z105-'QoE PF Adj. P&amp;L Aug-26'!T108*1000</f>
        <v>0</v>
      </c>
      <c r="AA117" s="23">
        <f>+AA105-'QoE PF Adj. P&amp;L Aug-26'!U108*1000</f>
        <v>0</v>
      </c>
      <c r="AB117" s="23">
        <f>+AB105-'QoE PF Adj. P&amp;L Aug-26'!V108*1000</f>
        <v>0</v>
      </c>
      <c r="AC117" s="23">
        <f>+AC105-'QoE PF Adj. P&amp;L Aug-26'!W108*1000</f>
        <v>0</v>
      </c>
      <c r="AD117" s="23">
        <f>+AD105-'QoE PF Adj. P&amp;L Aug-26'!X108*1000</f>
        <v>0</v>
      </c>
      <c r="AE117" s="23">
        <f>+AE105-'QoE PF Adj. P&amp;L Aug-26'!Y108*1000</f>
        <v>0</v>
      </c>
      <c r="AF117" s="23">
        <f>+AF105-'QoE PF Adj. P&amp;L Aug-26'!Z108*1000</f>
        <v>0</v>
      </c>
      <c r="AG117" s="23">
        <f>+AG105-'QoE PF Adj. P&amp;L Aug-26'!AA108*1000</f>
        <v>0</v>
      </c>
      <c r="AH117" s="23">
        <f>+AH105-'QoE PF Adj. P&amp;L Aug-26'!AB108*1000</f>
        <v>0</v>
      </c>
      <c r="AI117" s="23">
        <f>+AI105-'QoE PF Adj. P&amp;L Aug-26'!AC108*1000</f>
        <v>0</v>
      </c>
      <c r="AJ117" s="23">
        <f>+AJ105-'QoE PF Adj. P&amp;L Aug-26'!AD108*1000</f>
        <v>0</v>
      </c>
      <c r="AK117" s="23">
        <f>+AK105-'QoE PF Adj. P&amp;L Aug-26'!AE108*1000</f>
        <v>0</v>
      </c>
      <c r="AL117" s="23">
        <f>+AL105-'QoE PF Adj. P&amp;L Aug-26'!AF108*1000</f>
        <v>0</v>
      </c>
      <c r="AM117" s="23">
        <f>+AM105-'QoE PF Adj. P&amp;L Aug-26'!AG108*1000</f>
        <v>0</v>
      </c>
      <c r="AN117" s="23">
        <f>+AN105-'QoE PF Adj. P&amp;L Aug-26'!AH108*1000</f>
        <v>0</v>
      </c>
      <c r="AO117" s="23">
        <f>+AO105-'QoE PF Adj. P&amp;L Aug-26'!AI108*1000</f>
        <v>0</v>
      </c>
    </row>
    <row r="120">
      <c r="A120" s="9" t="inlineStr">
        <is>
          <t>Assumptions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</row>
    <row r="121">
      <c r="C121" s="3" t="inlineStr">
        <is>
          <t>Monthly inflation – fixed cost lines (applied from Jan-27)</t>
        </is>
      </c>
      <c r="D121" s="24" t="n">
        <v>0.0035</v>
      </c>
      <c r="E121" s="4" t="inlineStr">
        <is>
          <t>&lt;-- hardcoded input</t>
        </is>
      </c>
    </row>
    <row r="122">
      <c r="C122" s="2" t="inlineStr">
        <is>
          <t>Employee Salaries &amp; Wages</t>
        </is>
      </c>
    </row>
    <row r="123">
      <c r="C123" s="3" t="inlineStr">
        <is>
          <t>Salaries &amp; Wages</t>
        </is>
      </c>
      <c r="D123" s="4" t="inlineStr">
        <is>
          <t>% of revenue (link to build)</t>
        </is>
      </c>
      <c r="J123" s="11">
        <f>+IFERROR(J15/J$10,)</f>
        <v>0.261985654964137</v>
      </c>
      <c r="K123" s="11">
        <f>+IFERROR(K15/K$10,)</f>
        <v>0.284296311775154</v>
      </c>
      <c r="L123" s="11">
        <f>+IFERROR(L15/L$10,)</f>
        <v>0.264027342637425</v>
      </c>
      <c r="M123" s="11">
        <f>+IFERROR(M15/M$10,)</f>
        <v>0.273738655216161</v>
      </c>
      <c r="N123" s="11">
        <f>+IFERROR(N15/N$10,)</f>
        <v>0.237880496054115</v>
      </c>
      <c r="O123" s="11">
        <f>+IFERROR(O15/O$10,)</f>
        <v>0.283775447254781</v>
      </c>
      <c r="P123" s="11">
        <f>+IFERROR(P15/P$10,)</f>
        <v>0.258779692594318</v>
      </c>
      <c r="Q123" s="11">
        <f>+IFERROR(Q15/Q$10,)</f>
        <v>0.251685802806634</v>
      </c>
      <c r="R123" s="11">
        <f>+IFERROR(R15/R$10,)</f>
        <v>0.274430529533577</v>
      </c>
      <c r="S123" s="11">
        <f>+IFERROR(S15/S$10,)</f>
        <v>0.224541584806811</v>
      </c>
      <c r="T123" s="11">
        <f>+IFERROR(T15/T$10,)</f>
        <v>0.259973654497554</v>
      </c>
      <c r="U123" s="11">
        <f>+IFERROR(U15/U$10,)</f>
        <v>0.270130124253987</v>
      </c>
      <c r="V123" s="11">
        <f>+IFERROR(V15/V$10,)</f>
        <v>0.249114317808693</v>
      </c>
      <c r="W123" s="11">
        <f>+IFERROR(W15/W$10,)</f>
        <v>0.304905180633542</v>
      </c>
      <c r="X123" s="11">
        <f>+IFERROR(X15/X$10,)</f>
        <v>0.262686015343377</v>
      </c>
      <c r="Y123" s="11">
        <f>+IFERROR(Y15/Y$10,)</f>
        <v>0.243958671334643</v>
      </c>
      <c r="Z123" s="11">
        <f>+IFERROR(Z15/Z$10,)</f>
        <v>0.243536625787206</v>
      </c>
      <c r="AA123" s="11">
        <f>+IFERROR(AA15/AA$10,)</f>
        <v>0.278282255013243</v>
      </c>
      <c r="AB123" s="11">
        <f>+IFERROR(AB15/AB$10,)</f>
        <v>0.243149267323454</v>
      </c>
      <c r="AC123" s="11">
        <f>+IFERROR(AC15/AC$10,)</f>
        <v>0.250977326035966</v>
      </c>
      <c r="AD123" s="11">
        <f>+IFERROR(AD15/AD$10,)</f>
        <v>0.257770446258031</v>
      </c>
      <c r="AE123" s="11">
        <f>+IFERROR(AE15/AE$10,)</f>
        <v>0.223495702005731</v>
      </c>
      <c r="AF123" s="11">
        <f>+IFERROR(AF15/AF$10,)</f>
        <v>0.26578220995459</v>
      </c>
      <c r="AG123" s="11">
        <f>+IFERROR(AG15/AG$10,)</f>
        <v>0.255533881774235</v>
      </c>
      <c r="AH123" s="11">
        <f>+IFERROR(AH15/AH$10,)</f>
        <v>0.252653755773438</v>
      </c>
      <c r="AI123" s="11">
        <f>+IFERROR(AI15/AI$10,)</f>
        <v>0.290449276750647</v>
      </c>
      <c r="AJ123" s="11">
        <f>+IFERROR(AJ15/AJ$10,)</f>
        <v>0.24491443332257</v>
      </c>
      <c r="AK123" s="11">
        <f>+IFERROR(AK15/AK$10,)</f>
        <v>0.236366457218214</v>
      </c>
      <c r="AL123" s="11">
        <f>+IFERROR(AL15/AL$10,)</f>
        <v>0.25</v>
      </c>
      <c r="AM123" s="11">
        <f>+IFERROR(AM15/AM$10,)</f>
        <v>0.257491582491583</v>
      </c>
      <c r="AN123" s="11">
        <f>+IFERROR(AN15/AN$10,)</f>
        <v>0.236495337905525</v>
      </c>
      <c r="AO123" s="11">
        <f>+IFERROR(AO15/AO$10,)</f>
        <v>0.250202757502028</v>
      </c>
      <c r="AP123" s="11">
        <f>+IFERROR(AP15/AP$10,)</f>
        <v>0.23641786141246</v>
      </c>
      <c r="AQ123" s="11">
        <f>+IFERROR(AQ15/AQ$10,)</f>
        <v>0.225312078380502</v>
      </c>
      <c r="AR123" s="11">
        <f>+IFERROR(AR15/AR$10,)</f>
        <v>0.261779963075132</v>
      </c>
      <c r="AS123" s="11">
        <f>+IFERROR(AS15/AS$10,)</f>
        <v>0.252797691265969</v>
      </c>
      <c r="AT123" s="11">
        <f>+IFERROR(AT15/AT$10,)</f>
        <v>0.274163493237783</v>
      </c>
      <c r="AU123" s="11">
        <f>+IFERROR(AU15/AU$10,)</f>
        <v>0.303462630297332</v>
      </c>
      <c r="AV123" s="11">
        <f>+IFERROR(AV15/AV$10,)</f>
        <v>0.272895172970589</v>
      </c>
      <c r="AW123" s="11">
        <f>+IFERROR(AW15/AW$10,)</f>
        <v>0.26769660784418</v>
      </c>
      <c r="AX123" s="11">
        <f>+IFERROR(AX15/AX$10,)</f>
        <v>0.287719938612491</v>
      </c>
      <c r="AY123" s="11">
        <f>+IFERROR(AY15/AY$10,)</f>
        <v>0.272417326856381</v>
      </c>
      <c r="AZ123" s="11">
        <f>+IFERROR(AZ15/AZ$10,)</f>
        <v>0.26712391401252</v>
      </c>
      <c r="BA123" s="11">
        <f>+IFERROR(BA15/BA$10,)</f>
        <v>0.262032295449757</v>
      </c>
      <c r="BB123" s="11">
        <f>+IFERROR(BB15/BB$10,)</f>
        <v>0.255921839389438</v>
      </c>
      <c r="BC123" s="11">
        <f>+IFERROR(BC15/BC$10,)</f>
        <v>0.254216577228472</v>
      </c>
      <c r="BD123" s="11">
        <f>+IFERROR(BD15/BD$10,)</f>
        <v>0.261530484244981</v>
      </c>
      <c r="BE123" s="11">
        <f>+IFERROR(BE15/BE$10,)</f>
        <v>0.234588913442548</v>
      </c>
      <c r="BF123" s="11">
        <f>+IFERROR(BF15/BF$10,)</f>
        <v>0.247160381308951</v>
      </c>
      <c r="BG123" s="11">
        <f>+IFERROR(BG15/BG$10,)</f>
        <v>0.246036486247272</v>
      </c>
      <c r="BH123" s="11">
        <f>+IFERROR(BH15/BH$10,)</f>
        <v>0.225533445726666</v>
      </c>
      <c r="BI123" s="11">
        <f>+IFERROR(BI15/BI$10,)</f>
        <v>0.257752509401904</v>
      </c>
      <c r="BJ123" s="11">
        <f>+IFERROR(BJ15/BJ$10,)</f>
        <v>0.246036486247272</v>
      </c>
      <c r="BK123" s="11">
        <f>+IFERROR(BK15/BK$10,)</f>
        <v>0.235339247714781</v>
      </c>
      <c r="BL123" s="11">
        <f>+IFERROR(BL15/BL$10,)</f>
        <v>0.257752509401904</v>
      </c>
      <c r="BM123" s="11">
        <f>+IFERROR(BM15/BM$10,)</f>
        <v>0.225533445726666</v>
      </c>
      <c r="BN123" s="11">
        <f>+IFERROR(BN15/BN$10,)</f>
        <v>0.246036486247272</v>
      </c>
      <c r="BO123" s="11">
        <f>+IFERROR(BO15/BO$10,)</f>
        <v>0.246036486247272</v>
      </c>
      <c r="BP123" s="11">
        <f>+IFERROR(BP15/BP$10,)</f>
        <v>0.246036486247272</v>
      </c>
      <c r="BQ123" s="11">
        <f>+IFERROR(BQ15/BQ$10,)</f>
        <v>0.246036486247272</v>
      </c>
    </row>
    <row r="124">
      <c r="C124" s="3" t="inlineStr">
        <is>
          <t>Contract Labor</t>
        </is>
      </c>
      <c r="D124" s="4" t="inlineStr">
        <is>
          <t>% of revenue</t>
        </is>
      </c>
      <c r="J124" s="11">
        <f>+IFERROR(J16/J$10,)</f>
        <v>0.0146281615704039</v>
      </c>
      <c r="K124" s="11">
        <f>+IFERROR(K16/K$10,)</f>
        <v>0.0149409675060077</v>
      </c>
      <c r="L124" s="11">
        <f>+IFERROR(L16/L$10,)</f>
        <v>0.0143358967055919</v>
      </c>
      <c r="M124" s="11">
        <f>+IFERROR(M16/M$10,)</f>
        <v>0.0150287889138284</v>
      </c>
      <c r="N124" s="11">
        <f>+IFERROR(N16/N$10,)</f>
        <v>0.0143092533171451</v>
      </c>
      <c r="O124" s="11">
        <f>+IFERROR(O16/O$10,)</f>
        <v>0.0152169442730825</v>
      </c>
      <c r="P124" s="11">
        <f>+IFERROR(P16/P$10,)</f>
        <v>0.0146250582207732</v>
      </c>
      <c r="Q124" s="11">
        <f>+IFERROR(Q16/Q$10,)</f>
        <v>0.0154911609258247</v>
      </c>
      <c r="R124" s="11">
        <f>+IFERROR(R16/R$10,)</f>
        <v>0.0142983926634454</v>
      </c>
      <c r="S124" s="11">
        <f>+IFERROR(S16/S$10,)</f>
        <v>0.0156352324819908</v>
      </c>
      <c r="T124" s="11">
        <f>+IFERROR(T16/T$10,)</f>
        <v>0.0143959352653368</v>
      </c>
      <c r="U124" s="11">
        <f>+IFERROR(U16/U$10,)</f>
        <v>0.0143821543880247</v>
      </c>
      <c r="V124" s="11">
        <f>+IFERROR(V16/V$10,)</f>
        <v>0.0149485872288948</v>
      </c>
      <c r="W124" s="11">
        <f>+IFERROR(W16/W$10,)</f>
        <v>0.0154677402267189</v>
      </c>
      <c r="X124" s="11">
        <f>+IFERROR(X16/X$10,)</f>
        <v>0.0150660874387651</v>
      </c>
      <c r="Y124" s="11">
        <f>+IFERROR(Y16/Y$10,)</f>
        <v>0.0156263342156946</v>
      </c>
      <c r="Z124" s="11">
        <f>+IFERROR(Z16/Z$10,)</f>
        <v>0.014832615180643</v>
      </c>
      <c r="AA124" s="11">
        <f>+IFERROR(AA16/AA$10,)</f>
        <v>0.0146613696556943</v>
      </c>
      <c r="AB124" s="11">
        <f>+IFERROR(AB16/AB$10,)</f>
        <v>0.0151502607831774</v>
      </c>
      <c r="AC124" s="11">
        <f>+IFERROR(AC16/AC$10,)</f>
        <v>0.0143341151941621</v>
      </c>
      <c r="AD124" s="11">
        <f>+IFERROR(AD16/AD$10,)</f>
        <v>0.0156277131446432</v>
      </c>
      <c r="AE124" s="11">
        <f>+IFERROR(AE16/AE$10,)</f>
        <v>0.014402050972704</v>
      </c>
      <c r="AF124" s="11">
        <f>+IFERROR(AF16/AF$10,)</f>
        <v>0.0144243611432642</v>
      </c>
      <c r="AG124" s="11">
        <f>+IFERROR(AG16/AG$10,)</f>
        <v>0.0148418285132728</v>
      </c>
      <c r="AH124" s="11">
        <f>+IFERROR(AH16/AH$10,)</f>
        <v>0.0145855279150798</v>
      </c>
      <c r="AI124" s="11">
        <f>+IFERROR(AI16/AI$10,)</f>
        <v>0.0156145224638375</v>
      </c>
      <c r="AJ124" s="11">
        <f>+IFERROR(AJ16/AJ$10,)</f>
        <v>0.0146109137875363</v>
      </c>
      <c r="AK124" s="11">
        <f>+IFERROR(AK16/AK$10,)</f>
        <v>0.014661391668606</v>
      </c>
      <c r="AL124" s="11">
        <f>+IFERROR(AL16/AL$10,)</f>
        <v>0.0144985581544377</v>
      </c>
      <c r="AM124" s="11">
        <f>+IFERROR(AM16/AM$10,)</f>
        <v>0.0145622895622896</v>
      </c>
      <c r="AN124" s="11">
        <f>+IFERROR(AN16/AN$10,)</f>
        <v>0.0146412884333821</v>
      </c>
      <c r="AO124" s="11">
        <f>+IFERROR(AO16/AO$10,)</f>
        <v>0.0150040551500406</v>
      </c>
      <c r="AP124" s="11">
        <f>+IFERROR(AP16/AP$10,)</f>
        <v>0.0225915298960684</v>
      </c>
      <c r="AQ124" s="11">
        <f>+IFERROR(AQ16/AQ$10,)</f>
        <v>0.02164738499321</v>
      </c>
      <c r="AR124" s="11">
        <f>+IFERROR(AR16/AR$10,)</f>
        <v>0.0222230088618817</v>
      </c>
      <c r="AS124" s="25" t="n">
        <v>0.0149</v>
      </c>
      <c r="AT124" s="11">
        <f>+AS124</f>
        <v>0.0149</v>
      </c>
      <c r="AU124" s="11">
        <f>+AT124</f>
        <v>0.0149</v>
      </c>
      <c r="AV124" s="11">
        <f>+AU124</f>
        <v>0.0149</v>
      </c>
      <c r="AW124" s="11">
        <f>+AV124</f>
        <v>0.0149</v>
      </c>
      <c r="AX124" s="11">
        <f>+AW124</f>
        <v>0.0149</v>
      </c>
      <c r="AY124" s="11">
        <f>+AX124</f>
        <v>0.0149</v>
      </c>
      <c r="AZ124" s="11">
        <f>+AY124</f>
        <v>0.0149</v>
      </c>
      <c r="BA124" s="11">
        <f>+AZ124</f>
        <v>0.0149</v>
      </c>
      <c r="BB124" s="11">
        <f>+BA124</f>
        <v>0.0149</v>
      </c>
      <c r="BC124" s="11">
        <f>+BB124</f>
        <v>0.0149</v>
      </c>
      <c r="BD124" s="11">
        <f>+BC124</f>
        <v>0.0149</v>
      </c>
      <c r="BE124" s="11">
        <f>+BD124</f>
        <v>0.0149</v>
      </c>
      <c r="BF124" s="11">
        <f>+BE124</f>
        <v>0.0149</v>
      </c>
      <c r="BG124" s="11">
        <f>+BF124</f>
        <v>0.0149</v>
      </c>
      <c r="BH124" s="11">
        <f>+BG124</f>
        <v>0.0149</v>
      </c>
      <c r="BI124" s="11">
        <f>+BH124</f>
        <v>0.0149</v>
      </c>
      <c r="BJ124" s="11">
        <f>+BI124</f>
        <v>0.0149</v>
      </c>
      <c r="BK124" s="11">
        <f>+BJ124</f>
        <v>0.0149</v>
      </c>
      <c r="BL124" s="11">
        <f>+BK124</f>
        <v>0.0149</v>
      </c>
      <c r="BM124" s="11">
        <f>+BL124</f>
        <v>0.0149</v>
      </c>
      <c r="BN124" s="11">
        <f>+BM124</f>
        <v>0.0149</v>
      </c>
      <c r="BO124" s="11">
        <f>+BN124</f>
        <v>0.0149</v>
      </c>
      <c r="BP124" s="11">
        <f>+BO124</f>
        <v>0.0149</v>
      </c>
      <c r="BQ124" s="11">
        <f>+BP124</f>
        <v>0.0149</v>
      </c>
    </row>
    <row r="125">
      <c r="C125" s="3" t="inlineStr">
        <is>
          <t>Sales Rep Expense</t>
        </is>
      </c>
      <c r="D125" s="4" t="inlineStr">
        <is>
          <t>% of revenue (link to build)</t>
        </is>
      </c>
      <c r="J125" s="11">
        <f>+IFERROR(J17/J$10,)</f>
        <v>0.0487919969799925</v>
      </c>
      <c r="K125" s="11">
        <f>+IFERROR(K17/K$10,)</f>
        <v>0.0507783930623759</v>
      </c>
      <c r="L125" s="11">
        <f>+IFERROR(L17/L$10,)</f>
        <v>0.050412987752777</v>
      </c>
      <c r="M125" s="11">
        <f>+IFERROR(M17/M$10,)</f>
        <v>0.0510393285839758</v>
      </c>
      <c r="N125" s="11">
        <f>+IFERROR(N17/N$10,)</f>
        <v>0.0498655797415662</v>
      </c>
      <c r="O125" s="11">
        <f>+IFERROR(O17/O$10,)</f>
        <v>0.0516142298992391</v>
      </c>
      <c r="P125" s="11">
        <f>+IFERROR(P17/P$10,)</f>
        <v>0.0506753609687937</v>
      </c>
      <c r="Q125" s="11">
        <f>+IFERROR(Q17/Q$10,)</f>
        <v>0.05130308000729</v>
      </c>
      <c r="R125" s="11">
        <f>+IFERROR(R17/R$10,)</f>
        <v>0.0497978503106203</v>
      </c>
      <c r="S125" s="11">
        <f>+IFERROR(S17/S$10,)</f>
        <v>0.048215455140799</v>
      </c>
      <c r="T125" s="11">
        <f>+IFERROR(T17/T$10,)</f>
        <v>0.050150545728265</v>
      </c>
      <c r="U125" s="11">
        <f>+IFERROR(U17/U$10,)</f>
        <v>0.0487232169063692</v>
      </c>
      <c r="V125" s="11">
        <f>+IFERROR(V17/V$10,)</f>
        <v>0.0491661626198911</v>
      </c>
      <c r="W125" s="11">
        <f>+IFERROR(W17/W$10,)</f>
        <v>0.0494755800402585</v>
      </c>
      <c r="X125" s="11">
        <f>+IFERROR(X17/X$10,)</f>
        <v>0.0498197615306405</v>
      </c>
      <c r="Y125" s="11">
        <f>+IFERROR(Y17/Y$10,)</f>
        <v>0.0496968661941764</v>
      </c>
      <c r="Z125" s="11">
        <f>+IFERROR(Z17/Z$10,)</f>
        <v>0.0484753065959562</v>
      </c>
      <c r="AA125" s="11">
        <f>+IFERROR(AA17/AA$10,)</f>
        <v>0.0486189935679153</v>
      </c>
      <c r="AB125" s="11">
        <f>+IFERROR(AB17/AB$10,)</f>
        <v>0.0502525043463863</v>
      </c>
      <c r="AC125" s="11">
        <f>+IFERROR(AC17/AC$10,)</f>
        <v>0.0489966119364087</v>
      </c>
      <c r="AD125" s="11">
        <f>+IFERROR(AD17/AD$10,)</f>
        <v>0.0503559645771835</v>
      </c>
      <c r="AE125" s="11">
        <f>+IFERROR(AE17/AE$10,)</f>
        <v>0.0507464937415171</v>
      </c>
      <c r="AF125" s="11">
        <f>+IFERROR(AF17/AF$10,)</f>
        <v>0.049951028403526</v>
      </c>
      <c r="AG125" s="11">
        <f>+IFERROR(AG17/AG$10,)</f>
        <v>0.0513951318802477</v>
      </c>
      <c r="AH125" s="11">
        <f>+IFERROR(AH17/AH$10,)</f>
        <v>0.051697593387894</v>
      </c>
      <c r="AI125" s="11">
        <f>+IFERROR(AI17/AI$10,)</f>
        <v>0.0512501197432704</v>
      </c>
      <c r="AJ125" s="11">
        <f>+IFERROR(AJ17/AJ$10,)</f>
        <v>0.0500484339683565</v>
      </c>
      <c r="AK125" s="11">
        <f>+IFERROR(AK17/AK$10,)</f>
        <v>0.0504227755798619</v>
      </c>
      <c r="AL125" s="11">
        <f>+IFERROR(AL17/AL$10,)</f>
        <v>0.0487824415251522</v>
      </c>
      <c r="AM125" s="11">
        <f>+IFERROR(AM17/AM$10,)</f>
        <v>0.0508417508417508</v>
      </c>
      <c r="AN125" s="11">
        <f>+IFERROR(AN17/AN$10,)</f>
        <v>0.0511674501040302</v>
      </c>
      <c r="AO125" s="11">
        <f>+IFERROR(AO17/AO$10,)</f>
        <v>0.051338199513382</v>
      </c>
      <c r="AP125" s="11">
        <f>+IFERROR(AP17/AP$10,)</f>
        <v>0.0481992794564751</v>
      </c>
      <c r="AQ125" s="11">
        <f>+IFERROR(AQ17/AQ$10,)</f>
        <v>0.0496852577737266</v>
      </c>
      <c r="AR125" s="11">
        <f>+IFERROR(AR17/AR$10,)</f>
        <v>0.0504284545859028</v>
      </c>
      <c r="AS125" s="11">
        <f>+IFERROR(AS17/AS$10,)</f>
        <v>0.046211892503663</v>
      </c>
      <c r="AT125" s="11">
        <f>+IFERROR(AT17/AT$10,)</f>
        <v>0.0521331971306949</v>
      </c>
      <c r="AU125" s="11">
        <f>+IFERROR(AU17/AU$10,)</f>
        <v>0.0547409324771741</v>
      </c>
      <c r="AV125" s="11">
        <f>+IFERROR(AV17/AV$10,)</f>
        <v>0.0482791473726606</v>
      </c>
      <c r="AW125" s="11">
        <f>+IFERROR(AW17/AW$10,)</f>
        <v>0.0492644129522962</v>
      </c>
      <c r="AX125" s="11">
        <f>+IFERROR(AX17/AX$10,)</f>
        <v>0.0544626594995078</v>
      </c>
      <c r="AY125" s="11">
        <f>+IFERROR(AY17/AY$10,)</f>
        <v>0.0530382446040729</v>
      </c>
      <c r="AZ125" s="11">
        <f>+IFERROR(AZ17/AZ$10,)</f>
        <v>0.0538043811478295</v>
      </c>
      <c r="BA125" s="11">
        <f>+IFERROR(BA17/BA$10,)</f>
        <v>0.0545413112084284</v>
      </c>
      <c r="BB125" s="11">
        <f>+IFERROR(BB17/BB$10,)</f>
        <v>0.0549908252883285</v>
      </c>
      <c r="BC125" s="11">
        <f>+IFERROR(BC17/BC$10,)</f>
        <v>0.0556757327029783</v>
      </c>
      <c r="BD125" s="11">
        <f>+IFERROR(BD17/BD$10,)</f>
        <v>0.0583048686495591</v>
      </c>
      <c r="BE125" s="11">
        <f>+IFERROR(BE17/BE$10,)</f>
        <v>0.0552048419305236</v>
      </c>
      <c r="BF125" s="11">
        <f>+IFERROR(BF17/BF$10,)</f>
        <v>0.0587712444336517</v>
      </c>
      <c r="BG125" s="11">
        <f>+IFERROR(BG17/BG$10,)</f>
        <v>0.0594211787553377</v>
      </c>
      <c r="BH125" s="11">
        <f>+IFERROR(BH17/BH$10,)</f>
        <v>0.0560458240920583</v>
      </c>
      <c r="BI125" s="11">
        <f>+IFERROR(BI17/BI$10,)</f>
        <v>0.0613499528486402</v>
      </c>
      <c r="BJ125" s="11">
        <f>+IFERROR(BJ17/BJ$10,)</f>
        <v>0.0594211787553377</v>
      </c>
      <c r="BK125" s="11">
        <f>+IFERROR(BK17/BK$10,)</f>
        <v>0.0576601241484093</v>
      </c>
      <c r="BL125" s="11">
        <f>+IFERROR(BL17/BL$10,)</f>
        <v>0.0613499528486402</v>
      </c>
      <c r="BM125" s="11">
        <f>+IFERROR(BM17/BM$10,)</f>
        <v>0.0560458240920583</v>
      </c>
      <c r="BN125" s="11">
        <f>+IFERROR(BN17/BN$10,)</f>
        <v>0.0594211787553377</v>
      </c>
      <c r="BO125" s="11">
        <f>+IFERROR(BO17/BO$10,)</f>
        <v>0.0594211787553377</v>
      </c>
      <c r="BP125" s="11">
        <f>+IFERROR(BP17/BP$10,)</f>
        <v>0.0594211787553377</v>
      </c>
      <c r="BQ125" s="11">
        <f>+IFERROR(BQ17/BQ$10,)</f>
        <v>0.0594211787553377</v>
      </c>
    </row>
    <row r="126">
      <c r="C126" s="3" t="inlineStr">
        <is>
          <t>Other Personnel Costs</t>
        </is>
      </c>
      <c r="D126" s="4" t="inlineStr">
        <is>
          <t>$ / month (TTM avg, inflated)</t>
        </is>
      </c>
      <c r="J126" s="20">
        <f>+J18</f>
        <v>7100</v>
      </c>
      <c r="K126" s="20">
        <f>+K18</f>
        <v>7000</v>
      </c>
      <c r="L126" s="20">
        <f>+L18</f>
        <v>7700</v>
      </c>
      <c r="M126" s="20">
        <f>+M18</f>
        <v>7100</v>
      </c>
      <c r="N126" s="20">
        <f>+N18</f>
        <v>7000</v>
      </c>
      <c r="O126" s="20">
        <f>+O18</f>
        <v>7400</v>
      </c>
      <c r="P126" s="20">
        <f>+P18</f>
        <v>7400</v>
      </c>
      <c r="Q126" s="20">
        <f>+Q18</f>
        <v>7500</v>
      </c>
      <c r="R126" s="20">
        <f>+R18</f>
        <v>7300</v>
      </c>
      <c r="S126" s="20">
        <f>+S18</f>
        <v>7300</v>
      </c>
      <c r="T126" s="20">
        <f>+T18</f>
        <v>7900</v>
      </c>
      <c r="U126" s="20">
        <f>+U18</f>
        <v>7700</v>
      </c>
      <c r="V126" s="20">
        <f>+V18</f>
        <v>7800</v>
      </c>
      <c r="W126" s="20">
        <f>+W18</f>
        <v>7900</v>
      </c>
      <c r="X126" s="20">
        <f>+X18</f>
        <v>8300</v>
      </c>
      <c r="Y126" s="20">
        <f>+Y18</f>
        <v>8100</v>
      </c>
      <c r="Z126" s="20">
        <f>+Z18</f>
        <v>8500</v>
      </c>
      <c r="AA126" s="20">
        <f>+AA18</f>
        <v>7800</v>
      </c>
      <c r="AB126" s="20">
        <f>+AB18</f>
        <v>7900</v>
      </c>
      <c r="AC126" s="20">
        <f>+AC18</f>
        <v>7800</v>
      </c>
      <c r="AD126" s="20">
        <f>+AD18</f>
        <v>7700</v>
      </c>
      <c r="AE126" s="20">
        <f>+AE18</f>
        <v>7800</v>
      </c>
      <c r="AF126" s="20">
        <f>+AF18</f>
        <v>8000</v>
      </c>
      <c r="AG126" s="20">
        <f>+AG18</f>
        <v>8300</v>
      </c>
      <c r="AH126" s="20">
        <f>+AH18</f>
        <v>8900</v>
      </c>
      <c r="AI126" s="20">
        <f>+AI18</f>
        <v>8300</v>
      </c>
      <c r="AJ126" s="20">
        <f>+AJ18</f>
        <v>7900</v>
      </c>
      <c r="AK126" s="20">
        <f>+AK18</f>
        <v>8300</v>
      </c>
      <c r="AL126" s="20">
        <f>+AL18</f>
        <v>8100</v>
      </c>
      <c r="AM126" s="20">
        <f>+AM18</f>
        <v>8700</v>
      </c>
      <c r="AN126" s="20">
        <f>+AN18</f>
        <v>8900</v>
      </c>
      <c r="AO126" s="20">
        <f>+AO18</f>
        <v>9300</v>
      </c>
      <c r="AP126" s="20">
        <f>+AP18</f>
        <v>0</v>
      </c>
      <c r="AQ126" s="20">
        <f>+AQ18</f>
        <v>0</v>
      </c>
      <c r="AR126" s="20">
        <f>+AR18</f>
        <v>0</v>
      </c>
      <c r="AS126" s="20">
        <f>+AVERAGE(AG126:AR126)</f>
        <v>6391.66666666667</v>
      </c>
      <c r="AT126" s="20">
        <f>+AS126*(1+$D$121)</f>
        <v>6414.0375</v>
      </c>
      <c r="AU126" s="20">
        <f>+AT126*(1+$D$121)</f>
        <v>6436.48663125</v>
      </c>
      <c r="AV126" s="20">
        <f>+AU126*(1+$D$121)</f>
        <v>6459.01433445938</v>
      </c>
      <c r="AW126" s="20">
        <f>+AV126*(1+$D$121)</f>
        <v>6481.62088462998</v>
      </c>
      <c r="AX126" s="20">
        <f>+AW126*(1+$D$121)</f>
        <v>6504.30655772619</v>
      </c>
      <c r="AY126" s="20">
        <f>+AX126*(1+$D$121)</f>
        <v>6527.07163067823</v>
      </c>
      <c r="AZ126" s="20">
        <f>+AY126*(1+$D$121)</f>
        <v>6549.91638138561</v>
      </c>
      <c r="BA126" s="20">
        <f>+AZ126*(1+$D$121)</f>
        <v>6572.84108872046</v>
      </c>
      <c r="BB126" s="20">
        <f>+BA126*(1+$D$121)</f>
        <v>6595.84603253098</v>
      </c>
      <c r="BC126" s="20">
        <f>+BB126*(1+$D$121)</f>
        <v>6618.93149364484</v>
      </c>
      <c r="BD126" s="20">
        <f>+BC126*(1+$D$121)</f>
        <v>6642.09775387259</v>
      </c>
      <c r="BE126" s="20">
        <f>+BD126*(1+$D$121)</f>
        <v>6665.34509601115</v>
      </c>
      <c r="BF126" s="20">
        <f>+BE126*(1+$D$121)</f>
        <v>6688.67380384719</v>
      </c>
      <c r="BG126" s="20">
        <f>+BF126*(1+$D$121)</f>
        <v>6712.08416216065</v>
      </c>
      <c r="BH126" s="20">
        <f>+BG126*(1+$D$121)</f>
        <v>6735.57645672822</v>
      </c>
      <c r="BI126" s="20">
        <f>+BH126*(1+$D$121)</f>
        <v>6759.15097432676</v>
      </c>
      <c r="BJ126" s="20">
        <f>+BI126*(1+$D$121)</f>
        <v>6782.80800273691</v>
      </c>
      <c r="BK126" s="20">
        <f>+BJ126*(1+$D$121)</f>
        <v>6806.54783074649</v>
      </c>
      <c r="BL126" s="20">
        <f>+BK126*(1+$D$121)</f>
        <v>6830.3707481541</v>
      </c>
      <c r="BM126" s="20">
        <f>+BL126*(1+$D$121)</f>
        <v>6854.27704577264</v>
      </c>
      <c r="BN126" s="20">
        <f>+BM126*(1+$D$121)</f>
        <v>6878.26701543285</v>
      </c>
      <c r="BO126" s="20">
        <f>+BN126*(1+$D$121)</f>
        <v>6902.34094998686</v>
      </c>
      <c r="BP126" s="20">
        <f>+BO126*(1+$D$121)</f>
        <v>6926.49914331182</v>
      </c>
      <c r="BQ126" s="20">
        <f>+BP126*(1+$D$121)</f>
        <v>6950.74189031341</v>
      </c>
    </row>
    <row r="127">
      <c r="C127" s="4" t="inlineStr">
        <is>
          <t>Total Employee Salaries &amp; Wages</t>
        </is>
      </c>
    </row>
    <row r="129">
      <c r="C129" s="2" t="inlineStr">
        <is>
          <t>Employee Taxes &amp; Benefits</t>
        </is>
      </c>
    </row>
    <row r="130">
      <c r="C130" s="3" t="inlineStr">
        <is>
          <t>Payroll Taxes</t>
        </is>
      </c>
      <c r="D130" s="4" t="inlineStr">
        <is>
          <t>% of S&amp;W</t>
        </is>
      </c>
      <c r="J130" s="11">
        <f>+IFERROR((J22/J$19),)</f>
        <v>0.0642227905655016</v>
      </c>
      <c r="K130" s="11">
        <f>+IFERROR((K22/K$19),)</f>
        <v>0.0652046783625731</v>
      </c>
      <c r="L130" s="11">
        <f>+IFERROR((L22/L$19),)</f>
        <v>0.0621468926553672</v>
      </c>
      <c r="M130" s="11">
        <f>+IFERROR((M22/M$19),)</f>
        <v>0.0624824092316352</v>
      </c>
      <c r="N130" s="11">
        <f>+IFERROR((N22/N$19),)</f>
        <v>0.0599493385871095</v>
      </c>
      <c r="O130" s="11">
        <f>+IFERROR((O22/O$19),)</f>
        <v>0.0631458094144661</v>
      </c>
      <c r="P130" s="11">
        <f>+IFERROR((P22/P$19),)</f>
        <v>0.0633267661131438</v>
      </c>
      <c r="Q130" s="11">
        <f>+IFERROR((Q22/Q$19),)</f>
        <v>0.0607843137254902</v>
      </c>
      <c r="R130" s="11">
        <f>+IFERROR((R22/R$19),)</f>
        <v>0.0630347974900171</v>
      </c>
      <c r="S130" s="11">
        <f>+IFERROR((S22/S$19),)</f>
        <v>0.0628476084538376</v>
      </c>
      <c r="T130" s="11">
        <f>+IFERROR((T22/T$19),)</f>
        <v>0.0629251700680272</v>
      </c>
      <c r="U130" s="11">
        <f>+IFERROR((U22/U$19),)</f>
        <v>0.0645994832041344</v>
      </c>
      <c r="V130" s="11">
        <f>+IFERROR((V22/V$19),)</f>
        <v>0.0626519038617337</v>
      </c>
      <c r="W130" s="11">
        <f>+IFERROR((W22/W$19),)</f>
        <v>0.0630252100840336</v>
      </c>
      <c r="X130" s="11">
        <f>+IFERROR((X22/X$19),)</f>
        <v>0.0614833195478357</v>
      </c>
      <c r="Y130" s="11">
        <f>+IFERROR((Y22/Y$19),)</f>
        <v>0.0607615446934918</v>
      </c>
      <c r="Z130" s="11">
        <f>+IFERROR((Z22/Z$19),)</f>
        <v>0.060454065469905</v>
      </c>
      <c r="AA130" s="11">
        <f>+IFERROR((AA22/AA$19),)</f>
        <v>0.0653293575494714</v>
      </c>
      <c r="AB130" s="11">
        <f>+IFERROR((AB22/AB$19),)</f>
        <v>0.0606936416184971</v>
      </c>
      <c r="AC130" s="11">
        <f>+IFERROR((AC22/AC$19),)</f>
        <v>0.0611471861471861</v>
      </c>
      <c r="AD130" s="11">
        <f>+IFERROR((AD22/AD$19),)</f>
        <v>0.0622700998423542</v>
      </c>
      <c r="AE130" s="11">
        <f>+IFERROR((AE22/AE$19),)</f>
        <v>0.0611879160266257</v>
      </c>
      <c r="AF130" s="11">
        <f>+IFERROR((AF22/AF$19),)</f>
        <v>0.0633579725448786</v>
      </c>
      <c r="AG130" s="11">
        <f>+IFERROR((AG22/AG$19),)</f>
        <v>0.0629352592210472</v>
      </c>
      <c r="AH130" s="11">
        <f>+IFERROR((AH22/AH$19),)</f>
        <v>0.0633540372670808</v>
      </c>
      <c r="AI130" s="11">
        <f>+IFERROR((AI22/AI$19),)</f>
        <v>0.0629425649095201</v>
      </c>
      <c r="AJ130" s="11">
        <f>+IFERROR((AJ22/AJ$19),)</f>
        <v>0.0615738375063873</v>
      </c>
      <c r="AK130" s="11">
        <f>+IFERROR((AK22/AK$19),)</f>
        <v>0.0602166792642983</v>
      </c>
      <c r="AL130" s="11">
        <f>+IFERROR((AL22/AL$19),)</f>
        <v>0.0641282565130261</v>
      </c>
      <c r="AM130" s="11">
        <f>+IFERROR((AM22/AM$19),)</f>
        <v>0.0614325771093551</v>
      </c>
      <c r="AN130" s="11">
        <f>+IFERROR((AN22/AN$19),)</f>
        <v>0.0613160518444666</v>
      </c>
      <c r="AO130" s="11">
        <f>+IFERROR((AO22/AO$19),)</f>
        <v>0.0615615615615616</v>
      </c>
      <c r="AP130" s="11">
        <f>+IFERROR((AP22/AP$19),)</f>
        <v>0.0677948271606354</v>
      </c>
      <c r="AQ130" s="11">
        <f>+IFERROR((AQ22/AQ$19),)</f>
        <v>0.0668458522021994</v>
      </c>
      <c r="AR130" s="11">
        <f>+IFERROR((AR22/AR$19),)</f>
        <v>0.0689573347792381</v>
      </c>
      <c r="AS130" s="11">
        <f>+AVERAGE(AG130:AR130)</f>
        <v>0.063588236611568</v>
      </c>
      <c r="AT130" s="11">
        <f>+AS130</f>
        <v>0.063588236611568</v>
      </c>
      <c r="AU130" s="11">
        <f>+AT130</f>
        <v>0.063588236611568</v>
      </c>
      <c r="AV130" s="11">
        <f>+AU130</f>
        <v>0.063588236611568</v>
      </c>
      <c r="AW130" s="11">
        <f>+AV130</f>
        <v>0.063588236611568</v>
      </c>
      <c r="AX130" s="11">
        <f>+AW130</f>
        <v>0.063588236611568</v>
      </c>
      <c r="AY130" s="11">
        <f>+AX130</f>
        <v>0.063588236611568</v>
      </c>
      <c r="AZ130" s="11">
        <f>+AY130</f>
        <v>0.063588236611568</v>
      </c>
      <c r="BA130" s="11">
        <f>+AZ130</f>
        <v>0.063588236611568</v>
      </c>
      <c r="BB130" s="11">
        <f>+BA130</f>
        <v>0.063588236611568</v>
      </c>
      <c r="BC130" s="11">
        <f>+BB130</f>
        <v>0.063588236611568</v>
      </c>
      <c r="BD130" s="11">
        <f>+BC130</f>
        <v>0.063588236611568</v>
      </c>
      <c r="BE130" s="11">
        <f>+BD130</f>
        <v>0.063588236611568</v>
      </c>
      <c r="BF130" s="11">
        <f>+BE130</f>
        <v>0.063588236611568</v>
      </c>
      <c r="BG130" s="11">
        <f>+BF130</f>
        <v>0.063588236611568</v>
      </c>
      <c r="BH130" s="11">
        <f>+BG130</f>
        <v>0.063588236611568</v>
      </c>
      <c r="BI130" s="11">
        <f>+BH130</f>
        <v>0.063588236611568</v>
      </c>
      <c r="BJ130" s="11">
        <f>+BI130</f>
        <v>0.063588236611568</v>
      </c>
      <c r="BK130" s="11">
        <f>+BJ130</f>
        <v>0.063588236611568</v>
      </c>
      <c r="BL130" s="11">
        <f>+BK130</f>
        <v>0.063588236611568</v>
      </c>
      <c r="BM130" s="11">
        <f>+BL130</f>
        <v>0.063588236611568</v>
      </c>
      <c r="BN130" s="11">
        <f>+BM130</f>
        <v>0.063588236611568</v>
      </c>
      <c r="BO130" s="11">
        <f>+BN130</f>
        <v>0.063588236611568</v>
      </c>
      <c r="BP130" s="11">
        <f>+BO130</f>
        <v>0.063588236611568</v>
      </c>
      <c r="BQ130" s="11">
        <f>+BP130</f>
        <v>0.063588236611568</v>
      </c>
    </row>
    <row r="131">
      <c r="C131" s="3" t="inlineStr">
        <is>
          <t>Employee Benefits</t>
        </is>
      </c>
      <c r="D131" s="4" t="inlineStr">
        <is>
          <t>% of S&amp;W</t>
        </is>
      </c>
      <c r="J131" s="11">
        <f>+IFERROR((J23/J$19),)</f>
        <v>0.048025007104291</v>
      </c>
      <c r="K131" s="11">
        <f>+IFERROR((K23/K$19),)</f>
        <v>0.0485380116959064</v>
      </c>
      <c r="L131" s="11">
        <f>+IFERROR((L23/L$19),)</f>
        <v>0.0463276836158192</v>
      </c>
      <c r="M131" s="11">
        <f>+IFERROR((M23/M$19),)</f>
        <v>0.0481283422459893</v>
      </c>
      <c r="N131" s="11">
        <f>+IFERROR((N23/N$19),)</f>
        <v>0.0455952716014636</v>
      </c>
      <c r="O131" s="11">
        <f>+IFERROR((O23/O$19),)</f>
        <v>0.0487944890929966</v>
      </c>
      <c r="P131" s="11">
        <f>+IFERROR((P23/P$19),)</f>
        <v>0.0464396284829721</v>
      </c>
      <c r="Q131" s="11">
        <f>+IFERROR((Q23/Q$19),)</f>
        <v>0.0467787114845938</v>
      </c>
      <c r="R131" s="11">
        <f>+IFERROR((R23/R$19),)</f>
        <v>0.047062179121506</v>
      </c>
      <c r="S131" s="11">
        <f>+IFERROR((S23/S$19),)</f>
        <v>0.0453281423804227</v>
      </c>
      <c r="T131" s="11">
        <f>+IFERROR((T23/T$19),)</f>
        <v>0.0470521541950113</v>
      </c>
      <c r="U131" s="11">
        <f>+IFERROR((U23/U$19),)</f>
        <v>0.0473729543496985</v>
      </c>
      <c r="V131" s="11">
        <f>+IFERROR((V23/V$19),)</f>
        <v>0.045638671347556</v>
      </c>
      <c r="W131" s="11">
        <f>+IFERROR((W23/W$19),)</f>
        <v>0.0470588235294118</v>
      </c>
      <c r="X131" s="11">
        <f>+IFERROR((X23/X$19),)</f>
        <v>0.047422111938241</v>
      </c>
      <c r="Y131" s="11">
        <f>+IFERROR((Y23/Y$19),)</f>
        <v>0.0464488252768026</v>
      </c>
      <c r="Z131" s="11">
        <f>+IFERROR((Z23/Z$19),)</f>
        <v>0.0477824709609293</v>
      </c>
      <c r="AA131" s="11">
        <f>+IFERROR((AA23/AA$19),)</f>
        <v>0.0479804825155869</v>
      </c>
      <c r="AB131" s="11">
        <f>+IFERROR((AB23/AB$19),)</f>
        <v>0.0465055176037835</v>
      </c>
      <c r="AC131" s="11">
        <f>+IFERROR((AC23/AC$19),)</f>
        <v>0.0476190476190476</v>
      </c>
      <c r="AD131" s="11">
        <f>+IFERROR((AD23/AD$19),)</f>
        <v>0.0454545454545455</v>
      </c>
      <c r="AE131" s="11">
        <f>+IFERROR((AE23/AE$19),)</f>
        <v>0.0453149001536098</v>
      </c>
      <c r="AF131" s="11">
        <f>+IFERROR((AF23/AF$19),)</f>
        <v>0.0483104540654699</v>
      </c>
      <c r="AG131" s="11">
        <f>+IFERROR((AG23/AG$19),)</f>
        <v>0.0464276502450348</v>
      </c>
      <c r="AH131" s="11">
        <f>+IFERROR((AH23/AH$19),)</f>
        <v>0.0452173913043478</v>
      </c>
      <c r="AI131" s="11">
        <f>+IFERROR((AI23/AI$19),)</f>
        <v>0.0472069236821401</v>
      </c>
      <c r="AJ131" s="11">
        <f>+IFERROR((AJ23/AJ$19),)</f>
        <v>0.0472662238119571</v>
      </c>
      <c r="AK131" s="11">
        <f>+IFERROR((AK23/AK$19),)</f>
        <v>0.0471151423532376</v>
      </c>
      <c r="AL131" s="11">
        <f>+IFERROR((AL23/AL$19),)</f>
        <v>0.0470941883767535</v>
      </c>
      <c r="AM131" s="11">
        <f>+IFERROR((AM23/AM$19),)</f>
        <v>0.0471577874075962</v>
      </c>
      <c r="AN131" s="11">
        <f>+IFERROR((AN23/AN$19),)</f>
        <v>0.0456131605184447</v>
      </c>
      <c r="AO131" s="11">
        <f>+IFERROR((AO23/AO$19),)</f>
        <v>0.0470470470470471</v>
      </c>
      <c r="AP131" s="11">
        <f>+IFERROR((AP23/AP$19),)</f>
        <v>0.0573925240123707</v>
      </c>
      <c r="AQ131" s="11">
        <f>+IFERROR((AQ23/AQ$19),)</f>
        <v>0.0563043881561175</v>
      </c>
      <c r="AR131" s="11">
        <f>+IFERROR((AR23/AR$19),)</f>
        <v>0.0587253897458173</v>
      </c>
      <c r="AS131" s="11">
        <f>+AVERAGE(AG131:AR131)</f>
        <v>0.0493806513884054</v>
      </c>
      <c r="AT131" s="11">
        <f>+AS131</f>
        <v>0.0493806513884054</v>
      </c>
      <c r="AU131" s="11">
        <f>+AT131</f>
        <v>0.0493806513884054</v>
      </c>
      <c r="AV131" s="11">
        <f>+AU131</f>
        <v>0.0493806513884054</v>
      </c>
      <c r="AW131" s="11">
        <f>+AV131</f>
        <v>0.0493806513884054</v>
      </c>
      <c r="AX131" s="11">
        <f>+AW131</f>
        <v>0.0493806513884054</v>
      </c>
      <c r="AY131" s="11">
        <f>+AX131</f>
        <v>0.0493806513884054</v>
      </c>
      <c r="AZ131" s="11">
        <f>+AY131</f>
        <v>0.0493806513884054</v>
      </c>
      <c r="BA131" s="11">
        <f>+AZ131</f>
        <v>0.0493806513884054</v>
      </c>
      <c r="BB131" s="11">
        <f>+BA131</f>
        <v>0.0493806513884054</v>
      </c>
      <c r="BC131" s="11">
        <f>+BB131</f>
        <v>0.0493806513884054</v>
      </c>
      <c r="BD131" s="11">
        <f>+BC131</f>
        <v>0.0493806513884054</v>
      </c>
      <c r="BE131" s="11">
        <f>+BD131</f>
        <v>0.0493806513884054</v>
      </c>
      <c r="BF131" s="11">
        <f>+BE131</f>
        <v>0.0493806513884054</v>
      </c>
      <c r="BG131" s="11">
        <f>+BF131</f>
        <v>0.0493806513884054</v>
      </c>
      <c r="BH131" s="11">
        <f>+BG131</f>
        <v>0.0493806513884054</v>
      </c>
      <c r="BI131" s="11">
        <f>+BH131</f>
        <v>0.0493806513884054</v>
      </c>
      <c r="BJ131" s="11">
        <f>+BI131</f>
        <v>0.0493806513884054</v>
      </c>
      <c r="BK131" s="11">
        <f>+BJ131</f>
        <v>0.0493806513884054</v>
      </c>
      <c r="BL131" s="11">
        <f>+BK131</f>
        <v>0.0493806513884054</v>
      </c>
      <c r="BM131" s="11">
        <f>+BL131</f>
        <v>0.0493806513884054</v>
      </c>
      <c r="BN131" s="11">
        <f>+BM131</f>
        <v>0.0493806513884054</v>
      </c>
      <c r="BO131" s="11">
        <f>+BN131</f>
        <v>0.0493806513884054</v>
      </c>
      <c r="BP131" s="11">
        <f>+BO131</f>
        <v>0.0493806513884054</v>
      </c>
      <c r="BQ131" s="11">
        <f>+BP131</f>
        <v>0.0493806513884054</v>
      </c>
    </row>
    <row r="132">
      <c r="C132" s="3" t="inlineStr">
        <is>
          <t>Pension Plans</t>
        </is>
      </c>
      <c r="D132" s="4" t="inlineStr">
        <is>
          <t>% of S&amp;W</t>
        </is>
      </c>
      <c r="J132" s="11">
        <f>+IFERROR((J24/J$19),)</f>
        <v>0.00795680591077011</v>
      </c>
      <c r="K132" s="11">
        <f>+IFERROR((K24/K$19),)</f>
        <v>0.00818713450292398</v>
      </c>
      <c r="L132" s="11">
        <f>+IFERROR((L24/L$19),)</f>
        <v>0.00790960451977401</v>
      </c>
      <c r="M132" s="11">
        <f>+IFERROR((M24/M$19),)</f>
        <v>0.00816211652124965</v>
      </c>
      <c r="N132" s="11">
        <f>+IFERROR((N24/N$19),)</f>
        <v>0.00759921193357726</v>
      </c>
      <c r="O132" s="11">
        <f>+IFERROR((O24/O$19),)</f>
        <v>0.00803673938002296</v>
      </c>
      <c r="P132" s="11">
        <f>+IFERROR((P24/P$19),)</f>
        <v>0.00788066422741345</v>
      </c>
      <c r="Q132" s="11">
        <f>+IFERROR((Q24/Q$19),)</f>
        <v>0.00784313725490196</v>
      </c>
      <c r="R132" s="11">
        <f>+IFERROR((R24/R$19),)</f>
        <v>0.00798630918425556</v>
      </c>
      <c r="S132" s="11">
        <f>+IFERROR((S24/S$19),)</f>
        <v>0.00778642936596218</v>
      </c>
      <c r="T132" s="11">
        <f>+IFERROR((T24/T$19),)</f>
        <v>0.00793650793650794</v>
      </c>
      <c r="U132" s="11">
        <f>+IFERROR((U24/U$19),)</f>
        <v>0.00803904679873672</v>
      </c>
      <c r="V132" s="11">
        <f>+IFERROR((V24/V$19),)</f>
        <v>0.00783148798271672</v>
      </c>
      <c r="W132" s="11">
        <f>+IFERROR((W24/W$19),)</f>
        <v>0.00784313725490196</v>
      </c>
      <c r="X132" s="11">
        <f>+IFERROR((X24/X$19),)</f>
        <v>0.00771987868762062</v>
      </c>
      <c r="Y132" s="11">
        <f>+IFERROR((Y24/Y$19),)</f>
        <v>0.00756143667296786</v>
      </c>
      <c r="Z132" s="11">
        <f>+IFERROR((Z24/Z$19),)</f>
        <v>0.00791974656810982</v>
      </c>
      <c r="AA132" s="11">
        <f>+IFERROR((AA24/AA$19),)</f>
        <v>0.00786120899972892</v>
      </c>
      <c r="AB132" s="11">
        <f>+IFERROR((AB24/AB$19),)</f>
        <v>0.00761954808197583</v>
      </c>
      <c r="AC132" s="11">
        <f>+IFERROR((AC24/AC$19),)</f>
        <v>0.00757575757575758</v>
      </c>
      <c r="AD132" s="11">
        <f>+IFERROR((AD24/AD$19),)</f>
        <v>0.00788229111928534</v>
      </c>
      <c r="AE132" s="11">
        <f>+IFERROR((AE24/AE$19),)</f>
        <v>0.00742447516641065</v>
      </c>
      <c r="AF132" s="11">
        <f>+IFERROR((AF24/AF$19),)</f>
        <v>0.00791974656810982</v>
      </c>
      <c r="AG132" s="11">
        <f>+IFERROR((AG24/AG$19),)</f>
        <v>0.0077379417075058</v>
      </c>
      <c r="AH132" s="11">
        <f>+IFERROR((AH24/AH$19),)</f>
        <v>0.00745341614906832</v>
      </c>
      <c r="AI132" s="11">
        <f>+IFERROR((AI24/AI$19),)</f>
        <v>0.00786782061369001</v>
      </c>
      <c r="AJ132" s="11">
        <f>+IFERROR((AJ24/AJ$19),)</f>
        <v>0.00792028615227389</v>
      </c>
      <c r="AK132" s="11">
        <f>+IFERROR((AK24/AK$19),)</f>
        <v>0.00781053162005543</v>
      </c>
      <c r="AL132" s="11">
        <f>+IFERROR((AL24/AL$19),)</f>
        <v>0.00776553106212425</v>
      </c>
      <c r="AM132" s="11">
        <f>+IFERROR((AM24/AM$19),)</f>
        <v>0.00764720876879939</v>
      </c>
      <c r="AN132" s="11">
        <f>+IFERROR((AN24/AN$19),)</f>
        <v>0.00772681954137587</v>
      </c>
      <c r="AO132" s="11">
        <f>+IFERROR((AO24/AO$19),)</f>
        <v>0.00775775775775776</v>
      </c>
      <c r="AP132" s="11">
        <f>+IFERROR((AP24/AP$19),)</f>
        <v>0</v>
      </c>
      <c r="AQ132" s="11">
        <f>+IFERROR((AQ24/AQ$19),)</f>
        <v>0</v>
      </c>
      <c r="AR132" s="11">
        <f>+IFERROR((AR24/AR$19),)</f>
        <v>0</v>
      </c>
      <c r="AS132" s="11">
        <f>+AVERAGE(AG132:AR132)</f>
        <v>0.00580727611438756</v>
      </c>
      <c r="AT132" s="11">
        <f>+AS132</f>
        <v>0.00580727611438756</v>
      </c>
      <c r="AU132" s="11">
        <f>+AT132</f>
        <v>0.00580727611438756</v>
      </c>
      <c r="AV132" s="11">
        <f>+AU132</f>
        <v>0.00580727611438756</v>
      </c>
      <c r="AW132" s="11">
        <f>+AV132</f>
        <v>0.00580727611438756</v>
      </c>
      <c r="AX132" s="11">
        <f>+AW132</f>
        <v>0.00580727611438756</v>
      </c>
      <c r="AY132" s="11">
        <f>+AX132</f>
        <v>0.00580727611438756</v>
      </c>
      <c r="AZ132" s="11">
        <f>+AY132</f>
        <v>0.00580727611438756</v>
      </c>
      <c r="BA132" s="11">
        <f>+AZ132</f>
        <v>0.00580727611438756</v>
      </c>
      <c r="BB132" s="11">
        <f>+BA132</f>
        <v>0.00580727611438756</v>
      </c>
      <c r="BC132" s="11">
        <f>+BB132</f>
        <v>0.00580727611438756</v>
      </c>
      <c r="BD132" s="11">
        <f>+BC132</f>
        <v>0.00580727611438756</v>
      </c>
      <c r="BE132" s="11">
        <f>+BD132</f>
        <v>0.00580727611438756</v>
      </c>
      <c r="BF132" s="11">
        <f>+BE132</f>
        <v>0.00580727611438756</v>
      </c>
      <c r="BG132" s="11">
        <f>+BF132</f>
        <v>0.00580727611438756</v>
      </c>
      <c r="BH132" s="11">
        <f>+BG132</f>
        <v>0.00580727611438756</v>
      </c>
      <c r="BI132" s="11">
        <f>+BH132</f>
        <v>0.00580727611438756</v>
      </c>
      <c r="BJ132" s="11">
        <f>+BI132</f>
        <v>0.00580727611438756</v>
      </c>
      <c r="BK132" s="11">
        <f>+BJ132</f>
        <v>0.00580727611438756</v>
      </c>
      <c r="BL132" s="11">
        <f>+BK132</f>
        <v>0.00580727611438756</v>
      </c>
      <c r="BM132" s="11">
        <f>+BL132</f>
        <v>0.00580727611438756</v>
      </c>
      <c r="BN132" s="11">
        <f>+BM132</f>
        <v>0.00580727611438756</v>
      </c>
      <c r="BO132" s="11">
        <f>+BN132</f>
        <v>0.00580727611438756</v>
      </c>
      <c r="BP132" s="11">
        <f>+BO132</f>
        <v>0.00580727611438756</v>
      </c>
      <c r="BQ132" s="11">
        <f>+BP132</f>
        <v>0.00580727611438756</v>
      </c>
    </row>
    <row r="133">
      <c r="C133" s="3" t="inlineStr">
        <is>
          <t>Other Personnel Expenses</t>
        </is>
      </c>
      <c r="D133" s="4" t="inlineStr">
        <is>
          <t>% of S&amp;W</t>
        </is>
      </c>
      <c r="J133" s="11">
        <f>+IFERROR((J25/J$19),)</f>
        <v>0.00255754475703325</v>
      </c>
      <c r="K133" s="11">
        <f>+IFERROR((K25/K$19),)</f>
        <v>0.00233918128654971</v>
      </c>
      <c r="L133" s="11">
        <f>+IFERROR((L25/L$19),)</f>
        <v>0.00225988700564972</v>
      </c>
      <c r="M133" s="11">
        <f>+IFERROR((M25/M$19),)</f>
        <v>0.00253307064452575</v>
      </c>
      <c r="N133" s="11">
        <f>+IFERROR((N25/N$19),)</f>
        <v>0.00225161835068956</v>
      </c>
      <c r="O133" s="11">
        <f>+IFERROR((O25/O$19),)</f>
        <v>0.00229621125143513</v>
      </c>
      <c r="P133" s="11">
        <f>+IFERROR((P25/P$19),)</f>
        <v>0.00225161835068956</v>
      </c>
      <c r="Q133" s="11">
        <f>+IFERROR((Q25/Q$19),)</f>
        <v>0.00224089635854342</v>
      </c>
      <c r="R133" s="11">
        <f>+IFERROR((R25/R$19),)</f>
        <v>0.00228180262407302</v>
      </c>
      <c r="S133" s="11">
        <f>+IFERROR((S25/S$19),)</f>
        <v>0.00222469410456062</v>
      </c>
      <c r="T133" s="11">
        <f>+IFERROR((T25/T$19),)</f>
        <v>0.00226757369614512</v>
      </c>
      <c r="U133" s="11">
        <f>+IFERROR((U25/U$19),)</f>
        <v>0.00229687051392478</v>
      </c>
      <c r="V133" s="11">
        <f>+IFERROR((V25/V$19),)</f>
        <v>0.00243046178773967</v>
      </c>
      <c r="W133" s="11">
        <f>+IFERROR((W25/W$19),)</f>
        <v>0.00252100840336134</v>
      </c>
      <c r="X133" s="11">
        <f>+IFERROR((X25/X$19),)</f>
        <v>0.00220567962503446</v>
      </c>
      <c r="Y133" s="11">
        <f>+IFERROR((Y25/Y$19),)</f>
        <v>0.00243046178773967</v>
      </c>
      <c r="Z133" s="11">
        <f>+IFERROR((Z25/Z$19),)</f>
        <v>0.00237592397043295</v>
      </c>
      <c r="AA133" s="11">
        <f>+IFERROR((AA25/AA$19),)</f>
        <v>0.00243968555164001</v>
      </c>
      <c r="AB133" s="11">
        <f>+IFERROR((AB25/AB$19),)</f>
        <v>0.0023646873357856</v>
      </c>
      <c r="AC133" s="11">
        <f>+IFERROR((AC25/AC$19),)</f>
        <v>0.00243506493506494</v>
      </c>
      <c r="AD133" s="11">
        <f>+IFERROR((AD25/AD$19),)</f>
        <v>0.0023646873357856</v>
      </c>
      <c r="AE133" s="11">
        <f>+IFERROR((AE25/AE$19),)</f>
        <v>0.00230414746543779</v>
      </c>
      <c r="AF133" s="11">
        <f>+IFERROR((AF25/AF$19),)</f>
        <v>0.00237592397043295</v>
      </c>
      <c r="AG133" s="11">
        <f>+IFERROR((AG25/AG$19),)</f>
        <v>0.00232138251225174</v>
      </c>
      <c r="AH133" s="11">
        <f>+IFERROR((AH25/AH$19),)</f>
        <v>0.0022360248447205</v>
      </c>
      <c r="AI133" s="11">
        <f>+IFERROR((AI25/AI$19),)</f>
        <v>0.002360346184107</v>
      </c>
      <c r="AJ133" s="11">
        <f>+IFERROR((AJ25/AJ$19),)</f>
        <v>0.00229943791517629</v>
      </c>
      <c r="AK133" s="11">
        <f>+IFERROR((AK25/AK$19),)</f>
        <v>0.00226757369614512</v>
      </c>
      <c r="AL133" s="11">
        <f>+IFERROR((AL25/AL$19),)</f>
        <v>0.00225450901803607</v>
      </c>
      <c r="AM133" s="11">
        <f>+IFERROR((AM25/AM$19),)</f>
        <v>0.00229416263063982</v>
      </c>
      <c r="AN133" s="11">
        <f>+IFERROR((AN25/AN$19),)</f>
        <v>0.00224327018943171</v>
      </c>
      <c r="AO133" s="11">
        <f>+IFERROR((AO25/AO$19),)</f>
        <v>0.00225225225225225</v>
      </c>
      <c r="AP133" s="11">
        <f>+IFERROR((AP25/AP$19),)</f>
        <v>0</v>
      </c>
      <c r="AQ133" s="11">
        <f>+IFERROR((AQ25/AQ$19),)</f>
        <v>0</v>
      </c>
      <c r="AR133" s="11">
        <f>+IFERROR((AR25/AR$19),)</f>
        <v>0</v>
      </c>
      <c r="AS133" s="11">
        <f>+AVERAGE(AG133:AR133)</f>
        <v>0.00171074660356338</v>
      </c>
      <c r="AT133" s="11">
        <f>+AS133</f>
        <v>0.00171074660356338</v>
      </c>
      <c r="AU133" s="11">
        <f>+AT133</f>
        <v>0.00171074660356338</v>
      </c>
      <c r="AV133" s="11">
        <f>+AU133</f>
        <v>0.00171074660356338</v>
      </c>
      <c r="AW133" s="11">
        <f>+AV133</f>
        <v>0.00171074660356338</v>
      </c>
      <c r="AX133" s="11">
        <f>+AW133</f>
        <v>0.00171074660356338</v>
      </c>
      <c r="AY133" s="11">
        <f>+AX133</f>
        <v>0.00171074660356338</v>
      </c>
      <c r="AZ133" s="11">
        <f>+AY133</f>
        <v>0.00171074660356338</v>
      </c>
      <c r="BA133" s="11">
        <f>+AZ133</f>
        <v>0.00171074660356338</v>
      </c>
      <c r="BB133" s="11">
        <f>+BA133</f>
        <v>0.00171074660356338</v>
      </c>
      <c r="BC133" s="11">
        <f>+BB133</f>
        <v>0.00171074660356338</v>
      </c>
      <c r="BD133" s="11">
        <f>+BC133</f>
        <v>0.00171074660356338</v>
      </c>
      <c r="BE133" s="11">
        <f>+BD133</f>
        <v>0.00171074660356338</v>
      </c>
      <c r="BF133" s="11">
        <f>+BE133</f>
        <v>0.00171074660356338</v>
      </c>
      <c r="BG133" s="11">
        <f>+BF133</f>
        <v>0.00171074660356338</v>
      </c>
      <c r="BH133" s="11">
        <f>+BG133</f>
        <v>0.00171074660356338</v>
      </c>
      <c r="BI133" s="11">
        <f>+BH133</f>
        <v>0.00171074660356338</v>
      </c>
      <c r="BJ133" s="11">
        <f>+BI133</f>
        <v>0.00171074660356338</v>
      </c>
      <c r="BK133" s="11">
        <f>+BJ133</f>
        <v>0.00171074660356338</v>
      </c>
      <c r="BL133" s="11">
        <f>+BK133</f>
        <v>0.00171074660356338</v>
      </c>
      <c r="BM133" s="11">
        <f>+BL133</f>
        <v>0.00171074660356338</v>
      </c>
      <c r="BN133" s="11">
        <f>+BM133</f>
        <v>0.00171074660356338</v>
      </c>
      <c r="BO133" s="11">
        <f>+BN133</f>
        <v>0.00171074660356338</v>
      </c>
      <c r="BP133" s="11">
        <f>+BO133</f>
        <v>0.00171074660356338</v>
      </c>
      <c r="BQ133" s="11">
        <f>+BP133</f>
        <v>0.00171074660356338</v>
      </c>
    </row>
    <row r="134">
      <c r="C134" s="3" t="inlineStr">
        <is>
          <t>Payroll Processing Fee</t>
        </is>
      </c>
      <c r="D134" s="4" t="inlineStr">
        <is>
          <t>% of S&amp;W + taxes &amp; benefits</t>
        </is>
      </c>
      <c r="J134" s="11">
        <f>+IFERROR((J26/SUM(J$19,J$22:J$25)),)</f>
        <v>0.00278410528980005</v>
      </c>
      <c r="K134" s="11">
        <f>+IFERROR((K26/SUM(K$19,K$22:K$25)),)</f>
        <v>0.00286085825747724</v>
      </c>
      <c r="L134" s="11">
        <f>+IFERROR((L26/SUM(L$19,L$22:L$25)),)</f>
        <v>0.00277777777777778</v>
      </c>
      <c r="M134" s="11">
        <f>+IFERROR((M26/SUM(M$19,M$22:M$25)),)</f>
        <v>0.00301204819277108</v>
      </c>
      <c r="N134" s="11">
        <f>+IFERROR((N26/SUM(N$19,N$22:N$25)),)</f>
        <v>0.00277567499369165</v>
      </c>
      <c r="O134" s="11">
        <f>+IFERROR((O26/SUM(O$19,O$22:O$25)),)</f>
        <v>0.00281329923273657</v>
      </c>
      <c r="P134" s="11">
        <f>+IFERROR((P26/SUM(P$19,P$22:P$25)),)</f>
        <v>0.00276451369690877</v>
      </c>
      <c r="Q134" s="11">
        <f>+IFERROR((Q26/SUM(Q$19,Q$22:Q$25)),)</f>
        <v>0.00275689223057644</v>
      </c>
      <c r="R134" s="11">
        <f>+IFERROR((R26/SUM(R$19,R$22:R$25)),)</f>
        <v>0.00280040733197556</v>
      </c>
      <c r="S134" s="11">
        <f>+IFERROR((S26/SUM(S$19,S$22:S$25)),)</f>
        <v>0.00273563790101965</v>
      </c>
      <c r="T134" s="11">
        <f>+IFERROR((T26/SUM(T$19,T$22:T$25)),)</f>
        <v>0.0027834008097166</v>
      </c>
      <c r="U134" s="11">
        <f>+IFERROR((U26/SUM(U$19,U$22:U$25)),)</f>
        <v>0.00281401893067281</v>
      </c>
      <c r="V134" s="11">
        <f>+IFERROR((V26/SUM(V$19,V$22:V$25)),)</f>
        <v>0.00289715113471753</v>
      </c>
      <c r="W134" s="11">
        <f>+IFERROR((W26/SUM(W$19,W$22:W$25)),)</f>
        <v>0.003</v>
      </c>
      <c r="X134" s="11">
        <f>+IFERROR((X26/SUM(X$19,X$22:X$25)),)</f>
        <v>0.00271069492360769</v>
      </c>
      <c r="Y134" s="11">
        <f>+IFERROR((Y26/SUM(Y$19,Y$22:Y$25)),)</f>
        <v>0.00265893159294175</v>
      </c>
      <c r="Z134" s="11">
        <f>+IFERROR((Z26/SUM(Z$19,Z$22:Z$25)),)</f>
        <v>0.00283219258909606</v>
      </c>
      <c r="AA134" s="11">
        <f>+IFERROR((AA26/SUM(AA$19,AA$22:AA$25)),)</f>
        <v>0.00289505428226779</v>
      </c>
      <c r="AB134" s="11">
        <f>+IFERROR((AB26/SUM(AB$19,AB$22:AB$25)),)</f>
        <v>0.00282220131702728</v>
      </c>
      <c r="AC134" s="11">
        <f>+IFERROR((AC26/SUM(AC$19,AC$22:AC$25)),)</f>
        <v>0.00266021765417171</v>
      </c>
      <c r="AD134" s="11">
        <f>+IFERROR((AD26/SUM(AD$19,AD$22:AD$25)),)</f>
        <v>0.00282021151586369</v>
      </c>
      <c r="AE134" s="11">
        <f>+IFERROR((AE26/SUM(AE$19,AE$22:AE$25)),)</f>
        <v>0.00275229357798165</v>
      </c>
      <c r="AF134" s="11">
        <f>+IFERROR((AF26/SUM(AF$19,AF$22:AF$25)),)</f>
        <v>0.00282352941176471</v>
      </c>
      <c r="AG134" s="11">
        <f>+IFERROR((AG26/SUM(AG$19,AG$22:AG$25)),)</f>
        <v>0.00276497695852535</v>
      </c>
      <c r="AH134" s="11">
        <f>+IFERROR((AH26/SUM(AH$19,AH$22:AH$25)),)</f>
        <v>0.00288824705620973</v>
      </c>
      <c r="AI134" s="11">
        <f>+IFERROR((AI26/SUM(AI$19,AI$22:AI$25)),)</f>
        <v>0.00280898876404494</v>
      </c>
      <c r="AJ134" s="11">
        <f>+IFERROR((AJ26/SUM(AJ$19,AJ$22:AJ$25)),)</f>
        <v>0.00273972602739726</v>
      </c>
      <c r="AK134" s="11">
        <f>+IFERROR((AK26/SUM(AK$19,AK$22:AK$25)),)</f>
        <v>0.00270574971815107</v>
      </c>
      <c r="AL134" s="11">
        <f>+IFERROR((AL26/SUM(AL$19,AL$22:AL$25)),)</f>
        <v>0.00268096514745308</v>
      </c>
      <c r="AM134" s="11">
        <f>+IFERROR((AM26/SUM(AM$19,AM$22:AM$25)),)</f>
        <v>0.00273473108477666</v>
      </c>
      <c r="AN134" s="11">
        <f>+IFERROR((AN26/SUM(AN$19,AN$22:AN$25)),)</f>
        <v>0.00267797366659228</v>
      </c>
      <c r="AO134" s="11">
        <f>+IFERROR((AO26/SUM(AO$19,AO$22:AO$25)),)</f>
        <v>0.00268456375838926</v>
      </c>
      <c r="AP134" s="11">
        <f>+IFERROR((AP26/SUM(AP$19,AP$22:AP$25)),)</f>
        <v>0.00327984474066103</v>
      </c>
      <c r="AQ134" s="11">
        <f>+IFERROR((AQ26/SUM(AQ$19,AQ$22:AQ$25)),)</f>
        <v>0.00322898341876903</v>
      </c>
      <c r="AR134" s="11">
        <f>+IFERROR((AR26/SUM(AR$19,AR$22:AR$25)),)</f>
        <v>0.0033323936402035</v>
      </c>
      <c r="AS134" s="11">
        <f>+AVERAGE(AG134:AR134)</f>
        <v>0.0028772619984311</v>
      </c>
      <c r="AT134" s="11">
        <f>+AS134</f>
        <v>0.0028772619984311</v>
      </c>
      <c r="AU134" s="11">
        <f>+AT134</f>
        <v>0.0028772619984311</v>
      </c>
      <c r="AV134" s="11">
        <f>+AU134</f>
        <v>0.0028772619984311</v>
      </c>
      <c r="AW134" s="11">
        <f>+AV134</f>
        <v>0.0028772619984311</v>
      </c>
      <c r="AX134" s="11">
        <f>+AW134</f>
        <v>0.0028772619984311</v>
      </c>
      <c r="AY134" s="11">
        <f>+AX134</f>
        <v>0.0028772619984311</v>
      </c>
      <c r="AZ134" s="11">
        <f>+AY134</f>
        <v>0.0028772619984311</v>
      </c>
      <c r="BA134" s="11">
        <f>+AZ134</f>
        <v>0.0028772619984311</v>
      </c>
      <c r="BB134" s="11">
        <f>+BA134</f>
        <v>0.0028772619984311</v>
      </c>
      <c r="BC134" s="11">
        <f>+BB134</f>
        <v>0.0028772619984311</v>
      </c>
      <c r="BD134" s="11">
        <f>+BC134</f>
        <v>0.0028772619984311</v>
      </c>
      <c r="BE134" s="11">
        <f>+BD134</f>
        <v>0.0028772619984311</v>
      </c>
      <c r="BF134" s="11">
        <f>+BE134</f>
        <v>0.0028772619984311</v>
      </c>
      <c r="BG134" s="11">
        <f>+BF134</f>
        <v>0.0028772619984311</v>
      </c>
      <c r="BH134" s="11">
        <f>+BG134</f>
        <v>0.0028772619984311</v>
      </c>
      <c r="BI134" s="11">
        <f>+BH134</f>
        <v>0.0028772619984311</v>
      </c>
      <c r="BJ134" s="11">
        <f>+BI134</f>
        <v>0.0028772619984311</v>
      </c>
      <c r="BK134" s="11">
        <f>+BJ134</f>
        <v>0.0028772619984311</v>
      </c>
      <c r="BL134" s="11">
        <f>+BK134</f>
        <v>0.0028772619984311</v>
      </c>
      <c r="BM134" s="11">
        <f>+BL134</f>
        <v>0.0028772619984311</v>
      </c>
      <c r="BN134" s="11">
        <f>+BM134</f>
        <v>0.0028772619984311</v>
      </c>
      <c r="BO134" s="11">
        <f>+BN134</f>
        <v>0.0028772619984311</v>
      </c>
      <c r="BP134" s="11">
        <f>+BO134</f>
        <v>0.0028772619984311</v>
      </c>
      <c r="BQ134" s="11">
        <f>+BP134</f>
        <v>0.0028772619984311</v>
      </c>
    </row>
    <row r="135">
      <c r="C135" s="4" t="inlineStr">
        <is>
          <t>Total Employee Taxes &amp; Benefits</t>
        </is>
      </c>
    </row>
    <row r="137">
      <c r="C137" s="2" t="inlineStr">
        <is>
          <t>Occupancy Costs</t>
        </is>
      </c>
    </row>
    <row r="138">
      <c r="C138" s="3" t="inlineStr">
        <is>
          <t>Facility Rent</t>
        </is>
      </c>
      <c r="D138" s="4" t="inlineStr">
        <is>
          <t>$ / month (TTM avg, inflated)</t>
        </is>
      </c>
      <c r="J138" s="20">
        <f>+J30</f>
        <v>38000</v>
      </c>
      <c r="K138" s="20">
        <f>+K30</f>
        <v>36300</v>
      </c>
      <c r="L138" s="20">
        <f>+L30</f>
        <v>39700</v>
      </c>
      <c r="M138" s="20">
        <f>+M30</f>
        <v>38800</v>
      </c>
      <c r="N138" s="20">
        <f>+N30</f>
        <v>40400</v>
      </c>
      <c r="O138" s="20">
        <f>+O30</f>
        <v>39000</v>
      </c>
      <c r="P138" s="20">
        <f>+P30</f>
        <v>38500</v>
      </c>
      <c r="Q138" s="20">
        <f>+Q30</f>
        <v>37700</v>
      </c>
      <c r="R138" s="20">
        <f>+R30</f>
        <v>37800</v>
      </c>
      <c r="S138" s="20">
        <f>+S30</f>
        <v>41200</v>
      </c>
      <c r="T138" s="20">
        <f>+T30</f>
        <v>39600</v>
      </c>
      <c r="U138" s="20">
        <f>+U30</f>
        <v>38000</v>
      </c>
      <c r="V138" s="20">
        <f>+V30</f>
        <v>38300</v>
      </c>
      <c r="W138" s="20">
        <f>+W30</f>
        <v>39600</v>
      </c>
      <c r="X138" s="20">
        <f>+X30</f>
        <v>41300</v>
      </c>
      <c r="Y138" s="20">
        <f>+Y30</f>
        <v>42300</v>
      </c>
      <c r="Z138" s="20">
        <f>+Z30</f>
        <v>42800</v>
      </c>
      <c r="AA138" s="20">
        <f>+AA30</f>
        <v>41400</v>
      </c>
      <c r="AB138" s="20">
        <f>+AB30</f>
        <v>44300</v>
      </c>
      <c r="AC138" s="20">
        <f>+AC30</f>
        <v>42500</v>
      </c>
      <c r="AD138" s="20">
        <f>+AD30</f>
        <v>44700</v>
      </c>
      <c r="AE138" s="20">
        <f>+AE30</f>
        <v>42400</v>
      </c>
      <c r="AF138" s="20">
        <f>+AF30</f>
        <v>43200</v>
      </c>
      <c r="AG138" s="20">
        <f>+AG30</f>
        <v>45000</v>
      </c>
      <c r="AH138" s="20">
        <f>+AH30</f>
        <v>45300</v>
      </c>
      <c r="AI138" s="20">
        <f>+AI30</f>
        <v>45300</v>
      </c>
      <c r="AJ138" s="20">
        <f>+AJ30</f>
        <v>46500</v>
      </c>
      <c r="AK138" s="20">
        <f>+AK30</f>
        <v>45700</v>
      </c>
      <c r="AL138" s="20">
        <f>+AL30</f>
        <v>41600</v>
      </c>
      <c r="AM138" s="20">
        <f>+AM30</f>
        <v>42200</v>
      </c>
      <c r="AN138" s="20">
        <f>+AN30</f>
        <v>44700</v>
      </c>
      <c r="AO138" s="20">
        <f>+AO30</f>
        <v>42300</v>
      </c>
      <c r="AP138" s="20">
        <f>+AP30</f>
        <v>43353.99</v>
      </c>
      <c r="AQ138" s="20">
        <f>+AQ30</f>
        <v>43742.9</v>
      </c>
      <c r="AR138" s="20">
        <f>+AR30</f>
        <v>45360.16</v>
      </c>
      <c r="AS138" s="20">
        <f>+AVERAGE(AG138:AR138)</f>
        <v>44254.7541666667</v>
      </c>
      <c r="AT138" s="20">
        <f>+AS138*(1+$D$121)</f>
        <v>44409.64580625</v>
      </c>
      <c r="AU138" s="20">
        <f>+AT138*(1+$D$121)</f>
        <v>44565.0795665719</v>
      </c>
      <c r="AV138" s="20">
        <f>+AU138*(1+$D$121)</f>
        <v>44721.0573450549</v>
      </c>
      <c r="AW138" s="20">
        <f>+AV138*(1+$D$121)</f>
        <v>44877.5810457626</v>
      </c>
      <c r="AX138" s="20">
        <f>+AW138*(1+$D$121)</f>
        <v>45034.6525794228</v>
      </c>
      <c r="AY138" s="20">
        <f>+AX138*(1+$D$121)</f>
        <v>45192.2738634508</v>
      </c>
      <c r="AZ138" s="20">
        <f>+AY138*(1+$D$121)</f>
        <v>45350.4468219728</v>
      </c>
      <c r="BA138" s="20">
        <f>+AZ138*(1+$D$121)</f>
        <v>45509.1733858497</v>
      </c>
      <c r="BB138" s="20">
        <f>+BA138*(1+$D$121)</f>
        <v>45668.4554927002</v>
      </c>
      <c r="BC138" s="20">
        <f>+BB138*(1+$D$121)</f>
        <v>45828.2950869247</v>
      </c>
      <c r="BD138" s="20">
        <f>+BC138*(1+$D$121)</f>
        <v>45988.6941197289</v>
      </c>
      <c r="BE138" s="20">
        <f>+BD138*(1+$D$121)</f>
        <v>46149.654549148</v>
      </c>
      <c r="BF138" s="20">
        <f>+BE138*(1+$D$121)</f>
        <v>46311.17834007</v>
      </c>
      <c r="BG138" s="20">
        <f>+BF138*(1+$D$121)</f>
        <v>46473.2674642602</v>
      </c>
      <c r="BH138" s="20">
        <f>+BG138*(1+$D$121)</f>
        <v>46635.9239003852</v>
      </c>
      <c r="BI138" s="20">
        <f>+BH138*(1+$D$121)</f>
        <v>46799.1496340365</v>
      </c>
      <c r="BJ138" s="20">
        <f>+BI138*(1+$D$121)</f>
        <v>46962.9466577556</v>
      </c>
      <c r="BK138" s="20">
        <f>+BJ138*(1+$D$121)</f>
        <v>47127.3169710578</v>
      </c>
      <c r="BL138" s="20">
        <f>+BK138*(1+$D$121)</f>
        <v>47292.2625804565</v>
      </c>
      <c r="BM138" s="20">
        <f>+BL138*(1+$D$121)</f>
        <v>47457.7854994881</v>
      </c>
      <c r="BN138" s="20">
        <f>+BM138*(1+$D$121)</f>
        <v>47623.8877487363</v>
      </c>
      <c r="BO138" s="20">
        <f>+BN138*(1+$D$121)</f>
        <v>47790.5713558569</v>
      </c>
      <c r="BP138" s="20">
        <f>+BO138*(1+$D$121)</f>
        <v>47957.8383556024</v>
      </c>
      <c r="BQ138" s="20">
        <f>+BP138*(1+$D$121)</f>
        <v>48125.690789847</v>
      </c>
    </row>
    <row r="139">
      <c r="C139" s="3" t="inlineStr">
        <is>
          <t>Utilities</t>
        </is>
      </c>
      <c r="D139" s="4" t="inlineStr">
        <is>
          <t>$ / month (TTM avg, inflated)</t>
        </is>
      </c>
      <c r="J139" s="20">
        <f>+J31</f>
        <v>6300</v>
      </c>
      <c r="K139" s="20">
        <f>+K31</f>
        <v>6100</v>
      </c>
      <c r="L139" s="20">
        <f>+L31</f>
        <v>6600</v>
      </c>
      <c r="M139" s="20">
        <f>+M31</f>
        <v>6400</v>
      </c>
      <c r="N139" s="20">
        <f>+N31</f>
        <v>6400</v>
      </c>
      <c r="O139" s="20">
        <f>+O31</f>
        <v>6600</v>
      </c>
      <c r="P139" s="20">
        <f>+P31</f>
        <v>6200</v>
      </c>
      <c r="Q139" s="20">
        <f>+Q31</f>
        <v>6800</v>
      </c>
      <c r="R139" s="20">
        <f>+R31</f>
        <v>6500</v>
      </c>
      <c r="S139" s="20">
        <f>+S31</f>
        <v>6700</v>
      </c>
      <c r="T139" s="20">
        <f>+T31</f>
        <v>6500</v>
      </c>
      <c r="U139" s="20">
        <f>+U31</f>
        <v>6500</v>
      </c>
      <c r="V139" s="20">
        <f>+V31</f>
        <v>6600</v>
      </c>
      <c r="W139" s="20">
        <f>+W31</f>
        <v>6600</v>
      </c>
      <c r="X139" s="20">
        <f>+X31</f>
        <v>6300</v>
      </c>
      <c r="Y139" s="20">
        <f>+Y31</f>
        <v>6600</v>
      </c>
      <c r="Z139" s="20">
        <f>+Z31</f>
        <v>7000</v>
      </c>
      <c r="AA139" s="20">
        <f>+AA31</f>
        <v>6500</v>
      </c>
      <c r="AB139" s="20">
        <f>+AB31</f>
        <v>7200</v>
      </c>
      <c r="AC139" s="20">
        <f>+AC31</f>
        <v>6900</v>
      </c>
      <c r="AD139" s="20">
        <f>+AD31</f>
        <v>7400</v>
      </c>
      <c r="AE139" s="20">
        <f>+AE31</f>
        <v>6700</v>
      </c>
      <c r="AF139" s="20">
        <f>+AF31</f>
        <v>6700</v>
      </c>
      <c r="AG139" s="20">
        <f>+AG31</f>
        <v>6700</v>
      </c>
      <c r="AH139" s="20">
        <f>+AH31</f>
        <v>7100</v>
      </c>
      <c r="AI139" s="20">
        <f>+AI31</f>
        <v>7600</v>
      </c>
      <c r="AJ139" s="20">
        <f>+AJ31</f>
        <v>6800</v>
      </c>
      <c r="AK139" s="20">
        <f>+AK31</f>
        <v>7200</v>
      </c>
      <c r="AL139" s="20">
        <f>+AL31</f>
        <v>7600</v>
      </c>
      <c r="AM139" s="20">
        <f>+AM31</f>
        <v>7000</v>
      </c>
      <c r="AN139" s="20">
        <f>+AN31</f>
        <v>7200</v>
      </c>
      <c r="AO139" s="20">
        <f>+AO31</f>
        <v>7300</v>
      </c>
      <c r="AP139" s="20">
        <f>+AP31</f>
        <v>7569.46</v>
      </c>
      <c r="AQ139" s="20">
        <f>+AQ31</f>
        <v>7723.55</v>
      </c>
      <c r="AR139" s="20">
        <f>+AR31</f>
        <v>7138.56</v>
      </c>
      <c r="AS139" s="20">
        <f>+AVERAGE(AG139:AR139)</f>
        <v>7244.2975</v>
      </c>
      <c r="AT139" s="20">
        <f>+AS139*(1+$D$121)</f>
        <v>7269.65254125</v>
      </c>
      <c r="AU139" s="20">
        <f>+AT139*(1+$D$121)</f>
        <v>7295.09632514438</v>
      </c>
      <c r="AV139" s="20">
        <f>+AU139*(1+$D$121)</f>
        <v>7320.62916228238</v>
      </c>
      <c r="AW139" s="20">
        <f>+AV139*(1+$D$121)</f>
        <v>7346.25136435037</v>
      </c>
      <c r="AX139" s="20">
        <f>+AW139*(1+$D$121)</f>
        <v>7371.9632441256</v>
      </c>
      <c r="AY139" s="20">
        <f>+AX139*(1+$D$121)</f>
        <v>7397.76511548004</v>
      </c>
      <c r="AZ139" s="20">
        <f>+AY139*(1+$D$121)</f>
        <v>7423.65729338422</v>
      </c>
      <c r="BA139" s="20">
        <f>+AZ139*(1+$D$121)</f>
        <v>7449.64009391106</v>
      </c>
      <c r="BB139" s="20">
        <f>+BA139*(1+$D$121)</f>
        <v>7475.71383423975</v>
      </c>
      <c r="BC139" s="20">
        <f>+BB139*(1+$D$121)</f>
        <v>7501.87883265959</v>
      </c>
      <c r="BD139" s="20">
        <f>+BC139*(1+$D$121)</f>
        <v>7528.1354085739</v>
      </c>
      <c r="BE139" s="20">
        <f>+BD139*(1+$D$121)</f>
        <v>7554.48388250391</v>
      </c>
      <c r="BF139" s="20">
        <f>+BE139*(1+$D$121)</f>
        <v>7580.92457609267</v>
      </c>
      <c r="BG139" s="20">
        <f>+BF139*(1+$D$121)</f>
        <v>7607.457812109</v>
      </c>
      <c r="BH139" s="20">
        <f>+BG139*(1+$D$121)</f>
        <v>7634.08391445138</v>
      </c>
      <c r="BI139" s="20">
        <f>+BH139*(1+$D$121)</f>
        <v>7660.80320815196</v>
      </c>
      <c r="BJ139" s="20">
        <f>+BI139*(1+$D$121)</f>
        <v>7687.61601938049</v>
      </c>
      <c r="BK139" s="20">
        <f>+BJ139*(1+$D$121)</f>
        <v>7714.52267544833</v>
      </c>
      <c r="BL139" s="20">
        <f>+BK139*(1+$D$121)</f>
        <v>7741.5235048124</v>
      </c>
      <c r="BM139" s="20">
        <f>+BL139*(1+$D$121)</f>
        <v>7768.61883707924</v>
      </c>
      <c r="BN139" s="20">
        <f>+BM139*(1+$D$121)</f>
        <v>7795.80900300902</v>
      </c>
      <c r="BO139" s="20">
        <f>+BN139*(1+$D$121)</f>
        <v>7823.09433451955</v>
      </c>
      <c r="BP139" s="20">
        <f>+BO139*(1+$D$121)</f>
        <v>7850.47516469037</v>
      </c>
      <c r="BQ139" s="20">
        <f>+BP139*(1+$D$121)</f>
        <v>7877.95182776679</v>
      </c>
    </row>
    <row r="140">
      <c r="C140" s="3" t="inlineStr">
        <is>
          <t>Janitorial</t>
        </is>
      </c>
      <c r="D140" s="4" t="inlineStr">
        <is>
          <t>$ / month (TTM avg, inflated)</t>
        </is>
      </c>
      <c r="J140" s="20">
        <f>+J32</f>
        <v>3200</v>
      </c>
      <c r="K140" s="20">
        <f>+K32</f>
        <v>3000</v>
      </c>
      <c r="L140" s="20">
        <f>+L32</f>
        <v>3000</v>
      </c>
      <c r="M140" s="20">
        <f>+M32</f>
        <v>3100</v>
      </c>
      <c r="N140" s="20">
        <f>+N32</f>
        <v>3300</v>
      </c>
      <c r="O140" s="20">
        <f>+O32</f>
        <v>3200</v>
      </c>
      <c r="P140" s="20">
        <f>+P32</f>
        <v>3400</v>
      </c>
      <c r="Q140" s="20">
        <f>+Q32</f>
        <v>3000</v>
      </c>
      <c r="R140" s="20">
        <f>+R32</f>
        <v>3400</v>
      </c>
      <c r="S140" s="20">
        <f>+S32</f>
        <v>3100</v>
      </c>
      <c r="T140" s="20">
        <f>+T32</f>
        <v>3400</v>
      </c>
      <c r="U140" s="20">
        <f>+U32</f>
        <v>3500</v>
      </c>
      <c r="V140" s="20">
        <f>+V32</f>
        <v>3100</v>
      </c>
      <c r="W140" s="20">
        <f>+W32</f>
        <v>3300</v>
      </c>
      <c r="X140" s="20">
        <f>+X32</f>
        <v>3500</v>
      </c>
      <c r="Y140" s="20">
        <f>+Y32</f>
        <v>3500</v>
      </c>
      <c r="Z140" s="20">
        <f>+Z32</f>
        <v>3600</v>
      </c>
      <c r="AA140" s="20">
        <f>+AA32</f>
        <v>3600</v>
      </c>
      <c r="AB140" s="20">
        <f>+AB32</f>
        <v>3400</v>
      </c>
      <c r="AC140" s="20">
        <f>+AC32</f>
        <v>3400</v>
      </c>
      <c r="AD140" s="20">
        <f>+AD32</f>
        <v>3500</v>
      </c>
      <c r="AE140" s="20">
        <f>+AE32</f>
        <v>3400</v>
      </c>
      <c r="AF140" s="20">
        <f>+AF32</f>
        <v>3400</v>
      </c>
      <c r="AG140" s="20">
        <f>+AG32</f>
        <v>3500</v>
      </c>
      <c r="AH140" s="20">
        <f>+AH32</f>
        <v>3400</v>
      </c>
      <c r="AI140" s="20">
        <f>+AI32</f>
        <v>3600</v>
      </c>
      <c r="AJ140" s="20">
        <f>+AJ32</f>
        <v>3400</v>
      </c>
      <c r="AK140" s="20">
        <f>+AK32</f>
        <v>3900</v>
      </c>
      <c r="AL140" s="20">
        <f>+AL32</f>
        <v>3800</v>
      </c>
      <c r="AM140" s="20">
        <f>+AM32</f>
        <v>3800</v>
      </c>
      <c r="AN140" s="20">
        <f>+AN32</f>
        <v>3800</v>
      </c>
      <c r="AO140" s="20">
        <f>+AO32</f>
        <v>3700</v>
      </c>
      <c r="AP140" s="20">
        <f>+AP32</f>
        <v>0</v>
      </c>
      <c r="AQ140" s="20">
        <f>+AQ32</f>
        <v>0</v>
      </c>
      <c r="AR140" s="20">
        <f>+AR32</f>
        <v>0</v>
      </c>
      <c r="AS140" s="20">
        <f>+AVERAGE(AG140:AR140)</f>
        <v>2741.66666666667</v>
      </c>
      <c r="AT140" s="20">
        <f>+AS140*(1+$D$121)</f>
        <v>2751.2625</v>
      </c>
      <c r="AU140" s="20">
        <f>+AT140*(1+$D$121)</f>
        <v>2760.89191875</v>
      </c>
      <c r="AV140" s="20">
        <f>+AU140*(1+$D$121)</f>
        <v>2770.55504046563</v>
      </c>
      <c r="AW140" s="20">
        <f>+AV140*(1+$D$121)</f>
        <v>2780.25198310726</v>
      </c>
      <c r="AX140" s="20">
        <f>+AW140*(1+$D$121)</f>
        <v>2789.98286504813</v>
      </c>
      <c r="AY140" s="20">
        <f>+AX140*(1+$D$121)</f>
        <v>2799.7478050758</v>
      </c>
      <c r="AZ140" s="20">
        <f>+AY140*(1+$D$121)</f>
        <v>2809.54692239356</v>
      </c>
      <c r="BA140" s="20">
        <f>+AZ140*(1+$D$121)</f>
        <v>2819.38033662194</v>
      </c>
      <c r="BB140" s="20">
        <f>+BA140*(1+$D$121)</f>
        <v>2829.24816780012</v>
      </c>
      <c r="BC140" s="20">
        <f>+BB140*(1+$D$121)</f>
        <v>2839.15053638742</v>
      </c>
      <c r="BD140" s="20">
        <f>+BC140*(1+$D$121)</f>
        <v>2849.08756326478</v>
      </c>
      <c r="BE140" s="20">
        <f>+BD140*(1+$D$121)</f>
        <v>2859.0593697362</v>
      </c>
      <c r="BF140" s="20">
        <f>+BE140*(1+$D$121)</f>
        <v>2869.06607753028</v>
      </c>
      <c r="BG140" s="20">
        <f>+BF140*(1+$D$121)</f>
        <v>2879.10780880164</v>
      </c>
      <c r="BH140" s="20">
        <f>+BG140*(1+$D$121)</f>
        <v>2889.18468613244</v>
      </c>
      <c r="BI140" s="20">
        <f>+BH140*(1+$D$121)</f>
        <v>2899.29683253391</v>
      </c>
      <c r="BJ140" s="20">
        <f>+BI140*(1+$D$121)</f>
        <v>2909.44437144777</v>
      </c>
      <c r="BK140" s="20">
        <f>+BJ140*(1+$D$121)</f>
        <v>2919.62742674784</v>
      </c>
      <c r="BL140" s="20">
        <f>+BK140*(1+$D$121)</f>
        <v>2929.84612274146</v>
      </c>
      <c r="BM140" s="20">
        <f>+BL140*(1+$D$121)</f>
        <v>2940.10058417105</v>
      </c>
      <c r="BN140" s="20">
        <f>+BM140*(1+$D$121)</f>
        <v>2950.39093621565</v>
      </c>
      <c r="BO140" s="20">
        <f>+BN140*(1+$D$121)</f>
        <v>2960.71730449241</v>
      </c>
      <c r="BP140" s="20">
        <f>+BO140*(1+$D$121)</f>
        <v>2971.07981505813</v>
      </c>
      <c r="BQ140" s="20">
        <f>+BP140*(1+$D$121)</f>
        <v>2981.47859441084</v>
      </c>
    </row>
    <row r="141">
      <c r="C141" s="3" t="inlineStr">
        <is>
          <t>Security</t>
        </is>
      </c>
      <c r="D141" s="4" t="inlineStr">
        <is>
          <t>$ / month (TTM avg, inflated)</t>
        </is>
      </c>
      <c r="J141" s="20">
        <f>+J33</f>
        <v>1000</v>
      </c>
      <c r="K141" s="20">
        <f>+K33</f>
        <v>1100</v>
      </c>
      <c r="L141" s="20">
        <f>+L33</f>
        <v>1000</v>
      </c>
      <c r="M141" s="20">
        <f>+M33</f>
        <v>1000</v>
      </c>
      <c r="N141" s="20">
        <f>+N33</f>
        <v>1100</v>
      </c>
      <c r="O141" s="20">
        <f>+O33</f>
        <v>1100</v>
      </c>
      <c r="P141" s="20">
        <f>+P33</f>
        <v>1100</v>
      </c>
      <c r="Q141" s="20">
        <f>+Q33</f>
        <v>1000</v>
      </c>
      <c r="R141" s="20">
        <f>+R33</f>
        <v>1200</v>
      </c>
      <c r="S141" s="20">
        <f>+S33</f>
        <v>1100</v>
      </c>
      <c r="T141" s="20">
        <f>+T33</f>
        <v>1100</v>
      </c>
      <c r="U141" s="20">
        <f>+U33</f>
        <v>1100</v>
      </c>
      <c r="V141" s="20">
        <f>+V33</f>
        <v>1100</v>
      </c>
      <c r="W141" s="20">
        <f>+W33</f>
        <v>1100</v>
      </c>
      <c r="X141" s="20">
        <f>+X33</f>
        <v>1200</v>
      </c>
      <c r="Y141" s="20">
        <f>+Y33</f>
        <v>1100</v>
      </c>
      <c r="Z141" s="20">
        <f>+Z33</f>
        <v>1100</v>
      </c>
      <c r="AA141" s="20">
        <f>+AA33</f>
        <v>1200</v>
      </c>
      <c r="AB141" s="20">
        <f>+AB33</f>
        <v>1200</v>
      </c>
      <c r="AC141" s="20">
        <f>+AC33</f>
        <v>1200</v>
      </c>
      <c r="AD141" s="20">
        <f>+AD33</f>
        <v>1100</v>
      </c>
      <c r="AE141" s="20">
        <f>+AE33</f>
        <v>1300</v>
      </c>
      <c r="AF141" s="20">
        <f>+AF33</f>
        <v>1200</v>
      </c>
      <c r="AG141" s="20">
        <f>+AG33</f>
        <v>1300</v>
      </c>
      <c r="AH141" s="20">
        <f>+AH33</f>
        <v>1300</v>
      </c>
      <c r="AI141" s="20">
        <f>+AI33</f>
        <v>1100</v>
      </c>
      <c r="AJ141" s="20">
        <f>+AJ33</f>
        <v>1100</v>
      </c>
      <c r="AK141" s="20">
        <f>+AK33</f>
        <v>1200</v>
      </c>
      <c r="AL141" s="20">
        <f>+AL33</f>
        <v>1200</v>
      </c>
      <c r="AM141" s="20">
        <f>+AM33</f>
        <v>1300</v>
      </c>
      <c r="AN141" s="20">
        <f>+AN33</f>
        <v>1300</v>
      </c>
      <c r="AO141" s="20">
        <f>+AO33</f>
        <v>1300</v>
      </c>
      <c r="AP141" s="20">
        <f>+AP33</f>
        <v>0</v>
      </c>
      <c r="AQ141" s="20">
        <f>+AQ33</f>
        <v>0</v>
      </c>
      <c r="AR141" s="20">
        <f>+AR33</f>
        <v>0</v>
      </c>
      <c r="AS141" s="20">
        <f>+AVERAGE(AG141:AR141)</f>
        <v>925</v>
      </c>
      <c r="AT141" s="20">
        <f>+AS141*(1+$D$121)</f>
        <v>928.2375</v>
      </c>
      <c r="AU141" s="20">
        <f>+AT141*(1+$D$121)</f>
        <v>931.48633125</v>
      </c>
      <c r="AV141" s="20">
        <f>+AU141*(1+$D$121)</f>
        <v>934.746533409375</v>
      </c>
      <c r="AW141" s="20">
        <f>+AV141*(1+$D$121)</f>
        <v>938.018146276308</v>
      </c>
      <c r="AX141" s="20">
        <f>+AW141*(1+$D$121)</f>
        <v>941.301209788275</v>
      </c>
      <c r="AY141" s="20">
        <f>+AX141*(1+$D$121)</f>
        <v>944.595764022534</v>
      </c>
      <c r="AZ141" s="20">
        <f>+AY141*(1+$D$121)</f>
        <v>947.901849196613</v>
      </c>
      <c r="BA141" s="20">
        <f>+AZ141*(1+$D$121)</f>
        <v>951.219505668801</v>
      </c>
      <c r="BB141" s="20">
        <f>+BA141*(1+$D$121)</f>
        <v>954.548773938642</v>
      </c>
      <c r="BC141" s="20">
        <f>+BB141*(1+$D$121)</f>
        <v>957.889694647428</v>
      </c>
      <c r="BD141" s="20">
        <f>+BC141*(1+$D$121)</f>
        <v>961.242308578694</v>
      </c>
      <c r="BE141" s="20">
        <f>+BD141*(1+$D$121)</f>
        <v>964.606656658719</v>
      </c>
      <c r="BF141" s="20">
        <f>+BE141*(1+$D$121)</f>
        <v>967.982779957025</v>
      </c>
      <c r="BG141" s="20">
        <f>+BF141*(1+$D$121)</f>
        <v>971.370719686875</v>
      </c>
      <c r="BH141" s="20">
        <f>+BG141*(1+$D$121)</f>
        <v>974.770517205779</v>
      </c>
      <c r="BI141" s="20">
        <f>+BH141*(1+$D$121)</f>
        <v>978.182214015999</v>
      </c>
      <c r="BJ141" s="20">
        <f>+BI141*(1+$D$121)</f>
        <v>981.605851765055</v>
      </c>
      <c r="BK141" s="20">
        <f>+BJ141*(1+$D$121)</f>
        <v>985.041472246233</v>
      </c>
      <c r="BL141" s="20">
        <f>+BK141*(1+$D$121)</f>
        <v>988.489117399095</v>
      </c>
      <c r="BM141" s="20">
        <f>+BL141*(1+$D$121)</f>
        <v>991.948829309992</v>
      </c>
      <c r="BN141" s="20">
        <f>+BM141*(1+$D$121)</f>
        <v>995.420650212577</v>
      </c>
      <c r="BO141" s="20">
        <f>+BN141*(1+$D$121)</f>
        <v>998.904622488321</v>
      </c>
      <c r="BP141" s="20">
        <f>+BO141*(1+$D$121)</f>
        <v>1002.40078866703</v>
      </c>
      <c r="BQ141" s="20">
        <f>+BP141*(1+$D$121)</f>
        <v>1005.90919142736</v>
      </c>
    </row>
    <row r="142">
      <c r="C142" s="3" t="inlineStr">
        <is>
          <t>Other Facility Expenses</t>
        </is>
      </c>
      <c r="D142" s="4" t="inlineStr">
        <is>
          <t>$ / month (TTM avg, inflated)</t>
        </is>
      </c>
      <c r="J142" s="20">
        <f>+J34</f>
        <v>2000</v>
      </c>
      <c r="K142" s="20">
        <f>+K34</f>
        <v>2000</v>
      </c>
      <c r="L142" s="20">
        <f>+L34</f>
        <v>2200</v>
      </c>
      <c r="M142" s="20">
        <f>+M34</f>
        <v>2200</v>
      </c>
      <c r="N142" s="20">
        <f>+N34</f>
        <v>2200</v>
      </c>
      <c r="O142" s="20">
        <f>+O34</f>
        <v>2100</v>
      </c>
      <c r="P142" s="20">
        <f>+P34</f>
        <v>2200</v>
      </c>
      <c r="Q142" s="20">
        <f>+Q34</f>
        <v>2300</v>
      </c>
      <c r="R142" s="20">
        <f>+R34</f>
        <v>2300</v>
      </c>
      <c r="S142" s="20">
        <f>+S34</f>
        <v>2300</v>
      </c>
      <c r="T142" s="20">
        <f>+T34</f>
        <v>2200</v>
      </c>
      <c r="U142" s="20">
        <f>+U34</f>
        <v>2200</v>
      </c>
      <c r="V142" s="20">
        <f>+V34</f>
        <v>2300</v>
      </c>
      <c r="W142" s="20">
        <f>+W34</f>
        <v>2100</v>
      </c>
      <c r="X142" s="20">
        <f>+X34</f>
        <v>2300</v>
      </c>
      <c r="Y142" s="20">
        <f>+Y34</f>
        <v>2100</v>
      </c>
      <c r="Z142" s="20">
        <f>+Z34</f>
        <v>2300</v>
      </c>
      <c r="AA142" s="20">
        <f>+AA34</f>
        <v>2200</v>
      </c>
      <c r="AB142" s="20">
        <f>+AB34</f>
        <v>2400</v>
      </c>
      <c r="AC142" s="20">
        <f>+AC34</f>
        <v>2500</v>
      </c>
      <c r="AD142" s="20">
        <f>+AD34</f>
        <v>2200</v>
      </c>
      <c r="AE142" s="20">
        <f>+AE34</f>
        <v>2300</v>
      </c>
      <c r="AF142" s="20">
        <f>+AF34</f>
        <v>2400</v>
      </c>
      <c r="AG142" s="20">
        <f>+AG34</f>
        <v>2400</v>
      </c>
      <c r="AH142" s="20">
        <f>+AH34</f>
        <v>2500</v>
      </c>
      <c r="AI142" s="20">
        <f>+AI34</f>
        <v>2300</v>
      </c>
      <c r="AJ142" s="20">
        <f>+AJ34</f>
        <v>2300</v>
      </c>
      <c r="AK142" s="20">
        <f>+AK34</f>
        <v>2400</v>
      </c>
      <c r="AL142" s="20">
        <f>+AL34</f>
        <v>2500</v>
      </c>
      <c r="AM142" s="20">
        <f>+AM34</f>
        <v>2300</v>
      </c>
      <c r="AN142" s="20">
        <f>+AN34</f>
        <v>2300</v>
      </c>
      <c r="AO142" s="20">
        <f>+AO34</f>
        <v>2600</v>
      </c>
      <c r="AP142" s="20">
        <f>+AP34</f>
        <v>2388.26</v>
      </c>
      <c r="AQ142" s="20">
        <f>+AQ34</f>
        <v>2510.58</v>
      </c>
      <c r="AR142" s="20">
        <f>+AR34</f>
        <v>2511.75</v>
      </c>
      <c r="AS142" s="20">
        <f>+AVERAGE(AG142:AR142)</f>
        <v>2417.54916666667</v>
      </c>
      <c r="AT142" s="20">
        <f>+AS142*(1+$D$121)</f>
        <v>2426.01058875</v>
      </c>
      <c r="AU142" s="20">
        <f>+AT142*(1+$D$121)</f>
        <v>2434.50162581063</v>
      </c>
      <c r="AV142" s="20">
        <f>+AU142*(1+$D$121)</f>
        <v>2443.02238150096</v>
      </c>
      <c r="AW142" s="20">
        <f>+AV142*(1+$D$121)</f>
        <v>2451.57295983622</v>
      </c>
      <c r="AX142" s="20">
        <f>+AW142*(1+$D$121)</f>
        <v>2460.15346519564</v>
      </c>
      <c r="AY142" s="20">
        <f>+AX142*(1+$D$121)</f>
        <v>2468.76400232383</v>
      </c>
      <c r="AZ142" s="20">
        <f>+AY142*(1+$D$121)</f>
        <v>2477.40467633196</v>
      </c>
      <c r="BA142" s="20">
        <f>+AZ142*(1+$D$121)</f>
        <v>2486.07559269912</v>
      </c>
      <c r="BB142" s="20">
        <f>+BA142*(1+$D$121)</f>
        <v>2494.77685727357</v>
      </c>
      <c r="BC142" s="20">
        <f>+BB142*(1+$D$121)</f>
        <v>2503.50857627403</v>
      </c>
      <c r="BD142" s="20">
        <f>+BC142*(1+$D$121)</f>
        <v>2512.27085629099</v>
      </c>
      <c r="BE142" s="20">
        <f>+BD142*(1+$D$121)</f>
        <v>2521.06380428801</v>
      </c>
      <c r="BF142" s="20">
        <f>+BE142*(1+$D$121)</f>
        <v>2529.88752760302</v>
      </c>
      <c r="BG142" s="20">
        <f>+BF142*(1+$D$121)</f>
        <v>2538.74213394963</v>
      </c>
      <c r="BH142" s="20">
        <f>+BG142*(1+$D$121)</f>
        <v>2547.62773141845</v>
      </c>
      <c r="BI142" s="20">
        <f>+BH142*(1+$D$121)</f>
        <v>2556.54442847841</v>
      </c>
      <c r="BJ142" s="20">
        <f>+BI142*(1+$D$121)</f>
        <v>2565.49233397809</v>
      </c>
      <c r="BK142" s="20">
        <f>+BJ142*(1+$D$121)</f>
        <v>2574.47155714701</v>
      </c>
      <c r="BL142" s="20">
        <f>+BK142*(1+$D$121)</f>
        <v>2583.48220759703</v>
      </c>
      <c r="BM142" s="20">
        <f>+BL142*(1+$D$121)</f>
        <v>2592.52439532362</v>
      </c>
      <c r="BN142" s="20">
        <f>+BM142*(1+$D$121)</f>
        <v>2601.59823070725</v>
      </c>
      <c r="BO142" s="20">
        <f>+BN142*(1+$D$121)</f>
        <v>2610.70382451473</v>
      </c>
      <c r="BP142" s="20">
        <f>+BO142*(1+$D$121)</f>
        <v>2619.84128790053</v>
      </c>
      <c r="BQ142" s="20">
        <f>+BP142*(1+$D$121)</f>
        <v>2629.01073240818</v>
      </c>
    </row>
    <row r="143">
      <c r="C143" s="3" t="inlineStr">
        <is>
          <t>Storage</t>
        </is>
      </c>
      <c r="D143" s="4" t="inlineStr">
        <is>
          <t>$ / month (TTM avg, inflated)</t>
        </is>
      </c>
      <c r="J143" s="20">
        <f>+J35</f>
        <v>1100</v>
      </c>
      <c r="K143" s="20">
        <f>+K35</f>
        <v>1100</v>
      </c>
      <c r="L143" s="20">
        <f>+L35</f>
        <v>1100</v>
      </c>
      <c r="M143" s="20">
        <f>+M35</f>
        <v>1000</v>
      </c>
      <c r="N143" s="20">
        <f>+N35</f>
        <v>1100</v>
      </c>
      <c r="O143" s="20">
        <f>+O35</f>
        <v>1100</v>
      </c>
      <c r="P143" s="20">
        <f>+P35</f>
        <v>1100</v>
      </c>
      <c r="Q143" s="20">
        <f>+Q35</f>
        <v>1000</v>
      </c>
      <c r="R143" s="20">
        <f>+R35</f>
        <v>1100</v>
      </c>
      <c r="S143" s="20">
        <f>+S35</f>
        <v>1100</v>
      </c>
      <c r="T143" s="20">
        <f>+T35</f>
        <v>1100</v>
      </c>
      <c r="U143" s="20">
        <f>+U35</f>
        <v>1100</v>
      </c>
      <c r="V143" s="20">
        <f>+V35</f>
        <v>1100</v>
      </c>
      <c r="W143" s="20">
        <f>+W35</f>
        <v>1100</v>
      </c>
      <c r="X143" s="20">
        <f>+X35</f>
        <v>1100</v>
      </c>
      <c r="Y143" s="20">
        <f>+Y35</f>
        <v>1100</v>
      </c>
      <c r="Z143" s="20">
        <f>+Z35</f>
        <v>1100</v>
      </c>
      <c r="AA143" s="20">
        <f>+AA35</f>
        <v>1100</v>
      </c>
      <c r="AB143" s="20">
        <f>+AB35</f>
        <v>1200</v>
      </c>
      <c r="AC143" s="20">
        <f>+AC35</f>
        <v>1200</v>
      </c>
      <c r="AD143" s="20">
        <f>+AD35</f>
        <v>1100</v>
      </c>
      <c r="AE143" s="20">
        <f>+AE35</f>
        <v>1200</v>
      </c>
      <c r="AF143" s="20">
        <f>+AF35</f>
        <v>1200</v>
      </c>
      <c r="AG143" s="20">
        <f>+AG35</f>
        <v>1200</v>
      </c>
      <c r="AH143" s="20">
        <f>+AH35</f>
        <v>1300</v>
      </c>
      <c r="AI143" s="20">
        <f>+AI35</f>
        <v>1200</v>
      </c>
      <c r="AJ143" s="20">
        <f>+AJ35</f>
        <v>1200</v>
      </c>
      <c r="AK143" s="20">
        <f>+AK35</f>
        <v>1200</v>
      </c>
      <c r="AL143" s="20">
        <f>+AL35</f>
        <v>1200</v>
      </c>
      <c r="AM143" s="20">
        <f>+AM35</f>
        <v>1300</v>
      </c>
      <c r="AN143" s="20">
        <f>+AN35</f>
        <v>1300</v>
      </c>
      <c r="AO143" s="20">
        <f>+AO35</f>
        <v>1200</v>
      </c>
      <c r="AP143" s="20">
        <f>+AP35</f>
        <v>0</v>
      </c>
      <c r="AQ143" s="20">
        <f>+AQ35</f>
        <v>0</v>
      </c>
      <c r="AR143" s="20">
        <f>+AR35</f>
        <v>0</v>
      </c>
      <c r="AS143" s="20">
        <f>+AVERAGE(AG143:AR143)</f>
        <v>925</v>
      </c>
      <c r="AT143" s="20">
        <f>+AS143*(1+$D$121)</f>
        <v>928.2375</v>
      </c>
      <c r="AU143" s="20">
        <f>+AT143*(1+$D$121)</f>
        <v>931.48633125</v>
      </c>
      <c r="AV143" s="20">
        <f>+AU143*(1+$D$121)</f>
        <v>934.746533409375</v>
      </c>
      <c r="AW143" s="20">
        <f>+AV143*(1+$D$121)</f>
        <v>938.018146276308</v>
      </c>
      <c r="AX143" s="20">
        <f>+AW143*(1+$D$121)</f>
        <v>941.301209788275</v>
      </c>
      <c r="AY143" s="20">
        <f>+AX143*(1+$D$121)</f>
        <v>944.595764022534</v>
      </c>
      <c r="AZ143" s="20">
        <f>+AY143*(1+$D$121)</f>
        <v>947.901849196613</v>
      </c>
      <c r="BA143" s="20">
        <f>+AZ143*(1+$D$121)</f>
        <v>951.219505668801</v>
      </c>
      <c r="BB143" s="20">
        <f>+BA143*(1+$D$121)</f>
        <v>954.548773938642</v>
      </c>
      <c r="BC143" s="20">
        <f>+BB143*(1+$D$121)</f>
        <v>957.889694647428</v>
      </c>
      <c r="BD143" s="20">
        <f>+BC143*(1+$D$121)</f>
        <v>961.242308578694</v>
      </c>
      <c r="BE143" s="20">
        <f>+BD143*(1+$D$121)</f>
        <v>964.606656658719</v>
      </c>
      <c r="BF143" s="20">
        <f>+BE143*(1+$D$121)</f>
        <v>967.982779957025</v>
      </c>
      <c r="BG143" s="20">
        <f>+BF143*(1+$D$121)</f>
        <v>971.370719686875</v>
      </c>
      <c r="BH143" s="20">
        <f>+BG143*(1+$D$121)</f>
        <v>974.770517205779</v>
      </c>
      <c r="BI143" s="20">
        <f>+BH143*(1+$D$121)</f>
        <v>978.182214015999</v>
      </c>
      <c r="BJ143" s="20">
        <f>+BI143*(1+$D$121)</f>
        <v>981.605851765055</v>
      </c>
      <c r="BK143" s="20">
        <f>+BJ143*(1+$D$121)</f>
        <v>985.041472246233</v>
      </c>
      <c r="BL143" s="20">
        <f>+BK143*(1+$D$121)</f>
        <v>988.489117399095</v>
      </c>
      <c r="BM143" s="20">
        <f>+BL143*(1+$D$121)</f>
        <v>991.948829309992</v>
      </c>
      <c r="BN143" s="20">
        <f>+BM143*(1+$D$121)</f>
        <v>995.420650212577</v>
      </c>
      <c r="BO143" s="20">
        <f>+BN143*(1+$D$121)</f>
        <v>998.904622488321</v>
      </c>
      <c r="BP143" s="20">
        <f>+BO143*(1+$D$121)</f>
        <v>1002.40078866703</v>
      </c>
      <c r="BQ143" s="20">
        <f>+BP143*(1+$D$121)</f>
        <v>1005.90919142736</v>
      </c>
    </row>
    <row r="144">
      <c r="C144" s="3" t="inlineStr">
        <is>
          <t>Facility Repairs &amp; Maintenance</t>
        </is>
      </c>
      <c r="D144" s="4" t="inlineStr">
        <is>
          <t>$ / month (TTM avg, inflated)</t>
        </is>
      </c>
      <c r="J144" s="20">
        <f>+J36</f>
        <v>3600</v>
      </c>
      <c r="K144" s="20">
        <f>+K36</f>
        <v>3600</v>
      </c>
      <c r="L144" s="20">
        <f>+L36</f>
        <v>3600</v>
      </c>
      <c r="M144" s="20">
        <f>+M36</f>
        <v>3600</v>
      </c>
      <c r="N144" s="20">
        <f>+N36</f>
        <v>3800</v>
      </c>
      <c r="O144" s="20">
        <f>+O36</f>
        <v>4000</v>
      </c>
      <c r="P144" s="20">
        <f>+P36</f>
        <v>4000</v>
      </c>
      <c r="Q144" s="20">
        <f>+Q36</f>
        <v>3500</v>
      </c>
      <c r="R144" s="20">
        <f>+R36</f>
        <v>3700</v>
      </c>
      <c r="S144" s="20">
        <f>+S36</f>
        <v>4000</v>
      </c>
      <c r="T144" s="20">
        <f>+T36</f>
        <v>3900</v>
      </c>
      <c r="U144" s="20">
        <f>+U36</f>
        <v>3800</v>
      </c>
      <c r="V144" s="20">
        <f>+V36</f>
        <v>3700</v>
      </c>
      <c r="W144" s="20">
        <f>+W36</f>
        <v>3900</v>
      </c>
      <c r="X144" s="20">
        <f>+X36</f>
        <v>3900</v>
      </c>
      <c r="Y144" s="20">
        <f>+Y36</f>
        <v>4200</v>
      </c>
      <c r="Z144" s="20">
        <f>+Z36</f>
        <v>3800</v>
      </c>
      <c r="AA144" s="20">
        <f>+AA36</f>
        <v>4200</v>
      </c>
      <c r="AB144" s="20">
        <f>+AB36</f>
        <v>4100</v>
      </c>
      <c r="AC144" s="20">
        <f>+AC36</f>
        <v>4200</v>
      </c>
      <c r="AD144" s="20">
        <f>+AD36</f>
        <v>3900</v>
      </c>
      <c r="AE144" s="20">
        <f>+AE36</f>
        <v>4200</v>
      </c>
      <c r="AF144" s="20">
        <f>+AF36</f>
        <v>3900</v>
      </c>
      <c r="AG144" s="20">
        <f>+AG36</f>
        <v>4100</v>
      </c>
      <c r="AH144" s="20">
        <f>+AH36</f>
        <v>4500</v>
      </c>
      <c r="AI144" s="20">
        <f>+AI36</f>
        <v>4000</v>
      </c>
      <c r="AJ144" s="20">
        <f>+AJ36</f>
        <v>4200</v>
      </c>
      <c r="AK144" s="20">
        <f>+AK36</f>
        <v>4500</v>
      </c>
      <c r="AL144" s="20">
        <f>+AL36</f>
        <v>4500</v>
      </c>
      <c r="AM144" s="20">
        <f>+AM36</f>
        <v>4500</v>
      </c>
      <c r="AN144" s="20">
        <f>+AN36</f>
        <v>4500</v>
      </c>
      <c r="AO144" s="20">
        <f>+AO36</f>
        <v>4300</v>
      </c>
      <c r="AP144" s="20">
        <f>+AP36</f>
        <v>9552.87</v>
      </c>
      <c r="AQ144" s="20">
        <f>+AQ36</f>
        <v>9671.37</v>
      </c>
      <c r="AR144" s="20">
        <f>+AR36</f>
        <v>9508.35</v>
      </c>
      <c r="AS144" s="20">
        <f>+AVERAGE(AG144:AR144)</f>
        <v>5652.71583333333</v>
      </c>
      <c r="AT144" s="20">
        <f>+AS144*(1+$D$121)</f>
        <v>5672.50033875</v>
      </c>
      <c r="AU144" s="20">
        <f>+AT144*(1+$D$121)</f>
        <v>5692.35408993563</v>
      </c>
      <c r="AV144" s="20">
        <f>+AU144*(1+$D$121)</f>
        <v>5712.2773292504</v>
      </c>
      <c r="AW144" s="20">
        <f>+AV144*(1+$D$121)</f>
        <v>5732.27029990278</v>
      </c>
      <c r="AX144" s="20">
        <f>+AW144*(1+$D$121)</f>
        <v>5752.33324595244</v>
      </c>
      <c r="AY144" s="20">
        <f>+AX144*(1+$D$121)</f>
        <v>5772.46641231327</v>
      </c>
      <c r="AZ144" s="20">
        <f>+AY144*(1+$D$121)</f>
        <v>5792.67004475637</v>
      </c>
      <c r="BA144" s="20">
        <f>+AZ144*(1+$D$121)</f>
        <v>5812.94438991302</v>
      </c>
      <c r="BB144" s="20">
        <f>+BA144*(1+$D$121)</f>
        <v>5833.28969527771</v>
      </c>
      <c r="BC144" s="20">
        <f>+BB144*(1+$D$121)</f>
        <v>5853.70620921119</v>
      </c>
      <c r="BD144" s="20">
        <f>+BC144*(1+$D$121)</f>
        <v>5874.19418094342</v>
      </c>
      <c r="BE144" s="20">
        <f>+BD144*(1+$D$121)</f>
        <v>5894.75386057673</v>
      </c>
      <c r="BF144" s="20">
        <f>+BE144*(1+$D$121)</f>
        <v>5915.38549908875</v>
      </c>
      <c r="BG144" s="20">
        <f>+BF144*(1+$D$121)</f>
        <v>5936.08934833556</v>
      </c>
      <c r="BH144" s="20">
        <f>+BG144*(1+$D$121)</f>
        <v>5956.86566105473</v>
      </c>
      <c r="BI144" s="20">
        <f>+BH144*(1+$D$121)</f>
        <v>5977.71469086842</v>
      </c>
      <c r="BJ144" s="20">
        <f>+BI144*(1+$D$121)</f>
        <v>5998.63669228646</v>
      </c>
      <c r="BK144" s="20">
        <f>+BJ144*(1+$D$121)</f>
        <v>6019.63192070947</v>
      </c>
      <c r="BL144" s="20">
        <f>+BK144*(1+$D$121)</f>
        <v>6040.70063243195</v>
      </c>
      <c r="BM144" s="20">
        <f>+BL144*(1+$D$121)</f>
        <v>6061.84308464546</v>
      </c>
      <c r="BN144" s="20">
        <f>+BM144*(1+$D$121)</f>
        <v>6083.05953544172</v>
      </c>
      <c r="BO144" s="20">
        <f>+BN144*(1+$D$121)</f>
        <v>6104.35024381577</v>
      </c>
      <c r="BP144" s="20">
        <f>+BO144*(1+$D$121)</f>
        <v>6125.71546966912</v>
      </c>
      <c r="BQ144" s="20">
        <f>+BP144*(1+$D$121)</f>
        <v>6147.15547381297</v>
      </c>
    </row>
    <row r="145">
      <c r="C145" s="3" t="inlineStr">
        <is>
          <t>Waste Removal</t>
        </is>
      </c>
      <c r="D145" s="4" t="inlineStr">
        <is>
          <t>$ / month (TTM avg, inflated)</t>
        </is>
      </c>
      <c r="J145" s="20">
        <f>+J37</f>
        <v>2500</v>
      </c>
      <c r="K145" s="20">
        <f>+K37</f>
        <v>2500</v>
      </c>
      <c r="L145" s="20">
        <f>+L37</f>
        <v>2600</v>
      </c>
      <c r="M145" s="20">
        <f>+M37</f>
        <v>2600</v>
      </c>
      <c r="N145" s="20">
        <f>+N37</f>
        <v>2800</v>
      </c>
      <c r="O145" s="20">
        <f>+O37</f>
        <v>2600</v>
      </c>
      <c r="P145" s="20">
        <f>+P37</f>
        <v>2700</v>
      </c>
      <c r="Q145" s="20">
        <f>+Q37</f>
        <v>2800</v>
      </c>
      <c r="R145" s="20">
        <f>+R37</f>
        <v>2700</v>
      </c>
      <c r="S145" s="20">
        <f>+S37</f>
        <v>2600</v>
      </c>
      <c r="T145" s="20">
        <f>+T37</f>
        <v>2700</v>
      </c>
      <c r="U145" s="20">
        <f>+U37</f>
        <v>2900</v>
      </c>
      <c r="V145" s="20">
        <f>+V37</f>
        <v>2900</v>
      </c>
      <c r="W145" s="20">
        <f>+W37</f>
        <v>2800</v>
      </c>
      <c r="X145" s="20">
        <f>+X37</f>
        <v>2900</v>
      </c>
      <c r="Y145" s="20">
        <f>+Y37</f>
        <v>2800</v>
      </c>
      <c r="Z145" s="20">
        <f>+Z37</f>
        <v>2900</v>
      </c>
      <c r="AA145" s="20">
        <f>+AA37</f>
        <v>3000</v>
      </c>
      <c r="AB145" s="20">
        <f>+AB37</f>
        <v>2800</v>
      </c>
      <c r="AC145" s="20">
        <f>+AC37</f>
        <v>2900</v>
      </c>
      <c r="AD145" s="20">
        <f>+AD37</f>
        <v>3100</v>
      </c>
      <c r="AE145" s="20">
        <f>+AE37</f>
        <v>2800</v>
      </c>
      <c r="AF145" s="20">
        <f>+AF37</f>
        <v>2800</v>
      </c>
      <c r="AG145" s="20">
        <f>+AG37</f>
        <v>2800</v>
      </c>
      <c r="AH145" s="20">
        <f>+AH37</f>
        <v>3100</v>
      </c>
      <c r="AI145" s="20">
        <f>+AI37</f>
        <v>3000</v>
      </c>
      <c r="AJ145" s="20">
        <f>+AJ37</f>
        <v>3200</v>
      </c>
      <c r="AK145" s="20">
        <f>+AK37</f>
        <v>2900</v>
      </c>
      <c r="AL145" s="20">
        <f>+AL37</f>
        <v>3100</v>
      </c>
      <c r="AM145" s="20">
        <f>+AM37</f>
        <v>3200</v>
      </c>
      <c r="AN145" s="20">
        <f>+AN37</f>
        <v>2900</v>
      </c>
      <c r="AO145" s="20">
        <f>+AO37</f>
        <v>3000</v>
      </c>
      <c r="AP145" s="20">
        <f>+AP37</f>
        <v>3150.22</v>
      </c>
      <c r="AQ145" s="20">
        <f>+AQ37</f>
        <v>3298.3</v>
      </c>
      <c r="AR145" s="20">
        <f>+AR37</f>
        <v>3010.5</v>
      </c>
      <c r="AS145" s="20">
        <f>+AVERAGE(AG145:AR145)</f>
        <v>3054.91833333333</v>
      </c>
      <c r="AT145" s="20">
        <f>+AS145*(1+$D$121)</f>
        <v>3065.6105475</v>
      </c>
      <c r="AU145" s="20">
        <f>+AT145*(1+$D$121)</f>
        <v>3076.34018441625</v>
      </c>
      <c r="AV145" s="20">
        <f>+AU145*(1+$D$121)</f>
        <v>3087.10737506171</v>
      </c>
      <c r="AW145" s="20">
        <f>+AV145*(1+$D$121)</f>
        <v>3097.91225087442</v>
      </c>
      <c r="AX145" s="20">
        <f>+AW145*(1+$D$121)</f>
        <v>3108.75494375248</v>
      </c>
      <c r="AY145" s="20">
        <f>+AX145*(1+$D$121)</f>
        <v>3119.63558605562</v>
      </c>
      <c r="AZ145" s="20">
        <f>+AY145*(1+$D$121)</f>
        <v>3130.55431060681</v>
      </c>
      <c r="BA145" s="20">
        <f>+AZ145*(1+$D$121)</f>
        <v>3141.51125069394</v>
      </c>
      <c r="BB145" s="20">
        <f>+BA145*(1+$D$121)</f>
        <v>3152.50654007137</v>
      </c>
      <c r="BC145" s="20">
        <f>+BB145*(1+$D$121)</f>
        <v>3163.54031296162</v>
      </c>
      <c r="BD145" s="20">
        <f>+BC145*(1+$D$121)</f>
        <v>3174.61270405698</v>
      </c>
      <c r="BE145" s="20">
        <f>+BD145*(1+$D$121)</f>
        <v>3185.72384852118</v>
      </c>
      <c r="BF145" s="20">
        <f>+BE145*(1+$D$121)</f>
        <v>3196.87388199101</v>
      </c>
      <c r="BG145" s="20">
        <f>+BF145*(1+$D$121)</f>
        <v>3208.06294057797</v>
      </c>
      <c r="BH145" s="20">
        <f>+BG145*(1+$D$121)</f>
        <v>3219.29116087</v>
      </c>
      <c r="BI145" s="20">
        <f>+BH145*(1+$D$121)</f>
        <v>3230.55867993304</v>
      </c>
      <c r="BJ145" s="20">
        <f>+BI145*(1+$D$121)</f>
        <v>3241.86563531281</v>
      </c>
      <c r="BK145" s="20">
        <f>+BJ145*(1+$D$121)</f>
        <v>3253.2121650364</v>
      </c>
      <c r="BL145" s="20">
        <f>+BK145*(1+$D$121)</f>
        <v>3264.59840761403</v>
      </c>
      <c r="BM145" s="20">
        <f>+BL145*(1+$D$121)</f>
        <v>3276.02450204068</v>
      </c>
      <c r="BN145" s="20">
        <f>+BM145*(1+$D$121)</f>
        <v>3287.49058779782</v>
      </c>
      <c r="BO145" s="20">
        <f>+BN145*(1+$D$121)</f>
        <v>3298.99680485512</v>
      </c>
      <c r="BP145" s="20">
        <f>+BO145*(1+$D$121)</f>
        <v>3310.54329367211</v>
      </c>
      <c r="BQ145" s="20">
        <f>+BP145*(1+$D$121)</f>
        <v>3322.13019519996</v>
      </c>
    </row>
    <row r="146">
      <c r="C146" s="4" t="inlineStr">
        <is>
          <t>Total Occupancy Costs</t>
        </is>
      </c>
    </row>
    <row r="148">
      <c r="C148" s="2" t="inlineStr">
        <is>
          <t>Drugs &amp; Medical Supplies</t>
        </is>
      </c>
    </row>
    <row r="149">
      <c r="C149" s="3" t="inlineStr">
        <is>
          <t>Medical Supplies</t>
        </is>
      </c>
      <c r="D149" s="4" t="inlineStr">
        <is>
          <t>% of revenue</t>
        </is>
      </c>
      <c r="J149" s="11">
        <f>+IFERROR(J41/J$10,)</f>
        <v>0.0251038127595319</v>
      </c>
      <c r="K149" s="11">
        <f>+IFERROR(K41/K$10,)</f>
        <v>0.0245533382091735</v>
      </c>
      <c r="L149" s="11">
        <f>+IFERROR(L41/L$10,)</f>
        <v>0.0243045666002089</v>
      </c>
      <c r="M149" s="11">
        <f>+IFERROR(M41/M$10,)</f>
        <v>0.0252756904459842</v>
      </c>
      <c r="N149" s="11">
        <f>+IFERROR(N41/N$10,)</f>
        <v>0.0248027057497182</v>
      </c>
      <c r="O149" s="11">
        <f>+IFERROR(O41/O$10,)</f>
        <v>0.0258071149496196</v>
      </c>
      <c r="P149" s="11">
        <f>+IFERROR(P41/P$10,)</f>
        <v>0.024033535165347</v>
      </c>
      <c r="Q149" s="11">
        <f>+IFERROR(Q41/Q$10,)</f>
        <v>0.0241479861490796</v>
      </c>
      <c r="R149" s="11">
        <f>+IFERROR(R41/R$10,)</f>
        <v>0.0256384971896263</v>
      </c>
      <c r="S149" s="11">
        <f>+IFERROR(S41/S$10,)</f>
        <v>0.0256221349050426</v>
      </c>
      <c r="T149" s="11">
        <f>+IFERROR(T41/T$10,)</f>
        <v>0.0241814076025593</v>
      </c>
      <c r="U149" s="11">
        <f>+IFERROR(U41/U$10,)</f>
        <v>0.0260248507973779</v>
      </c>
      <c r="V149" s="11">
        <f>+IFERROR(V41/V$10,)</f>
        <v>0.0238486131513004</v>
      </c>
      <c r="W149" s="11">
        <f>+IFERROR(W41/W$10,)</f>
        <v>0.0239432143235512</v>
      </c>
      <c r="X149" s="11">
        <f>+IFERROR(X41/X$10,)</f>
        <v>0.0256955356317589</v>
      </c>
      <c r="Y149" s="11">
        <f>+IFERROR(Y41/Y$10,)</f>
        <v>0.0257023311416617</v>
      </c>
      <c r="Z149" s="11">
        <f>+IFERROR(Z41/Z$10,)</f>
        <v>0.0243619489559165</v>
      </c>
      <c r="AA149" s="11">
        <f>+IFERROR(AA41/AA$10,)</f>
        <v>0.0240257283390087</v>
      </c>
      <c r="AB149" s="11">
        <f>+IFERROR(AB41/AB$10,)</f>
        <v>0.0246709164665949</v>
      </c>
      <c r="AC149" s="11">
        <f>+IFERROR(AC41/AC$10,)</f>
        <v>0.0261489010511684</v>
      </c>
      <c r="AD149" s="11">
        <f>+IFERROR(AD41/AD$10,)</f>
        <v>0.0251779822885918</v>
      </c>
      <c r="AE149" s="11">
        <f>+IFERROR(AE41/AE$10,)</f>
        <v>0.0252601417584075</v>
      </c>
      <c r="AF149" s="11">
        <f>+IFERROR(AF41/AF$10,)</f>
        <v>0.0247529160359719</v>
      </c>
      <c r="AG149" s="11">
        <f>+IFERROR(AG41/AG$10,)</f>
        <v>0.0260368077347129</v>
      </c>
      <c r="AH149" s="11">
        <f>+IFERROR(AH41/AH$10,)</f>
        <v>0.0252005510088323</v>
      </c>
      <c r="AI149" s="11">
        <f>+IFERROR(AI41/AI$10,)</f>
        <v>0.0253855733307788</v>
      </c>
      <c r="AJ149" s="11">
        <f>+IFERROR(AJ41/AJ$10,)</f>
        <v>0.0243784307394253</v>
      </c>
      <c r="AK149" s="11">
        <f>+IFERROR(AK41/AK$10,)</f>
        <v>0.0249786672872547</v>
      </c>
      <c r="AL149" s="11">
        <f>+IFERROR(AL41/AL$10,)</f>
        <v>0.0254726049343159</v>
      </c>
      <c r="AM149" s="11">
        <f>+IFERROR(AM41/AM$10,)</f>
        <v>0.0255892255892256</v>
      </c>
      <c r="AN149" s="11">
        <f>+IFERROR(AN41/AN$10,)</f>
        <v>0.0238884179702551</v>
      </c>
      <c r="AO149" s="11">
        <f>+IFERROR(AO41/AO$10,)</f>
        <v>0.0241686942416869</v>
      </c>
      <c r="AP149" s="11">
        <f>+IFERROR(AP41/AP$10,)</f>
        <v>0.039683609092075</v>
      </c>
      <c r="AQ149" s="11">
        <f>+IFERROR(AQ41/AQ$10,)</f>
        <v>0.0403275262003393</v>
      </c>
      <c r="AR149" s="11">
        <f>+IFERROR(AR41/AR$10,)</f>
        <v>0.0394940159068567</v>
      </c>
      <c r="AS149" s="25" t="n">
        <v>0.0255</v>
      </c>
      <c r="AT149" s="11">
        <f>+AS149</f>
        <v>0.0255</v>
      </c>
      <c r="AU149" s="11">
        <f>+AT149</f>
        <v>0.0255</v>
      </c>
      <c r="AV149" s="11">
        <f>+AU149</f>
        <v>0.0255</v>
      </c>
      <c r="AW149" s="11">
        <f>+AV149</f>
        <v>0.0255</v>
      </c>
      <c r="AX149" s="11">
        <f>+AW149</f>
        <v>0.0255</v>
      </c>
      <c r="AY149" s="11">
        <f>+AX149</f>
        <v>0.0255</v>
      </c>
      <c r="AZ149" s="11">
        <f>+AY149</f>
        <v>0.0255</v>
      </c>
      <c r="BA149" s="11">
        <f>+AZ149</f>
        <v>0.0255</v>
      </c>
      <c r="BB149" s="11">
        <f>+BA149</f>
        <v>0.0255</v>
      </c>
      <c r="BC149" s="11">
        <f>+BB149</f>
        <v>0.0255</v>
      </c>
      <c r="BD149" s="11">
        <f>+BC149</f>
        <v>0.0255</v>
      </c>
      <c r="BE149" s="11">
        <f>+BD149</f>
        <v>0.0255</v>
      </c>
      <c r="BF149" s="11">
        <f>+BE149</f>
        <v>0.0255</v>
      </c>
      <c r="BG149" s="11">
        <f>+BF149</f>
        <v>0.0255</v>
      </c>
      <c r="BH149" s="11">
        <f>+BG149</f>
        <v>0.0255</v>
      </c>
      <c r="BI149" s="11">
        <f>+BH149</f>
        <v>0.0255</v>
      </c>
      <c r="BJ149" s="11">
        <f>+BI149</f>
        <v>0.0255</v>
      </c>
      <c r="BK149" s="11">
        <f>+BJ149</f>
        <v>0.0255</v>
      </c>
      <c r="BL149" s="11">
        <f>+BK149</f>
        <v>0.0255</v>
      </c>
      <c r="BM149" s="11">
        <f>+BL149</f>
        <v>0.0255</v>
      </c>
      <c r="BN149" s="11">
        <f>+BM149</f>
        <v>0.0255</v>
      </c>
      <c r="BO149" s="11">
        <f>+BN149</f>
        <v>0.0255</v>
      </c>
      <c r="BP149" s="11">
        <f>+BO149</f>
        <v>0.0255</v>
      </c>
      <c r="BQ149" s="11">
        <f>+BP149</f>
        <v>0.0255</v>
      </c>
    </row>
    <row r="150">
      <c r="C150" s="3" t="inlineStr">
        <is>
          <t>Lab Supplies</t>
        </is>
      </c>
      <c r="D150" s="4" t="inlineStr">
        <is>
          <t>% of revenue</t>
        </is>
      </c>
      <c r="J150" s="11">
        <f>+IFERROR(J42/J$10,)</f>
        <v>0.0822952057380143</v>
      </c>
      <c r="K150" s="11">
        <f>+IFERROR(K42/K$10,)</f>
        <v>0.0836903144916937</v>
      </c>
      <c r="L150" s="11">
        <f>+IFERROR(L42/L$10,)</f>
        <v>0.0834520079749359</v>
      </c>
      <c r="M150" s="11">
        <f>+IFERROR(M42/M$10,)</f>
        <v>0.0842197716404801</v>
      </c>
      <c r="N150" s="11">
        <f>+IFERROR(N42/N$10,)</f>
        <v>0.0841210649553378</v>
      </c>
      <c r="O150" s="11">
        <f>+IFERROR(O42/O$10,)</f>
        <v>0.0831791075467818</v>
      </c>
      <c r="P150" s="11">
        <f>+IFERROR(P42/P$10,)</f>
        <v>0.0855146716348393</v>
      </c>
      <c r="Q150" s="11">
        <f>+IFERROR(Q42/Q$10,)</f>
        <v>0.0872972480408238</v>
      </c>
      <c r="R150" s="11">
        <f>+IFERROR(R42/R$10,)</f>
        <v>0.0812543141702002</v>
      </c>
      <c r="S150" s="11">
        <f>+IFERROR(S42/S$10,)</f>
        <v>0.0884086444007859</v>
      </c>
      <c r="T150" s="11">
        <f>+IFERROR(T42/T$10,)</f>
        <v>0.0828001505457283</v>
      </c>
      <c r="U150" s="11">
        <f>+IFERROR(U42/U$10,)</f>
        <v>0.0859994129732903</v>
      </c>
      <c r="V150" s="11">
        <f>+IFERROR(V42/V$10,)</f>
        <v>0.0829516979175667</v>
      </c>
      <c r="W150" s="11">
        <f>+IFERROR(W42/W$10,)</f>
        <v>0.0892043648691599</v>
      </c>
      <c r="X150" s="11">
        <f>+IFERROR(X42/X$10,)</f>
        <v>0.082632405952491</v>
      </c>
      <c r="Y150" s="11">
        <f>+IFERROR(Y42/Y$10,)</f>
        <v>0.0832550593459141</v>
      </c>
      <c r="Z150" s="11">
        <f>+IFERROR(Z42/Z$10,)</f>
        <v>0.0812064965197216</v>
      </c>
      <c r="AA150" s="11">
        <f>+IFERROR(AA42/AA$10,)</f>
        <v>0.0876844494892168</v>
      </c>
      <c r="AB150" s="11">
        <f>+IFERROR(AB42/AB$10,)</f>
        <v>0.0848580180478517</v>
      </c>
      <c r="AC150" s="11">
        <f>+IFERROR(AC42/AC$10,)</f>
        <v>0.0841803492311702</v>
      </c>
      <c r="AD150" s="11">
        <f>+IFERROR(AD42/AD$10,)</f>
        <v>0.0811772877235631</v>
      </c>
      <c r="AE150" s="11">
        <f>+IFERROR(AE42/AE$10,)</f>
        <v>0.0841502035892022</v>
      </c>
      <c r="AF150" s="11">
        <f>+IFERROR(AF42/AF$10,)</f>
        <v>0.0888611877838127</v>
      </c>
      <c r="AG150" s="11">
        <f>+IFERROR(AG42/AG$10,)</f>
        <v>0.0866762785175134</v>
      </c>
      <c r="AH150" s="11">
        <f>+IFERROR(AH42/AH$10,)</f>
        <v>0.0884045053075116</v>
      </c>
      <c r="AI150" s="11">
        <f>+IFERROR(AI42/AI$10,)</f>
        <v>0.0814254238911773</v>
      </c>
      <c r="AJ150" s="11">
        <f>+IFERROR(AJ42/AJ$10,)</f>
        <v>0.085082337746206</v>
      </c>
      <c r="AK150" s="11">
        <f>+IFERROR(AK42/AK$10,)</f>
        <v>0.0883562175160965</v>
      </c>
      <c r="AL150" s="11">
        <f>+IFERROR(AL42/AL$10,)</f>
        <v>0.0866709388016661</v>
      </c>
      <c r="AM150" s="11">
        <f>+IFERROR(AM42/AM$10,)</f>
        <v>0.084006734006734</v>
      </c>
      <c r="AN150" s="11">
        <f>+IFERROR(AN42/AN$10,)</f>
        <v>0.0819141558141327</v>
      </c>
      <c r="AO150" s="11">
        <f>+IFERROR(AO42/AO$10,)</f>
        <v>0.0819951338199513</v>
      </c>
      <c r="AP150" s="11">
        <f>+IFERROR(AP42/AP$10,)</f>
        <v>0.0809953598861323</v>
      </c>
      <c r="AQ150" s="11">
        <f>+IFERROR(AQ42/AQ$10,)</f>
        <v>0.0860555000782872</v>
      </c>
      <c r="AR150" s="11">
        <f>+IFERROR(AR42/AR$10,)</f>
        <v>0.083017028699871</v>
      </c>
      <c r="AS150" s="25" t="n">
        <v>0.0864</v>
      </c>
      <c r="AT150" s="11">
        <f>+AS150</f>
        <v>0.0864</v>
      </c>
      <c r="AU150" s="11">
        <f>+AT150</f>
        <v>0.0864</v>
      </c>
      <c r="AV150" s="11">
        <f>+AU150</f>
        <v>0.0864</v>
      </c>
      <c r="AW150" s="11">
        <f>+AV150</f>
        <v>0.0864</v>
      </c>
      <c r="AX150" s="11">
        <f>+AW150</f>
        <v>0.0864</v>
      </c>
      <c r="AY150" s="11">
        <f>+AX150</f>
        <v>0.0864</v>
      </c>
      <c r="AZ150" s="11">
        <f>+AY150</f>
        <v>0.0864</v>
      </c>
      <c r="BA150" s="11">
        <f>+AZ150</f>
        <v>0.0864</v>
      </c>
      <c r="BB150" s="11">
        <f>+BA150</f>
        <v>0.0864</v>
      </c>
      <c r="BC150" s="11">
        <f>+BB150</f>
        <v>0.0864</v>
      </c>
      <c r="BD150" s="11">
        <f>+BC150</f>
        <v>0.0864</v>
      </c>
      <c r="BE150" s="11">
        <f>+BD150</f>
        <v>0.0864</v>
      </c>
      <c r="BF150" s="11">
        <f>+BE150</f>
        <v>0.0864</v>
      </c>
      <c r="BG150" s="11">
        <f>+BF150</f>
        <v>0.0864</v>
      </c>
      <c r="BH150" s="11">
        <f>+BG150</f>
        <v>0.0864</v>
      </c>
      <c r="BI150" s="11">
        <f>+BH150</f>
        <v>0.0864</v>
      </c>
      <c r="BJ150" s="11">
        <f>+BI150</f>
        <v>0.0864</v>
      </c>
      <c r="BK150" s="11">
        <f>+BJ150</f>
        <v>0.0864</v>
      </c>
      <c r="BL150" s="11">
        <f>+BK150</f>
        <v>0.0864</v>
      </c>
      <c r="BM150" s="11">
        <f>+BL150</f>
        <v>0.0864</v>
      </c>
      <c r="BN150" s="11">
        <f>+BM150</f>
        <v>0.0864</v>
      </c>
      <c r="BO150" s="11">
        <f>+BN150</f>
        <v>0.0864</v>
      </c>
      <c r="BP150" s="11">
        <f>+BO150</f>
        <v>0.0864</v>
      </c>
      <c r="BQ150" s="11">
        <f>+BP150</f>
        <v>0.0864</v>
      </c>
    </row>
    <row r="151">
      <c r="C151" s="3" t="inlineStr">
        <is>
          <t>Drugs</t>
        </is>
      </c>
      <c r="D151" s="4" t="inlineStr">
        <is>
          <t>% of revenue</t>
        </is>
      </c>
      <c r="J151" s="11">
        <f>+IFERROR(J43/J$10,)</f>
        <v>0.00877689694224236</v>
      </c>
      <c r="K151" s="11">
        <f>+IFERROR(K43/K$10,)</f>
        <v>0.00919444154215861</v>
      </c>
      <c r="L151" s="11">
        <f>+IFERROR(L43/L$10,)</f>
        <v>0.00920915218836039</v>
      </c>
      <c r="M151" s="11">
        <f>+IFERROR(M43/M$10,)</f>
        <v>0.00888064799453499</v>
      </c>
      <c r="N151" s="11">
        <f>+IFERROR(N43/N$10,)</f>
        <v>0.00884572023241696</v>
      </c>
      <c r="O151" s="11">
        <f>+IFERROR(O43/O$10,)</f>
        <v>0.00945918157515937</v>
      </c>
      <c r="P151" s="11">
        <f>+IFERROR(P43/P$10,)</f>
        <v>0.00912901723334886</v>
      </c>
      <c r="Q151" s="11">
        <f>+IFERROR(Q43/Q$10,)</f>
        <v>0.00920357207946054</v>
      </c>
      <c r="R151" s="11">
        <f>+IFERROR(R43/R$10,)</f>
        <v>0.0089734740163692</v>
      </c>
      <c r="S151" s="11">
        <f>+IFERROR(S43/S$10,)</f>
        <v>0.00941388343156516</v>
      </c>
      <c r="T151" s="11">
        <f>+IFERROR(T43/T$10,)</f>
        <v>0.00856228829506963</v>
      </c>
      <c r="U151" s="11">
        <f>+IFERROR(U43/U$10,)</f>
        <v>0.00870756286077683</v>
      </c>
      <c r="V151" s="11">
        <f>+IFERROR(V43/V$10,)</f>
        <v>0.00898643394106973</v>
      </c>
      <c r="W151" s="11">
        <f>+IFERROR(W43/W$10,)</f>
        <v>0.00932302150651552</v>
      </c>
      <c r="X151" s="11">
        <f>+IFERROR(X43/X$10,)</f>
        <v>0.00859598853868195</v>
      </c>
      <c r="Y151" s="11">
        <f>+IFERROR(Y43/Y$10,)</f>
        <v>0.00896592946802152</v>
      </c>
      <c r="Z151" s="11">
        <f>+IFERROR(Z43/Z$10,)</f>
        <v>0.00878355982764336</v>
      </c>
      <c r="AA151" s="11">
        <f>+IFERROR(AA43/AA$10,)</f>
        <v>0.00926976920166477</v>
      </c>
      <c r="AB151" s="11">
        <f>+IFERROR(AB43/AB$10,)</f>
        <v>0.00877556089080222</v>
      </c>
      <c r="AC151" s="11">
        <f>+IFERROR(AC43/AC$10,)</f>
        <v>0.00894796281817392</v>
      </c>
      <c r="AD151" s="11">
        <f>+IFERROR(AD43/AD$10,)</f>
        <v>0.00868206285813509</v>
      </c>
      <c r="AE151" s="11">
        <f>+IFERROR(AE43/AE$10,)</f>
        <v>0.00897300557985221</v>
      </c>
      <c r="AF151" s="11">
        <f>+IFERROR(AF43/AF$10,)</f>
        <v>0.00934912296322678</v>
      </c>
      <c r="AG151" s="11">
        <f>+IFERROR(AG43/AG$10,)</f>
        <v>0.00924433890255279</v>
      </c>
      <c r="AH151" s="11">
        <f>+IFERROR(AH43/AH$10,)</f>
        <v>0.00939956243416255</v>
      </c>
      <c r="AI151" s="11">
        <f>+IFERROR(AI43/AI$10,)</f>
        <v>0.00862151547083054</v>
      </c>
      <c r="AJ151" s="11">
        <f>+IFERROR(AJ43/AJ$10,)</f>
        <v>0.00896028414594769</v>
      </c>
      <c r="AK151" s="11">
        <f>+IFERROR(AK43/AK$10,)</f>
        <v>0.00884337910169886</v>
      </c>
      <c r="AL151" s="11">
        <f>+IFERROR(AL43/AL$10,)</f>
        <v>0.0093719961550785</v>
      </c>
      <c r="AM151" s="11">
        <f>+IFERROR(AM43/AM$10,)</f>
        <v>0.00934343434343434</v>
      </c>
      <c r="AN151" s="11">
        <f>+IFERROR(AN43/AN$10,)</f>
        <v>0.0093241889496802</v>
      </c>
      <c r="AO151" s="11">
        <f>+IFERROR(AO43/AO$10,)</f>
        <v>0.00867802108678021</v>
      </c>
      <c r="AP151" s="11">
        <f>+IFERROR(AP43/AP$10,)</f>
        <v>0</v>
      </c>
      <c r="AQ151" s="11">
        <f>+IFERROR(AQ43/AQ$10,)</f>
        <v>0</v>
      </c>
      <c r="AR151" s="11">
        <f>+IFERROR(AR43/AR$10,)</f>
        <v>0</v>
      </c>
      <c r="AS151" s="25" t="n">
        <v>0.0089</v>
      </c>
      <c r="AT151" s="11">
        <f>+AS151</f>
        <v>0.0089</v>
      </c>
      <c r="AU151" s="11">
        <f>+AT151</f>
        <v>0.0089</v>
      </c>
      <c r="AV151" s="11">
        <f>+AU151</f>
        <v>0.0089</v>
      </c>
      <c r="AW151" s="11">
        <f>+AV151</f>
        <v>0.0089</v>
      </c>
      <c r="AX151" s="11">
        <f>+AW151</f>
        <v>0.0089</v>
      </c>
      <c r="AY151" s="11">
        <f>+AX151</f>
        <v>0.0089</v>
      </c>
      <c r="AZ151" s="11">
        <f>+AY151</f>
        <v>0.0089</v>
      </c>
      <c r="BA151" s="11">
        <f>+AZ151</f>
        <v>0.0089</v>
      </c>
      <c r="BB151" s="11">
        <f>+BA151</f>
        <v>0.0089</v>
      </c>
      <c r="BC151" s="11">
        <f>+BB151</f>
        <v>0.0089</v>
      </c>
      <c r="BD151" s="11">
        <f>+BC151</f>
        <v>0.0089</v>
      </c>
      <c r="BE151" s="11">
        <f>+BD151</f>
        <v>0.0089</v>
      </c>
      <c r="BF151" s="11">
        <f>+BE151</f>
        <v>0.0089</v>
      </c>
      <c r="BG151" s="11">
        <f>+BF151</f>
        <v>0.0089</v>
      </c>
      <c r="BH151" s="11">
        <f>+BG151</f>
        <v>0.0089</v>
      </c>
      <c r="BI151" s="11">
        <f>+BH151</f>
        <v>0.0089</v>
      </c>
      <c r="BJ151" s="11">
        <f>+BI151</f>
        <v>0.0089</v>
      </c>
      <c r="BK151" s="11">
        <f>+BJ151</f>
        <v>0.0089</v>
      </c>
      <c r="BL151" s="11">
        <f>+BK151</f>
        <v>0.0089</v>
      </c>
      <c r="BM151" s="11">
        <f>+BL151</f>
        <v>0.0089</v>
      </c>
      <c r="BN151" s="11">
        <f>+BM151</f>
        <v>0.0089</v>
      </c>
      <c r="BO151" s="11">
        <f>+BN151</f>
        <v>0.0089</v>
      </c>
      <c r="BP151" s="11">
        <f>+BO151</f>
        <v>0.0089</v>
      </c>
      <c r="BQ151" s="11">
        <f>+BP151</f>
        <v>0.0089</v>
      </c>
    </row>
    <row r="152">
      <c r="C152" s="3" t="inlineStr">
        <is>
          <t>Pharmacy</t>
        </is>
      </c>
      <c r="D152" s="4" t="inlineStr">
        <is>
          <t>% of revenue</t>
        </is>
      </c>
      <c r="J152" s="11">
        <f>+IFERROR(J44/J$10,)</f>
        <v>0.00604001510003775</v>
      </c>
      <c r="K152" s="11">
        <f>+IFERROR(K44/K$10,)</f>
        <v>0.00574652596384913</v>
      </c>
      <c r="L152" s="11">
        <f>+IFERROR(L44/L$10,)</f>
        <v>0.00617108136333428</v>
      </c>
      <c r="M152" s="11">
        <f>+IFERROR(M44/M$10,)</f>
        <v>0.00575778276568752</v>
      </c>
      <c r="N152" s="11">
        <f>+IFERROR(N44/N$10,)</f>
        <v>0.00607059231636458</v>
      </c>
      <c r="O152" s="11">
        <f>+IFERROR(O44/O$10,)</f>
        <v>0.00606621427102612</v>
      </c>
      <c r="P152" s="11">
        <f>+IFERROR(P44/P$10,)</f>
        <v>0.00577550069864928</v>
      </c>
      <c r="Q152" s="11">
        <f>+IFERROR(Q44/Q$10,)</f>
        <v>0.00574084199015856</v>
      </c>
      <c r="R152" s="11">
        <f>+IFERROR(R44/R$10,)</f>
        <v>0.00571935706537817</v>
      </c>
      <c r="S152" s="11">
        <f>+IFERROR(S44/S$10,)</f>
        <v>0.00622134905042567</v>
      </c>
      <c r="T152" s="11">
        <f>+IFERROR(T44/T$10,)</f>
        <v>0.00611592021076402</v>
      </c>
      <c r="U152" s="11">
        <f>+IFERROR(U44/U$10,)</f>
        <v>0.00587026709715292</v>
      </c>
      <c r="V152" s="11">
        <f>+IFERROR(V44/V$10,)</f>
        <v>0.00587574526916098</v>
      </c>
      <c r="W152" s="11">
        <f>+IFERROR(W44/W$10,)</f>
        <v>0.0057209450153618</v>
      </c>
      <c r="X152" s="11">
        <f>+IFERROR(X44/X$10,)</f>
        <v>0.00600794897864867</v>
      </c>
      <c r="Y152" s="11">
        <f>+IFERROR(Y44/Y$10,)</f>
        <v>0.005891896507557</v>
      </c>
      <c r="Z152" s="11">
        <f>+IFERROR(Z44/Z$10,)</f>
        <v>0.00604905535299967</v>
      </c>
      <c r="AA152" s="11">
        <f>+IFERROR(AA44/AA$10,)</f>
        <v>0.00586454786227772</v>
      </c>
      <c r="AB152" s="11">
        <f>+IFERROR(AB44/AB$10,)</f>
        <v>0.00604354665121285</v>
      </c>
      <c r="AC152" s="11">
        <f>+IFERROR(AC44/AC$10,)</f>
        <v>0.00590739292850317</v>
      </c>
      <c r="AD152" s="11">
        <f>+IFERROR(AD44/AD$10,)</f>
        <v>0.00581698211495051</v>
      </c>
      <c r="AE152" s="11">
        <f>+IFERROR(AE44/AE$10,)</f>
        <v>0.00603227265872417</v>
      </c>
      <c r="AF152" s="11">
        <f>+IFERROR(AF44/AF$10,)</f>
        <v>0.00632178790846763</v>
      </c>
      <c r="AG152" s="11">
        <f>+IFERROR(AG44/AG$10,)</f>
        <v>0.00627597319989823</v>
      </c>
      <c r="AH152" s="11">
        <f>+IFERROR(AH44/AH$10,)</f>
        <v>0.00575318045539259</v>
      </c>
      <c r="AI152" s="11">
        <f>+IFERROR(AI44/AI$10,)</f>
        <v>0.00574767698055369</v>
      </c>
      <c r="AJ152" s="11">
        <f>+IFERROR(AJ44/AJ$10,)</f>
        <v>0.00573135292218276</v>
      </c>
      <c r="AK152" s="11">
        <f>+IFERROR(AK44/AK$10,)</f>
        <v>0.00620588007136762</v>
      </c>
      <c r="AL152" s="11">
        <f>+IFERROR(AL44/AL$10,)</f>
        <v>0.00576738224927908</v>
      </c>
      <c r="AM152" s="11">
        <f>+IFERROR(AM44/AM$10,)</f>
        <v>0.00572390572390572</v>
      </c>
      <c r="AN152" s="11">
        <f>+IFERROR(AN44/AN$10,)</f>
        <v>0.00593357478616013</v>
      </c>
      <c r="AO152" s="11">
        <f>+IFERROR(AO44/AO$10,)</f>
        <v>0.00624493106244931</v>
      </c>
      <c r="AP152" s="11">
        <f>+IFERROR(AP44/AP$10,)</f>
        <v>0</v>
      </c>
      <c r="AQ152" s="11">
        <f>+IFERROR(AQ44/AQ$10,)</f>
        <v>0</v>
      </c>
      <c r="AR152" s="11">
        <f>+IFERROR(AR44/AR$10,)</f>
        <v>0</v>
      </c>
      <c r="AS152" s="25" t="n">
        <v>0.0058</v>
      </c>
      <c r="AT152" s="11">
        <f>+AS152</f>
        <v>0.0058</v>
      </c>
      <c r="AU152" s="11">
        <f>+AT152</f>
        <v>0.0058</v>
      </c>
      <c r="AV152" s="11">
        <f>+AU152</f>
        <v>0.0058</v>
      </c>
      <c r="AW152" s="11">
        <f>+AV152</f>
        <v>0.0058</v>
      </c>
      <c r="AX152" s="11">
        <f>+AW152</f>
        <v>0.0058</v>
      </c>
      <c r="AY152" s="11">
        <f>+AX152</f>
        <v>0.0058</v>
      </c>
      <c r="AZ152" s="11">
        <f>+AY152</f>
        <v>0.0058</v>
      </c>
      <c r="BA152" s="11">
        <f>+AZ152</f>
        <v>0.0058</v>
      </c>
      <c r="BB152" s="11">
        <f>+BA152</f>
        <v>0.0058</v>
      </c>
      <c r="BC152" s="11">
        <f>+BB152</f>
        <v>0.0058</v>
      </c>
      <c r="BD152" s="11">
        <f>+BC152</f>
        <v>0.0058</v>
      </c>
      <c r="BE152" s="11">
        <f>+BD152</f>
        <v>0.0058</v>
      </c>
      <c r="BF152" s="11">
        <f>+BE152</f>
        <v>0.0058</v>
      </c>
      <c r="BG152" s="11">
        <f>+BF152</f>
        <v>0.0058</v>
      </c>
      <c r="BH152" s="11">
        <f>+BG152</f>
        <v>0.0058</v>
      </c>
      <c r="BI152" s="11">
        <f>+BH152</f>
        <v>0.0058</v>
      </c>
      <c r="BJ152" s="11">
        <f>+BI152</f>
        <v>0.0058</v>
      </c>
      <c r="BK152" s="11">
        <f>+BJ152</f>
        <v>0.0058</v>
      </c>
      <c r="BL152" s="11">
        <f>+BK152</f>
        <v>0.0058</v>
      </c>
      <c r="BM152" s="11">
        <f>+BL152</f>
        <v>0.0058</v>
      </c>
      <c r="BN152" s="11">
        <f>+BM152</f>
        <v>0.0058</v>
      </c>
      <c r="BO152" s="11">
        <f>+BN152</f>
        <v>0.0058</v>
      </c>
      <c r="BP152" s="11">
        <f>+BO152</f>
        <v>0.0058</v>
      </c>
      <c r="BQ152" s="11">
        <f>+BP152</f>
        <v>0.0058</v>
      </c>
    </row>
    <row r="153">
      <c r="C153" s="4" t="inlineStr">
        <is>
          <t>Total Drugs &amp; Medical Supplies</t>
        </is>
      </c>
    </row>
    <row r="155">
      <c r="C155" s="2" t="inlineStr">
        <is>
          <t>Ancillary Services &amp; Supplies</t>
        </is>
      </c>
    </row>
    <row r="156">
      <c r="C156" s="3" t="inlineStr">
        <is>
          <t>Laboratory Fees</t>
        </is>
      </c>
      <c r="D156" s="4" t="inlineStr">
        <is>
          <t>% of revenue</t>
        </is>
      </c>
      <c r="J156" s="11">
        <f>+IFERROR(J48/J$10,)</f>
        <v>0.055681389203473</v>
      </c>
      <c r="K156" s="11">
        <f>+IFERROR(K48/K$10,)</f>
        <v>0.0583011179605057</v>
      </c>
      <c r="L156" s="11">
        <f>+IFERROR(L48/L$10,)</f>
        <v>0.0560144308364189</v>
      </c>
      <c r="M156" s="11">
        <f>+IFERROR(M48/M$10,)</f>
        <v>0.0569922904264663</v>
      </c>
      <c r="N156" s="11">
        <f>+IFERROR(N48/N$10,)</f>
        <v>0.0600988639320094</v>
      </c>
      <c r="O156" s="11">
        <f>+IFERROR(O48/O$10,)</f>
        <v>0.0562410034957845</v>
      </c>
      <c r="P156" s="11">
        <f>+IFERROR(P48/P$10,)</f>
        <v>0.0600838379133675</v>
      </c>
      <c r="Q156" s="11">
        <f>+IFERROR(Q48/Q$10,)</f>
        <v>0.0601421541826135</v>
      </c>
      <c r="R156" s="11">
        <f>+IFERROR(R48/R$10,)</f>
        <v>0.0573907898629327</v>
      </c>
      <c r="S156" s="11">
        <f>+IFERROR(S48/S$10,)</f>
        <v>0.0553372626064178</v>
      </c>
      <c r="T156" s="11">
        <f>+IFERROR(T48/T$10,)</f>
        <v>0.0557019194580354</v>
      </c>
      <c r="U156" s="11">
        <f>+IFERROR(U48/U$10,)</f>
        <v>0.0568437530574308</v>
      </c>
      <c r="V156" s="11">
        <f>+IFERROR(V48/V$10,)</f>
        <v>0.0561652121316858</v>
      </c>
      <c r="W156" s="11">
        <f>+IFERROR(W48/W$10,)</f>
        <v>0.0608115266447717</v>
      </c>
      <c r="X156" s="11">
        <f>+IFERROR(X48/X$10,)</f>
        <v>0.0552731306035678</v>
      </c>
      <c r="Y156" s="11">
        <f>+IFERROR(Y48/Y$10,)</f>
        <v>0.0597728631201434</v>
      </c>
      <c r="Z156" s="11">
        <f>+IFERROR(Z48/Z$10,)</f>
        <v>0.058584686774942</v>
      </c>
      <c r="AA156" s="11">
        <f>+IFERROR(AA48/AA$10,)</f>
        <v>0.0581725312145289</v>
      </c>
      <c r="AB156" s="11">
        <f>+IFERROR(AB48/AB$10,)</f>
        <v>0.0562132626873086</v>
      </c>
      <c r="AC156" s="11">
        <f>+IFERROR(AC48/AC$10,)</f>
        <v>0.0562939796716185</v>
      </c>
      <c r="AD156" s="11">
        <f>+IFERROR(AD48/AD$10,)</f>
        <v>0.0561729466921341</v>
      </c>
      <c r="AE156" s="11">
        <f>+IFERROR(AE48/AE$10,)</f>
        <v>0.057834414115518</v>
      </c>
      <c r="AF156" s="11">
        <f>+IFERROR(AF48/AF$10,)</f>
        <v>0.0602795832962336</v>
      </c>
      <c r="AG156" s="11">
        <f>+IFERROR(AG48/AG$10,)</f>
        <v>0.0559748961072004</v>
      </c>
      <c r="AH156" s="11">
        <f>+IFERROR(AH48/AH$10,)</f>
        <v>0.0589903573454339</v>
      </c>
      <c r="AI156" s="11">
        <f>+IFERROR(AI48/AI$10,)</f>
        <v>0.0589136890506754</v>
      </c>
      <c r="AJ156" s="11">
        <f>+IFERROR(AJ48/AJ$10,)</f>
        <v>0.0586051017113336</v>
      </c>
      <c r="AK156" s="11">
        <f>+IFERROR(AK48/AK$10,)</f>
        <v>0.0595764486851292</v>
      </c>
      <c r="AL156" s="11">
        <f>+IFERROR(AL48/AL$10,)</f>
        <v>0.056231976930471</v>
      </c>
      <c r="AM156" s="11">
        <f>+IFERROR(AM48/AM$10,)</f>
        <v>0.0556397306397306</v>
      </c>
      <c r="AN156" s="11">
        <f>+IFERROR(AN48/AN$10,)</f>
        <v>0.0550974801572012</v>
      </c>
      <c r="AO156" s="11">
        <f>+IFERROR(AO48/AO$10,)</f>
        <v>0.0605028386050284</v>
      </c>
      <c r="AP156" s="11">
        <f>+IFERROR(AP48/AP$10,)</f>
        <v>0.0570085228918746</v>
      </c>
      <c r="AQ156" s="11">
        <f>+IFERROR(AQ48/AQ$10,)</f>
        <v>0.0552363401813541</v>
      </c>
      <c r="AR156" s="11">
        <f>+IFERROR(AR48/AR$10,)</f>
        <v>0.0590349985392614</v>
      </c>
      <c r="AS156" s="25" t="n">
        <v>0.0584</v>
      </c>
      <c r="AT156" s="11">
        <f>+AS156</f>
        <v>0.0584</v>
      </c>
      <c r="AU156" s="11">
        <f>+AT156</f>
        <v>0.0584</v>
      </c>
      <c r="AV156" s="11">
        <f>+AU156</f>
        <v>0.0584</v>
      </c>
      <c r="AW156" s="11">
        <f>+AV156</f>
        <v>0.0584</v>
      </c>
      <c r="AX156" s="11">
        <f>+AW156</f>
        <v>0.0584</v>
      </c>
      <c r="AY156" s="11">
        <f>+AX156</f>
        <v>0.0584</v>
      </c>
      <c r="AZ156" s="11">
        <f>+AY156</f>
        <v>0.0584</v>
      </c>
      <c r="BA156" s="11">
        <f>+AZ156</f>
        <v>0.0584</v>
      </c>
      <c r="BB156" s="11">
        <f>+BA156</f>
        <v>0.0584</v>
      </c>
      <c r="BC156" s="11">
        <f>+BB156</f>
        <v>0.0584</v>
      </c>
      <c r="BD156" s="11">
        <f>+BC156</f>
        <v>0.0584</v>
      </c>
      <c r="BE156" s="11">
        <f>+BD156</f>
        <v>0.0584</v>
      </c>
      <c r="BF156" s="11">
        <f>+BE156</f>
        <v>0.0584</v>
      </c>
      <c r="BG156" s="11">
        <f>+BF156</f>
        <v>0.0584</v>
      </c>
      <c r="BH156" s="11">
        <f>+BG156</f>
        <v>0.0584</v>
      </c>
      <c r="BI156" s="11">
        <f>+BH156</f>
        <v>0.0584</v>
      </c>
      <c r="BJ156" s="11">
        <f>+BI156</f>
        <v>0.0584</v>
      </c>
      <c r="BK156" s="11">
        <f>+BJ156</f>
        <v>0.0584</v>
      </c>
      <c r="BL156" s="11">
        <f>+BK156</f>
        <v>0.0584</v>
      </c>
      <c r="BM156" s="11">
        <f>+BL156</f>
        <v>0.0584</v>
      </c>
      <c r="BN156" s="11">
        <f>+BM156</f>
        <v>0.0584</v>
      </c>
      <c r="BO156" s="11">
        <f>+BN156</f>
        <v>0.0584</v>
      </c>
      <c r="BP156" s="11">
        <f>+BO156</f>
        <v>0.0584</v>
      </c>
      <c r="BQ156" s="11">
        <f>+BP156</f>
        <v>0.0584</v>
      </c>
    </row>
    <row r="157">
      <c r="C157" s="3" t="inlineStr">
        <is>
          <t>Other Lab Expenses</t>
        </is>
      </c>
      <c r="D157" s="4" t="inlineStr">
        <is>
          <t>% of revenue</t>
        </is>
      </c>
      <c r="J157" s="11">
        <f>+IFERROR(J49/J$10,)</f>
        <v>0.00688939222348056</v>
      </c>
      <c r="K157" s="11">
        <f>+IFERROR(K49/K$10,)</f>
        <v>0.00689583115661895</v>
      </c>
      <c r="L157" s="11">
        <f>+IFERROR(L49/L$10,)</f>
        <v>0.00674071964302668</v>
      </c>
      <c r="M157" s="11">
        <f>+IFERROR(M49/M$10,)</f>
        <v>0.00712403630330829</v>
      </c>
      <c r="N157" s="11">
        <f>+IFERROR(N49/N$10,)</f>
        <v>0.00685109704275431</v>
      </c>
      <c r="O157" s="11">
        <f>+IFERROR(O49/O$10,)</f>
        <v>0.00668311741723216</v>
      </c>
      <c r="P157" s="11">
        <f>+IFERROR(P49/P$10,)</f>
        <v>0.00698649278062413</v>
      </c>
      <c r="Q157" s="11">
        <f>+IFERROR(Q49/Q$10,)</f>
        <v>0.00701658465463824</v>
      </c>
      <c r="R157" s="11">
        <f>+IFERROR(R49/R$10,)</f>
        <v>0.00719850113401045</v>
      </c>
      <c r="S157" s="11">
        <f>+IFERROR(S49/S$10,)</f>
        <v>0.00728552717747217</v>
      </c>
      <c r="T157" s="11">
        <f>+IFERROR(T49/T$10,)</f>
        <v>0.00677455777192322</v>
      </c>
      <c r="U157" s="11">
        <f>+IFERROR(U49/U$10,)</f>
        <v>0.00704432051658351</v>
      </c>
      <c r="V157" s="11">
        <f>+IFERROR(V49/V$10,)</f>
        <v>0.00725827356778709</v>
      </c>
      <c r="W157" s="11">
        <f>+IFERROR(W49/W$10,)</f>
        <v>0.00731009640851785</v>
      </c>
      <c r="X157" s="11">
        <f>+IFERROR(X49/X$10,)</f>
        <v>0.00730196875866531</v>
      </c>
      <c r="Y157" s="11">
        <f>+IFERROR(Y49/Y$10,)</f>
        <v>0.00708735376995987</v>
      </c>
      <c r="Z157" s="11">
        <f>+IFERROR(Z49/Z$10,)</f>
        <v>0.00712628438846536</v>
      </c>
      <c r="AA157" s="11">
        <f>+IFERROR(AA49/AA$10,)</f>
        <v>0.00728339008702232</v>
      </c>
      <c r="AB157" s="11">
        <f>+IFERROR(AB49/AB$10,)</f>
        <v>0.00720258299528107</v>
      </c>
      <c r="AC157" s="11">
        <f>+IFERROR(AC49/AC$10,)</f>
        <v>0.0072973677352098</v>
      </c>
      <c r="AD157" s="11">
        <f>+IFERROR(AD49/AD$10,)</f>
        <v>0.00677200902934537</v>
      </c>
      <c r="AE157" s="11">
        <f>+IFERROR(AE49/AE$10,)</f>
        <v>0.0067863067410647</v>
      </c>
      <c r="AF157" s="11">
        <f>+IFERROR(AF49/AF$10,)</f>
        <v>0.00712314130531564</v>
      </c>
      <c r="AG157" s="11">
        <f>+IFERROR(AG49/AG$10,)</f>
        <v>0.00712407768637096</v>
      </c>
      <c r="AH157" s="11">
        <f>+IFERROR(AH49/AH$10,)</f>
        <v>0.00721173324690058</v>
      </c>
      <c r="AI157" s="11">
        <f>+IFERROR(AI49/AI$10,)</f>
        <v>0.00670562314397931</v>
      </c>
      <c r="AJ157" s="11">
        <f>+IFERROR(AJ49/AJ$10,)</f>
        <v>0.0072650952534711</v>
      </c>
      <c r="AK157" s="11">
        <f>+IFERROR(AK49/AK$10,)</f>
        <v>0.00713676208207276</v>
      </c>
      <c r="AL157" s="11">
        <f>+IFERROR(AL49/AL$10,)</f>
        <v>0.00712912528035886</v>
      </c>
      <c r="AM157" s="11">
        <f>+IFERROR(AM49/AM$10,)</f>
        <v>0.00698653198653199</v>
      </c>
      <c r="AN157" s="11">
        <f>+IFERROR(AN49/AN$10,)</f>
        <v>0.00732064421669107</v>
      </c>
      <c r="AO157" s="11">
        <f>+IFERROR(AO49/AO$10,)</f>
        <v>0.00673154906731549</v>
      </c>
      <c r="AP157" s="11">
        <f>+IFERROR(AP49/AP$10,)</f>
        <v>0.0159973684115406</v>
      </c>
      <c r="AQ157" s="11">
        <f>+IFERROR(AQ49/AQ$10,)</f>
        <v>0.0156409910191386</v>
      </c>
      <c r="AR157" s="11">
        <f>+IFERROR(AR49/AR$10,)</f>
        <v>0.0163841867874125</v>
      </c>
      <c r="AS157" s="25" t="n">
        <v>0.0071</v>
      </c>
      <c r="AT157" s="11">
        <f>+AS157</f>
        <v>0.0071</v>
      </c>
      <c r="AU157" s="11">
        <f>+AT157</f>
        <v>0.0071</v>
      </c>
      <c r="AV157" s="11">
        <f>+AU157</f>
        <v>0.0071</v>
      </c>
      <c r="AW157" s="11">
        <f>+AV157</f>
        <v>0.0071</v>
      </c>
      <c r="AX157" s="11">
        <f>+AW157</f>
        <v>0.0071</v>
      </c>
      <c r="AY157" s="11">
        <f>+AX157</f>
        <v>0.0071</v>
      </c>
      <c r="AZ157" s="11">
        <f>+AY157</f>
        <v>0.0071</v>
      </c>
      <c r="BA157" s="11">
        <f>+AZ157</f>
        <v>0.0071</v>
      </c>
      <c r="BB157" s="11">
        <f>+BA157</f>
        <v>0.0071</v>
      </c>
      <c r="BC157" s="11">
        <f>+BB157</f>
        <v>0.0071</v>
      </c>
      <c r="BD157" s="11">
        <f>+BC157</f>
        <v>0.0071</v>
      </c>
      <c r="BE157" s="11">
        <f>+BD157</f>
        <v>0.0071</v>
      </c>
      <c r="BF157" s="11">
        <f>+BE157</f>
        <v>0.0071</v>
      </c>
      <c r="BG157" s="11">
        <f>+BF157</f>
        <v>0.0071</v>
      </c>
      <c r="BH157" s="11">
        <f>+BG157</f>
        <v>0.0071</v>
      </c>
      <c r="BI157" s="11">
        <f>+BH157</f>
        <v>0.0071</v>
      </c>
      <c r="BJ157" s="11">
        <f>+BI157</f>
        <v>0.0071</v>
      </c>
      <c r="BK157" s="11">
        <f>+BJ157</f>
        <v>0.0071</v>
      </c>
      <c r="BL157" s="11">
        <f>+BK157</f>
        <v>0.0071</v>
      </c>
      <c r="BM157" s="11">
        <f>+BL157</f>
        <v>0.0071</v>
      </c>
      <c r="BN157" s="11">
        <f>+BM157</f>
        <v>0.0071</v>
      </c>
      <c r="BO157" s="11">
        <f>+BN157</f>
        <v>0.0071</v>
      </c>
      <c r="BP157" s="11">
        <f>+BO157</f>
        <v>0.0071</v>
      </c>
      <c r="BQ157" s="11">
        <f>+BP157</f>
        <v>0.0071</v>
      </c>
    </row>
    <row r="158">
      <c r="C158" s="3" t="inlineStr">
        <is>
          <t>CT &amp; X-Ray</t>
        </is>
      </c>
      <c r="D158" s="4" t="inlineStr">
        <is>
          <t>% of revenue</t>
        </is>
      </c>
      <c r="J158" s="11">
        <f>+IFERROR(J50/J$10,)</f>
        <v>0.00151000377500944</v>
      </c>
      <c r="K158" s="11">
        <f>+IFERROR(K50/K$10,)</f>
        <v>0.00156723435377704</v>
      </c>
      <c r="L158" s="11">
        <f>+IFERROR(L50/L$10,)</f>
        <v>0.00151903541251305</v>
      </c>
      <c r="M158" s="11">
        <f>+IFERROR(M50/M$10,)</f>
        <v>0.00156143261442373</v>
      </c>
      <c r="N158" s="11">
        <f>+IFERROR(N50/N$10,)</f>
        <v>0.00156100945277946</v>
      </c>
      <c r="O158" s="11">
        <f>+IFERROR(O50/O$10,)</f>
        <v>0.00143944067448077</v>
      </c>
      <c r="P158" s="11">
        <f>+IFERROR(P50/P$10,)</f>
        <v>0.00149045179319981</v>
      </c>
      <c r="Q158" s="11">
        <f>+IFERROR(Q50/Q$10,)</f>
        <v>0.00145799161654821</v>
      </c>
      <c r="R158" s="11">
        <f>+IFERROR(R50/R$10,)</f>
        <v>0.00147914406863229</v>
      </c>
      <c r="S158" s="11">
        <f>+IFERROR(S50/S$10,)</f>
        <v>0.00147347740667976</v>
      </c>
      <c r="T158" s="11">
        <f>+IFERROR(T50/T$10,)</f>
        <v>0.0015054572826496</v>
      </c>
      <c r="U158" s="11">
        <f>+IFERROR(U50/U$10,)</f>
        <v>0.00146756677428823</v>
      </c>
      <c r="V158" s="11">
        <f>+IFERROR(V50/V$10,)</f>
        <v>0.00155534433595438</v>
      </c>
      <c r="W158" s="11">
        <f>+IFERROR(W50/W$10,)</f>
        <v>0.00158915139315605</v>
      </c>
      <c r="X158" s="11">
        <f>+IFERROR(X50/X$10,)</f>
        <v>0.00147887974859044</v>
      </c>
      <c r="Y158" s="11">
        <f>+IFERROR(Y50/Y$10,)</f>
        <v>0.00153701648023226</v>
      </c>
      <c r="Z158" s="11">
        <f>+IFERROR(Z50/Z$10,)</f>
        <v>0.00149154789526019</v>
      </c>
      <c r="AA158" s="11">
        <f>+IFERROR(AA50/AA$10,)</f>
        <v>0.00151343170639425</v>
      </c>
      <c r="AB158" s="11">
        <f>+IFERROR(AB50/AB$10,)</f>
        <v>0.00149018958523057</v>
      </c>
      <c r="AC158" s="11">
        <f>+IFERROR(AC50/AC$10,)</f>
        <v>0.00156372165754496</v>
      </c>
      <c r="AD158" s="11">
        <f>+IFERROR(AD50/AD$10,)</f>
        <v>0.00138913005730161</v>
      </c>
      <c r="AE158" s="11">
        <f>+IFERROR(AE50/AE$10,)</f>
        <v>0.00150806816468104</v>
      </c>
      <c r="AF158" s="11">
        <f>+IFERROR(AF50/AF$10,)</f>
        <v>0.00160270679369602</v>
      </c>
      <c r="AG158" s="11">
        <f>+IFERROR(AG50/AG$10,)</f>
        <v>0.00152658807565092</v>
      </c>
      <c r="AH158" s="11">
        <f>+IFERROR(AH50/AH$10,)</f>
        <v>0.00145855279150798</v>
      </c>
      <c r="AI158" s="11">
        <f>+IFERROR(AI50/AI$10,)</f>
        <v>0.00143691924513842</v>
      </c>
      <c r="AJ158" s="11">
        <f>+IFERROR(AJ50/AJ$10,)</f>
        <v>0.00153374233128834</v>
      </c>
      <c r="AK158" s="11">
        <f>+IFERROR(AK50/AK$10,)</f>
        <v>0.00147389651694981</v>
      </c>
      <c r="AL158" s="11">
        <f>+IFERROR(AL50/AL$10,)</f>
        <v>0.00152194809355976</v>
      </c>
      <c r="AM158" s="11">
        <f>+IFERROR(AM50/AM$10,)</f>
        <v>0.00151515151515152</v>
      </c>
      <c r="AN158" s="11">
        <f>+IFERROR(AN50/AN$10,)</f>
        <v>0.00154118825614549</v>
      </c>
      <c r="AO158" s="11">
        <f>+IFERROR(AO50/AO$10,)</f>
        <v>0.00145985401459854</v>
      </c>
      <c r="AP158" s="11">
        <f>+IFERROR(AP50/AP$10,)</f>
        <v>0</v>
      </c>
      <c r="AQ158" s="11">
        <f>+IFERROR(AQ50/AQ$10,)</f>
        <v>0</v>
      </c>
      <c r="AR158" s="11">
        <f>+IFERROR(AR50/AR$10,)</f>
        <v>0</v>
      </c>
      <c r="AS158" s="25" t="n">
        <v>0.0015</v>
      </c>
      <c r="AT158" s="11">
        <f>+AS158</f>
        <v>0.0015</v>
      </c>
      <c r="AU158" s="11">
        <f>+AT158</f>
        <v>0.0015</v>
      </c>
      <c r="AV158" s="11">
        <f>+AU158</f>
        <v>0.0015</v>
      </c>
      <c r="AW158" s="11">
        <f>+AV158</f>
        <v>0.0015</v>
      </c>
      <c r="AX158" s="11">
        <f>+AW158</f>
        <v>0.0015</v>
      </c>
      <c r="AY158" s="11">
        <f>+AX158</f>
        <v>0.0015</v>
      </c>
      <c r="AZ158" s="11">
        <f>+AY158</f>
        <v>0.0015</v>
      </c>
      <c r="BA158" s="11">
        <f>+AZ158</f>
        <v>0.0015</v>
      </c>
      <c r="BB158" s="11">
        <f>+BA158</f>
        <v>0.0015</v>
      </c>
      <c r="BC158" s="11">
        <f>+BB158</f>
        <v>0.0015</v>
      </c>
      <c r="BD158" s="11">
        <f>+BC158</f>
        <v>0.0015</v>
      </c>
      <c r="BE158" s="11">
        <f>+BD158</f>
        <v>0.0015</v>
      </c>
      <c r="BF158" s="11">
        <f>+BE158</f>
        <v>0.0015</v>
      </c>
      <c r="BG158" s="11">
        <f>+BF158</f>
        <v>0.0015</v>
      </c>
      <c r="BH158" s="11">
        <f>+BG158</f>
        <v>0.0015</v>
      </c>
      <c r="BI158" s="11">
        <f>+BH158</f>
        <v>0.0015</v>
      </c>
      <c r="BJ158" s="11">
        <f>+BI158</f>
        <v>0.0015</v>
      </c>
      <c r="BK158" s="11">
        <f>+BJ158</f>
        <v>0.0015</v>
      </c>
      <c r="BL158" s="11">
        <f>+BK158</f>
        <v>0.0015</v>
      </c>
      <c r="BM158" s="11">
        <f>+BL158</f>
        <v>0.0015</v>
      </c>
      <c r="BN158" s="11">
        <f>+BM158</f>
        <v>0.0015</v>
      </c>
      <c r="BO158" s="11">
        <f>+BN158</f>
        <v>0.0015</v>
      </c>
      <c r="BP158" s="11">
        <f>+BO158</f>
        <v>0.0015</v>
      </c>
      <c r="BQ158" s="11">
        <f>+BP158</f>
        <v>0.0015</v>
      </c>
    </row>
    <row r="159">
      <c r="C159" s="3" t="inlineStr">
        <is>
          <t>Net Anesthesia</t>
        </is>
      </c>
      <c r="D159" s="4" t="inlineStr">
        <is>
          <t>% of revenue</t>
        </is>
      </c>
      <c r="J159" s="11">
        <f>+IFERROR(J51/J$10,)</f>
        <v>0.000471876179690449</v>
      </c>
      <c r="K159" s="11">
        <f>+IFERROR(K51/K$10,)</f>
        <v>0.000522411451259012</v>
      </c>
      <c r="L159" s="11">
        <f>+IFERROR(L51/L$10,)</f>
        <v>0.000474698566410329</v>
      </c>
      <c r="M159" s="11">
        <f>+IFERROR(M51/M$10,)</f>
        <v>0.000487947692007417</v>
      </c>
      <c r="N159" s="11">
        <f>+IFERROR(N51/N$10,)</f>
        <v>0.000520336484259821</v>
      </c>
      <c r="O159" s="11">
        <f>+IFERROR(O51/O$10,)</f>
        <v>0.000514085955171705</v>
      </c>
      <c r="P159" s="11">
        <f>+IFERROR(P51/P$10,)</f>
        <v>0.000465766185374942</v>
      </c>
      <c r="Q159" s="11">
        <f>+IFERROR(Q51/Q$10,)</f>
        <v>0.000455622380171314</v>
      </c>
      <c r="R159" s="11">
        <f>+IFERROR(R51/R$10,)</f>
        <v>0.000493048022877428</v>
      </c>
      <c r="S159" s="11">
        <f>+IFERROR(S51/S$10,)</f>
        <v>0.000491159135559921</v>
      </c>
      <c r="T159" s="11">
        <f>+IFERROR(T51/T$10,)</f>
        <v>0.000470455400828002</v>
      </c>
      <c r="U159" s="11">
        <f>+IFERROR(U51/U$10,)</f>
        <v>0.000489188924762743</v>
      </c>
      <c r="V159" s="11">
        <f>+IFERROR(V51/V$10,)</f>
        <v>0.000518448111984792</v>
      </c>
      <c r="W159" s="11">
        <f>+IFERROR(W51/W$10,)</f>
        <v>0.000529717131052018</v>
      </c>
      <c r="X159" s="11">
        <f>+IFERROR(X51/X$10,)</f>
        <v>0.000554579905721416</v>
      </c>
      <c r="Y159" s="11">
        <f>+IFERROR(Y51/Y$10,)</f>
        <v>0.000512338826744087</v>
      </c>
      <c r="Z159" s="11">
        <f>+IFERROR(Z51/Z$10,)</f>
        <v>0.000497182631753397</v>
      </c>
      <c r="AA159" s="11">
        <f>+IFERROR(AA51/AA$10,)</f>
        <v>0.000472947408248203</v>
      </c>
      <c r="AB159" s="11">
        <f>+IFERROR(AB51/AB$10,)</f>
        <v>0.000496729861743522</v>
      </c>
      <c r="AC159" s="11">
        <f>+IFERROR(AC51/AC$10,)</f>
        <v>0.000521240552514986</v>
      </c>
      <c r="AD159" s="11">
        <f>+IFERROR(AD51/AD$10,)</f>
        <v>0.000520923771488106</v>
      </c>
      <c r="AE159" s="11">
        <f>+IFERROR(AE51/AE$10,)</f>
        <v>0.000527823857638365</v>
      </c>
      <c r="AF159" s="11">
        <f>+IFERROR(AF51/AF$10,)</f>
        <v>0.000534235597898673</v>
      </c>
      <c r="AG159" s="11">
        <f>+IFERROR(AG51/AG$10,)</f>
        <v>0.00050886269188364</v>
      </c>
      <c r="AH159" s="11">
        <f>+IFERROR(AH51/AH$10,)</f>
        <v>0.000486184263835994</v>
      </c>
      <c r="AI159" s="11">
        <f>+IFERROR(AI51/AI$10,)</f>
        <v>0.000478973081712808</v>
      </c>
      <c r="AJ159" s="11">
        <f>+IFERROR(AJ51/AJ$10,)</f>
        <v>0.00048433968356474</v>
      </c>
      <c r="AK159" s="11">
        <f>+IFERROR(AK51/AK$10,)</f>
        <v>0.000465441005352572</v>
      </c>
      <c r="AL159" s="11">
        <f>+IFERROR(AL51/AL$10,)</f>
        <v>0.000480615187439923</v>
      </c>
      <c r="AM159" s="11">
        <f>+IFERROR(AM51/AM$10,)</f>
        <v>0.000505050505050505</v>
      </c>
      <c r="AN159" s="11">
        <f>+IFERROR(AN51/AN$10,)</f>
        <v>0.000539415889650921</v>
      </c>
      <c r="AO159" s="11">
        <f>+IFERROR(AO51/AO$10,)</f>
        <v>0.00048661800486618</v>
      </c>
      <c r="AP159" s="11">
        <f>+IFERROR(AP51/AP$10,)</f>
        <v>0</v>
      </c>
      <c r="AQ159" s="11">
        <f>+IFERROR(AQ51/AQ$10,)</f>
        <v>0</v>
      </c>
      <c r="AR159" s="11">
        <f>+IFERROR(AR51/AR$10,)</f>
        <v>0</v>
      </c>
      <c r="AS159" s="25" t="n">
        <v>0.0005</v>
      </c>
      <c r="AT159" s="11">
        <f>+AS159</f>
        <v>0.0005</v>
      </c>
      <c r="AU159" s="11">
        <f>+AT159</f>
        <v>0.0005</v>
      </c>
      <c r="AV159" s="11">
        <f>+AU159</f>
        <v>0.0005</v>
      </c>
      <c r="AW159" s="11">
        <f>+AV159</f>
        <v>0.0005</v>
      </c>
      <c r="AX159" s="11">
        <f>+AW159</f>
        <v>0.0005</v>
      </c>
      <c r="AY159" s="11">
        <f>+AX159</f>
        <v>0.0005</v>
      </c>
      <c r="AZ159" s="11">
        <f>+AY159</f>
        <v>0.0005</v>
      </c>
      <c r="BA159" s="11">
        <f>+AZ159</f>
        <v>0.0005</v>
      </c>
      <c r="BB159" s="11">
        <f>+BA159</f>
        <v>0.0005</v>
      </c>
      <c r="BC159" s="11">
        <f>+BB159</f>
        <v>0.0005</v>
      </c>
      <c r="BD159" s="11">
        <f>+BC159</f>
        <v>0.0005</v>
      </c>
      <c r="BE159" s="11">
        <f>+BD159</f>
        <v>0.0005</v>
      </c>
      <c r="BF159" s="11">
        <f>+BE159</f>
        <v>0.0005</v>
      </c>
      <c r="BG159" s="11">
        <f>+BF159</f>
        <v>0.0005</v>
      </c>
      <c r="BH159" s="11">
        <f>+BG159</f>
        <v>0.0005</v>
      </c>
      <c r="BI159" s="11">
        <f>+BH159</f>
        <v>0.0005</v>
      </c>
      <c r="BJ159" s="11">
        <f>+BI159</f>
        <v>0.0005</v>
      </c>
      <c r="BK159" s="11">
        <f>+BJ159</f>
        <v>0.0005</v>
      </c>
      <c r="BL159" s="11">
        <f>+BK159</f>
        <v>0.0005</v>
      </c>
      <c r="BM159" s="11">
        <f>+BL159</f>
        <v>0.0005</v>
      </c>
      <c r="BN159" s="11">
        <f>+BM159</f>
        <v>0.0005</v>
      </c>
      <c r="BO159" s="11">
        <f>+BN159</f>
        <v>0.0005</v>
      </c>
      <c r="BP159" s="11">
        <f>+BO159</f>
        <v>0.0005</v>
      </c>
      <c r="BQ159" s="11">
        <f>+BP159</f>
        <v>0.0005</v>
      </c>
    </row>
    <row r="160">
      <c r="C160" s="3" t="inlineStr">
        <is>
          <t>Transcription Expense</t>
        </is>
      </c>
      <c r="D160" s="4" t="inlineStr">
        <is>
          <t>% of revenue</t>
        </is>
      </c>
      <c r="J160" s="11">
        <f>+IFERROR(J52/J$10,)</f>
        <v>0.0028312570781427</v>
      </c>
      <c r="K160" s="11">
        <f>+IFERROR(K52/K$10,)</f>
        <v>0.00302998641730227</v>
      </c>
      <c r="L160" s="11">
        <f>+IFERROR(L52/L$10,)</f>
        <v>0.00284819139846198</v>
      </c>
      <c r="M160" s="11">
        <f>+IFERROR(M52/M$10,)</f>
        <v>0.00312286522884747</v>
      </c>
      <c r="N160" s="11">
        <f>+IFERROR(N52/N$10,)</f>
        <v>0.00312201890555893</v>
      </c>
      <c r="O160" s="11">
        <f>+IFERROR(O52/O$10,)</f>
        <v>0.00308451573103023</v>
      </c>
      <c r="P160" s="11">
        <f>+IFERROR(P52/P$10,)</f>
        <v>0.00288775034932464</v>
      </c>
      <c r="Q160" s="11">
        <f>+IFERROR(Q52/Q$10,)</f>
        <v>0.00291598323309641</v>
      </c>
      <c r="R160" s="11">
        <f>+IFERROR(R52/R$10,)</f>
        <v>0.00315550734641554</v>
      </c>
      <c r="S160" s="11">
        <f>+IFERROR(S52/S$10,)</f>
        <v>0.00302881466928618</v>
      </c>
      <c r="T160" s="11">
        <f>+IFERROR(T52/T$10,)</f>
        <v>0.00301091456529921</v>
      </c>
      <c r="U160" s="11">
        <f>+IFERROR(U52/U$10,)</f>
        <v>0.00303297133352901</v>
      </c>
      <c r="V160" s="11">
        <f>+IFERROR(V52/V$10,)</f>
        <v>0.00293787263458049</v>
      </c>
      <c r="W160" s="11">
        <f>+IFERROR(W52/W$10,)</f>
        <v>0.00307235936010171</v>
      </c>
      <c r="X160" s="11">
        <f>+IFERROR(X52/X$10,)</f>
        <v>0.00314261946575469</v>
      </c>
      <c r="Y160" s="11">
        <f>+IFERROR(Y52/Y$10,)</f>
        <v>0.00290325335154982</v>
      </c>
      <c r="Z160" s="11">
        <f>+IFERROR(Z52/Z$10,)</f>
        <v>0.00290023201856149</v>
      </c>
      <c r="AA160" s="11">
        <f>+IFERROR(AA52/AA$10,)</f>
        <v>0.00312145289443814</v>
      </c>
      <c r="AB160" s="11">
        <f>+IFERROR(AB52/AB$10,)</f>
        <v>0.00289759086017054</v>
      </c>
      <c r="AC160" s="11">
        <f>+IFERROR(AC52/AC$10,)</f>
        <v>0.00295369646425159</v>
      </c>
      <c r="AD160" s="11">
        <f>+IFERROR(AD52/AD$10,)</f>
        <v>0.00295190137176593</v>
      </c>
      <c r="AE160" s="11">
        <f>+IFERROR(AE52/AE$10,)</f>
        <v>0.00294073292112804</v>
      </c>
      <c r="AF160" s="11">
        <f>+IFERROR(AF52/AF$10,)</f>
        <v>0.0029382957884427</v>
      </c>
      <c r="AG160" s="11">
        <f>+IFERROR(AG52/AG$10,)</f>
        <v>0.00313798659994911</v>
      </c>
      <c r="AH160" s="11">
        <f>+IFERROR(AH52/AH$10,)</f>
        <v>0.00291710558301596</v>
      </c>
      <c r="AI160" s="11">
        <f>+IFERROR(AI52/AI$10,)</f>
        <v>0.00287383849027685</v>
      </c>
      <c r="AJ160" s="11">
        <f>+IFERROR(AJ52/AJ$10,)</f>
        <v>0.00290603810138844</v>
      </c>
      <c r="AK160" s="11">
        <f>+IFERROR(AK52/AK$10,)</f>
        <v>0.00294779303389962</v>
      </c>
      <c r="AL160" s="11">
        <f>+IFERROR(AL52/AL$10,)</f>
        <v>0.0031239987183595</v>
      </c>
      <c r="AM160" s="11">
        <f>+IFERROR(AM52/AM$10,)</f>
        <v>0.00311447811447811</v>
      </c>
      <c r="AN160" s="11">
        <f>+IFERROR(AN52/AN$10,)</f>
        <v>0.0030053170994837</v>
      </c>
      <c r="AO160" s="11">
        <f>+IFERROR(AO52/AO$10,)</f>
        <v>0.00300081103000811</v>
      </c>
      <c r="AP160" s="11">
        <f>+IFERROR(AP52/AP$10,)</f>
        <v>0</v>
      </c>
      <c r="AQ160" s="11">
        <f>+IFERROR(AQ52/AQ$10,)</f>
        <v>0</v>
      </c>
      <c r="AR160" s="11">
        <f>+IFERROR(AR52/AR$10,)</f>
        <v>0</v>
      </c>
      <c r="AS160" s="25" t="n">
        <v>0.003</v>
      </c>
      <c r="AT160" s="11">
        <f>+AS160</f>
        <v>0.003</v>
      </c>
      <c r="AU160" s="11">
        <f>+AT160</f>
        <v>0.003</v>
      </c>
      <c r="AV160" s="11">
        <f>+AU160</f>
        <v>0.003</v>
      </c>
      <c r="AW160" s="11">
        <f>+AV160</f>
        <v>0.003</v>
      </c>
      <c r="AX160" s="11">
        <f>+AW160</f>
        <v>0.003</v>
      </c>
      <c r="AY160" s="11">
        <f>+AX160</f>
        <v>0.003</v>
      </c>
      <c r="AZ160" s="11">
        <f>+AY160</f>
        <v>0.003</v>
      </c>
      <c r="BA160" s="11">
        <f>+AZ160</f>
        <v>0.003</v>
      </c>
      <c r="BB160" s="11">
        <f>+BA160</f>
        <v>0.003</v>
      </c>
      <c r="BC160" s="11">
        <f>+BB160</f>
        <v>0.003</v>
      </c>
      <c r="BD160" s="11">
        <f>+BC160</f>
        <v>0.003</v>
      </c>
      <c r="BE160" s="11">
        <f>+BD160</f>
        <v>0.003</v>
      </c>
      <c r="BF160" s="11">
        <f>+BE160</f>
        <v>0.003</v>
      </c>
      <c r="BG160" s="11">
        <f>+BF160</f>
        <v>0.003</v>
      </c>
      <c r="BH160" s="11">
        <f>+BG160</f>
        <v>0.003</v>
      </c>
      <c r="BI160" s="11">
        <f>+BH160</f>
        <v>0.003</v>
      </c>
      <c r="BJ160" s="11">
        <f>+BI160</f>
        <v>0.003</v>
      </c>
      <c r="BK160" s="11">
        <f>+BJ160</f>
        <v>0.003</v>
      </c>
      <c r="BL160" s="11">
        <f>+BK160</f>
        <v>0.003</v>
      </c>
      <c r="BM160" s="11">
        <f>+BL160</f>
        <v>0.003</v>
      </c>
      <c r="BN160" s="11">
        <f>+BM160</f>
        <v>0.003</v>
      </c>
      <c r="BO160" s="11">
        <f>+BN160</f>
        <v>0.003</v>
      </c>
      <c r="BP160" s="11">
        <f>+BO160</f>
        <v>0.003</v>
      </c>
      <c r="BQ160" s="11">
        <f>+BP160</f>
        <v>0.003</v>
      </c>
    </row>
    <row r="161">
      <c r="C161" s="4" t="inlineStr">
        <is>
          <t>Total Ancillary Services &amp; Supplies</t>
        </is>
      </c>
    </row>
    <row r="163">
      <c r="C163" s="2" t="inlineStr">
        <is>
          <t>Other Medical Costs</t>
        </is>
      </c>
    </row>
    <row r="164">
      <c r="C164" s="3" t="inlineStr">
        <is>
          <t>Other Clinical Expenses</t>
        </is>
      </c>
      <c r="D164" s="4" t="inlineStr">
        <is>
          <t>$ / month (TTM avg, inflated)</t>
        </is>
      </c>
      <c r="J164" s="20">
        <f>+J56</f>
        <v>4400</v>
      </c>
      <c r="K164" s="20">
        <f>+K56</f>
        <v>4300</v>
      </c>
      <c r="L164" s="20">
        <f>+L56</f>
        <v>4200</v>
      </c>
      <c r="M164" s="20">
        <f>+M56</f>
        <v>4300</v>
      </c>
      <c r="N164" s="20">
        <f>+N56</f>
        <v>4200</v>
      </c>
      <c r="O164" s="20">
        <f>+O56</f>
        <v>4400</v>
      </c>
      <c r="P164" s="20">
        <f>+P56</f>
        <v>4200</v>
      </c>
      <c r="Q164" s="20">
        <f>+Q56</f>
        <v>4500</v>
      </c>
      <c r="R164" s="20">
        <f>+R56</f>
        <v>4500</v>
      </c>
      <c r="S164" s="20">
        <f>+S56</f>
        <v>4100</v>
      </c>
      <c r="T164" s="20">
        <f>+T56</f>
        <v>4100</v>
      </c>
      <c r="U164" s="20">
        <f>+U56</f>
        <v>4400</v>
      </c>
      <c r="V164" s="20">
        <f>+V56</f>
        <v>4300</v>
      </c>
      <c r="W164" s="20">
        <f>+W56</f>
        <v>4200</v>
      </c>
      <c r="X164" s="20">
        <f>+X56</f>
        <v>4700</v>
      </c>
      <c r="Y164" s="20">
        <f>+Y56</f>
        <v>4600</v>
      </c>
      <c r="Z164" s="20">
        <f>+Z56</f>
        <v>4600</v>
      </c>
      <c r="AA164" s="20">
        <f>+AA56</f>
        <v>4800</v>
      </c>
      <c r="AB164" s="20">
        <f>+AB56</f>
        <v>4600</v>
      </c>
      <c r="AC164" s="20">
        <f>+AC56</f>
        <v>4800</v>
      </c>
      <c r="AD164" s="20">
        <f>+AD56</f>
        <v>4700</v>
      </c>
      <c r="AE164" s="20">
        <f>+AE56</f>
        <v>4600</v>
      </c>
      <c r="AF164" s="20">
        <f>+AF56</f>
        <v>4600</v>
      </c>
      <c r="AG164" s="20">
        <f>+AG56</f>
        <v>4800</v>
      </c>
      <c r="AH164" s="20">
        <f>+AH56</f>
        <v>5000</v>
      </c>
      <c r="AI164" s="20">
        <f>+AI56</f>
        <v>4600</v>
      </c>
      <c r="AJ164" s="20">
        <f>+AJ56</f>
        <v>5100</v>
      </c>
      <c r="AK164" s="20">
        <f>+AK56</f>
        <v>4600</v>
      </c>
      <c r="AL164" s="20">
        <f>+AL56</f>
        <v>4700</v>
      </c>
      <c r="AM164" s="20">
        <f>+AM56</f>
        <v>5200</v>
      </c>
      <c r="AN164" s="20">
        <f>+AN56</f>
        <v>5100</v>
      </c>
      <c r="AO164" s="20">
        <f>+AO56</f>
        <v>4900</v>
      </c>
      <c r="AP164" s="20">
        <f>+AP56</f>
        <v>0</v>
      </c>
      <c r="AQ164" s="20">
        <f>+AQ56</f>
        <v>0</v>
      </c>
      <c r="AR164" s="20">
        <f>+AR56</f>
        <v>0</v>
      </c>
      <c r="AS164" s="20">
        <f>+AVERAGE(AG164:AR164)</f>
        <v>3666.66666666667</v>
      </c>
      <c r="AT164" s="20">
        <f>+AS164*(1+$D$121)</f>
        <v>3679.5</v>
      </c>
      <c r="AU164" s="20">
        <f>+AT164*(1+$D$121)</f>
        <v>3692.37825</v>
      </c>
      <c r="AV164" s="20">
        <f>+AU164*(1+$D$121)</f>
        <v>3705.301573875</v>
      </c>
      <c r="AW164" s="20">
        <f>+AV164*(1+$D$121)</f>
        <v>3718.27012938356</v>
      </c>
      <c r="AX164" s="20">
        <f>+AW164*(1+$D$121)</f>
        <v>3731.28407483641</v>
      </c>
      <c r="AY164" s="20">
        <f>+AX164*(1+$D$121)</f>
        <v>3744.34356909833</v>
      </c>
      <c r="AZ164" s="20">
        <f>+AY164*(1+$D$121)</f>
        <v>3757.44877159018</v>
      </c>
      <c r="BA164" s="20">
        <f>+AZ164*(1+$D$121)</f>
        <v>3770.59984229074</v>
      </c>
      <c r="BB164" s="20">
        <f>+BA164*(1+$D$121)</f>
        <v>3783.79694173876</v>
      </c>
      <c r="BC164" s="20">
        <f>+BB164*(1+$D$121)</f>
        <v>3797.04023103485</v>
      </c>
      <c r="BD164" s="20">
        <f>+BC164*(1+$D$121)</f>
        <v>3810.32987184347</v>
      </c>
      <c r="BE164" s="20">
        <f>+BD164*(1+$D$121)</f>
        <v>3823.66602639492</v>
      </c>
      <c r="BF164" s="20">
        <f>+BE164*(1+$D$121)</f>
        <v>3837.0488574873</v>
      </c>
      <c r="BG164" s="20">
        <f>+BF164*(1+$D$121)</f>
        <v>3850.47852848851</v>
      </c>
      <c r="BH164" s="20">
        <f>+BG164*(1+$D$121)</f>
        <v>3863.95520333822</v>
      </c>
      <c r="BI164" s="20">
        <f>+BH164*(1+$D$121)</f>
        <v>3877.4790465499</v>
      </c>
      <c r="BJ164" s="20">
        <f>+BI164*(1+$D$121)</f>
        <v>3891.05022321283</v>
      </c>
      <c r="BK164" s="20">
        <f>+BJ164*(1+$D$121)</f>
        <v>3904.66889899407</v>
      </c>
      <c r="BL164" s="20">
        <f>+BK164*(1+$D$121)</f>
        <v>3918.33524014055</v>
      </c>
      <c r="BM164" s="20">
        <f>+BL164*(1+$D$121)</f>
        <v>3932.04941348105</v>
      </c>
      <c r="BN164" s="20">
        <f>+BM164*(1+$D$121)</f>
        <v>3945.81158642823</v>
      </c>
      <c r="BO164" s="20">
        <f>+BN164*(1+$D$121)</f>
        <v>3959.62192698073</v>
      </c>
      <c r="BP164" s="20">
        <f>+BO164*(1+$D$121)</f>
        <v>3973.48060372516</v>
      </c>
      <c r="BQ164" s="20">
        <f>+BP164*(1+$D$121)</f>
        <v>3987.3877858382</v>
      </c>
    </row>
    <row r="165">
      <c r="C165" s="3" t="inlineStr">
        <is>
          <t>Lab Equipment</t>
        </is>
      </c>
      <c r="D165" s="4" t="inlineStr">
        <is>
          <t>$ / month (TTM avg, inflated)</t>
        </is>
      </c>
      <c r="J165" s="20">
        <f>+J57</f>
        <v>4500</v>
      </c>
      <c r="K165" s="20">
        <f>+K57</f>
        <v>4600</v>
      </c>
      <c r="L165" s="20">
        <f>+L57</f>
        <v>5000</v>
      </c>
      <c r="M165" s="20">
        <f>+M57</f>
        <v>4600</v>
      </c>
      <c r="N165" s="20">
        <f>+N57</f>
        <v>5100</v>
      </c>
      <c r="O165" s="20">
        <f>+O57</f>
        <v>5000</v>
      </c>
      <c r="P165" s="20">
        <f>+P57</f>
        <v>4900</v>
      </c>
      <c r="Q165" s="20">
        <f>+Q57</f>
        <v>5000</v>
      </c>
      <c r="R165" s="20">
        <f>+R57</f>
        <v>4800</v>
      </c>
      <c r="S165" s="20">
        <f>+S57</f>
        <v>5100</v>
      </c>
      <c r="T165" s="20">
        <f>+T57</f>
        <v>4900</v>
      </c>
      <c r="U165" s="20">
        <f>+U57</f>
        <v>5300</v>
      </c>
      <c r="V165" s="20">
        <f>+V57</f>
        <v>5300</v>
      </c>
      <c r="W165" s="20">
        <f>+W57</f>
        <v>5300</v>
      </c>
      <c r="X165" s="20">
        <f>+X57</f>
        <v>4800</v>
      </c>
      <c r="Y165" s="20">
        <f>+Y57</f>
        <v>4700</v>
      </c>
      <c r="Z165" s="20">
        <f>+Z57</f>
        <v>5200</v>
      </c>
      <c r="AA165" s="20">
        <f>+AA57</f>
        <v>5200</v>
      </c>
      <c r="AB165" s="20">
        <f>+AB57</f>
        <v>5200</v>
      </c>
      <c r="AC165" s="20">
        <f>+AC57</f>
        <v>5100</v>
      </c>
      <c r="AD165" s="20">
        <f>+AD57</f>
        <v>5300</v>
      </c>
      <c r="AE165" s="20">
        <f>+AE57</f>
        <v>5000</v>
      </c>
      <c r="AF165" s="20">
        <f>+AF57</f>
        <v>5200</v>
      </c>
      <c r="AG165" s="20">
        <f>+AG57</f>
        <v>5100</v>
      </c>
      <c r="AH165" s="20">
        <f>+AH57</f>
        <v>5300</v>
      </c>
      <c r="AI165" s="20">
        <f>+AI57</f>
        <v>5600</v>
      </c>
      <c r="AJ165" s="20">
        <f>+AJ57</f>
        <v>5600</v>
      </c>
      <c r="AK165" s="20">
        <f>+AK57</f>
        <v>5700</v>
      </c>
      <c r="AL165" s="20">
        <f>+AL57</f>
        <v>5600</v>
      </c>
      <c r="AM165" s="20">
        <f>+AM57</f>
        <v>5400</v>
      </c>
      <c r="AN165" s="20">
        <f>+AN57</f>
        <v>5300</v>
      </c>
      <c r="AO165" s="20">
        <f>+AO57</f>
        <v>5800</v>
      </c>
      <c r="AP165" s="20">
        <f>+AP57</f>
        <v>5517.7</v>
      </c>
      <c r="AQ165" s="20">
        <f>+AQ57</f>
        <v>5740.46</v>
      </c>
      <c r="AR165" s="20">
        <f>+AR57</f>
        <v>5333.51</v>
      </c>
      <c r="AS165" s="20">
        <f>+AVERAGE(AG165:AR165)</f>
        <v>5499.30583333333</v>
      </c>
      <c r="AT165" s="20">
        <f>+AS165*(1+$D$121)</f>
        <v>5518.55340375</v>
      </c>
      <c r="AU165" s="20">
        <f>+AT165*(1+$D$121)</f>
        <v>5537.86834066313</v>
      </c>
      <c r="AV165" s="20">
        <f>+AU165*(1+$D$121)</f>
        <v>5557.25087985545</v>
      </c>
      <c r="AW165" s="20">
        <f>+AV165*(1+$D$121)</f>
        <v>5576.70125793494</v>
      </c>
      <c r="AX165" s="20">
        <f>+AW165*(1+$D$121)</f>
        <v>5596.21971233771</v>
      </c>
      <c r="AY165" s="20">
        <f>+AX165*(1+$D$121)</f>
        <v>5615.8064813309</v>
      </c>
      <c r="AZ165" s="20">
        <f>+AY165*(1+$D$121)</f>
        <v>5635.46180401555</v>
      </c>
      <c r="BA165" s="20">
        <f>+AZ165*(1+$D$121)</f>
        <v>5655.18592032961</v>
      </c>
      <c r="BB165" s="20">
        <f>+BA165*(1+$D$121)</f>
        <v>5674.97907105076</v>
      </c>
      <c r="BC165" s="20">
        <f>+BB165*(1+$D$121)</f>
        <v>5694.84149779944</v>
      </c>
      <c r="BD165" s="20">
        <f>+BC165*(1+$D$121)</f>
        <v>5714.77344304174</v>
      </c>
      <c r="BE165" s="20">
        <f>+BD165*(1+$D$121)</f>
        <v>5734.77515009239</v>
      </c>
      <c r="BF165" s="20">
        <f>+BE165*(1+$D$121)</f>
        <v>5754.84686311771</v>
      </c>
      <c r="BG165" s="20">
        <f>+BF165*(1+$D$121)</f>
        <v>5774.98882713862</v>
      </c>
      <c r="BH165" s="20">
        <f>+BG165*(1+$D$121)</f>
        <v>5795.20128803361</v>
      </c>
      <c r="BI165" s="20">
        <f>+BH165*(1+$D$121)</f>
        <v>5815.48449254173</v>
      </c>
      <c r="BJ165" s="20">
        <f>+BI165*(1+$D$121)</f>
        <v>5835.83868826562</v>
      </c>
      <c r="BK165" s="20">
        <f>+BJ165*(1+$D$121)</f>
        <v>5856.26412367455</v>
      </c>
      <c r="BL165" s="20">
        <f>+BK165*(1+$D$121)</f>
        <v>5876.76104810741</v>
      </c>
      <c r="BM165" s="20">
        <f>+BL165*(1+$D$121)</f>
        <v>5897.32971177579</v>
      </c>
      <c r="BN165" s="20">
        <f>+BM165*(1+$D$121)</f>
        <v>5917.97036576701</v>
      </c>
      <c r="BO165" s="20">
        <f>+BN165*(1+$D$121)</f>
        <v>5938.68326204719</v>
      </c>
      <c r="BP165" s="20">
        <f>+BO165*(1+$D$121)</f>
        <v>5959.46865346436</v>
      </c>
      <c r="BQ165" s="20">
        <f>+BP165*(1+$D$121)</f>
        <v>5980.32679375148</v>
      </c>
    </row>
    <row r="166">
      <c r="C166" s="3" t="inlineStr">
        <is>
          <t>Lab Credentialing</t>
        </is>
      </c>
      <c r="D166" s="4" t="inlineStr">
        <is>
          <t>$ / month (TTM avg, inflated)</t>
        </is>
      </c>
      <c r="J166" s="20">
        <f>+J58</f>
        <v>1600</v>
      </c>
      <c r="K166" s="20">
        <f>+K58</f>
        <v>1500</v>
      </c>
      <c r="L166" s="20">
        <f>+L58</f>
        <v>1600</v>
      </c>
      <c r="M166" s="20">
        <f>+M58</f>
        <v>1700</v>
      </c>
      <c r="N166" s="20">
        <f>+N58</f>
        <v>1700</v>
      </c>
      <c r="O166" s="20">
        <f>+O58</f>
        <v>1500</v>
      </c>
      <c r="P166" s="20">
        <f>+P58</f>
        <v>1500</v>
      </c>
      <c r="Q166" s="20">
        <f>+Q58</f>
        <v>1500</v>
      </c>
      <c r="R166" s="20">
        <f>+R58</f>
        <v>1600</v>
      </c>
      <c r="S166" s="20">
        <f>+S58</f>
        <v>1700</v>
      </c>
      <c r="T166" s="20">
        <f>+T58</f>
        <v>1700</v>
      </c>
      <c r="U166" s="20">
        <f>+U58</f>
        <v>1700</v>
      </c>
      <c r="V166" s="20">
        <f>+V58</f>
        <v>1600</v>
      </c>
      <c r="W166" s="20">
        <f>+W58</f>
        <v>1700</v>
      </c>
      <c r="X166" s="20">
        <f>+X58</f>
        <v>1700</v>
      </c>
      <c r="Y166" s="20">
        <f>+Y58</f>
        <v>1700</v>
      </c>
      <c r="Z166" s="20">
        <f>+Z58</f>
        <v>1800</v>
      </c>
      <c r="AA166" s="20">
        <f>+AA58</f>
        <v>1700</v>
      </c>
      <c r="AB166" s="20">
        <f>+AB58</f>
        <v>1800</v>
      </c>
      <c r="AC166" s="20">
        <f>+AC58</f>
        <v>1600</v>
      </c>
      <c r="AD166" s="20">
        <f>+AD58</f>
        <v>1600</v>
      </c>
      <c r="AE166" s="20">
        <f>+AE58</f>
        <v>1800</v>
      </c>
      <c r="AF166" s="20">
        <f>+AF58</f>
        <v>1900</v>
      </c>
      <c r="AG166" s="20">
        <f>+AG58</f>
        <v>1800</v>
      </c>
      <c r="AH166" s="20">
        <f>+AH58</f>
        <v>1800</v>
      </c>
      <c r="AI166" s="20">
        <f>+AI58</f>
        <v>1900</v>
      </c>
      <c r="AJ166" s="20">
        <f>+AJ58</f>
        <v>1900</v>
      </c>
      <c r="AK166" s="20">
        <f>+AK58</f>
        <v>1700</v>
      </c>
      <c r="AL166" s="20">
        <f>+AL58</f>
        <v>1800</v>
      </c>
      <c r="AM166" s="20">
        <f>+AM58</f>
        <v>1900</v>
      </c>
      <c r="AN166" s="20">
        <f>+AN58</f>
        <v>1900</v>
      </c>
      <c r="AO166" s="20">
        <f>+AO58</f>
        <v>1800</v>
      </c>
      <c r="AP166" s="20">
        <f>+AP58</f>
        <v>1907.69</v>
      </c>
      <c r="AQ166" s="20">
        <f>+AQ58</f>
        <v>1839.54</v>
      </c>
      <c r="AR166" s="20">
        <f>+AR58</f>
        <v>1887.56</v>
      </c>
      <c r="AS166" s="20">
        <f>+AVERAGE(AG166:AR166)</f>
        <v>1844.56583333333</v>
      </c>
      <c r="AT166" s="20">
        <f>+AS166*(1+$D$121)</f>
        <v>1851.02181375</v>
      </c>
      <c r="AU166" s="20">
        <f>+AT166*(1+$D$121)</f>
        <v>1857.50039009813</v>
      </c>
      <c r="AV166" s="20">
        <f>+AU166*(1+$D$121)</f>
        <v>1864.00164146347</v>
      </c>
      <c r="AW166" s="20">
        <f>+AV166*(1+$D$121)</f>
        <v>1870.52564720859</v>
      </c>
      <c r="AX166" s="20">
        <f>+AW166*(1+$D$121)</f>
        <v>1877.07248697382</v>
      </c>
      <c r="AY166" s="20">
        <f>+AX166*(1+$D$121)</f>
        <v>1883.64224067823</v>
      </c>
      <c r="AZ166" s="20">
        <f>+AY166*(1+$D$121)</f>
        <v>1890.2349885206</v>
      </c>
      <c r="BA166" s="20">
        <f>+AZ166*(1+$D$121)</f>
        <v>1896.85081098043</v>
      </c>
      <c r="BB166" s="20">
        <f>+BA166*(1+$D$121)</f>
        <v>1903.48978881886</v>
      </c>
      <c r="BC166" s="20">
        <f>+BB166*(1+$D$121)</f>
        <v>1910.15200307972</v>
      </c>
      <c r="BD166" s="20">
        <f>+BC166*(1+$D$121)</f>
        <v>1916.8375350905</v>
      </c>
      <c r="BE166" s="20">
        <f>+BD166*(1+$D$121)</f>
        <v>1923.54646646332</v>
      </c>
      <c r="BF166" s="20">
        <f>+BE166*(1+$D$121)</f>
        <v>1930.27887909594</v>
      </c>
      <c r="BG166" s="20">
        <f>+BF166*(1+$D$121)</f>
        <v>1937.03485517278</v>
      </c>
      <c r="BH166" s="20">
        <f>+BG166*(1+$D$121)</f>
        <v>1943.81447716588</v>
      </c>
      <c r="BI166" s="20">
        <f>+BH166*(1+$D$121)</f>
        <v>1950.61782783596</v>
      </c>
      <c r="BJ166" s="20">
        <f>+BI166*(1+$D$121)</f>
        <v>1957.44499023339</v>
      </c>
      <c r="BK166" s="20">
        <f>+BJ166*(1+$D$121)</f>
        <v>1964.29604769921</v>
      </c>
      <c r="BL166" s="20">
        <f>+BK166*(1+$D$121)</f>
        <v>1971.17108386615</v>
      </c>
      <c r="BM166" s="20">
        <f>+BL166*(1+$D$121)</f>
        <v>1978.07018265968</v>
      </c>
      <c r="BN166" s="20">
        <f>+BM166*(1+$D$121)</f>
        <v>1984.99342829899</v>
      </c>
      <c r="BO166" s="20">
        <f>+BN166*(1+$D$121)</f>
        <v>1991.94090529804</v>
      </c>
      <c r="BP166" s="20">
        <f>+BO166*(1+$D$121)</f>
        <v>1998.91269846658</v>
      </c>
      <c r="BQ166" s="20">
        <f>+BP166*(1+$D$121)</f>
        <v>2005.90889291122</v>
      </c>
    </row>
    <row r="167">
      <c r="C167" s="4" t="inlineStr">
        <is>
          <t>Total Other Medical Costs</t>
        </is>
      </c>
    </row>
    <row r="169">
      <c r="C169" s="2" t="inlineStr">
        <is>
          <t>Insurance</t>
        </is>
      </c>
    </row>
    <row r="170">
      <c r="C170" s="3" t="inlineStr">
        <is>
          <t>General Business</t>
        </is>
      </c>
      <c r="D170" s="4" t="inlineStr">
        <is>
          <t>% of revenue (link to build)</t>
        </is>
      </c>
      <c r="J170" s="11">
        <f>+IFERROR(J62/J$10,)</f>
        <v>0.0118912797281993</v>
      </c>
      <c r="K170" s="11">
        <f>+IFERROR(K62/K$10,)</f>
        <v>0.0126423571204681</v>
      </c>
      <c r="L170" s="11">
        <f>+IFERROR(L62/L$10,)</f>
        <v>0.0109180670274376</v>
      </c>
      <c r="M170" s="11">
        <f>+IFERROR(M62/M$10,)</f>
        <v>0.0126866399921928</v>
      </c>
      <c r="N170" s="11">
        <f>+IFERROR(N62/N$10,)</f>
        <v>0.00988639320093661</v>
      </c>
      <c r="O170" s="11">
        <f>+IFERROR(O62/O$10,)</f>
        <v>0.0128521488792926</v>
      </c>
      <c r="P170" s="11">
        <f>+IFERROR(P62/P$10,)</f>
        <v>0.0110852352119236</v>
      </c>
      <c r="Q170" s="11">
        <f>+IFERROR(Q62/Q$10,)</f>
        <v>0.0105704392199745</v>
      </c>
      <c r="R170" s="11">
        <f>+IFERROR(R62/R$10,)</f>
        <v>0.0123262005719357</v>
      </c>
      <c r="S170" s="11">
        <f>+IFERROR(S62/S$10,)</f>
        <v>0.00982318271119843</v>
      </c>
      <c r="T170" s="11">
        <f>+IFERROR(T62/T$10,)</f>
        <v>0.0120436582611968</v>
      </c>
      <c r="U170" s="11">
        <f>+IFERROR(U62/U$10,)</f>
        <v>0.0119362097642109</v>
      </c>
      <c r="V170" s="11">
        <f>+IFERROR(V62/V$10,)</f>
        <v>0.0105417782770241</v>
      </c>
      <c r="W170" s="11">
        <f>+IFERROR(W62/W$10,)</f>
        <v>0.0127132111452484</v>
      </c>
      <c r="X170" s="11">
        <f>+IFERROR(X62/X$10,)</f>
        <v>0.0112764580830021</v>
      </c>
      <c r="Y170" s="11">
        <f>+IFERROR(Y62/Y$10,)</f>
        <v>0.0105029459482538</v>
      </c>
      <c r="Z170" s="11">
        <f>+IFERROR(Z62/Z$10,)</f>
        <v>0.0107722903546569</v>
      </c>
      <c r="AA170" s="11">
        <f>+IFERROR(AA62/AA$10,)</f>
        <v>0.0123912220961029</v>
      </c>
      <c r="AB170" s="11">
        <f>+IFERROR(AB62/AB$10,)</f>
        <v>0.011424786820101</v>
      </c>
      <c r="AC170" s="11">
        <f>+IFERROR(AC62/AC$10,)</f>
        <v>0.0114672921553297</v>
      </c>
      <c r="AD170" s="11">
        <f>+IFERROR(AD62/AD$10,)</f>
        <v>0.0117207848584824</v>
      </c>
      <c r="AE170" s="11">
        <f>+IFERROR(AE62/AE$10,)</f>
        <v>0.00972703966219273</v>
      </c>
      <c r="AF170" s="11">
        <f>+IFERROR(AF62/AF$10,)</f>
        <v>0.0126435758169353</v>
      </c>
      <c r="AG170" s="11">
        <f>+IFERROR(AG62/AG$10,)</f>
        <v>0.0111101687727928</v>
      </c>
      <c r="AH170" s="11">
        <f>+IFERROR(AH62/AH$10,)</f>
        <v>0.0107770845150312</v>
      </c>
      <c r="AI170" s="11">
        <f>+IFERROR(AI62/AI$10,)</f>
        <v>0.0126448893572181</v>
      </c>
      <c r="AJ170" s="11">
        <f>+IFERROR(AJ62/AJ$10,)</f>
        <v>0.0119470455279303</v>
      </c>
      <c r="AK170" s="11">
        <f>+IFERROR(AK62/AK$10,)</f>
        <v>0.0113257311302459</v>
      </c>
      <c r="AL170" s="11">
        <f>+IFERROR(AL62/AL$10,)</f>
        <v>0.0111342518423582</v>
      </c>
      <c r="AM170" s="11">
        <f>+IFERROR(AM62/AM$10,)</f>
        <v>0.0122895622895623</v>
      </c>
      <c r="AN170" s="11">
        <f>+IFERROR(AN62/AN$10,)</f>
        <v>0.0105571395545966</v>
      </c>
      <c r="AO170" s="11">
        <f>+IFERROR(AO62/AO$10,)</f>
        <v>0.0110300081103001</v>
      </c>
      <c r="AP170" s="11">
        <f>+IFERROR(AP62/AP$10,)</f>
        <v>0.0155589380997314</v>
      </c>
      <c r="AQ170" s="11">
        <f>+IFERROR(AQ62/AQ$10,)</f>
        <v>0.0143160811315112</v>
      </c>
      <c r="AR170" s="11">
        <f>+IFERROR(AR62/AR$10,)</f>
        <v>0.0178995234946694</v>
      </c>
      <c r="AS170" s="11">
        <f>+IFERROR(AS62/AS$10,)</f>
        <v>0.012132008057728</v>
      </c>
      <c r="AT170" s="11">
        <f>+IFERROR(AT62/AT$10,)</f>
        <v>0.0132878914087871</v>
      </c>
      <c r="AU170" s="11">
        <f>+IFERROR(AU62/AU$10,)</f>
        <v>0.0139525601038607</v>
      </c>
      <c r="AV170" s="11">
        <f>+IFERROR(AV62/AV$10,)</f>
        <v>0.0118105838051162</v>
      </c>
      <c r="AW170" s="11">
        <f>+IFERROR(AW62/AW$10,)</f>
        <v>0.0115855959886464</v>
      </c>
      <c r="AX170" s="11">
        <f>+IFERROR(AX62/AX$10,)</f>
        <v>0.0124521823174643</v>
      </c>
      <c r="AY170" s="11">
        <f>+IFERROR(AY62/AY$10,)</f>
        <v>0.0116504388079531</v>
      </c>
      <c r="AZ170" s="11">
        <f>+IFERROR(AZ62/AZ$10,)</f>
        <v>0.0114240560622801</v>
      </c>
      <c r="BA170" s="11">
        <f>+IFERROR(BA62/BA$10,)</f>
        <v>0.0112063034281748</v>
      </c>
      <c r="BB170" s="11">
        <f>+IFERROR(BB62/BB$10,)</f>
        <v>0.0109449782942674</v>
      </c>
      <c r="BC170" s="11">
        <f>+IFERROR(BC62/BC$10,)</f>
        <v>0.010744946117637</v>
      </c>
      <c r="BD170" s="11">
        <f>+IFERROR(BD62/BD$10,)</f>
        <v>0.0110540822788527</v>
      </c>
      <c r="BE170" s="11">
        <f>+IFERROR(BE62/BE$10,)</f>
        <v>0.0125524056710414</v>
      </c>
      <c r="BF170" s="11">
        <f>+IFERROR(BF62/BF$10,)</f>
        <v>0.0128921411579297</v>
      </c>
      <c r="BG170" s="11">
        <f>+IFERROR(BG62/BG$10,)</f>
        <v>0.0126889081254634</v>
      </c>
      <c r="BH170" s="11">
        <f>+IFERROR(BH62/BH$10,)</f>
        <v>0.0116314991150081</v>
      </c>
      <c r="BI170" s="11">
        <f>+IFERROR(BI62/BI$10,)</f>
        <v>0.0132931418457236</v>
      </c>
      <c r="BJ170" s="11">
        <f>+IFERROR(BJ62/BJ$10,)</f>
        <v>0.0126889081254634</v>
      </c>
      <c r="BK170" s="11">
        <f>+IFERROR(BK62/BK$10,)</f>
        <v>0.0146870518602368</v>
      </c>
      <c r="BL170" s="11">
        <f>+IFERROR(BL62/BL$10,)</f>
        <v>0.0160858187040689</v>
      </c>
      <c r="BM170" s="11">
        <f>+IFERROR(BM62/BM$10,)</f>
        <v>0.0140750913660603</v>
      </c>
      <c r="BN170" s="11">
        <f>+IFERROR(BN62/BN$10,)</f>
        <v>0.0153546451266112</v>
      </c>
      <c r="BO170" s="11">
        <f>+IFERROR(BO62/BO$10,)</f>
        <v>0.0153546451266112</v>
      </c>
      <c r="BP170" s="11">
        <f>+IFERROR(BP62/BP$10,)</f>
        <v>0.0153546451266112</v>
      </c>
      <c r="BQ170" s="11">
        <f>+IFERROR(BQ62/BQ$10,)</f>
        <v>0.0153546451266112</v>
      </c>
    </row>
    <row r="171">
      <c r="C171" s="3" t="inlineStr">
        <is>
          <t>Malpractice Insurance</t>
        </is>
      </c>
      <c r="D171" s="4" t="inlineStr">
        <is>
          <t>$ / month (TTM avg, inflated)</t>
        </is>
      </c>
      <c r="J171" s="20">
        <f>+J63</f>
        <v>2500</v>
      </c>
      <c r="K171" s="20">
        <f>+K63</f>
        <v>2800</v>
      </c>
      <c r="L171" s="20">
        <f>+L63</f>
        <v>2500</v>
      </c>
      <c r="M171" s="20">
        <f>+M63</f>
        <v>2500</v>
      </c>
      <c r="N171" s="20">
        <f>+N63</f>
        <v>2600</v>
      </c>
      <c r="O171" s="20">
        <f>+O63</f>
        <v>2600</v>
      </c>
      <c r="P171" s="20">
        <f>+P63</f>
        <v>2600</v>
      </c>
      <c r="Q171" s="20">
        <f>+Q63</f>
        <v>2700</v>
      </c>
      <c r="R171" s="20">
        <f>+R63</f>
        <v>2600</v>
      </c>
      <c r="S171" s="20">
        <f>+S63</f>
        <v>2900</v>
      </c>
      <c r="T171" s="20">
        <f>+T63</f>
        <v>2700</v>
      </c>
      <c r="U171" s="20">
        <f>+U63</f>
        <v>2900</v>
      </c>
      <c r="V171" s="20">
        <f>+V63</f>
        <v>2800</v>
      </c>
      <c r="W171" s="20">
        <f>+W63</f>
        <v>2700</v>
      </c>
      <c r="X171" s="20">
        <f>+X63</f>
        <v>2800</v>
      </c>
      <c r="Y171" s="20">
        <f>+Y63</f>
        <v>3000</v>
      </c>
      <c r="Z171" s="20">
        <f>+Z63</f>
        <v>2600</v>
      </c>
      <c r="AA171" s="20">
        <f>+AA63</f>
        <v>2800</v>
      </c>
      <c r="AB171" s="20">
        <f>+AB63</f>
        <v>2700</v>
      </c>
      <c r="AC171" s="20">
        <f>+AC63</f>
        <v>2900</v>
      </c>
      <c r="AD171" s="20">
        <f>+AD63</f>
        <v>2800</v>
      </c>
      <c r="AE171" s="20">
        <f>+AE63</f>
        <v>2800</v>
      </c>
      <c r="AF171" s="20">
        <f>+AF63</f>
        <v>3000</v>
      </c>
      <c r="AG171" s="20">
        <f>+AG63</f>
        <v>3000</v>
      </c>
      <c r="AH171" s="20">
        <f>+AH63</f>
        <v>2800</v>
      </c>
      <c r="AI171" s="20">
        <f>+AI63</f>
        <v>3200</v>
      </c>
      <c r="AJ171" s="20">
        <f>+AJ63</f>
        <v>3100</v>
      </c>
      <c r="AK171" s="20">
        <f>+AK63</f>
        <v>2900</v>
      </c>
      <c r="AL171" s="20">
        <f>+AL63</f>
        <v>3100</v>
      </c>
      <c r="AM171" s="20">
        <f>+AM63</f>
        <v>3100</v>
      </c>
      <c r="AN171" s="20">
        <f>+AN63</f>
        <v>3000</v>
      </c>
      <c r="AO171" s="20">
        <f>+AO63</f>
        <v>3000</v>
      </c>
      <c r="AP171" s="20">
        <f>+AP63</f>
        <v>0</v>
      </c>
      <c r="AQ171" s="20">
        <f>+AQ63</f>
        <v>0</v>
      </c>
      <c r="AR171" s="20">
        <f>+AR63</f>
        <v>0</v>
      </c>
      <c r="AS171" s="20">
        <f>+AVERAGE(AG171:AR171)</f>
        <v>2266.66666666667</v>
      </c>
      <c r="AT171" s="20">
        <f>+AS171*(1+$D$121)</f>
        <v>2274.6</v>
      </c>
      <c r="AU171" s="20">
        <f>+AT171*(1+$D$121)</f>
        <v>2282.5611</v>
      </c>
      <c r="AV171" s="20">
        <f>+AU171*(1+$D$121)</f>
        <v>2290.55006385</v>
      </c>
      <c r="AW171" s="20">
        <f>+AV171*(1+$D$121)</f>
        <v>2298.56698907348</v>
      </c>
      <c r="AX171" s="20">
        <f>+AW171*(1+$D$121)</f>
        <v>2306.61197353523</v>
      </c>
      <c r="AY171" s="20">
        <f>+AX171*(1+$D$121)</f>
        <v>2314.68511544261</v>
      </c>
      <c r="AZ171" s="20">
        <f>+AY171*(1+$D$121)</f>
        <v>2322.78651334666</v>
      </c>
      <c r="BA171" s="20">
        <f>+AZ171*(1+$D$121)</f>
        <v>2330.91626614337</v>
      </c>
      <c r="BB171" s="20">
        <f>+BA171*(1+$D$121)</f>
        <v>2339.07447307487</v>
      </c>
      <c r="BC171" s="20">
        <f>+BB171*(1+$D$121)</f>
        <v>2347.26123373063</v>
      </c>
      <c r="BD171" s="20">
        <f>+BC171*(1+$D$121)</f>
        <v>2355.47664804869</v>
      </c>
      <c r="BE171" s="20">
        <f>+BD171*(1+$D$121)</f>
        <v>2363.72081631686</v>
      </c>
      <c r="BF171" s="20">
        <f>+BE171*(1+$D$121)</f>
        <v>2371.99383917397</v>
      </c>
      <c r="BG171" s="20">
        <f>+BF171*(1+$D$121)</f>
        <v>2380.29581761108</v>
      </c>
      <c r="BH171" s="20">
        <f>+BG171*(1+$D$121)</f>
        <v>2388.62685297272</v>
      </c>
      <c r="BI171" s="20">
        <f>+BH171*(1+$D$121)</f>
        <v>2396.98704695812</v>
      </c>
      <c r="BJ171" s="20">
        <f>+BI171*(1+$D$121)</f>
        <v>2405.37650162248</v>
      </c>
      <c r="BK171" s="20">
        <f>+BJ171*(1+$D$121)</f>
        <v>2413.79531937816</v>
      </c>
      <c r="BL171" s="20">
        <f>+BK171*(1+$D$121)</f>
        <v>2422.24360299598</v>
      </c>
      <c r="BM171" s="20">
        <f>+BL171*(1+$D$121)</f>
        <v>2430.72145560647</v>
      </c>
      <c r="BN171" s="20">
        <f>+BM171*(1+$D$121)</f>
        <v>2439.22898070109</v>
      </c>
      <c r="BO171" s="20">
        <f>+BN171*(1+$D$121)</f>
        <v>2447.76628213354</v>
      </c>
      <c r="BP171" s="20">
        <f>+BO171*(1+$D$121)</f>
        <v>2456.33346412101</v>
      </c>
      <c r="BQ171" s="20">
        <f>+BP171*(1+$D$121)</f>
        <v>2464.93063124543</v>
      </c>
    </row>
    <row r="172">
      <c r="C172" s="3" t="inlineStr">
        <is>
          <t>Liability Insurance</t>
        </is>
      </c>
      <c r="D172" s="4" t="inlineStr">
        <is>
          <t>$ / month (TTM avg, inflated)</t>
        </is>
      </c>
      <c r="J172" s="20">
        <f>+J64</f>
        <v>2000</v>
      </c>
      <c r="K172" s="20">
        <f>+K64</f>
        <v>2000</v>
      </c>
      <c r="L172" s="20">
        <f>+L64</f>
        <v>2300</v>
      </c>
      <c r="M172" s="20">
        <f>+M64</f>
        <v>2100</v>
      </c>
      <c r="N172" s="20">
        <f>+N64</f>
        <v>2100</v>
      </c>
      <c r="O172" s="20">
        <f>+O64</f>
        <v>2200</v>
      </c>
      <c r="P172" s="20">
        <f>+P64</f>
        <v>2300</v>
      </c>
      <c r="Q172" s="20">
        <f>+Q64</f>
        <v>2200</v>
      </c>
      <c r="R172" s="20">
        <f>+R64</f>
        <v>2300</v>
      </c>
      <c r="S172" s="20">
        <f>+S64</f>
        <v>2100</v>
      </c>
      <c r="T172" s="20">
        <f>+T64</f>
        <v>2100</v>
      </c>
      <c r="U172" s="20">
        <f>+U64</f>
        <v>2200</v>
      </c>
      <c r="V172" s="20">
        <f>+V64</f>
        <v>2100</v>
      </c>
      <c r="W172" s="20">
        <f>+W64</f>
        <v>2200</v>
      </c>
      <c r="X172" s="20">
        <f>+X64</f>
        <v>2100</v>
      </c>
      <c r="Y172" s="20">
        <f>+Y64</f>
        <v>2100</v>
      </c>
      <c r="Z172" s="20">
        <f>+Z64</f>
        <v>2400</v>
      </c>
      <c r="AA172" s="20">
        <f>+AA64</f>
        <v>2300</v>
      </c>
      <c r="AB172" s="20">
        <f>+AB64</f>
        <v>2200</v>
      </c>
      <c r="AC172" s="20">
        <f>+AC64</f>
        <v>2200</v>
      </c>
      <c r="AD172" s="20">
        <f>+AD64</f>
        <v>2500</v>
      </c>
      <c r="AE172" s="20">
        <f>+AE64</f>
        <v>2300</v>
      </c>
      <c r="AF172" s="20">
        <f>+AF64</f>
        <v>2200</v>
      </c>
      <c r="AG172" s="20">
        <f>+AG64</f>
        <v>2500</v>
      </c>
      <c r="AH172" s="20">
        <f>+AH64</f>
        <v>2200</v>
      </c>
      <c r="AI172" s="20">
        <f>+AI64</f>
        <v>2300</v>
      </c>
      <c r="AJ172" s="20">
        <f>+AJ64</f>
        <v>2300</v>
      </c>
      <c r="AK172" s="20">
        <f>+AK64</f>
        <v>2400</v>
      </c>
      <c r="AL172" s="20">
        <f>+AL64</f>
        <v>2400</v>
      </c>
      <c r="AM172" s="20">
        <f>+AM64</f>
        <v>2300</v>
      </c>
      <c r="AN172" s="20">
        <f>+AN64</f>
        <v>2300</v>
      </c>
      <c r="AO172" s="20">
        <f>+AO64</f>
        <v>2600</v>
      </c>
      <c r="AP172" s="20">
        <f>+AP64</f>
        <v>0</v>
      </c>
      <c r="AQ172" s="20">
        <f>+AQ64</f>
        <v>0</v>
      </c>
      <c r="AR172" s="20">
        <f>+AR64</f>
        <v>0</v>
      </c>
      <c r="AS172" s="20">
        <f>+AVERAGE(AG172:AR172)</f>
        <v>1775</v>
      </c>
      <c r="AT172" s="20">
        <f>+AS172*(1+$D$121)</f>
        <v>1781.2125</v>
      </c>
      <c r="AU172" s="20">
        <f>+AT172*(1+$D$121)</f>
        <v>1787.44674375</v>
      </c>
      <c r="AV172" s="20">
        <f>+AU172*(1+$D$121)</f>
        <v>1793.70280735313</v>
      </c>
      <c r="AW172" s="20">
        <f>+AV172*(1+$D$121)</f>
        <v>1799.98076717886</v>
      </c>
      <c r="AX172" s="20">
        <f>+AW172*(1+$D$121)</f>
        <v>1806.28069986399</v>
      </c>
      <c r="AY172" s="20">
        <f>+AX172*(1+$D$121)</f>
        <v>1812.60268231351</v>
      </c>
      <c r="AZ172" s="20">
        <f>+AY172*(1+$D$121)</f>
        <v>1818.94679170161</v>
      </c>
      <c r="BA172" s="20">
        <f>+AZ172*(1+$D$121)</f>
        <v>1825.31310547256</v>
      </c>
      <c r="BB172" s="20">
        <f>+BA172*(1+$D$121)</f>
        <v>1831.70170134172</v>
      </c>
      <c r="BC172" s="20">
        <f>+BB172*(1+$D$121)</f>
        <v>1838.11265729642</v>
      </c>
      <c r="BD172" s="20">
        <f>+BC172*(1+$D$121)</f>
        <v>1844.54605159695</v>
      </c>
      <c r="BE172" s="20">
        <f>+BD172*(1+$D$121)</f>
        <v>1851.00196277754</v>
      </c>
      <c r="BF172" s="20">
        <f>+BE172*(1+$D$121)</f>
        <v>1857.48046964726</v>
      </c>
      <c r="BG172" s="20">
        <f>+BF172*(1+$D$121)</f>
        <v>1863.98165129103</v>
      </c>
      <c r="BH172" s="20">
        <f>+BG172*(1+$D$121)</f>
        <v>1870.50558707055</v>
      </c>
      <c r="BI172" s="20">
        <f>+BH172*(1+$D$121)</f>
        <v>1877.05235662529</v>
      </c>
      <c r="BJ172" s="20">
        <f>+BI172*(1+$D$121)</f>
        <v>1883.62203987348</v>
      </c>
      <c r="BK172" s="20">
        <f>+BJ172*(1+$D$121)</f>
        <v>1890.21471701304</v>
      </c>
      <c r="BL172" s="20">
        <f>+BK172*(1+$D$121)</f>
        <v>1896.83046852259</v>
      </c>
      <c r="BM172" s="20">
        <f>+BL172*(1+$D$121)</f>
        <v>1903.46937516242</v>
      </c>
      <c r="BN172" s="20">
        <f>+BM172*(1+$D$121)</f>
        <v>1910.13151797548</v>
      </c>
      <c r="BO172" s="20">
        <f>+BN172*(1+$D$121)</f>
        <v>1916.8169782884</v>
      </c>
      <c r="BP172" s="20">
        <f>+BO172*(1+$D$121)</f>
        <v>1923.52583771241</v>
      </c>
      <c r="BQ172" s="20">
        <f>+BP172*(1+$D$121)</f>
        <v>1930.2581781444</v>
      </c>
    </row>
    <row r="173">
      <c r="C173" s="3" t="inlineStr">
        <is>
          <t>Insurance Administration Fee</t>
        </is>
      </c>
      <c r="D173" s="4" t="inlineStr">
        <is>
          <t>$ / month (TTM avg, inflated)</t>
        </is>
      </c>
      <c r="J173" s="20">
        <f>+J65</f>
        <v>500</v>
      </c>
      <c r="K173" s="20">
        <f>+K65</f>
        <v>600</v>
      </c>
      <c r="L173" s="20">
        <f>+L65</f>
        <v>500</v>
      </c>
      <c r="M173" s="20">
        <f>+M65</f>
        <v>500</v>
      </c>
      <c r="N173" s="20">
        <f>+N65</f>
        <v>500</v>
      </c>
      <c r="O173" s="20">
        <f>+O65</f>
        <v>500</v>
      </c>
      <c r="P173" s="20">
        <f>+P65</f>
        <v>600</v>
      </c>
      <c r="Q173" s="20">
        <f>+Q65</f>
        <v>500</v>
      </c>
      <c r="R173" s="20">
        <f>+R65</f>
        <v>500</v>
      </c>
      <c r="S173" s="20">
        <f>+S65</f>
        <v>500</v>
      </c>
      <c r="T173" s="20">
        <f>+T65</f>
        <v>600</v>
      </c>
      <c r="U173" s="20">
        <f>+U65</f>
        <v>500</v>
      </c>
      <c r="V173" s="20">
        <f>+V65</f>
        <v>500</v>
      </c>
      <c r="W173" s="20">
        <f>+W65</f>
        <v>600</v>
      </c>
      <c r="X173" s="20">
        <f>+X65</f>
        <v>600</v>
      </c>
      <c r="Y173" s="20">
        <f>+Y65</f>
        <v>600</v>
      </c>
      <c r="Z173" s="20">
        <f>+Z65</f>
        <v>500</v>
      </c>
      <c r="AA173" s="20">
        <f>+AA65</f>
        <v>600</v>
      </c>
      <c r="AB173" s="20">
        <f>+AB65</f>
        <v>600</v>
      </c>
      <c r="AC173" s="20">
        <f>+AC65</f>
        <v>600</v>
      </c>
      <c r="AD173" s="20">
        <f>+AD65</f>
        <v>600</v>
      </c>
      <c r="AE173" s="20">
        <f>+AE65</f>
        <v>600</v>
      </c>
      <c r="AF173" s="20">
        <f>+AF65</f>
        <v>600</v>
      </c>
      <c r="AG173" s="20">
        <f>+AG65</f>
        <v>600</v>
      </c>
      <c r="AH173" s="20">
        <f>+AH65</f>
        <v>600</v>
      </c>
      <c r="AI173" s="20">
        <f>+AI65</f>
        <v>600</v>
      </c>
      <c r="AJ173" s="20">
        <f>+AJ65</f>
        <v>600</v>
      </c>
      <c r="AK173" s="20">
        <f>+AK65</f>
        <v>600</v>
      </c>
      <c r="AL173" s="20">
        <f>+AL65</f>
        <v>600</v>
      </c>
      <c r="AM173" s="20">
        <f>+AM65</f>
        <v>600</v>
      </c>
      <c r="AN173" s="20">
        <f>+AN65</f>
        <v>600</v>
      </c>
      <c r="AO173" s="20">
        <f>+AO65</f>
        <v>600</v>
      </c>
      <c r="AP173" s="20">
        <f>+AP65</f>
        <v>0</v>
      </c>
      <c r="AQ173" s="20">
        <f>+AQ65</f>
        <v>0</v>
      </c>
      <c r="AR173" s="20">
        <f>+AR65</f>
        <v>0</v>
      </c>
      <c r="AS173" s="20">
        <f>+AVERAGE(AG173:AR173)</f>
        <v>450</v>
      </c>
      <c r="AT173" s="20">
        <f>+AS173*(1+$D$121)</f>
        <v>451.575</v>
      </c>
      <c r="AU173" s="20">
        <f>+AT173*(1+$D$121)</f>
        <v>453.1555125</v>
      </c>
      <c r="AV173" s="20">
        <f>+AU173*(1+$D$121)</f>
        <v>454.74155679375</v>
      </c>
      <c r="AW173" s="20">
        <f>+AV173*(1+$D$121)</f>
        <v>456.333152242528</v>
      </c>
      <c r="AX173" s="20">
        <f>+AW173*(1+$D$121)</f>
        <v>457.930318275377</v>
      </c>
      <c r="AY173" s="20">
        <f>+AX173*(1+$D$121)</f>
        <v>459.533074389341</v>
      </c>
      <c r="AZ173" s="20">
        <f>+AY173*(1+$D$121)</f>
        <v>461.141440149704</v>
      </c>
      <c r="BA173" s="20">
        <f>+AZ173*(1+$D$121)</f>
        <v>462.755435190228</v>
      </c>
      <c r="BB173" s="20">
        <f>+BA173*(1+$D$121)</f>
        <v>464.375079213394</v>
      </c>
      <c r="BC173" s="20">
        <f>+BB173*(1+$D$121)</f>
        <v>466.000391990641</v>
      </c>
      <c r="BD173" s="20">
        <f>+BC173*(1+$D$121)</f>
        <v>467.631393362608</v>
      </c>
      <c r="BE173" s="20">
        <f>+BD173*(1+$D$121)</f>
        <v>469.268103239377</v>
      </c>
      <c r="BF173" s="20">
        <f>+BE173*(1+$D$121)</f>
        <v>470.910541600715</v>
      </c>
      <c r="BG173" s="20">
        <f>+BF173*(1+$D$121)</f>
        <v>472.558728496317</v>
      </c>
      <c r="BH173" s="20">
        <f>+BG173*(1+$D$121)</f>
        <v>474.212684046054</v>
      </c>
      <c r="BI173" s="20">
        <f>+BH173*(1+$D$121)</f>
        <v>475.872428440216</v>
      </c>
      <c r="BJ173" s="20">
        <f>+BI173*(1+$D$121)</f>
        <v>477.537981939756</v>
      </c>
      <c r="BK173" s="20">
        <f>+BJ173*(1+$D$121)</f>
        <v>479.209364876546</v>
      </c>
      <c r="BL173" s="20">
        <f>+BK173*(1+$D$121)</f>
        <v>480.886597653614</v>
      </c>
      <c r="BM173" s="20">
        <f>+BL173*(1+$D$121)</f>
        <v>482.569700745401</v>
      </c>
      <c r="BN173" s="20">
        <f>+BM173*(1+$D$121)</f>
        <v>484.25869469801</v>
      </c>
      <c r="BO173" s="20">
        <f>+BN173*(1+$D$121)</f>
        <v>485.953600129453</v>
      </c>
      <c r="BP173" s="20">
        <f>+BO173*(1+$D$121)</f>
        <v>487.654437729906</v>
      </c>
      <c r="BQ173" s="20">
        <f>+BP173*(1+$D$121)</f>
        <v>489.361228261961</v>
      </c>
    </row>
    <row r="174">
      <c r="C174" s="4" t="inlineStr">
        <is>
          <t>Total Insurance</t>
        </is>
      </c>
    </row>
    <row r="176">
      <c r="C176" s="2" t="inlineStr">
        <is>
          <t>General &amp; Administrative</t>
        </is>
      </c>
    </row>
    <row r="177">
      <c r="C177" s="3" t="inlineStr">
        <is>
          <t>Advertising &amp; Marketing</t>
        </is>
      </c>
      <c r="D177" s="4" t="inlineStr">
        <is>
          <t>$ / month (TTM avg, inflated)</t>
        </is>
      </c>
      <c r="J177" s="20">
        <f>+J69</f>
        <v>4900</v>
      </c>
      <c r="K177" s="20">
        <f>+K69</f>
        <v>5200</v>
      </c>
      <c r="L177" s="20">
        <f>+L69</f>
        <v>5100</v>
      </c>
      <c r="M177" s="20">
        <f>+M69</f>
        <v>5200</v>
      </c>
      <c r="N177" s="20">
        <f>+N69</f>
        <v>5200</v>
      </c>
      <c r="O177" s="20">
        <f>+O69</f>
        <v>5700</v>
      </c>
      <c r="P177" s="20">
        <f>+P69</f>
        <v>5600</v>
      </c>
      <c r="Q177" s="20">
        <f>+Q69</f>
        <v>5700</v>
      </c>
      <c r="R177" s="20">
        <f>+R69</f>
        <v>5600</v>
      </c>
      <c r="S177" s="20">
        <f>+S69</f>
        <v>5100</v>
      </c>
      <c r="T177" s="20">
        <f>+T69</f>
        <v>5100</v>
      </c>
      <c r="U177" s="20">
        <f>+U69</f>
        <v>5700</v>
      </c>
      <c r="V177" s="20">
        <f>+V69</f>
        <v>5900</v>
      </c>
      <c r="W177" s="20">
        <f>+W69</f>
        <v>5700</v>
      </c>
      <c r="X177" s="20">
        <f>+X69</f>
        <v>5900</v>
      </c>
      <c r="Y177" s="20">
        <f>+Y69</f>
        <v>5500</v>
      </c>
      <c r="Z177" s="20">
        <f>+Z69</f>
        <v>5700</v>
      </c>
      <c r="AA177" s="20">
        <f>+AA69</f>
        <v>5400</v>
      </c>
      <c r="AB177" s="20">
        <f>+AB69</f>
        <v>5600</v>
      </c>
      <c r="AC177" s="20">
        <f>+AC69</f>
        <v>5800</v>
      </c>
      <c r="AD177" s="20">
        <f>+AD69</f>
        <v>5900</v>
      </c>
      <c r="AE177" s="20">
        <f>+AE69</f>
        <v>5800</v>
      </c>
      <c r="AF177" s="20">
        <f>+AF69</f>
        <v>5900</v>
      </c>
      <c r="AG177" s="20">
        <f>+AG69</f>
        <v>6200</v>
      </c>
      <c r="AH177" s="20">
        <f>+AH69</f>
        <v>6300</v>
      </c>
      <c r="AI177" s="20">
        <f>+AI69</f>
        <v>5600</v>
      </c>
      <c r="AJ177" s="20">
        <f>+AJ69</f>
        <v>6100</v>
      </c>
      <c r="AK177" s="20">
        <f>+AK69</f>
        <v>5700</v>
      </c>
      <c r="AL177" s="20">
        <f>+AL69</f>
        <v>6200</v>
      </c>
      <c r="AM177" s="20">
        <f>+AM69</f>
        <v>6100</v>
      </c>
      <c r="AN177" s="20">
        <f>+AN69</f>
        <v>5700</v>
      </c>
      <c r="AO177" s="20">
        <f>+AO69</f>
        <v>6100</v>
      </c>
      <c r="AP177" s="20">
        <f>+AP69</f>
        <v>7295.68</v>
      </c>
      <c r="AQ177" s="20">
        <f>+AQ69</f>
        <v>7411.76</v>
      </c>
      <c r="AR177" s="20">
        <f>+AR69</f>
        <v>7220.43</v>
      </c>
      <c r="AS177" s="20">
        <f>+AVERAGE(AG177:AR177)</f>
        <v>6327.3225</v>
      </c>
      <c r="AT177" s="20">
        <f>+AS177*(1+$D$121)</f>
        <v>6349.46812875</v>
      </c>
      <c r="AU177" s="20">
        <f>+AT177*(1+$D$121)</f>
        <v>6371.69126720063</v>
      </c>
      <c r="AV177" s="20">
        <f>+AU177*(1+$D$121)</f>
        <v>6393.99218663583</v>
      </c>
      <c r="AW177" s="20">
        <f>+AV177*(1+$D$121)</f>
        <v>6416.37115928905</v>
      </c>
      <c r="AX177" s="20">
        <f>+AW177*(1+$D$121)</f>
        <v>6438.82845834657</v>
      </c>
      <c r="AY177" s="20">
        <f>+AX177*(1+$D$121)</f>
        <v>6461.36435795078</v>
      </c>
      <c r="AZ177" s="20">
        <f>+AY177*(1+$D$121)</f>
        <v>6483.97913320361</v>
      </c>
      <c r="BA177" s="20">
        <f>+AZ177*(1+$D$121)</f>
        <v>6506.67306016982</v>
      </c>
      <c r="BB177" s="20">
        <f>+BA177*(1+$D$121)</f>
        <v>6529.44641588042</v>
      </c>
      <c r="BC177" s="20">
        <f>+BB177*(1+$D$121)</f>
        <v>6552.299478336</v>
      </c>
      <c r="BD177" s="20">
        <f>+BC177*(1+$D$121)</f>
        <v>6575.23252651017</v>
      </c>
      <c r="BE177" s="20">
        <f>+BD177*(1+$D$121)</f>
        <v>6598.24584035296</v>
      </c>
      <c r="BF177" s="20">
        <f>+BE177*(1+$D$121)</f>
        <v>6621.3397007942</v>
      </c>
      <c r="BG177" s="20">
        <f>+BF177*(1+$D$121)</f>
        <v>6644.51438974698</v>
      </c>
      <c r="BH177" s="20">
        <f>+BG177*(1+$D$121)</f>
        <v>6667.77019011109</v>
      </c>
      <c r="BI177" s="20">
        <f>+BH177*(1+$D$121)</f>
        <v>6691.10738577648</v>
      </c>
      <c r="BJ177" s="20">
        <f>+BI177*(1+$D$121)</f>
        <v>6714.5262616267</v>
      </c>
      <c r="BK177" s="20">
        <f>+BJ177*(1+$D$121)</f>
        <v>6738.02710354239</v>
      </c>
      <c r="BL177" s="20">
        <f>+BK177*(1+$D$121)</f>
        <v>6761.61019840479</v>
      </c>
      <c r="BM177" s="20">
        <f>+BL177*(1+$D$121)</f>
        <v>6785.27583409921</v>
      </c>
      <c r="BN177" s="20">
        <f>+BM177*(1+$D$121)</f>
        <v>6809.02429951856</v>
      </c>
      <c r="BO177" s="20">
        <f>+BN177*(1+$D$121)</f>
        <v>6832.85588456687</v>
      </c>
      <c r="BP177" s="20">
        <f>+BO177*(1+$D$121)</f>
        <v>6856.77088016286</v>
      </c>
      <c r="BQ177" s="20">
        <f>+BP177*(1+$D$121)</f>
        <v>6880.76957824343</v>
      </c>
    </row>
    <row r="178">
      <c r="C178" s="3" t="inlineStr">
        <is>
          <t>Bad Debt Expense</t>
        </is>
      </c>
      <c r="D178" s="4" t="inlineStr">
        <is>
          <t>% of revenue</t>
        </is>
      </c>
      <c r="J178" s="11">
        <f>+IFERROR(J70/J$10,)</f>
        <v>0.011513778784447</v>
      </c>
      <c r="K178" s="11">
        <f>+IFERROR(K70/K$10,)</f>
        <v>0.0122244279594609</v>
      </c>
      <c r="L178" s="11">
        <f>+IFERROR(L70/L$10,)</f>
        <v>0.0119624038735403</v>
      </c>
      <c r="M178" s="11">
        <f>+IFERROR(M70/M$10,)</f>
        <v>0.0114179759929736</v>
      </c>
      <c r="N178" s="11">
        <f>+IFERROR(N70/N$10,)</f>
        <v>0.0115341254010927</v>
      </c>
      <c r="O178" s="11">
        <f>+IFERROR(O70/O$10,)</f>
        <v>0.0119267941599835</v>
      </c>
      <c r="P178" s="11">
        <f>+IFERROR(P70/P$10,)</f>
        <v>0.0125756870051234</v>
      </c>
      <c r="Q178" s="11">
        <f>+IFERROR(Q70/Q$10,)</f>
        <v>0.0115728084563514</v>
      </c>
      <c r="R178" s="11">
        <f>+IFERROR(R70/R$10,)</f>
        <v>0.0114387141307563</v>
      </c>
      <c r="S178" s="11">
        <f>+IFERROR(S70/S$10,)</f>
        <v>0.0116240995415848</v>
      </c>
      <c r="T178" s="11">
        <f>+IFERROR(T70/T$10,)</f>
        <v>0.0118554761008656</v>
      </c>
      <c r="U178" s="11">
        <f>+IFERROR(U70/U$10,)</f>
        <v>0.0125232364739262</v>
      </c>
      <c r="V178" s="11">
        <f>+IFERROR(V70/V$10,)</f>
        <v>0.0119243065756502</v>
      </c>
      <c r="W178" s="11">
        <f>+IFERROR(W70/W$10,)</f>
        <v>0.0118656637355652</v>
      </c>
      <c r="X178" s="11">
        <f>+IFERROR(X70/X$10,)</f>
        <v>0.0115537480358628</v>
      </c>
      <c r="Y178" s="11">
        <f>+IFERROR(Y70/Y$10,)</f>
        <v>0.012039962428486</v>
      </c>
      <c r="Z178" s="11">
        <f>+IFERROR(Z70/Z$10,)</f>
        <v>0.0119323831620815</v>
      </c>
      <c r="AA178" s="11">
        <f>+IFERROR(AA70/AA$10,)</f>
        <v>0.0124858115777526</v>
      </c>
      <c r="AB178" s="11">
        <f>+IFERROR(AB70/AB$10,)</f>
        <v>0.0115075751303916</v>
      </c>
      <c r="AC178" s="11">
        <f>+IFERROR(AC70/AC$10,)</f>
        <v>0.0125966466857788</v>
      </c>
      <c r="AD178" s="11">
        <f>+IFERROR(AD70/AD$10,)</f>
        <v>0.0125021705157145</v>
      </c>
      <c r="AE178" s="11">
        <f>+IFERROR(AE70/AE$10,)</f>
        <v>0.0124415623586186</v>
      </c>
      <c r="AF178" s="11">
        <f>+IFERROR(AF70/AF$10,)</f>
        <v>0.0122874187516695</v>
      </c>
      <c r="AG178" s="11">
        <f>+IFERROR(AG70/AG$10,)</f>
        <v>0.0120430837079128</v>
      </c>
      <c r="AH178" s="11">
        <f>+IFERROR(AH70/AH$10,)</f>
        <v>0.0114253302001459</v>
      </c>
      <c r="AI178" s="11">
        <f>+IFERROR(AI70/AI$10,)</f>
        <v>0.0120701216591628</v>
      </c>
      <c r="AJ178" s="11">
        <f>+IFERROR(AJ70/AJ$10,)</f>
        <v>0.0123506619309009</v>
      </c>
      <c r="AK178" s="11">
        <f>+IFERROR(AK70/AK$10,)</f>
        <v>0.0116360251338143</v>
      </c>
      <c r="AL178" s="11">
        <f>+IFERROR(AL70/AL$10,)</f>
        <v>0.0115347644985582</v>
      </c>
      <c r="AM178" s="11">
        <f>+IFERROR(AM70/AM$10,)</f>
        <v>0.0117003367003367</v>
      </c>
      <c r="AN178" s="11">
        <f>+IFERROR(AN70/AN$10,)</f>
        <v>0.0119442089851275</v>
      </c>
      <c r="AO178" s="11">
        <f>+IFERROR(AO70/AO$10,)</f>
        <v>0.0115977291159773</v>
      </c>
      <c r="AP178" s="11">
        <f>+IFERROR(AP70/AP$10,)</f>
        <v>0</v>
      </c>
      <c r="AQ178" s="11">
        <f>+IFERROR(AQ70/AQ$10,)</f>
        <v>0</v>
      </c>
      <c r="AR178" s="11">
        <f>+IFERROR(AR70/AR$10,)</f>
        <v>0</v>
      </c>
      <c r="AS178" s="25" t="n">
        <v>0.012</v>
      </c>
      <c r="AT178" s="11">
        <f>+AS178</f>
        <v>0.012</v>
      </c>
      <c r="AU178" s="11">
        <f>+AT178</f>
        <v>0.012</v>
      </c>
      <c r="AV178" s="11">
        <f>+AU178</f>
        <v>0.012</v>
      </c>
      <c r="AW178" s="11">
        <f>+AV178</f>
        <v>0.012</v>
      </c>
      <c r="AX178" s="11">
        <f>+AW178</f>
        <v>0.012</v>
      </c>
      <c r="AY178" s="11">
        <f>+AX178</f>
        <v>0.012</v>
      </c>
      <c r="AZ178" s="11">
        <f>+AY178</f>
        <v>0.012</v>
      </c>
      <c r="BA178" s="11">
        <f>+AZ178</f>
        <v>0.012</v>
      </c>
      <c r="BB178" s="11">
        <f>+BA178</f>
        <v>0.012</v>
      </c>
      <c r="BC178" s="11">
        <f>+BB178</f>
        <v>0.012</v>
      </c>
      <c r="BD178" s="11">
        <f>+BC178</f>
        <v>0.012</v>
      </c>
      <c r="BE178" s="11">
        <f>+BD178</f>
        <v>0.012</v>
      </c>
      <c r="BF178" s="11">
        <f>+BE178</f>
        <v>0.012</v>
      </c>
      <c r="BG178" s="11">
        <f>+BF178</f>
        <v>0.012</v>
      </c>
      <c r="BH178" s="11">
        <f>+BG178</f>
        <v>0.012</v>
      </c>
      <c r="BI178" s="11">
        <f>+BH178</f>
        <v>0.012</v>
      </c>
      <c r="BJ178" s="11">
        <f>+BI178</f>
        <v>0.012</v>
      </c>
      <c r="BK178" s="11">
        <f>+BJ178</f>
        <v>0.012</v>
      </c>
      <c r="BL178" s="11">
        <f>+BK178</f>
        <v>0.012</v>
      </c>
      <c r="BM178" s="11">
        <f>+BL178</f>
        <v>0.012</v>
      </c>
      <c r="BN178" s="11">
        <f>+BM178</f>
        <v>0.012</v>
      </c>
      <c r="BO178" s="11">
        <f>+BN178</f>
        <v>0.012</v>
      </c>
      <c r="BP178" s="11">
        <f>+BO178</f>
        <v>0.012</v>
      </c>
      <c r="BQ178" s="11">
        <f>+BP178</f>
        <v>0.012</v>
      </c>
    </row>
    <row r="179">
      <c r="C179" s="3" t="inlineStr">
        <is>
          <t>Billing &amp; Collection Fees</t>
        </is>
      </c>
      <c r="D179" s="4" t="inlineStr">
        <is>
          <t>% of revenue</t>
        </is>
      </c>
      <c r="J179" s="11">
        <f>+IFERROR(J71/J$10,)</f>
        <v>0.0366175915439789</v>
      </c>
      <c r="K179" s="11">
        <f>+IFERROR(K71/K$10,)</f>
        <v>0.0362553547173754</v>
      </c>
      <c r="L179" s="11">
        <f>+IFERROR(L71/L$10,)</f>
        <v>0.0367416690401595</v>
      </c>
      <c r="M179" s="11">
        <f>+IFERROR(M71/M$10,)</f>
        <v>0.0358153605933444</v>
      </c>
      <c r="N179" s="11">
        <f>+IFERROR(N71/N$10,)</f>
        <v>0.0333882577400052</v>
      </c>
      <c r="O179" s="11">
        <f>+IFERROR(O71/O$10,)</f>
        <v>0.035883199670985</v>
      </c>
      <c r="P179" s="11">
        <f>+IFERROR(P71/P$10,)</f>
        <v>0.0363297624592455</v>
      </c>
      <c r="Q179" s="11">
        <f>+IFERROR(Q71/Q$10,)</f>
        <v>0.0342628029888828</v>
      </c>
      <c r="R179" s="11">
        <f>+IFERROR(R71/R$10,)</f>
        <v>0.0359925056700523</v>
      </c>
      <c r="S179" s="11">
        <f>+IFERROR(S71/S$10,)</f>
        <v>0.033316961362148</v>
      </c>
      <c r="T179" s="11">
        <f>+IFERROR(T71/T$10,)</f>
        <v>0.0334023334587881</v>
      </c>
      <c r="U179" s="11">
        <f>+IFERROR(U71/U$10,)</f>
        <v>0.0359064670775854</v>
      </c>
      <c r="V179" s="11">
        <f>+IFERROR(V71/V$10,)</f>
        <v>0.0336991272790115</v>
      </c>
      <c r="W179" s="11">
        <f>+IFERROR(W71/W$10,)</f>
        <v>0.0359148214853268</v>
      </c>
      <c r="X179" s="11">
        <f>+IFERROR(X71/X$10,)</f>
        <v>0.0361401238561789</v>
      </c>
      <c r="Y179" s="11">
        <f>+IFERROR(Y71/Y$10,)</f>
        <v>0.033387413542823</v>
      </c>
      <c r="Z179" s="11">
        <f>+IFERROR(Z71/Z$10,)</f>
        <v>0.0339741465031488</v>
      </c>
      <c r="AA179" s="11">
        <f>+IFERROR(AA71/AA$10,)</f>
        <v>0.033957623912221</v>
      </c>
      <c r="AB179" s="11">
        <f>+IFERROR(AB71/AB$10,)</f>
        <v>0.0340259955294312</v>
      </c>
      <c r="AC179" s="11">
        <f>+IFERROR(AC71/AC$10,)</f>
        <v>0.0344887498914082</v>
      </c>
      <c r="AD179" s="11">
        <f>+IFERROR(AD71/AD$10,)</f>
        <v>0.0348150720611217</v>
      </c>
      <c r="AE179" s="11">
        <f>+IFERROR(AE71/AE$10,)</f>
        <v>0.0349871814206002</v>
      </c>
      <c r="AF179" s="11">
        <f>+IFERROR(AF71/AF$10,)</f>
        <v>0.0357047457928947</v>
      </c>
      <c r="AG179" s="11">
        <f>+IFERROR(AG71/AG$10,)</f>
        <v>0.034433042150793</v>
      </c>
      <c r="AH179" s="11">
        <f>+IFERROR(AH71/AH$10,)</f>
        <v>0.0356535126813062</v>
      </c>
      <c r="AI179" s="11">
        <f>+IFERROR(AI71/AI$10,)</f>
        <v>0.0348692403486924</v>
      </c>
      <c r="AJ179" s="11">
        <f>+IFERROR(AJ71/AJ$10,)</f>
        <v>0.0354375201808202</v>
      </c>
      <c r="AK179" s="11">
        <f>+IFERROR(AK71/AK$10,)</f>
        <v>0.0362268249166085</v>
      </c>
      <c r="AL179" s="11">
        <f>+IFERROR(AL71/AL$10,)</f>
        <v>0.0343639859019545</v>
      </c>
      <c r="AM179" s="11">
        <f>+IFERROR(AM71/AM$10,)</f>
        <v>0.0364478114478115</v>
      </c>
      <c r="AN179" s="11">
        <f>+IFERROR(AN71/AN$10,)</f>
        <v>0.0332896663327425</v>
      </c>
      <c r="AO179" s="11">
        <f>+IFERROR(AO71/AO$10,)</f>
        <v>0.0334144363341444</v>
      </c>
      <c r="AP179" s="11">
        <f>+IFERROR(AP71/AP$10,)</f>
        <v>0.0502470541919662</v>
      </c>
      <c r="AQ179" s="11">
        <f>+IFERROR(AQ71/AQ$10,)</f>
        <v>0.0485898400658583</v>
      </c>
      <c r="AR179" s="11">
        <f>+IFERROR(AR71/AR$10,)</f>
        <v>0.051271510148829</v>
      </c>
      <c r="AS179" s="25" t="n">
        <v>0.0356</v>
      </c>
      <c r="AT179" s="11">
        <f>+AS179</f>
        <v>0.0356</v>
      </c>
      <c r="AU179" s="11">
        <f>+AT179</f>
        <v>0.0356</v>
      </c>
      <c r="AV179" s="11">
        <f>+AU179</f>
        <v>0.0356</v>
      </c>
      <c r="AW179" s="11">
        <f>+AV179</f>
        <v>0.0356</v>
      </c>
      <c r="AX179" s="11">
        <f>+AW179</f>
        <v>0.0356</v>
      </c>
      <c r="AY179" s="11">
        <f>+AX179</f>
        <v>0.0356</v>
      </c>
      <c r="AZ179" s="11">
        <f>+AY179</f>
        <v>0.0356</v>
      </c>
      <c r="BA179" s="11">
        <f>+AZ179</f>
        <v>0.0356</v>
      </c>
      <c r="BB179" s="11">
        <f>+BA179</f>
        <v>0.0356</v>
      </c>
      <c r="BC179" s="11">
        <f>+BB179</f>
        <v>0.0356</v>
      </c>
      <c r="BD179" s="11">
        <f>+BC179</f>
        <v>0.0356</v>
      </c>
      <c r="BE179" s="11">
        <f>+BD179</f>
        <v>0.0356</v>
      </c>
      <c r="BF179" s="11">
        <f>+BE179</f>
        <v>0.0356</v>
      </c>
      <c r="BG179" s="11">
        <f>+BF179</f>
        <v>0.0356</v>
      </c>
      <c r="BH179" s="11">
        <f>+BG179</f>
        <v>0.0356</v>
      </c>
      <c r="BI179" s="11">
        <f>+BH179</f>
        <v>0.0356</v>
      </c>
      <c r="BJ179" s="11">
        <f>+BI179</f>
        <v>0.0356</v>
      </c>
      <c r="BK179" s="11">
        <f>+BJ179</f>
        <v>0.0356</v>
      </c>
      <c r="BL179" s="11">
        <f>+BK179</f>
        <v>0.0356</v>
      </c>
      <c r="BM179" s="11">
        <f>+BL179</f>
        <v>0.0356</v>
      </c>
      <c r="BN179" s="11">
        <f>+BM179</f>
        <v>0.0356</v>
      </c>
      <c r="BO179" s="11">
        <f>+BN179</f>
        <v>0.0356</v>
      </c>
      <c r="BP179" s="11">
        <f>+BO179</f>
        <v>0.0356</v>
      </c>
      <c r="BQ179" s="11">
        <f>+BP179</f>
        <v>0.0356</v>
      </c>
    </row>
    <row r="180">
      <c r="C180" s="3" t="inlineStr">
        <is>
          <t>Contract Services</t>
        </is>
      </c>
      <c r="D180" s="4" t="inlineStr">
        <is>
          <t>$ / month (TTM avg, inflated)</t>
        </is>
      </c>
      <c r="J180" s="20">
        <f>+J72</f>
        <v>5300</v>
      </c>
      <c r="K180" s="20">
        <f>+K72</f>
        <v>5000</v>
      </c>
      <c r="L180" s="20">
        <f>+L72</f>
        <v>5100</v>
      </c>
      <c r="M180" s="20">
        <f>+M72</f>
        <v>5300</v>
      </c>
      <c r="N180" s="20">
        <f>+N72</f>
        <v>5600</v>
      </c>
      <c r="O180" s="20">
        <f>+O72</f>
        <v>5600</v>
      </c>
      <c r="P180" s="20">
        <f>+P72</f>
        <v>5600</v>
      </c>
      <c r="Q180" s="20">
        <f>+Q72</f>
        <v>5700</v>
      </c>
      <c r="R180" s="20">
        <f>+R72</f>
        <v>5600</v>
      </c>
      <c r="S180" s="20">
        <f>+S72</f>
        <v>5800</v>
      </c>
      <c r="T180" s="20">
        <f>+T72</f>
        <v>5600</v>
      </c>
      <c r="U180" s="20">
        <f>+U72</f>
        <v>5300</v>
      </c>
      <c r="V180" s="20">
        <f>+V72</f>
        <v>5300</v>
      </c>
      <c r="W180" s="20">
        <f>+W72</f>
        <v>5300</v>
      </c>
      <c r="X180" s="20">
        <f>+X72</f>
        <v>5300</v>
      </c>
      <c r="Y180" s="20">
        <f>+Y72</f>
        <v>5500</v>
      </c>
      <c r="Z180" s="20">
        <f>+Z72</f>
        <v>6100</v>
      </c>
      <c r="AA180" s="20">
        <f>+AA72</f>
        <v>6100</v>
      </c>
      <c r="AB180" s="20">
        <f>+AB72</f>
        <v>6000</v>
      </c>
      <c r="AC180" s="20">
        <f>+AC72</f>
        <v>5600</v>
      </c>
      <c r="AD180" s="20">
        <f>+AD72</f>
        <v>6000</v>
      </c>
      <c r="AE180" s="20">
        <f>+AE72</f>
        <v>6000</v>
      </c>
      <c r="AF180" s="20">
        <f>+AF72</f>
        <v>5800</v>
      </c>
      <c r="AG180" s="20">
        <f>+AG72</f>
        <v>6200</v>
      </c>
      <c r="AH180" s="20">
        <f>+AH72</f>
        <v>6100</v>
      </c>
      <c r="AI180" s="20">
        <f>+AI72</f>
        <v>5900</v>
      </c>
      <c r="AJ180" s="20">
        <f>+AJ72</f>
        <v>6300</v>
      </c>
      <c r="AK180" s="20">
        <f>+AK72</f>
        <v>6400</v>
      </c>
      <c r="AL180" s="20">
        <f>+AL72</f>
        <v>6000</v>
      </c>
      <c r="AM180" s="20">
        <f>+AM72</f>
        <v>6100</v>
      </c>
      <c r="AN180" s="20">
        <f>+AN72</f>
        <v>6100</v>
      </c>
      <c r="AO180" s="20">
        <f>+AO72</f>
        <v>6700</v>
      </c>
      <c r="AP180" s="20">
        <f>+AP72</f>
        <v>0</v>
      </c>
      <c r="AQ180" s="20">
        <f>+AQ72</f>
        <v>0</v>
      </c>
      <c r="AR180" s="20">
        <f>+AR72</f>
        <v>0</v>
      </c>
      <c r="AS180" s="20">
        <f>+AVERAGE(AG180:AR180)</f>
        <v>4650</v>
      </c>
      <c r="AT180" s="20">
        <f>+AS180*(1+$D$121)</f>
        <v>4666.275</v>
      </c>
      <c r="AU180" s="20">
        <f>+AT180*(1+$D$121)</f>
        <v>4682.6069625</v>
      </c>
      <c r="AV180" s="20">
        <f>+AU180*(1+$D$121)</f>
        <v>4698.99608686875</v>
      </c>
      <c r="AW180" s="20">
        <f>+AV180*(1+$D$121)</f>
        <v>4715.44257317279</v>
      </c>
      <c r="AX180" s="20">
        <f>+AW180*(1+$D$121)</f>
        <v>4731.9466221789</v>
      </c>
      <c r="AY180" s="20">
        <f>+AX180*(1+$D$121)</f>
        <v>4748.50843535652</v>
      </c>
      <c r="AZ180" s="20">
        <f>+AY180*(1+$D$121)</f>
        <v>4765.12821488027</v>
      </c>
      <c r="BA180" s="20">
        <f>+AZ180*(1+$D$121)</f>
        <v>4781.80616363235</v>
      </c>
      <c r="BB180" s="20">
        <f>+BA180*(1+$D$121)</f>
        <v>4798.54248520507</v>
      </c>
      <c r="BC180" s="20">
        <f>+BB180*(1+$D$121)</f>
        <v>4815.33738390329</v>
      </c>
      <c r="BD180" s="20">
        <f>+BC180*(1+$D$121)</f>
        <v>4832.19106474695</v>
      </c>
      <c r="BE180" s="20">
        <f>+BD180*(1+$D$121)</f>
        <v>4849.10373347356</v>
      </c>
      <c r="BF180" s="20">
        <f>+BE180*(1+$D$121)</f>
        <v>4866.07559654072</v>
      </c>
      <c r="BG180" s="20">
        <f>+BF180*(1+$D$121)</f>
        <v>4883.10686112861</v>
      </c>
      <c r="BH180" s="20">
        <f>+BG180*(1+$D$121)</f>
        <v>4900.19773514256</v>
      </c>
      <c r="BI180" s="20">
        <f>+BH180*(1+$D$121)</f>
        <v>4917.34842721556</v>
      </c>
      <c r="BJ180" s="20">
        <f>+BI180*(1+$D$121)</f>
        <v>4934.55914671082</v>
      </c>
      <c r="BK180" s="20">
        <f>+BJ180*(1+$D$121)</f>
        <v>4951.83010372431</v>
      </c>
      <c r="BL180" s="20">
        <f>+BK180*(1+$D$121)</f>
        <v>4969.16150908734</v>
      </c>
      <c r="BM180" s="20">
        <f>+BL180*(1+$D$121)</f>
        <v>4986.55357436915</v>
      </c>
      <c r="BN180" s="20">
        <f>+BM180*(1+$D$121)</f>
        <v>5004.00651187944</v>
      </c>
      <c r="BO180" s="20">
        <f>+BN180*(1+$D$121)</f>
        <v>5021.52053467102</v>
      </c>
      <c r="BP180" s="20">
        <f>+BO180*(1+$D$121)</f>
        <v>5039.09585654237</v>
      </c>
      <c r="BQ180" s="20">
        <f>+BP180*(1+$D$121)</f>
        <v>5056.73269204027</v>
      </c>
    </row>
    <row r="181">
      <c r="C181" s="3" t="inlineStr">
        <is>
          <t>Dues &amp; Subscriptions</t>
        </is>
      </c>
      <c r="D181" s="4" t="inlineStr">
        <is>
          <t>$ / month (TTM avg, inflated)</t>
        </is>
      </c>
      <c r="J181" s="20">
        <f>+J73</f>
        <v>1500</v>
      </c>
      <c r="K181" s="20">
        <f>+K73</f>
        <v>1700</v>
      </c>
      <c r="L181" s="20">
        <f>+L73</f>
        <v>1700</v>
      </c>
      <c r="M181" s="20">
        <f>+M73</f>
        <v>1600</v>
      </c>
      <c r="N181" s="20">
        <f>+N73</f>
        <v>1700</v>
      </c>
      <c r="O181" s="20">
        <f>+O73</f>
        <v>1500</v>
      </c>
      <c r="P181" s="20">
        <f>+P73</f>
        <v>1700</v>
      </c>
      <c r="Q181" s="20">
        <f>+Q73</f>
        <v>1700</v>
      </c>
      <c r="R181" s="20">
        <f>+R73</f>
        <v>1700</v>
      </c>
      <c r="S181" s="20">
        <f>+S73</f>
        <v>1600</v>
      </c>
      <c r="T181" s="20">
        <f>+T73</f>
        <v>1700</v>
      </c>
      <c r="U181" s="20">
        <f>+U73</f>
        <v>1700</v>
      </c>
      <c r="V181" s="20">
        <f>+V73</f>
        <v>1700</v>
      </c>
      <c r="W181" s="20">
        <f>+W73</f>
        <v>1800</v>
      </c>
      <c r="X181" s="20">
        <f>+X73</f>
        <v>1600</v>
      </c>
      <c r="Y181" s="20">
        <f>+Y73</f>
        <v>1700</v>
      </c>
      <c r="Z181" s="20">
        <f>+Z73</f>
        <v>1700</v>
      </c>
      <c r="AA181" s="20">
        <f>+AA73</f>
        <v>1700</v>
      </c>
      <c r="AB181" s="20">
        <f>+AB73</f>
        <v>1800</v>
      </c>
      <c r="AC181" s="20">
        <f>+AC73</f>
        <v>1800</v>
      </c>
      <c r="AD181" s="20">
        <f>+AD73</f>
        <v>1700</v>
      </c>
      <c r="AE181" s="20">
        <f>+AE73</f>
        <v>1700</v>
      </c>
      <c r="AF181" s="20">
        <f>+AF73</f>
        <v>1800</v>
      </c>
      <c r="AG181" s="20">
        <f>+AG73</f>
        <v>1700</v>
      </c>
      <c r="AH181" s="20">
        <f>+AH73</f>
        <v>1800</v>
      </c>
      <c r="AI181" s="20">
        <f>+AI73</f>
        <v>1800</v>
      </c>
      <c r="AJ181" s="20">
        <f>+AJ73</f>
        <v>1700</v>
      </c>
      <c r="AK181" s="20">
        <f>+AK73</f>
        <v>1700</v>
      </c>
      <c r="AL181" s="20">
        <f>+AL73</f>
        <v>1900</v>
      </c>
      <c r="AM181" s="20">
        <f>+AM73</f>
        <v>1900</v>
      </c>
      <c r="AN181" s="20">
        <f>+AN73</f>
        <v>1900</v>
      </c>
      <c r="AO181" s="20">
        <f>+AO73</f>
        <v>1800</v>
      </c>
      <c r="AP181" s="20">
        <f>+AP73</f>
        <v>1934.62</v>
      </c>
      <c r="AQ181" s="20">
        <f>+AQ73</f>
        <v>1819.25</v>
      </c>
      <c r="AR181" s="20">
        <f>+AR73</f>
        <v>1919.04</v>
      </c>
      <c r="AS181" s="20">
        <f>+AVERAGE(AG181:AR181)</f>
        <v>1822.7425</v>
      </c>
      <c r="AT181" s="20">
        <f>+AS181*(1+$D$121)</f>
        <v>1829.12209875</v>
      </c>
      <c r="AU181" s="20">
        <f>+AT181*(1+$D$121)</f>
        <v>1835.52402609563</v>
      </c>
      <c r="AV181" s="20">
        <f>+AU181*(1+$D$121)</f>
        <v>1841.94836018696</v>
      </c>
      <c r="AW181" s="20">
        <f>+AV181*(1+$D$121)</f>
        <v>1848.39517944761</v>
      </c>
      <c r="AX181" s="20">
        <f>+AW181*(1+$D$121)</f>
        <v>1854.86456257568</v>
      </c>
      <c r="AY181" s="20">
        <f>+AX181*(1+$D$121)</f>
        <v>1861.3565885447</v>
      </c>
      <c r="AZ181" s="20">
        <f>+AY181*(1+$D$121)</f>
        <v>1867.8713366046</v>
      </c>
      <c r="BA181" s="20">
        <f>+AZ181*(1+$D$121)</f>
        <v>1874.40888628272</v>
      </c>
      <c r="BB181" s="20">
        <f>+BA181*(1+$D$121)</f>
        <v>1880.96931738471</v>
      </c>
      <c r="BC181" s="20">
        <f>+BB181*(1+$D$121)</f>
        <v>1887.55270999556</v>
      </c>
      <c r="BD181" s="20">
        <f>+BC181*(1+$D$121)</f>
        <v>1894.15914448054</v>
      </c>
      <c r="BE181" s="20">
        <f>+BD181*(1+$D$121)</f>
        <v>1900.78870148622</v>
      </c>
      <c r="BF181" s="20">
        <f>+BE181*(1+$D$121)</f>
        <v>1907.44146194142</v>
      </c>
      <c r="BG181" s="20">
        <f>+BF181*(1+$D$121)</f>
        <v>1914.11750705822</v>
      </c>
      <c r="BH181" s="20">
        <f>+BG181*(1+$D$121)</f>
        <v>1920.81691833292</v>
      </c>
      <c r="BI181" s="20">
        <f>+BH181*(1+$D$121)</f>
        <v>1927.53977754709</v>
      </c>
      <c r="BJ181" s="20">
        <f>+BI181*(1+$D$121)</f>
        <v>1934.2861667685</v>
      </c>
      <c r="BK181" s="20">
        <f>+BJ181*(1+$D$121)</f>
        <v>1941.05616835219</v>
      </c>
      <c r="BL181" s="20">
        <f>+BK181*(1+$D$121)</f>
        <v>1947.84986494143</v>
      </c>
      <c r="BM181" s="20">
        <f>+BL181*(1+$D$121)</f>
        <v>1954.66733946872</v>
      </c>
      <c r="BN181" s="20">
        <f>+BM181*(1+$D$121)</f>
        <v>1961.50867515686</v>
      </c>
      <c r="BO181" s="20">
        <f>+BN181*(1+$D$121)</f>
        <v>1968.37395551991</v>
      </c>
      <c r="BP181" s="20">
        <f>+BO181*(1+$D$121)</f>
        <v>1975.26326436423</v>
      </c>
      <c r="BQ181" s="20">
        <f>+BP181*(1+$D$121)</f>
        <v>1982.17668578951</v>
      </c>
    </row>
    <row r="182">
      <c r="C182" s="3" t="inlineStr">
        <is>
          <t>Equipment Rentals</t>
        </is>
      </c>
      <c r="D182" s="4" t="inlineStr">
        <is>
          <t>$ / month (TTM avg, inflated)</t>
        </is>
      </c>
      <c r="J182" s="20">
        <f>+J74</f>
        <v>6700</v>
      </c>
      <c r="K182" s="20">
        <f>+K74</f>
        <v>6500</v>
      </c>
      <c r="L182" s="20">
        <f>+L74</f>
        <v>6500</v>
      </c>
      <c r="M182" s="20">
        <f>+M74</f>
        <v>6800</v>
      </c>
      <c r="N182" s="20">
        <f>+N74</f>
        <v>6200</v>
      </c>
      <c r="O182" s="20">
        <f>+O74</f>
        <v>6000</v>
      </c>
      <c r="P182" s="20">
        <f>+P74</f>
        <v>6300</v>
      </c>
      <c r="Q182" s="20">
        <f>+Q74</f>
        <v>6800</v>
      </c>
      <c r="R182" s="20">
        <f>+R74</f>
        <v>6000</v>
      </c>
      <c r="S182" s="20">
        <f>+S74</f>
        <v>7000</v>
      </c>
      <c r="T182" s="20">
        <f>+T74</f>
        <v>6800</v>
      </c>
      <c r="U182" s="20">
        <f>+U74</f>
        <v>6800</v>
      </c>
      <c r="V182" s="20">
        <f>+V74</f>
        <v>6800</v>
      </c>
      <c r="W182" s="20">
        <f>+W74</f>
        <v>6500</v>
      </c>
      <c r="X182" s="20">
        <f>+X74</f>
        <v>6300</v>
      </c>
      <c r="Y182" s="20">
        <f>+Y74</f>
        <v>7200</v>
      </c>
      <c r="Z182" s="20">
        <f>+Z74</f>
        <v>7200</v>
      </c>
      <c r="AA182" s="20">
        <f>+AA74</f>
        <v>6600</v>
      </c>
      <c r="AB182" s="20">
        <f>+AB74</f>
        <v>7200</v>
      </c>
      <c r="AC182" s="20">
        <f>+AC74</f>
        <v>7400</v>
      </c>
      <c r="AD182" s="20">
        <f>+AD74</f>
        <v>7500</v>
      </c>
      <c r="AE182" s="20">
        <f>+AE74</f>
        <v>7300</v>
      </c>
      <c r="AF182" s="20">
        <f>+AF74</f>
        <v>7000</v>
      </c>
      <c r="AG182" s="20">
        <f>+AG74</f>
        <v>7300</v>
      </c>
      <c r="AH182" s="20">
        <f>+AH74</f>
        <v>7400</v>
      </c>
      <c r="AI182" s="20">
        <f>+AI74</f>
        <v>6800</v>
      </c>
      <c r="AJ182" s="20">
        <f>+AJ74</f>
        <v>6900</v>
      </c>
      <c r="AK182" s="20">
        <f>+AK74</f>
        <v>7000</v>
      </c>
      <c r="AL182" s="20">
        <f>+AL74</f>
        <v>7800</v>
      </c>
      <c r="AM182" s="20">
        <f>+AM74</f>
        <v>7200</v>
      </c>
      <c r="AN182" s="20">
        <f>+AN74</f>
        <v>7400</v>
      </c>
      <c r="AO182" s="20">
        <f>+AO74</f>
        <v>8000</v>
      </c>
      <c r="AP182" s="20">
        <f>+AP74</f>
        <v>7426.4</v>
      </c>
      <c r="AQ182" s="20">
        <f>+AQ74</f>
        <v>7102.3</v>
      </c>
      <c r="AR182" s="20">
        <f>+AR74</f>
        <v>7863.62</v>
      </c>
      <c r="AS182" s="20">
        <f>+AVERAGE(AG182:AR182)</f>
        <v>7349.36</v>
      </c>
      <c r="AT182" s="20">
        <f>+AS182*(1+$D$121)</f>
        <v>7375.08276</v>
      </c>
      <c r="AU182" s="20">
        <f>+AT182*(1+$D$121)</f>
        <v>7400.89554966</v>
      </c>
      <c r="AV182" s="20">
        <f>+AU182*(1+$D$121)</f>
        <v>7426.79868408381</v>
      </c>
      <c r="AW182" s="20">
        <f>+AV182*(1+$D$121)</f>
        <v>7452.79247947811</v>
      </c>
      <c r="AX182" s="20">
        <f>+AW182*(1+$D$121)</f>
        <v>7478.87725315628</v>
      </c>
      <c r="AY182" s="20">
        <f>+AX182*(1+$D$121)</f>
        <v>7505.05332354233</v>
      </c>
      <c r="AZ182" s="20">
        <f>+AY182*(1+$D$121)</f>
        <v>7531.32101017472</v>
      </c>
      <c r="BA182" s="20">
        <f>+AZ182*(1+$D$121)</f>
        <v>7557.68063371034</v>
      </c>
      <c r="BB182" s="20">
        <f>+BA182*(1+$D$121)</f>
        <v>7584.13251592832</v>
      </c>
      <c r="BC182" s="20">
        <f>+BB182*(1+$D$121)</f>
        <v>7610.67697973407</v>
      </c>
      <c r="BD182" s="20">
        <f>+BC182*(1+$D$121)</f>
        <v>7637.31434916314</v>
      </c>
      <c r="BE182" s="20">
        <f>+BD182*(1+$D$121)</f>
        <v>7664.04494938521</v>
      </c>
      <c r="BF182" s="20">
        <f>+BE182*(1+$D$121)</f>
        <v>7690.86910670806</v>
      </c>
      <c r="BG182" s="20">
        <f>+BF182*(1+$D$121)</f>
        <v>7717.78714858154</v>
      </c>
      <c r="BH182" s="20">
        <f>+BG182*(1+$D$121)</f>
        <v>7744.79940360158</v>
      </c>
      <c r="BI182" s="20">
        <f>+BH182*(1+$D$121)</f>
        <v>7771.90620151418</v>
      </c>
      <c r="BJ182" s="20">
        <f>+BI182*(1+$D$121)</f>
        <v>7799.10787321948</v>
      </c>
      <c r="BK182" s="20">
        <f>+BJ182*(1+$D$121)</f>
        <v>7826.40475077575</v>
      </c>
      <c r="BL182" s="20">
        <f>+BK182*(1+$D$121)</f>
        <v>7853.79716740347</v>
      </c>
      <c r="BM182" s="20">
        <f>+BL182*(1+$D$121)</f>
        <v>7881.28545748938</v>
      </c>
      <c r="BN182" s="20">
        <f>+BM182*(1+$D$121)</f>
        <v>7908.86995659059</v>
      </c>
      <c r="BO182" s="20">
        <f>+BN182*(1+$D$121)</f>
        <v>7936.55100143866</v>
      </c>
      <c r="BP182" s="20">
        <f>+BO182*(1+$D$121)</f>
        <v>7964.3289299437</v>
      </c>
      <c r="BQ182" s="20">
        <f>+BP182*(1+$D$121)</f>
        <v>7992.2040811985</v>
      </c>
    </row>
    <row r="183">
      <c r="C183" s="3" t="inlineStr">
        <is>
          <t>Finance, Bank, &amp; Collection Charges</t>
        </is>
      </c>
      <c r="D183" s="4" t="inlineStr">
        <is>
          <t>% of revenue</t>
        </is>
      </c>
      <c r="J183" s="11">
        <f>+IFERROR(J75/J$10,)</f>
        <v>0.00386938467346168</v>
      </c>
      <c r="K183" s="11">
        <f>+IFERROR(K75/K$10,)</f>
        <v>0.00397032702956849</v>
      </c>
      <c r="L183" s="11">
        <f>+IFERROR(L75/L$10,)</f>
        <v>0.00398746795784677</v>
      </c>
      <c r="M183" s="11">
        <f>+IFERROR(M75/M$10,)</f>
        <v>0.00390358153605933</v>
      </c>
      <c r="N183" s="11">
        <f>+IFERROR(N75/N$10,)</f>
        <v>0.0039892463793253</v>
      </c>
      <c r="O183" s="11">
        <f>+IFERROR(O75/O$10,)</f>
        <v>0.00390705325930496</v>
      </c>
      <c r="P183" s="11">
        <f>+IFERROR(P75/P$10,)</f>
        <v>0.00409874243129949</v>
      </c>
      <c r="Q183" s="11">
        <f>+IFERROR(Q75/Q$10,)</f>
        <v>0.00400947694550756</v>
      </c>
      <c r="R183" s="11">
        <f>+IFERROR(R75/R$10,)</f>
        <v>0.00384577457844394</v>
      </c>
      <c r="S183" s="11">
        <f>+IFERROR(S75/S$10,)</f>
        <v>0.00409299279633268</v>
      </c>
      <c r="T183" s="11">
        <f>+IFERROR(T75/T$10,)</f>
        <v>0.00404591644712081</v>
      </c>
      <c r="U183" s="11">
        <f>+IFERROR(U75/U$10,)</f>
        <v>0.00410918696800704</v>
      </c>
      <c r="V183" s="11">
        <f>+IFERROR(V75/V$10,)</f>
        <v>0.00380195282122181</v>
      </c>
      <c r="W183" s="11">
        <f>+IFERROR(W75/W$10,)</f>
        <v>0.00413179362220574</v>
      </c>
      <c r="X183" s="11">
        <f>+IFERROR(X75/X$10,)</f>
        <v>0.00388205934004991</v>
      </c>
      <c r="Y183" s="11">
        <f>+IFERROR(Y75/Y$10,)</f>
        <v>0.00418410041841004</v>
      </c>
      <c r="Z183" s="11">
        <f>+IFERROR(Z75/Z$10,)</f>
        <v>0.00389459728206828</v>
      </c>
      <c r="AA183" s="11">
        <f>+IFERROR(AA75/AA$10,)</f>
        <v>0.00406734771093454</v>
      </c>
      <c r="AB183" s="11">
        <f>+IFERROR(AB75/AB$10,)</f>
        <v>0.00405662720423876</v>
      </c>
      <c r="AC183" s="11">
        <f>+IFERROR(AC75/AC$10,)</f>
        <v>0.00416992442011989</v>
      </c>
      <c r="AD183" s="11">
        <f>+IFERROR(AD75/AD$10,)</f>
        <v>0.00408056954332349</v>
      </c>
      <c r="AE183" s="11">
        <f>+IFERROR(AE75/AE$10,)</f>
        <v>0.00392097722817071</v>
      </c>
      <c r="AF183" s="11">
        <f>+IFERROR(AF75/AF$10,)</f>
        <v>0.00418484551687294</v>
      </c>
      <c r="AG183" s="11">
        <f>+IFERROR(AG75/AG$10,)</f>
        <v>0.00398609108642185</v>
      </c>
      <c r="AH183" s="11">
        <f>+IFERROR(AH75/AH$10,)</f>
        <v>0.00413256624260595</v>
      </c>
      <c r="AI183" s="11">
        <f>+IFERROR(AI75/AI$10,)</f>
        <v>0.00392757927004502</v>
      </c>
      <c r="AJ183" s="11">
        <f>+IFERROR(AJ75/AJ$10,)</f>
        <v>0.0037939941879238</v>
      </c>
      <c r="AK183" s="11">
        <f>+IFERROR(AK75/AK$10,)</f>
        <v>0.00387867504460476</v>
      </c>
      <c r="AL183" s="11">
        <f>+IFERROR(AL75/AL$10,)</f>
        <v>0.00384492149951939</v>
      </c>
      <c r="AM183" s="11">
        <f>+IFERROR(AM75/AM$10,)</f>
        <v>0.00395622895622896</v>
      </c>
      <c r="AN183" s="11">
        <f>+IFERROR(AN75/AN$10,)</f>
        <v>0.00416120829159282</v>
      </c>
      <c r="AO183" s="11">
        <f>+IFERROR(AO75/AO$10,)</f>
        <v>0.0040551500405515</v>
      </c>
      <c r="AP183" s="11">
        <f>+IFERROR(AP75/AP$10,)</f>
        <v>0.0041549458201434</v>
      </c>
      <c r="AQ183" s="11">
        <f>+IFERROR(AQ75/AQ$10,)</f>
        <v>0.00406032295773355</v>
      </c>
      <c r="AR183" s="11">
        <f>+IFERROR(AR75/AR$10,)</f>
        <v>0.00412715689637112</v>
      </c>
      <c r="AS183" s="25" t="n">
        <v>0.004</v>
      </c>
      <c r="AT183" s="11">
        <f>+AS183</f>
        <v>0.004</v>
      </c>
      <c r="AU183" s="11">
        <f>+AT183</f>
        <v>0.004</v>
      </c>
      <c r="AV183" s="11">
        <f>+AU183</f>
        <v>0.004</v>
      </c>
      <c r="AW183" s="11">
        <f>+AV183</f>
        <v>0.004</v>
      </c>
      <c r="AX183" s="11">
        <f>+AW183</f>
        <v>0.004</v>
      </c>
      <c r="AY183" s="11">
        <f>+AX183</f>
        <v>0.004</v>
      </c>
      <c r="AZ183" s="11">
        <f>+AY183</f>
        <v>0.004</v>
      </c>
      <c r="BA183" s="11">
        <f>+AZ183</f>
        <v>0.004</v>
      </c>
      <c r="BB183" s="11">
        <f>+BA183</f>
        <v>0.004</v>
      </c>
      <c r="BC183" s="11">
        <f>+BB183</f>
        <v>0.004</v>
      </c>
      <c r="BD183" s="11">
        <f>+BC183</f>
        <v>0.004</v>
      </c>
      <c r="BE183" s="11">
        <f>+BD183</f>
        <v>0.004</v>
      </c>
      <c r="BF183" s="11">
        <f>+BE183</f>
        <v>0.004</v>
      </c>
      <c r="BG183" s="11">
        <f>+BF183</f>
        <v>0.004</v>
      </c>
      <c r="BH183" s="11">
        <f>+BG183</f>
        <v>0.004</v>
      </c>
      <c r="BI183" s="11">
        <f>+BH183</f>
        <v>0.004</v>
      </c>
      <c r="BJ183" s="11">
        <f>+BI183</f>
        <v>0.004</v>
      </c>
      <c r="BK183" s="11">
        <f>+BJ183</f>
        <v>0.004</v>
      </c>
      <c r="BL183" s="11">
        <f>+BK183</f>
        <v>0.004</v>
      </c>
      <c r="BM183" s="11">
        <f>+BL183</f>
        <v>0.004</v>
      </c>
      <c r="BN183" s="11">
        <f>+BM183</f>
        <v>0.004</v>
      </c>
      <c r="BO183" s="11">
        <f>+BN183</f>
        <v>0.004</v>
      </c>
      <c r="BP183" s="11">
        <f>+BO183</f>
        <v>0.004</v>
      </c>
      <c r="BQ183" s="11">
        <f>+BP183</f>
        <v>0.004</v>
      </c>
    </row>
    <row r="184">
      <c r="C184" s="3" t="inlineStr">
        <is>
          <t>Information Technology Expense</t>
        </is>
      </c>
      <c r="D184" s="4" t="inlineStr">
        <is>
          <t>$ / month (TTM avg, inflated)</t>
        </is>
      </c>
      <c r="J184" s="20">
        <f>+J76</f>
        <v>16000</v>
      </c>
      <c r="K184" s="20">
        <f>+K76</f>
        <v>15200</v>
      </c>
      <c r="L184" s="20">
        <f>+L76</f>
        <v>16000</v>
      </c>
      <c r="M184" s="20">
        <f>+M76</f>
        <v>16300</v>
      </c>
      <c r="N184" s="20">
        <f>+N76</f>
        <v>16400</v>
      </c>
      <c r="O184" s="20">
        <f>+O76</f>
        <v>15100</v>
      </c>
      <c r="P184" s="20">
        <f>+P76</f>
        <v>15100</v>
      </c>
      <c r="Q184" s="20">
        <f>+Q76</f>
        <v>16200</v>
      </c>
      <c r="R184" s="20">
        <f>+R76</f>
        <v>16300</v>
      </c>
      <c r="S184" s="20">
        <f>+S76</f>
        <v>16500</v>
      </c>
      <c r="T184" s="20">
        <f>+T76</f>
        <v>17600</v>
      </c>
      <c r="U184" s="20">
        <f>+U76</f>
        <v>17300</v>
      </c>
      <c r="V184" s="20">
        <f>+V76</f>
        <v>16400</v>
      </c>
      <c r="W184" s="20">
        <f>+W76</f>
        <v>15700</v>
      </c>
      <c r="X184" s="20">
        <f>+X76</f>
        <v>17000</v>
      </c>
      <c r="Y184" s="20">
        <f>+Y76</f>
        <v>17300</v>
      </c>
      <c r="Z184" s="20">
        <f>+Z76</f>
        <v>17100</v>
      </c>
      <c r="AA184" s="20">
        <f>+AA76</f>
        <v>16400</v>
      </c>
      <c r="AB184" s="20">
        <f>+AB76</f>
        <v>17100</v>
      </c>
      <c r="AC184" s="20">
        <f>+AC76</f>
        <v>16300</v>
      </c>
      <c r="AD184" s="20">
        <f>+AD76</f>
        <v>16500</v>
      </c>
      <c r="AE184" s="20">
        <f>+AE76</f>
        <v>18000</v>
      </c>
      <c r="AF184" s="20">
        <f>+AF76</f>
        <v>17400</v>
      </c>
      <c r="AG184" s="20">
        <f>+AG76</f>
        <v>17800</v>
      </c>
      <c r="AH184" s="20">
        <f>+AH76</f>
        <v>17700</v>
      </c>
      <c r="AI184" s="20">
        <f>+AI76</f>
        <v>17200</v>
      </c>
      <c r="AJ184" s="20">
        <f>+AJ76</f>
        <v>19100</v>
      </c>
      <c r="AK184" s="20">
        <f>+AK76</f>
        <v>19500</v>
      </c>
      <c r="AL184" s="20">
        <f>+AL76</f>
        <v>18700</v>
      </c>
      <c r="AM184" s="20">
        <f>+AM76</f>
        <v>18200</v>
      </c>
      <c r="AN184" s="20">
        <f>+AN76</f>
        <v>18500</v>
      </c>
      <c r="AO184" s="20">
        <f>+AO76</f>
        <v>19200</v>
      </c>
      <c r="AP184" s="20">
        <f>+AP76</f>
        <v>24543.03</v>
      </c>
      <c r="AQ184" s="20">
        <f>+AQ76</f>
        <v>22854.29</v>
      </c>
      <c r="AR184" s="20">
        <f>+AR76</f>
        <v>22776.83</v>
      </c>
      <c r="AS184" s="20">
        <f>+AVERAGE(AG184:AR184)</f>
        <v>19672.8458333333</v>
      </c>
      <c r="AT184" s="20">
        <f>+AS184*(1+$D$121)</f>
        <v>19741.70079375</v>
      </c>
      <c r="AU184" s="20">
        <f>+AT184*(1+$D$121)</f>
        <v>19810.7967465281</v>
      </c>
      <c r="AV184" s="20">
        <f>+AU184*(1+$D$121)</f>
        <v>19880.134535141</v>
      </c>
      <c r="AW184" s="20">
        <f>+AV184*(1+$D$121)</f>
        <v>19949.715006014</v>
      </c>
      <c r="AX184" s="20">
        <f>+AW184*(1+$D$121)</f>
        <v>20019.539008535</v>
      </c>
      <c r="AY184" s="20">
        <f>+AX184*(1+$D$121)</f>
        <v>20089.6073950649</v>
      </c>
      <c r="AZ184" s="20">
        <f>+AY184*(1+$D$121)</f>
        <v>20159.9210209476</v>
      </c>
      <c r="BA184" s="20">
        <f>+AZ184*(1+$D$121)</f>
        <v>20230.4807445209</v>
      </c>
      <c r="BB184" s="20">
        <f>+BA184*(1+$D$121)</f>
        <v>20301.2874271268</v>
      </c>
      <c r="BC184" s="20">
        <f>+BB184*(1+$D$121)</f>
        <v>20372.3419331217</v>
      </c>
      <c r="BD184" s="20">
        <f>+BC184*(1+$D$121)</f>
        <v>20443.6451298876</v>
      </c>
      <c r="BE184" s="20">
        <f>+BD184*(1+$D$121)</f>
        <v>20515.1978878423</v>
      </c>
      <c r="BF184" s="20">
        <f>+BE184*(1+$D$121)</f>
        <v>20587.0010804497</v>
      </c>
      <c r="BG184" s="20">
        <f>+BF184*(1+$D$121)</f>
        <v>20659.0555842313</v>
      </c>
      <c r="BH184" s="20">
        <f>+BG184*(1+$D$121)</f>
        <v>20731.3622787761</v>
      </c>
      <c r="BI184" s="20">
        <f>+BH184*(1+$D$121)</f>
        <v>20803.9220467518</v>
      </c>
      <c r="BJ184" s="20">
        <f>+BI184*(1+$D$121)</f>
        <v>20876.7357739154</v>
      </c>
      <c r="BK184" s="20">
        <f>+BJ184*(1+$D$121)</f>
        <v>20949.8043491241</v>
      </c>
      <c r="BL184" s="20">
        <f>+BK184*(1+$D$121)</f>
        <v>21023.1286643461</v>
      </c>
      <c r="BM184" s="20">
        <f>+BL184*(1+$D$121)</f>
        <v>21096.7096146713</v>
      </c>
      <c r="BN184" s="20">
        <f>+BM184*(1+$D$121)</f>
        <v>21170.5480983226</v>
      </c>
      <c r="BO184" s="20">
        <f>+BN184*(1+$D$121)</f>
        <v>21244.6450166668</v>
      </c>
      <c r="BP184" s="20">
        <f>+BO184*(1+$D$121)</f>
        <v>21319.0012742251</v>
      </c>
      <c r="BQ184" s="20">
        <f>+BP184*(1+$D$121)</f>
        <v>21393.6177786849</v>
      </c>
    </row>
    <row r="185">
      <c r="C185" s="3" t="inlineStr">
        <is>
          <t>Legal &amp; Professional Fees</t>
        </is>
      </c>
      <c r="D185" s="4" t="inlineStr">
        <is>
          <t>$ / month (TTM avg, inflated)</t>
        </is>
      </c>
      <c r="J185" s="20">
        <f>+J77</f>
        <v>10200</v>
      </c>
      <c r="K185" s="20">
        <f>+K77</f>
        <v>10000</v>
      </c>
      <c r="L185" s="20">
        <f>+L77</f>
        <v>10700</v>
      </c>
      <c r="M185" s="20">
        <f>+M77</f>
        <v>10900</v>
      </c>
      <c r="N185" s="20">
        <f>+N77</f>
        <v>11000</v>
      </c>
      <c r="O185" s="20">
        <f>+O77</f>
        <v>10900</v>
      </c>
      <c r="P185" s="20">
        <f>+P77</f>
        <v>10600</v>
      </c>
      <c r="Q185" s="20">
        <f>+Q77</f>
        <v>11200</v>
      </c>
      <c r="R185" s="20">
        <f>+R77</f>
        <v>11200</v>
      </c>
      <c r="S185" s="20">
        <f>+S77</f>
        <v>11400</v>
      </c>
      <c r="T185" s="20">
        <f>+T77</f>
        <v>10600</v>
      </c>
      <c r="U185" s="20">
        <f>+U77</f>
        <v>11100</v>
      </c>
      <c r="V185" s="20">
        <f>+V77</f>
        <v>11200</v>
      </c>
      <c r="W185" s="20">
        <f>+W77</f>
        <v>11200</v>
      </c>
      <c r="X185" s="20">
        <f>+X77</f>
        <v>11600</v>
      </c>
      <c r="Y185" s="20">
        <f>+Y77</f>
        <v>11700</v>
      </c>
      <c r="Z185" s="20">
        <f>+Z77</f>
        <v>11600</v>
      </c>
      <c r="AA185" s="20">
        <f>+AA77</f>
        <v>11200</v>
      </c>
      <c r="AB185" s="20">
        <f>+AB77</f>
        <v>12200</v>
      </c>
      <c r="AC185" s="20">
        <f>+AC77</f>
        <v>11400</v>
      </c>
      <c r="AD185" s="20">
        <f>+AD77</f>
        <v>11800</v>
      </c>
      <c r="AE185" s="20">
        <f>+AE77</f>
        <v>11500</v>
      </c>
      <c r="AF185" s="20">
        <f>+AF77</f>
        <v>11900</v>
      </c>
      <c r="AG185" s="20">
        <f>+AG77</f>
        <v>12400</v>
      </c>
      <c r="AH185" s="20">
        <f>+AH77</f>
        <v>12100</v>
      </c>
      <c r="AI185" s="20">
        <f>+AI77</f>
        <v>12500</v>
      </c>
      <c r="AJ185" s="20">
        <f>+AJ77</f>
        <v>12200</v>
      </c>
      <c r="AK185" s="20">
        <f>+AK77</f>
        <v>11600</v>
      </c>
      <c r="AL185" s="20">
        <f>+AL77</f>
        <v>12000</v>
      </c>
      <c r="AM185" s="20">
        <f>+AM77</f>
        <v>11800</v>
      </c>
      <c r="AN185" s="20">
        <f>+AN77</f>
        <v>11800</v>
      </c>
      <c r="AO185" s="20">
        <f>+AO77</f>
        <v>12200</v>
      </c>
      <c r="AP185" s="20">
        <f>+AP77</f>
        <v>25796.95</v>
      </c>
      <c r="AQ185" s="20">
        <f>+AQ77</f>
        <v>26927.53</v>
      </c>
      <c r="AR185" s="20">
        <f>+AR77</f>
        <v>26565.96</v>
      </c>
      <c r="AS185" s="20">
        <f>+AVERAGE(AG185:AR185)</f>
        <v>15657.5366666667</v>
      </c>
      <c r="AT185" s="20">
        <f>+AS185*(1+$D$121)</f>
        <v>15712.338045</v>
      </c>
      <c r="AU185" s="20">
        <f>+AT185*(1+$D$121)</f>
        <v>15767.3312281575</v>
      </c>
      <c r="AV185" s="20">
        <f>+AU185*(1+$D$121)</f>
        <v>15822.5168874561</v>
      </c>
      <c r="AW185" s="20">
        <f>+AV185*(1+$D$121)</f>
        <v>15877.8956965622</v>
      </c>
      <c r="AX185" s="20">
        <f>+AW185*(1+$D$121)</f>
        <v>15933.4683315001</v>
      </c>
      <c r="AY185" s="20">
        <f>+AX185*(1+$D$121)</f>
        <v>15989.2354706604</v>
      </c>
      <c r="AZ185" s="20">
        <f>+AY185*(1+$D$121)</f>
        <v>16045.1977948077</v>
      </c>
      <c r="BA185" s="20">
        <f>+AZ185*(1+$D$121)</f>
        <v>16101.3559870895</v>
      </c>
      <c r="BB185" s="20">
        <f>+BA185*(1+$D$121)</f>
        <v>16157.7107330443</v>
      </c>
      <c r="BC185" s="20">
        <f>+BB185*(1+$D$121)</f>
        <v>16214.26272061</v>
      </c>
      <c r="BD185" s="20">
        <f>+BC185*(1+$D$121)</f>
        <v>16271.0126401321</v>
      </c>
      <c r="BE185" s="20">
        <f>+BD185*(1+$D$121)</f>
        <v>16327.9611843726</v>
      </c>
      <c r="BF185" s="20">
        <f>+BE185*(1+$D$121)</f>
        <v>16385.1090485179</v>
      </c>
      <c r="BG185" s="20">
        <f>+BF185*(1+$D$121)</f>
        <v>16442.4569301877</v>
      </c>
      <c r="BH185" s="20">
        <f>+BG185*(1+$D$121)</f>
        <v>16500.0055294434</v>
      </c>
      <c r="BI185" s="20">
        <f>+BH185*(1+$D$121)</f>
        <v>16557.7555487964</v>
      </c>
      <c r="BJ185" s="20">
        <f>+BI185*(1+$D$121)</f>
        <v>16615.7076932172</v>
      </c>
      <c r="BK185" s="20">
        <f>+BJ185*(1+$D$121)</f>
        <v>16673.8626701435</v>
      </c>
      <c r="BL185" s="20">
        <f>+BK185*(1+$D$121)</f>
        <v>16732.221189489</v>
      </c>
      <c r="BM185" s="20">
        <f>+BL185*(1+$D$121)</f>
        <v>16790.7839636522</v>
      </c>
      <c r="BN185" s="20">
        <f>+BM185*(1+$D$121)</f>
        <v>16849.551707525</v>
      </c>
      <c r="BO185" s="20">
        <f>+BN185*(1+$D$121)</f>
        <v>16908.5251385013</v>
      </c>
      <c r="BP185" s="20">
        <f>+BO185*(1+$D$121)</f>
        <v>16967.7049764861</v>
      </c>
      <c r="BQ185" s="20">
        <f>+BP185*(1+$D$121)</f>
        <v>17027.0919439038</v>
      </c>
    </row>
    <row r="186">
      <c r="C186" s="3" t="inlineStr">
        <is>
          <t>Management Fees</t>
        </is>
      </c>
      <c r="D186" s="4" t="inlineStr">
        <is>
          <t>$ / month (TTM avg, inflated)</t>
        </is>
      </c>
      <c r="J186" s="20">
        <f>+J78</f>
        <v>6000</v>
      </c>
      <c r="K186" s="20">
        <f>+K78</f>
        <v>6300</v>
      </c>
      <c r="L186" s="20">
        <f>+L78</f>
        <v>6700</v>
      </c>
      <c r="M186" s="20">
        <f>+M78</f>
        <v>6000</v>
      </c>
      <c r="N186" s="20">
        <f>+N78</f>
        <v>6300</v>
      </c>
      <c r="O186" s="20">
        <f>+O78</f>
        <v>6400</v>
      </c>
      <c r="P186" s="20">
        <f>+P78</f>
        <v>6700</v>
      </c>
      <c r="Q186" s="20">
        <f>+Q78</f>
        <v>6100</v>
      </c>
      <c r="R186" s="20">
        <f>+R78</f>
        <v>6700</v>
      </c>
      <c r="S186" s="20">
        <f>+S78</f>
        <v>6400</v>
      </c>
      <c r="T186" s="20">
        <f>+T78</f>
        <v>6300</v>
      </c>
      <c r="U186" s="20">
        <f>+U78</f>
        <v>6800</v>
      </c>
      <c r="V186" s="20">
        <f>+V78</f>
        <v>6700</v>
      </c>
      <c r="W186" s="20">
        <f>+W78</f>
        <v>6500</v>
      </c>
      <c r="X186" s="20">
        <f>+X78</f>
        <v>6900</v>
      </c>
      <c r="Y186" s="20">
        <f>+Y78</f>
        <v>7200</v>
      </c>
      <c r="Z186" s="20">
        <f>+Z78</f>
        <v>6400</v>
      </c>
      <c r="AA186" s="20">
        <f>+AA78</f>
        <v>7300</v>
      </c>
      <c r="AB186" s="20">
        <f>+AB78</f>
        <v>6800</v>
      </c>
      <c r="AC186" s="20">
        <f>+AC78</f>
        <v>6700</v>
      </c>
      <c r="AD186" s="20">
        <f>+AD78</f>
        <v>6600</v>
      </c>
      <c r="AE186" s="20">
        <f>+AE78</f>
        <v>6800</v>
      </c>
      <c r="AF186" s="20">
        <f>+AF78</f>
        <v>6600</v>
      </c>
      <c r="AG186" s="20">
        <f>+AG78</f>
        <v>7600</v>
      </c>
      <c r="AH186" s="20">
        <f>+AH78</f>
        <v>6900</v>
      </c>
      <c r="AI186" s="20">
        <f>+AI78</f>
        <v>7500</v>
      </c>
      <c r="AJ186" s="20">
        <f>+AJ78</f>
        <v>6800</v>
      </c>
      <c r="AK186" s="20">
        <f>+AK78</f>
        <v>6800</v>
      </c>
      <c r="AL186" s="20">
        <f>+AL78</f>
        <v>6900</v>
      </c>
      <c r="AM186" s="20">
        <f>+AM78</f>
        <v>7200</v>
      </c>
      <c r="AN186" s="20">
        <f>+AN78</f>
        <v>7600</v>
      </c>
      <c r="AO186" s="20">
        <f>+AO78</f>
        <v>7200</v>
      </c>
      <c r="AP186" s="20">
        <f>+AP78</f>
        <v>0</v>
      </c>
      <c r="AQ186" s="20">
        <f>+AQ78</f>
        <v>0</v>
      </c>
      <c r="AR186" s="20">
        <f>+AR78</f>
        <v>0</v>
      </c>
      <c r="AS186" s="20">
        <f>+AVERAGE(AG186:AR186)</f>
        <v>5375</v>
      </c>
      <c r="AT186" s="20">
        <f>+AS186*(1+$D$121)</f>
        <v>5393.8125</v>
      </c>
      <c r="AU186" s="20">
        <f>+AT186*(1+$D$121)</f>
        <v>5412.69084375</v>
      </c>
      <c r="AV186" s="20">
        <f>+AU186*(1+$D$121)</f>
        <v>5431.63526170313</v>
      </c>
      <c r="AW186" s="20">
        <f>+AV186*(1+$D$121)</f>
        <v>5450.64598511909</v>
      </c>
      <c r="AX186" s="20">
        <f>+AW186*(1+$D$121)</f>
        <v>5469.72324606701</v>
      </c>
      <c r="AY186" s="20">
        <f>+AX186*(1+$D$121)</f>
        <v>5488.86727742824</v>
      </c>
      <c r="AZ186" s="20">
        <f>+AY186*(1+$D$121)</f>
        <v>5508.07831289924</v>
      </c>
      <c r="BA186" s="20">
        <f>+AZ186*(1+$D$121)</f>
        <v>5527.35658699439</v>
      </c>
      <c r="BB186" s="20">
        <f>+BA186*(1+$D$121)</f>
        <v>5546.70233504887</v>
      </c>
      <c r="BC186" s="20">
        <f>+BB186*(1+$D$121)</f>
        <v>5566.11579322154</v>
      </c>
      <c r="BD186" s="20">
        <f>+BC186*(1+$D$121)</f>
        <v>5585.59719849781</v>
      </c>
      <c r="BE186" s="20">
        <f>+BD186*(1+$D$121)</f>
        <v>5605.14678869256</v>
      </c>
      <c r="BF186" s="20">
        <f>+BE186*(1+$D$121)</f>
        <v>5624.76480245298</v>
      </c>
      <c r="BG186" s="20">
        <f>+BF186*(1+$D$121)</f>
        <v>5644.45147926157</v>
      </c>
      <c r="BH186" s="20">
        <f>+BG186*(1+$D$121)</f>
        <v>5664.20705943898</v>
      </c>
      <c r="BI186" s="20">
        <f>+BH186*(1+$D$121)</f>
        <v>5684.03178414702</v>
      </c>
      <c r="BJ186" s="20">
        <f>+BI186*(1+$D$121)</f>
        <v>5703.92589539153</v>
      </c>
      <c r="BK186" s="20">
        <f>+BJ186*(1+$D$121)</f>
        <v>5723.88963602541</v>
      </c>
      <c r="BL186" s="20">
        <f>+BK186*(1+$D$121)</f>
        <v>5743.92324975149</v>
      </c>
      <c r="BM186" s="20">
        <f>+BL186*(1+$D$121)</f>
        <v>5764.02698112563</v>
      </c>
      <c r="BN186" s="20">
        <f>+BM186*(1+$D$121)</f>
        <v>5784.20107555957</v>
      </c>
      <c r="BO186" s="20">
        <f>+BN186*(1+$D$121)</f>
        <v>5804.44577932402</v>
      </c>
      <c r="BP186" s="20">
        <f>+BO186*(1+$D$121)</f>
        <v>5824.76133955166</v>
      </c>
      <c r="BQ186" s="20">
        <f>+BP186*(1+$D$121)</f>
        <v>5845.14800424009</v>
      </c>
    </row>
    <row r="187">
      <c r="C187" s="3" t="inlineStr">
        <is>
          <t>Revenue Cycle Management Services</t>
        </is>
      </c>
      <c r="D187" s="4" t="inlineStr">
        <is>
          <t>$ / month (TTM avg, inflated)</t>
        </is>
      </c>
      <c r="J187" s="20">
        <f>+J79</f>
        <v>15400</v>
      </c>
      <c r="K187" s="20">
        <f>+K79</f>
        <v>16400</v>
      </c>
      <c r="L187" s="20">
        <f>+L79</f>
        <v>15700</v>
      </c>
      <c r="M187" s="20">
        <f>+M79</f>
        <v>15100</v>
      </c>
      <c r="N187" s="20">
        <f>+N79</f>
        <v>16600</v>
      </c>
      <c r="O187" s="20">
        <f>+O79</f>
        <v>16100</v>
      </c>
      <c r="P187" s="20">
        <f>+P79</f>
        <v>16200</v>
      </c>
      <c r="Q187" s="20">
        <f>+Q79</f>
        <v>17200</v>
      </c>
      <c r="R187" s="20">
        <f>+R79</f>
        <v>16600</v>
      </c>
      <c r="S187" s="20">
        <f>+S79</f>
        <v>16500</v>
      </c>
      <c r="T187" s="20">
        <f>+T79</f>
        <v>15900</v>
      </c>
      <c r="U187" s="20">
        <f>+U79</f>
        <v>16100</v>
      </c>
      <c r="V187" s="20">
        <f>+V79</f>
        <v>17600</v>
      </c>
      <c r="W187" s="20">
        <f>+W79</f>
        <v>16500</v>
      </c>
      <c r="X187" s="20">
        <f>+X79</f>
        <v>17300</v>
      </c>
      <c r="Y187" s="20">
        <f>+Y79</f>
        <v>16100</v>
      </c>
      <c r="Z187" s="20">
        <f>+Z79</f>
        <v>16700</v>
      </c>
      <c r="AA187" s="20">
        <f>+AA79</f>
        <v>17600</v>
      </c>
      <c r="AB187" s="20">
        <f>+AB79</f>
        <v>16700</v>
      </c>
      <c r="AC187" s="20">
        <f>+AC79</f>
        <v>18400</v>
      </c>
      <c r="AD187" s="20">
        <f>+AD79</f>
        <v>18400</v>
      </c>
      <c r="AE187" s="20">
        <f>+AE79</f>
        <v>16500</v>
      </c>
      <c r="AF187" s="20">
        <f>+AF79</f>
        <v>18700</v>
      </c>
      <c r="AG187" s="20">
        <f>+AG79</f>
        <v>17300</v>
      </c>
      <c r="AH187" s="20">
        <f>+AH79</f>
        <v>18700</v>
      </c>
      <c r="AI187" s="20">
        <f>+AI79</f>
        <v>17900</v>
      </c>
      <c r="AJ187" s="20">
        <f>+AJ79</f>
        <v>17300</v>
      </c>
      <c r="AK187" s="20">
        <f>+AK79</f>
        <v>18500</v>
      </c>
      <c r="AL187" s="20">
        <f>+AL79</f>
        <v>19300</v>
      </c>
      <c r="AM187" s="20">
        <f>+AM79</f>
        <v>19100</v>
      </c>
      <c r="AN187" s="20">
        <f>+AN79</f>
        <v>18900</v>
      </c>
      <c r="AO187" s="20">
        <f>+AO79</f>
        <v>19300</v>
      </c>
      <c r="AP187" s="20">
        <f>+AP79</f>
        <v>0</v>
      </c>
      <c r="AQ187" s="20">
        <f>+AQ79</f>
        <v>0</v>
      </c>
      <c r="AR187" s="20">
        <f>+AR79</f>
        <v>0</v>
      </c>
      <c r="AS187" s="20">
        <f>+AVERAGE(AG187:AR187)</f>
        <v>13858.3333333333</v>
      </c>
      <c r="AT187" s="20">
        <f>+AS187*(1+$D$121)</f>
        <v>13906.8375</v>
      </c>
      <c r="AU187" s="20">
        <f>+AT187*(1+$D$121)</f>
        <v>13955.51143125</v>
      </c>
      <c r="AV187" s="20">
        <f>+AU187*(1+$D$121)</f>
        <v>14004.3557212594</v>
      </c>
      <c r="AW187" s="20">
        <f>+AV187*(1+$D$121)</f>
        <v>14053.3709662838</v>
      </c>
      <c r="AX187" s="20">
        <f>+AW187*(1+$D$121)</f>
        <v>14102.5577646658</v>
      </c>
      <c r="AY187" s="20">
        <f>+AX187*(1+$D$121)</f>
        <v>14151.9167168421</v>
      </c>
      <c r="AZ187" s="20">
        <f>+AY187*(1+$D$121)</f>
        <v>14201.4484253511</v>
      </c>
      <c r="BA187" s="20">
        <f>+AZ187*(1+$D$121)</f>
        <v>14251.1534948398</v>
      </c>
      <c r="BB187" s="20">
        <f>+BA187*(1+$D$121)</f>
        <v>14301.0325320717</v>
      </c>
      <c r="BC187" s="20">
        <f>+BB187*(1+$D$121)</f>
        <v>14351.086145934</v>
      </c>
      <c r="BD187" s="20">
        <f>+BC187*(1+$D$121)</f>
        <v>14401.3149474448</v>
      </c>
      <c r="BE187" s="20">
        <f>+BD187*(1+$D$121)</f>
        <v>14451.7195497608</v>
      </c>
      <c r="BF187" s="20">
        <f>+BE187*(1+$D$121)</f>
        <v>14502.300568185</v>
      </c>
      <c r="BG187" s="20">
        <f>+BF187*(1+$D$121)</f>
        <v>14553.0586201736</v>
      </c>
      <c r="BH187" s="20">
        <f>+BG187*(1+$D$121)</f>
        <v>14603.9943253442</v>
      </c>
      <c r="BI187" s="20">
        <f>+BH187*(1+$D$121)</f>
        <v>14655.1083054829</v>
      </c>
      <c r="BJ187" s="20">
        <f>+BI187*(1+$D$121)</f>
        <v>14706.4011845521</v>
      </c>
      <c r="BK187" s="20">
        <f>+BJ187*(1+$D$121)</f>
        <v>14757.8735886981</v>
      </c>
      <c r="BL187" s="20">
        <f>+BK187*(1+$D$121)</f>
        <v>14809.5261462585</v>
      </c>
      <c r="BM187" s="20">
        <f>+BL187*(1+$D$121)</f>
        <v>14861.3594877704</v>
      </c>
      <c r="BN187" s="20">
        <f>+BM187*(1+$D$121)</f>
        <v>14913.3742459776</v>
      </c>
      <c r="BO187" s="20">
        <f>+BN187*(1+$D$121)</f>
        <v>14965.5710558385</v>
      </c>
      <c r="BP187" s="20">
        <f>+BO187*(1+$D$121)</f>
        <v>15017.950554534</v>
      </c>
      <c r="BQ187" s="20">
        <f>+BP187*(1+$D$121)</f>
        <v>15070.5133814748</v>
      </c>
    </row>
    <row r="188">
      <c r="C188" s="3" t="inlineStr">
        <is>
          <t>Conferences &amp; Meetings</t>
        </is>
      </c>
      <c r="D188" s="4" t="inlineStr">
        <is>
          <t>$ / month (TTM avg, inflated)</t>
        </is>
      </c>
      <c r="J188" s="20">
        <f>+J80</f>
        <v>1000</v>
      </c>
      <c r="K188" s="20">
        <f>+K80</f>
        <v>1100</v>
      </c>
      <c r="L188" s="20">
        <f>+L80</f>
        <v>1000</v>
      </c>
      <c r="M188" s="20">
        <f>+M80</f>
        <v>1000</v>
      </c>
      <c r="N188" s="20">
        <f>+N80</f>
        <v>1100</v>
      </c>
      <c r="O188" s="20">
        <f>+O80</f>
        <v>1100</v>
      </c>
      <c r="P188" s="20">
        <f>+P80</f>
        <v>1100</v>
      </c>
      <c r="Q188" s="20">
        <f>+Q80</f>
        <v>1100</v>
      </c>
      <c r="R188" s="20">
        <f>+R80</f>
        <v>1000</v>
      </c>
      <c r="S188" s="20">
        <f>+S80</f>
        <v>1100</v>
      </c>
      <c r="T188" s="20">
        <f>+T80</f>
        <v>1100</v>
      </c>
      <c r="U188" s="20">
        <f>+U80</f>
        <v>1100</v>
      </c>
      <c r="V188" s="20">
        <f>+V80</f>
        <v>1100</v>
      </c>
      <c r="W188" s="20">
        <f>+W80</f>
        <v>1200</v>
      </c>
      <c r="X188" s="20">
        <f>+X80</f>
        <v>1000</v>
      </c>
      <c r="Y188" s="20">
        <f>+Y80</f>
        <v>1100</v>
      </c>
      <c r="Z188" s="20">
        <f>+Z80</f>
        <v>1100</v>
      </c>
      <c r="AA188" s="20">
        <f>+AA80</f>
        <v>1200</v>
      </c>
      <c r="AB188" s="20">
        <f>+AB80</f>
        <v>1200</v>
      </c>
      <c r="AC188" s="20">
        <f>+AC80</f>
        <v>1200</v>
      </c>
      <c r="AD188" s="20">
        <f>+AD80</f>
        <v>1200</v>
      </c>
      <c r="AE188" s="20">
        <f>+AE80</f>
        <v>1100</v>
      </c>
      <c r="AF188" s="20">
        <f>+AF80</f>
        <v>1200</v>
      </c>
      <c r="AG188" s="20">
        <f>+AG80</f>
        <v>1200</v>
      </c>
      <c r="AH188" s="20">
        <f>+AH80</f>
        <v>1300</v>
      </c>
      <c r="AI188" s="20">
        <f>+AI80</f>
        <v>1300</v>
      </c>
      <c r="AJ188" s="20">
        <f>+AJ80</f>
        <v>1100</v>
      </c>
      <c r="AK188" s="20">
        <f>+AK80</f>
        <v>1200</v>
      </c>
      <c r="AL188" s="20">
        <f>+AL80</f>
        <v>1300</v>
      </c>
      <c r="AM188" s="20">
        <f>+AM80</f>
        <v>1300</v>
      </c>
      <c r="AN188" s="20">
        <f>+AN80</f>
        <v>1200</v>
      </c>
      <c r="AO188" s="20">
        <f>+AO80</f>
        <v>1200</v>
      </c>
      <c r="AP188" s="20">
        <f>+AP80</f>
        <v>0</v>
      </c>
      <c r="AQ188" s="20">
        <f>+AQ80</f>
        <v>0</v>
      </c>
      <c r="AR188" s="20">
        <f>+AR80</f>
        <v>0</v>
      </c>
      <c r="AS188" s="20">
        <f>+AVERAGE(AG188:AR188)</f>
        <v>925</v>
      </c>
      <c r="AT188" s="20">
        <f>+AS188*(1+$D$121)</f>
        <v>928.2375</v>
      </c>
      <c r="AU188" s="20">
        <f>+AT188*(1+$D$121)</f>
        <v>931.48633125</v>
      </c>
      <c r="AV188" s="20">
        <f>+AU188*(1+$D$121)</f>
        <v>934.746533409375</v>
      </c>
      <c r="AW188" s="20">
        <f>+AV188*(1+$D$121)</f>
        <v>938.018146276308</v>
      </c>
      <c r="AX188" s="20">
        <f>+AW188*(1+$D$121)</f>
        <v>941.301209788275</v>
      </c>
      <c r="AY188" s="20">
        <f>+AX188*(1+$D$121)</f>
        <v>944.595764022534</v>
      </c>
      <c r="AZ188" s="20">
        <f>+AY188*(1+$D$121)</f>
        <v>947.901849196613</v>
      </c>
      <c r="BA188" s="20">
        <f>+AZ188*(1+$D$121)</f>
        <v>951.219505668801</v>
      </c>
      <c r="BB188" s="20">
        <f>+BA188*(1+$D$121)</f>
        <v>954.548773938642</v>
      </c>
      <c r="BC188" s="20">
        <f>+BB188*(1+$D$121)</f>
        <v>957.889694647428</v>
      </c>
      <c r="BD188" s="20">
        <f>+BC188*(1+$D$121)</f>
        <v>961.242308578694</v>
      </c>
      <c r="BE188" s="20">
        <f>+BD188*(1+$D$121)</f>
        <v>964.606656658719</v>
      </c>
      <c r="BF188" s="20">
        <f>+BE188*(1+$D$121)</f>
        <v>967.982779957025</v>
      </c>
      <c r="BG188" s="20">
        <f>+BF188*(1+$D$121)</f>
        <v>971.370719686875</v>
      </c>
      <c r="BH188" s="20">
        <f>+BG188*(1+$D$121)</f>
        <v>974.770517205779</v>
      </c>
      <c r="BI188" s="20">
        <f>+BH188*(1+$D$121)</f>
        <v>978.182214015999</v>
      </c>
      <c r="BJ188" s="20">
        <f>+BI188*(1+$D$121)</f>
        <v>981.605851765055</v>
      </c>
      <c r="BK188" s="20">
        <f>+BJ188*(1+$D$121)</f>
        <v>985.041472246233</v>
      </c>
      <c r="BL188" s="20">
        <f>+BK188*(1+$D$121)</f>
        <v>988.489117399095</v>
      </c>
      <c r="BM188" s="20">
        <f>+BL188*(1+$D$121)</f>
        <v>991.948829309992</v>
      </c>
      <c r="BN188" s="20">
        <f>+BM188*(1+$D$121)</f>
        <v>995.420650212577</v>
      </c>
      <c r="BO188" s="20">
        <f>+BN188*(1+$D$121)</f>
        <v>998.904622488321</v>
      </c>
      <c r="BP188" s="20">
        <f>+BO188*(1+$D$121)</f>
        <v>1002.40078866703</v>
      </c>
      <c r="BQ188" s="20">
        <f>+BP188*(1+$D$121)</f>
        <v>1005.90919142736</v>
      </c>
    </row>
    <row r="189">
      <c r="C189" s="3" t="inlineStr">
        <is>
          <t>Mileage Reimbursement</t>
        </is>
      </c>
      <c r="D189" s="4" t="inlineStr">
        <is>
          <t>$ / month (TTM avg, inflated)</t>
        </is>
      </c>
      <c r="J189" s="20">
        <f>+J81</f>
        <v>1600</v>
      </c>
      <c r="K189" s="20">
        <f>+K81</f>
        <v>1600</v>
      </c>
      <c r="L189" s="20">
        <f>+L81</f>
        <v>1600</v>
      </c>
      <c r="M189" s="20">
        <f>+M81</f>
        <v>1500</v>
      </c>
      <c r="N189" s="20">
        <f>+N81</f>
        <v>1600</v>
      </c>
      <c r="O189" s="20">
        <f>+O81</f>
        <v>1600</v>
      </c>
      <c r="P189" s="20">
        <f>+P81</f>
        <v>1700</v>
      </c>
      <c r="Q189" s="20">
        <f>+Q81</f>
        <v>1700</v>
      </c>
      <c r="R189" s="20">
        <f>+R81</f>
        <v>1700</v>
      </c>
      <c r="S189" s="20">
        <f>+S81</f>
        <v>1700</v>
      </c>
      <c r="T189" s="20">
        <f>+T81</f>
        <v>1600</v>
      </c>
      <c r="U189" s="20">
        <f>+U81</f>
        <v>1700</v>
      </c>
      <c r="V189" s="20">
        <f>+V81</f>
        <v>1700</v>
      </c>
      <c r="W189" s="20">
        <f>+W81</f>
        <v>1700</v>
      </c>
      <c r="X189" s="20">
        <f>+X81</f>
        <v>1700</v>
      </c>
      <c r="Y189" s="20">
        <f>+Y81</f>
        <v>1600</v>
      </c>
      <c r="Z189" s="20">
        <f>+Z81</f>
        <v>1800</v>
      </c>
      <c r="AA189" s="20">
        <f>+AA81</f>
        <v>1800</v>
      </c>
      <c r="AB189" s="20">
        <f>+AB81</f>
        <v>1800</v>
      </c>
      <c r="AC189" s="20">
        <f>+AC81</f>
        <v>1700</v>
      </c>
      <c r="AD189" s="20">
        <f>+AD81</f>
        <v>1900</v>
      </c>
      <c r="AE189" s="20">
        <f>+AE81</f>
        <v>1700</v>
      </c>
      <c r="AF189" s="20">
        <f>+AF81</f>
        <v>1900</v>
      </c>
      <c r="AG189" s="20">
        <f>+AG81</f>
        <v>1900</v>
      </c>
      <c r="AH189" s="20">
        <f>+AH81</f>
        <v>1700</v>
      </c>
      <c r="AI189" s="20">
        <f>+AI81</f>
        <v>1900</v>
      </c>
      <c r="AJ189" s="20">
        <f>+AJ81</f>
        <v>1900</v>
      </c>
      <c r="AK189" s="20">
        <f>+AK81</f>
        <v>1800</v>
      </c>
      <c r="AL189" s="20">
        <f>+AL81</f>
        <v>1900</v>
      </c>
      <c r="AM189" s="20">
        <f>+AM81</f>
        <v>1700</v>
      </c>
      <c r="AN189" s="20">
        <f>+AN81</f>
        <v>1800</v>
      </c>
      <c r="AO189" s="20">
        <f>+AO81</f>
        <v>1900</v>
      </c>
      <c r="AP189" s="20">
        <f>+AP81</f>
        <v>0</v>
      </c>
      <c r="AQ189" s="20">
        <f>+AQ81</f>
        <v>0</v>
      </c>
      <c r="AR189" s="20">
        <f>+AR81</f>
        <v>0</v>
      </c>
      <c r="AS189" s="20">
        <f>+AVERAGE(AG189:AR189)</f>
        <v>1375</v>
      </c>
      <c r="AT189" s="20">
        <f>+AS189*(1+$D$121)</f>
        <v>1379.8125</v>
      </c>
      <c r="AU189" s="20">
        <f>+AT189*(1+$D$121)</f>
        <v>1384.64184375</v>
      </c>
      <c r="AV189" s="20">
        <f>+AU189*(1+$D$121)</f>
        <v>1389.48809020313</v>
      </c>
      <c r="AW189" s="20">
        <f>+AV189*(1+$D$121)</f>
        <v>1394.35129851884</v>
      </c>
      <c r="AX189" s="20">
        <f>+AW189*(1+$D$121)</f>
        <v>1399.23152806365</v>
      </c>
      <c r="AY189" s="20">
        <f>+AX189*(1+$D$121)</f>
        <v>1404.12883841188</v>
      </c>
      <c r="AZ189" s="20">
        <f>+AY189*(1+$D$121)</f>
        <v>1409.04328934632</v>
      </c>
      <c r="BA189" s="20">
        <f>+AZ189*(1+$D$121)</f>
        <v>1413.97494085903</v>
      </c>
      <c r="BB189" s="20">
        <f>+BA189*(1+$D$121)</f>
        <v>1418.92385315204</v>
      </c>
      <c r="BC189" s="20">
        <f>+BB189*(1+$D$121)</f>
        <v>1423.89008663807</v>
      </c>
      <c r="BD189" s="20">
        <f>+BC189*(1+$D$121)</f>
        <v>1428.8737019413</v>
      </c>
      <c r="BE189" s="20">
        <f>+BD189*(1+$D$121)</f>
        <v>1433.8747598981</v>
      </c>
      <c r="BF189" s="20">
        <f>+BE189*(1+$D$121)</f>
        <v>1438.89332155774</v>
      </c>
      <c r="BG189" s="20">
        <f>+BF189*(1+$D$121)</f>
        <v>1443.92944818319</v>
      </c>
      <c r="BH189" s="20">
        <f>+BG189*(1+$D$121)</f>
        <v>1448.98320125183</v>
      </c>
      <c r="BI189" s="20">
        <f>+BH189*(1+$D$121)</f>
        <v>1454.05464245621</v>
      </c>
      <c r="BJ189" s="20">
        <f>+BI189*(1+$D$121)</f>
        <v>1459.14383370481</v>
      </c>
      <c r="BK189" s="20">
        <f>+BJ189*(1+$D$121)</f>
        <v>1464.25083712278</v>
      </c>
      <c r="BL189" s="20">
        <f>+BK189*(1+$D$121)</f>
        <v>1469.37571505271</v>
      </c>
      <c r="BM189" s="20">
        <f>+BL189*(1+$D$121)</f>
        <v>1474.51853005539</v>
      </c>
      <c r="BN189" s="20">
        <f>+BM189*(1+$D$121)</f>
        <v>1479.67934491059</v>
      </c>
      <c r="BO189" s="20">
        <f>+BN189*(1+$D$121)</f>
        <v>1484.85822261777</v>
      </c>
      <c r="BP189" s="20">
        <f>+BO189*(1+$D$121)</f>
        <v>1490.05522639694</v>
      </c>
      <c r="BQ189" s="20">
        <f>+BP189*(1+$D$121)</f>
        <v>1495.27041968933</v>
      </c>
    </row>
    <row r="190">
      <c r="C190" s="3" t="inlineStr">
        <is>
          <t>Office Expense, Supplies &amp; Postage</t>
        </is>
      </c>
      <c r="D190" s="4" t="inlineStr">
        <is>
          <t>$ / month (TTM avg, inflated)</t>
        </is>
      </c>
      <c r="J190" s="20">
        <f>+J82</f>
        <v>3600</v>
      </c>
      <c r="K190" s="20">
        <f>+K82</f>
        <v>3600</v>
      </c>
      <c r="L190" s="20">
        <f>+L82</f>
        <v>3700</v>
      </c>
      <c r="M190" s="20">
        <f>+M82</f>
        <v>3800</v>
      </c>
      <c r="N190" s="20">
        <f>+N82</f>
        <v>3500</v>
      </c>
      <c r="O190" s="20">
        <f>+O82</f>
        <v>3700</v>
      </c>
      <c r="P190" s="20">
        <f>+P82</f>
        <v>3800</v>
      </c>
      <c r="Q190" s="20">
        <f>+Q82</f>
        <v>3600</v>
      </c>
      <c r="R190" s="20">
        <f>+R82</f>
        <v>3600</v>
      </c>
      <c r="S190" s="20">
        <f>+S82</f>
        <v>4000</v>
      </c>
      <c r="T190" s="20">
        <f>+T82</f>
        <v>3700</v>
      </c>
      <c r="U190" s="20">
        <f>+U82</f>
        <v>3800</v>
      </c>
      <c r="V190" s="20">
        <f>+V82</f>
        <v>4000</v>
      </c>
      <c r="W190" s="20">
        <f>+W82</f>
        <v>3700</v>
      </c>
      <c r="X190" s="20">
        <f>+X82</f>
        <v>4100</v>
      </c>
      <c r="Y190" s="20">
        <f>+Y82</f>
        <v>3800</v>
      </c>
      <c r="Z190" s="20">
        <f>+Z82</f>
        <v>3700</v>
      </c>
      <c r="AA190" s="20">
        <f>+AA82</f>
        <v>4000</v>
      </c>
      <c r="AB190" s="20">
        <f>+AB82</f>
        <v>4100</v>
      </c>
      <c r="AC190" s="20">
        <f>+AC82</f>
        <v>4300</v>
      </c>
      <c r="AD190" s="20">
        <f>+AD82</f>
        <v>4000</v>
      </c>
      <c r="AE190" s="20">
        <f>+AE82</f>
        <v>3900</v>
      </c>
      <c r="AF190" s="20">
        <f>+AF82</f>
        <v>4100</v>
      </c>
      <c r="AG190" s="20">
        <f>+AG82</f>
        <v>4300</v>
      </c>
      <c r="AH190" s="20">
        <f>+AH82</f>
        <v>3900</v>
      </c>
      <c r="AI190" s="20">
        <f>+AI82</f>
        <v>4200</v>
      </c>
      <c r="AJ190" s="20">
        <f>+AJ82</f>
        <v>4200</v>
      </c>
      <c r="AK190" s="20">
        <f>+AK82</f>
        <v>4500</v>
      </c>
      <c r="AL190" s="20">
        <f>+AL82</f>
        <v>4200</v>
      </c>
      <c r="AM190" s="20">
        <f>+AM82</f>
        <v>4000</v>
      </c>
      <c r="AN190" s="20">
        <f>+AN82</f>
        <v>4000</v>
      </c>
      <c r="AO190" s="20">
        <f>+AO82</f>
        <v>4500</v>
      </c>
      <c r="AP190" s="20">
        <f>+AP82</f>
        <v>4409.7</v>
      </c>
      <c r="AQ190" s="20">
        <f>+AQ82</f>
        <v>4611.07</v>
      </c>
      <c r="AR190" s="20">
        <f>+AR82</f>
        <v>4229.14</v>
      </c>
      <c r="AS190" s="20">
        <f>+AVERAGE(AG190:AR190)</f>
        <v>4254.15916666667</v>
      </c>
      <c r="AT190" s="20">
        <f>+AS190*(1+$D$121)</f>
        <v>4269.04872375</v>
      </c>
      <c r="AU190" s="20">
        <f>+AT190*(1+$D$121)</f>
        <v>4283.99039428313</v>
      </c>
      <c r="AV190" s="20">
        <f>+AU190*(1+$D$121)</f>
        <v>4298.98436066312</v>
      </c>
      <c r="AW190" s="20">
        <f>+AV190*(1+$D$121)</f>
        <v>4314.03080592544</v>
      </c>
      <c r="AX190" s="20">
        <f>+AW190*(1+$D$121)</f>
        <v>4329.12991374618</v>
      </c>
      <c r="AY190" s="20">
        <f>+AX190*(1+$D$121)</f>
        <v>4344.28186844429</v>
      </c>
      <c r="AZ190" s="20">
        <f>+AY190*(1+$D$121)</f>
        <v>4359.48685498385</v>
      </c>
      <c r="BA190" s="20">
        <f>+AZ190*(1+$D$121)</f>
        <v>4374.74505897629</v>
      </c>
      <c r="BB190" s="20">
        <f>+BA190*(1+$D$121)</f>
        <v>4390.05666668271</v>
      </c>
      <c r="BC190" s="20">
        <f>+BB190*(1+$D$121)</f>
        <v>4405.4218650161</v>
      </c>
      <c r="BD190" s="20">
        <f>+BC190*(1+$D$121)</f>
        <v>4420.84084154365</v>
      </c>
      <c r="BE190" s="20">
        <f>+BD190*(1+$D$121)</f>
        <v>4436.31378448905</v>
      </c>
      <c r="BF190" s="20">
        <f>+BE190*(1+$D$121)</f>
        <v>4451.84088273477</v>
      </c>
      <c r="BG190" s="20">
        <f>+BF190*(1+$D$121)</f>
        <v>4467.42232582434</v>
      </c>
      <c r="BH190" s="20">
        <f>+BG190*(1+$D$121)</f>
        <v>4483.05830396472</v>
      </c>
      <c r="BI190" s="20">
        <f>+BH190*(1+$D$121)</f>
        <v>4498.7490080286</v>
      </c>
      <c r="BJ190" s="20">
        <f>+BI190*(1+$D$121)</f>
        <v>4514.4946295567</v>
      </c>
      <c r="BK190" s="20">
        <f>+BJ190*(1+$D$121)</f>
        <v>4530.29536076015</v>
      </c>
      <c r="BL190" s="20">
        <f>+BK190*(1+$D$121)</f>
        <v>4546.15139452281</v>
      </c>
      <c r="BM190" s="20">
        <f>+BL190*(1+$D$121)</f>
        <v>4562.06292440364</v>
      </c>
      <c r="BN190" s="20">
        <f>+BM190*(1+$D$121)</f>
        <v>4578.03014463905</v>
      </c>
      <c r="BO190" s="20">
        <f>+BN190*(1+$D$121)</f>
        <v>4594.05325014529</v>
      </c>
      <c r="BP190" s="20">
        <f>+BO190*(1+$D$121)</f>
        <v>4610.1324365208</v>
      </c>
      <c r="BQ190" s="20">
        <f>+BP190*(1+$D$121)</f>
        <v>4626.26790004862</v>
      </c>
    </row>
    <row r="191">
      <c r="C191" s="3" t="inlineStr">
        <is>
          <t>Other Operating Expenses</t>
        </is>
      </c>
      <c r="D191" s="4" t="inlineStr">
        <is>
          <t>$ / month (TTM avg, inflated)</t>
        </is>
      </c>
      <c r="J191" s="20">
        <f>+J83</f>
        <v>3300</v>
      </c>
      <c r="K191" s="20">
        <f>+K83</f>
        <v>3400</v>
      </c>
      <c r="L191" s="20">
        <f>+L83</f>
        <v>3200</v>
      </c>
      <c r="M191" s="20">
        <f>+M83</f>
        <v>3300</v>
      </c>
      <c r="N191" s="20">
        <f>+N83</f>
        <v>3100</v>
      </c>
      <c r="O191" s="20">
        <f>+O83</f>
        <v>3400</v>
      </c>
      <c r="P191" s="20">
        <f>+P83</f>
        <v>3200</v>
      </c>
      <c r="Q191" s="20">
        <f>+Q83</f>
        <v>3000</v>
      </c>
      <c r="R191" s="20">
        <f>+R83</f>
        <v>3200</v>
      </c>
      <c r="S191" s="20">
        <f>+S83</f>
        <v>3300</v>
      </c>
      <c r="T191" s="20">
        <f>+T83</f>
        <v>3100</v>
      </c>
      <c r="U191" s="20">
        <f>+U83</f>
        <v>3300</v>
      </c>
      <c r="V191" s="20">
        <f>+V83</f>
        <v>3100</v>
      </c>
      <c r="W191" s="20">
        <f>+W83</f>
        <v>3400</v>
      </c>
      <c r="X191" s="20">
        <f>+X83</f>
        <v>3600</v>
      </c>
      <c r="Y191" s="20">
        <f>+Y83</f>
        <v>3200</v>
      </c>
      <c r="Z191" s="20">
        <f>+Z83</f>
        <v>3500</v>
      </c>
      <c r="AA191" s="20">
        <f>+AA83</f>
        <v>3300</v>
      </c>
      <c r="AB191" s="20">
        <f>+AB83</f>
        <v>3300</v>
      </c>
      <c r="AC191" s="20">
        <f>+AC83</f>
        <v>3600</v>
      </c>
      <c r="AD191" s="20">
        <f>+AD83</f>
        <v>3300</v>
      </c>
      <c r="AE191" s="20">
        <f>+AE83</f>
        <v>3800</v>
      </c>
      <c r="AF191" s="20">
        <f>+AF83</f>
        <v>3700</v>
      </c>
      <c r="AG191" s="20">
        <f>+AG83</f>
        <v>3500</v>
      </c>
      <c r="AH191" s="20">
        <f>+AH83</f>
        <v>3500</v>
      </c>
      <c r="AI191" s="20">
        <f>+AI83</f>
        <v>3400</v>
      </c>
      <c r="AJ191" s="20">
        <f>+AJ83</f>
        <v>3600</v>
      </c>
      <c r="AK191" s="20">
        <f>+AK83</f>
        <v>3700</v>
      </c>
      <c r="AL191" s="20">
        <f>+AL83</f>
        <v>3500</v>
      </c>
      <c r="AM191" s="20">
        <f>+AM83</f>
        <v>3800</v>
      </c>
      <c r="AN191" s="20">
        <f>+AN83</f>
        <v>3500</v>
      </c>
      <c r="AO191" s="20">
        <f>+AO83</f>
        <v>3800</v>
      </c>
      <c r="AP191" s="20">
        <f>+AP83</f>
        <v>20633.75</v>
      </c>
      <c r="AQ191" s="20">
        <f>+AQ83</f>
        <v>21555.33</v>
      </c>
      <c r="AR191" s="20">
        <f>+AR83</f>
        <v>17958.14</v>
      </c>
      <c r="AS191" s="20">
        <f>+AVERAGE(AG191:AR191)</f>
        <v>7703.935</v>
      </c>
      <c r="AT191" s="20">
        <f>+AS191*(1+$D$121)</f>
        <v>7730.8987725</v>
      </c>
      <c r="AU191" s="20">
        <f>+AT191*(1+$D$121)</f>
        <v>7757.95691820375</v>
      </c>
      <c r="AV191" s="20">
        <f>+AU191*(1+$D$121)</f>
        <v>7785.10976741747</v>
      </c>
      <c r="AW191" s="20">
        <f>+AV191*(1+$D$121)</f>
        <v>7812.35765160343</v>
      </c>
      <c r="AX191" s="20">
        <f>+AW191*(1+$D$121)</f>
        <v>7839.70090338404</v>
      </c>
      <c r="AY191" s="20">
        <f>+AX191*(1+$D$121)</f>
        <v>7867.13985654588</v>
      </c>
      <c r="AZ191" s="20">
        <f>+AY191*(1+$D$121)</f>
        <v>7894.6748460438</v>
      </c>
      <c r="BA191" s="20">
        <f>+AZ191*(1+$D$121)</f>
        <v>7922.30620800495</v>
      </c>
      <c r="BB191" s="20">
        <f>+BA191*(1+$D$121)</f>
        <v>7950.03427973297</v>
      </c>
      <c r="BC191" s="20">
        <f>+BB191*(1+$D$121)</f>
        <v>7977.85939971203</v>
      </c>
      <c r="BD191" s="20">
        <f>+BC191*(1+$D$121)</f>
        <v>8005.78190761103</v>
      </c>
      <c r="BE191" s="20">
        <f>+BD191*(1+$D$121)</f>
        <v>8033.80214428766</v>
      </c>
      <c r="BF191" s="20">
        <f>+BE191*(1+$D$121)</f>
        <v>8061.92045179267</v>
      </c>
      <c r="BG191" s="20">
        <f>+BF191*(1+$D$121)</f>
        <v>8090.13717337395</v>
      </c>
      <c r="BH191" s="20">
        <f>+BG191*(1+$D$121)</f>
        <v>8118.45265348076</v>
      </c>
      <c r="BI191" s="20">
        <f>+BH191*(1+$D$121)</f>
        <v>8146.86723776794</v>
      </c>
      <c r="BJ191" s="20">
        <f>+BI191*(1+$D$121)</f>
        <v>8175.38127310013</v>
      </c>
      <c r="BK191" s="20">
        <f>+BJ191*(1+$D$121)</f>
        <v>8203.99510755598</v>
      </c>
      <c r="BL191" s="20">
        <f>+BK191*(1+$D$121)</f>
        <v>8232.70909043243</v>
      </c>
      <c r="BM191" s="20">
        <f>+BL191*(1+$D$121)</f>
        <v>8261.52357224894</v>
      </c>
      <c r="BN191" s="20">
        <f>+BM191*(1+$D$121)</f>
        <v>8290.43890475181</v>
      </c>
      <c r="BO191" s="20">
        <f>+BN191*(1+$D$121)</f>
        <v>8319.45544091844</v>
      </c>
      <c r="BP191" s="20">
        <f>+BO191*(1+$D$121)</f>
        <v>8348.57353496166</v>
      </c>
      <c r="BQ191" s="20">
        <f>+BP191*(1+$D$121)</f>
        <v>8377.79354233402</v>
      </c>
    </row>
    <row r="192">
      <c r="C192" s="3" t="inlineStr">
        <is>
          <t>Repairs &amp; Maintenance</t>
        </is>
      </c>
      <c r="D192" s="4" t="inlineStr">
        <is>
          <t>$ / month (TTM avg, inflated)</t>
        </is>
      </c>
      <c r="J192" s="20">
        <f>+J84</f>
        <v>3000</v>
      </c>
      <c r="K192" s="20">
        <f>+K84</f>
        <v>3100</v>
      </c>
      <c r="L192" s="20">
        <f>+L84</f>
        <v>3100</v>
      </c>
      <c r="M192" s="20">
        <f>+M84</f>
        <v>3000</v>
      </c>
      <c r="N192" s="20">
        <f>+N84</f>
        <v>3200</v>
      </c>
      <c r="O192" s="20">
        <f>+O84</f>
        <v>3000</v>
      </c>
      <c r="P192" s="20">
        <f>+P84</f>
        <v>3000</v>
      </c>
      <c r="Q192" s="20">
        <f>+Q84</f>
        <v>3400</v>
      </c>
      <c r="R192" s="20">
        <f>+R84</f>
        <v>3200</v>
      </c>
      <c r="S192" s="20">
        <f>+S84</f>
        <v>3400</v>
      </c>
      <c r="T192" s="20">
        <f>+T84</f>
        <v>3100</v>
      </c>
      <c r="U192" s="20">
        <f>+U84</f>
        <v>3500</v>
      </c>
      <c r="V192" s="20">
        <f>+V84</f>
        <v>3200</v>
      </c>
      <c r="W192" s="20">
        <f>+W84</f>
        <v>3400</v>
      </c>
      <c r="X192" s="20">
        <f>+X84</f>
        <v>3200</v>
      </c>
      <c r="Y192" s="20">
        <f>+Y84</f>
        <v>3200</v>
      </c>
      <c r="Z192" s="20">
        <f>+Z84</f>
        <v>3300</v>
      </c>
      <c r="AA192" s="20">
        <f>+AA84</f>
        <v>3300</v>
      </c>
      <c r="AB192" s="20">
        <f>+AB84</f>
        <v>3600</v>
      </c>
      <c r="AC192" s="20">
        <f>+AC84</f>
        <v>3700</v>
      </c>
      <c r="AD192" s="20">
        <f>+AD84</f>
        <v>3700</v>
      </c>
      <c r="AE192" s="20">
        <f>+AE84</f>
        <v>3800</v>
      </c>
      <c r="AF192" s="20">
        <f>+AF84</f>
        <v>3600</v>
      </c>
      <c r="AG192" s="20">
        <f>+AG84</f>
        <v>3700</v>
      </c>
      <c r="AH192" s="20">
        <f>+AH84</f>
        <v>3400</v>
      </c>
      <c r="AI192" s="20">
        <f>+AI84</f>
        <v>3800</v>
      </c>
      <c r="AJ192" s="20">
        <f>+AJ84</f>
        <v>3400</v>
      </c>
      <c r="AK192" s="20">
        <f>+AK84</f>
        <v>3500</v>
      </c>
      <c r="AL192" s="20">
        <f>+AL84</f>
        <v>3700</v>
      </c>
      <c r="AM192" s="20">
        <f>+AM84</f>
        <v>3700</v>
      </c>
      <c r="AN192" s="20">
        <f>+AN84</f>
        <v>3900</v>
      </c>
      <c r="AO192" s="20">
        <f>+AO84</f>
        <v>3500</v>
      </c>
      <c r="AP192" s="20">
        <f>+AP84</f>
        <v>3753.91</v>
      </c>
      <c r="AQ192" s="20">
        <f>+AQ84</f>
        <v>3766.24</v>
      </c>
      <c r="AR192" s="20">
        <f>+AR84</f>
        <v>3562.45</v>
      </c>
      <c r="AS192" s="20">
        <f>+AVERAGE(AG192:AR192)</f>
        <v>3640.21666666667</v>
      </c>
      <c r="AT192" s="20">
        <f>+AS192*(1+$D$121)</f>
        <v>3652.957425</v>
      </c>
      <c r="AU192" s="20">
        <f>+AT192*(1+$D$121)</f>
        <v>3665.7427759875</v>
      </c>
      <c r="AV192" s="20">
        <f>+AU192*(1+$D$121)</f>
        <v>3678.57287570346</v>
      </c>
      <c r="AW192" s="20">
        <f>+AV192*(1+$D$121)</f>
        <v>3691.44788076842</v>
      </c>
      <c r="AX192" s="20">
        <f>+AW192*(1+$D$121)</f>
        <v>3704.36794835111</v>
      </c>
      <c r="AY192" s="20">
        <f>+AX192*(1+$D$121)</f>
        <v>3717.33323617034</v>
      </c>
      <c r="AZ192" s="20">
        <f>+AY192*(1+$D$121)</f>
        <v>3730.34390249693</v>
      </c>
      <c r="BA192" s="20">
        <f>+AZ192*(1+$D$121)</f>
        <v>3743.40010615567</v>
      </c>
      <c r="BB192" s="20">
        <f>+BA192*(1+$D$121)</f>
        <v>3756.50200652722</v>
      </c>
      <c r="BC192" s="20">
        <f>+BB192*(1+$D$121)</f>
        <v>3769.64976355006</v>
      </c>
      <c r="BD192" s="20">
        <f>+BC192*(1+$D$121)</f>
        <v>3782.84353772249</v>
      </c>
      <c r="BE192" s="20">
        <f>+BD192*(1+$D$121)</f>
        <v>3796.08349010452</v>
      </c>
      <c r="BF192" s="20">
        <f>+BE192*(1+$D$121)</f>
        <v>3809.36978231988</v>
      </c>
      <c r="BG192" s="20">
        <f>+BF192*(1+$D$121)</f>
        <v>3822.702576558</v>
      </c>
      <c r="BH192" s="20">
        <f>+BG192*(1+$D$121)</f>
        <v>3836.08203557596</v>
      </c>
      <c r="BI192" s="20">
        <f>+BH192*(1+$D$121)</f>
        <v>3849.50832270047</v>
      </c>
      <c r="BJ192" s="20">
        <f>+BI192*(1+$D$121)</f>
        <v>3862.98160182993</v>
      </c>
      <c r="BK192" s="20">
        <f>+BJ192*(1+$D$121)</f>
        <v>3876.50203743633</v>
      </c>
      <c r="BL192" s="20">
        <f>+BK192*(1+$D$121)</f>
        <v>3890.06979456736</v>
      </c>
      <c r="BM192" s="20">
        <f>+BL192*(1+$D$121)</f>
        <v>3903.68503884834</v>
      </c>
      <c r="BN192" s="20">
        <f>+BM192*(1+$D$121)</f>
        <v>3917.34793648431</v>
      </c>
      <c r="BO192" s="20">
        <f>+BN192*(1+$D$121)</f>
        <v>3931.05865426201</v>
      </c>
      <c r="BP192" s="20">
        <f>+BO192*(1+$D$121)</f>
        <v>3944.81735955193</v>
      </c>
      <c r="BQ192" s="20">
        <f>+BP192*(1+$D$121)</f>
        <v>3958.62422031036</v>
      </c>
    </row>
    <row r="193">
      <c r="C193" s="3" t="inlineStr">
        <is>
          <t>Taxes &amp; Licenses</t>
        </is>
      </c>
      <c r="D193" s="4" t="inlineStr">
        <is>
          <t>$ / month (TTM avg, inflated)</t>
        </is>
      </c>
      <c r="J193" s="20">
        <f>+J85</f>
        <v>3900</v>
      </c>
      <c r="K193" s="20">
        <f>+K85</f>
        <v>3800</v>
      </c>
      <c r="L193" s="20">
        <f>+L85</f>
        <v>3800</v>
      </c>
      <c r="M193" s="20">
        <f>+M85</f>
        <v>3600</v>
      </c>
      <c r="N193" s="20">
        <f>+N85</f>
        <v>3600</v>
      </c>
      <c r="O193" s="20">
        <f>+O85</f>
        <v>3700</v>
      </c>
      <c r="P193" s="20">
        <f>+P85</f>
        <v>3800</v>
      </c>
      <c r="Q193" s="20">
        <f>+Q85</f>
        <v>3900</v>
      </c>
      <c r="R193" s="20">
        <f>+R85</f>
        <v>3700</v>
      </c>
      <c r="S193" s="20">
        <f>+S85</f>
        <v>3900</v>
      </c>
      <c r="T193" s="20">
        <f>+T85</f>
        <v>3800</v>
      </c>
      <c r="U193" s="20">
        <f>+U85</f>
        <v>3900</v>
      </c>
      <c r="V193" s="20">
        <f>+V85</f>
        <v>4000</v>
      </c>
      <c r="W193" s="20">
        <f>+W85</f>
        <v>3900</v>
      </c>
      <c r="X193" s="20">
        <f>+X85</f>
        <v>4000</v>
      </c>
      <c r="Y193" s="20">
        <f>+Y85</f>
        <v>3800</v>
      </c>
      <c r="Z193" s="20">
        <f>+Z85</f>
        <v>4200</v>
      </c>
      <c r="AA193" s="20">
        <f>+AA85</f>
        <v>4100</v>
      </c>
      <c r="AB193" s="20">
        <f>+AB85</f>
        <v>4000</v>
      </c>
      <c r="AC193" s="20">
        <f>+AC85</f>
        <v>4300</v>
      </c>
      <c r="AD193" s="20">
        <f>+AD85</f>
        <v>4300</v>
      </c>
      <c r="AE193" s="20">
        <f>+AE85</f>
        <v>4400</v>
      </c>
      <c r="AF193" s="20">
        <f>+AF85</f>
        <v>4100</v>
      </c>
      <c r="AG193" s="20">
        <f>+AG85</f>
        <v>4300</v>
      </c>
      <c r="AH193" s="20">
        <f>+AH85</f>
        <v>4000</v>
      </c>
      <c r="AI193" s="20">
        <f>+AI85</f>
        <v>4300</v>
      </c>
      <c r="AJ193" s="20">
        <f>+AJ85</f>
        <v>4400</v>
      </c>
      <c r="AK193" s="20">
        <f>+AK85</f>
        <v>4500</v>
      </c>
      <c r="AL193" s="20">
        <f>+AL85</f>
        <v>4500</v>
      </c>
      <c r="AM193" s="20">
        <f>+AM85</f>
        <v>4600</v>
      </c>
      <c r="AN193" s="20">
        <f>+AN85</f>
        <v>4200</v>
      </c>
      <c r="AO193" s="20">
        <f>+AO85</f>
        <v>4400</v>
      </c>
      <c r="AP193" s="20">
        <f>+AP85</f>
        <v>4313.94</v>
      </c>
      <c r="AQ193" s="20">
        <f>+AQ85</f>
        <v>4498.46</v>
      </c>
      <c r="AR193" s="20">
        <f>+AR85</f>
        <v>4350.7</v>
      </c>
      <c r="AS193" s="20">
        <f>+AVERAGE(AG193:AR193)</f>
        <v>4363.59166666667</v>
      </c>
      <c r="AT193" s="20">
        <f>+AS193*(1+$D$121)</f>
        <v>4378.8642375</v>
      </c>
      <c r="AU193" s="20">
        <f>+AT193*(1+$D$121)</f>
        <v>4394.19026233125</v>
      </c>
      <c r="AV193" s="20">
        <f>+AU193*(1+$D$121)</f>
        <v>4409.56992824941</v>
      </c>
      <c r="AW193" s="20">
        <f>+AV193*(1+$D$121)</f>
        <v>4425.00342299828</v>
      </c>
      <c r="AX193" s="20">
        <f>+AW193*(1+$D$121)</f>
        <v>4440.49093497878</v>
      </c>
      <c r="AY193" s="20">
        <f>+AX193*(1+$D$121)</f>
        <v>4456.0326532512</v>
      </c>
      <c r="AZ193" s="20">
        <f>+AY193*(1+$D$121)</f>
        <v>4471.62876753758</v>
      </c>
      <c r="BA193" s="20">
        <f>+AZ193*(1+$D$121)</f>
        <v>4487.27946822397</v>
      </c>
      <c r="BB193" s="20">
        <f>+BA193*(1+$D$121)</f>
        <v>4502.98494636275</v>
      </c>
      <c r="BC193" s="20">
        <f>+BB193*(1+$D$121)</f>
        <v>4518.74539367502</v>
      </c>
      <c r="BD193" s="20">
        <f>+BC193*(1+$D$121)</f>
        <v>4534.56100255288</v>
      </c>
      <c r="BE193" s="20">
        <f>+BD193*(1+$D$121)</f>
        <v>4550.43196606182</v>
      </c>
      <c r="BF193" s="20">
        <f>+BE193*(1+$D$121)</f>
        <v>4566.35847794304</v>
      </c>
      <c r="BG193" s="20">
        <f>+BF193*(1+$D$121)</f>
        <v>4582.34073261584</v>
      </c>
      <c r="BH193" s="20">
        <f>+BG193*(1+$D$121)</f>
        <v>4598.37892517999</v>
      </c>
      <c r="BI193" s="20">
        <f>+BH193*(1+$D$121)</f>
        <v>4614.47325141812</v>
      </c>
      <c r="BJ193" s="20">
        <f>+BI193*(1+$D$121)</f>
        <v>4630.62390779809</v>
      </c>
      <c r="BK193" s="20">
        <f>+BJ193*(1+$D$121)</f>
        <v>4646.83109147538</v>
      </c>
      <c r="BL193" s="20">
        <f>+BK193*(1+$D$121)</f>
        <v>4663.09500029554</v>
      </c>
      <c r="BM193" s="20">
        <f>+BL193*(1+$D$121)</f>
        <v>4679.41583279658</v>
      </c>
      <c r="BN193" s="20">
        <f>+BM193*(1+$D$121)</f>
        <v>4695.79378821137</v>
      </c>
      <c r="BO193" s="20">
        <f>+BN193*(1+$D$121)</f>
        <v>4712.22906647011</v>
      </c>
      <c r="BP193" s="20">
        <f>+BO193*(1+$D$121)</f>
        <v>4728.72186820275</v>
      </c>
      <c r="BQ193" s="20">
        <f>+BP193*(1+$D$121)</f>
        <v>4745.27239474146</v>
      </c>
    </row>
    <row r="194">
      <c r="C194" s="3" t="inlineStr">
        <is>
          <t>Telephone &amp; Message Services</t>
        </is>
      </c>
      <c r="D194" s="4" t="inlineStr">
        <is>
          <t>$ / month (TTM avg, inflated)</t>
        </is>
      </c>
      <c r="J194" s="20">
        <f>+J86</f>
        <v>4400</v>
      </c>
      <c r="K194" s="20">
        <f>+K86</f>
        <v>4400</v>
      </c>
      <c r="L194" s="20">
        <f>+L86</f>
        <v>4500</v>
      </c>
      <c r="M194" s="20">
        <f>+M86</f>
        <v>4500</v>
      </c>
      <c r="N194" s="20">
        <f>+N86</f>
        <v>4000</v>
      </c>
      <c r="O194" s="20">
        <f>+O86</f>
        <v>4300</v>
      </c>
      <c r="P194" s="20">
        <f>+P86</f>
        <v>4300</v>
      </c>
      <c r="Q194" s="20">
        <f>+Q86</f>
        <v>4400</v>
      </c>
      <c r="R194" s="20">
        <f>+R86</f>
        <v>4300</v>
      </c>
      <c r="S194" s="20">
        <f>+S86</f>
        <v>4300</v>
      </c>
      <c r="T194" s="20">
        <f>+T86</f>
        <v>4500</v>
      </c>
      <c r="U194" s="20">
        <f>+U86</f>
        <v>4600</v>
      </c>
      <c r="V194" s="20">
        <f>+V86</f>
        <v>4700</v>
      </c>
      <c r="W194" s="20">
        <f>+W86</f>
        <v>4300</v>
      </c>
      <c r="X194" s="20">
        <f>+X86</f>
        <v>4700</v>
      </c>
      <c r="Y194" s="20">
        <f>+Y86</f>
        <v>4600</v>
      </c>
      <c r="Z194" s="20">
        <f>+Z86</f>
        <v>4400</v>
      </c>
      <c r="AA194" s="20">
        <f>+AA86</f>
        <v>4400</v>
      </c>
      <c r="AB194" s="20">
        <f>+AB86</f>
        <v>4500</v>
      </c>
      <c r="AC194" s="20">
        <f>+AC86</f>
        <v>4800</v>
      </c>
      <c r="AD194" s="20">
        <f>+AD86</f>
        <v>4600</v>
      </c>
      <c r="AE194" s="20">
        <f>+AE86</f>
        <v>4600</v>
      </c>
      <c r="AF194" s="20">
        <f>+AF86</f>
        <v>4800</v>
      </c>
      <c r="AG194" s="20">
        <f>+AG86</f>
        <v>4900</v>
      </c>
      <c r="AH194" s="20">
        <f>+AH86</f>
        <v>4900</v>
      </c>
      <c r="AI194" s="20">
        <f>+AI86</f>
        <v>4800</v>
      </c>
      <c r="AJ194" s="20">
        <f>+AJ86</f>
        <v>4500</v>
      </c>
      <c r="AK194" s="20">
        <f>+AK86</f>
        <v>4600</v>
      </c>
      <c r="AL194" s="20">
        <f>+AL86</f>
        <v>5000</v>
      </c>
      <c r="AM194" s="20">
        <f>+AM86</f>
        <v>5100</v>
      </c>
      <c r="AN194" s="20">
        <f>+AN86</f>
        <v>4900</v>
      </c>
      <c r="AO194" s="20">
        <f>+AO86</f>
        <v>5100</v>
      </c>
      <c r="AP194" s="20">
        <f>+AP86</f>
        <v>0</v>
      </c>
      <c r="AQ194" s="20">
        <f>+AQ86</f>
        <v>0</v>
      </c>
      <c r="AR194" s="20">
        <f>+AR86</f>
        <v>0</v>
      </c>
      <c r="AS194" s="20">
        <f>+AVERAGE(AG194:AR194)</f>
        <v>3650</v>
      </c>
      <c r="AT194" s="20">
        <f>+AS194*(1+$D$121)</f>
        <v>3662.775</v>
      </c>
      <c r="AU194" s="20">
        <f>+AT194*(1+$D$121)</f>
        <v>3675.5947125</v>
      </c>
      <c r="AV194" s="20">
        <f>+AU194*(1+$D$121)</f>
        <v>3688.45929399375</v>
      </c>
      <c r="AW194" s="20">
        <f>+AV194*(1+$D$121)</f>
        <v>3701.36890152273</v>
      </c>
      <c r="AX194" s="20">
        <f>+AW194*(1+$D$121)</f>
        <v>3714.32369267806</v>
      </c>
      <c r="AY194" s="20">
        <f>+AX194*(1+$D$121)</f>
        <v>3727.32382560243</v>
      </c>
      <c r="AZ194" s="20">
        <f>+AY194*(1+$D$121)</f>
        <v>3740.36945899204</v>
      </c>
      <c r="BA194" s="20">
        <f>+AZ194*(1+$D$121)</f>
        <v>3753.46075209851</v>
      </c>
      <c r="BB194" s="20">
        <f>+BA194*(1+$D$121)</f>
        <v>3766.59786473086</v>
      </c>
      <c r="BC194" s="20">
        <f>+BB194*(1+$D$121)</f>
        <v>3779.78095725742</v>
      </c>
      <c r="BD194" s="20">
        <f>+BC194*(1+$D$121)</f>
        <v>3793.01019060782</v>
      </c>
      <c r="BE194" s="20">
        <f>+BD194*(1+$D$121)</f>
        <v>3806.28572627495</v>
      </c>
      <c r="BF194" s="20">
        <f>+BE194*(1+$D$121)</f>
        <v>3819.60772631691</v>
      </c>
      <c r="BG194" s="20">
        <f>+BF194*(1+$D$121)</f>
        <v>3832.97635335902</v>
      </c>
      <c r="BH194" s="20">
        <f>+BG194*(1+$D$121)</f>
        <v>3846.39177059577</v>
      </c>
      <c r="BI194" s="20">
        <f>+BH194*(1+$D$121)</f>
        <v>3859.85414179286</v>
      </c>
      <c r="BJ194" s="20">
        <f>+BI194*(1+$D$121)</f>
        <v>3873.36363128913</v>
      </c>
      <c r="BK194" s="20">
        <f>+BJ194*(1+$D$121)</f>
        <v>3886.92040399865</v>
      </c>
      <c r="BL194" s="20">
        <f>+BK194*(1+$D$121)</f>
        <v>3900.52462541264</v>
      </c>
      <c r="BM194" s="20">
        <f>+BL194*(1+$D$121)</f>
        <v>3914.17646160159</v>
      </c>
      <c r="BN194" s="20">
        <f>+BM194*(1+$D$121)</f>
        <v>3927.87607921719</v>
      </c>
      <c r="BO194" s="20">
        <f>+BN194*(1+$D$121)</f>
        <v>3941.62364549445</v>
      </c>
      <c r="BP194" s="20">
        <f>+BO194*(1+$D$121)</f>
        <v>3955.41932825368</v>
      </c>
      <c r="BQ194" s="20">
        <f>+BP194*(1+$D$121)</f>
        <v>3969.26329590257</v>
      </c>
    </row>
    <row r="195">
      <c r="C195" s="3" t="inlineStr">
        <is>
          <t>Travel, Meals &amp; Entertainment</t>
        </is>
      </c>
      <c r="D195" s="4" t="inlineStr">
        <is>
          <t>$ / month (TTM avg, inflated)</t>
        </is>
      </c>
      <c r="J195" s="20">
        <f>+J87</f>
        <v>3100</v>
      </c>
      <c r="K195" s="20">
        <f>+K87</f>
        <v>3000</v>
      </c>
      <c r="L195" s="20">
        <f>+L87</f>
        <v>3100</v>
      </c>
      <c r="M195" s="20">
        <f>+M87</f>
        <v>3200</v>
      </c>
      <c r="N195" s="20">
        <f>+N87</f>
        <v>3100</v>
      </c>
      <c r="O195" s="20">
        <f>+O87</f>
        <v>3300</v>
      </c>
      <c r="P195" s="20">
        <f>+P87</f>
        <v>3400</v>
      </c>
      <c r="Q195" s="20">
        <f>+Q87</f>
        <v>3200</v>
      </c>
      <c r="R195" s="20">
        <f>+R87</f>
        <v>3400</v>
      </c>
      <c r="S195" s="20">
        <f>+S87</f>
        <v>3200</v>
      </c>
      <c r="T195" s="20">
        <f>+T87</f>
        <v>3200</v>
      </c>
      <c r="U195" s="20">
        <f>+U87</f>
        <v>3300</v>
      </c>
      <c r="V195" s="20">
        <f>+V87</f>
        <v>3500</v>
      </c>
      <c r="W195" s="20">
        <f>+W87</f>
        <v>3200</v>
      </c>
      <c r="X195" s="20">
        <f>+X87</f>
        <v>3500</v>
      </c>
      <c r="Y195" s="20">
        <f>+Y87</f>
        <v>3500</v>
      </c>
      <c r="Z195" s="20">
        <f>+Z87</f>
        <v>3300</v>
      </c>
      <c r="AA195" s="20">
        <f>+AA87</f>
        <v>3600</v>
      </c>
      <c r="AB195" s="20">
        <f>+AB87</f>
        <v>3600</v>
      </c>
      <c r="AC195" s="20">
        <f>+AC87</f>
        <v>3300</v>
      </c>
      <c r="AD195" s="20">
        <f>+AD87</f>
        <v>3500</v>
      </c>
      <c r="AE195" s="20">
        <f>+AE87</f>
        <v>3700</v>
      </c>
      <c r="AF195" s="20">
        <f>+AF87</f>
        <v>3500</v>
      </c>
      <c r="AG195" s="20">
        <f>+AG87</f>
        <v>3700</v>
      </c>
      <c r="AH195" s="20">
        <f>+AH87</f>
        <v>3800</v>
      </c>
      <c r="AI195" s="20">
        <f>+AI87</f>
        <v>3600</v>
      </c>
      <c r="AJ195" s="20">
        <f>+AJ87</f>
        <v>3700</v>
      </c>
      <c r="AK195" s="20">
        <f>+AK87</f>
        <v>3700</v>
      </c>
      <c r="AL195" s="20">
        <f>+AL87</f>
        <v>3400</v>
      </c>
      <c r="AM195" s="20">
        <f>+AM87</f>
        <v>3700</v>
      </c>
      <c r="AN195" s="20">
        <f>+AN87</f>
        <v>3800</v>
      </c>
      <c r="AO195" s="20">
        <f>+AO87</f>
        <v>3500</v>
      </c>
      <c r="AP195" s="20">
        <f>+AP87</f>
        <v>3897.05</v>
      </c>
      <c r="AQ195" s="20">
        <f>+AQ87</f>
        <v>3933.75</v>
      </c>
      <c r="AR195" s="20">
        <f>+AR87</f>
        <v>3784.25</v>
      </c>
      <c r="AS195" s="20">
        <f>+AVERAGE(AG195:AR195)</f>
        <v>3709.5875</v>
      </c>
      <c r="AT195" s="20">
        <f>+AS195*(1+$D$121)</f>
        <v>3722.57105625</v>
      </c>
      <c r="AU195" s="20">
        <f>+AT195*(1+$D$121)</f>
        <v>3735.60005494688</v>
      </c>
      <c r="AV195" s="20">
        <f>+AU195*(1+$D$121)</f>
        <v>3748.67465513919</v>
      </c>
      <c r="AW195" s="20">
        <f>+AV195*(1+$D$121)</f>
        <v>3761.79501643218</v>
      </c>
      <c r="AX195" s="20">
        <f>+AW195*(1+$D$121)</f>
        <v>3774.96129898969</v>
      </c>
      <c r="AY195" s="20">
        <f>+AX195*(1+$D$121)</f>
        <v>3788.17366353615</v>
      </c>
      <c r="AZ195" s="20">
        <f>+AY195*(1+$D$121)</f>
        <v>3801.43227135853</v>
      </c>
      <c r="BA195" s="20">
        <f>+AZ195*(1+$D$121)</f>
        <v>3814.73728430829</v>
      </c>
      <c r="BB195" s="20">
        <f>+BA195*(1+$D$121)</f>
        <v>3828.08886480337</v>
      </c>
      <c r="BC195" s="20">
        <f>+BB195*(1+$D$121)</f>
        <v>3841.48717583018</v>
      </c>
      <c r="BD195" s="20">
        <f>+BC195*(1+$D$121)</f>
        <v>3854.93238094558</v>
      </c>
      <c r="BE195" s="20">
        <f>+BD195*(1+$D$121)</f>
        <v>3868.42464427889</v>
      </c>
      <c r="BF195" s="20">
        <f>+BE195*(1+$D$121)</f>
        <v>3881.96413053387</v>
      </c>
      <c r="BG195" s="20">
        <f>+BF195*(1+$D$121)</f>
        <v>3895.55100499074</v>
      </c>
      <c r="BH195" s="20">
        <f>+BG195*(1+$D$121)</f>
        <v>3909.18543350821</v>
      </c>
      <c r="BI195" s="20">
        <f>+BH195*(1+$D$121)</f>
        <v>3922.86758252548</v>
      </c>
      <c r="BJ195" s="20">
        <f>+BI195*(1+$D$121)</f>
        <v>3936.59761906432</v>
      </c>
      <c r="BK195" s="20">
        <f>+BJ195*(1+$D$121)</f>
        <v>3950.37571073105</v>
      </c>
      <c r="BL195" s="20">
        <f>+BK195*(1+$D$121)</f>
        <v>3964.20202571861</v>
      </c>
      <c r="BM195" s="20">
        <f>+BL195*(1+$D$121)</f>
        <v>3978.07673280862</v>
      </c>
      <c r="BN195" s="20">
        <f>+BM195*(1+$D$121)</f>
        <v>3992.00000137345</v>
      </c>
      <c r="BO195" s="20">
        <f>+BN195*(1+$D$121)</f>
        <v>4005.97200137826</v>
      </c>
      <c r="BP195" s="20">
        <f>+BO195*(1+$D$121)</f>
        <v>4019.99290338309</v>
      </c>
      <c r="BQ195" s="20">
        <f>+BP195*(1+$D$121)</f>
        <v>4034.06287854493</v>
      </c>
    </row>
    <row r="196">
      <c r="C196" s="3" t="inlineStr">
        <is>
          <t>Donations &amp; Gifts</t>
        </is>
      </c>
      <c r="D196" s="4" t="inlineStr">
        <is>
          <t>$ / month (TTM avg, inflated)</t>
        </is>
      </c>
      <c r="J196" s="20">
        <f>+J88</f>
        <v>500</v>
      </c>
      <c r="K196" s="20">
        <f>+K88</f>
        <v>500</v>
      </c>
      <c r="L196" s="20">
        <f>+L88</f>
        <v>500</v>
      </c>
      <c r="M196" s="20">
        <f>+M88</f>
        <v>500</v>
      </c>
      <c r="N196" s="20">
        <f>+N88</f>
        <v>500</v>
      </c>
      <c r="O196" s="20">
        <f>+O88</f>
        <v>500</v>
      </c>
      <c r="P196" s="20">
        <f>+P88</f>
        <v>500</v>
      </c>
      <c r="Q196" s="20">
        <f>+Q88</f>
        <v>500</v>
      </c>
      <c r="R196" s="20">
        <f>+R88</f>
        <v>600</v>
      </c>
      <c r="S196" s="20">
        <f>+S88</f>
        <v>600</v>
      </c>
      <c r="T196" s="20">
        <f>+T88</f>
        <v>500</v>
      </c>
      <c r="U196" s="20">
        <f>+U88</f>
        <v>500</v>
      </c>
      <c r="V196" s="20">
        <f>+V88</f>
        <v>600</v>
      </c>
      <c r="W196" s="20">
        <f>+W88</f>
        <v>600</v>
      </c>
      <c r="X196" s="20">
        <f>+X88</f>
        <v>600</v>
      </c>
      <c r="Y196" s="20">
        <f>+Y88</f>
        <v>600</v>
      </c>
      <c r="Z196" s="20">
        <f>+Z88</f>
        <v>600</v>
      </c>
      <c r="AA196" s="20">
        <f>+AA88</f>
        <v>600</v>
      </c>
      <c r="AB196" s="20">
        <f>+AB88</f>
        <v>500</v>
      </c>
      <c r="AC196" s="20">
        <f>+AC88</f>
        <v>500</v>
      </c>
      <c r="AD196" s="20">
        <f>+AD88</f>
        <v>600</v>
      </c>
      <c r="AE196" s="20">
        <f>+AE88</f>
        <v>600</v>
      </c>
      <c r="AF196" s="20">
        <f>+AF88</f>
        <v>600</v>
      </c>
      <c r="AG196" s="20">
        <f>+AG88</f>
        <v>600</v>
      </c>
      <c r="AH196" s="20">
        <f>+AH88</f>
        <v>600</v>
      </c>
      <c r="AI196" s="20">
        <f>+AI88</f>
        <v>600</v>
      </c>
      <c r="AJ196" s="20">
        <f>+AJ88</f>
        <v>600</v>
      </c>
      <c r="AK196" s="20">
        <f>+AK88</f>
        <v>600</v>
      </c>
      <c r="AL196" s="20">
        <f>+AL88</f>
        <v>600</v>
      </c>
      <c r="AM196" s="20">
        <f>+AM88</f>
        <v>600</v>
      </c>
      <c r="AN196" s="20">
        <f>+AN88</f>
        <v>600</v>
      </c>
      <c r="AO196" s="20">
        <f>+AO88</f>
        <v>600</v>
      </c>
      <c r="AP196" s="20">
        <f>+AP88</f>
        <v>0</v>
      </c>
      <c r="AQ196" s="20">
        <f>+AQ88</f>
        <v>0</v>
      </c>
      <c r="AR196" s="20">
        <f>+AR88</f>
        <v>0</v>
      </c>
      <c r="AS196" s="20">
        <f>+AVERAGE(AG196:AR196)</f>
        <v>450</v>
      </c>
      <c r="AT196" s="20">
        <f>+AS196*(1+$D$121)</f>
        <v>451.575</v>
      </c>
      <c r="AU196" s="20">
        <f>+AT196*(1+$D$121)</f>
        <v>453.1555125</v>
      </c>
      <c r="AV196" s="20">
        <f>+AU196*(1+$D$121)</f>
        <v>454.74155679375</v>
      </c>
      <c r="AW196" s="20">
        <f>+AV196*(1+$D$121)</f>
        <v>456.333152242528</v>
      </c>
      <c r="AX196" s="20">
        <f>+AW196*(1+$D$121)</f>
        <v>457.930318275377</v>
      </c>
      <c r="AY196" s="20">
        <f>+AX196*(1+$D$121)</f>
        <v>459.533074389341</v>
      </c>
      <c r="AZ196" s="20">
        <f>+AY196*(1+$D$121)</f>
        <v>461.141440149704</v>
      </c>
      <c r="BA196" s="20">
        <f>+AZ196*(1+$D$121)</f>
        <v>462.755435190228</v>
      </c>
      <c r="BB196" s="20">
        <f>+BA196*(1+$D$121)</f>
        <v>464.375079213394</v>
      </c>
      <c r="BC196" s="20">
        <f>+BB196*(1+$D$121)</f>
        <v>466.000391990641</v>
      </c>
      <c r="BD196" s="20">
        <f>+BC196*(1+$D$121)</f>
        <v>467.631393362608</v>
      </c>
      <c r="BE196" s="20">
        <f>+BD196*(1+$D$121)</f>
        <v>469.268103239377</v>
      </c>
      <c r="BF196" s="20">
        <f>+BE196*(1+$D$121)</f>
        <v>470.910541600715</v>
      </c>
      <c r="BG196" s="20">
        <f>+BF196*(1+$D$121)</f>
        <v>472.558728496317</v>
      </c>
      <c r="BH196" s="20">
        <f>+BG196*(1+$D$121)</f>
        <v>474.212684046054</v>
      </c>
      <c r="BI196" s="20">
        <f>+BH196*(1+$D$121)</f>
        <v>475.872428440216</v>
      </c>
      <c r="BJ196" s="20">
        <f>+BI196*(1+$D$121)</f>
        <v>477.537981939756</v>
      </c>
      <c r="BK196" s="20">
        <f>+BJ196*(1+$D$121)</f>
        <v>479.209364876546</v>
      </c>
      <c r="BL196" s="20">
        <f>+BK196*(1+$D$121)</f>
        <v>480.886597653614</v>
      </c>
      <c r="BM196" s="20">
        <f>+BL196*(1+$D$121)</f>
        <v>482.569700745401</v>
      </c>
      <c r="BN196" s="20">
        <f>+BM196*(1+$D$121)</f>
        <v>484.25869469801</v>
      </c>
      <c r="BO196" s="20">
        <f>+BN196*(1+$D$121)</f>
        <v>485.953600129453</v>
      </c>
      <c r="BP196" s="20">
        <f>+BO196*(1+$D$121)</f>
        <v>487.654437729906</v>
      </c>
      <c r="BQ196" s="20">
        <f>+BP196*(1+$D$121)</f>
        <v>489.361228261961</v>
      </c>
    </row>
    <row r="197">
      <c r="C197" s="3" t="inlineStr">
        <is>
          <t>Automobile Expense</t>
        </is>
      </c>
      <c r="D197" s="4" t="inlineStr">
        <is>
          <t>$ / month (TTM avg, inflated)</t>
        </is>
      </c>
      <c r="J197" s="20">
        <f>+J89</f>
        <v>3600</v>
      </c>
      <c r="K197" s="20">
        <f>+K89</f>
        <v>3800</v>
      </c>
      <c r="L197" s="20">
        <f>+L89</f>
        <v>3800</v>
      </c>
      <c r="M197" s="20">
        <f>+M89</f>
        <v>3600</v>
      </c>
      <c r="N197" s="20">
        <f>+N89</f>
        <v>3600</v>
      </c>
      <c r="O197" s="20">
        <f>+O89</f>
        <v>3600</v>
      </c>
      <c r="P197" s="20">
        <f>+P89</f>
        <v>3800</v>
      </c>
      <c r="Q197" s="20">
        <f>+Q89</f>
        <v>3800</v>
      </c>
      <c r="R197" s="20">
        <f>+R89</f>
        <v>3800</v>
      </c>
      <c r="S197" s="20">
        <f>+S89</f>
        <v>3700</v>
      </c>
      <c r="T197" s="20">
        <f>+T89</f>
        <v>4000</v>
      </c>
      <c r="U197" s="20">
        <f>+U89</f>
        <v>4100</v>
      </c>
      <c r="V197" s="20">
        <f>+V89</f>
        <v>3800</v>
      </c>
      <c r="W197" s="20">
        <f>+W89</f>
        <v>3800</v>
      </c>
      <c r="X197" s="20">
        <f>+X89</f>
        <v>3700</v>
      </c>
      <c r="Y197" s="20">
        <f>+Y89</f>
        <v>3800</v>
      </c>
      <c r="Z197" s="20">
        <f>+Z89</f>
        <v>3900</v>
      </c>
      <c r="AA197" s="20">
        <f>+AA89</f>
        <v>4200</v>
      </c>
      <c r="AB197" s="20">
        <f>+AB89</f>
        <v>4100</v>
      </c>
      <c r="AC197" s="20">
        <f>+AC89</f>
        <v>4300</v>
      </c>
      <c r="AD197" s="20">
        <f>+AD89</f>
        <v>4300</v>
      </c>
      <c r="AE197" s="20">
        <f>+AE89</f>
        <v>4000</v>
      </c>
      <c r="AF197" s="20">
        <f>+AF89</f>
        <v>3900</v>
      </c>
      <c r="AG197" s="20">
        <f>+AG89</f>
        <v>3900</v>
      </c>
      <c r="AH197" s="20">
        <f>+AH89</f>
        <v>4400</v>
      </c>
      <c r="AI197" s="20">
        <f>+AI89</f>
        <v>4000</v>
      </c>
      <c r="AJ197" s="20">
        <f>+AJ89</f>
        <v>4200</v>
      </c>
      <c r="AK197" s="20">
        <f>+AK89</f>
        <v>4400</v>
      </c>
      <c r="AL197" s="20">
        <f>+AL89</f>
        <v>4000</v>
      </c>
      <c r="AM197" s="20">
        <f>+AM89</f>
        <v>4300</v>
      </c>
      <c r="AN197" s="20">
        <f>+AN89</f>
        <v>4300</v>
      </c>
      <c r="AO197" s="20">
        <f>+AO89</f>
        <v>4500</v>
      </c>
      <c r="AP197" s="20">
        <f>+AP89</f>
        <v>6537.08</v>
      </c>
      <c r="AQ197" s="20">
        <f>+AQ89</f>
        <v>6086.88</v>
      </c>
      <c r="AR197" s="20">
        <f>+AR89</f>
        <v>6583.16</v>
      </c>
      <c r="AS197" s="20">
        <f>+AVERAGE(AG197:AR197)</f>
        <v>4767.26</v>
      </c>
      <c r="AT197" s="20">
        <f>+AS197*(1+$D$121)</f>
        <v>4783.94541</v>
      </c>
      <c r="AU197" s="20">
        <f>+AT197*(1+$D$121)</f>
        <v>4800.689218935</v>
      </c>
      <c r="AV197" s="20">
        <f>+AU197*(1+$D$121)</f>
        <v>4817.49163120127</v>
      </c>
      <c r="AW197" s="20">
        <f>+AV197*(1+$D$121)</f>
        <v>4834.35285191048</v>
      </c>
      <c r="AX197" s="20">
        <f>+AW197*(1+$D$121)</f>
        <v>4851.27308689216</v>
      </c>
      <c r="AY197" s="20">
        <f>+AX197*(1+$D$121)</f>
        <v>4868.25254269629</v>
      </c>
      <c r="AZ197" s="20">
        <f>+AY197*(1+$D$121)</f>
        <v>4885.29142659573</v>
      </c>
      <c r="BA197" s="20">
        <f>+AZ197*(1+$D$121)</f>
        <v>4902.38994658881</v>
      </c>
      <c r="BB197" s="20">
        <f>+BA197*(1+$D$121)</f>
        <v>4919.54831140187</v>
      </c>
      <c r="BC197" s="20">
        <f>+BB197*(1+$D$121)</f>
        <v>4936.76673049178</v>
      </c>
      <c r="BD197" s="20">
        <f>+BC197*(1+$D$121)</f>
        <v>4954.0454140485</v>
      </c>
      <c r="BE197" s="20">
        <f>+BD197*(1+$D$121)</f>
        <v>4971.38457299767</v>
      </c>
      <c r="BF197" s="20">
        <f>+BE197*(1+$D$121)</f>
        <v>4988.78441900316</v>
      </c>
      <c r="BG197" s="20">
        <f>+BF197*(1+$D$121)</f>
        <v>5006.24516446967</v>
      </c>
      <c r="BH197" s="20">
        <f>+BG197*(1+$D$121)</f>
        <v>5023.76702254532</v>
      </c>
      <c r="BI197" s="20">
        <f>+BH197*(1+$D$121)</f>
        <v>5041.35020712423</v>
      </c>
      <c r="BJ197" s="20">
        <f>+BI197*(1+$D$121)</f>
        <v>5058.99493284916</v>
      </c>
      <c r="BK197" s="20">
        <f>+BJ197*(1+$D$121)</f>
        <v>5076.70141511413</v>
      </c>
      <c r="BL197" s="20">
        <f>+BK197*(1+$D$121)</f>
        <v>5094.46987006703</v>
      </c>
      <c r="BM197" s="20">
        <f>+BL197*(1+$D$121)</f>
        <v>5112.30051461227</v>
      </c>
      <c r="BN197" s="20">
        <f>+BM197*(1+$D$121)</f>
        <v>5130.19356641341</v>
      </c>
      <c r="BO197" s="20">
        <f>+BN197*(1+$D$121)</f>
        <v>5148.14924389586</v>
      </c>
      <c r="BP197" s="20">
        <f>+BO197*(1+$D$121)</f>
        <v>5166.16776624949</v>
      </c>
      <c r="BQ197" s="20">
        <f>+BP197*(1+$D$121)</f>
        <v>5184.24935343137</v>
      </c>
    </row>
    <row r="198">
      <c r="C198" s="3" t="inlineStr">
        <is>
          <t>Quality Control</t>
        </is>
      </c>
      <c r="D198" s="4" t="inlineStr">
        <is>
          <t>$ / month (TTM avg, inflated)</t>
        </is>
      </c>
      <c r="J198" s="20">
        <f>+J90</f>
        <v>3200</v>
      </c>
      <c r="K198" s="20">
        <f>+K90</f>
        <v>3300</v>
      </c>
      <c r="L198" s="20">
        <f>+L90</f>
        <v>3300</v>
      </c>
      <c r="M198" s="20">
        <f>+M90</f>
        <v>3100</v>
      </c>
      <c r="N198" s="20">
        <f>+N90</f>
        <v>3300</v>
      </c>
      <c r="O198" s="20">
        <f>+O90</f>
        <v>3300</v>
      </c>
      <c r="P198" s="20">
        <f>+P90</f>
        <v>3000</v>
      </c>
      <c r="Q198" s="20">
        <f>+Q90</f>
        <v>3100</v>
      </c>
      <c r="R198" s="20">
        <f>+R90</f>
        <v>3000</v>
      </c>
      <c r="S198" s="20">
        <f>+S90</f>
        <v>3300</v>
      </c>
      <c r="T198" s="20">
        <f>+T90</f>
        <v>3100</v>
      </c>
      <c r="U198" s="20">
        <f>+U90</f>
        <v>3100</v>
      </c>
      <c r="V198" s="20">
        <f>+V90</f>
        <v>3100</v>
      </c>
      <c r="W198" s="20">
        <f>+W90</f>
        <v>3200</v>
      </c>
      <c r="X198" s="20">
        <f>+X90</f>
        <v>3300</v>
      </c>
      <c r="Y198" s="20">
        <f>+Y90</f>
        <v>3300</v>
      </c>
      <c r="Z198" s="20">
        <f>+Z90</f>
        <v>3200</v>
      </c>
      <c r="AA198" s="20">
        <f>+AA90</f>
        <v>3600</v>
      </c>
      <c r="AB198" s="20">
        <f>+AB90</f>
        <v>3600</v>
      </c>
      <c r="AC198" s="20">
        <f>+AC90</f>
        <v>3300</v>
      </c>
      <c r="AD198" s="20">
        <f>+AD90</f>
        <v>3700</v>
      </c>
      <c r="AE198" s="20">
        <f>+AE90</f>
        <v>3600</v>
      </c>
      <c r="AF198" s="20">
        <f>+AF90</f>
        <v>3500</v>
      </c>
      <c r="AG198" s="20">
        <f>+AG90</f>
        <v>3700</v>
      </c>
      <c r="AH198" s="20">
        <f>+AH90</f>
        <v>3500</v>
      </c>
      <c r="AI198" s="20">
        <f>+AI90</f>
        <v>3700</v>
      </c>
      <c r="AJ198" s="20">
        <f>+AJ90</f>
        <v>3400</v>
      </c>
      <c r="AK198" s="20">
        <f>+AK90</f>
        <v>3500</v>
      </c>
      <c r="AL198" s="20">
        <f>+AL90</f>
        <v>3700</v>
      </c>
      <c r="AM198" s="20">
        <f>+AM90</f>
        <v>3600</v>
      </c>
      <c r="AN198" s="20">
        <f>+AN90</f>
        <v>3500</v>
      </c>
      <c r="AO198" s="20">
        <f>+AO90</f>
        <v>3700</v>
      </c>
      <c r="AP198" s="20">
        <f>+AP90</f>
        <v>3882.98</v>
      </c>
      <c r="AQ198" s="20">
        <f>+AQ90</f>
        <v>3777.36</v>
      </c>
      <c r="AR198" s="20">
        <f>+AR90</f>
        <v>4024.81</v>
      </c>
      <c r="AS198" s="20">
        <f>+AVERAGE(AG198:AR198)</f>
        <v>3665.42916666667</v>
      </c>
      <c r="AT198" s="20">
        <f>+AS198*(1+$D$121)</f>
        <v>3678.25816875</v>
      </c>
      <c r="AU198" s="20">
        <f>+AT198*(1+$D$121)</f>
        <v>3691.13207234063</v>
      </c>
      <c r="AV198" s="20">
        <f>+AU198*(1+$D$121)</f>
        <v>3704.05103459382</v>
      </c>
      <c r="AW198" s="20">
        <f>+AV198*(1+$D$121)</f>
        <v>3717.0152132149</v>
      </c>
      <c r="AX198" s="20">
        <f>+AW198*(1+$D$121)</f>
        <v>3730.02476646115</v>
      </c>
      <c r="AY198" s="20">
        <f>+AX198*(1+$D$121)</f>
        <v>3743.07985314376</v>
      </c>
      <c r="AZ198" s="20">
        <f>+AY198*(1+$D$121)</f>
        <v>3756.18063262977</v>
      </c>
      <c r="BA198" s="20">
        <f>+AZ198*(1+$D$121)</f>
        <v>3769.32726484397</v>
      </c>
      <c r="BB198" s="20">
        <f>+BA198*(1+$D$121)</f>
        <v>3782.51991027093</v>
      </c>
      <c r="BC198" s="20">
        <f>+BB198*(1+$D$121)</f>
        <v>3795.75872995687</v>
      </c>
      <c r="BD198" s="20">
        <f>+BC198*(1+$D$121)</f>
        <v>3809.04388551172</v>
      </c>
      <c r="BE198" s="20">
        <f>+BD198*(1+$D$121)</f>
        <v>3822.37553911101</v>
      </c>
      <c r="BF198" s="20">
        <f>+BE198*(1+$D$121)</f>
        <v>3835.7538534979</v>
      </c>
      <c r="BG198" s="20">
        <f>+BF198*(1+$D$121)</f>
        <v>3849.17899198515</v>
      </c>
      <c r="BH198" s="20">
        <f>+BG198*(1+$D$121)</f>
        <v>3862.65111845709</v>
      </c>
      <c r="BI198" s="20">
        <f>+BH198*(1+$D$121)</f>
        <v>3876.17039737169</v>
      </c>
      <c r="BJ198" s="20">
        <f>+BI198*(1+$D$121)</f>
        <v>3889.7369937625</v>
      </c>
      <c r="BK198" s="20">
        <f>+BJ198*(1+$D$121)</f>
        <v>3903.35107324066</v>
      </c>
      <c r="BL198" s="20">
        <f>+BK198*(1+$D$121)</f>
        <v>3917.01280199701</v>
      </c>
      <c r="BM198" s="20">
        <f>+BL198*(1+$D$121)</f>
        <v>3930.722346804</v>
      </c>
      <c r="BN198" s="20">
        <f>+BM198*(1+$D$121)</f>
        <v>3944.47987501781</v>
      </c>
      <c r="BO198" s="20">
        <f>+BN198*(1+$D$121)</f>
        <v>3958.28555458037</v>
      </c>
      <c r="BP198" s="20">
        <f>+BO198*(1+$D$121)</f>
        <v>3972.13955402141</v>
      </c>
      <c r="BQ198" s="20">
        <f>+BP198*(1+$D$121)</f>
        <v>3986.04204246048</v>
      </c>
    </row>
    <row r="199">
      <c r="C199" s="3" t="inlineStr">
        <is>
          <t>Delivery and Transportation</t>
        </is>
      </c>
      <c r="D199" s="4" t="inlineStr">
        <is>
          <t>% of revenue</t>
        </is>
      </c>
      <c r="J199" s="11">
        <f>+IFERROR(J91/J$10,)</f>
        <v>0.00594563986409966</v>
      </c>
      <c r="K199" s="11">
        <f>+IFERROR(K91/K$10,)</f>
        <v>0.00616445512485634</v>
      </c>
      <c r="L199" s="11">
        <f>+IFERROR(L91/L$10,)</f>
        <v>0.00598120193677015</v>
      </c>
      <c r="M199" s="11">
        <f>+IFERROR(M91/M$10,)</f>
        <v>0.00595296184249049</v>
      </c>
      <c r="N199" s="11">
        <f>+IFERROR(N91/N$10,)</f>
        <v>0.00589714682161131</v>
      </c>
      <c r="O199" s="11">
        <f>+IFERROR(O91/O$10,)</f>
        <v>0.00586057988895743</v>
      </c>
      <c r="P199" s="11">
        <f>+IFERROR(P91/P$10,)</f>
        <v>0.00614811364694923</v>
      </c>
      <c r="Q199" s="11">
        <f>+IFERROR(Q91/Q$10,)</f>
        <v>0.00628758884636413</v>
      </c>
      <c r="R199" s="11">
        <f>+IFERROR(R91/R$10,)</f>
        <v>0.00611379548368011</v>
      </c>
      <c r="S199" s="11">
        <f>+IFERROR(S91/S$10,)</f>
        <v>0.00589390962671906</v>
      </c>
      <c r="T199" s="11">
        <f>+IFERROR(T91/T$10,)</f>
        <v>0.00592773805043282</v>
      </c>
      <c r="U199" s="11">
        <f>+IFERROR(U91/U$10,)</f>
        <v>0.00587026709715292</v>
      </c>
      <c r="V199" s="11">
        <f>+IFERROR(V91/V$10,)</f>
        <v>0.00604856130648924</v>
      </c>
      <c r="W199" s="11">
        <f>+IFERROR(W91/W$10,)</f>
        <v>0.00603877529399301</v>
      </c>
      <c r="X199" s="11">
        <f>+IFERROR(X91/X$10,)</f>
        <v>0.00610037896293558</v>
      </c>
      <c r="Y199" s="11">
        <f>+IFERROR(Y91/Y$10,)</f>
        <v>0.00606267611647169</v>
      </c>
      <c r="Z199" s="11">
        <f>+IFERROR(Z91/Z$10,)</f>
        <v>0.00604905535299967</v>
      </c>
      <c r="AA199" s="11">
        <f>+IFERROR(AA91/AA$10,)</f>
        <v>0.00595913734392736</v>
      </c>
      <c r="AB199" s="11">
        <f>+IFERROR(AB91/AB$10,)</f>
        <v>0.0057123934100505</v>
      </c>
      <c r="AC199" s="11">
        <f>+IFERROR(AC91/AC$10,)</f>
        <v>0.00590739292850317</v>
      </c>
      <c r="AD199" s="11">
        <f>+IFERROR(AD91/AD$10,)</f>
        <v>0.00625108525785727</v>
      </c>
      <c r="AE199" s="11">
        <f>+IFERROR(AE91/AE$10,)</f>
        <v>0.00580606243402202</v>
      </c>
      <c r="AF199" s="11">
        <f>+IFERROR(AF91/AF$10,)</f>
        <v>0.00587659157688541</v>
      </c>
      <c r="AG199" s="11">
        <f>+IFERROR(AG91/AG$10,)</f>
        <v>0.00576711050801459</v>
      </c>
      <c r="AH199" s="11">
        <f>+IFERROR(AH91/AH$10,)</f>
        <v>0.00607730329794992</v>
      </c>
      <c r="AI199" s="11">
        <f>+IFERROR(AI91/AI$10,)</f>
        <v>0.00613085544592394</v>
      </c>
      <c r="AJ199" s="11">
        <f>+IFERROR(AJ91/AJ$10,)</f>
        <v>0.00613496932515337</v>
      </c>
      <c r="AK199" s="11">
        <f>+IFERROR(AK91/AK$10,)</f>
        <v>0.00628345357225972</v>
      </c>
      <c r="AL199" s="11">
        <f>+IFERROR(AL91/AL$10,)</f>
        <v>0.00592758731175905</v>
      </c>
      <c r="AM199" s="11">
        <f>+IFERROR(AM91/AM$10,)</f>
        <v>0.00589225589225589</v>
      </c>
      <c r="AN199" s="11">
        <f>+IFERROR(AN91/AN$10,)</f>
        <v>0.00585651537335286</v>
      </c>
      <c r="AO199" s="11">
        <f>+IFERROR(AO91/AO$10,)</f>
        <v>0.00608272506082725</v>
      </c>
      <c r="AP199" s="11">
        <f>+IFERROR(AP91/AP$10,)</f>
        <v>0.00577270135861847</v>
      </c>
      <c r="AQ199" s="11">
        <f>+IFERROR(AQ91/AQ$10,)</f>
        <v>0.00605348032903319</v>
      </c>
      <c r="AR199" s="11">
        <f>+IFERROR(AR91/AR$10,)</f>
        <v>0.00606762548670583</v>
      </c>
      <c r="AS199" s="25" t="n">
        <v>0.0061</v>
      </c>
      <c r="AT199" s="11">
        <f>+AS199</f>
        <v>0.0061</v>
      </c>
      <c r="AU199" s="11">
        <f>+AT199</f>
        <v>0.0061</v>
      </c>
      <c r="AV199" s="11">
        <f>+AU199</f>
        <v>0.0061</v>
      </c>
      <c r="AW199" s="11">
        <f>+AV199</f>
        <v>0.0061</v>
      </c>
      <c r="AX199" s="11">
        <f>+AW199</f>
        <v>0.0061</v>
      </c>
      <c r="AY199" s="11">
        <f>+AX199</f>
        <v>0.0061</v>
      </c>
      <c r="AZ199" s="11">
        <f>+AY199</f>
        <v>0.0061</v>
      </c>
      <c r="BA199" s="11">
        <f>+AZ199</f>
        <v>0.0061</v>
      </c>
      <c r="BB199" s="11">
        <f>+BA199</f>
        <v>0.0061</v>
      </c>
      <c r="BC199" s="11">
        <f>+BB199</f>
        <v>0.0061</v>
      </c>
      <c r="BD199" s="11">
        <f>+BC199</f>
        <v>0.0061</v>
      </c>
      <c r="BE199" s="11">
        <f>+BD199</f>
        <v>0.0061</v>
      </c>
      <c r="BF199" s="11">
        <f>+BE199</f>
        <v>0.0061</v>
      </c>
      <c r="BG199" s="11">
        <f>+BF199</f>
        <v>0.0061</v>
      </c>
      <c r="BH199" s="11">
        <f>+BG199</f>
        <v>0.0061</v>
      </c>
      <c r="BI199" s="11">
        <f>+BH199</f>
        <v>0.0061</v>
      </c>
      <c r="BJ199" s="11">
        <f>+BI199</f>
        <v>0.0061</v>
      </c>
      <c r="BK199" s="11">
        <f>+BJ199</f>
        <v>0.0061</v>
      </c>
      <c r="BL199" s="11">
        <f>+BK199</f>
        <v>0.0061</v>
      </c>
      <c r="BM199" s="11">
        <f>+BL199</f>
        <v>0.0061</v>
      </c>
      <c r="BN199" s="11">
        <f>+BM199</f>
        <v>0.0061</v>
      </c>
      <c r="BO199" s="11">
        <f>+BN199</f>
        <v>0.0061</v>
      </c>
      <c r="BP199" s="11">
        <f>+BO199</f>
        <v>0.0061</v>
      </c>
      <c r="BQ199" s="11">
        <f>+BP199</f>
        <v>0.0061</v>
      </c>
    </row>
    <row r="200">
      <c r="C200" s="3" t="inlineStr">
        <is>
          <t>Recruitment Costs</t>
        </is>
      </c>
      <c r="D200" s="4" t="inlineStr">
        <is>
          <t>$ / month (TTM avg, inflated)</t>
        </is>
      </c>
      <c r="J200" s="20">
        <f>+J92</f>
        <v>2100</v>
      </c>
      <c r="K200" s="20">
        <f>+K92</f>
        <v>2000</v>
      </c>
      <c r="L200" s="20">
        <f>+L92</f>
        <v>2000</v>
      </c>
      <c r="M200" s="20">
        <f>+M92</f>
        <v>2000</v>
      </c>
      <c r="N200" s="20">
        <f>+N92</f>
        <v>2200</v>
      </c>
      <c r="O200" s="20">
        <f>+O92</f>
        <v>2100</v>
      </c>
      <c r="P200" s="20">
        <f>+P92</f>
        <v>2100</v>
      </c>
      <c r="Q200" s="20">
        <f>+Q92</f>
        <v>2200</v>
      </c>
      <c r="R200" s="20">
        <f>+R92</f>
        <v>2200</v>
      </c>
      <c r="S200" s="20">
        <f>+S92</f>
        <v>2100</v>
      </c>
      <c r="T200" s="20">
        <f>+T92</f>
        <v>2300</v>
      </c>
      <c r="U200" s="20">
        <f>+U92</f>
        <v>2100</v>
      </c>
      <c r="V200" s="20">
        <f>+V92</f>
        <v>2200</v>
      </c>
      <c r="W200" s="20">
        <f>+W92</f>
        <v>2300</v>
      </c>
      <c r="X200" s="20">
        <f>+X92</f>
        <v>2100</v>
      </c>
      <c r="Y200" s="20">
        <f>+Y92</f>
        <v>2100</v>
      </c>
      <c r="Z200" s="20">
        <f>+Z92</f>
        <v>2300</v>
      </c>
      <c r="AA200" s="20">
        <f>+AA92</f>
        <v>2200</v>
      </c>
      <c r="AB200" s="20">
        <f>+AB92</f>
        <v>2200</v>
      </c>
      <c r="AC200" s="20">
        <f>+AC92</f>
        <v>2300</v>
      </c>
      <c r="AD200" s="20">
        <f>+AD92</f>
        <v>2400</v>
      </c>
      <c r="AE200" s="20">
        <f>+AE92</f>
        <v>2200</v>
      </c>
      <c r="AF200" s="20">
        <f>+AF92</f>
        <v>2300</v>
      </c>
      <c r="AG200" s="20">
        <f>+AG92</f>
        <v>2500</v>
      </c>
      <c r="AH200" s="20">
        <f>+AH92</f>
        <v>2300</v>
      </c>
      <c r="AI200" s="20">
        <f>+AI92</f>
        <v>2400</v>
      </c>
      <c r="AJ200" s="20">
        <f>+AJ92</f>
        <v>2500</v>
      </c>
      <c r="AK200" s="20">
        <f>+AK92</f>
        <v>2400</v>
      </c>
      <c r="AL200" s="20">
        <f>+AL92</f>
        <v>2300</v>
      </c>
      <c r="AM200" s="20">
        <f>+AM92</f>
        <v>2300</v>
      </c>
      <c r="AN200" s="20">
        <f>+AN92</f>
        <v>2400</v>
      </c>
      <c r="AO200" s="20">
        <f>+AO92</f>
        <v>2600</v>
      </c>
      <c r="AP200" s="20">
        <f>+AP92</f>
        <v>2625.69</v>
      </c>
      <c r="AQ200" s="20">
        <f>+AQ92</f>
        <v>2407.03</v>
      </c>
      <c r="AR200" s="20">
        <f>+AR92</f>
        <v>2431.66</v>
      </c>
      <c r="AS200" s="20">
        <f>+AVERAGE(AG200:AR200)</f>
        <v>2430.365</v>
      </c>
      <c r="AT200" s="20">
        <f>+AS200*(1+$D$121)</f>
        <v>2438.8712775</v>
      </c>
      <c r="AU200" s="20">
        <f>+AT200*(1+$D$121)</f>
        <v>2447.40732697125</v>
      </c>
      <c r="AV200" s="20">
        <f>+AU200*(1+$D$121)</f>
        <v>2455.97325261565</v>
      </c>
      <c r="AW200" s="20">
        <f>+AV200*(1+$D$121)</f>
        <v>2464.56915899981</v>
      </c>
      <c r="AX200" s="20">
        <f>+AW200*(1+$D$121)</f>
        <v>2473.1951510563</v>
      </c>
      <c r="AY200" s="20">
        <f>+AX200*(1+$D$121)</f>
        <v>2481.851334085</v>
      </c>
      <c r="AZ200" s="20">
        <f>+AY200*(1+$D$121)</f>
        <v>2490.5378137543</v>
      </c>
      <c r="BA200" s="20">
        <f>+AZ200*(1+$D$121)</f>
        <v>2499.25469610244</v>
      </c>
      <c r="BB200" s="20">
        <f>+BA200*(1+$D$121)</f>
        <v>2508.0020875388</v>
      </c>
      <c r="BC200" s="20">
        <f>+BB200*(1+$D$121)</f>
        <v>2516.78009484518</v>
      </c>
      <c r="BD200" s="20">
        <f>+BC200*(1+$D$121)</f>
        <v>2525.58882517714</v>
      </c>
      <c r="BE200" s="20">
        <f>+BD200*(1+$D$121)</f>
        <v>2534.42838606526</v>
      </c>
      <c r="BF200" s="20">
        <f>+BE200*(1+$D$121)</f>
        <v>2543.29888541649</v>
      </c>
      <c r="BG200" s="20">
        <f>+BF200*(1+$D$121)</f>
        <v>2552.20043151545</v>
      </c>
      <c r="BH200" s="20">
        <f>+BG200*(1+$D$121)</f>
        <v>2561.13313302575</v>
      </c>
      <c r="BI200" s="20">
        <f>+BH200*(1+$D$121)</f>
        <v>2570.09709899134</v>
      </c>
      <c r="BJ200" s="20">
        <f>+BI200*(1+$D$121)</f>
        <v>2579.09243883781</v>
      </c>
      <c r="BK200" s="20">
        <f>+BJ200*(1+$D$121)</f>
        <v>2588.11926237375</v>
      </c>
      <c r="BL200" s="20">
        <f>+BK200*(1+$D$121)</f>
        <v>2597.17767979205</v>
      </c>
      <c r="BM200" s="20">
        <f>+BL200*(1+$D$121)</f>
        <v>2606.26780167133</v>
      </c>
      <c r="BN200" s="20">
        <f>+BM200*(1+$D$121)</f>
        <v>2615.38973897718</v>
      </c>
      <c r="BO200" s="20">
        <f>+BN200*(1+$D$121)</f>
        <v>2624.5436030636</v>
      </c>
      <c r="BP200" s="20">
        <f>+BO200*(1+$D$121)</f>
        <v>2633.72950567432</v>
      </c>
      <c r="BQ200" s="20">
        <f>+BP200*(1+$D$121)</f>
        <v>2642.94755894418</v>
      </c>
    </row>
    <row r="201">
      <c r="C201" s="4" t="inlineStr">
        <is>
          <t>Total General &amp; Administrative</t>
        </is>
      </c>
    </row>
    <row r="203">
      <c r="C203" s="4" t="inlineStr">
        <is>
          <t>Total Operating Expenses</t>
        </is>
      </c>
    </row>
    <row r="204">
      <c r="C204" s="4" t="inlineStr">
        <is>
          <t>% of Revenue</t>
        </is>
      </c>
    </row>
    <row r="206">
      <c r="C206" s="4" t="inlineStr">
        <is>
          <t>Operating Margin</t>
        </is>
      </c>
    </row>
    <row r="207">
      <c r="C207" s="4" t="inlineStr">
        <is>
          <t>YoY % Growth</t>
        </is>
      </c>
    </row>
    <row r="208">
      <c r="C208" s="4" t="inlineStr">
        <is>
          <t>% Margin</t>
        </is>
      </c>
    </row>
    <row r="210">
      <c r="C210" s="3" t="inlineStr">
        <is>
          <t>Non-Operating Expense / (Income)</t>
        </is>
      </c>
      <c r="D210" s="4" t="inlineStr">
        <is>
          <t>$ / month (TTM avg, inflated)</t>
        </is>
      </c>
      <c r="J210" s="20">
        <f>+J102</f>
        <v>2100</v>
      </c>
      <c r="K210" s="20">
        <f>+K102</f>
        <v>2300</v>
      </c>
      <c r="L210" s="20">
        <f>+L102</f>
        <v>3000</v>
      </c>
      <c r="M210" s="20">
        <f>+M102</f>
        <v>2500</v>
      </c>
      <c r="N210" s="20">
        <f>+N102</f>
        <v>1800</v>
      </c>
      <c r="O210" s="20">
        <f>+O102</f>
        <v>2400</v>
      </c>
      <c r="P210" s="20">
        <f>+P102</f>
        <v>2700</v>
      </c>
      <c r="Q210" s="20">
        <f>+Q102</f>
        <v>2600</v>
      </c>
      <c r="R210" s="20">
        <f>+R102</f>
        <v>1900</v>
      </c>
      <c r="S210" s="20">
        <f>+S102</f>
        <v>2900</v>
      </c>
      <c r="T210" s="20">
        <f>+T102</f>
        <v>2600</v>
      </c>
      <c r="U210" s="20">
        <f>+U102</f>
        <v>2600</v>
      </c>
      <c r="V210" s="20">
        <f>+V102</f>
        <v>2300</v>
      </c>
      <c r="W210" s="20">
        <f>+W102</f>
        <v>2300</v>
      </c>
      <c r="X210" s="20">
        <f>+X102</f>
        <v>2200</v>
      </c>
      <c r="Y210" s="20">
        <f>+Y102</f>
        <v>2000</v>
      </c>
      <c r="Z210" s="20">
        <f>+Z102</f>
        <v>2500</v>
      </c>
      <c r="AA210" s="20">
        <f>+AA102</f>
        <v>2400</v>
      </c>
      <c r="AB210" s="20">
        <f>+AB102</f>
        <v>2600</v>
      </c>
      <c r="AC210" s="20">
        <f>+AC102</f>
        <v>2400</v>
      </c>
      <c r="AD210" s="20">
        <f>+AD102</f>
        <v>2700</v>
      </c>
      <c r="AE210" s="20">
        <f>+AE102</f>
        <v>2300</v>
      </c>
      <c r="AF210" s="20">
        <f>+AF102</f>
        <v>2600</v>
      </c>
      <c r="AG210" s="20">
        <f>+AG102</f>
        <v>3000</v>
      </c>
      <c r="AH210" s="20">
        <f>+AH102</f>
        <v>2100</v>
      </c>
      <c r="AI210" s="20">
        <f>+AI102</f>
        <v>2100</v>
      </c>
      <c r="AJ210" s="20">
        <f>+AJ102</f>
        <v>2000</v>
      </c>
      <c r="AK210" s="20">
        <f>+AK102</f>
        <v>3000</v>
      </c>
      <c r="AL210" s="20">
        <f>+AL102</f>
        <v>2700</v>
      </c>
      <c r="AM210" s="20">
        <f>+AM102</f>
        <v>2200</v>
      </c>
      <c r="AN210" s="20">
        <f>+AN102</f>
        <v>3000</v>
      </c>
      <c r="AO210" s="20">
        <f>+AO102</f>
        <v>2800</v>
      </c>
      <c r="AP210" s="20">
        <f>+AP102</f>
        <v>0</v>
      </c>
      <c r="AQ210" s="20">
        <f>+AQ102</f>
        <v>0</v>
      </c>
      <c r="AR210" s="20">
        <f>+AR102</f>
        <v>0</v>
      </c>
      <c r="AS210" s="20">
        <f>+AVERAGE(AG210:AR210)</f>
        <v>1908.33333333333</v>
      </c>
      <c r="AT210" s="20">
        <f>+AS210*(1+$D$121)</f>
        <v>1915.0125</v>
      </c>
      <c r="AU210" s="20">
        <f>+AT210*(1+$D$121)</f>
        <v>1921.71504375</v>
      </c>
      <c r="AV210" s="20">
        <f>+AU210*(1+$D$121)</f>
        <v>1928.44104640313</v>
      </c>
      <c r="AW210" s="20">
        <f>+AV210*(1+$D$121)</f>
        <v>1935.19059006554</v>
      </c>
      <c r="AX210" s="20">
        <f>+AW210*(1+$D$121)</f>
        <v>1941.96375713077</v>
      </c>
      <c r="AY210" s="20">
        <f>+AX210*(1+$D$121)</f>
        <v>1948.76063028072</v>
      </c>
      <c r="AZ210" s="20">
        <f>+AY210*(1+$D$121)</f>
        <v>1955.58129248671</v>
      </c>
      <c r="BA210" s="20">
        <f>+AZ210*(1+$D$121)</f>
        <v>1962.42582701041</v>
      </c>
      <c r="BB210" s="20">
        <f>+BA210*(1+$D$121)</f>
        <v>1969.29431740495</v>
      </c>
      <c r="BC210" s="20">
        <f>+BB210*(1+$D$121)</f>
        <v>1976.18684751586</v>
      </c>
      <c r="BD210" s="20">
        <f>+BC210*(1+$D$121)</f>
        <v>1983.10350148217</v>
      </c>
      <c r="BE210" s="20">
        <f>+BD210*(1+$D$121)</f>
        <v>1990.04436373736</v>
      </c>
      <c r="BF210" s="20">
        <f>+BE210*(1+$D$121)</f>
        <v>1997.00951901044</v>
      </c>
      <c r="BG210" s="20">
        <f>+BF210*(1+$D$121)</f>
        <v>2003.99905232697</v>
      </c>
      <c r="BH210" s="20">
        <f>+BG210*(1+$D$121)</f>
        <v>2011.01304901012</v>
      </c>
      <c r="BI210" s="20">
        <f>+BH210*(1+$D$121)</f>
        <v>2018.05159468165</v>
      </c>
      <c r="BJ210" s="20">
        <f>+BI210*(1+$D$121)</f>
        <v>2025.11477526304</v>
      </c>
      <c r="BK210" s="20">
        <f>+BJ210*(1+$D$121)</f>
        <v>2032.20267697646</v>
      </c>
      <c r="BL210" s="20">
        <f>+BK210*(1+$D$121)</f>
        <v>2039.31538634588</v>
      </c>
      <c r="BM210" s="20">
        <f>+BL210*(1+$D$121)</f>
        <v>2046.45299019809</v>
      </c>
      <c r="BN210" s="20">
        <f>+BM210*(1+$D$121)</f>
        <v>2053.61557566378</v>
      </c>
      <c r="BO210" s="20">
        <f>+BN210*(1+$D$121)</f>
        <v>2060.80323017861</v>
      </c>
      <c r="BP210" s="20">
        <f>+BO210*(1+$D$121)</f>
        <v>2068.01604148423</v>
      </c>
      <c r="BQ210" s="20">
        <f>+BP210*(1+$D$121)</f>
        <v>2075.25409762943</v>
      </c>
    </row>
    <row r="211">
      <c r="C211" s="3" t="inlineStr">
        <is>
          <t>Non-Operating Income / (Expense)</t>
        </is>
      </c>
      <c r="D211" s="4" t="inlineStr">
        <is>
          <t>$ / month (TTM avg, inflated)</t>
        </is>
      </c>
      <c r="J211" s="20">
        <f>+J103</f>
        <v>900</v>
      </c>
      <c r="K211" s="20">
        <f>+K103</f>
        <v>800</v>
      </c>
      <c r="L211" s="20">
        <f>+L103</f>
        <v>1000</v>
      </c>
      <c r="M211" s="20">
        <f>+M103</f>
        <v>700</v>
      </c>
      <c r="N211" s="20">
        <f>+N103</f>
        <v>900</v>
      </c>
      <c r="O211" s="20">
        <f>+O103</f>
        <v>1000</v>
      </c>
      <c r="P211" s="20">
        <f>+P103</f>
        <v>700</v>
      </c>
      <c r="Q211" s="20">
        <f>+Q103</f>
        <v>1100</v>
      </c>
      <c r="R211" s="20">
        <f>+R103</f>
        <v>1000</v>
      </c>
      <c r="S211" s="20">
        <f>+S103</f>
        <v>1000</v>
      </c>
      <c r="T211" s="20">
        <f>+T103</f>
        <v>1200</v>
      </c>
      <c r="U211" s="20">
        <f>+U103</f>
        <v>1000</v>
      </c>
      <c r="V211" s="20">
        <f>+V103</f>
        <v>1100</v>
      </c>
      <c r="W211" s="20">
        <f>+W103</f>
        <v>1000</v>
      </c>
      <c r="X211" s="20">
        <f>+X103</f>
        <v>900</v>
      </c>
      <c r="Y211" s="20">
        <f>+Y103</f>
        <v>1100</v>
      </c>
      <c r="Z211" s="20">
        <f>+Z103</f>
        <v>900</v>
      </c>
      <c r="AA211" s="20">
        <f>+AA103</f>
        <v>1000</v>
      </c>
      <c r="AB211" s="20">
        <f>+AB103</f>
        <v>1000</v>
      </c>
      <c r="AC211" s="20">
        <f>+AC103</f>
        <v>1000</v>
      </c>
      <c r="AD211" s="20">
        <f>+AD103</f>
        <v>900</v>
      </c>
      <c r="AE211" s="20">
        <f>+AE103</f>
        <v>800</v>
      </c>
      <c r="AF211" s="20">
        <f>+AF103</f>
        <v>1100</v>
      </c>
      <c r="AG211" s="20">
        <f>+AG103</f>
        <v>1000</v>
      </c>
      <c r="AH211" s="20">
        <f>+AH103</f>
        <v>700</v>
      </c>
      <c r="AI211" s="20">
        <f>+AI103</f>
        <v>1100</v>
      </c>
      <c r="AJ211" s="20">
        <f>+AJ103</f>
        <v>1100</v>
      </c>
      <c r="AK211" s="20">
        <f>+AK103</f>
        <v>700</v>
      </c>
      <c r="AL211" s="20">
        <f>+AL103</f>
        <v>700</v>
      </c>
      <c r="AM211" s="20">
        <f>+AM103</f>
        <v>900</v>
      </c>
      <c r="AN211" s="20">
        <f>+AN103</f>
        <v>1000</v>
      </c>
      <c r="AO211" s="20">
        <f>+AO103</f>
        <v>700</v>
      </c>
      <c r="AP211" s="20">
        <f>+AP103</f>
        <v>0</v>
      </c>
      <c r="AQ211" s="20">
        <f>+AQ103</f>
        <v>0</v>
      </c>
      <c r="AR211" s="20">
        <f>+AR103</f>
        <v>0</v>
      </c>
      <c r="AS211" s="20">
        <f>+AVERAGE(AG211:AR211)</f>
        <v>658.333333333333</v>
      </c>
      <c r="AT211" s="20">
        <f>+AS211*(1+$D$121)</f>
        <v>660.6375</v>
      </c>
      <c r="AU211" s="20">
        <f>+AT211*(1+$D$121)</f>
        <v>662.94973125</v>
      </c>
      <c r="AV211" s="20">
        <f>+AU211*(1+$D$121)</f>
        <v>665.270055309375</v>
      </c>
      <c r="AW211" s="20">
        <f>+AV211*(1+$D$121)</f>
        <v>667.598500502958</v>
      </c>
      <c r="AX211" s="20">
        <f>+AW211*(1+$D$121)</f>
        <v>669.935095254718</v>
      </c>
      <c r="AY211" s="20">
        <f>+AX211*(1+$D$121)</f>
        <v>672.27986808811</v>
      </c>
      <c r="AZ211" s="20">
        <f>+AY211*(1+$D$121)</f>
        <v>674.632847626418</v>
      </c>
      <c r="BA211" s="20">
        <f>+AZ211*(1+$D$121)</f>
        <v>676.994062593111</v>
      </c>
      <c r="BB211" s="20">
        <f>+BA211*(1+$D$121)</f>
        <v>679.363541812187</v>
      </c>
      <c r="BC211" s="20">
        <f>+BB211*(1+$D$121)</f>
        <v>681.74131420853</v>
      </c>
      <c r="BD211" s="20">
        <f>+BC211*(1+$D$121)</f>
        <v>684.127408808259</v>
      </c>
      <c r="BE211" s="20">
        <f>+BD211*(1+$D$121)</f>
        <v>686.521854739088</v>
      </c>
      <c r="BF211" s="20">
        <f>+BE211*(1+$D$121)</f>
        <v>688.924681230675</v>
      </c>
      <c r="BG211" s="20">
        <f>+BF211*(1+$D$121)</f>
        <v>691.335917614983</v>
      </c>
      <c r="BH211" s="20">
        <f>+BG211*(1+$D$121)</f>
        <v>693.755593326635</v>
      </c>
      <c r="BI211" s="20">
        <f>+BH211*(1+$D$121)</f>
        <v>696.183737903278</v>
      </c>
      <c r="BJ211" s="20">
        <f>+BI211*(1+$D$121)</f>
        <v>698.62038098594</v>
      </c>
      <c r="BK211" s="20">
        <f>+BJ211*(1+$D$121)</f>
        <v>701.065552319391</v>
      </c>
      <c r="BL211" s="20">
        <f>+BK211*(1+$D$121)</f>
        <v>703.519281752509</v>
      </c>
      <c r="BM211" s="20">
        <f>+BL211*(1+$D$121)</f>
        <v>705.981599238642</v>
      </c>
      <c r="BN211" s="20">
        <f>+BM211*(1+$D$121)</f>
        <v>708.452534835978</v>
      </c>
      <c r="BO211" s="20">
        <f>+BN211*(1+$D$121)</f>
        <v>710.932118707904</v>
      </c>
      <c r="BP211" s="20">
        <f>+BO211*(1+$D$121)</f>
        <v>713.420381123381</v>
      </c>
      <c r="BQ211" s="20">
        <f>+BP211*(1+$D$121)</f>
        <v>715.917352457313</v>
      </c>
    </row>
  </sheetData>
  <conditionalFormatting sqref="AS8:BQ11">
    <cfRule type="expression" priority="1" dxfId="0">
      <formula>AS$8&gt;=DATE(2026,12,1)</formula>
    </cfRule>
  </conditionalFormatting>
  <conditionalFormatting sqref="AS13:BQ19">
    <cfRule type="expression" priority="2" dxfId="0">
      <formula>AS$8&gt;=DATE(2026,12,1)</formula>
    </cfRule>
  </conditionalFormatting>
  <conditionalFormatting sqref="AS21:BQ27">
    <cfRule type="expression" priority="3" dxfId="0">
      <formula>AS$8&gt;=DATE(2026,12,1)</formula>
    </cfRule>
  </conditionalFormatting>
  <conditionalFormatting sqref="AS29:BQ38">
    <cfRule type="expression" priority="4" dxfId="0">
      <formula>AS$8&gt;=DATE(2026,12,1)</formula>
    </cfRule>
  </conditionalFormatting>
  <conditionalFormatting sqref="AS40:BQ45">
    <cfRule type="expression" priority="5" dxfId="0">
      <formula>AS$8&gt;=DATE(2026,12,1)</formula>
    </cfRule>
  </conditionalFormatting>
  <conditionalFormatting sqref="AS47:BQ53">
    <cfRule type="expression" priority="6" dxfId="0">
      <formula>AS$8&gt;=DATE(2026,12,1)</formula>
    </cfRule>
  </conditionalFormatting>
  <conditionalFormatting sqref="AS55:BQ59">
    <cfRule type="expression" priority="7" dxfId="0">
      <formula>AS$8&gt;=DATE(2026,12,1)</formula>
    </cfRule>
  </conditionalFormatting>
  <conditionalFormatting sqref="AS61:BQ66">
    <cfRule type="expression" priority="8" dxfId="0">
      <formula>AS$8&gt;=DATE(2026,12,1)</formula>
    </cfRule>
  </conditionalFormatting>
  <conditionalFormatting sqref="AS68:BQ93">
    <cfRule type="expression" priority="9" dxfId="0">
      <formula>AS$8&gt;=DATE(2026,12,1)</formula>
    </cfRule>
  </conditionalFormatting>
  <conditionalFormatting sqref="AS95:BQ100">
    <cfRule type="expression" priority="10" dxfId="0">
      <formula>AS$8&gt;=DATE(2026,12,1)</formula>
    </cfRule>
  </conditionalFormatting>
  <conditionalFormatting sqref="AS102:BQ107">
    <cfRule type="expression" priority="11" dxfId="0">
      <formula>AS$8&gt;=DATE(2026,12,1)</formula>
    </cfRule>
  </conditionalFormatting>
  <conditionalFormatting sqref="AS109:BQ117">
    <cfRule type="expression" priority="12" dxfId="0">
      <formula>AS$8&gt;=DATE(2026,12,1)</formula>
    </cfRule>
  </conditionalFormatting>
  <conditionalFormatting sqref="AS122:BQ135">
    <cfRule type="expression" priority="13" dxfId="0">
      <formula>AS$8&gt;=DATE(2026,12,1)</formula>
    </cfRule>
  </conditionalFormatting>
  <conditionalFormatting sqref="AS137:BQ146">
    <cfRule type="expression" priority="14" dxfId="0">
      <formula>AS$8&gt;=DATE(2026,12,1)</formula>
    </cfRule>
  </conditionalFormatting>
  <conditionalFormatting sqref="AS148:BQ161">
    <cfRule type="expression" priority="15" dxfId="0">
      <formula>AS$8&gt;=DATE(2026,12,1)</formula>
    </cfRule>
  </conditionalFormatting>
  <conditionalFormatting sqref="AS163:BQ174">
    <cfRule type="expression" priority="16" dxfId="0">
      <formula>AS$8&gt;=DATE(2026,12,1)</formula>
    </cfRule>
  </conditionalFormatting>
  <conditionalFormatting sqref="AS176:BQ201">
    <cfRule type="expression" priority="17" dxfId="0">
      <formula>AS$8&gt;=DATE(2026,12,1)</formula>
    </cfRule>
  </conditionalFormatting>
  <conditionalFormatting sqref="AS203:BQ211">
    <cfRule type="expression" priority="18" dxfId="0">
      <formula>AS$8&gt;=DATE(2026,12,1)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Q63"/>
  <sheetViews>
    <sheetView showGridLines="0" zoomScale="85" workbookViewId="0">
      <pane xSplit="9" ySplit="9" topLeftCell="J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</cols>
  <sheetData>
    <row r="2">
      <c r="A2" s="2" t="inlineStr">
        <is>
          <t>Orivane Clinical Laboratories, LLC</t>
        </is>
      </c>
    </row>
    <row r="3">
      <c r="A3" s="3" t="inlineStr">
        <is>
          <t>Separate Line Item Builds</t>
        </is>
      </c>
    </row>
    <row r="5">
      <c r="A5" s="4" t="inlineStr">
        <is>
          <t>Projections from Dec-26</t>
        </is>
      </c>
    </row>
    <row r="7">
      <c r="J7" s="17">
        <f>+YEAR(J8)</f>
        <v>2024</v>
      </c>
      <c r="K7" s="17">
        <f>+YEAR(K8)</f>
        <v>2024</v>
      </c>
      <c r="L7" s="17">
        <f>+YEAR(L8)</f>
        <v>2024</v>
      </c>
      <c r="M7" s="17">
        <f>+YEAR(M8)</f>
        <v>2024</v>
      </c>
      <c r="N7" s="17">
        <f>+YEAR(N8)</f>
        <v>2024</v>
      </c>
      <c r="O7" s="17">
        <f>+YEAR(O8)</f>
        <v>2024</v>
      </c>
      <c r="P7" s="17">
        <f>+YEAR(P8)</f>
        <v>2024</v>
      </c>
      <c r="Q7" s="17">
        <f>+YEAR(Q8)</f>
        <v>2024</v>
      </c>
      <c r="R7" s="17">
        <f>+YEAR(R8)</f>
        <v>2024</v>
      </c>
      <c r="S7" s="17">
        <f>+YEAR(S8)</f>
        <v>2024</v>
      </c>
      <c r="T7" s="17">
        <f>+YEAR(T8)</f>
        <v>2024</v>
      </c>
      <c r="U7" s="17">
        <f>+YEAR(U8)</f>
        <v>2024</v>
      </c>
      <c r="V7" s="17">
        <f>+YEAR(V8)</f>
        <v>2025</v>
      </c>
      <c r="W7" s="17">
        <f>+YEAR(W8)</f>
        <v>2025</v>
      </c>
      <c r="X7" s="17">
        <f>+YEAR(X8)</f>
        <v>2025</v>
      </c>
      <c r="Y7" s="17">
        <f>+YEAR(Y8)</f>
        <v>2025</v>
      </c>
      <c r="Z7" s="17">
        <f>+YEAR(Z8)</f>
        <v>2025</v>
      </c>
      <c r="AA7" s="17">
        <f>+YEAR(AA8)</f>
        <v>2025</v>
      </c>
      <c r="AB7" s="17">
        <f>+YEAR(AB8)</f>
        <v>2025</v>
      </c>
      <c r="AC7" s="17">
        <f>+YEAR(AC8)</f>
        <v>2025</v>
      </c>
      <c r="AD7" s="17">
        <f>+YEAR(AD8)</f>
        <v>2025</v>
      </c>
      <c r="AE7" s="17">
        <f>+YEAR(AE8)</f>
        <v>2025</v>
      </c>
      <c r="AF7" s="17">
        <f>+YEAR(AF8)</f>
        <v>2025</v>
      </c>
      <c r="AG7" s="17">
        <f>+YEAR(AG8)</f>
        <v>2025</v>
      </c>
      <c r="AH7" s="17">
        <f>+YEAR(AH8)</f>
        <v>2026</v>
      </c>
      <c r="AI7" s="17">
        <f>+YEAR(AI8)</f>
        <v>2026</v>
      </c>
      <c r="AJ7" s="17">
        <f>+YEAR(AJ8)</f>
        <v>2026</v>
      </c>
      <c r="AK7" s="17">
        <f>+YEAR(AK8)</f>
        <v>2026</v>
      </c>
      <c r="AL7" s="17">
        <f>+YEAR(AL8)</f>
        <v>2026</v>
      </c>
      <c r="AM7" s="17">
        <f>+YEAR(AM8)</f>
        <v>2026</v>
      </c>
      <c r="AN7" s="17">
        <f>+YEAR(AN8)</f>
        <v>2026</v>
      </c>
      <c r="AO7" s="17">
        <f>+YEAR(AO8)</f>
        <v>2026</v>
      </c>
      <c r="AP7" s="17">
        <f>+YEAR(AP8)</f>
        <v>2026</v>
      </c>
      <c r="AQ7" s="17">
        <f>+YEAR(AQ8)</f>
        <v>2026</v>
      </c>
      <c r="AR7" s="17">
        <f>+YEAR(AR8)</f>
        <v>2026</v>
      </c>
      <c r="AS7" s="17">
        <f>+YEAR(AS8)</f>
        <v>2026</v>
      </c>
      <c r="AT7" s="17">
        <f>+YEAR(AT8)</f>
        <v>2027</v>
      </c>
      <c r="AU7" s="17">
        <f>+YEAR(AU8)</f>
        <v>2027</v>
      </c>
      <c r="AV7" s="17">
        <f>+YEAR(AV8)</f>
        <v>2027</v>
      </c>
      <c r="AW7" s="17">
        <f>+YEAR(AW8)</f>
        <v>2027</v>
      </c>
      <c r="AX7" s="17">
        <f>+YEAR(AX8)</f>
        <v>2027</v>
      </c>
      <c r="AY7" s="17">
        <f>+YEAR(AY8)</f>
        <v>2027</v>
      </c>
      <c r="AZ7" s="17">
        <f>+YEAR(AZ8)</f>
        <v>2027</v>
      </c>
      <c r="BA7" s="17">
        <f>+YEAR(BA8)</f>
        <v>2027</v>
      </c>
      <c r="BB7" s="17">
        <f>+YEAR(BB8)</f>
        <v>2027</v>
      </c>
      <c r="BC7" s="17">
        <f>+YEAR(BC8)</f>
        <v>2027</v>
      </c>
      <c r="BD7" s="17">
        <f>+YEAR(BD8)</f>
        <v>2027</v>
      </c>
      <c r="BE7" s="17">
        <f>+YEAR(BE8)</f>
        <v>2027</v>
      </c>
      <c r="BF7" s="17">
        <f>+YEAR(BF8)</f>
        <v>2028</v>
      </c>
      <c r="BG7" s="17">
        <f>+YEAR(BG8)</f>
        <v>2028</v>
      </c>
      <c r="BH7" s="17">
        <f>+YEAR(BH8)</f>
        <v>2028</v>
      </c>
      <c r="BI7" s="17">
        <f>+YEAR(BI8)</f>
        <v>2028</v>
      </c>
      <c r="BJ7" s="17">
        <f>+YEAR(BJ8)</f>
        <v>2028</v>
      </c>
      <c r="BK7" s="17">
        <f>+YEAR(BK8)</f>
        <v>2028</v>
      </c>
      <c r="BL7" s="17">
        <f>+YEAR(BL8)</f>
        <v>2028</v>
      </c>
      <c r="BM7" s="17">
        <f>+YEAR(BM8)</f>
        <v>2028</v>
      </c>
      <c r="BN7" s="17">
        <f>+YEAR(BN8)</f>
        <v>2028</v>
      </c>
      <c r="BO7" s="17">
        <f>+YEAR(BO8)</f>
        <v>2028</v>
      </c>
      <c r="BP7" s="17">
        <f>+YEAR(BP8)</f>
        <v>2028</v>
      </c>
      <c r="BQ7" s="17">
        <f>+YEAR(BQ8)</f>
        <v>2028</v>
      </c>
    </row>
    <row r="8">
      <c r="C8" s="4" t="inlineStr">
        <is>
          <t>$ in actual</t>
        </is>
      </c>
      <c r="D8" s="7" t="n">
        <v>2024</v>
      </c>
      <c r="E8" s="7" t="n">
        <v>2025</v>
      </c>
      <c r="F8" s="7" t="n">
        <v>2026</v>
      </c>
      <c r="G8" s="7" t="n">
        <v>2027</v>
      </c>
      <c r="H8" s="7" t="n">
        <v>2028</v>
      </c>
      <c r="J8" s="18" t="n">
        <v>45322</v>
      </c>
      <c r="K8" s="19">
        <f>+EOMONTH(J8,1)</f>
        <v>45351</v>
      </c>
      <c r="L8" s="19">
        <f>+EOMONTH(K8,1)</f>
        <v>45382</v>
      </c>
      <c r="M8" s="19">
        <f>+EOMONTH(L8,1)</f>
        <v>45412</v>
      </c>
      <c r="N8" s="19">
        <f>+EOMONTH(M8,1)</f>
        <v>45443</v>
      </c>
      <c r="O8" s="19">
        <f>+EOMONTH(N8,1)</f>
        <v>45473</v>
      </c>
      <c r="P8" s="19">
        <f>+EOMONTH(O8,1)</f>
        <v>45504</v>
      </c>
      <c r="Q8" s="19">
        <f>+EOMONTH(P8,1)</f>
        <v>45535</v>
      </c>
      <c r="R8" s="19">
        <f>+EOMONTH(Q8,1)</f>
        <v>45565</v>
      </c>
      <c r="S8" s="19">
        <f>+EOMONTH(R8,1)</f>
        <v>45596</v>
      </c>
      <c r="T8" s="19">
        <f>+EOMONTH(S8,1)</f>
        <v>45626</v>
      </c>
      <c r="U8" s="19">
        <f>+EOMONTH(T8,1)</f>
        <v>45657</v>
      </c>
      <c r="V8" s="19">
        <f>+EOMONTH(U8,1)</f>
        <v>45688</v>
      </c>
      <c r="W8" s="19">
        <f>+EOMONTH(V8,1)</f>
        <v>45716</v>
      </c>
      <c r="X8" s="19">
        <f>+EOMONTH(W8,1)</f>
        <v>45747</v>
      </c>
      <c r="Y8" s="19">
        <f>+EOMONTH(X8,1)</f>
        <v>45777</v>
      </c>
      <c r="Z8" s="19">
        <f>+EOMONTH(Y8,1)</f>
        <v>45808</v>
      </c>
      <c r="AA8" s="19">
        <f>+EOMONTH(Z8,1)</f>
        <v>45838</v>
      </c>
      <c r="AB8" s="19">
        <f>+EOMONTH(AA8,1)</f>
        <v>45869</v>
      </c>
      <c r="AC8" s="19">
        <f>+EOMONTH(AB8,1)</f>
        <v>45900</v>
      </c>
      <c r="AD8" s="19">
        <f>+EOMONTH(AC8,1)</f>
        <v>45930</v>
      </c>
      <c r="AE8" s="19">
        <f>+EOMONTH(AD8,1)</f>
        <v>45961</v>
      </c>
      <c r="AF8" s="19">
        <f>+EOMONTH(AE8,1)</f>
        <v>45991</v>
      </c>
      <c r="AG8" s="19">
        <f>+EOMONTH(AF8,1)</f>
        <v>46022</v>
      </c>
      <c r="AH8" s="19">
        <f>+EOMONTH(AG8,1)</f>
        <v>46053</v>
      </c>
      <c r="AI8" s="19">
        <f>+EOMONTH(AH8,1)</f>
        <v>46081</v>
      </c>
      <c r="AJ8" s="19">
        <f>+EOMONTH(AI8,1)</f>
        <v>46112</v>
      </c>
      <c r="AK8" s="19">
        <f>+EOMONTH(AJ8,1)</f>
        <v>46142</v>
      </c>
      <c r="AL8" s="19">
        <f>+EOMONTH(AK8,1)</f>
        <v>46173</v>
      </c>
      <c r="AM8" s="19">
        <f>+EOMONTH(AL8,1)</f>
        <v>46203</v>
      </c>
      <c r="AN8" s="19">
        <f>+EOMONTH(AM8,1)</f>
        <v>46234</v>
      </c>
      <c r="AO8" s="19">
        <f>+EOMONTH(AN8,1)</f>
        <v>46265</v>
      </c>
      <c r="AP8" s="19">
        <f>+EOMONTH(AO8,1)</f>
        <v>46295</v>
      </c>
      <c r="AQ8" s="19">
        <f>+EOMONTH(AP8,1)</f>
        <v>46326</v>
      </c>
      <c r="AR8" s="19">
        <f>+EOMONTH(AQ8,1)</f>
        <v>46356</v>
      </c>
      <c r="AS8" s="19">
        <f>+EOMONTH(AR8,1)</f>
        <v>46387</v>
      </c>
      <c r="AT8" s="19">
        <f>+EOMONTH(AS8,1)</f>
        <v>46418</v>
      </c>
      <c r="AU8" s="19">
        <f>+EOMONTH(AT8,1)</f>
        <v>46446</v>
      </c>
      <c r="AV8" s="19">
        <f>+EOMONTH(AU8,1)</f>
        <v>46477</v>
      </c>
      <c r="AW8" s="19">
        <f>+EOMONTH(AV8,1)</f>
        <v>46507</v>
      </c>
      <c r="AX8" s="19">
        <f>+EOMONTH(AW8,1)</f>
        <v>46538</v>
      </c>
      <c r="AY8" s="19">
        <f>+EOMONTH(AX8,1)</f>
        <v>46568</v>
      </c>
      <c r="AZ8" s="19">
        <f>+EOMONTH(AY8,1)</f>
        <v>46599</v>
      </c>
      <c r="BA8" s="19">
        <f>+EOMONTH(AZ8,1)</f>
        <v>46630</v>
      </c>
      <c r="BB8" s="19">
        <f>+EOMONTH(BA8,1)</f>
        <v>46660</v>
      </c>
      <c r="BC8" s="19">
        <f>+EOMONTH(BB8,1)</f>
        <v>46691</v>
      </c>
      <c r="BD8" s="19">
        <f>+EOMONTH(BC8,1)</f>
        <v>46721</v>
      </c>
      <c r="BE8" s="19">
        <f>+EOMONTH(BD8,1)</f>
        <v>46752</v>
      </c>
      <c r="BF8" s="19">
        <f>+EOMONTH(BE8,1)</f>
        <v>46783</v>
      </c>
      <c r="BG8" s="19">
        <f>+EOMONTH(BF8,1)</f>
        <v>46812</v>
      </c>
      <c r="BH8" s="19">
        <f>+EOMONTH(BG8,1)</f>
        <v>46843</v>
      </c>
      <c r="BI8" s="19">
        <f>+EOMONTH(BH8,1)</f>
        <v>46873</v>
      </c>
      <c r="BJ8" s="19">
        <f>+EOMONTH(BI8,1)</f>
        <v>46904</v>
      </c>
      <c r="BK8" s="19">
        <f>+EOMONTH(BJ8,1)</f>
        <v>46934</v>
      </c>
      <c r="BL8" s="19">
        <f>+EOMONTH(BK8,1)</f>
        <v>46965</v>
      </c>
      <c r="BM8" s="19">
        <f>+EOMONTH(BL8,1)</f>
        <v>46996</v>
      </c>
      <c r="BN8" s="19">
        <f>+EOMONTH(BM8,1)</f>
        <v>47026</v>
      </c>
      <c r="BO8" s="19">
        <f>+EOMONTH(BN8,1)</f>
        <v>47057</v>
      </c>
      <c r="BP8" s="19">
        <f>+EOMONTH(BO8,1)</f>
        <v>47087</v>
      </c>
      <c r="BQ8" s="19">
        <f>+EOMONTH(BP8,1)</f>
        <v>47118</v>
      </c>
    </row>
    <row r="10">
      <c r="A10" s="9" t="inlineStr">
        <is>
          <t>S&amp;W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</row>
    <row r="11">
      <c r="C11" s="3" t="inlineStr">
        <is>
          <t>Salaries &amp; Wages (current staff)</t>
        </is>
      </c>
      <c r="D11" s="20">
        <f>+SUMIFS($J11:$BQ11,$J$7:$BQ$7,D$8)</f>
        <v>3317600</v>
      </c>
      <c r="E11" s="20">
        <f>+SUMIFS($J11:$BQ11,$J$7:$BQ$7,E$8)</f>
        <v>3509800</v>
      </c>
      <c r="F11" s="20">
        <f>+SUMIFS($J11:$BQ11,$J$7:$BQ$7,F$8)</f>
        <v>3700188.91878994</v>
      </c>
      <c r="G11" s="20">
        <f>+SUMIFS($J11:$BQ11,$J$7:$BQ$7,G$8)</f>
        <v>3828925.19159351</v>
      </c>
      <c r="H11" s="20">
        <f>+SUMIFS($J11:$BQ11,$J$7:$BQ$7,H$8)</f>
        <v>3943792.94734132</v>
      </c>
      <c r="J11" s="10">
        <f>+'Historical &amp; Projected P&amp;L'!J15</f>
        <v>277600</v>
      </c>
      <c r="K11" s="10">
        <f>+'Historical &amp; Projected P&amp;L'!K15</f>
        <v>272100</v>
      </c>
      <c r="L11" s="10">
        <f>+'Historical &amp; Projected P&amp;L'!L15</f>
        <v>278100</v>
      </c>
      <c r="M11" s="10">
        <f>+'Historical &amp; Projected P&amp;L'!M15</f>
        <v>280500</v>
      </c>
      <c r="N11" s="10">
        <f>+'Historical &amp; Projected P&amp;L'!N15</f>
        <v>274300</v>
      </c>
      <c r="O11" s="10">
        <f>+'Historical &amp; Projected P&amp;L'!O15</f>
        <v>276000</v>
      </c>
      <c r="P11" s="10">
        <f>+'Historical &amp; Projected P&amp;L'!P15</f>
        <v>277800</v>
      </c>
      <c r="Q11" s="10">
        <f>+'Historical &amp; Projected P&amp;L'!Q15</f>
        <v>276200</v>
      </c>
      <c r="R11" s="10">
        <f>+'Historical &amp; Projected P&amp;L'!R15</f>
        <v>278300</v>
      </c>
      <c r="S11" s="10">
        <f>+'Historical &amp; Projected P&amp;L'!S15</f>
        <v>274300</v>
      </c>
      <c r="T11" s="10">
        <f>+'Historical &amp; Projected P&amp;L'!T15</f>
        <v>276300</v>
      </c>
      <c r="U11" s="10">
        <f>+'Historical &amp; Projected P&amp;L'!U15</f>
        <v>276100</v>
      </c>
      <c r="V11" s="10">
        <f>+'Historical &amp; Projected P&amp;L'!V15</f>
        <v>288300</v>
      </c>
      <c r="W11" s="10">
        <f>+'Historical &amp; Projected P&amp;L'!W15</f>
        <v>287800</v>
      </c>
      <c r="X11" s="10">
        <f>+'Historical &amp; Projected P&amp;L'!X15</f>
        <v>284200</v>
      </c>
      <c r="Y11" s="10">
        <f>+'Historical &amp; Projected P&amp;L'!Y15</f>
        <v>285700</v>
      </c>
      <c r="Z11" s="10">
        <f>+'Historical &amp; Projected P&amp;L'!Z15</f>
        <v>293900</v>
      </c>
      <c r="AA11" s="10">
        <f>+'Historical &amp; Projected P&amp;L'!AA15</f>
        <v>294200</v>
      </c>
      <c r="AB11" s="10">
        <f>+'Historical &amp; Projected P&amp;L'!AB15</f>
        <v>293700</v>
      </c>
      <c r="AC11" s="10">
        <f>+'Historical &amp; Projected P&amp;L'!AC15</f>
        <v>288900</v>
      </c>
      <c r="AD11" s="10">
        <f>+'Historical &amp; Projected P&amp;L'!AD15</f>
        <v>296900</v>
      </c>
      <c r="AE11" s="10">
        <f>+'Historical &amp; Projected P&amp;L'!AE15</f>
        <v>296400</v>
      </c>
      <c r="AF11" s="10">
        <f>+'Historical &amp; Projected P&amp;L'!AF15</f>
        <v>298500</v>
      </c>
      <c r="AG11" s="10">
        <f>+'Historical &amp; Projected P&amp;L'!AG15</f>
        <v>301300</v>
      </c>
      <c r="AH11" s="10">
        <f>+'Historical &amp; Projected P&amp;L'!AH15</f>
        <v>311800</v>
      </c>
      <c r="AI11" s="10">
        <f>+'Historical &amp; Projected P&amp;L'!AI15</f>
        <v>303200</v>
      </c>
      <c r="AJ11" s="10">
        <f>+'Historical &amp; Projected P&amp;L'!AJ15</f>
        <v>303400</v>
      </c>
      <c r="AK11" s="10">
        <f>+'Historical &amp; Projected P&amp;L'!AK15</f>
        <v>304700</v>
      </c>
      <c r="AL11" s="10">
        <f>+'Historical &amp; Projected P&amp;L'!AL15</f>
        <v>312100</v>
      </c>
      <c r="AM11" s="10">
        <f>+'Historical &amp; Projected P&amp;L'!AM15</f>
        <v>305900</v>
      </c>
      <c r="AN11" s="10">
        <f>+'Historical &amp; Projected P&amp;L'!AN15</f>
        <v>306900</v>
      </c>
      <c r="AO11" s="10">
        <f>+'Historical &amp; Projected P&amp;L'!AO15</f>
        <v>308500</v>
      </c>
      <c r="AP11" s="10">
        <f>+'Historical &amp; Projected P&amp;L'!AP15</f>
        <v>310028.940926916</v>
      </c>
      <c r="AQ11" s="10">
        <f>+'Historical &amp; Projected P&amp;L'!AQ15</f>
        <v>314092.794757279</v>
      </c>
      <c r="AR11" s="10">
        <f>+'Historical &amp; Projected P&amp;L'!AR15</f>
        <v>309783.591552873</v>
      </c>
      <c r="AS11" s="20">
        <f>+AR11*(1+AS$24)</f>
        <v>309783.591552873</v>
      </c>
      <c r="AT11" s="20">
        <f>+AS11*(1+AT$24)</f>
        <v>319077.099299459</v>
      </c>
      <c r="AU11" s="20">
        <f>+AT11*(1+AU$24)</f>
        <v>319077.099299459</v>
      </c>
      <c r="AV11" s="20">
        <f>+AU11*(1+AV$24)</f>
        <v>319077.099299459</v>
      </c>
      <c r="AW11" s="20">
        <f>+AV11*(1+AW$24)</f>
        <v>319077.099299459</v>
      </c>
      <c r="AX11" s="20">
        <f>+AW11*(1+AX$24)</f>
        <v>319077.099299459</v>
      </c>
      <c r="AY11" s="20">
        <f>+AX11*(1+AY$24)</f>
        <v>319077.099299459</v>
      </c>
      <c r="AZ11" s="20">
        <f>+AY11*(1+AZ$24)</f>
        <v>319077.099299459</v>
      </c>
      <c r="BA11" s="20">
        <f>+AZ11*(1+BA$24)</f>
        <v>319077.099299459</v>
      </c>
      <c r="BB11" s="20">
        <f>+BA11*(1+BB$24)</f>
        <v>319077.099299459</v>
      </c>
      <c r="BC11" s="20">
        <f>+BB11*(1+BC$24)</f>
        <v>319077.099299459</v>
      </c>
      <c r="BD11" s="20">
        <f>+BC11*(1+BD$24)</f>
        <v>319077.099299459</v>
      </c>
      <c r="BE11" s="20">
        <f>+BD11*(1+BE$24)</f>
        <v>319077.099299459</v>
      </c>
      <c r="BF11" s="20">
        <f>+BE11*(1+BF$24)</f>
        <v>328649.412278443</v>
      </c>
      <c r="BG11" s="20">
        <f>+BF11*(1+BG$24)</f>
        <v>328649.412278443</v>
      </c>
      <c r="BH11" s="20">
        <f>+BG11*(1+BH$24)</f>
        <v>328649.412278443</v>
      </c>
      <c r="BI11" s="20">
        <f>+BH11*(1+BI$24)</f>
        <v>328649.412278443</v>
      </c>
      <c r="BJ11" s="20">
        <f>+BI11*(1+BJ$24)</f>
        <v>328649.412278443</v>
      </c>
      <c r="BK11" s="20">
        <f>+BJ11*(1+BK$24)</f>
        <v>328649.412278443</v>
      </c>
      <c r="BL11" s="20">
        <f>+BK11*(1+BL$24)</f>
        <v>328649.412278443</v>
      </c>
      <c r="BM11" s="20">
        <f>+BL11*(1+BM$24)</f>
        <v>328649.412278443</v>
      </c>
      <c r="BN11" s="20">
        <f>+BM11*(1+BN$24)</f>
        <v>328649.412278443</v>
      </c>
      <c r="BO11" s="20">
        <f>+BN11*(1+BO$24)</f>
        <v>328649.412278443</v>
      </c>
      <c r="BP11" s="20">
        <f>+BO11*(1+BP$24)</f>
        <v>328649.412278443</v>
      </c>
      <c r="BQ11" s="20">
        <f>+BP11*(1+BQ$24)</f>
        <v>328649.412278443</v>
      </c>
    </row>
    <row r="12">
      <c r="C12" s="2" t="inlineStr">
        <is>
          <t>New Hires (annual cost in col B; formulas start in the hire month)</t>
        </is>
      </c>
    </row>
    <row r="13">
      <c r="B13" s="26" t="n">
        <v>180000</v>
      </c>
      <c r="C13" s="3" t="inlineStr">
        <is>
          <t>IT Lead ($180K, Mar-27)</t>
        </is>
      </c>
      <c r="D13" s="20">
        <f>+SUMIFS($J13:$BQ13,$J$7:$BQ$7,D$8)</f>
        <v>0</v>
      </c>
      <c r="E13" s="20">
        <f>+SUMIFS($J13:$BQ13,$J$7:$BQ$7,E$8)</f>
        <v>0</v>
      </c>
      <c r="F13" s="20">
        <f>+SUMIFS($J13:$BQ13,$J$7:$BQ$7,F$8)</f>
        <v>0</v>
      </c>
      <c r="G13" s="20">
        <f>+SUMIFS($J13:$BQ13,$J$7:$BQ$7,G$8)</f>
        <v>150000</v>
      </c>
      <c r="H13" s="20">
        <f>+SUMIFS($J13:$BQ13,$J$7:$BQ$7,H$8)</f>
        <v>180000</v>
      </c>
      <c r="AV13" s="20">
        <f>+$B13/12</f>
        <v>15000</v>
      </c>
      <c r="AW13" s="20">
        <f>+$B13/12</f>
        <v>15000</v>
      </c>
      <c r="AX13" s="20">
        <f>+$B13/12</f>
        <v>15000</v>
      </c>
      <c r="AY13" s="20">
        <f>+$B13/12</f>
        <v>15000</v>
      </c>
      <c r="AZ13" s="20">
        <f>+$B13/12</f>
        <v>15000</v>
      </c>
      <c r="BA13" s="20">
        <f>+$B13/12</f>
        <v>15000</v>
      </c>
      <c r="BB13" s="20">
        <f>+$B13/12</f>
        <v>15000</v>
      </c>
      <c r="BC13" s="20">
        <f>+$B13/12</f>
        <v>15000</v>
      </c>
      <c r="BD13" s="20">
        <f>+$B13/12</f>
        <v>15000</v>
      </c>
      <c r="BE13" s="20">
        <f>+$B13/12</f>
        <v>15000</v>
      </c>
      <c r="BF13" s="20">
        <f>+$B13/12</f>
        <v>15000</v>
      </c>
      <c r="BG13" s="20">
        <f>+$B13/12</f>
        <v>15000</v>
      </c>
      <c r="BH13" s="20">
        <f>+$B13/12</f>
        <v>15000</v>
      </c>
      <c r="BI13" s="20">
        <f>+$B13/12</f>
        <v>15000</v>
      </c>
      <c r="BJ13" s="20">
        <f>+$B13/12</f>
        <v>15000</v>
      </c>
      <c r="BK13" s="20">
        <f>+$B13/12</f>
        <v>15000</v>
      </c>
      <c r="BL13" s="20">
        <f>+$B13/12</f>
        <v>15000</v>
      </c>
      <c r="BM13" s="20">
        <f>+$B13/12</f>
        <v>15000</v>
      </c>
      <c r="BN13" s="20">
        <f>+$B13/12</f>
        <v>15000</v>
      </c>
      <c r="BO13" s="20">
        <f>+$B13/12</f>
        <v>15000</v>
      </c>
      <c r="BP13" s="20">
        <f>+$B13/12</f>
        <v>15000</v>
      </c>
      <c r="BQ13" s="20">
        <f>+$B13/12</f>
        <v>15000</v>
      </c>
    </row>
    <row r="14">
      <c r="B14" s="26" t="n">
        <v>75000</v>
      </c>
      <c r="C14" s="3" t="inlineStr">
        <is>
          <t>Inventory Coordinator ($75K, Mar-27)</t>
        </is>
      </c>
      <c r="D14" s="20">
        <f>+SUMIFS($J14:$BQ14,$J$7:$BQ$7,D$8)</f>
        <v>0</v>
      </c>
      <c r="E14" s="20">
        <f>+SUMIFS($J14:$BQ14,$J$7:$BQ$7,E$8)</f>
        <v>0</v>
      </c>
      <c r="F14" s="20">
        <f>+SUMIFS($J14:$BQ14,$J$7:$BQ$7,F$8)</f>
        <v>0</v>
      </c>
      <c r="G14" s="20">
        <f>+SUMIFS($J14:$BQ14,$J$7:$BQ$7,G$8)</f>
        <v>62500</v>
      </c>
      <c r="H14" s="20">
        <f>+SUMIFS($J14:$BQ14,$J$7:$BQ$7,H$8)</f>
        <v>75000</v>
      </c>
      <c r="AV14" s="20">
        <f>+$B14/12</f>
        <v>6250</v>
      </c>
      <c r="AW14" s="20">
        <f>+$B14/12</f>
        <v>6250</v>
      </c>
      <c r="AX14" s="20">
        <f>+$B14/12</f>
        <v>6250</v>
      </c>
      <c r="AY14" s="20">
        <f>+$B14/12</f>
        <v>6250</v>
      </c>
      <c r="AZ14" s="20">
        <f>+$B14/12</f>
        <v>6250</v>
      </c>
      <c r="BA14" s="20">
        <f>+$B14/12</f>
        <v>6250</v>
      </c>
      <c r="BB14" s="20">
        <f>+$B14/12</f>
        <v>6250</v>
      </c>
      <c r="BC14" s="20">
        <f>+$B14/12</f>
        <v>6250</v>
      </c>
      <c r="BD14" s="20">
        <f>+$B14/12</f>
        <v>6250</v>
      </c>
      <c r="BE14" s="20">
        <f>+$B14/12</f>
        <v>6250</v>
      </c>
      <c r="BF14" s="20">
        <f>+$B14/12</f>
        <v>6250</v>
      </c>
      <c r="BG14" s="20">
        <f>+$B14/12</f>
        <v>6250</v>
      </c>
      <c r="BH14" s="20">
        <f>+$B14/12</f>
        <v>6250</v>
      </c>
      <c r="BI14" s="20">
        <f>+$B14/12</f>
        <v>6250</v>
      </c>
      <c r="BJ14" s="20">
        <f>+$B14/12</f>
        <v>6250</v>
      </c>
      <c r="BK14" s="20">
        <f>+$B14/12</f>
        <v>6250</v>
      </c>
      <c r="BL14" s="20">
        <f>+$B14/12</f>
        <v>6250</v>
      </c>
      <c r="BM14" s="20">
        <f>+$B14/12</f>
        <v>6250</v>
      </c>
      <c r="BN14" s="20">
        <f>+$B14/12</f>
        <v>6250</v>
      </c>
      <c r="BO14" s="20">
        <f>+$B14/12</f>
        <v>6250</v>
      </c>
      <c r="BP14" s="20">
        <f>+$B14/12</f>
        <v>6250</v>
      </c>
      <c r="BQ14" s="20">
        <f>+$B14/12</f>
        <v>6250</v>
      </c>
    </row>
    <row r="15">
      <c r="B15" s="26" t="n">
        <v>110000</v>
      </c>
      <c r="C15" s="3" t="inlineStr">
        <is>
          <t>Processing / Shift Supervisor ($110K, Feb-27)</t>
        </is>
      </c>
      <c r="D15" s="20">
        <f>+SUMIFS($J15:$BQ15,$J$7:$BQ$7,D$8)</f>
        <v>0</v>
      </c>
      <c r="E15" s="20">
        <f>+SUMIFS($J15:$BQ15,$J$7:$BQ$7,E$8)</f>
        <v>0</v>
      </c>
      <c r="F15" s="20">
        <f>+SUMIFS($J15:$BQ15,$J$7:$BQ$7,F$8)</f>
        <v>0</v>
      </c>
      <c r="G15" s="20">
        <f>+SUMIFS($J15:$BQ15,$J$7:$BQ$7,G$8)</f>
        <v>100833.333333333</v>
      </c>
      <c r="H15" s="20">
        <f>+SUMIFS($J15:$BQ15,$J$7:$BQ$7,H$8)</f>
        <v>110000</v>
      </c>
      <c r="AU15" s="20">
        <f>+$B15/12</f>
        <v>9166.66666666667</v>
      </c>
      <c r="AV15" s="20">
        <f>+$B15/12</f>
        <v>9166.66666666667</v>
      </c>
      <c r="AW15" s="20">
        <f>+$B15/12</f>
        <v>9166.66666666667</v>
      </c>
      <c r="AX15" s="20">
        <f>+$B15/12</f>
        <v>9166.66666666667</v>
      </c>
      <c r="AY15" s="20">
        <f>+$B15/12</f>
        <v>9166.66666666667</v>
      </c>
      <c r="AZ15" s="20">
        <f>+$B15/12</f>
        <v>9166.66666666667</v>
      </c>
      <c r="BA15" s="20">
        <f>+$B15/12</f>
        <v>9166.66666666667</v>
      </c>
      <c r="BB15" s="20">
        <f>+$B15/12</f>
        <v>9166.66666666667</v>
      </c>
      <c r="BC15" s="20">
        <f>+$B15/12</f>
        <v>9166.66666666667</v>
      </c>
      <c r="BD15" s="20">
        <f>+$B15/12</f>
        <v>9166.66666666667</v>
      </c>
      <c r="BE15" s="20">
        <f>+$B15/12</f>
        <v>9166.66666666667</v>
      </c>
      <c r="BF15" s="20">
        <f>+$B15/12</f>
        <v>9166.66666666667</v>
      </c>
      <c r="BG15" s="20">
        <f>+$B15/12</f>
        <v>9166.66666666667</v>
      </c>
      <c r="BH15" s="20">
        <f>+$B15/12</f>
        <v>9166.66666666667</v>
      </c>
      <c r="BI15" s="20">
        <f>+$B15/12</f>
        <v>9166.66666666667</v>
      </c>
      <c r="BJ15" s="20">
        <f>+$B15/12</f>
        <v>9166.66666666667</v>
      </c>
      <c r="BK15" s="20">
        <f>+$B15/12</f>
        <v>9166.66666666667</v>
      </c>
      <c r="BL15" s="20">
        <f>+$B15/12</f>
        <v>9166.66666666667</v>
      </c>
      <c r="BM15" s="20">
        <f>+$B15/12</f>
        <v>9166.66666666667</v>
      </c>
      <c r="BN15" s="20">
        <f>+$B15/12</f>
        <v>9166.66666666667</v>
      </c>
      <c r="BO15" s="20">
        <f>+$B15/12</f>
        <v>9166.66666666667</v>
      </c>
      <c r="BP15" s="20">
        <f>+$B15/12</f>
        <v>9166.66666666667</v>
      </c>
      <c r="BQ15" s="20">
        <f>+$B15/12</f>
        <v>9166.66666666667</v>
      </c>
    </row>
    <row r="16">
      <c r="B16" s="26" t="n">
        <v>200000</v>
      </c>
      <c r="C16" s="3" t="inlineStr">
        <is>
          <t>Lab Manager ($200K, Dec-26)</t>
        </is>
      </c>
      <c r="D16" s="20">
        <f>+SUMIFS($J16:$BQ16,$J$7:$BQ$7,D$8)</f>
        <v>0</v>
      </c>
      <c r="E16" s="20">
        <f>+SUMIFS($J16:$BQ16,$J$7:$BQ$7,E$8)</f>
        <v>0</v>
      </c>
      <c r="F16" s="20">
        <f>+SUMIFS($J16:$BQ16,$J$7:$BQ$7,F$8)</f>
        <v>16666.6666666667</v>
      </c>
      <c r="G16" s="20">
        <f>+SUMIFS($J16:$BQ16,$J$7:$BQ$7,G$8)</f>
        <v>200000</v>
      </c>
      <c r="H16" s="20">
        <f>+SUMIFS($J16:$BQ16,$J$7:$BQ$7,H$8)</f>
        <v>200000</v>
      </c>
      <c r="AS16" s="20">
        <f>+$B16/12</f>
        <v>16666.6666666667</v>
      </c>
      <c r="AT16" s="20">
        <f>+$B16/12</f>
        <v>16666.6666666667</v>
      </c>
      <c r="AU16" s="20">
        <f>+$B16/12</f>
        <v>16666.6666666667</v>
      </c>
      <c r="AV16" s="20">
        <f>+$B16/12</f>
        <v>16666.6666666667</v>
      </c>
      <c r="AW16" s="20">
        <f>+$B16/12</f>
        <v>16666.6666666667</v>
      </c>
      <c r="AX16" s="20">
        <f>+$B16/12</f>
        <v>16666.6666666667</v>
      </c>
      <c r="AY16" s="20">
        <f>+$B16/12</f>
        <v>16666.6666666667</v>
      </c>
      <c r="AZ16" s="20">
        <f>+$B16/12</f>
        <v>16666.6666666667</v>
      </c>
      <c r="BA16" s="20">
        <f>+$B16/12</f>
        <v>16666.6666666667</v>
      </c>
      <c r="BB16" s="20">
        <f>+$B16/12</f>
        <v>16666.6666666667</v>
      </c>
      <c r="BC16" s="20">
        <f>+$B16/12</f>
        <v>16666.6666666667</v>
      </c>
      <c r="BD16" s="20">
        <f>+$B16/12</f>
        <v>16666.6666666667</v>
      </c>
      <c r="BE16" s="20">
        <f>+$B16/12</f>
        <v>16666.6666666667</v>
      </c>
      <c r="BF16" s="20">
        <f>+$B16/12</f>
        <v>16666.6666666667</v>
      </c>
      <c r="BG16" s="20">
        <f>+$B16/12</f>
        <v>16666.6666666667</v>
      </c>
      <c r="BH16" s="20">
        <f>+$B16/12</f>
        <v>16666.6666666667</v>
      </c>
      <c r="BI16" s="20">
        <f>+$B16/12</f>
        <v>16666.6666666667</v>
      </c>
      <c r="BJ16" s="20">
        <f>+$B16/12</f>
        <v>16666.6666666667</v>
      </c>
      <c r="BK16" s="20">
        <f>+$B16/12</f>
        <v>16666.6666666667</v>
      </c>
      <c r="BL16" s="20">
        <f>+$B16/12</f>
        <v>16666.6666666667</v>
      </c>
      <c r="BM16" s="20">
        <f>+$B16/12</f>
        <v>16666.6666666667</v>
      </c>
      <c r="BN16" s="20">
        <f>+$B16/12</f>
        <v>16666.6666666667</v>
      </c>
      <c r="BO16" s="20">
        <f>+$B16/12</f>
        <v>16666.6666666667</v>
      </c>
      <c r="BP16" s="20">
        <f>+$B16/12</f>
        <v>16666.6666666667</v>
      </c>
      <c r="BQ16" s="20">
        <f>+$B16/12</f>
        <v>16666.6666666667</v>
      </c>
    </row>
    <row r="17">
      <c r="C17" s="3" t="inlineStr">
        <is>
          <t>Medical Director – working through year-end then leaving</t>
        </is>
      </c>
      <c r="D17" s="20">
        <f>+SUMIFS($J17:$BQ17,$J$7:$BQ$7,D$8)</f>
        <v>0</v>
      </c>
      <c r="E17" s="20">
        <f>+SUMIFS($J17:$BQ17,$J$7:$BQ$7,E$8)</f>
        <v>0</v>
      </c>
      <c r="F17" s="20">
        <f>+SUMIFS($J17:$BQ17,$J$7:$BQ$7,F$8)</f>
        <v>0</v>
      </c>
      <c r="G17" s="20">
        <f>+SUMIFS($J17:$BQ17,$J$7:$BQ$7,G$8)</f>
        <v>-150000</v>
      </c>
      <c r="H17" s="20">
        <f>+SUMIFS($J17:$BQ17,$J$7:$BQ$7,H$8)</f>
        <v>-150000</v>
      </c>
      <c r="AT17" s="20">
        <f>-150000/12</f>
        <v>-12500</v>
      </c>
      <c r="AU17" s="20">
        <f>-150000/12</f>
        <v>-12500</v>
      </c>
      <c r="AV17" s="20">
        <f>-150000/12</f>
        <v>-12500</v>
      </c>
      <c r="AW17" s="20">
        <f>-150000/12</f>
        <v>-12500</v>
      </c>
      <c r="AX17" s="20">
        <f>-150000/12</f>
        <v>-12500</v>
      </c>
      <c r="AY17" s="20">
        <f>-150000/12</f>
        <v>-12500</v>
      </c>
      <c r="AZ17" s="20">
        <f>-150000/12</f>
        <v>-12500</v>
      </c>
      <c r="BA17" s="20">
        <f>-150000/12</f>
        <v>-12500</v>
      </c>
      <c r="BB17" s="20">
        <f>-150000/12</f>
        <v>-12500</v>
      </c>
      <c r="BC17" s="20">
        <f>-150000/12</f>
        <v>-12500</v>
      </c>
      <c r="BD17" s="20">
        <f>-150000/12</f>
        <v>-12500</v>
      </c>
      <c r="BE17" s="20">
        <f>-150000/12</f>
        <v>-12500</v>
      </c>
      <c r="BF17" s="20">
        <f>-150000/12</f>
        <v>-12500</v>
      </c>
      <c r="BG17" s="20">
        <f>-150000/12</f>
        <v>-12500</v>
      </c>
      <c r="BH17" s="20">
        <f>-150000/12</f>
        <v>-12500</v>
      </c>
      <c r="BI17" s="20">
        <f>-150000/12</f>
        <v>-12500</v>
      </c>
      <c r="BJ17" s="20">
        <f>-150000/12</f>
        <v>-12500</v>
      </c>
      <c r="BK17" s="20">
        <f>-150000/12</f>
        <v>-12500</v>
      </c>
      <c r="BL17" s="20">
        <f>-150000/12</f>
        <v>-12500</v>
      </c>
      <c r="BM17" s="20">
        <f>-150000/12</f>
        <v>-12500</v>
      </c>
      <c r="BN17" s="20">
        <f>-150000/12</f>
        <v>-12500</v>
      </c>
      <c r="BO17" s="20">
        <f>-150000/12</f>
        <v>-12500</v>
      </c>
      <c r="BP17" s="20">
        <f>-150000/12</f>
        <v>-12500</v>
      </c>
      <c r="BQ17" s="20">
        <f>-150000/12</f>
        <v>-12500</v>
      </c>
    </row>
    <row r="18">
      <c r="B18" s="26" t="n">
        <v>50000</v>
      </c>
      <c r="C18" s="3" t="inlineStr">
        <is>
          <t>Courier 1 ($50K, Feb-27)</t>
        </is>
      </c>
      <c r="D18" s="20">
        <f>+SUMIFS($J18:$BQ18,$J$7:$BQ$7,D$8)</f>
        <v>0</v>
      </c>
      <c r="E18" s="20">
        <f>+SUMIFS($J18:$BQ18,$J$7:$BQ$7,E$8)</f>
        <v>0</v>
      </c>
      <c r="F18" s="20">
        <f>+SUMIFS($J18:$BQ18,$J$7:$BQ$7,F$8)</f>
        <v>0</v>
      </c>
      <c r="G18" s="20">
        <f>+SUMIFS($J18:$BQ18,$J$7:$BQ$7,G$8)</f>
        <v>45833.3333333333</v>
      </c>
      <c r="H18" s="20">
        <f>+SUMIFS($J18:$BQ18,$J$7:$BQ$7,H$8)</f>
        <v>50000</v>
      </c>
      <c r="AU18" s="20">
        <f>+$B18/12</f>
        <v>4166.66666666667</v>
      </c>
      <c r="AV18" s="20">
        <f>+$B18/12</f>
        <v>4166.66666666667</v>
      </c>
      <c r="AW18" s="20">
        <f>+$B18/12</f>
        <v>4166.66666666667</v>
      </c>
      <c r="AX18" s="20">
        <f>+$B18/12</f>
        <v>4166.66666666667</v>
      </c>
      <c r="AY18" s="20">
        <f>+$B18/12</f>
        <v>4166.66666666667</v>
      </c>
      <c r="AZ18" s="20">
        <f>+$B18/12</f>
        <v>4166.66666666667</v>
      </c>
      <c r="BA18" s="20">
        <f>+$B18/12</f>
        <v>4166.66666666667</v>
      </c>
      <c r="BB18" s="20">
        <f>+$B18/12</f>
        <v>4166.66666666667</v>
      </c>
      <c r="BC18" s="20">
        <f>+$B18/12</f>
        <v>4166.66666666667</v>
      </c>
      <c r="BD18" s="20">
        <f>+$B18/12</f>
        <v>4166.66666666667</v>
      </c>
      <c r="BE18" s="20">
        <f>+$B18/12</f>
        <v>4166.66666666667</v>
      </c>
      <c r="BF18" s="20">
        <f>+$B18/12</f>
        <v>4166.66666666667</v>
      </c>
      <c r="BG18" s="20">
        <f>+$B18/12</f>
        <v>4166.66666666667</v>
      </c>
      <c r="BH18" s="20">
        <f>+$B18/12</f>
        <v>4166.66666666667</v>
      </c>
      <c r="BI18" s="20">
        <f>+$B18/12</f>
        <v>4166.66666666667</v>
      </c>
      <c r="BJ18" s="20">
        <f>+$B18/12</f>
        <v>4166.66666666667</v>
      </c>
      <c r="BK18" s="20">
        <f>+$B18/12</f>
        <v>4166.66666666667</v>
      </c>
      <c r="BL18" s="20">
        <f>+$B18/12</f>
        <v>4166.66666666667</v>
      </c>
      <c r="BM18" s="20">
        <f>+$B18/12</f>
        <v>4166.66666666667</v>
      </c>
      <c r="BN18" s="20">
        <f>+$B18/12</f>
        <v>4166.66666666667</v>
      </c>
      <c r="BO18" s="20">
        <f>+$B18/12</f>
        <v>4166.66666666667</v>
      </c>
      <c r="BP18" s="20">
        <f>+$B18/12</f>
        <v>4166.66666666667</v>
      </c>
      <c r="BQ18" s="20">
        <f>+$B18/12</f>
        <v>4166.66666666667</v>
      </c>
    </row>
    <row r="19">
      <c r="B19" s="26" t="n">
        <v>50000</v>
      </c>
      <c r="C19" s="3" t="inlineStr">
        <is>
          <t>Courier 2 ($50K, Feb-27)</t>
        </is>
      </c>
      <c r="D19" s="20">
        <f>+SUMIFS($J19:$BQ19,$J$7:$BQ$7,D$8)</f>
        <v>0</v>
      </c>
      <c r="E19" s="20">
        <f>+SUMIFS($J19:$BQ19,$J$7:$BQ$7,E$8)</f>
        <v>0</v>
      </c>
      <c r="F19" s="20">
        <f>+SUMIFS($J19:$BQ19,$J$7:$BQ$7,F$8)</f>
        <v>0</v>
      </c>
      <c r="G19" s="20">
        <f>+SUMIFS($J19:$BQ19,$J$7:$BQ$7,G$8)</f>
        <v>45833.3333333333</v>
      </c>
      <c r="H19" s="20">
        <f>+SUMIFS($J19:$BQ19,$J$7:$BQ$7,H$8)</f>
        <v>50000</v>
      </c>
      <c r="AU19" s="20">
        <f>+$B19/12</f>
        <v>4166.66666666667</v>
      </c>
      <c r="AV19" s="20">
        <f>+$B19/12</f>
        <v>4166.66666666667</v>
      </c>
      <c r="AW19" s="20">
        <f>+$B19/12</f>
        <v>4166.66666666667</v>
      </c>
      <c r="AX19" s="20">
        <f>+$B19/12</f>
        <v>4166.66666666667</v>
      </c>
      <c r="AY19" s="20">
        <f>+$B19/12</f>
        <v>4166.66666666667</v>
      </c>
      <c r="AZ19" s="20">
        <f>+$B19/12</f>
        <v>4166.66666666667</v>
      </c>
      <c r="BA19" s="20">
        <f>+$B19/12</f>
        <v>4166.66666666667</v>
      </c>
      <c r="BB19" s="20">
        <f>+$B19/12</f>
        <v>4166.66666666667</v>
      </c>
      <c r="BC19" s="20">
        <f>+$B19/12</f>
        <v>4166.66666666667</v>
      </c>
      <c r="BD19" s="20">
        <f>+$B19/12</f>
        <v>4166.66666666667</v>
      </c>
      <c r="BE19" s="20">
        <f>+$B19/12</f>
        <v>4166.66666666667</v>
      </c>
      <c r="BF19" s="20">
        <f>+$B19/12</f>
        <v>4166.66666666667</v>
      </c>
      <c r="BG19" s="20">
        <f>+$B19/12</f>
        <v>4166.66666666667</v>
      </c>
      <c r="BH19" s="20">
        <f>+$B19/12</f>
        <v>4166.66666666667</v>
      </c>
      <c r="BI19" s="20">
        <f>+$B19/12</f>
        <v>4166.66666666667</v>
      </c>
      <c r="BJ19" s="20">
        <f>+$B19/12</f>
        <v>4166.66666666667</v>
      </c>
      <c r="BK19" s="20">
        <f>+$B19/12</f>
        <v>4166.66666666667</v>
      </c>
      <c r="BL19" s="20">
        <f>+$B19/12</f>
        <v>4166.66666666667</v>
      </c>
      <c r="BM19" s="20">
        <f>+$B19/12</f>
        <v>4166.66666666667</v>
      </c>
      <c r="BN19" s="20">
        <f>+$B19/12</f>
        <v>4166.66666666667</v>
      </c>
      <c r="BO19" s="20">
        <f>+$B19/12</f>
        <v>4166.66666666667</v>
      </c>
      <c r="BP19" s="20">
        <f>+$B19/12</f>
        <v>4166.66666666667</v>
      </c>
      <c r="BQ19" s="20">
        <f>+$B19/12</f>
        <v>4166.66666666667</v>
      </c>
    </row>
    <row r="20">
      <c r="B20" s="26" t="n">
        <v>52000</v>
      </c>
      <c r="C20" s="3" t="inlineStr">
        <is>
          <t>New Accessioners</t>
        </is>
      </c>
      <c r="D20" s="20">
        <f>+SUMIFS($J20:$BQ20,$J$7:$BQ$7,D$8)</f>
        <v>0</v>
      </c>
      <c r="E20" s="20">
        <f>+SUMIFS($J20:$BQ20,$J$7:$BQ$7,E$8)</f>
        <v>0</v>
      </c>
      <c r="F20" s="20">
        <f>+SUMIFS($J20:$BQ20,$J$7:$BQ$7,F$8)</f>
        <v>0</v>
      </c>
      <c r="G20" s="20">
        <f>+SUMIFS($J20:$BQ20,$J$7:$BQ$7,G$8)</f>
        <v>43333.3333333333</v>
      </c>
      <c r="H20" s="20">
        <f>+SUMIFS($J20:$BQ20,$J$7:$BQ$7,H$8)</f>
        <v>151666.666666667</v>
      </c>
      <c r="AS20" s="20">
        <f>+AS29*($B$20/12)</f>
        <v>0</v>
      </c>
      <c r="AT20" s="20">
        <f>+AT29*($B$20/12)</f>
        <v>0</v>
      </c>
      <c r="AU20" s="20">
        <f>+AU29*($B$20/12)</f>
        <v>0</v>
      </c>
      <c r="AV20" s="20">
        <f>+AV29*($B$20/12)</f>
        <v>0</v>
      </c>
      <c r="AW20" s="20">
        <f>+AW29*($B$20/12)</f>
        <v>0</v>
      </c>
      <c r="AX20" s="20">
        <f>+AX29*($B$20/12)</f>
        <v>0</v>
      </c>
      <c r="AY20" s="20">
        <f>+AY29*($B$20/12)</f>
        <v>4333.33333333333</v>
      </c>
      <c r="AZ20" s="20">
        <f>+AZ29*($B$20/12)</f>
        <v>4333.33333333333</v>
      </c>
      <c r="BA20" s="20">
        <f>+BA29*($B$20/12)</f>
        <v>4333.33333333333</v>
      </c>
      <c r="BB20" s="20">
        <f>+BB29*($B$20/12)</f>
        <v>4333.33333333333</v>
      </c>
      <c r="BC20" s="20">
        <f>+BC29*($B$20/12)</f>
        <v>8666.66666666667</v>
      </c>
      <c r="BD20" s="20">
        <f>+BD29*($B$20/12)</f>
        <v>8666.66666666667</v>
      </c>
      <c r="BE20" s="20">
        <f>+BE29*($B$20/12)</f>
        <v>8666.66666666667</v>
      </c>
      <c r="BF20" s="20">
        <f>+BF29*($B$20/12)</f>
        <v>8666.66666666667</v>
      </c>
      <c r="BG20" s="20">
        <f>+BG29*($B$20/12)</f>
        <v>13000</v>
      </c>
      <c r="BH20" s="20">
        <f>+BH29*($B$20/12)</f>
        <v>13000</v>
      </c>
      <c r="BI20" s="20">
        <f>+BI29*($B$20/12)</f>
        <v>13000</v>
      </c>
      <c r="BJ20" s="20">
        <f>+BJ29*($B$20/12)</f>
        <v>13000</v>
      </c>
      <c r="BK20" s="20">
        <f>+BK29*($B$20/12)</f>
        <v>13000</v>
      </c>
      <c r="BL20" s="20">
        <f>+BL29*($B$20/12)</f>
        <v>13000</v>
      </c>
      <c r="BM20" s="20">
        <f>+BM29*($B$20/12)</f>
        <v>13000</v>
      </c>
      <c r="BN20" s="20">
        <f>+BN29*($B$20/12)</f>
        <v>13000</v>
      </c>
      <c r="BO20" s="20">
        <f>+BO29*($B$20/12)</f>
        <v>13000</v>
      </c>
      <c r="BP20" s="20">
        <f>+BP29*($B$20/12)</f>
        <v>13000</v>
      </c>
      <c r="BQ20" s="20">
        <f>+BQ29*($B$20/12)</f>
        <v>13000</v>
      </c>
    </row>
    <row r="22">
      <c r="C22" s="2" t="inlineStr">
        <is>
          <t>Total Salaries &amp; Wages</t>
        </is>
      </c>
      <c r="D22" s="15">
        <f>+SUMIFS($J22:$BQ22,$J$7:$BQ$7,D$8)</f>
        <v>3317600</v>
      </c>
      <c r="E22" s="15">
        <f>+SUMIFS($J22:$BQ22,$J$7:$BQ$7,E$8)</f>
        <v>3509800</v>
      </c>
      <c r="F22" s="15">
        <f>+SUMIFS($J22:$BQ22,$J$7:$BQ$7,F$8)</f>
        <v>3716855.58545661</v>
      </c>
      <c r="G22" s="15">
        <f>+SUMIFS($J22:$BQ22,$J$7:$BQ$7,G$8)</f>
        <v>4327258.52492685</v>
      </c>
      <c r="H22" s="15">
        <f>+SUMIFS($J22:$BQ22,$J$7:$BQ$7,H$8)</f>
        <v>4610459.61400799</v>
      </c>
      <c r="J22" s="15">
        <f>SUM(J11:J20)</f>
        <v>277600</v>
      </c>
      <c r="K22" s="15">
        <f>SUM(K11:K20)</f>
        <v>272100</v>
      </c>
      <c r="L22" s="15">
        <f>SUM(L11:L20)</f>
        <v>278100</v>
      </c>
      <c r="M22" s="15">
        <f>SUM(M11:M20)</f>
        <v>280500</v>
      </c>
      <c r="N22" s="15">
        <f>SUM(N11:N20)</f>
        <v>274300</v>
      </c>
      <c r="O22" s="15">
        <f>SUM(O11:O20)</f>
        <v>276000</v>
      </c>
      <c r="P22" s="15">
        <f>SUM(P11:P20)</f>
        <v>277800</v>
      </c>
      <c r="Q22" s="15">
        <f>SUM(Q11:Q20)</f>
        <v>276200</v>
      </c>
      <c r="R22" s="15">
        <f>SUM(R11:R20)</f>
        <v>278300</v>
      </c>
      <c r="S22" s="15">
        <f>SUM(S11:S20)</f>
        <v>274300</v>
      </c>
      <c r="T22" s="15">
        <f>SUM(T11:T20)</f>
        <v>276300</v>
      </c>
      <c r="U22" s="15">
        <f>SUM(U11:U20)</f>
        <v>276100</v>
      </c>
      <c r="V22" s="15">
        <f>SUM(V11:V20)</f>
        <v>288300</v>
      </c>
      <c r="W22" s="15">
        <f>SUM(W11:W20)</f>
        <v>287800</v>
      </c>
      <c r="X22" s="15">
        <f>SUM(X11:X20)</f>
        <v>284200</v>
      </c>
      <c r="Y22" s="15">
        <f>SUM(Y11:Y20)</f>
        <v>285700</v>
      </c>
      <c r="Z22" s="15">
        <f>SUM(Z11:Z20)</f>
        <v>293900</v>
      </c>
      <c r="AA22" s="15">
        <f>SUM(AA11:AA20)</f>
        <v>294200</v>
      </c>
      <c r="AB22" s="15">
        <f>SUM(AB11:AB20)</f>
        <v>293700</v>
      </c>
      <c r="AC22" s="15">
        <f>SUM(AC11:AC20)</f>
        <v>288900</v>
      </c>
      <c r="AD22" s="15">
        <f>SUM(AD11:AD20)</f>
        <v>296900</v>
      </c>
      <c r="AE22" s="15">
        <f>SUM(AE11:AE20)</f>
        <v>296400</v>
      </c>
      <c r="AF22" s="15">
        <f>SUM(AF11:AF20)</f>
        <v>298500</v>
      </c>
      <c r="AG22" s="15">
        <f>SUM(AG11:AG20)</f>
        <v>301300</v>
      </c>
      <c r="AH22" s="15">
        <f>SUM(AH11:AH20)</f>
        <v>311800</v>
      </c>
      <c r="AI22" s="15">
        <f>SUM(AI11:AI20)</f>
        <v>303200</v>
      </c>
      <c r="AJ22" s="15">
        <f>SUM(AJ11:AJ20)</f>
        <v>303400</v>
      </c>
      <c r="AK22" s="15">
        <f>SUM(AK11:AK20)</f>
        <v>304700</v>
      </c>
      <c r="AL22" s="15">
        <f>SUM(AL11:AL20)</f>
        <v>312100</v>
      </c>
      <c r="AM22" s="15">
        <f>SUM(AM11:AM20)</f>
        <v>305900</v>
      </c>
      <c r="AN22" s="15">
        <f>SUM(AN11:AN20)</f>
        <v>306900</v>
      </c>
      <c r="AO22" s="15">
        <f>SUM(AO11:AO20)</f>
        <v>308500</v>
      </c>
      <c r="AP22" s="15">
        <f>SUM(AP11:AP20)</f>
        <v>310028.940926916</v>
      </c>
      <c r="AQ22" s="15">
        <f>SUM(AQ11:AQ20)</f>
        <v>314092.794757279</v>
      </c>
      <c r="AR22" s="15">
        <f>SUM(AR11:AR20)</f>
        <v>309783.591552873</v>
      </c>
      <c r="AS22" s="15">
        <f>SUM(AS11:AS20)</f>
        <v>326450.25821954</v>
      </c>
      <c r="AT22" s="15">
        <f>SUM(AT11:AT20)</f>
        <v>323243.765966126</v>
      </c>
      <c r="AU22" s="15">
        <f>SUM(AU11:AU20)</f>
        <v>340743.765966126</v>
      </c>
      <c r="AV22" s="15">
        <f>SUM(AV11:AV20)</f>
        <v>361993.765966126</v>
      </c>
      <c r="AW22" s="15">
        <f>SUM(AW11:AW20)</f>
        <v>361993.765966126</v>
      </c>
      <c r="AX22" s="15">
        <f>SUM(AX11:AX20)</f>
        <v>361993.765966126</v>
      </c>
      <c r="AY22" s="15">
        <f>SUM(AY11:AY20)</f>
        <v>366327.099299459</v>
      </c>
      <c r="AZ22" s="15">
        <f>SUM(AZ11:AZ20)</f>
        <v>366327.099299459</v>
      </c>
      <c r="BA22" s="15">
        <f>SUM(BA11:BA20)</f>
        <v>366327.099299459</v>
      </c>
      <c r="BB22" s="15">
        <f>SUM(BB11:BB20)</f>
        <v>366327.099299459</v>
      </c>
      <c r="BC22" s="15">
        <f>SUM(BC11:BC20)</f>
        <v>370660.432632793</v>
      </c>
      <c r="BD22" s="15">
        <f>SUM(BD11:BD20)</f>
        <v>370660.432632793</v>
      </c>
      <c r="BE22" s="15">
        <f>SUM(BE11:BE20)</f>
        <v>370660.432632793</v>
      </c>
      <c r="BF22" s="15">
        <f>SUM(BF11:BF20)</f>
        <v>380232.745611777</v>
      </c>
      <c r="BG22" s="15">
        <f>SUM(BG11:BG20)</f>
        <v>384566.07894511</v>
      </c>
      <c r="BH22" s="15">
        <f>SUM(BH11:BH20)</f>
        <v>384566.07894511</v>
      </c>
      <c r="BI22" s="15">
        <f>SUM(BI11:BI20)</f>
        <v>384566.07894511</v>
      </c>
      <c r="BJ22" s="15">
        <f>SUM(BJ11:BJ20)</f>
        <v>384566.07894511</v>
      </c>
      <c r="BK22" s="15">
        <f>SUM(BK11:BK20)</f>
        <v>384566.07894511</v>
      </c>
      <c r="BL22" s="15">
        <f>SUM(BL11:BL20)</f>
        <v>384566.07894511</v>
      </c>
      <c r="BM22" s="15">
        <f>SUM(BM11:BM20)</f>
        <v>384566.07894511</v>
      </c>
      <c r="BN22" s="15">
        <f>SUM(BN11:BN20)</f>
        <v>384566.07894511</v>
      </c>
      <c r="BO22" s="15">
        <f>SUM(BO11:BO20)</f>
        <v>384566.07894511</v>
      </c>
      <c r="BP22" s="15">
        <f>SUM(BP11:BP20)</f>
        <v>384566.07894511</v>
      </c>
      <c r="BQ22" s="15">
        <f>SUM(BQ11:BQ20)</f>
        <v>384566.07894511</v>
      </c>
    </row>
    <row r="24">
      <c r="C24" s="3" t="inlineStr">
        <is>
          <t>% Increase (merit, each Jan)</t>
        </is>
      </c>
      <c r="AS24" s="25" t="n">
        <v>0</v>
      </c>
      <c r="AT24" s="25" t="n">
        <v>0.03</v>
      </c>
      <c r="BF24" s="25" t="n">
        <v>0.03</v>
      </c>
    </row>
    <row r="26">
      <c r="C26" s="3" t="inlineStr">
        <is>
          <t>Daily Accession Count</t>
        </is>
      </c>
      <c r="J26" s="10">
        <f>+'Revenue Build'!I46</f>
        <v>308.739130434783</v>
      </c>
      <c r="K26" s="10">
        <f>+'Revenue Build'!J46</f>
        <v>291.272727272727</v>
      </c>
      <c r="L26" s="10">
        <f>+'Revenue Build'!K46</f>
        <v>320.909090909091</v>
      </c>
      <c r="M26" s="10">
        <f>+'Revenue Build'!L46</f>
        <v>314.363636363636</v>
      </c>
      <c r="N26" s="10">
        <f>+'Revenue Build'!M46</f>
        <v>320.375</v>
      </c>
      <c r="O26" s="10">
        <f>+'Revenue Build'!N46</f>
        <v>314.619047619048</v>
      </c>
      <c r="P26" s="10">
        <f>+'Revenue Build'!O46</f>
        <v>316.478260869565</v>
      </c>
      <c r="Q26" s="10">
        <f>+'Revenue Build'!P46</f>
        <v>316.652173913044</v>
      </c>
      <c r="R26" s="10">
        <f>+'Revenue Build'!Q46</f>
        <v>324.142857142857</v>
      </c>
      <c r="S26" s="10">
        <f>+'Revenue Build'!R46</f>
        <v>339</v>
      </c>
      <c r="T26" s="10">
        <f>+'Revenue Build'!S46</f>
        <v>321.727272727273</v>
      </c>
      <c r="U26" s="10">
        <f>+'Revenue Build'!T46</f>
        <v>310.909090909091</v>
      </c>
      <c r="V26" s="10">
        <f>+'Revenue Build'!U46</f>
        <v>319.75</v>
      </c>
      <c r="W26" s="10">
        <f>+'Revenue Build'!V46</f>
        <v>300.380952380952</v>
      </c>
      <c r="X26" s="10">
        <f>+'Revenue Build'!W46</f>
        <v>330.363636363636</v>
      </c>
      <c r="Y26" s="10">
        <f>+'Revenue Build'!X46</f>
        <v>342.608695652174</v>
      </c>
      <c r="Z26" s="10">
        <f>+'Revenue Build'!Y46</f>
        <v>351.652173913044</v>
      </c>
      <c r="AA26" s="10">
        <f>+'Revenue Build'!Z46</f>
        <v>342.285714285714</v>
      </c>
      <c r="AB26" s="10">
        <f>+'Revenue Build'!AA46</f>
        <v>340.916666666667</v>
      </c>
      <c r="AC26" s="10">
        <f>+'Revenue Build'!AB46</f>
        <v>354</v>
      </c>
      <c r="AD26" s="10">
        <f>+'Revenue Build'!AC46</f>
        <v>351.090909090909</v>
      </c>
      <c r="AE26" s="10">
        <f>+'Revenue Build'!AD46</f>
        <v>377.041666666667</v>
      </c>
      <c r="AF26" s="10">
        <f>+'Revenue Build'!AE46</f>
        <v>362</v>
      </c>
      <c r="AG26" s="10">
        <f>+'Revenue Build'!AF46</f>
        <v>348.260869565217</v>
      </c>
      <c r="AH26" s="10">
        <f>+'Revenue Build'!AG46</f>
        <v>368.217391304348</v>
      </c>
      <c r="AI26" s="10">
        <f>+'Revenue Build'!AH46</f>
        <v>355.85</v>
      </c>
      <c r="AJ26" s="10">
        <f>+'Revenue Build'!AI46</f>
        <v>382.272727272727</v>
      </c>
      <c r="AK26" s="10">
        <f>+'Revenue Build'!AJ46</f>
        <v>376.826086956522</v>
      </c>
      <c r="AL26" s="10">
        <f>+'Revenue Build'!AK46</f>
        <v>383.909090909091</v>
      </c>
      <c r="AM26" s="10">
        <f>+'Revenue Build'!AL46</f>
        <v>369.772727272727</v>
      </c>
      <c r="AN26" s="10">
        <f>+'Revenue Build'!AM46</f>
        <v>368.75</v>
      </c>
      <c r="AO26" s="10">
        <f>+'Revenue Build'!AN46</f>
        <v>380.090909090909</v>
      </c>
      <c r="AP26" s="10">
        <f>+'Revenue Build'!AO46</f>
        <v>384.478260869565</v>
      </c>
      <c r="AQ26" s="10">
        <f>+'Revenue Build'!AP46</f>
        <v>406.782608695652</v>
      </c>
      <c r="AR26" s="10">
        <f>+'Revenue Build'!AQ46</f>
        <v>384.095238095238</v>
      </c>
      <c r="AS26" s="10">
        <f>+'Revenue Build'!AR46</f>
        <v>379.858825836</v>
      </c>
      <c r="AT26" s="10">
        <f>+'Revenue Build'!AS46</f>
        <v>379.858825836</v>
      </c>
      <c r="AU26" s="10">
        <f>+'Revenue Build'!AT46</f>
        <v>379.858825836</v>
      </c>
      <c r="AV26" s="10">
        <f>+'Revenue Build'!AU46</f>
        <v>393.858825836</v>
      </c>
      <c r="AW26" s="10">
        <f>+'Revenue Build'!AV46</f>
        <v>403.858825836</v>
      </c>
      <c r="AX26" s="10">
        <f>+'Revenue Build'!AW46</f>
        <v>413.858825836</v>
      </c>
      <c r="AY26" s="10">
        <f>+'Revenue Build'!AX46</f>
        <v>424.450422145143</v>
      </c>
      <c r="AZ26" s="10">
        <f>+'Revenue Build'!AY46</f>
        <v>435.042018454286</v>
      </c>
      <c r="BA26" s="10">
        <f>+'Revenue Build'!AZ46</f>
        <v>445.633614763428</v>
      </c>
      <c r="BB26" s="10">
        <f>+'Revenue Build'!BA46</f>
        <v>459.225211072571</v>
      </c>
      <c r="BC26" s="10">
        <f>+'Revenue Build'!BB46</f>
        <v>469.816807381714</v>
      </c>
      <c r="BD26" s="10">
        <f>+'Revenue Build'!BC46</f>
        <v>480.408403690857</v>
      </c>
      <c r="BE26" s="10">
        <f>+'Revenue Build'!BD46</f>
        <v>491</v>
      </c>
      <c r="BF26" s="10">
        <f>+'Revenue Build'!BE46</f>
        <v>501</v>
      </c>
      <c r="BG26" s="10">
        <f>+'Revenue Build'!BF46</f>
        <v>511</v>
      </c>
      <c r="BH26" s="10">
        <f>+'Revenue Build'!BG46</f>
        <v>511</v>
      </c>
      <c r="BI26" s="10">
        <f>+'Revenue Build'!BH46</f>
        <v>511</v>
      </c>
      <c r="BJ26" s="10">
        <f>+'Revenue Build'!BI46</f>
        <v>511</v>
      </c>
      <c r="BK26" s="10">
        <f>+'Revenue Build'!BJ46</f>
        <v>511</v>
      </c>
      <c r="BL26" s="10">
        <f>+'Revenue Build'!BK46</f>
        <v>511</v>
      </c>
      <c r="BM26" s="10">
        <f>+'Revenue Build'!BL46</f>
        <v>511</v>
      </c>
      <c r="BN26" s="10">
        <f>+'Revenue Build'!BM46</f>
        <v>511</v>
      </c>
      <c r="BO26" s="10">
        <f>+'Revenue Build'!BN46</f>
        <v>511</v>
      </c>
      <c r="BP26" s="10">
        <f>+'Revenue Build'!BO46</f>
        <v>511</v>
      </c>
      <c r="BQ26" s="10">
        <f>+'Revenue Build'!BP46</f>
        <v>511</v>
      </c>
    </row>
    <row r="27">
      <c r="C27" s="3" t="inlineStr">
        <is>
          <t>Monthly Daily Accession Variance</t>
        </is>
      </c>
      <c r="AR27" s="6" t="inlineStr">
        <is>
          <t>base</t>
        </is>
      </c>
      <c r="AS27" s="27">
        <f>+AS26-AR26</f>
        <v>-4.23641225923831</v>
      </c>
      <c r="AT27" s="27">
        <f>+AT26-AS26</f>
        <v>0</v>
      </c>
      <c r="AU27" s="27">
        <f>+AU26-AT26</f>
        <v>0</v>
      </c>
      <c r="AV27" s="27">
        <f>+AV26-AU26</f>
        <v>14</v>
      </c>
      <c r="AW27" s="27">
        <f>+AW26-AV26</f>
        <v>10</v>
      </c>
      <c r="AX27" s="27">
        <f>+AX26-AW26</f>
        <v>10</v>
      </c>
      <c r="AY27" s="27">
        <f>+AY26-AX26</f>
        <v>10.5915963091429</v>
      </c>
      <c r="AZ27" s="27">
        <f>+AZ26-AY26</f>
        <v>10.5915963091429</v>
      </c>
      <c r="BA27" s="27">
        <f>+BA26-AZ26</f>
        <v>10.5915963091429</v>
      </c>
      <c r="BB27" s="27">
        <f>+BB26-BA26</f>
        <v>13.5915963091429</v>
      </c>
      <c r="BC27" s="27">
        <f>+BC26-BB26</f>
        <v>10.5915963091429</v>
      </c>
      <c r="BD27" s="27">
        <f>+BD26-BC26</f>
        <v>10.5915963091429</v>
      </c>
      <c r="BE27" s="27">
        <f>+BE26-BD26</f>
        <v>10.5915963091429</v>
      </c>
      <c r="BF27" s="27">
        <f>+BF26-BE26</f>
        <v>10</v>
      </c>
      <c r="BG27" s="27">
        <f>+BG26-BF26</f>
        <v>10</v>
      </c>
      <c r="BH27" s="27">
        <f>+BH26-BG26</f>
        <v>0</v>
      </c>
      <c r="BI27" s="27">
        <f>+BI26-BH26</f>
        <v>0</v>
      </c>
      <c r="BJ27" s="27">
        <f>+BJ26-BI26</f>
        <v>0</v>
      </c>
      <c r="BK27" s="27">
        <f>+BK26-BJ26</f>
        <v>0</v>
      </c>
      <c r="BL27" s="27">
        <f>+BL26-BK26</f>
        <v>0</v>
      </c>
      <c r="BM27" s="27">
        <f>+BM26-BL26</f>
        <v>0</v>
      </c>
      <c r="BN27" s="27">
        <f>+BN26-BM26</f>
        <v>0</v>
      </c>
      <c r="BO27" s="27">
        <f>+BO26-BN26</f>
        <v>0</v>
      </c>
      <c r="BP27" s="27">
        <f>+BP26-BO26</f>
        <v>0</v>
      </c>
      <c r="BQ27" s="27">
        <f>+BQ26-BP26</f>
        <v>0</v>
      </c>
    </row>
    <row r="28">
      <c r="C28" s="3" t="inlineStr">
        <is>
          <t>Rolling Amount</t>
        </is>
      </c>
      <c r="AR28" s="26" t="n">
        <v>0</v>
      </c>
      <c r="AS28" s="27">
        <f>+AR28+AS27</f>
        <v>-4.23641225923831</v>
      </c>
      <c r="AT28" s="27">
        <f>+AS28+AT27</f>
        <v>-4.23641225923831</v>
      </c>
      <c r="AU28" s="27">
        <f>+AT28+AU27</f>
        <v>-4.23641225923831</v>
      </c>
      <c r="AV28" s="27">
        <f>+AU28+AV27</f>
        <v>9.76358774076169</v>
      </c>
      <c r="AW28" s="27">
        <f>+AV28+AW27</f>
        <v>19.7635877407617</v>
      </c>
      <c r="AX28" s="27">
        <f>+AW28+AX27</f>
        <v>29.7635877407617</v>
      </c>
      <c r="AY28" s="27">
        <f>+AX28+AY27</f>
        <v>40.3551840499046</v>
      </c>
      <c r="AZ28" s="27">
        <f>+AY28+AZ27</f>
        <v>50.9467803590475</v>
      </c>
      <c r="BA28" s="27">
        <f>+AZ28+BA27</f>
        <v>61.5383766681904</v>
      </c>
      <c r="BB28" s="27">
        <f>+BA28+BB27</f>
        <v>75.1299729773332</v>
      </c>
      <c r="BC28" s="27">
        <f>+BB28+BC27</f>
        <v>85.7215692864762</v>
      </c>
      <c r="BD28" s="27">
        <f>+BC28+BD27</f>
        <v>96.313165595619</v>
      </c>
      <c r="BE28" s="27">
        <f>+BD28+BE27</f>
        <v>106.904761904762</v>
      </c>
      <c r="BF28" s="27">
        <f>+BE28+BF27</f>
        <v>116.904761904762</v>
      </c>
      <c r="BG28" s="27">
        <f>+BF28+BG27</f>
        <v>126.904761904762</v>
      </c>
      <c r="BH28" s="27">
        <f>+BG28+BH27</f>
        <v>126.904761904762</v>
      </c>
      <c r="BI28" s="27">
        <f>+BH28+BI27</f>
        <v>126.904761904762</v>
      </c>
      <c r="BJ28" s="27">
        <f>+BI28+BJ27</f>
        <v>126.904761904762</v>
      </c>
      <c r="BK28" s="27">
        <f>+BJ28+BK27</f>
        <v>126.904761904762</v>
      </c>
      <c r="BL28" s="27">
        <f>+BK28+BL27</f>
        <v>126.904761904762</v>
      </c>
      <c r="BM28" s="27">
        <f>+BL28+BM27</f>
        <v>126.904761904762</v>
      </c>
      <c r="BN28" s="27">
        <f>+BM28+BN27</f>
        <v>126.904761904762</v>
      </c>
      <c r="BO28" s="27">
        <f>+BN28+BO27</f>
        <v>126.904761904762</v>
      </c>
      <c r="BP28" s="27">
        <f>+BO28+BP27</f>
        <v>126.904761904762</v>
      </c>
      <c r="BQ28" s="27">
        <f>+BP28+BQ27</f>
        <v>126.904761904762</v>
      </c>
    </row>
    <row r="29">
      <c r="B29" s="26" t="n">
        <v>40</v>
      </c>
      <c r="C29" s="3" t="inlineStr">
        <is>
          <t>Accessioners Needed</t>
        </is>
      </c>
      <c r="D29" s="4" t="inlineStr">
        <is>
          <t>&lt;-- accessions per accessioner per day (B29)</t>
        </is>
      </c>
      <c r="AS29" s="20">
        <f>+MAX(0,INT(AS28/$B$29))</f>
        <v>0</v>
      </c>
      <c r="AT29" s="20">
        <f>+MAX(0,INT(AT28/$B$29))</f>
        <v>0</v>
      </c>
      <c r="AU29" s="20">
        <f>+MAX(0,INT(AU28/$B$29))</f>
        <v>0</v>
      </c>
      <c r="AV29" s="20">
        <f>+MAX(0,INT(AV28/$B$29))</f>
        <v>0</v>
      </c>
      <c r="AW29" s="20">
        <f>+MAX(0,INT(AW28/$B$29))</f>
        <v>0</v>
      </c>
      <c r="AX29" s="20">
        <f>+MAX(0,INT(AX28/$B$29))</f>
        <v>0</v>
      </c>
      <c r="AY29" s="20">
        <f>+MAX(0,INT(AY28/$B$29))</f>
        <v>1</v>
      </c>
      <c r="AZ29" s="20">
        <f>+MAX(0,INT(AZ28/$B$29))</f>
        <v>1</v>
      </c>
      <c r="BA29" s="20">
        <f>+MAX(0,INT(BA28/$B$29))</f>
        <v>1</v>
      </c>
      <c r="BB29" s="20">
        <f>+MAX(0,INT(BB28/$B$29))</f>
        <v>1</v>
      </c>
      <c r="BC29" s="20">
        <f>+MAX(0,INT(BC28/$B$29))</f>
        <v>2</v>
      </c>
      <c r="BD29" s="20">
        <f>+MAX(0,INT(BD28/$B$29))</f>
        <v>2</v>
      </c>
      <c r="BE29" s="20">
        <f>+MAX(0,INT(BE28/$B$29))</f>
        <v>2</v>
      </c>
      <c r="BF29" s="20">
        <f>+MAX(0,INT(BF28/$B$29))</f>
        <v>2</v>
      </c>
      <c r="BG29" s="20">
        <f>+MAX(0,INT(BG28/$B$29))</f>
        <v>3</v>
      </c>
      <c r="BH29" s="20">
        <f>+MAX(0,INT(BH28/$B$29))</f>
        <v>3</v>
      </c>
      <c r="BI29" s="20">
        <f>+MAX(0,INT(BI28/$B$29))</f>
        <v>3</v>
      </c>
      <c r="BJ29" s="20">
        <f>+MAX(0,INT(BJ28/$B$29))</f>
        <v>3</v>
      </c>
      <c r="BK29" s="20">
        <f>+MAX(0,INT(BK28/$B$29))</f>
        <v>3</v>
      </c>
      <c r="BL29" s="20">
        <f>+MAX(0,INT(BL28/$B$29))</f>
        <v>3</v>
      </c>
      <c r="BM29" s="20">
        <f>+MAX(0,INT(BM28/$B$29))</f>
        <v>3</v>
      </c>
      <c r="BN29" s="20">
        <f>+MAX(0,INT(BN28/$B$29))</f>
        <v>3</v>
      </c>
      <c r="BO29" s="20">
        <f>+MAX(0,INT(BO28/$B$29))</f>
        <v>3</v>
      </c>
      <c r="BP29" s="20">
        <f>+MAX(0,INT(BP28/$B$29))</f>
        <v>3</v>
      </c>
      <c r="BQ29" s="20">
        <f>+MAX(0,INT(BQ28/$B$29))</f>
        <v>3</v>
      </c>
    </row>
    <row r="31">
      <c r="A31" s="9" t="inlineStr">
        <is>
          <t>Sales Reps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</row>
    <row r="32">
      <c r="B32" s="25" t="n">
        <v>0.1</v>
      </c>
      <c r="C32" s="3" t="inlineStr">
        <is>
          <t>Sales Rep Expense (current staff)</t>
        </is>
      </c>
      <c r="D32" s="20">
        <f>+SUMIFS($J32:$BQ32,$J$7:$BQ$7,D$8)</f>
        <v>636600</v>
      </c>
      <c r="E32" s="20">
        <f>+SUMIFS($J32:$BQ32,$J$7:$BQ$7,E$8)</f>
        <v>684700</v>
      </c>
      <c r="F32" s="20">
        <f>+SUMIFS($J32:$BQ32,$J$7:$BQ$7,F$8)</f>
        <v>747121.01</v>
      </c>
      <c r="G32" s="20">
        <f>+SUMIFS($J32:$BQ32,$J$7:$BQ$7,G$8)</f>
        <v>737591.8992</v>
      </c>
      <c r="H32" s="20">
        <f>+SUMIFS($J32:$BQ32,$J$7:$BQ$7,H$8)</f>
        <v>759719.656176</v>
      </c>
      <c r="J32" s="10">
        <f>+'Historical &amp; Projected P&amp;L'!J17</f>
        <v>51700</v>
      </c>
      <c r="K32" s="10">
        <f>+'Historical &amp; Projected P&amp;L'!K17</f>
        <v>48600</v>
      </c>
      <c r="L32" s="10">
        <f>+'Historical &amp; Projected P&amp;L'!L17</f>
        <v>53100</v>
      </c>
      <c r="M32" s="10">
        <f>+'Historical &amp; Projected P&amp;L'!M17</f>
        <v>52300</v>
      </c>
      <c r="N32" s="10">
        <f>+'Historical &amp; Projected P&amp;L'!N17</f>
        <v>57500</v>
      </c>
      <c r="O32" s="10">
        <f>+'Historical &amp; Projected P&amp;L'!O17</f>
        <v>50200</v>
      </c>
      <c r="P32" s="10">
        <f>+'Historical &amp; Projected P&amp;L'!P17</f>
        <v>54400</v>
      </c>
      <c r="Q32" s="10">
        <f>+'Historical &amp; Projected P&amp;L'!Q17</f>
        <v>56300</v>
      </c>
      <c r="R32" s="10">
        <f>+'Historical &amp; Projected P&amp;L'!R17</f>
        <v>50500</v>
      </c>
      <c r="S32" s="10">
        <f>+'Historical &amp; Projected P&amp;L'!S17</f>
        <v>58900</v>
      </c>
      <c r="T32" s="10">
        <f>+'Historical &amp; Projected P&amp;L'!T17</f>
        <v>53300</v>
      </c>
      <c r="U32" s="10">
        <f>+'Historical &amp; Projected P&amp;L'!U17</f>
        <v>49800</v>
      </c>
      <c r="V32" s="10">
        <f>+'Historical &amp; Projected P&amp;L'!V17</f>
        <v>56900</v>
      </c>
      <c r="W32" s="10">
        <f>+'Historical &amp; Projected P&amp;L'!W17</f>
        <v>46700</v>
      </c>
      <c r="X32" s="10">
        <f>+'Historical &amp; Projected P&amp;L'!X17</f>
        <v>53900</v>
      </c>
      <c r="Y32" s="10">
        <f>+'Historical &amp; Projected P&amp;L'!Y17</f>
        <v>58200</v>
      </c>
      <c r="Z32" s="10">
        <f>+'Historical &amp; Projected P&amp;L'!Z17</f>
        <v>58500</v>
      </c>
      <c r="AA32" s="10">
        <f>+'Historical &amp; Projected P&amp;L'!AA17</f>
        <v>51400</v>
      </c>
      <c r="AB32" s="10">
        <f>+'Historical &amp; Projected P&amp;L'!AB17</f>
        <v>60700</v>
      </c>
      <c r="AC32" s="10">
        <f>+'Historical &amp; Projected P&amp;L'!AC17</f>
        <v>56400</v>
      </c>
      <c r="AD32" s="10">
        <f>+'Historical &amp; Projected P&amp;L'!AD17</f>
        <v>58000</v>
      </c>
      <c r="AE32" s="10">
        <f>+'Historical &amp; Projected P&amp;L'!AE17</f>
        <v>67300</v>
      </c>
      <c r="AF32" s="10">
        <f>+'Historical &amp; Projected P&amp;L'!AF17</f>
        <v>56100</v>
      </c>
      <c r="AG32" s="10">
        <f>+'Historical &amp; Projected P&amp;L'!AG17</f>
        <v>60600</v>
      </c>
      <c r="AH32" s="10">
        <f>+'Historical &amp; Projected P&amp;L'!AH17</f>
        <v>63800</v>
      </c>
      <c r="AI32" s="10">
        <f>+'Historical &amp; Projected P&amp;L'!AI17</f>
        <v>53500</v>
      </c>
      <c r="AJ32" s="10">
        <f>+'Historical &amp; Projected P&amp;L'!AJ17</f>
        <v>62000</v>
      </c>
      <c r="AK32" s="10">
        <f>+'Historical &amp; Projected P&amp;L'!AK17</f>
        <v>65000</v>
      </c>
      <c r="AL32" s="10">
        <f>+'Historical &amp; Projected P&amp;L'!AL17</f>
        <v>60900</v>
      </c>
      <c r="AM32" s="10">
        <f>+'Historical &amp; Projected P&amp;L'!AM17</f>
        <v>60400</v>
      </c>
      <c r="AN32" s="10">
        <f>+'Historical &amp; Projected P&amp;L'!AN17</f>
        <v>66400</v>
      </c>
      <c r="AO32" s="10">
        <f>+'Historical &amp; Projected P&amp;L'!AO17</f>
        <v>63300</v>
      </c>
      <c r="AP32" s="10">
        <f>+'Historical &amp; Projected P&amp;L'!AP17</f>
        <v>63206.61</v>
      </c>
      <c r="AQ32" s="10">
        <f>+'Historical &amp; Projected P&amp;L'!AQ17</f>
        <v>69262.96</v>
      </c>
      <c r="AR32" s="10">
        <f>+'Historical &amp; Projected P&amp;L'!AR17</f>
        <v>59675.72</v>
      </c>
      <c r="AS32" s="20">
        <f>+AR32*(1+AS$24)</f>
        <v>59675.72</v>
      </c>
      <c r="AT32" s="20">
        <f>+AS32*(1+AT$24)</f>
        <v>61465.9916</v>
      </c>
      <c r="AU32" s="20">
        <f>+AT32*(1+AU$24)</f>
        <v>61465.9916</v>
      </c>
      <c r="AV32" s="20">
        <f>+AU32*(1+AV$24)</f>
        <v>61465.9916</v>
      </c>
      <c r="AW32" s="20">
        <f>+AV32*(1+AW$24)</f>
        <v>61465.9916</v>
      </c>
      <c r="AX32" s="20">
        <f>+AW32*(1+AX$24)</f>
        <v>61465.9916</v>
      </c>
      <c r="AY32" s="20">
        <f>+AX32*(1+AY$24)</f>
        <v>61465.9916</v>
      </c>
      <c r="AZ32" s="20">
        <f>+AY32*(1+AZ$24)</f>
        <v>61465.9916</v>
      </c>
      <c r="BA32" s="20">
        <f>+AZ32*(1+BA$24)</f>
        <v>61465.9916</v>
      </c>
      <c r="BB32" s="20">
        <f>+BA32*(1+BB$24)</f>
        <v>61465.9916</v>
      </c>
      <c r="BC32" s="20">
        <f>+BB32*(1+BC$24)</f>
        <v>61465.9916</v>
      </c>
      <c r="BD32" s="20">
        <f>+BC32*(1+BD$24)</f>
        <v>61465.9916</v>
      </c>
      <c r="BE32" s="20">
        <f>+BD32*(1+BE$24)</f>
        <v>61465.9916</v>
      </c>
      <c r="BF32" s="20">
        <f>+BE32*(1+BF$24)</f>
        <v>63309.971348</v>
      </c>
      <c r="BG32" s="20">
        <f>+BF32*(1+BG$24)</f>
        <v>63309.971348</v>
      </c>
      <c r="BH32" s="20">
        <f>+BG32*(1+BH$24)</f>
        <v>63309.971348</v>
      </c>
      <c r="BI32" s="20">
        <f>+BH32*(1+BI$24)</f>
        <v>63309.971348</v>
      </c>
      <c r="BJ32" s="20">
        <f>+BI32*(1+BJ$24)</f>
        <v>63309.971348</v>
      </c>
      <c r="BK32" s="20">
        <f>+BJ32*(1+BK$24)</f>
        <v>63309.971348</v>
      </c>
      <c r="BL32" s="20">
        <f>+BK32*(1+BL$24)</f>
        <v>63309.971348</v>
      </c>
      <c r="BM32" s="20">
        <f>+BL32*(1+BM$24)</f>
        <v>63309.971348</v>
      </c>
      <c r="BN32" s="20">
        <f>+BM32*(1+BN$24)</f>
        <v>63309.971348</v>
      </c>
      <c r="BO32" s="20">
        <f>+BN32*(1+BO$24)</f>
        <v>63309.971348</v>
      </c>
      <c r="BP32" s="20">
        <f>+BO32*(1+BP$24)</f>
        <v>63309.971348</v>
      </c>
      <c r="BQ32" s="20">
        <f>+BP32*(1+BQ$24)</f>
        <v>63309.971348</v>
      </c>
    </row>
    <row r="34">
      <c r="C34" s="3" t="inlineStr">
        <is>
          <t>New Sales Reps</t>
        </is>
      </c>
      <c r="D34" s="20">
        <f>+SUMIFS($J34:$BQ34,$J$7:$BQ$7,D$8)</f>
        <v>0</v>
      </c>
      <c r="E34" s="20">
        <f>+SUMIFS($J34:$BQ34,$J$7:$BQ$7,E$8)</f>
        <v>0</v>
      </c>
      <c r="F34" s="20">
        <f>+SUMIFS($J34:$BQ34,$J$7:$BQ$7,F$8)</f>
        <v>0</v>
      </c>
      <c r="G34" s="20">
        <f>+SUMIFS($J34:$BQ34,$J$7:$BQ$7,G$8)</f>
        <v>135632</v>
      </c>
      <c r="H34" s="20">
        <f>+SUMIFS($J34:$BQ34,$J$7:$BQ$7,H$8)</f>
        <v>356384</v>
      </c>
      <c r="AS34" s="20">
        <f>+AS38*$B$32</f>
        <v>0</v>
      </c>
      <c r="AT34" s="20">
        <f>+AT38*$B$32</f>
        <v>0</v>
      </c>
      <c r="AU34" s="20">
        <f>+AU38*$B$32</f>
        <v>0</v>
      </c>
      <c r="AV34" s="20">
        <f>+AV38*$B$32</f>
        <v>2576</v>
      </c>
      <c r="AW34" s="20">
        <f>+AW38*$B$32</f>
        <v>5152</v>
      </c>
      <c r="AX34" s="20">
        <f>+AX38*$B$32</f>
        <v>7056</v>
      </c>
      <c r="AY34" s="20">
        <f>+AY38*$B$32</f>
        <v>9856</v>
      </c>
      <c r="AZ34" s="20">
        <f>+AZ38*$B$32</f>
        <v>12320</v>
      </c>
      <c r="BA34" s="20">
        <f>+BA38*$B$32</f>
        <v>14784</v>
      </c>
      <c r="BB34" s="20">
        <f>+BB38*$B$32</f>
        <v>17248</v>
      </c>
      <c r="BC34" s="20">
        <f>+BC38*$B$32</f>
        <v>19712</v>
      </c>
      <c r="BD34" s="20">
        <f>+BD38*$B$32</f>
        <v>21168</v>
      </c>
      <c r="BE34" s="20">
        <f>+BE38*$B$32</f>
        <v>25760</v>
      </c>
      <c r="BF34" s="20">
        <f>+BF38*$B$32</f>
        <v>27104</v>
      </c>
      <c r="BG34" s="20">
        <f>+BG38*$B$32</f>
        <v>29568</v>
      </c>
      <c r="BH34" s="20">
        <f>+BH38*$B$32</f>
        <v>32256</v>
      </c>
      <c r="BI34" s="20">
        <f>+BI38*$B$32</f>
        <v>28224</v>
      </c>
      <c r="BJ34" s="20">
        <f>+BJ38*$B$32</f>
        <v>29568</v>
      </c>
      <c r="BK34" s="20">
        <f>+BK38*$B$32</f>
        <v>30912</v>
      </c>
      <c r="BL34" s="20">
        <f>+BL38*$B$32</f>
        <v>28224</v>
      </c>
      <c r="BM34" s="20">
        <f>+BM38*$B$32</f>
        <v>32256</v>
      </c>
      <c r="BN34" s="20">
        <f>+BN38*$B$32</f>
        <v>29568</v>
      </c>
      <c r="BO34" s="20">
        <f>+BO38*$B$32</f>
        <v>29568</v>
      </c>
      <c r="BP34" s="20">
        <f>+BP38*$B$32</f>
        <v>29568</v>
      </c>
      <c r="BQ34" s="20">
        <f>+BQ38*$B$32</f>
        <v>29568</v>
      </c>
    </row>
    <row r="35">
      <c r="C35" s="2" t="inlineStr">
        <is>
          <t>Total Sales Rep Expense</t>
        </is>
      </c>
      <c r="D35" s="15">
        <f>+SUMIFS($J35:$BQ35,$J$7:$BQ$7,D$8)</f>
        <v>636600</v>
      </c>
      <c r="E35" s="15">
        <f>+SUMIFS($J35:$BQ35,$J$7:$BQ$7,E$8)</f>
        <v>684700</v>
      </c>
      <c r="F35" s="15">
        <f>+SUMIFS($J35:$BQ35,$J$7:$BQ$7,F$8)</f>
        <v>747121.01</v>
      </c>
      <c r="G35" s="15">
        <f>+SUMIFS($J35:$BQ35,$J$7:$BQ$7,G$8)</f>
        <v>873223.8992</v>
      </c>
      <c r="H35" s="15">
        <f>+SUMIFS($J35:$BQ35,$J$7:$BQ$7,H$8)</f>
        <v>1116103.656176</v>
      </c>
      <c r="J35" s="15">
        <f>+J32+J34</f>
        <v>51700</v>
      </c>
      <c r="K35" s="15">
        <f>+K32+K34</f>
        <v>48600</v>
      </c>
      <c r="L35" s="15">
        <f>+L32+L34</f>
        <v>53100</v>
      </c>
      <c r="M35" s="15">
        <f>+M32+M34</f>
        <v>52300</v>
      </c>
      <c r="N35" s="15">
        <f>+N32+N34</f>
        <v>57500</v>
      </c>
      <c r="O35" s="15">
        <f>+O32+O34</f>
        <v>50200</v>
      </c>
      <c r="P35" s="15">
        <f>+P32+P34</f>
        <v>54400</v>
      </c>
      <c r="Q35" s="15">
        <f>+Q32+Q34</f>
        <v>56300</v>
      </c>
      <c r="R35" s="15">
        <f>+R32+R34</f>
        <v>50500</v>
      </c>
      <c r="S35" s="15">
        <f>+S32+S34</f>
        <v>58900</v>
      </c>
      <c r="T35" s="15">
        <f>+T32+T34</f>
        <v>53300</v>
      </c>
      <c r="U35" s="15">
        <f>+U32+U34</f>
        <v>49800</v>
      </c>
      <c r="V35" s="15">
        <f>+V32+V34</f>
        <v>56900</v>
      </c>
      <c r="W35" s="15">
        <f>+W32+W34</f>
        <v>46700</v>
      </c>
      <c r="X35" s="15">
        <f>+X32+X34</f>
        <v>53900</v>
      </c>
      <c r="Y35" s="15">
        <f>+Y32+Y34</f>
        <v>58200</v>
      </c>
      <c r="Z35" s="15">
        <f>+Z32+Z34</f>
        <v>58500</v>
      </c>
      <c r="AA35" s="15">
        <f>+AA32+AA34</f>
        <v>51400</v>
      </c>
      <c r="AB35" s="15">
        <f>+AB32+AB34</f>
        <v>60700</v>
      </c>
      <c r="AC35" s="15">
        <f>+AC32+AC34</f>
        <v>56400</v>
      </c>
      <c r="AD35" s="15">
        <f>+AD32+AD34</f>
        <v>58000</v>
      </c>
      <c r="AE35" s="15">
        <f>+AE32+AE34</f>
        <v>67300</v>
      </c>
      <c r="AF35" s="15">
        <f>+AF32+AF34</f>
        <v>56100</v>
      </c>
      <c r="AG35" s="15">
        <f>+AG32+AG34</f>
        <v>60600</v>
      </c>
      <c r="AH35" s="15">
        <f>+AH32+AH34</f>
        <v>63800</v>
      </c>
      <c r="AI35" s="15">
        <f>+AI32+AI34</f>
        <v>53500</v>
      </c>
      <c r="AJ35" s="15">
        <f>+AJ32+AJ34</f>
        <v>62000</v>
      </c>
      <c r="AK35" s="15">
        <f>+AK32+AK34</f>
        <v>65000</v>
      </c>
      <c r="AL35" s="15">
        <f>+AL32+AL34</f>
        <v>60900</v>
      </c>
      <c r="AM35" s="15">
        <f>+AM32+AM34</f>
        <v>60400</v>
      </c>
      <c r="AN35" s="15">
        <f>+AN32+AN34</f>
        <v>66400</v>
      </c>
      <c r="AO35" s="15">
        <f>+AO32+AO34</f>
        <v>63300</v>
      </c>
      <c r="AP35" s="15">
        <f>+AP32+AP34</f>
        <v>63206.61</v>
      </c>
      <c r="AQ35" s="15">
        <f>+AQ32+AQ34</f>
        <v>69262.96</v>
      </c>
      <c r="AR35" s="15">
        <f>+AR32+AR34</f>
        <v>59675.72</v>
      </c>
      <c r="AS35" s="15">
        <f>+AS32+AS34</f>
        <v>59675.72</v>
      </c>
      <c r="AT35" s="15">
        <f>+AT32+AT34</f>
        <v>61465.9916</v>
      </c>
      <c r="AU35" s="15">
        <f>+AU32+AU34</f>
        <v>61465.9916</v>
      </c>
      <c r="AV35" s="15">
        <f>+AV32+AV34</f>
        <v>64041.9916</v>
      </c>
      <c r="AW35" s="15">
        <f>+AW32+AW34</f>
        <v>66617.9916</v>
      </c>
      <c r="AX35" s="15">
        <f>+AX32+AX34</f>
        <v>68521.9916</v>
      </c>
      <c r="AY35" s="15">
        <f>+AY32+AY34</f>
        <v>71321.9916</v>
      </c>
      <c r="AZ35" s="15">
        <f>+AZ32+AZ34</f>
        <v>73785.9916</v>
      </c>
      <c r="BA35" s="15">
        <f>+BA32+BA34</f>
        <v>76249.9916</v>
      </c>
      <c r="BB35" s="15">
        <f>+BB32+BB34</f>
        <v>78713.9916</v>
      </c>
      <c r="BC35" s="15">
        <f>+BC32+BC34</f>
        <v>81177.9916</v>
      </c>
      <c r="BD35" s="15">
        <f>+BD32+BD34</f>
        <v>82633.9916</v>
      </c>
      <c r="BE35" s="15">
        <f>+BE32+BE34</f>
        <v>87225.9916</v>
      </c>
      <c r="BF35" s="15">
        <f>+BF32+BF34</f>
        <v>90413.971348</v>
      </c>
      <c r="BG35" s="15">
        <f>+BG32+BG34</f>
        <v>92877.971348</v>
      </c>
      <c r="BH35" s="15">
        <f>+BH32+BH34</f>
        <v>95565.971348</v>
      </c>
      <c r="BI35" s="15">
        <f>+BI32+BI34</f>
        <v>91533.971348</v>
      </c>
      <c r="BJ35" s="15">
        <f>+BJ32+BJ34</f>
        <v>92877.971348</v>
      </c>
      <c r="BK35" s="15">
        <f>+BK32+BK34</f>
        <v>94221.971348</v>
      </c>
      <c r="BL35" s="15">
        <f>+BL32+BL34</f>
        <v>91533.971348</v>
      </c>
      <c r="BM35" s="15">
        <f>+BM32+BM34</f>
        <v>95565.971348</v>
      </c>
      <c r="BN35" s="15">
        <f>+BN32+BN34</f>
        <v>92877.971348</v>
      </c>
      <c r="BO35" s="15">
        <f>+BO32+BO34</f>
        <v>92877.971348</v>
      </c>
      <c r="BP35" s="15">
        <f>+BP32+BP34</f>
        <v>92877.971348</v>
      </c>
      <c r="BQ35" s="15">
        <f>+BQ32+BQ34</f>
        <v>92877.971348</v>
      </c>
    </row>
    <row r="37">
      <c r="C37" s="3" t="inlineStr">
        <is>
          <t>Revenue (current sales team)</t>
        </is>
      </c>
      <c r="D37" s="20">
        <f>+SUMIFS($J37:$BQ37,$J$7:$BQ$7,D$8)</f>
        <v>12711900</v>
      </c>
      <c r="E37" s="20">
        <f>+SUMIFS($J37:$BQ37,$J$7:$BQ$7,E$8)</f>
        <v>13757400</v>
      </c>
      <c r="F37" s="20">
        <f>+SUMIFS($J37:$BQ37,$J$7:$BQ$7,F$8)</f>
        <v>14953118.2902012</v>
      </c>
      <c r="G37" s="20">
        <f>+SUMIFS($J37:$BQ37,$J$7:$BQ$7,G$8)</f>
        <v>14883338.9332487</v>
      </c>
      <c r="H37" s="20">
        <f>+SUMIFS($J37:$BQ37,$J$7:$BQ$7,H$8)</f>
        <v>15381201.4788589</v>
      </c>
      <c r="J37" s="10">
        <f>+'Revenue Build'!I14+'Revenue Build'!I28</f>
        <v>1059600</v>
      </c>
      <c r="K37" s="10">
        <f>+'Revenue Build'!J14+'Revenue Build'!J28</f>
        <v>957100</v>
      </c>
      <c r="L37" s="10">
        <f>+'Revenue Build'!K14+'Revenue Build'!K28</f>
        <v>1053300</v>
      </c>
      <c r="M37" s="10">
        <f>+'Revenue Build'!L14+'Revenue Build'!L28</f>
        <v>1024700</v>
      </c>
      <c r="N37" s="10">
        <f>+'Revenue Build'!M14+'Revenue Build'!M28</f>
        <v>1153100</v>
      </c>
      <c r="O37" s="10">
        <f>+'Revenue Build'!N14+'Revenue Build'!N28</f>
        <v>972600</v>
      </c>
      <c r="P37" s="10">
        <f>+'Revenue Build'!O14+'Revenue Build'!O28</f>
        <v>1073500</v>
      </c>
      <c r="Q37" s="10">
        <f>+'Revenue Build'!P14+'Revenue Build'!P28</f>
        <v>1097400</v>
      </c>
      <c r="R37" s="10">
        <f>+'Revenue Build'!Q14+'Revenue Build'!Q28</f>
        <v>1014100</v>
      </c>
      <c r="S37" s="10">
        <f>+'Revenue Build'!R14+'Revenue Build'!R28</f>
        <v>1221600</v>
      </c>
      <c r="T37" s="10">
        <f>+'Revenue Build'!S14+'Revenue Build'!S28</f>
        <v>1062800</v>
      </c>
      <c r="U37" s="10">
        <f>+'Revenue Build'!T14+'Revenue Build'!T28</f>
        <v>1022100</v>
      </c>
      <c r="V37" s="10">
        <f>+'Revenue Build'!U14+'Revenue Build'!U28</f>
        <v>1157300</v>
      </c>
      <c r="W37" s="10">
        <f>+'Revenue Build'!V14+'Revenue Build'!V28</f>
        <v>943900</v>
      </c>
      <c r="X37" s="10">
        <f>+'Revenue Build'!W14+'Revenue Build'!W28</f>
        <v>1081900</v>
      </c>
      <c r="Y37" s="10">
        <f>+'Revenue Build'!X14+'Revenue Build'!X28</f>
        <v>1171100</v>
      </c>
      <c r="Z37" s="10">
        <f>+'Revenue Build'!Y14+'Revenue Build'!Y28</f>
        <v>1206800</v>
      </c>
      <c r="AA37" s="10">
        <f>+'Revenue Build'!Z14+'Revenue Build'!Z28</f>
        <v>1057200</v>
      </c>
      <c r="AB37" s="10">
        <f>+'Revenue Build'!AA14+'Revenue Build'!AA28</f>
        <v>1207900</v>
      </c>
      <c r="AC37" s="10">
        <f>+'Revenue Build'!AB14+'Revenue Build'!AB28</f>
        <v>1151100</v>
      </c>
      <c r="AD37" s="10">
        <f>+'Revenue Build'!AC14+'Revenue Build'!AC28</f>
        <v>1151800</v>
      </c>
      <c r="AE37" s="10">
        <f>+'Revenue Build'!AD14+'Revenue Build'!AD28</f>
        <v>1326200</v>
      </c>
      <c r="AF37" s="10">
        <f>+'Revenue Build'!AE14+'Revenue Build'!AE28</f>
        <v>1123100</v>
      </c>
      <c r="AG37" s="10">
        <f>+'Revenue Build'!AF14+'Revenue Build'!AF28</f>
        <v>1179100</v>
      </c>
      <c r="AH37" s="10">
        <f>+'Revenue Build'!AG14+'Revenue Build'!AG28</f>
        <v>1234100</v>
      </c>
      <c r="AI37" s="10">
        <f>+'Revenue Build'!AH14+'Revenue Build'!AH28</f>
        <v>1043900</v>
      </c>
      <c r="AJ37" s="10">
        <f>+'Revenue Build'!AI14+'Revenue Build'!AI28</f>
        <v>1238800</v>
      </c>
      <c r="AK37" s="10">
        <f>+'Revenue Build'!AJ14+'Revenue Build'!AJ28</f>
        <v>1289100</v>
      </c>
      <c r="AL37" s="10">
        <f>+'Revenue Build'!AK14+'Revenue Build'!AK28</f>
        <v>1248400</v>
      </c>
      <c r="AM37" s="10">
        <f>+'Revenue Build'!AL14+'Revenue Build'!AL28</f>
        <v>1188000</v>
      </c>
      <c r="AN37" s="10">
        <f>+'Revenue Build'!AM14+'Revenue Build'!AM28</f>
        <v>1297700</v>
      </c>
      <c r="AO37" s="10">
        <f>+'Revenue Build'!AN14+'Revenue Build'!AN28</f>
        <v>1233000</v>
      </c>
      <c r="AP37" s="10">
        <f>+'Revenue Build'!AO14+'Revenue Build'!AO28</f>
        <v>1311360.06</v>
      </c>
      <c r="AQ37" s="10">
        <f>+'Revenue Build'!AP14+'Revenue Build'!AP28</f>
        <v>1394034.43</v>
      </c>
      <c r="AR37" s="10">
        <f>+'Revenue Build'!AQ14+'Revenue Build'!AQ28</f>
        <v>1183373.96</v>
      </c>
      <c r="AS37" s="10">
        <f>+'Revenue Build'!AR14+'Revenue Build'!AR28</f>
        <v>1291349.8402012</v>
      </c>
      <c r="AT37" s="10">
        <f>+'Revenue Build'!AS14+'Revenue Build'!AS28</f>
        <v>1179018.2644258</v>
      </c>
      <c r="AU37" s="10">
        <f>+'Revenue Build'!AT14+'Revenue Build'!AT28</f>
        <v>1122852.4765381</v>
      </c>
      <c r="AV37" s="10">
        <f>+'Revenue Build'!AU14+'Revenue Build'!AU28</f>
        <v>1300733.8402012</v>
      </c>
      <c r="AW37" s="10">
        <f>+'Revenue Build'!AV14+'Revenue Build'!AV28</f>
        <v>1300733.8402012</v>
      </c>
      <c r="AX37" s="10">
        <f>+'Revenue Build'!AW14+'Revenue Build'!AW28</f>
        <v>1187586.2644258</v>
      </c>
      <c r="AY37" s="10">
        <f>+'Revenue Build'!AX14+'Revenue Build'!AX28</f>
        <v>1246167.60424886</v>
      </c>
      <c r="AZ37" s="10">
        <f>+'Revenue Build'!AY14+'Revenue Build'!AY28</f>
        <v>1248175.15618422</v>
      </c>
      <c r="BA37" s="10">
        <f>+'Revenue Build'!AZ14+'Revenue Build'!AZ28</f>
        <v>1250182.70811958</v>
      </c>
      <c r="BB37" s="10">
        <f>+'Revenue Build'!BA14+'Revenue Build'!BA28</f>
        <v>1258922.26005494</v>
      </c>
      <c r="BC37" s="10">
        <f>+'Revenue Build'!BB14+'Revenue Build'!BB28</f>
        <v>1260929.81199031</v>
      </c>
      <c r="BD37" s="10">
        <f>+'Revenue Build'!BC14+'Revenue Build'!BC28</f>
        <v>1205594.29482212</v>
      </c>
      <c r="BE37" s="10">
        <f>+'Revenue Build'!BD14+'Revenue Build'!BD28</f>
        <v>1322442.41203653</v>
      </c>
      <c r="BF37" s="10">
        <f>+'Revenue Build'!BE14+'Revenue Build'!BE28</f>
        <v>1267364.91586103</v>
      </c>
      <c r="BG37" s="10">
        <f>+'Revenue Build'!BF14+'Revenue Build'!BF28</f>
        <v>1267364.91586103</v>
      </c>
      <c r="BH37" s="10">
        <f>+'Revenue Build'!BG14+'Revenue Build'!BG28</f>
        <v>1382579.90821203</v>
      </c>
      <c r="BI37" s="10">
        <f>+'Revenue Build'!BH14+'Revenue Build'!BH28</f>
        <v>1209757.41968553</v>
      </c>
      <c r="BJ37" s="10">
        <f>+'Revenue Build'!BI14+'Revenue Build'!BI28</f>
        <v>1267364.91586103</v>
      </c>
      <c r="BK37" s="10">
        <f>+'Revenue Build'!BJ14+'Revenue Build'!BJ28</f>
        <v>1324972.41203653</v>
      </c>
      <c r="BL37" s="10">
        <f>+'Revenue Build'!BK14+'Revenue Build'!BK28</f>
        <v>1209757.41968553</v>
      </c>
      <c r="BM37" s="10">
        <f>+'Revenue Build'!BL14+'Revenue Build'!BL28</f>
        <v>1382579.90821203</v>
      </c>
      <c r="BN37" s="10">
        <f>+'Revenue Build'!BM14+'Revenue Build'!BM28</f>
        <v>1267364.91586103</v>
      </c>
      <c r="BO37" s="10">
        <f>+'Revenue Build'!BN14+'Revenue Build'!BN28</f>
        <v>1267364.91586103</v>
      </c>
      <c r="BP37" s="10">
        <f>+'Revenue Build'!BO14+'Revenue Build'!BO28</f>
        <v>1267364.91586103</v>
      </c>
      <c r="BQ37" s="10">
        <f>+'Revenue Build'!BP14+'Revenue Build'!BP28</f>
        <v>1267364.91586103</v>
      </c>
    </row>
    <row r="38">
      <c r="C38" s="3" t="inlineStr">
        <is>
          <t>Revenue (new sales team)</t>
        </is>
      </c>
      <c r="D38" s="20">
        <f>+SUMIFS($J38:$BQ38,$J$7:$BQ$7,D$8)</f>
        <v>0</v>
      </c>
      <c r="E38" s="20">
        <f>+SUMIFS($J38:$BQ38,$J$7:$BQ$7,E$8)</f>
        <v>0</v>
      </c>
      <c r="F38" s="20">
        <f>+SUMIFS($J38:$BQ38,$J$7:$BQ$7,F$8)</f>
        <v>0</v>
      </c>
      <c r="G38" s="20">
        <f>+SUMIFS($J38:$BQ38,$J$7:$BQ$7,G$8)</f>
        <v>1356320</v>
      </c>
      <c r="H38" s="20">
        <f>+SUMIFS($J38:$BQ38,$J$7:$BQ$7,H$8)</f>
        <v>3563840</v>
      </c>
      <c r="J38" s="10">
        <f>+'Revenue Build'!I38</f>
        <v>0</v>
      </c>
      <c r="K38" s="10">
        <f>+'Revenue Build'!J38</f>
        <v>0</v>
      </c>
      <c r="L38" s="10">
        <f>+'Revenue Build'!K38</f>
        <v>0</v>
      </c>
      <c r="M38" s="10">
        <f>+'Revenue Build'!L38</f>
        <v>0</v>
      </c>
      <c r="N38" s="10">
        <f>+'Revenue Build'!M38</f>
        <v>0</v>
      </c>
      <c r="O38" s="10">
        <f>+'Revenue Build'!N38</f>
        <v>0</v>
      </c>
      <c r="P38" s="10">
        <f>+'Revenue Build'!O38</f>
        <v>0</v>
      </c>
      <c r="Q38" s="10">
        <f>+'Revenue Build'!P38</f>
        <v>0</v>
      </c>
      <c r="R38" s="10">
        <f>+'Revenue Build'!Q38</f>
        <v>0</v>
      </c>
      <c r="S38" s="10">
        <f>+'Revenue Build'!R38</f>
        <v>0</v>
      </c>
      <c r="T38" s="10">
        <f>+'Revenue Build'!S38</f>
        <v>0</v>
      </c>
      <c r="U38" s="10">
        <f>+'Revenue Build'!T38</f>
        <v>0</v>
      </c>
      <c r="V38" s="10">
        <f>+'Revenue Build'!U38</f>
        <v>0</v>
      </c>
      <c r="W38" s="10">
        <f>+'Revenue Build'!V38</f>
        <v>0</v>
      </c>
      <c r="X38" s="10">
        <f>+'Revenue Build'!W38</f>
        <v>0</v>
      </c>
      <c r="Y38" s="10">
        <f>+'Revenue Build'!X38</f>
        <v>0</v>
      </c>
      <c r="Z38" s="10">
        <f>+'Revenue Build'!Y38</f>
        <v>0</v>
      </c>
      <c r="AA38" s="10">
        <f>+'Revenue Build'!Z38</f>
        <v>0</v>
      </c>
      <c r="AB38" s="10">
        <f>+'Revenue Build'!AA38</f>
        <v>0</v>
      </c>
      <c r="AC38" s="10">
        <f>+'Revenue Build'!AB38</f>
        <v>0</v>
      </c>
      <c r="AD38" s="10">
        <f>+'Revenue Build'!AC38</f>
        <v>0</v>
      </c>
      <c r="AE38" s="10">
        <f>+'Revenue Build'!AD38</f>
        <v>0</v>
      </c>
      <c r="AF38" s="10">
        <f>+'Revenue Build'!AE38</f>
        <v>0</v>
      </c>
      <c r="AG38" s="10">
        <f>+'Revenue Build'!AF38</f>
        <v>0</v>
      </c>
      <c r="AH38" s="10">
        <f>+'Revenue Build'!AG38</f>
        <v>0</v>
      </c>
      <c r="AI38" s="10">
        <f>+'Revenue Build'!AH38</f>
        <v>0</v>
      </c>
      <c r="AJ38" s="10">
        <f>+'Revenue Build'!AI38</f>
        <v>0</v>
      </c>
      <c r="AK38" s="10">
        <f>+'Revenue Build'!AJ38</f>
        <v>0</v>
      </c>
      <c r="AL38" s="10">
        <f>+'Revenue Build'!AK38</f>
        <v>0</v>
      </c>
      <c r="AM38" s="10">
        <f>+'Revenue Build'!AL38</f>
        <v>0</v>
      </c>
      <c r="AN38" s="10">
        <f>+'Revenue Build'!AM38</f>
        <v>0</v>
      </c>
      <c r="AO38" s="10">
        <f>+'Revenue Build'!AN38</f>
        <v>0</v>
      </c>
      <c r="AP38" s="10">
        <f>+'Revenue Build'!AO38</f>
        <v>0</v>
      </c>
      <c r="AQ38" s="10">
        <f>+'Revenue Build'!AP38</f>
        <v>0</v>
      </c>
      <c r="AR38" s="10">
        <f>+'Revenue Build'!AQ38</f>
        <v>0</v>
      </c>
      <c r="AS38" s="10">
        <f>+'Revenue Build'!AR38</f>
        <v>0</v>
      </c>
      <c r="AT38" s="10">
        <f>+'Revenue Build'!AS38</f>
        <v>0</v>
      </c>
      <c r="AU38" s="10">
        <f>+'Revenue Build'!AT38</f>
        <v>0</v>
      </c>
      <c r="AV38" s="10">
        <f>+'Revenue Build'!AU38</f>
        <v>25760</v>
      </c>
      <c r="AW38" s="10">
        <f>+'Revenue Build'!AV38</f>
        <v>51520</v>
      </c>
      <c r="AX38" s="10">
        <f>+'Revenue Build'!AW38</f>
        <v>70560</v>
      </c>
      <c r="AY38" s="10">
        <f>+'Revenue Build'!AX38</f>
        <v>98560</v>
      </c>
      <c r="AZ38" s="10">
        <f>+'Revenue Build'!AY38</f>
        <v>123200</v>
      </c>
      <c r="BA38" s="10">
        <f>+'Revenue Build'!AZ38</f>
        <v>147840</v>
      </c>
      <c r="BB38" s="10">
        <f>+'Revenue Build'!BA38</f>
        <v>172480</v>
      </c>
      <c r="BC38" s="10">
        <f>+'Revenue Build'!BB38</f>
        <v>197120</v>
      </c>
      <c r="BD38" s="10">
        <f>+'Revenue Build'!BC38</f>
        <v>211680</v>
      </c>
      <c r="BE38" s="10">
        <f>+'Revenue Build'!BD38</f>
        <v>257600</v>
      </c>
      <c r="BF38" s="10">
        <f>+'Revenue Build'!BE38</f>
        <v>271040</v>
      </c>
      <c r="BG38" s="10">
        <f>+'Revenue Build'!BF38</f>
        <v>295680</v>
      </c>
      <c r="BH38" s="10">
        <f>+'Revenue Build'!BG38</f>
        <v>322560</v>
      </c>
      <c r="BI38" s="10">
        <f>+'Revenue Build'!BH38</f>
        <v>282240</v>
      </c>
      <c r="BJ38" s="10">
        <f>+'Revenue Build'!BI38</f>
        <v>295680</v>
      </c>
      <c r="BK38" s="10">
        <f>+'Revenue Build'!BJ38</f>
        <v>309120</v>
      </c>
      <c r="BL38" s="10">
        <f>+'Revenue Build'!BK38</f>
        <v>282240</v>
      </c>
      <c r="BM38" s="10">
        <f>+'Revenue Build'!BL38</f>
        <v>322560</v>
      </c>
      <c r="BN38" s="10">
        <f>+'Revenue Build'!BM38</f>
        <v>295680</v>
      </c>
      <c r="BO38" s="10">
        <f>+'Revenue Build'!BN38</f>
        <v>295680</v>
      </c>
      <c r="BP38" s="10">
        <f>+'Revenue Build'!BO38</f>
        <v>295680</v>
      </c>
      <c r="BQ38" s="10">
        <f>+'Revenue Build'!BP38</f>
        <v>295680</v>
      </c>
    </row>
    <row r="40">
      <c r="A40" s="9" t="inlineStr">
        <is>
          <t>Business Insurance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</row>
    <row r="41">
      <c r="C41" s="3" t="inlineStr">
        <is>
          <t>General Business</t>
        </is>
      </c>
      <c r="D41" s="20">
        <f>+SUMIFS($J41:$BQ41,$J$7:$BQ$7,D$8)</f>
        <v>146100</v>
      </c>
      <c r="E41" s="20">
        <f>+SUMIFS($J41:$BQ41,$J$7:$BQ$7,E$8)</f>
        <v>155500</v>
      </c>
      <c r="F41" s="20">
        <f>+SUMIFS($J41:$BQ41,$J$7:$BQ$7,F$8)</f>
        <v>188908.976666667</v>
      </c>
      <c r="G41" s="20">
        <f>+SUMIFS($J41:$BQ41,$J$7:$BQ$7,G$8)</f>
        <v>192166.666666667</v>
      </c>
      <c r="H41" s="20">
        <f>+SUMIFS($J41:$BQ41,$J$7:$BQ$7,H$8)</f>
        <v>267166.666666667</v>
      </c>
      <c r="J41" s="10">
        <f>+'Historical &amp; Projected P&amp;L'!J62</f>
        <v>12600</v>
      </c>
      <c r="K41" s="10">
        <f>+'Historical &amp; Projected P&amp;L'!K62</f>
        <v>12100</v>
      </c>
      <c r="L41" s="10">
        <f>+'Historical &amp; Projected P&amp;L'!L62</f>
        <v>11500</v>
      </c>
      <c r="M41" s="10">
        <f>+'Historical &amp; Projected P&amp;L'!M62</f>
        <v>13000</v>
      </c>
      <c r="N41" s="10">
        <f>+'Historical &amp; Projected P&amp;L'!N62</f>
        <v>11400</v>
      </c>
      <c r="O41" s="10">
        <f>+'Historical &amp; Projected P&amp;L'!O62</f>
        <v>12500</v>
      </c>
      <c r="P41" s="10">
        <f>+'Historical &amp; Projected P&amp;L'!P62</f>
        <v>11900</v>
      </c>
      <c r="Q41" s="10">
        <f>+'Historical &amp; Projected P&amp;L'!Q62</f>
        <v>11600</v>
      </c>
      <c r="R41" s="10">
        <f>+'Historical &amp; Projected P&amp;L'!R62</f>
        <v>12500</v>
      </c>
      <c r="S41" s="10">
        <f>+'Historical &amp; Projected P&amp;L'!S62</f>
        <v>12000</v>
      </c>
      <c r="T41" s="10">
        <f>+'Historical &amp; Projected P&amp;L'!T62</f>
        <v>12800</v>
      </c>
      <c r="U41" s="10">
        <f>+'Historical &amp; Projected P&amp;L'!U62</f>
        <v>12200</v>
      </c>
      <c r="V41" s="10">
        <f>+'Historical &amp; Projected P&amp;L'!V62</f>
        <v>12200</v>
      </c>
      <c r="W41" s="10">
        <f>+'Historical &amp; Projected P&amp;L'!W62</f>
        <v>12000</v>
      </c>
      <c r="X41" s="10">
        <f>+'Historical &amp; Projected P&amp;L'!X62</f>
        <v>12200</v>
      </c>
      <c r="Y41" s="10">
        <f>+'Historical &amp; Projected P&amp;L'!Y62</f>
        <v>12300</v>
      </c>
      <c r="Z41" s="10">
        <f>+'Historical &amp; Projected P&amp;L'!Z62</f>
        <v>13000</v>
      </c>
      <c r="AA41" s="10">
        <f>+'Historical &amp; Projected P&amp;L'!AA62</f>
        <v>13100</v>
      </c>
      <c r="AB41" s="10">
        <f>+'Historical &amp; Projected P&amp;L'!AB62</f>
        <v>13800</v>
      </c>
      <c r="AC41" s="10">
        <f>+'Historical &amp; Projected P&amp;L'!AC62</f>
        <v>13200</v>
      </c>
      <c r="AD41" s="10">
        <f>+'Historical &amp; Projected P&amp;L'!AD62</f>
        <v>13500</v>
      </c>
      <c r="AE41" s="10">
        <f>+'Historical &amp; Projected P&amp;L'!AE62</f>
        <v>12900</v>
      </c>
      <c r="AF41" s="10">
        <f>+'Historical &amp; Projected P&amp;L'!AF62</f>
        <v>14200</v>
      </c>
      <c r="AG41" s="10">
        <f>+'Historical &amp; Projected P&amp;L'!AG62</f>
        <v>13100</v>
      </c>
      <c r="AH41" s="10">
        <f>+'Historical &amp; Projected P&amp;L'!AH62</f>
        <v>13300</v>
      </c>
      <c r="AI41" s="10">
        <f>+'Historical &amp; Projected P&amp;L'!AI62</f>
        <v>13200</v>
      </c>
      <c r="AJ41" s="10">
        <f>+'Historical &amp; Projected P&amp;L'!AJ62</f>
        <v>14800</v>
      </c>
      <c r="AK41" s="10">
        <f>+'Historical &amp; Projected P&amp;L'!AK62</f>
        <v>14600</v>
      </c>
      <c r="AL41" s="10">
        <f>+'Historical &amp; Projected P&amp;L'!AL62</f>
        <v>13900</v>
      </c>
      <c r="AM41" s="10">
        <f>+'Historical &amp; Projected P&amp;L'!AM62</f>
        <v>14600</v>
      </c>
      <c r="AN41" s="10">
        <f>+'Historical &amp; Projected P&amp;L'!AN62</f>
        <v>13700</v>
      </c>
      <c r="AO41" s="10">
        <f>+'Historical &amp; Projected P&amp;L'!AO62</f>
        <v>13600</v>
      </c>
      <c r="AP41" s="10">
        <f>+'Historical &amp; Projected P&amp;L'!AP62</f>
        <v>20403.37</v>
      </c>
      <c r="AQ41" s="10">
        <f>+'Historical &amp; Projected P&amp;L'!AQ62</f>
        <v>19957.11</v>
      </c>
      <c r="AR41" s="10">
        <f>+'Historical &amp; Projected P&amp;L'!AR62</f>
        <v>21181.83</v>
      </c>
      <c r="AS41" s="20">
        <f>+LOOKUP(AS43,$C$46:$C$50,$D$46:$D$50)/12</f>
        <v>15666.6666666667</v>
      </c>
      <c r="AT41" s="20">
        <f>+LOOKUP(AT43,$C$46:$C$50,$D$46:$D$50)/12</f>
        <v>15666.6666666667</v>
      </c>
      <c r="AU41" s="20">
        <f>+LOOKUP(AU43,$C$46:$C$50,$D$46:$D$50)/12</f>
        <v>15666.6666666667</v>
      </c>
      <c r="AV41" s="20">
        <f>+LOOKUP(AV43,$C$46:$C$50,$D$46:$D$50)/12</f>
        <v>15666.6666666667</v>
      </c>
      <c r="AW41" s="20">
        <f>+LOOKUP(AW43,$C$46:$C$50,$D$46:$D$50)/12</f>
        <v>15666.6666666667</v>
      </c>
      <c r="AX41" s="20">
        <f>+LOOKUP(AX43,$C$46:$C$50,$D$46:$D$50)/12</f>
        <v>15666.6666666667</v>
      </c>
      <c r="AY41" s="20">
        <f>+LOOKUP(AY43,$C$46:$C$50,$D$46:$D$50)/12</f>
        <v>15666.6666666667</v>
      </c>
      <c r="AZ41" s="20">
        <f>+LOOKUP(AZ43,$C$46:$C$50,$D$46:$D$50)/12</f>
        <v>15666.6666666667</v>
      </c>
      <c r="BA41" s="20">
        <f>+LOOKUP(BA43,$C$46:$C$50,$D$46:$D$50)/12</f>
        <v>15666.6666666667</v>
      </c>
      <c r="BB41" s="20">
        <f>+LOOKUP(BB43,$C$46:$C$50,$D$46:$D$50)/12</f>
        <v>15666.6666666667</v>
      </c>
      <c r="BC41" s="20">
        <f>+LOOKUP(BC43,$C$46:$C$50,$D$46:$D$50)/12</f>
        <v>15666.6666666667</v>
      </c>
      <c r="BD41" s="20">
        <f>+LOOKUP(BD43,$C$46:$C$50,$D$46:$D$50)/12</f>
        <v>15666.6666666667</v>
      </c>
      <c r="BE41" s="20">
        <f>+LOOKUP(BE43,$C$46:$C$50,$D$46:$D$50)/12</f>
        <v>19833.3333333333</v>
      </c>
      <c r="BF41" s="20">
        <f>+LOOKUP(BF43,$C$46:$C$50,$D$46:$D$50)/12</f>
        <v>19833.3333333333</v>
      </c>
      <c r="BG41" s="20">
        <f>+LOOKUP(BG43,$C$46:$C$50,$D$46:$D$50)/12</f>
        <v>19833.3333333333</v>
      </c>
      <c r="BH41" s="20">
        <f>+LOOKUP(BH43,$C$46:$C$50,$D$46:$D$50)/12</f>
        <v>19833.3333333333</v>
      </c>
      <c r="BI41" s="20">
        <f>+LOOKUP(BI43,$C$46:$C$50,$D$46:$D$50)/12</f>
        <v>19833.3333333333</v>
      </c>
      <c r="BJ41" s="20">
        <f>+LOOKUP(BJ43,$C$46:$C$50,$D$46:$D$50)/12</f>
        <v>19833.3333333333</v>
      </c>
      <c r="BK41" s="20">
        <f>+LOOKUP(BK43,$C$46:$C$50,$D$46:$D$50)/12</f>
        <v>24000</v>
      </c>
      <c r="BL41" s="20">
        <f>+LOOKUP(BL43,$C$46:$C$50,$D$46:$D$50)/12</f>
        <v>24000</v>
      </c>
      <c r="BM41" s="20">
        <f>+LOOKUP(BM43,$C$46:$C$50,$D$46:$D$50)/12</f>
        <v>24000</v>
      </c>
      <c r="BN41" s="20">
        <f>+LOOKUP(BN43,$C$46:$C$50,$D$46:$D$50)/12</f>
        <v>24000</v>
      </c>
      <c r="BO41" s="20">
        <f>+LOOKUP(BO43,$C$46:$C$50,$D$46:$D$50)/12</f>
        <v>24000</v>
      </c>
      <c r="BP41" s="20">
        <f>+LOOKUP(BP43,$C$46:$C$50,$D$46:$D$50)/12</f>
        <v>24000</v>
      </c>
      <c r="BQ41" s="20">
        <f>+LOOKUP(BQ43,$C$46:$C$50,$D$46:$D$50)/12</f>
        <v>24000</v>
      </c>
    </row>
    <row r="42">
      <c r="C42" s="3" t="inlineStr">
        <is>
          <t>Net Revenue</t>
        </is>
      </c>
      <c r="D42" s="20">
        <f>+SUMIFS($J42:$BQ42,$J$7:$BQ$7,D$8)</f>
        <v>12711900</v>
      </c>
      <c r="E42" s="20">
        <f>+SUMIFS($J42:$BQ42,$J$7:$BQ$7,E$8)</f>
        <v>13757400</v>
      </c>
      <c r="F42" s="20">
        <f>+SUMIFS($J42:$BQ42,$J$7:$BQ$7,F$8)</f>
        <v>14953118.2902012</v>
      </c>
      <c r="G42" s="20">
        <f>+SUMIFS($J42:$BQ42,$J$7:$BQ$7,G$8)</f>
        <v>16239658.9332487</v>
      </c>
      <c r="H42" s="20">
        <f>+SUMIFS($J42:$BQ42,$J$7:$BQ$7,H$8)</f>
        <v>18945041.4788589</v>
      </c>
      <c r="J42" s="10">
        <f>+'Historical &amp; Projected P&amp;L'!J10</f>
        <v>1059600</v>
      </c>
      <c r="K42" s="10">
        <f>+'Historical &amp; Projected P&amp;L'!K10</f>
        <v>957100</v>
      </c>
      <c r="L42" s="10">
        <f>+'Historical &amp; Projected P&amp;L'!L10</f>
        <v>1053300</v>
      </c>
      <c r="M42" s="10">
        <f>+'Historical &amp; Projected P&amp;L'!M10</f>
        <v>1024700</v>
      </c>
      <c r="N42" s="10">
        <f>+'Historical &amp; Projected P&amp;L'!N10</f>
        <v>1153100</v>
      </c>
      <c r="O42" s="10">
        <f>+'Historical &amp; Projected P&amp;L'!O10</f>
        <v>972600</v>
      </c>
      <c r="P42" s="10">
        <f>+'Historical &amp; Projected P&amp;L'!P10</f>
        <v>1073500</v>
      </c>
      <c r="Q42" s="10">
        <f>+'Historical &amp; Projected P&amp;L'!Q10</f>
        <v>1097400</v>
      </c>
      <c r="R42" s="10">
        <f>+'Historical &amp; Projected P&amp;L'!R10</f>
        <v>1014100</v>
      </c>
      <c r="S42" s="10">
        <f>+'Historical &amp; Projected P&amp;L'!S10</f>
        <v>1221600</v>
      </c>
      <c r="T42" s="10">
        <f>+'Historical &amp; Projected P&amp;L'!T10</f>
        <v>1062800</v>
      </c>
      <c r="U42" s="10">
        <f>+'Historical &amp; Projected P&amp;L'!U10</f>
        <v>1022100</v>
      </c>
      <c r="V42" s="10">
        <f>+'Historical &amp; Projected P&amp;L'!V10</f>
        <v>1157300</v>
      </c>
      <c r="W42" s="10">
        <f>+'Historical &amp; Projected P&amp;L'!W10</f>
        <v>943900</v>
      </c>
      <c r="X42" s="10">
        <f>+'Historical &amp; Projected P&amp;L'!X10</f>
        <v>1081900</v>
      </c>
      <c r="Y42" s="10">
        <f>+'Historical &amp; Projected P&amp;L'!Y10</f>
        <v>1171100</v>
      </c>
      <c r="Z42" s="10">
        <f>+'Historical &amp; Projected P&amp;L'!Z10</f>
        <v>1206800</v>
      </c>
      <c r="AA42" s="10">
        <f>+'Historical &amp; Projected P&amp;L'!AA10</f>
        <v>1057200</v>
      </c>
      <c r="AB42" s="10">
        <f>+'Historical &amp; Projected P&amp;L'!AB10</f>
        <v>1207900</v>
      </c>
      <c r="AC42" s="10">
        <f>+'Historical &amp; Projected P&amp;L'!AC10</f>
        <v>1151100</v>
      </c>
      <c r="AD42" s="10">
        <f>+'Historical &amp; Projected P&amp;L'!AD10</f>
        <v>1151800</v>
      </c>
      <c r="AE42" s="10">
        <f>+'Historical &amp; Projected P&amp;L'!AE10</f>
        <v>1326200</v>
      </c>
      <c r="AF42" s="10">
        <f>+'Historical &amp; Projected P&amp;L'!AF10</f>
        <v>1123100</v>
      </c>
      <c r="AG42" s="10">
        <f>+'Historical &amp; Projected P&amp;L'!AG10</f>
        <v>1179100</v>
      </c>
      <c r="AH42" s="10">
        <f>+'Historical &amp; Projected P&amp;L'!AH10</f>
        <v>1234100</v>
      </c>
      <c r="AI42" s="10">
        <f>+'Historical &amp; Projected P&amp;L'!AI10</f>
        <v>1043900</v>
      </c>
      <c r="AJ42" s="10">
        <f>+'Historical &amp; Projected P&amp;L'!AJ10</f>
        <v>1238800</v>
      </c>
      <c r="AK42" s="10">
        <f>+'Historical &amp; Projected P&amp;L'!AK10</f>
        <v>1289100</v>
      </c>
      <c r="AL42" s="10">
        <f>+'Historical &amp; Projected P&amp;L'!AL10</f>
        <v>1248400</v>
      </c>
      <c r="AM42" s="10">
        <f>+'Historical &amp; Projected P&amp;L'!AM10</f>
        <v>1188000</v>
      </c>
      <c r="AN42" s="10">
        <f>+'Historical &amp; Projected P&amp;L'!AN10</f>
        <v>1297700</v>
      </c>
      <c r="AO42" s="10">
        <f>+'Historical &amp; Projected P&amp;L'!AO10</f>
        <v>1233000</v>
      </c>
      <c r="AP42" s="10">
        <f>+'Historical &amp; Projected P&amp;L'!AP10</f>
        <v>1311360.06</v>
      </c>
      <c r="AQ42" s="10">
        <f>+'Historical &amp; Projected P&amp;L'!AQ10</f>
        <v>1394034.43</v>
      </c>
      <c r="AR42" s="10">
        <f>+'Historical &amp; Projected P&amp;L'!AR10</f>
        <v>1183373.96</v>
      </c>
      <c r="AS42" s="10">
        <f>+'Historical &amp; Projected P&amp;L'!AS10</f>
        <v>1291349.8402012</v>
      </c>
      <c r="AT42" s="10">
        <f>+'Historical &amp; Projected P&amp;L'!AT10</f>
        <v>1179018.2644258</v>
      </c>
      <c r="AU42" s="10">
        <f>+'Historical &amp; Projected P&amp;L'!AU10</f>
        <v>1122852.4765381</v>
      </c>
      <c r="AV42" s="10">
        <f>+'Historical &amp; Projected P&amp;L'!AV10</f>
        <v>1326493.8402012</v>
      </c>
      <c r="AW42" s="10">
        <f>+'Historical &amp; Projected P&amp;L'!AW10</f>
        <v>1352253.8402012</v>
      </c>
      <c r="AX42" s="10">
        <f>+'Historical &amp; Projected P&amp;L'!AX10</f>
        <v>1258146.2644258</v>
      </c>
      <c r="AY42" s="10">
        <f>+'Historical &amp; Projected P&amp;L'!AY10</f>
        <v>1344727.60424886</v>
      </c>
      <c r="AZ42" s="10">
        <f>+'Historical &amp; Projected P&amp;L'!AZ10</f>
        <v>1371375.15618422</v>
      </c>
      <c r="BA42" s="10">
        <f>+'Historical &amp; Projected P&amp;L'!BA10</f>
        <v>1398022.70811958</v>
      </c>
      <c r="BB42" s="10">
        <f>+'Historical &amp; Projected P&amp;L'!BB10</f>
        <v>1431402.26005494</v>
      </c>
      <c r="BC42" s="10">
        <f>+'Historical &amp; Projected P&amp;L'!BC10</f>
        <v>1458049.81199031</v>
      </c>
      <c r="BD42" s="10">
        <f>+'Historical &amp; Projected P&amp;L'!BD10</f>
        <v>1417274.29482212</v>
      </c>
      <c r="BE42" s="10">
        <f>+'Historical &amp; Projected P&amp;L'!BE10</f>
        <v>1580042.41203653</v>
      </c>
      <c r="BF42" s="10">
        <f>+'Historical &amp; Projected P&amp;L'!BF10</f>
        <v>1538404.91586103</v>
      </c>
      <c r="BG42" s="10">
        <f>+'Historical &amp; Projected P&amp;L'!BG10</f>
        <v>1563044.91586103</v>
      </c>
      <c r="BH42" s="10">
        <f>+'Historical &amp; Projected P&amp;L'!BH10</f>
        <v>1705139.90821203</v>
      </c>
      <c r="BI42" s="10">
        <f>+'Historical &amp; Projected P&amp;L'!BI10</f>
        <v>1491997.41968553</v>
      </c>
      <c r="BJ42" s="10">
        <f>+'Historical &amp; Projected P&amp;L'!BJ10</f>
        <v>1563044.91586103</v>
      </c>
      <c r="BK42" s="10">
        <f>+'Historical &amp; Projected P&amp;L'!BK10</f>
        <v>1634092.41203653</v>
      </c>
      <c r="BL42" s="10">
        <f>+'Historical &amp; Projected P&amp;L'!BL10</f>
        <v>1491997.41968553</v>
      </c>
      <c r="BM42" s="10">
        <f>+'Historical &amp; Projected P&amp;L'!BM10</f>
        <v>1705139.90821203</v>
      </c>
      <c r="BN42" s="10">
        <f>+'Historical &amp; Projected P&amp;L'!BN10</f>
        <v>1563044.91586103</v>
      </c>
      <c r="BO42" s="10">
        <f>+'Historical &amp; Projected P&amp;L'!BO10</f>
        <v>1563044.91586103</v>
      </c>
      <c r="BP42" s="10">
        <f>+'Historical &amp; Projected P&amp;L'!BP10</f>
        <v>1563044.91586103</v>
      </c>
      <c r="BQ42" s="10">
        <f>+'Historical &amp; Projected P&amp;L'!BQ10</f>
        <v>1563044.91586103</v>
      </c>
    </row>
    <row r="43">
      <c r="C43" s="3" t="inlineStr">
        <is>
          <t>TTM Rev</t>
        </is>
      </c>
      <c r="U43" s="20">
        <f>SUM(J42:U42)</f>
        <v>12711900</v>
      </c>
      <c r="V43" s="20">
        <f>SUM(K42:V42)</f>
        <v>12809600</v>
      </c>
      <c r="W43" s="20">
        <f>SUM(L42:W42)</f>
        <v>12796400</v>
      </c>
      <c r="X43" s="20">
        <f>SUM(M42:X42)</f>
        <v>12825000</v>
      </c>
      <c r="Y43" s="20">
        <f>SUM(N42:Y42)</f>
        <v>12971400</v>
      </c>
      <c r="Z43" s="20">
        <f>SUM(O42:Z42)</f>
        <v>13025100</v>
      </c>
      <c r="AA43" s="20">
        <f>SUM(P42:AA42)</f>
        <v>13109700</v>
      </c>
      <c r="AB43" s="20">
        <f>SUM(Q42:AB42)</f>
        <v>13244100</v>
      </c>
      <c r="AC43" s="20">
        <f>SUM(R42:AC42)</f>
        <v>13297800</v>
      </c>
      <c r="AD43" s="20">
        <f>SUM(S42:AD42)</f>
        <v>13435500</v>
      </c>
      <c r="AE43" s="20">
        <f>SUM(T42:AE42)</f>
        <v>13540100</v>
      </c>
      <c r="AF43" s="20">
        <f>SUM(U42:AF42)</f>
        <v>13600400</v>
      </c>
      <c r="AG43" s="20">
        <f>SUM(V42:AG42)</f>
        <v>13757400</v>
      </c>
      <c r="AH43" s="20">
        <f>SUM(W42:AH42)</f>
        <v>13834200</v>
      </c>
      <c r="AI43" s="20">
        <f>SUM(X42:AI42)</f>
        <v>13934200</v>
      </c>
      <c r="AJ43" s="20">
        <f>SUM(Y42:AJ42)</f>
        <v>14091100</v>
      </c>
      <c r="AK43" s="20">
        <f>SUM(Z42:AK42)</f>
        <v>14209100</v>
      </c>
      <c r="AL43" s="20">
        <f>SUM(AA42:AL42)</f>
        <v>14250700</v>
      </c>
      <c r="AM43" s="20">
        <f>SUM(AB42:AM42)</f>
        <v>14381500</v>
      </c>
      <c r="AN43" s="20">
        <f>SUM(AC42:AN42)</f>
        <v>14471300</v>
      </c>
      <c r="AO43" s="20">
        <f>SUM(AD42:AO42)</f>
        <v>14553200</v>
      </c>
      <c r="AP43" s="20">
        <f>SUM(AE42:AP42)</f>
        <v>14712760.06</v>
      </c>
      <c r="AQ43" s="20">
        <f>SUM(AF42:AQ42)</f>
        <v>14780594.49</v>
      </c>
      <c r="AR43" s="20">
        <f>SUM(AG42:AR42)</f>
        <v>14840868.45</v>
      </c>
      <c r="AS43" s="20">
        <f>SUM(AH42:AS42)</f>
        <v>14953118.2902012</v>
      </c>
      <c r="AT43" s="20">
        <f>SUM(AI42:AT42)</f>
        <v>14898036.554627</v>
      </c>
      <c r="AU43" s="20">
        <f>SUM(AJ42:AU42)</f>
        <v>14976989.0311651</v>
      </c>
      <c r="AV43" s="20">
        <f>SUM(AK42:AV42)</f>
        <v>15064682.8713663</v>
      </c>
      <c r="AW43" s="20">
        <f>SUM(AL42:AW42)</f>
        <v>15127836.7115675</v>
      </c>
      <c r="AX43" s="20">
        <f>SUM(AM42:AX42)</f>
        <v>15137582.9759933</v>
      </c>
      <c r="AY43" s="20">
        <f>SUM(AN42:AY42)</f>
        <v>15294310.5802422</v>
      </c>
      <c r="AZ43" s="20">
        <f>SUM(AO42:AZ42)</f>
        <v>15367985.7364264</v>
      </c>
      <c r="BA43" s="20">
        <f>SUM(AP42:BA42)</f>
        <v>15533008.444546</v>
      </c>
      <c r="BB43" s="20">
        <f>SUM(AQ42:BB42)</f>
        <v>15653050.6446009</v>
      </c>
      <c r="BC43" s="20">
        <f>SUM(AR42:BC42)</f>
        <v>15717066.0265912</v>
      </c>
      <c r="BD43" s="20">
        <f>SUM(AS42:BD42)</f>
        <v>15950966.3614133</v>
      </c>
      <c r="BE43" s="20">
        <f>SUM(AT42:BE42)</f>
        <v>16239658.9332487</v>
      </c>
      <c r="BF43" s="20">
        <f>SUM(AU42:BF42)</f>
        <v>16599045.5846839</v>
      </c>
      <c r="BG43" s="20">
        <f>SUM(AV42:BG42)</f>
        <v>17039238.0240068</v>
      </c>
      <c r="BH43" s="20">
        <f>SUM(AW42:BH42)</f>
        <v>17417884.0920177</v>
      </c>
      <c r="BI43" s="20">
        <f>SUM(AX42:BI42)</f>
        <v>17557627.671502</v>
      </c>
      <c r="BJ43" s="20">
        <f>SUM(AY42:BJ42)</f>
        <v>17862526.3229372</v>
      </c>
      <c r="BK43" s="20">
        <f>SUM(AZ42:BK42)</f>
        <v>18151891.1307249</v>
      </c>
      <c r="BL43" s="20">
        <f>SUM(BA42:BL42)</f>
        <v>18272513.3942262</v>
      </c>
      <c r="BM43" s="20">
        <f>SUM(BB42:BM42)</f>
        <v>18579630.5943186</v>
      </c>
      <c r="BN43" s="20">
        <f>SUM(BC42:BN42)</f>
        <v>18711273.2501247</v>
      </c>
      <c r="BO43" s="20">
        <f>SUM(BD42:BO42)</f>
        <v>18816268.3539955</v>
      </c>
      <c r="BP43" s="20">
        <f>SUM(BE42:BP42)</f>
        <v>18962038.9750344</v>
      </c>
      <c r="BQ43" s="20">
        <f>SUM(BF42:BQ42)</f>
        <v>18945041.4788589</v>
      </c>
    </row>
    <row r="45">
      <c r="B45" s="4" t="inlineStr">
        <is>
          <t>TTM rev &gt;=</t>
        </is>
      </c>
      <c r="C45" s="2" t="inlineStr">
        <is>
          <t>Thresholds</t>
        </is>
      </c>
      <c r="D45" s="4" t="inlineStr">
        <is>
          <t>Annual premium</t>
        </is>
      </c>
    </row>
    <row r="46">
      <c r="C46" s="28" t="n">
        <v>0</v>
      </c>
      <c r="D46" s="26" t="n">
        <v>88000</v>
      </c>
    </row>
    <row r="47">
      <c r="C47" s="28" t="n">
        <v>12000000</v>
      </c>
      <c r="D47" s="20">
        <f>+D46+50000</f>
        <v>138000</v>
      </c>
    </row>
    <row r="48">
      <c r="C48" s="28" t="n">
        <v>14000000</v>
      </c>
      <c r="D48" s="20">
        <f>+D47+50000</f>
        <v>188000</v>
      </c>
    </row>
    <row r="49">
      <c r="C49" s="28" t="n">
        <v>16000000</v>
      </c>
      <c r="D49" s="20">
        <f>+D48+50000</f>
        <v>238000</v>
      </c>
    </row>
    <row r="50">
      <c r="C50" s="28" t="n">
        <v>18000000</v>
      </c>
      <c r="D50" s="20">
        <f>+D49+50000</f>
        <v>288000</v>
      </c>
    </row>
    <row r="52">
      <c r="A52" s="9" t="inlineStr">
        <is>
          <t>Other Payroll Items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</row>
    <row r="53">
      <c r="C53" s="3" t="inlineStr">
        <is>
          <t>S&amp;W (reported gross, including taxes &amp; processing, in Sep–Nov)</t>
        </is>
      </c>
      <c r="J53" s="10">
        <f>+'Historical &amp; Projected P&amp;L'!J15</f>
        <v>277600</v>
      </c>
      <c r="K53" s="10">
        <f>+'Historical &amp; Projected P&amp;L'!K15</f>
        <v>272100</v>
      </c>
      <c r="L53" s="10">
        <f>+'Historical &amp; Projected P&amp;L'!L15</f>
        <v>278100</v>
      </c>
      <c r="M53" s="10">
        <f>+'Historical &amp; Projected P&amp;L'!M15</f>
        <v>280500</v>
      </c>
      <c r="N53" s="10">
        <f>+'Historical &amp; Projected P&amp;L'!N15</f>
        <v>274300</v>
      </c>
      <c r="O53" s="10">
        <f>+'Historical &amp; Projected P&amp;L'!O15</f>
        <v>276000</v>
      </c>
      <c r="P53" s="10">
        <f>+'Historical &amp; Projected P&amp;L'!P15</f>
        <v>277800</v>
      </c>
      <c r="Q53" s="10">
        <f>+'Historical &amp; Projected P&amp;L'!Q15</f>
        <v>276200</v>
      </c>
      <c r="R53" s="10">
        <f>+'Historical &amp; Projected P&amp;L'!R15</f>
        <v>278300</v>
      </c>
      <c r="S53" s="10">
        <f>+'Historical &amp; Projected P&amp;L'!S15</f>
        <v>274300</v>
      </c>
      <c r="T53" s="10">
        <f>+'Historical &amp; Projected P&amp;L'!T15</f>
        <v>276300</v>
      </c>
      <c r="U53" s="10">
        <f>+'Historical &amp; Projected P&amp;L'!U15</f>
        <v>276100</v>
      </c>
      <c r="V53" s="10">
        <f>+'Historical &amp; Projected P&amp;L'!V15</f>
        <v>288300</v>
      </c>
      <c r="W53" s="10">
        <f>+'Historical &amp; Projected P&amp;L'!W15</f>
        <v>287800</v>
      </c>
      <c r="X53" s="10">
        <f>+'Historical &amp; Projected P&amp;L'!X15</f>
        <v>284200</v>
      </c>
      <c r="Y53" s="10">
        <f>+'Historical &amp; Projected P&amp;L'!Y15</f>
        <v>285700</v>
      </c>
      <c r="Z53" s="10">
        <f>+'Historical &amp; Projected P&amp;L'!Z15</f>
        <v>293900</v>
      </c>
      <c r="AA53" s="10">
        <f>+'Historical &amp; Projected P&amp;L'!AA15</f>
        <v>294200</v>
      </c>
      <c r="AB53" s="10">
        <f>+'Historical &amp; Projected P&amp;L'!AB15</f>
        <v>293700</v>
      </c>
      <c r="AC53" s="10">
        <f>+'Historical &amp; Projected P&amp;L'!AC15</f>
        <v>288900</v>
      </c>
      <c r="AD53" s="10">
        <f>+'Historical &amp; Projected P&amp;L'!AD15</f>
        <v>296900</v>
      </c>
      <c r="AE53" s="10">
        <f>+'Historical &amp; Projected P&amp;L'!AE15</f>
        <v>296400</v>
      </c>
      <c r="AF53" s="10">
        <f>+'Historical &amp; Projected P&amp;L'!AF15</f>
        <v>298500</v>
      </c>
      <c r="AG53" s="10">
        <f>+'Historical &amp; Projected P&amp;L'!AG15</f>
        <v>301300</v>
      </c>
      <c r="AH53" s="10">
        <f>+'Historical &amp; Projected P&amp;L'!AH15</f>
        <v>311800</v>
      </c>
      <c r="AI53" s="10">
        <f>+'Historical &amp; Projected P&amp;L'!AI15</f>
        <v>303200</v>
      </c>
      <c r="AJ53" s="10">
        <f>+'Historical &amp; Projected P&amp;L'!AJ15</f>
        <v>303400</v>
      </c>
      <c r="AK53" s="10">
        <f>+'Historical &amp; Projected P&amp;L'!AK15</f>
        <v>304700</v>
      </c>
      <c r="AL53" s="10">
        <f>+'Historical &amp; Projected P&amp;L'!AL15</f>
        <v>312100</v>
      </c>
      <c r="AM53" s="10">
        <f>+'Historical &amp; Projected P&amp;L'!AM15</f>
        <v>305900</v>
      </c>
      <c r="AN53" s="10">
        <f>+'Historical &amp; Projected P&amp;L'!AN15</f>
        <v>306900</v>
      </c>
      <c r="AO53" s="10">
        <f>+'Historical &amp; Projected P&amp;L'!AO15</f>
        <v>308500</v>
      </c>
      <c r="AP53" s="10">
        <f>+'Sep - Nov P&amp;L'!E60</f>
        <v>336098.26</v>
      </c>
      <c r="AQ53" s="10">
        <f>+'Sep - Nov P&amp;L'!F60</f>
        <v>340503.83</v>
      </c>
      <c r="AR53" s="10">
        <f>+'Sep - Nov P&amp;L'!G60</f>
        <v>335832.28</v>
      </c>
    </row>
    <row r="54">
      <c r="C54" s="3" t="inlineStr">
        <is>
          <t>Payroll taxes</t>
        </is>
      </c>
      <c r="J54" s="10">
        <f>+'Historical &amp; Projected P&amp;L'!J22</f>
        <v>22600</v>
      </c>
      <c r="K54" s="10">
        <f>+'Historical &amp; Projected P&amp;L'!K22</f>
        <v>22300</v>
      </c>
      <c r="L54" s="10">
        <f>+'Historical &amp; Projected P&amp;L'!L22</f>
        <v>22000</v>
      </c>
      <c r="M54" s="10">
        <f>+'Historical &amp; Projected P&amp;L'!M22</f>
        <v>22200</v>
      </c>
      <c r="N54" s="10">
        <f>+'Historical &amp; Projected P&amp;L'!N22</f>
        <v>21300</v>
      </c>
      <c r="O54" s="10">
        <f>+'Historical &amp; Projected P&amp;L'!O22</f>
        <v>22000</v>
      </c>
      <c r="P54" s="10">
        <f>+'Historical &amp; Projected P&amp;L'!P22</f>
        <v>22500</v>
      </c>
      <c r="Q54" s="10">
        <f>+'Historical &amp; Projected P&amp;L'!Q22</f>
        <v>21700</v>
      </c>
      <c r="R54" s="10">
        <f>+'Historical &amp; Projected P&amp;L'!R22</f>
        <v>22100</v>
      </c>
      <c r="S54" s="10">
        <f>+'Historical &amp; Projected P&amp;L'!S22</f>
        <v>22600</v>
      </c>
      <c r="T54" s="10">
        <f>+'Historical &amp; Projected P&amp;L'!T22</f>
        <v>22200</v>
      </c>
      <c r="U54" s="10">
        <f>+'Historical &amp; Projected P&amp;L'!U22</f>
        <v>22500</v>
      </c>
      <c r="V54" s="10">
        <f>+'Historical &amp; Projected P&amp;L'!V22</f>
        <v>23200</v>
      </c>
      <c r="W54" s="10">
        <f>+'Historical &amp; Projected P&amp;L'!W22</f>
        <v>22500</v>
      </c>
      <c r="X54" s="10">
        <f>+'Historical &amp; Projected P&amp;L'!X22</f>
        <v>22300</v>
      </c>
      <c r="Y54" s="10">
        <f>+'Historical &amp; Projected P&amp;L'!Y22</f>
        <v>22500</v>
      </c>
      <c r="Z54" s="10">
        <f>+'Historical &amp; Projected P&amp;L'!Z22</f>
        <v>22900</v>
      </c>
      <c r="AA54" s="10">
        <f>+'Historical &amp; Projected P&amp;L'!AA22</f>
        <v>24100</v>
      </c>
      <c r="AB54" s="10">
        <f>+'Historical &amp; Projected P&amp;L'!AB22</f>
        <v>23100</v>
      </c>
      <c r="AC54" s="10">
        <f>+'Historical &amp; Projected P&amp;L'!AC22</f>
        <v>22600</v>
      </c>
      <c r="AD54" s="10">
        <f>+'Historical &amp; Projected P&amp;L'!AD22</f>
        <v>23700</v>
      </c>
      <c r="AE54" s="10">
        <f>+'Historical &amp; Projected P&amp;L'!AE22</f>
        <v>23900</v>
      </c>
      <c r="AF54" s="10">
        <f>+'Historical &amp; Projected P&amp;L'!AF22</f>
        <v>24000</v>
      </c>
      <c r="AG54" s="10">
        <f>+'Historical &amp; Projected P&amp;L'!AG22</f>
        <v>24400</v>
      </c>
      <c r="AH54" s="10">
        <f>+'Historical &amp; Projected P&amp;L'!AH22</f>
        <v>25500</v>
      </c>
      <c r="AI54" s="10">
        <f>+'Historical &amp; Projected P&amp;L'!AI22</f>
        <v>24000</v>
      </c>
      <c r="AJ54" s="10">
        <f>+'Historical &amp; Projected P&amp;L'!AJ22</f>
        <v>24100</v>
      </c>
      <c r="AK54" s="10">
        <f>+'Historical &amp; Projected P&amp;L'!AK22</f>
        <v>23900</v>
      </c>
      <c r="AL54" s="10">
        <f>+'Historical &amp; Projected P&amp;L'!AL22</f>
        <v>25600</v>
      </c>
      <c r="AM54" s="10">
        <f>+'Historical &amp; Projected P&amp;L'!AM22</f>
        <v>24100</v>
      </c>
      <c r="AN54" s="10">
        <f>+'Historical &amp; Projected P&amp;L'!AN22</f>
        <v>24600</v>
      </c>
      <c r="AO54" s="10">
        <f>+'Historical &amp; Projected P&amp;L'!AO22</f>
        <v>24600</v>
      </c>
    </row>
    <row r="55">
      <c r="C55" s="3" t="inlineStr">
        <is>
          <t>Payroll processing fees</t>
        </is>
      </c>
      <c r="J55" s="10">
        <f>+'Historical &amp; Projected P&amp;L'!J26</f>
        <v>1100</v>
      </c>
      <c r="K55" s="10">
        <f>+'Historical &amp; Projected P&amp;L'!K26</f>
        <v>1100</v>
      </c>
      <c r="L55" s="10">
        <f>+'Historical &amp; Projected P&amp;L'!L26</f>
        <v>1100</v>
      </c>
      <c r="M55" s="10">
        <f>+'Historical &amp; Projected P&amp;L'!M26</f>
        <v>1200</v>
      </c>
      <c r="N55" s="10">
        <f>+'Historical &amp; Projected P&amp;L'!N26</f>
        <v>1100</v>
      </c>
      <c r="O55" s="10">
        <f>+'Historical &amp; Projected P&amp;L'!O26</f>
        <v>1100</v>
      </c>
      <c r="P55" s="10">
        <f>+'Historical &amp; Projected P&amp;L'!P26</f>
        <v>1100</v>
      </c>
      <c r="Q55" s="10">
        <f>+'Historical &amp; Projected P&amp;L'!Q26</f>
        <v>1100</v>
      </c>
      <c r="R55" s="10">
        <f>+'Historical &amp; Projected P&amp;L'!R26</f>
        <v>1100</v>
      </c>
      <c r="S55" s="10">
        <f>+'Historical &amp; Projected P&amp;L'!S26</f>
        <v>1100</v>
      </c>
      <c r="T55" s="10">
        <f>+'Historical &amp; Projected P&amp;L'!T26</f>
        <v>1100</v>
      </c>
      <c r="U55" s="10">
        <f>+'Historical &amp; Projected P&amp;L'!U26</f>
        <v>1100</v>
      </c>
      <c r="V55" s="10">
        <f>+'Historical &amp; Projected P&amp;L'!V26</f>
        <v>1200</v>
      </c>
      <c r="W55" s="10">
        <f>+'Historical &amp; Projected P&amp;L'!W26</f>
        <v>1200</v>
      </c>
      <c r="X55" s="10">
        <f>+'Historical &amp; Projected P&amp;L'!X26</f>
        <v>1100</v>
      </c>
      <c r="Y55" s="10">
        <f>+'Historical &amp; Projected P&amp;L'!Y26</f>
        <v>1100</v>
      </c>
      <c r="Z55" s="10">
        <f>+'Historical &amp; Projected P&amp;L'!Z26</f>
        <v>1200</v>
      </c>
      <c r="AA55" s="10">
        <f>+'Historical &amp; Projected P&amp;L'!AA26</f>
        <v>1200</v>
      </c>
      <c r="AB55" s="10">
        <f>+'Historical &amp; Projected P&amp;L'!AB26</f>
        <v>1200</v>
      </c>
      <c r="AC55" s="10">
        <f>+'Historical &amp; Projected P&amp;L'!AC26</f>
        <v>1100</v>
      </c>
      <c r="AD55" s="10">
        <f>+'Historical &amp; Projected P&amp;L'!AD26</f>
        <v>1200</v>
      </c>
      <c r="AE55" s="10">
        <f>+'Historical &amp; Projected P&amp;L'!AE26</f>
        <v>1200</v>
      </c>
      <c r="AF55" s="10">
        <f>+'Historical &amp; Projected P&amp;L'!AF26</f>
        <v>1200</v>
      </c>
      <c r="AG55" s="10">
        <f>+'Historical &amp; Projected P&amp;L'!AG26</f>
        <v>1200</v>
      </c>
      <c r="AH55" s="10">
        <f>+'Historical &amp; Projected P&amp;L'!AH26</f>
        <v>1300</v>
      </c>
      <c r="AI55" s="10">
        <f>+'Historical &amp; Projected P&amp;L'!AI26</f>
        <v>1200</v>
      </c>
      <c r="AJ55" s="10">
        <f>+'Historical &amp; Projected P&amp;L'!AJ26</f>
        <v>1200</v>
      </c>
      <c r="AK55" s="10">
        <f>+'Historical &amp; Projected P&amp;L'!AK26</f>
        <v>1200</v>
      </c>
      <c r="AL55" s="10">
        <f>+'Historical &amp; Projected P&amp;L'!AL26</f>
        <v>1200</v>
      </c>
      <c r="AM55" s="10">
        <f>+'Historical &amp; Projected P&amp;L'!AM26</f>
        <v>1200</v>
      </c>
      <c r="AN55" s="10">
        <f>+'Historical &amp; Projected P&amp;L'!AN26</f>
        <v>1200</v>
      </c>
      <c r="AO55" s="10">
        <f>+'Historical &amp; Projected P&amp;L'!AO26</f>
        <v>1200</v>
      </c>
    </row>
    <row r="57">
      <c r="C57" s="2" t="inlineStr">
        <is>
          <t>% of S&amp;W</t>
        </is>
      </c>
    </row>
    <row r="58">
      <c r="C58" s="3" t="inlineStr">
        <is>
          <t>Payroll taxes</t>
        </is>
      </c>
      <c r="J58" s="11">
        <f>+IFERROR(J54/J53,)</f>
        <v>0.0814121037463977</v>
      </c>
      <c r="K58" s="11">
        <f>+IFERROR(K54/K53,)</f>
        <v>0.0819551635428151</v>
      </c>
      <c r="L58" s="11">
        <f>+IFERROR(L54/L53,)</f>
        <v>0.0791082344480403</v>
      </c>
      <c r="M58" s="11">
        <f>+IFERROR(M54/M53,)</f>
        <v>0.079144385026738</v>
      </c>
      <c r="N58" s="11">
        <f>+IFERROR(N54/N53,)</f>
        <v>0.0776522056142909</v>
      </c>
      <c r="O58" s="11">
        <f>+IFERROR(O54/O53,)</f>
        <v>0.0797101449275362</v>
      </c>
      <c r="P58" s="11">
        <f>+IFERROR(P54/P53,)</f>
        <v>0.0809935205183585</v>
      </c>
      <c r="Q58" s="11">
        <f>+IFERROR(Q54/Q53,)</f>
        <v>0.0785662563359884</v>
      </c>
      <c r="R58" s="11">
        <f>+IFERROR(R54/R53,)</f>
        <v>0.0794107078692059</v>
      </c>
      <c r="S58" s="11">
        <f>+IFERROR(S54/S53,)</f>
        <v>0.0823915421071819</v>
      </c>
      <c r="T58" s="11">
        <f>+IFERROR(T54/T53,)</f>
        <v>0.0803474484256243</v>
      </c>
      <c r="U58" s="11">
        <f>+IFERROR(U54/U53,)</f>
        <v>0.0814922129663166</v>
      </c>
      <c r="V58" s="11">
        <f>+IFERROR(V54/V53,)</f>
        <v>0.0804717308359348</v>
      </c>
      <c r="W58" s="11">
        <f>+IFERROR(W54/W53,)</f>
        <v>0.0781792911744267</v>
      </c>
      <c r="X58" s="11">
        <f>+IFERROR(X54/X53,)</f>
        <v>0.0784658691062632</v>
      </c>
      <c r="Y58" s="11">
        <f>+IFERROR(Y54/Y53,)</f>
        <v>0.0787539376968848</v>
      </c>
      <c r="Z58" s="11">
        <f>+IFERROR(Z54/Z53,)</f>
        <v>0.0779176590677101</v>
      </c>
      <c r="AA58" s="11">
        <f>+IFERROR(AA54/AA53,)</f>
        <v>0.0819170632222978</v>
      </c>
      <c r="AB58" s="11">
        <f>+IFERROR(AB54/AB53,)</f>
        <v>0.0786516853932584</v>
      </c>
      <c r="AC58" s="11">
        <f>+IFERROR(AC54/AC53,)</f>
        <v>0.0782277604707511</v>
      </c>
      <c r="AD58" s="11">
        <f>+IFERROR(AD54/AD53,)</f>
        <v>0.0798248568541597</v>
      </c>
      <c r="AE58" s="11">
        <f>+IFERROR(AE54/AE53,)</f>
        <v>0.0806342780026991</v>
      </c>
      <c r="AF58" s="11">
        <f>+IFERROR(AF54/AF53,)</f>
        <v>0.0804020100502513</v>
      </c>
      <c r="AG58" s="11">
        <f>+IFERROR(AG54/AG53,)</f>
        <v>0.0809824095585795</v>
      </c>
      <c r="AH58" s="11">
        <f>+IFERROR(AH54/AH53,)</f>
        <v>0.081783194355356</v>
      </c>
      <c r="AI58" s="11">
        <f>+IFERROR(AI54/AI53,)</f>
        <v>0.079155672823219</v>
      </c>
      <c r="AJ58" s="11">
        <f>+IFERROR(AJ54/AJ53,)</f>
        <v>0.0794330916282136</v>
      </c>
      <c r="AK58" s="11">
        <f>+IFERROR(AK54/AK53,)</f>
        <v>0.0784378076796849</v>
      </c>
      <c r="AL58" s="11">
        <f>+IFERROR(AL54/AL53,)</f>
        <v>0.0820249919897469</v>
      </c>
      <c r="AM58" s="11">
        <f>+IFERROR(AM54/AM53,)</f>
        <v>0.0787839163125204</v>
      </c>
      <c r="AN58" s="11">
        <f>+IFERROR(AN54/AN53,)</f>
        <v>0.0801564027370479</v>
      </c>
      <c r="AO58" s="11">
        <f>+IFERROR(AO54/AO53,)</f>
        <v>0.079740680713128</v>
      </c>
      <c r="AP58" s="11">
        <f>+AVERAGE(AD58:AO58)</f>
        <v>0.0801132760587172</v>
      </c>
      <c r="AQ58" s="11">
        <f>+AP58</f>
        <v>0.0801132760587172</v>
      </c>
      <c r="AR58" s="11">
        <f>+AQ58</f>
        <v>0.0801132760587172</v>
      </c>
    </row>
    <row r="59">
      <c r="C59" s="3" t="inlineStr">
        <is>
          <t>Payroll processing fees</t>
        </is>
      </c>
      <c r="J59" s="11">
        <f>+IFERROR(J55/J53,)</f>
        <v>0.00396253602305476</v>
      </c>
      <c r="K59" s="11">
        <f>+IFERROR(K55/K53,)</f>
        <v>0.00404263138552003</v>
      </c>
      <c r="L59" s="11">
        <f>+IFERROR(L55/L53,)</f>
        <v>0.00395541172240201</v>
      </c>
      <c r="M59" s="11">
        <f>+IFERROR(M55/M53,)</f>
        <v>0.00427807486631016</v>
      </c>
      <c r="N59" s="11">
        <f>+IFERROR(N55/N53,)</f>
        <v>0.004010207801677</v>
      </c>
      <c r="O59" s="11">
        <f>+IFERROR(O55/O53,)</f>
        <v>0.00398550724637681</v>
      </c>
      <c r="P59" s="11">
        <f>+IFERROR(P55/P53,)</f>
        <v>0.00395968322534197</v>
      </c>
      <c r="Q59" s="11">
        <f>+IFERROR(Q55/Q53,)</f>
        <v>0.00398262128892107</v>
      </c>
      <c r="R59" s="11">
        <f>+IFERROR(R55/R53,)</f>
        <v>0.00395256916996047</v>
      </c>
      <c r="S59" s="11">
        <f>+IFERROR(S55/S53,)</f>
        <v>0.004010207801677</v>
      </c>
      <c r="T59" s="11">
        <f>+IFERROR(T55/T53,)</f>
        <v>0.00398117987694535</v>
      </c>
      <c r="U59" s="11">
        <f>+IFERROR(U55/U53,)</f>
        <v>0.00398406374501992</v>
      </c>
      <c r="V59" s="11">
        <f>+IFERROR(V55/V53,)</f>
        <v>0.00416233090530697</v>
      </c>
      <c r="W59" s="11">
        <f>+IFERROR(W55/W53,)</f>
        <v>0.00416956219596942</v>
      </c>
      <c r="X59" s="11">
        <f>+IFERROR(X55/X53,)</f>
        <v>0.00387051372273047</v>
      </c>
      <c r="Y59" s="11">
        <f>+IFERROR(Y55/Y53,)</f>
        <v>0.00385019250962548</v>
      </c>
      <c r="Z59" s="11">
        <f>+IFERROR(Z55/Z53,)</f>
        <v>0.00408302143586254</v>
      </c>
      <c r="AA59" s="11">
        <f>+IFERROR(AA55/AA53,)</f>
        <v>0.00407885791978246</v>
      </c>
      <c r="AB59" s="11">
        <f>+IFERROR(AB55/AB53,)</f>
        <v>0.00408580183861083</v>
      </c>
      <c r="AC59" s="11">
        <f>+IFERROR(AC55/AC53,)</f>
        <v>0.00380754586362063</v>
      </c>
      <c r="AD59" s="11">
        <f>+IFERROR(AD55/AD53,)</f>
        <v>0.00404176490400808</v>
      </c>
      <c r="AE59" s="11">
        <f>+IFERROR(AE55/AE53,)</f>
        <v>0.00404858299595142</v>
      </c>
      <c r="AF59" s="11">
        <f>+IFERROR(AF55/AF53,)</f>
        <v>0.00402010050251256</v>
      </c>
      <c r="AG59" s="11">
        <f>+IFERROR(AG55/AG53,)</f>
        <v>0.00398274145370063</v>
      </c>
      <c r="AH59" s="11">
        <f>+IFERROR(AH55/AH53,)</f>
        <v>0.00416933932007697</v>
      </c>
      <c r="AI59" s="11">
        <f>+IFERROR(AI55/AI53,)</f>
        <v>0.00395778364116095</v>
      </c>
      <c r="AJ59" s="11">
        <f>+IFERROR(AJ55/AJ53,)</f>
        <v>0.003955174686882</v>
      </c>
      <c r="AK59" s="11">
        <f>+IFERROR(AK55/AK53,)</f>
        <v>0.00393829996718083</v>
      </c>
      <c r="AL59" s="11">
        <f>+IFERROR(AL55/AL53,)</f>
        <v>0.00384492149951939</v>
      </c>
      <c r="AM59" s="11">
        <f>+IFERROR(AM55/AM53,)</f>
        <v>0.0039228506047728</v>
      </c>
      <c r="AN59" s="11">
        <f>+IFERROR(AN55/AN53,)</f>
        <v>0.00391006842619746</v>
      </c>
      <c r="AO59" s="11">
        <f>+IFERROR(AO55/AO53,)</f>
        <v>0.00388978930307942</v>
      </c>
      <c r="AP59" s="11">
        <f>+AVERAGE(AD59:AO59)</f>
        <v>0.00397345144208688</v>
      </c>
      <c r="AQ59" s="11">
        <f>+AP59</f>
        <v>0.00397345144208688</v>
      </c>
      <c r="AR59" s="11">
        <f>+AQ59</f>
        <v>0.00397345144208688</v>
      </c>
    </row>
    <row r="61">
      <c r="C61" s="2" t="inlineStr">
        <is>
          <t>Restated S&amp;W</t>
        </is>
      </c>
      <c r="D61" s="21">
        <f>+SUMIFS($J61:$BQ61,$J$7:$BQ$7,D$8)</f>
        <v>0</v>
      </c>
      <c r="E61" s="21">
        <f>+SUMIFS($J61:$BQ61,$J$7:$BQ$7,E$8)</f>
        <v>0</v>
      </c>
      <c r="F61" s="21">
        <f>+SUMIFS($J61:$BQ61,$J$7:$BQ$7,F$8)</f>
        <v>1260355.58545661</v>
      </c>
      <c r="G61" s="21">
        <f>+SUMIFS($J61:$BQ61,$J$7:$BQ$7,G$8)</f>
        <v>4327258.52492685</v>
      </c>
      <c r="H61" s="21">
        <f>+SUMIFS($J61:$BQ61,$J$7:$BQ$7,H$8)</f>
        <v>4610459.61400799</v>
      </c>
      <c r="AP61" s="21">
        <f>+AP53-SUM(AP62:AP63)</f>
        <v>310028.940926916</v>
      </c>
      <c r="AQ61" s="21">
        <f>+AQ53-SUM(AQ62:AQ63)</f>
        <v>314092.794757279</v>
      </c>
      <c r="AR61" s="21">
        <f>+AR53-SUM(AR62:AR63)</f>
        <v>309783.591552873</v>
      </c>
      <c r="AS61" s="21">
        <f>+AS22</f>
        <v>326450.25821954</v>
      </c>
      <c r="AT61" s="21">
        <f>+AT22</f>
        <v>323243.765966126</v>
      </c>
      <c r="AU61" s="21">
        <f>+AU22</f>
        <v>340743.765966126</v>
      </c>
      <c r="AV61" s="21">
        <f>+AV22</f>
        <v>361993.765966126</v>
      </c>
      <c r="AW61" s="21">
        <f>+AW22</f>
        <v>361993.765966126</v>
      </c>
      <c r="AX61" s="21">
        <f>+AX22</f>
        <v>361993.765966126</v>
      </c>
      <c r="AY61" s="21">
        <f>+AY22</f>
        <v>366327.099299459</v>
      </c>
      <c r="AZ61" s="21">
        <f>+AZ22</f>
        <v>366327.099299459</v>
      </c>
      <c r="BA61" s="21">
        <f>+BA22</f>
        <v>366327.099299459</v>
      </c>
      <c r="BB61" s="21">
        <f>+BB22</f>
        <v>366327.099299459</v>
      </c>
      <c r="BC61" s="21">
        <f>+BC22</f>
        <v>370660.432632793</v>
      </c>
      <c r="BD61" s="21">
        <f>+BD22</f>
        <v>370660.432632793</v>
      </c>
      <c r="BE61" s="21">
        <f>+BE22</f>
        <v>370660.432632793</v>
      </c>
      <c r="BF61" s="21">
        <f>+BF22</f>
        <v>380232.745611777</v>
      </c>
      <c r="BG61" s="21">
        <f>+BG22</f>
        <v>384566.07894511</v>
      </c>
      <c r="BH61" s="21">
        <f>+BH22</f>
        <v>384566.07894511</v>
      </c>
      <c r="BI61" s="21">
        <f>+BI22</f>
        <v>384566.07894511</v>
      </c>
      <c r="BJ61" s="21">
        <f>+BJ22</f>
        <v>384566.07894511</v>
      </c>
      <c r="BK61" s="21">
        <f>+BK22</f>
        <v>384566.07894511</v>
      </c>
      <c r="BL61" s="21">
        <f>+BL22</f>
        <v>384566.07894511</v>
      </c>
      <c r="BM61" s="21">
        <f>+BM22</f>
        <v>384566.07894511</v>
      </c>
      <c r="BN61" s="21">
        <f>+BN22</f>
        <v>384566.07894511</v>
      </c>
      <c r="BO61" s="21">
        <f>+BO22</f>
        <v>384566.07894511</v>
      </c>
      <c r="BP61" s="21">
        <f>+BP22</f>
        <v>384566.07894511</v>
      </c>
      <c r="BQ61" s="21">
        <f>+BQ22</f>
        <v>384566.07894511</v>
      </c>
    </row>
    <row r="62">
      <c r="C62" s="3" t="inlineStr">
        <is>
          <t>Payroll taxes</t>
        </is>
      </c>
      <c r="AP62" s="20">
        <f>+AP$53/(1+AP$58+AP$59)*AP58</f>
        <v>24837.4341306697</v>
      </c>
      <c r="AQ62" s="20">
        <f>+AQ$53/(1+AQ$58+AQ$59)*AQ58</f>
        <v>25163.0027744439</v>
      </c>
      <c r="AR62" s="20">
        <f>+AR$53/(1+AR$58+AR$59)*AR58</f>
        <v>24817.7783885362</v>
      </c>
    </row>
    <row r="63">
      <c r="C63" s="3" t="inlineStr">
        <is>
          <t>Payroll processing fees</t>
        </is>
      </c>
      <c r="AP63" s="20">
        <f>+AP$53/(1+AP$58+AP$59)*AP59</f>
        <v>1231.88494241472</v>
      </c>
      <c r="AQ63" s="20">
        <f>+AQ$53/(1+AQ$58+AQ$59)*AQ59</f>
        <v>1248.03246827741</v>
      </c>
      <c r="AR63" s="20">
        <f>+AR$53/(1+AR$58+AR$59)*AR59</f>
        <v>1230.91005859062</v>
      </c>
    </row>
  </sheetData>
  <conditionalFormatting sqref="AS10:BQ29">
    <cfRule type="expression" priority="1" dxfId="0">
      <formula>AS$8&gt;=DATE(2026,12,1)</formula>
    </cfRule>
  </conditionalFormatting>
  <conditionalFormatting sqref="AS31:BQ38">
    <cfRule type="expression" priority="2" dxfId="0">
      <formula>AS$8&gt;=DATE(2026,12,1)</formula>
    </cfRule>
  </conditionalFormatting>
  <conditionalFormatting sqref="AS40:BQ43">
    <cfRule type="expression" priority="3" dxfId="0">
      <formula>AS$8&gt;=DATE(2026,12,1)</formula>
    </cfRule>
  </conditionalFormatting>
  <conditionalFormatting sqref="AS52:BQ63">
    <cfRule type="expression" priority="4" dxfId="0">
      <formula>AS$8&gt;=DATE(2026,12,1)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24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" customWidth="1" min="2" max="2"/>
    <col width="4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2" customWidth="1" min="36" max="36"/>
    <col width="11" customWidth="1" min="37" max="37"/>
  </cols>
  <sheetData>
    <row r="1">
      <c r="B1" s="2" t="inlineStr">
        <is>
          <t>Pro Forma Adjusted Income Statement - Combined</t>
        </is>
      </c>
    </row>
    <row r="2">
      <c r="B2" s="3" t="str">
        <f>+Project_Name</f>
        <v>Project Larkspur</v>
      </c>
    </row>
    <row r="4">
      <c r="B4" s="4" t="inlineStr">
        <is>
          <t>Orivane Clinical Laboratories, LLC</t>
        </is>
      </c>
    </row>
    <row r="7">
      <c r="B7" s="9" t="inlineStr">
        <is>
          <t>Pro Forma Adjusted P&amp;L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</row>
    <row r="8">
      <c r="C8" s="4" t="inlineStr">
        <is>
          <t>$ in Thousands</t>
        </is>
      </c>
      <c r="D8" s="19" t="n">
        <v>45322</v>
      </c>
      <c r="E8" s="19">
        <f>+EOMONTH(D8,1)</f>
        <v>45351</v>
      </c>
      <c r="F8" s="19">
        <f>+EOMONTH(E8,1)</f>
        <v>45382</v>
      </c>
      <c r="G8" s="19">
        <f>+EOMONTH(F8,1)</f>
        <v>45412</v>
      </c>
      <c r="H8" s="19">
        <f>+EOMONTH(G8,1)</f>
        <v>45443</v>
      </c>
      <c r="I8" s="19">
        <f>+EOMONTH(H8,1)</f>
        <v>45473</v>
      </c>
      <c r="J8" s="19">
        <f>+EOMONTH(I8,1)</f>
        <v>45504</v>
      </c>
      <c r="K8" s="19">
        <f>+EOMONTH(J8,1)</f>
        <v>45535</v>
      </c>
      <c r="L8" s="19">
        <f>+EOMONTH(K8,1)</f>
        <v>45565</v>
      </c>
      <c r="M8" s="19">
        <f>+EOMONTH(L8,1)</f>
        <v>45596</v>
      </c>
      <c r="N8" s="19">
        <f>+EOMONTH(M8,1)</f>
        <v>45626</v>
      </c>
      <c r="O8" s="19">
        <f>+EOMONTH(N8,1)</f>
        <v>45657</v>
      </c>
      <c r="P8" s="19">
        <f>+EOMONTH(O8,1)</f>
        <v>45688</v>
      </c>
      <c r="Q8" s="19">
        <f>+EOMONTH(P8,1)</f>
        <v>45716</v>
      </c>
      <c r="R8" s="19">
        <f>+EOMONTH(Q8,1)</f>
        <v>45747</v>
      </c>
      <c r="S8" s="19">
        <f>+EOMONTH(R8,1)</f>
        <v>45777</v>
      </c>
      <c r="T8" s="19">
        <f>+EOMONTH(S8,1)</f>
        <v>45808</v>
      </c>
      <c r="U8" s="19">
        <f>+EOMONTH(T8,1)</f>
        <v>45838</v>
      </c>
      <c r="V8" s="19">
        <f>+EOMONTH(U8,1)</f>
        <v>45869</v>
      </c>
      <c r="W8" s="19">
        <f>+EOMONTH(V8,1)</f>
        <v>45900</v>
      </c>
      <c r="X8" s="19">
        <f>+EOMONTH(W8,1)</f>
        <v>45930</v>
      </c>
      <c r="Y8" s="19">
        <f>+EOMONTH(X8,1)</f>
        <v>45961</v>
      </c>
      <c r="Z8" s="19">
        <f>+EOMONTH(Y8,1)</f>
        <v>45991</v>
      </c>
      <c r="AA8" s="19">
        <f>+EOMONTH(Z8,1)</f>
        <v>46022</v>
      </c>
      <c r="AB8" s="19">
        <f>+EOMONTH(AA8,1)</f>
        <v>46053</v>
      </c>
      <c r="AC8" s="19">
        <f>+EOMONTH(AB8,1)</f>
        <v>46081</v>
      </c>
      <c r="AD8" s="19">
        <f>+EOMONTH(AC8,1)</f>
        <v>46112</v>
      </c>
      <c r="AE8" s="19">
        <f>+EOMONTH(AD8,1)</f>
        <v>46142</v>
      </c>
      <c r="AF8" s="19">
        <f>+EOMONTH(AE8,1)</f>
        <v>46173</v>
      </c>
      <c r="AG8" s="19">
        <f>+EOMONTH(AF8,1)</f>
        <v>46203</v>
      </c>
      <c r="AH8" s="19">
        <f>+EOMONTH(AG8,1)</f>
        <v>46234</v>
      </c>
      <c r="AI8" s="19">
        <f>+EOMONTH(AH8,1)</f>
        <v>46265</v>
      </c>
      <c r="AK8" s="8" t="inlineStr">
        <is>
          <t>LTM Aug-26</t>
        </is>
      </c>
    </row>
    <row r="9">
      <c r="C9" s="2" t="inlineStr">
        <is>
          <t>Revenues</t>
        </is>
      </c>
    </row>
    <row r="10">
      <c r="C10" s="2" t="inlineStr">
        <is>
          <t>Operating Revenue</t>
        </is>
      </c>
    </row>
    <row r="11">
      <c r="C11" s="3" t="inlineStr">
        <is>
          <t>Net Fee-for-Service</t>
        </is>
      </c>
      <c r="D11" s="29" t="n">
        <v>1152.1</v>
      </c>
      <c r="E11" s="29" t="n">
        <v>1042.1</v>
      </c>
      <c r="F11" s="29" t="n">
        <v>1152.9</v>
      </c>
      <c r="G11" s="29" t="n">
        <v>1120.7</v>
      </c>
      <c r="H11" s="29" t="n">
        <v>1250.5</v>
      </c>
      <c r="I11" s="29" t="n">
        <v>1058.9</v>
      </c>
      <c r="J11" s="29" t="n">
        <v>1171.7</v>
      </c>
      <c r="K11" s="29" t="n">
        <v>1199.4</v>
      </c>
      <c r="L11" s="29" t="n">
        <v>1098.8</v>
      </c>
      <c r="M11" s="29" t="n">
        <v>1331.5</v>
      </c>
      <c r="N11" s="29" t="n">
        <v>1148.6</v>
      </c>
      <c r="O11" s="29" t="n">
        <v>1118</v>
      </c>
      <c r="P11" s="29" t="n">
        <v>1259.4</v>
      </c>
      <c r="Q11" s="29" t="n">
        <v>1022.8</v>
      </c>
      <c r="R11" s="29" t="n">
        <v>1177.2</v>
      </c>
      <c r="S11" s="29" t="n">
        <v>1279.9</v>
      </c>
      <c r="T11" s="29" t="n">
        <v>1318.2</v>
      </c>
      <c r="U11" s="29" t="n">
        <v>1151.7</v>
      </c>
      <c r="V11" s="29" t="n">
        <v>1317.4</v>
      </c>
      <c r="W11" s="29" t="n">
        <v>1254.1</v>
      </c>
      <c r="X11" s="29" t="n">
        <v>1259.3</v>
      </c>
      <c r="Y11" s="29" t="n">
        <v>1448</v>
      </c>
      <c r="Z11" s="29" t="n">
        <v>1223.3</v>
      </c>
      <c r="AA11" s="29" t="n">
        <v>1285.6</v>
      </c>
      <c r="AB11" s="29" t="n">
        <v>1345</v>
      </c>
      <c r="AC11" s="29" t="n">
        <v>1137.1</v>
      </c>
      <c r="AD11" s="29" t="n">
        <v>1353.8</v>
      </c>
      <c r="AE11" s="29" t="n">
        <v>1395.9</v>
      </c>
      <c r="AF11" s="29" t="n">
        <v>1364.5</v>
      </c>
      <c r="AG11" s="29" t="n">
        <v>1293.1</v>
      </c>
      <c r="AH11" s="29" t="n">
        <v>1413.7</v>
      </c>
      <c r="AI11" s="29" t="n">
        <v>1349.7</v>
      </c>
      <c r="AK11" s="27">
        <f>SUM(X11:AI11)</f>
        <v>15869</v>
      </c>
    </row>
    <row r="12">
      <c r="C12" s="3" t="inlineStr">
        <is>
          <t>Adjustments &amp; Refunds</t>
        </is>
      </c>
      <c r="D12" s="29" t="n">
        <v>-57.2</v>
      </c>
      <c r="E12" s="29" t="n">
        <v>-49.1</v>
      </c>
      <c r="F12" s="29" t="n">
        <v>-58.2</v>
      </c>
      <c r="G12" s="29" t="n">
        <v>-58.9</v>
      </c>
      <c r="H12" s="29" t="n">
        <v>-59.5</v>
      </c>
      <c r="I12" s="29" t="n">
        <v>-51</v>
      </c>
      <c r="J12" s="29" t="n">
        <v>-56.6</v>
      </c>
      <c r="K12" s="29" t="n">
        <v>-58.6</v>
      </c>
      <c r="L12" s="29" t="n">
        <v>-51.9</v>
      </c>
      <c r="M12" s="29" t="n">
        <v>-69.09999999999999</v>
      </c>
      <c r="N12" s="29" t="n">
        <v>-53.6</v>
      </c>
      <c r="O12" s="29" t="n">
        <v>-59.4</v>
      </c>
      <c r="P12" s="29" t="n">
        <v>-61.7</v>
      </c>
      <c r="Q12" s="29" t="n">
        <v>-48.1</v>
      </c>
      <c r="R12" s="29" t="n">
        <v>-53.7</v>
      </c>
      <c r="S12" s="29" t="n">
        <v>-70.40000000000001</v>
      </c>
      <c r="T12" s="29" t="n">
        <v>-69.5</v>
      </c>
      <c r="U12" s="29" t="n">
        <v>-54.9</v>
      </c>
      <c r="V12" s="29" t="n">
        <v>-63.1</v>
      </c>
      <c r="W12" s="29" t="n">
        <v>-59.1</v>
      </c>
      <c r="X12" s="29" t="n">
        <v>-67.7</v>
      </c>
      <c r="Y12" s="29" t="n">
        <v>-76</v>
      </c>
      <c r="Z12" s="29" t="n">
        <v>-56.1</v>
      </c>
      <c r="AA12" s="29" t="n">
        <v>-67.59999999999999</v>
      </c>
      <c r="AB12" s="29" t="n">
        <v>-68.5</v>
      </c>
      <c r="AC12" s="29" t="n">
        <v>-56.9</v>
      </c>
      <c r="AD12" s="29" t="n">
        <v>-74.3</v>
      </c>
      <c r="AE12" s="29" t="n">
        <v>-64.40000000000001</v>
      </c>
      <c r="AF12" s="29" t="n">
        <v>-67.09999999999999</v>
      </c>
      <c r="AG12" s="29" t="n">
        <v>-63.2</v>
      </c>
      <c r="AH12" s="29" t="n">
        <v>-74.2</v>
      </c>
      <c r="AI12" s="29" t="n">
        <v>-70.59999999999999</v>
      </c>
      <c r="AK12" s="27">
        <f>SUM(X12:AI12)</f>
        <v>-806.6</v>
      </c>
    </row>
    <row r="13">
      <c r="C13" s="3" t="inlineStr">
        <is>
          <t>Provision for Bad Debt Expense</t>
        </is>
      </c>
      <c r="D13" s="29" t="n">
        <v>-41.2</v>
      </c>
      <c r="E13" s="29" t="n">
        <v>-42.7</v>
      </c>
      <c r="F13" s="29" t="n">
        <v>-46.6</v>
      </c>
      <c r="G13" s="29" t="n">
        <v>-43.5</v>
      </c>
      <c r="H13" s="29" t="n">
        <v>-46.1</v>
      </c>
      <c r="I13" s="29" t="n">
        <v>-41.1</v>
      </c>
      <c r="J13" s="29" t="n">
        <v>-48.3</v>
      </c>
      <c r="K13" s="29" t="n">
        <v>-48.8</v>
      </c>
      <c r="L13" s="29" t="n">
        <v>-39.3</v>
      </c>
      <c r="M13" s="29" t="n">
        <v>-46.8</v>
      </c>
      <c r="N13" s="29" t="n">
        <v>-39.6</v>
      </c>
      <c r="O13" s="29" t="n">
        <v>-43.6</v>
      </c>
      <c r="P13" s="29" t="n">
        <v>-48.3</v>
      </c>
      <c r="Q13" s="29" t="n">
        <v>-36.5</v>
      </c>
      <c r="R13" s="29" t="n">
        <v>-47.4</v>
      </c>
      <c r="S13" s="29" t="n">
        <v>-45.9</v>
      </c>
      <c r="T13" s="29" t="n">
        <v>-47.9</v>
      </c>
      <c r="U13" s="29" t="n">
        <v>-46.9</v>
      </c>
      <c r="V13" s="29" t="n">
        <v>-53.9</v>
      </c>
      <c r="W13" s="29" t="n">
        <v>-49.9</v>
      </c>
      <c r="X13" s="29" t="n">
        <v>-46.2</v>
      </c>
      <c r="Y13" s="29" t="n">
        <v>-54.6</v>
      </c>
      <c r="Z13" s="29" t="n">
        <v>-50.2</v>
      </c>
      <c r="AA13" s="29" t="n">
        <v>-46.6</v>
      </c>
      <c r="AB13" s="29" t="n">
        <v>-50.6</v>
      </c>
      <c r="AC13" s="29" t="n">
        <v>-43.4</v>
      </c>
      <c r="AD13" s="29" t="n">
        <v>-46.7</v>
      </c>
      <c r="AE13" s="29" t="n">
        <v>-48.8</v>
      </c>
      <c r="AF13" s="29" t="n">
        <v>-55.1</v>
      </c>
      <c r="AG13" s="29" t="n">
        <v>-49.5</v>
      </c>
      <c r="AH13" s="29" t="n">
        <v>-50.9</v>
      </c>
      <c r="AI13" s="29" t="n">
        <v>-52.5</v>
      </c>
      <c r="AK13" s="27">
        <f>SUM(X13:AI13)</f>
        <v>-595.1</v>
      </c>
    </row>
    <row r="14">
      <c r="C14" s="3" t="inlineStr">
        <is>
          <t>Other Operating Revenue</t>
        </is>
      </c>
      <c r="D14" s="29" t="n">
        <v>5.9</v>
      </c>
      <c r="E14" s="29" t="n">
        <v>6.8</v>
      </c>
      <c r="F14" s="29" t="n">
        <v>5.2</v>
      </c>
      <c r="G14" s="29" t="n">
        <v>6.4</v>
      </c>
      <c r="H14" s="29" t="n">
        <v>8.199999999999999</v>
      </c>
      <c r="I14" s="29" t="n">
        <v>5.8</v>
      </c>
      <c r="J14" s="29" t="n">
        <v>6.7</v>
      </c>
      <c r="K14" s="29" t="n">
        <v>5.4</v>
      </c>
      <c r="L14" s="29" t="n">
        <v>6.5</v>
      </c>
      <c r="M14" s="29" t="n">
        <v>6</v>
      </c>
      <c r="N14" s="29" t="n">
        <v>7.4</v>
      </c>
      <c r="O14" s="29" t="n">
        <v>7.1</v>
      </c>
      <c r="P14" s="29" t="n">
        <v>7.9</v>
      </c>
      <c r="Q14" s="29" t="n">
        <v>5.7</v>
      </c>
      <c r="R14" s="29" t="n">
        <v>5.8</v>
      </c>
      <c r="S14" s="29" t="n">
        <v>7.5</v>
      </c>
      <c r="T14" s="29" t="n">
        <v>6</v>
      </c>
      <c r="U14" s="29" t="n">
        <v>7.3</v>
      </c>
      <c r="V14" s="29" t="n">
        <v>7.5</v>
      </c>
      <c r="W14" s="29" t="n">
        <v>6</v>
      </c>
      <c r="X14" s="29" t="n">
        <v>6.4</v>
      </c>
      <c r="Y14" s="29" t="n">
        <v>8.800000000000001</v>
      </c>
      <c r="Z14" s="29" t="n">
        <v>6.1</v>
      </c>
      <c r="AA14" s="29" t="n">
        <v>7.7</v>
      </c>
      <c r="AB14" s="29" t="n">
        <v>8.199999999999999</v>
      </c>
      <c r="AC14" s="29" t="n">
        <v>7.1</v>
      </c>
      <c r="AD14" s="29" t="n">
        <v>6</v>
      </c>
      <c r="AE14" s="29" t="n">
        <v>6.4</v>
      </c>
      <c r="AF14" s="29" t="n">
        <v>6.1</v>
      </c>
      <c r="AG14" s="29" t="n">
        <v>7.6</v>
      </c>
      <c r="AH14" s="29" t="n">
        <v>9.1</v>
      </c>
      <c r="AI14" s="29" t="n">
        <v>6.4</v>
      </c>
      <c r="AK14" s="27">
        <f>SUM(X14:AI14)</f>
        <v>85.9</v>
      </c>
    </row>
    <row r="15">
      <c r="C15" s="2" t="inlineStr">
        <is>
          <t>Total Net Operating Revenue</t>
        </is>
      </c>
      <c r="D15" s="30">
        <f>SUM(D11:D14)</f>
        <v>1059.6</v>
      </c>
      <c r="E15" s="30">
        <f>SUM(E11:E14)</f>
        <v>957.1</v>
      </c>
      <c r="F15" s="30">
        <f>SUM(F11:F14)</f>
        <v>1053.3</v>
      </c>
      <c r="G15" s="30">
        <f>SUM(G11:G14)</f>
        <v>1024.7</v>
      </c>
      <c r="H15" s="30">
        <f>SUM(H11:H14)</f>
        <v>1153.1</v>
      </c>
      <c r="I15" s="30">
        <f>SUM(I11:I14)</f>
        <v>972.6</v>
      </c>
      <c r="J15" s="30">
        <f>SUM(J11:J14)</f>
        <v>1073.5</v>
      </c>
      <c r="K15" s="30">
        <f>SUM(K11:K14)</f>
        <v>1097.4</v>
      </c>
      <c r="L15" s="30">
        <f>SUM(L11:L14)</f>
        <v>1014.1</v>
      </c>
      <c r="M15" s="30">
        <f>SUM(M11:M14)</f>
        <v>1221.6</v>
      </c>
      <c r="N15" s="30">
        <f>SUM(N11:N14)</f>
        <v>1062.8</v>
      </c>
      <c r="O15" s="30">
        <f>SUM(O11:O14)</f>
        <v>1022.1</v>
      </c>
      <c r="P15" s="30">
        <f>SUM(P11:P14)</f>
        <v>1157.3</v>
      </c>
      <c r="Q15" s="30">
        <f>SUM(Q11:Q14)</f>
        <v>943.9</v>
      </c>
      <c r="R15" s="30">
        <f>SUM(R11:R14)</f>
        <v>1081.9</v>
      </c>
      <c r="S15" s="30">
        <f>SUM(S11:S14)</f>
        <v>1171.1</v>
      </c>
      <c r="T15" s="30">
        <f>SUM(T11:T14)</f>
        <v>1206.8</v>
      </c>
      <c r="U15" s="30">
        <f>SUM(U11:U14)</f>
        <v>1057.2</v>
      </c>
      <c r="V15" s="30">
        <f>SUM(V11:V14)</f>
        <v>1207.9</v>
      </c>
      <c r="W15" s="30">
        <f>SUM(W11:W14)</f>
        <v>1151.1</v>
      </c>
      <c r="X15" s="30">
        <f>SUM(X11:X14)</f>
        <v>1151.8</v>
      </c>
      <c r="Y15" s="30">
        <f>SUM(Y11:Y14)</f>
        <v>1326.2</v>
      </c>
      <c r="Z15" s="30">
        <f>SUM(Z11:Z14)</f>
        <v>1123.1</v>
      </c>
      <c r="AA15" s="30">
        <f>SUM(AA11:AA14)</f>
        <v>1179.1</v>
      </c>
      <c r="AB15" s="30">
        <f>SUM(AB11:AB14)</f>
        <v>1234.1</v>
      </c>
      <c r="AC15" s="30">
        <f>SUM(AC11:AC14)</f>
        <v>1043.9</v>
      </c>
      <c r="AD15" s="30">
        <f>SUM(AD11:AD14)</f>
        <v>1238.8</v>
      </c>
      <c r="AE15" s="30">
        <f>SUM(AE11:AE14)</f>
        <v>1289.1</v>
      </c>
      <c r="AF15" s="30">
        <f>SUM(AF11:AF14)</f>
        <v>1248.4</v>
      </c>
      <c r="AG15" s="30">
        <f>SUM(AG11:AG14)</f>
        <v>1188</v>
      </c>
      <c r="AH15" s="30">
        <f>SUM(AH11:AH14)</f>
        <v>1297.7</v>
      </c>
      <c r="AI15" s="30">
        <f>SUM(AI11:AI14)</f>
        <v>1233</v>
      </c>
      <c r="AK15" s="30">
        <f>SUM(X15:AI15)</f>
        <v>14553.2</v>
      </c>
    </row>
    <row r="16">
      <c r="C16" s="3" t="inlineStr">
        <is>
          <t>Growth</t>
        </is>
      </c>
      <c r="E16" s="12">
        <f>+IFERROR(E15/D15-1,"n/a")</f>
        <v>-0.0967346168365421</v>
      </c>
      <c r="F16" s="12">
        <f>+IFERROR(F15/E15-1,"n/a")</f>
        <v>0.100511963222234</v>
      </c>
      <c r="G16" s="12">
        <f>+IFERROR(G15/F15-1,"n/a")</f>
        <v>-0.027152757998671</v>
      </c>
      <c r="H16" s="12">
        <f>+IFERROR(H15/G15-1,"n/a")</f>
        <v>0.125304967307504</v>
      </c>
      <c r="I16" s="12">
        <f>+IFERROR(I15/H15-1,"n/a")</f>
        <v>-0.156534559014829</v>
      </c>
      <c r="J16" s="12">
        <f>+IFERROR(J15/I15-1,"n/a")</f>
        <v>0.10374254575365</v>
      </c>
      <c r="K16" s="12">
        <f>+IFERROR(K15/J15-1,"n/a")</f>
        <v>0.0222636236609224</v>
      </c>
      <c r="L16" s="12">
        <f>+IFERROR(L15/K15-1,"n/a")</f>
        <v>-0.075906688536541</v>
      </c>
      <c r="M16" s="12">
        <f>+IFERROR(M15/L15-1,"n/a")</f>
        <v>0.204614929494133</v>
      </c>
      <c r="N16" s="12">
        <f>+IFERROR(N15/M15-1,"n/a")</f>
        <v>-0.129993451211526</v>
      </c>
      <c r="O16" s="12">
        <f>+IFERROR(O15/N15-1,"n/a")</f>
        <v>-0.0382950696273993</v>
      </c>
      <c r="P16" s="12">
        <f>+IFERROR(P15/O15-1,"n/a")</f>
        <v>0.132276685255846</v>
      </c>
      <c r="Q16" s="12">
        <f>+IFERROR(Q15/P15-1,"n/a")</f>
        <v>-0.184394711829258</v>
      </c>
      <c r="R16" s="12">
        <f>+IFERROR(R15/Q15-1,"n/a")</f>
        <v>0.146201928170357</v>
      </c>
      <c r="S16" s="12">
        <f>+IFERROR(S15/R15-1,"n/a")</f>
        <v>0.0824475459839171</v>
      </c>
      <c r="T16" s="12">
        <f>+IFERROR(T15/S15-1,"n/a")</f>
        <v>0.0304841601912731</v>
      </c>
      <c r="U16" s="12">
        <f>+IFERROR(U15/T15-1,"n/a")</f>
        <v>-0.123964202850514</v>
      </c>
      <c r="V16" s="12">
        <f>+IFERROR(V15/U15-1,"n/a")</f>
        <v>0.142546348846008</v>
      </c>
      <c r="W16" s="12">
        <f>+IFERROR(W15/V15-1,"n/a")</f>
        <v>-0.0470237602450535</v>
      </c>
      <c r="X16" s="12">
        <f>+IFERROR(X15/W15-1,"n/a")</f>
        <v>0.000608113977934144</v>
      </c>
      <c r="Y16" s="12">
        <f>+IFERROR(Y15/X15-1,"n/a")</f>
        <v>0.151415176245876</v>
      </c>
      <c r="Z16" s="12">
        <f>+IFERROR(Z15/Y15-1,"n/a")</f>
        <v>-0.15314432212336</v>
      </c>
      <c r="AA16" s="12">
        <f>+IFERROR(AA15/Z15-1,"n/a")</f>
        <v>0.0498619891372094</v>
      </c>
      <c r="AB16" s="12">
        <f>+IFERROR(AB15/AA15-1,"n/a")</f>
        <v>0.0466457467560004</v>
      </c>
      <c r="AC16" s="12">
        <f>+IFERROR(AC15/AB15-1,"n/a")</f>
        <v>-0.15412041163601</v>
      </c>
      <c r="AD16" s="12">
        <f>+IFERROR(AD15/AC15-1,"n/a")</f>
        <v>0.186703707251653</v>
      </c>
      <c r="AE16" s="12">
        <f>+IFERROR(AE15/AD15-1,"n/a")</f>
        <v>0.0406038101388442</v>
      </c>
      <c r="AF16" s="12">
        <f>+IFERROR(AF15/AE15-1,"n/a")</f>
        <v>-0.0315724148630828</v>
      </c>
      <c r="AG16" s="12">
        <f>+IFERROR(AG15/AF15-1,"n/a")</f>
        <v>-0.0483819288689523</v>
      </c>
      <c r="AH16" s="12">
        <f>+IFERROR(AH15/AG15-1,"n/a")</f>
        <v>0.0923400673400674</v>
      </c>
      <c r="AI16" s="12">
        <f>+IFERROR(AI15/AH15-1,"n/a")</f>
        <v>-0.0498574400863066</v>
      </c>
    </row>
    <row r="18">
      <c r="C18" s="2" t="inlineStr">
        <is>
          <t>Operating Expenses</t>
        </is>
      </c>
    </row>
    <row r="19">
      <c r="C19" s="2" t="inlineStr">
        <is>
          <t>Employee Salaries &amp; Wages</t>
        </is>
      </c>
    </row>
    <row r="20">
      <c r="C20" s="3" t="inlineStr">
        <is>
          <t>Salaries &amp; Wages</t>
        </is>
      </c>
      <c r="D20" s="29" t="n">
        <v>277.6</v>
      </c>
      <c r="E20" s="29" t="n">
        <v>272.1</v>
      </c>
      <c r="F20" s="29" t="n">
        <v>278.1</v>
      </c>
      <c r="G20" s="29" t="n">
        <v>280.5</v>
      </c>
      <c r="H20" s="29" t="n">
        <v>274.3</v>
      </c>
      <c r="I20" s="29" t="n">
        <v>276</v>
      </c>
      <c r="J20" s="29" t="n">
        <v>277.8</v>
      </c>
      <c r="K20" s="29" t="n">
        <v>276.2</v>
      </c>
      <c r="L20" s="29" t="n">
        <v>278.3</v>
      </c>
      <c r="M20" s="29" t="n">
        <v>274.3</v>
      </c>
      <c r="N20" s="29" t="n">
        <v>276.3</v>
      </c>
      <c r="O20" s="29" t="n">
        <v>276.1</v>
      </c>
      <c r="P20" s="29" t="n">
        <v>288.3</v>
      </c>
      <c r="Q20" s="29" t="n">
        <v>287.8</v>
      </c>
      <c r="R20" s="29" t="n">
        <v>284.2</v>
      </c>
      <c r="S20" s="29" t="n">
        <v>285.7</v>
      </c>
      <c r="T20" s="29" t="n">
        <v>293.9</v>
      </c>
      <c r="U20" s="29" t="n">
        <v>294.2</v>
      </c>
      <c r="V20" s="29" t="n">
        <v>293.7</v>
      </c>
      <c r="W20" s="29" t="n">
        <v>288.9</v>
      </c>
      <c r="X20" s="29" t="n">
        <v>296.9</v>
      </c>
      <c r="Y20" s="29" t="n">
        <v>296.4</v>
      </c>
      <c r="Z20" s="29" t="n">
        <v>298.5</v>
      </c>
      <c r="AA20" s="29" t="n">
        <v>301.3</v>
      </c>
      <c r="AB20" s="29" t="n">
        <v>311.8</v>
      </c>
      <c r="AC20" s="29" t="n">
        <v>303.2</v>
      </c>
      <c r="AD20" s="29" t="n">
        <v>303.4</v>
      </c>
      <c r="AE20" s="29" t="n">
        <v>304.7</v>
      </c>
      <c r="AF20" s="29" t="n">
        <v>312.1</v>
      </c>
      <c r="AG20" s="29" t="n">
        <v>305.9</v>
      </c>
      <c r="AH20" s="29" t="n">
        <v>306.9</v>
      </c>
      <c r="AI20" s="29" t="n">
        <v>308.5</v>
      </c>
      <c r="AK20" s="27">
        <f>SUM(X20:AI20)</f>
        <v>3649.6</v>
      </c>
    </row>
    <row r="21">
      <c r="C21" s="3" t="inlineStr">
        <is>
          <t>Contract Labor</t>
        </is>
      </c>
      <c r="D21" s="29" t="n">
        <v>15.5</v>
      </c>
      <c r="E21" s="29" t="n">
        <v>14.3</v>
      </c>
      <c r="F21" s="29" t="n">
        <v>15.1</v>
      </c>
      <c r="G21" s="29" t="n">
        <v>15.4</v>
      </c>
      <c r="H21" s="29" t="n">
        <v>16.5</v>
      </c>
      <c r="I21" s="29" t="n">
        <v>14.8</v>
      </c>
      <c r="J21" s="29" t="n">
        <v>15.7</v>
      </c>
      <c r="K21" s="29" t="n">
        <v>17</v>
      </c>
      <c r="L21" s="29" t="n">
        <v>14.5</v>
      </c>
      <c r="M21" s="29" t="n">
        <v>19.1</v>
      </c>
      <c r="N21" s="29" t="n">
        <v>15.3</v>
      </c>
      <c r="O21" s="29" t="n">
        <v>14.7</v>
      </c>
      <c r="P21" s="29" t="n">
        <v>17.3</v>
      </c>
      <c r="Q21" s="29" t="n">
        <v>14.6</v>
      </c>
      <c r="R21" s="29" t="n">
        <v>16.3</v>
      </c>
      <c r="S21" s="29" t="n">
        <v>18.3</v>
      </c>
      <c r="T21" s="29" t="n">
        <v>17.9</v>
      </c>
      <c r="U21" s="29" t="n">
        <v>15.5</v>
      </c>
      <c r="V21" s="29" t="n">
        <v>18.3</v>
      </c>
      <c r="W21" s="29" t="n">
        <v>16.5</v>
      </c>
      <c r="X21" s="29" t="n">
        <v>18</v>
      </c>
      <c r="Y21" s="29" t="n">
        <v>19.1</v>
      </c>
      <c r="Z21" s="29" t="n">
        <v>16.2</v>
      </c>
      <c r="AA21" s="29" t="n">
        <v>17.5</v>
      </c>
      <c r="AB21" s="29" t="n">
        <v>18</v>
      </c>
      <c r="AC21" s="29" t="n">
        <v>16.3</v>
      </c>
      <c r="AD21" s="29" t="n">
        <v>18.1</v>
      </c>
      <c r="AE21" s="29" t="n">
        <v>18.9</v>
      </c>
      <c r="AF21" s="29" t="n">
        <v>18.1</v>
      </c>
      <c r="AG21" s="29" t="n">
        <v>17.3</v>
      </c>
      <c r="AH21" s="29" t="n">
        <v>19</v>
      </c>
      <c r="AI21" s="29" t="n">
        <v>18.5</v>
      </c>
      <c r="AK21" s="27">
        <f>SUM(X21:AI21)</f>
        <v>215</v>
      </c>
    </row>
    <row r="22">
      <c r="C22" s="3" t="inlineStr">
        <is>
          <t>Sales Rep Expense</t>
        </is>
      </c>
      <c r="D22" s="29" t="n">
        <v>51.7</v>
      </c>
      <c r="E22" s="29" t="n">
        <v>48.6</v>
      </c>
      <c r="F22" s="29" t="n">
        <v>53.1</v>
      </c>
      <c r="G22" s="29" t="n">
        <v>52.3</v>
      </c>
      <c r="H22" s="29" t="n">
        <v>57.5</v>
      </c>
      <c r="I22" s="29" t="n">
        <v>50.2</v>
      </c>
      <c r="J22" s="29" t="n">
        <v>54.4</v>
      </c>
      <c r="K22" s="29" t="n">
        <v>56.3</v>
      </c>
      <c r="L22" s="29" t="n">
        <v>50.5</v>
      </c>
      <c r="M22" s="29" t="n">
        <v>58.9</v>
      </c>
      <c r="N22" s="29" t="n">
        <v>53.3</v>
      </c>
      <c r="O22" s="29" t="n">
        <v>49.8</v>
      </c>
      <c r="P22" s="29" t="n">
        <v>56.9</v>
      </c>
      <c r="Q22" s="29" t="n">
        <v>46.7</v>
      </c>
      <c r="R22" s="29" t="n">
        <v>53.9</v>
      </c>
      <c r="S22" s="29" t="n">
        <v>58.2</v>
      </c>
      <c r="T22" s="29" t="n">
        <v>58.5</v>
      </c>
      <c r="U22" s="29" t="n">
        <v>51.4</v>
      </c>
      <c r="V22" s="29" t="n">
        <v>60.7</v>
      </c>
      <c r="W22" s="29" t="n">
        <v>56.4</v>
      </c>
      <c r="X22" s="29" t="n">
        <v>58</v>
      </c>
      <c r="Y22" s="29" t="n">
        <v>67.3</v>
      </c>
      <c r="Z22" s="29" t="n">
        <v>56.1</v>
      </c>
      <c r="AA22" s="29" t="n">
        <v>60.6</v>
      </c>
      <c r="AB22" s="29" t="n">
        <v>63.8</v>
      </c>
      <c r="AC22" s="29" t="n">
        <v>53.5</v>
      </c>
      <c r="AD22" s="29" t="n">
        <v>62</v>
      </c>
      <c r="AE22" s="29" t="n">
        <v>65</v>
      </c>
      <c r="AF22" s="29" t="n">
        <v>60.9</v>
      </c>
      <c r="AG22" s="29" t="n">
        <v>60.4</v>
      </c>
      <c r="AH22" s="29" t="n">
        <v>66.40000000000001</v>
      </c>
      <c r="AI22" s="29" t="n">
        <v>63.3</v>
      </c>
      <c r="AK22" s="27">
        <f>SUM(X22:AI22)</f>
        <v>737.3</v>
      </c>
    </row>
    <row r="23">
      <c r="C23" s="3" t="inlineStr">
        <is>
          <t>Other Personnel Costs</t>
        </is>
      </c>
      <c r="D23" s="29" t="n">
        <v>7.1</v>
      </c>
      <c r="E23" s="29" t="n">
        <v>7</v>
      </c>
      <c r="F23" s="29" t="n">
        <v>7.7</v>
      </c>
      <c r="G23" s="29" t="n">
        <v>7.1</v>
      </c>
      <c r="H23" s="29" t="n">
        <v>7</v>
      </c>
      <c r="I23" s="29" t="n">
        <v>7.4</v>
      </c>
      <c r="J23" s="29" t="n">
        <v>7.4</v>
      </c>
      <c r="K23" s="29" t="n">
        <v>7.5</v>
      </c>
      <c r="L23" s="29" t="n">
        <v>7.3</v>
      </c>
      <c r="M23" s="29" t="n">
        <v>7.3</v>
      </c>
      <c r="N23" s="29" t="n">
        <v>7.9</v>
      </c>
      <c r="O23" s="29" t="n">
        <v>7.7</v>
      </c>
      <c r="P23" s="29" t="n">
        <v>7.8</v>
      </c>
      <c r="Q23" s="29" t="n">
        <v>7.9</v>
      </c>
      <c r="R23" s="29" t="n">
        <v>8.300000000000001</v>
      </c>
      <c r="S23" s="29" t="n">
        <v>8.1</v>
      </c>
      <c r="T23" s="29" t="n">
        <v>8.5</v>
      </c>
      <c r="U23" s="29" t="n">
        <v>7.8</v>
      </c>
      <c r="V23" s="29" t="n">
        <v>7.9</v>
      </c>
      <c r="W23" s="29" t="n">
        <v>7.8</v>
      </c>
      <c r="X23" s="29" t="n">
        <v>7.7</v>
      </c>
      <c r="Y23" s="29" t="n">
        <v>7.8</v>
      </c>
      <c r="Z23" s="29" t="n">
        <v>8</v>
      </c>
      <c r="AA23" s="29" t="n">
        <v>8.300000000000001</v>
      </c>
      <c r="AB23" s="29" t="n">
        <v>8.9</v>
      </c>
      <c r="AC23" s="29" t="n">
        <v>8.300000000000001</v>
      </c>
      <c r="AD23" s="29" t="n">
        <v>7.9</v>
      </c>
      <c r="AE23" s="29" t="n">
        <v>8.300000000000001</v>
      </c>
      <c r="AF23" s="29" t="n">
        <v>8.1</v>
      </c>
      <c r="AG23" s="29" t="n">
        <v>8.699999999999999</v>
      </c>
      <c r="AH23" s="29" t="n">
        <v>8.9</v>
      </c>
      <c r="AI23" s="29" t="n">
        <v>9.300000000000001</v>
      </c>
      <c r="AK23" s="27">
        <f>SUM(X23:AI23)</f>
        <v>100.2</v>
      </c>
    </row>
    <row r="24">
      <c r="C24" s="2" t="inlineStr">
        <is>
          <t>Total Employee Salaries &amp; Wages</t>
        </is>
      </c>
      <c r="D24" s="30">
        <f>SUM(D20:D23)</f>
        <v>351.9</v>
      </c>
      <c r="E24" s="30">
        <f>SUM(E20:E23)</f>
        <v>342</v>
      </c>
      <c r="F24" s="30">
        <f>SUM(F20:F23)</f>
        <v>354</v>
      </c>
      <c r="G24" s="30">
        <f>SUM(G20:G23)</f>
        <v>355.3</v>
      </c>
      <c r="H24" s="30">
        <f>SUM(H20:H23)</f>
        <v>355.3</v>
      </c>
      <c r="I24" s="30">
        <f>SUM(I20:I23)</f>
        <v>348.4</v>
      </c>
      <c r="J24" s="30">
        <f>SUM(J20:J23)</f>
        <v>355.3</v>
      </c>
      <c r="K24" s="30">
        <f>SUM(K20:K23)</f>
        <v>357</v>
      </c>
      <c r="L24" s="30">
        <f>SUM(L20:L23)</f>
        <v>350.6</v>
      </c>
      <c r="M24" s="30">
        <f>SUM(M20:M23)</f>
        <v>359.6</v>
      </c>
      <c r="N24" s="30">
        <f>SUM(N20:N23)</f>
        <v>352.8</v>
      </c>
      <c r="O24" s="30">
        <f>SUM(O20:O23)</f>
        <v>348.3</v>
      </c>
      <c r="P24" s="30">
        <f>SUM(P20:P23)</f>
        <v>370.3</v>
      </c>
      <c r="Q24" s="30">
        <f>SUM(Q20:Q23)</f>
        <v>357</v>
      </c>
      <c r="R24" s="30">
        <f>SUM(R20:R23)</f>
        <v>362.7</v>
      </c>
      <c r="S24" s="30">
        <f>SUM(S20:S23)</f>
        <v>370.3</v>
      </c>
      <c r="T24" s="30">
        <f>SUM(T20:T23)</f>
        <v>378.8</v>
      </c>
      <c r="U24" s="30">
        <f>SUM(U20:U23)</f>
        <v>368.9</v>
      </c>
      <c r="V24" s="30">
        <f>SUM(V20:V23)</f>
        <v>380.6</v>
      </c>
      <c r="W24" s="30">
        <f>SUM(W20:W23)</f>
        <v>369.6</v>
      </c>
      <c r="X24" s="30">
        <f>SUM(X20:X23)</f>
        <v>380.6</v>
      </c>
      <c r="Y24" s="30">
        <f>SUM(Y20:Y23)</f>
        <v>390.6</v>
      </c>
      <c r="Z24" s="30">
        <f>SUM(Z20:Z23)</f>
        <v>378.8</v>
      </c>
      <c r="AA24" s="30">
        <f>SUM(AA20:AA23)</f>
        <v>387.7</v>
      </c>
      <c r="AB24" s="30">
        <f>SUM(AB20:AB23)</f>
        <v>402.5</v>
      </c>
      <c r="AC24" s="30">
        <f>SUM(AC20:AC23)</f>
        <v>381.3</v>
      </c>
      <c r="AD24" s="30">
        <f>SUM(AD20:AD23)</f>
        <v>391.4</v>
      </c>
      <c r="AE24" s="30">
        <f>SUM(AE20:AE23)</f>
        <v>396.9</v>
      </c>
      <c r="AF24" s="30">
        <f>SUM(AF20:AF23)</f>
        <v>399.2</v>
      </c>
      <c r="AG24" s="30">
        <f>SUM(AG20:AG23)</f>
        <v>392.3</v>
      </c>
      <c r="AH24" s="30">
        <f>SUM(AH20:AH23)</f>
        <v>401.2</v>
      </c>
      <c r="AI24" s="30">
        <f>SUM(AI20:AI23)</f>
        <v>399.6</v>
      </c>
      <c r="AK24" s="30">
        <f>SUM(X24:AI24)</f>
        <v>4702.1</v>
      </c>
    </row>
    <row r="26">
      <c r="C26" s="2" t="inlineStr">
        <is>
          <t>Employee Taxes &amp; Benefits</t>
        </is>
      </c>
    </row>
    <row r="27">
      <c r="C27" s="3" t="inlineStr">
        <is>
          <t>Payroll Taxes</t>
        </is>
      </c>
      <c r="D27" s="29" t="n">
        <v>22.6</v>
      </c>
      <c r="E27" s="29" t="n">
        <v>22.3</v>
      </c>
      <c r="F27" s="29" t="n">
        <v>22</v>
      </c>
      <c r="G27" s="29" t="n">
        <v>22.2</v>
      </c>
      <c r="H27" s="29" t="n">
        <v>21.3</v>
      </c>
      <c r="I27" s="29" t="n">
        <v>22</v>
      </c>
      <c r="J27" s="29" t="n">
        <v>22.5</v>
      </c>
      <c r="K27" s="29" t="n">
        <v>21.7</v>
      </c>
      <c r="L27" s="29" t="n">
        <v>22.1</v>
      </c>
      <c r="M27" s="29" t="n">
        <v>22.6</v>
      </c>
      <c r="N27" s="29" t="n">
        <v>22.2</v>
      </c>
      <c r="O27" s="29" t="n">
        <v>22.5</v>
      </c>
      <c r="P27" s="29" t="n">
        <v>23.2</v>
      </c>
      <c r="Q27" s="29" t="n">
        <v>22.5</v>
      </c>
      <c r="R27" s="29" t="n">
        <v>22.3</v>
      </c>
      <c r="S27" s="29" t="n">
        <v>22.5</v>
      </c>
      <c r="T27" s="29" t="n">
        <v>22.9</v>
      </c>
      <c r="U27" s="29" t="n">
        <v>24.1</v>
      </c>
      <c r="V27" s="29" t="n">
        <v>23.1</v>
      </c>
      <c r="W27" s="29" t="n">
        <v>22.6</v>
      </c>
      <c r="X27" s="29" t="n">
        <v>23.7</v>
      </c>
      <c r="Y27" s="29" t="n">
        <v>23.9</v>
      </c>
      <c r="Z27" s="29" t="n">
        <v>24</v>
      </c>
      <c r="AA27" s="29" t="n">
        <v>24.4</v>
      </c>
      <c r="AB27" s="29" t="n">
        <v>25.5</v>
      </c>
      <c r="AC27" s="29" t="n">
        <v>24</v>
      </c>
      <c r="AD27" s="29" t="n">
        <v>24.1</v>
      </c>
      <c r="AE27" s="29" t="n">
        <v>23.9</v>
      </c>
      <c r="AF27" s="29" t="n">
        <v>25.6</v>
      </c>
      <c r="AG27" s="29" t="n">
        <v>24.1</v>
      </c>
      <c r="AH27" s="29" t="n">
        <v>24.6</v>
      </c>
      <c r="AI27" s="29" t="n">
        <v>24.6</v>
      </c>
      <c r="AK27" s="27">
        <f>SUM(X27:AI27)</f>
        <v>292.4</v>
      </c>
    </row>
    <row r="28">
      <c r="C28" s="3" t="inlineStr">
        <is>
          <t>Employee Benefits</t>
        </is>
      </c>
      <c r="D28" s="29" t="n">
        <v>16.9</v>
      </c>
      <c r="E28" s="29" t="n">
        <v>16.6</v>
      </c>
      <c r="F28" s="29" t="n">
        <v>16.4</v>
      </c>
      <c r="G28" s="29" t="n">
        <v>17.1</v>
      </c>
      <c r="H28" s="29" t="n">
        <v>16.2</v>
      </c>
      <c r="I28" s="29" t="n">
        <v>17</v>
      </c>
      <c r="J28" s="29" t="n">
        <v>16.5</v>
      </c>
      <c r="K28" s="29" t="n">
        <v>16.7</v>
      </c>
      <c r="L28" s="29" t="n">
        <v>16.5</v>
      </c>
      <c r="M28" s="29" t="n">
        <v>16.3</v>
      </c>
      <c r="N28" s="29" t="n">
        <v>16.6</v>
      </c>
      <c r="O28" s="29" t="n">
        <v>16.5</v>
      </c>
      <c r="P28" s="29" t="n">
        <v>16.9</v>
      </c>
      <c r="Q28" s="29" t="n">
        <v>16.8</v>
      </c>
      <c r="R28" s="29" t="n">
        <v>17.2</v>
      </c>
      <c r="S28" s="29" t="n">
        <v>17.2</v>
      </c>
      <c r="T28" s="29" t="n">
        <v>18.1</v>
      </c>
      <c r="U28" s="29" t="n">
        <v>17.7</v>
      </c>
      <c r="V28" s="29" t="n">
        <v>17.7</v>
      </c>
      <c r="W28" s="29" t="n">
        <v>17.6</v>
      </c>
      <c r="X28" s="29" t="n">
        <v>17.3</v>
      </c>
      <c r="Y28" s="29" t="n">
        <v>17.7</v>
      </c>
      <c r="Z28" s="29" t="n">
        <v>18.3</v>
      </c>
      <c r="AA28" s="29" t="n">
        <v>18</v>
      </c>
      <c r="AB28" s="29" t="n">
        <v>18.2</v>
      </c>
      <c r="AC28" s="29" t="n">
        <v>18</v>
      </c>
      <c r="AD28" s="29" t="n">
        <v>18.5</v>
      </c>
      <c r="AE28" s="29" t="n">
        <v>18.7</v>
      </c>
      <c r="AF28" s="29" t="n">
        <v>18.8</v>
      </c>
      <c r="AG28" s="29" t="n">
        <v>18.5</v>
      </c>
      <c r="AH28" s="29" t="n">
        <v>18.3</v>
      </c>
      <c r="AI28" s="29" t="n">
        <v>18.8</v>
      </c>
      <c r="AK28" s="27">
        <f>SUM(X28:AI28)</f>
        <v>219.1</v>
      </c>
    </row>
    <row r="29">
      <c r="C29" s="3" t="inlineStr">
        <is>
          <t>Pension Plans</t>
        </is>
      </c>
      <c r="D29" s="29" t="n">
        <v>2.8</v>
      </c>
      <c r="E29" s="29" t="n">
        <v>2.8</v>
      </c>
      <c r="F29" s="29" t="n">
        <v>2.8</v>
      </c>
      <c r="G29" s="29" t="n">
        <v>2.9</v>
      </c>
      <c r="H29" s="29" t="n">
        <v>2.7</v>
      </c>
      <c r="I29" s="29" t="n">
        <v>2.8</v>
      </c>
      <c r="J29" s="29" t="n">
        <v>2.8</v>
      </c>
      <c r="K29" s="29" t="n">
        <v>2.8</v>
      </c>
      <c r="L29" s="29" t="n">
        <v>2.8</v>
      </c>
      <c r="M29" s="29" t="n">
        <v>2.8</v>
      </c>
      <c r="N29" s="29" t="n">
        <v>2.8</v>
      </c>
      <c r="O29" s="29" t="n">
        <v>2.8</v>
      </c>
      <c r="P29" s="29" t="n">
        <v>2.9</v>
      </c>
      <c r="Q29" s="29" t="n">
        <v>2.8</v>
      </c>
      <c r="R29" s="29" t="n">
        <v>2.8</v>
      </c>
      <c r="S29" s="29" t="n">
        <v>2.8</v>
      </c>
      <c r="T29" s="29" t="n">
        <v>3</v>
      </c>
      <c r="U29" s="29" t="n">
        <v>2.9</v>
      </c>
      <c r="V29" s="29" t="n">
        <v>2.9</v>
      </c>
      <c r="W29" s="29" t="n">
        <v>2.8</v>
      </c>
      <c r="X29" s="29" t="n">
        <v>3</v>
      </c>
      <c r="Y29" s="29" t="n">
        <v>2.9</v>
      </c>
      <c r="Z29" s="29" t="n">
        <v>3</v>
      </c>
      <c r="AA29" s="29" t="n">
        <v>3</v>
      </c>
      <c r="AB29" s="29" t="n">
        <v>3</v>
      </c>
      <c r="AC29" s="29" t="n">
        <v>3</v>
      </c>
      <c r="AD29" s="29" t="n">
        <v>3.1</v>
      </c>
      <c r="AE29" s="29" t="n">
        <v>3.1</v>
      </c>
      <c r="AF29" s="29" t="n">
        <v>3.1</v>
      </c>
      <c r="AG29" s="29" t="n">
        <v>3</v>
      </c>
      <c r="AH29" s="29" t="n">
        <v>3.1</v>
      </c>
      <c r="AI29" s="29" t="n">
        <v>3.1</v>
      </c>
      <c r="AK29" s="27">
        <f>SUM(X29:AI29)</f>
        <v>36.4</v>
      </c>
    </row>
    <row r="30">
      <c r="C30" s="3" t="inlineStr">
        <is>
          <t>Other Personnel Expenses</t>
        </is>
      </c>
      <c r="D30" s="29" t="n">
        <v>0.9</v>
      </c>
      <c r="E30" s="29" t="n">
        <v>0.8</v>
      </c>
      <c r="F30" s="29" t="n">
        <v>0.8</v>
      </c>
      <c r="G30" s="29" t="n">
        <v>0.9</v>
      </c>
      <c r="H30" s="29" t="n">
        <v>0.8</v>
      </c>
      <c r="I30" s="29" t="n">
        <v>0.8</v>
      </c>
      <c r="J30" s="29" t="n">
        <v>0.8</v>
      </c>
      <c r="K30" s="29" t="n">
        <v>0.8</v>
      </c>
      <c r="L30" s="29" t="n">
        <v>0.8</v>
      </c>
      <c r="M30" s="29" t="n">
        <v>0.8</v>
      </c>
      <c r="N30" s="29" t="n">
        <v>0.8</v>
      </c>
      <c r="O30" s="29" t="n">
        <v>0.8</v>
      </c>
      <c r="P30" s="29" t="n">
        <v>0.9</v>
      </c>
      <c r="Q30" s="29" t="n">
        <v>0.9</v>
      </c>
      <c r="R30" s="29" t="n">
        <v>0.8</v>
      </c>
      <c r="S30" s="29" t="n">
        <v>0.9</v>
      </c>
      <c r="T30" s="29" t="n">
        <v>0.9</v>
      </c>
      <c r="U30" s="29" t="n">
        <v>0.9</v>
      </c>
      <c r="V30" s="29" t="n">
        <v>0.9</v>
      </c>
      <c r="W30" s="29" t="n">
        <v>0.9</v>
      </c>
      <c r="X30" s="29" t="n">
        <v>0.9</v>
      </c>
      <c r="Y30" s="29" t="n">
        <v>0.9</v>
      </c>
      <c r="Z30" s="29" t="n">
        <v>0.9</v>
      </c>
      <c r="AA30" s="29" t="n">
        <v>0.9</v>
      </c>
      <c r="AB30" s="29" t="n">
        <v>0.9</v>
      </c>
      <c r="AC30" s="29" t="n">
        <v>0.9</v>
      </c>
      <c r="AD30" s="29" t="n">
        <v>0.9</v>
      </c>
      <c r="AE30" s="29" t="n">
        <v>0.9</v>
      </c>
      <c r="AF30" s="29" t="n">
        <v>0.9</v>
      </c>
      <c r="AG30" s="29" t="n">
        <v>0.9</v>
      </c>
      <c r="AH30" s="29" t="n">
        <v>0.9</v>
      </c>
      <c r="AI30" s="29" t="n">
        <v>0.9</v>
      </c>
      <c r="AK30" s="27">
        <f>SUM(X30:AI30)</f>
        <v>10.8</v>
      </c>
    </row>
    <row r="31">
      <c r="C31" s="3" t="inlineStr">
        <is>
          <t>Payroll Processing Fee</t>
        </is>
      </c>
      <c r="D31" s="29" t="n">
        <v>1.1</v>
      </c>
      <c r="E31" s="29" t="n">
        <v>1.1</v>
      </c>
      <c r="F31" s="29" t="n">
        <v>1.1</v>
      </c>
      <c r="G31" s="29" t="n">
        <v>1.2</v>
      </c>
      <c r="H31" s="29" t="n">
        <v>1.1</v>
      </c>
      <c r="I31" s="29" t="n">
        <v>1.1</v>
      </c>
      <c r="J31" s="29" t="n">
        <v>1.1</v>
      </c>
      <c r="K31" s="29" t="n">
        <v>1.1</v>
      </c>
      <c r="L31" s="29" t="n">
        <v>1.1</v>
      </c>
      <c r="M31" s="29" t="n">
        <v>1.1</v>
      </c>
      <c r="N31" s="29" t="n">
        <v>1.1</v>
      </c>
      <c r="O31" s="29" t="n">
        <v>1.1</v>
      </c>
      <c r="P31" s="29" t="n">
        <v>1.2</v>
      </c>
      <c r="Q31" s="29" t="n">
        <v>1.2</v>
      </c>
      <c r="R31" s="29" t="n">
        <v>1.1</v>
      </c>
      <c r="S31" s="29" t="n">
        <v>1.1</v>
      </c>
      <c r="T31" s="29" t="n">
        <v>1.2</v>
      </c>
      <c r="U31" s="29" t="n">
        <v>1.2</v>
      </c>
      <c r="V31" s="29" t="n">
        <v>1.2</v>
      </c>
      <c r="W31" s="29" t="n">
        <v>1.1</v>
      </c>
      <c r="X31" s="29" t="n">
        <v>1.2</v>
      </c>
      <c r="Y31" s="29" t="n">
        <v>1.2</v>
      </c>
      <c r="Z31" s="29" t="n">
        <v>1.2</v>
      </c>
      <c r="AA31" s="29" t="n">
        <v>1.2</v>
      </c>
      <c r="AB31" s="29" t="n">
        <v>1.3</v>
      </c>
      <c r="AC31" s="29" t="n">
        <v>1.2</v>
      </c>
      <c r="AD31" s="29" t="n">
        <v>1.2</v>
      </c>
      <c r="AE31" s="29" t="n">
        <v>1.2</v>
      </c>
      <c r="AF31" s="29" t="n">
        <v>1.2</v>
      </c>
      <c r="AG31" s="29" t="n">
        <v>1.2</v>
      </c>
      <c r="AH31" s="29" t="n">
        <v>1.2</v>
      </c>
      <c r="AI31" s="29" t="n">
        <v>1.2</v>
      </c>
      <c r="AK31" s="27">
        <f>SUM(X31:AI31)</f>
        <v>14.5</v>
      </c>
    </row>
    <row r="32">
      <c r="C32" s="2" t="inlineStr">
        <is>
          <t>Total Employee Taxes &amp; Benefits</t>
        </is>
      </c>
      <c r="D32" s="30">
        <f>SUM(D27:D31)</f>
        <v>44.3</v>
      </c>
      <c r="E32" s="30">
        <f>SUM(E27:E31)</f>
        <v>43.6</v>
      </c>
      <c r="F32" s="30">
        <f>SUM(F27:F31)</f>
        <v>43.1</v>
      </c>
      <c r="G32" s="30">
        <f>SUM(G27:G31)</f>
        <v>44.3</v>
      </c>
      <c r="H32" s="30">
        <f>SUM(H27:H31)</f>
        <v>42.1</v>
      </c>
      <c r="I32" s="30">
        <f>SUM(I27:I31)</f>
        <v>43.7</v>
      </c>
      <c r="J32" s="30">
        <f>SUM(J27:J31)</f>
        <v>43.7</v>
      </c>
      <c r="K32" s="30">
        <f>SUM(K27:K31)</f>
        <v>43.1</v>
      </c>
      <c r="L32" s="30">
        <f>SUM(L27:L31)</f>
        <v>43.3</v>
      </c>
      <c r="M32" s="30">
        <f>SUM(M27:M31)</f>
        <v>43.6</v>
      </c>
      <c r="N32" s="30">
        <f>SUM(N27:N31)</f>
        <v>43.5</v>
      </c>
      <c r="O32" s="30">
        <f>SUM(O27:O31)</f>
        <v>43.7</v>
      </c>
      <c r="P32" s="30">
        <f>SUM(P27:P31)</f>
        <v>45.1</v>
      </c>
      <c r="Q32" s="30">
        <f>SUM(Q27:Q31)</f>
        <v>44.2</v>
      </c>
      <c r="R32" s="30">
        <f>SUM(R27:R31)</f>
        <v>44.2</v>
      </c>
      <c r="S32" s="30">
        <f>SUM(S27:S31)</f>
        <v>44.5</v>
      </c>
      <c r="T32" s="30">
        <f>SUM(T27:T31)</f>
        <v>46.1</v>
      </c>
      <c r="U32" s="30">
        <f>SUM(U27:U31)</f>
        <v>46.8</v>
      </c>
      <c r="V32" s="30">
        <f>SUM(V27:V31)</f>
        <v>45.8</v>
      </c>
      <c r="W32" s="30">
        <f>SUM(W27:W31)</f>
        <v>45</v>
      </c>
      <c r="X32" s="30">
        <f>SUM(X27:X31)</f>
        <v>46.1</v>
      </c>
      <c r="Y32" s="30">
        <f>SUM(Y27:Y31)</f>
        <v>46.6</v>
      </c>
      <c r="Z32" s="30">
        <f>SUM(Z27:Z31)</f>
        <v>47.4</v>
      </c>
      <c r="AA32" s="30">
        <f>SUM(AA27:AA31)</f>
        <v>47.5</v>
      </c>
      <c r="AB32" s="30">
        <f>SUM(AB27:AB31)</f>
        <v>48.9</v>
      </c>
      <c r="AC32" s="30">
        <f>SUM(AC27:AC31)</f>
        <v>47.1</v>
      </c>
      <c r="AD32" s="30">
        <f>SUM(AD27:AD31)</f>
        <v>47.8</v>
      </c>
      <c r="AE32" s="30">
        <f>SUM(AE27:AE31)</f>
        <v>47.8</v>
      </c>
      <c r="AF32" s="30">
        <f>SUM(AF27:AF31)</f>
        <v>49.6</v>
      </c>
      <c r="AG32" s="30">
        <f>SUM(AG27:AG31)</f>
        <v>47.7</v>
      </c>
      <c r="AH32" s="30">
        <f>SUM(AH27:AH31)</f>
        <v>48.1</v>
      </c>
      <c r="AI32" s="30">
        <f>SUM(AI27:AI31)</f>
        <v>48.6</v>
      </c>
      <c r="AK32" s="30">
        <f>SUM(X32:AI32)</f>
        <v>573.2</v>
      </c>
    </row>
    <row r="34">
      <c r="C34" s="2" t="inlineStr">
        <is>
          <t>Occupancy Costs</t>
        </is>
      </c>
    </row>
    <row r="35">
      <c r="C35" s="3" t="inlineStr">
        <is>
          <t>Facility Rent</t>
        </is>
      </c>
      <c r="D35" s="29" t="n">
        <v>38</v>
      </c>
      <c r="E35" s="29" t="n">
        <v>36.3</v>
      </c>
      <c r="F35" s="29" t="n">
        <v>39.7</v>
      </c>
      <c r="G35" s="29" t="n">
        <v>38.8</v>
      </c>
      <c r="H35" s="29" t="n">
        <v>40.4</v>
      </c>
      <c r="I35" s="29" t="n">
        <v>39</v>
      </c>
      <c r="J35" s="29" t="n">
        <v>38.5</v>
      </c>
      <c r="K35" s="29" t="n">
        <v>37.7</v>
      </c>
      <c r="L35" s="29" t="n">
        <v>37.8</v>
      </c>
      <c r="M35" s="29" t="n">
        <v>41.2</v>
      </c>
      <c r="N35" s="29" t="n">
        <v>39.6</v>
      </c>
      <c r="O35" s="29" t="n">
        <v>38</v>
      </c>
      <c r="P35" s="29" t="n">
        <v>38.3</v>
      </c>
      <c r="Q35" s="29" t="n">
        <v>39.6</v>
      </c>
      <c r="R35" s="29" t="n">
        <v>41.3</v>
      </c>
      <c r="S35" s="29" t="n">
        <v>42.3</v>
      </c>
      <c r="T35" s="29" t="n">
        <v>42.8</v>
      </c>
      <c r="U35" s="29" t="n">
        <v>41.4</v>
      </c>
      <c r="V35" s="29" t="n">
        <v>44.3</v>
      </c>
      <c r="W35" s="29" t="n">
        <v>42.5</v>
      </c>
      <c r="X35" s="29" t="n">
        <v>44.7</v>
      </c>
      <c r="Y35" s="29" t="n">
        <v>42.4</v>
      </c>
      <c r="Z35" s="29" t="n">
        <v>43.2</v>
      </c>
      <c r="AA35" s="29" t="n">
        <v>45</v>
      </c>
      <c r="AB35" s="29" t="n">
        <v>45.3</v>
      </c>
      <c r="AC35" s="29" t="n">
        <v>45.3</v>
      </c>
      <c r="AD35" s="29" t="n">
        <v>46.5</v>
      </c>
      <c r="AE35" s="29" t="n">
        <v>45.7</v>
      </c>
      <c r="AF35" s="29" t="n">
        <v>41.6</v>
      </c>
      <c r="AG35" s="29" t="n">
        <v>42.2</v>
      </c>
      <c r="AH35" s="29" t="n">
        <v>44.7</v>
      </c>
      <c r="AI35" s="29" t="n">
        <v>42.3</v>
      </c>
      <c r="AK35" s="27">
        <f>SUM(X35:AI35)</f>
        <v>528.9</v>
      </c>
    </row>
    <row r="36">
      <c r="C36" s="3" t="inlineStr">
        <is>
          <t>Utilities</t>
        </is>
      </c>
      <c r="D36" s="29" t="n">
        <v>6.3</v>
      </c>
      <c r="E36" s="29" t="n">
        <v>6.1</v>
      </c>
      <c r="F36" s="29" t="n">
        <v>6.6</v>
      </c>
      <c r="G36" s="29" t="n">
        <v>6.4</v>
      </c>
      <c r="H36" s="29" t="n">
        <v>6.4</v>
      </c>
      <c r="I36" s="29" t="n">
        <v>6.6</v>
      </c>
      <c r="J36" s="29" t="n">
        <v>6.2</v>
      </c>
      <c r="K36" s="29" t="n">
        <v>6.8</v>
      </c>
      <c r="L36" s="29" t="n">
        <v>6.5</v>
      </c>
      <c r="M36" s="29" t="n">
        <v>6.7</v>
      </c>
      <c r="N36" s="29" t="n">
        <v>6.5</v>
      </c>
      <c r="O36" s="29" t="n">
        <v>6.5</v>
      </c>
      <c r="P36" s="29" t="n">
        <v>6.6</v>
      </c>
      <c r="Q36" s="29" t="n">
        <v>6.6</v>
      </c>
      <c r="R36" s="29" t="n">
        <v>6.3</v>
      </c>
      <c r="S36" s="29" t="n">
        <v>6.6</v>
      </c>
      <c r="T36" s="29" t="n">
        <v>7</v>
      </c>
      <c r="U36" s="29" t="n">
        <v>6.5</v>
      </c>
      <c r="V36" s="29" t="n">
        <v>7.2</v>
      </c>
      <c r="W36" s="29" t="n">
        <v>6.9</v>
      </c>
      <c r="X36" s="29" t="n">
        <v>7.4</v>
      </c>
      <c r="Y36" s="29" t="n">
        <v>6.7</v>
      </c>
      <c r="Z36" s="29" t="n">
        <v>6.7</v>
      </c>
      <c r="AA36" s="29" t="n">
        <v>6.7</v>
      </c>
      <c r="AB36" s="29" t="n">
        <v>7.1</v>
      </c>
      <c r="AC36" s="29" t="n">
        <v>7.6</v>
      </c>
      <c r="AD36" s="29" t="n">
        <v>6.8</v>
      </c>
      <c r="AE36" s="29" t="n">
        <v>7.2</v>
      </c>
      <c r="AF36" s="29" t="n">
        <v>7.6</v>
      </c>
      <c r="AG36" s="29" t="n">
        <v>7</v>
      </c>
      <c r="AH36" s="29" t="n">
        <v>7.2</v>
      </c>
      <c r="AI36" s="29" t="n">
        <v>7.3</v>
      </c>
      <c r="AK36" s="27">
        <f>SUM(X36:AI36)</f>
        <v>85.3</v>
      </c>
    </row>
    <row r="37">
      <c r="C37" s="3" t="inlineStr">
        <is>
          <t>Janitorial</t>
        </is>
      </c>
      <c r="D37" s="29" t="n">
        <v>3.2</v>
      </c>
      <c r="E37" s="29" t="n">
        <v>3</v>
      </c>
      <c r="F37" s="29" t="n">
        <v>3</v>
      </c>
      <c r="G37" s="29" t="n">
        <v>3.1</v>
      </c>
      <c r="H37" s="29" t="n">
        <v>3.3</v>
      </c>
      <c r="I37" s="29" t="n">
        <v>3.2</v>
      </c>
      <c r="J37" s="29" t="n">
        <v>3.4</v>
      </c>
      <c r="K37" s="29" t="n">
        <v>3</v>
      </c>
      <c r="L37" s="29" t="n">
        <v>3.4</v>
      </c>
      <c r="M37" s="29" t="n">
        <v>3.1</v>
      </c>
      <c r="N37" s="29" t="n">
        <v>3.4</v>
      </c>
      <c r="O37" s="29" t="n">
        <v>3.5</v>
      </c>
      <c r="P37" s="29" t="n">
        <v>3.1</v>
      </c>
      <c r="Q37" s="29" t="n">
        <v>3.3</v>
      </c>
      <c r="R37" s="29" t="n">
        <v>3.5</v>
      </c>
      <c r="S37" s="29" t="n">
        <v>3.5</v>
      </c>
      <c r="T37" s="29" t="n">
        <v>3.6</v>
      </c>
      <c r="U37" s="29" t="n">
        <v>3.6</v>
      </c>
      <c r="V37" s="29" t="n">
        <v>3.4</v>
      </c>
      <c r="W37" s="29" t="n">
        <v>3.4</v>
      </c>
      <c r="X37" s="29" t="n">
        <v>3.5</v>
      </c>
      <c r="Y37" s="29" t="n">
        <v>3.4</v>
      </c>
      <c r="Z37" s="29" t="n">
        <v>3.4</v>
      </c>
      <c r="AA37" s="29" t="n">
        <v>3.5</v>
      </c>
      <c r="AB37" s="29" t="n">
        <v>3.4</v>
      </c>
      <c r="AC37" s="29" t="n">
        <v>3.6</v>
      </c>
      <c r="AD37" s="29" t="n">
        <v>3.4</v>
      </c>
      <c r="AE37" s="29" t="n">
        <v>3.9</v>
      </c>
      <c r="AF37" s="29" t="n">
        <v>3.8</v>
      </c>
      <c r="AG37" s="29" t="n">
        <v>3.8</v>
      </c>
      <c r="AH37" s="29" t="n">
        <v>3.8</v>
      </c>
      <c r="AI37" s="29" t="n">
        <v>3.7</v>
      </c>
      <c r="AK37" s="27">
        <f>SUM(X37:AI37)</f>
        <v>43.2</v>
      </c>
    </row>
    <row r="38">
      <c r="C38" s="3" t="inlineStr">
        <is>
          <t>Security</t>
        </is>
      </c>
      <c r="D38" s="29" t="n">
        <v>1</v>
      </c>
      <c r="E38" s="29" t="n">
        <v>1.1</v>
      </c>
      <c r="F38" s="29" t="n">
        <v>1</v>
      </c>
      <c r="G38" s="29" t="n">
        <v>1</v>
      </c>
      <c r="H38" s="29" t="n">
        <v>1.1</v>
      </c>
      <c r="I38" s="29" t="n">
        <v>1.1</v>
      </c>
      <c r="J38" s="29" t="n">
        <v>1.1</v>
      </c>
      <c r="K38" s="29" t="n">
        <v>1</v>
      </c>
      <c r="L38" s="29" t="n">
        <v>1.2</v>
      </c>
      <c r="M38" s="29" t="n">
        <v>1.1</v>
      </c>
      <c r="N38" s="29" t="n">
        <v>1.1</v>
      </c>
      <c r="O38" s="29" t="n">
        <v>1.1</v>
      </c>
      <c r="P38" s="29" t="n">
        <v>1.1</v>
      </c>
      <c r="Q38" s="29" t="n">
        <v>1.1</v>
      </c>
      <c r="R38" s="29" t="n">
        <v>1.2</v>
      </c>
      <c r="S38" s="29" t="n">
        <v>1.1</v>
      </c>
      <c r="T38" s="29" t="n">
        <v>1.1</v>
      </c>
      <c r="U38" s="29" t="n">
        <v>1.2</v>
      </c>
      <c r="V38" s="29" t="n">
        <v>1.2</v>
      </c>
      <c r="W38" s="29" t="n">
        <v>1.2</v>
      </c>
      <c r="X38" s="29" t="n">
        <v>1.1</v>
      </c>
      <c r="Y38" s="29" t="n">
        <v>1.3</v>
      </c>
      <c r="Z38" s="29" t="n">
        <v>1.2</v>
      </c>
      <c r="AA38" s="29" t="n">
        <v>1.3</v>
      </c>
      <c r="AB38" s="29" t="n">
        <v>1.3</v>
      </c>
      <c r="AC38" s="29" t="n">
        <v>1.1</v>
      </c>
      <c r="AD38" s="29" t="n">
        <v>1.1</v>
      </c>
      <c r="AE38" s="29" t="n">
        <v>1.2</v>
      </c>
      <c r="AF38" s="29" t="n">
        <v>1.2</v>
      </c>
      <c r="AG38" s="29" t="n">
        <v>1.3</v>
      </c>
      <c r="AH38" s="29" t="n">
        <v>1.3</v>
      </c>
      <c r="AI38" s="29" t="n">
        <v>1.3</v>
      </c>
      <c r="AK38" s="27">
        <f>SUM(X38:AI38)</f>
        <v>14.7</v>
      </c>
    </row>
    <row r="39">
      <c r="C39" s="3" t="inlineStr">
        <is>
          <t>Other Facility Expenses</t>
        </is>
      </c>
      <c r="D39" s="29" t="n">
        <v>2</v>
      </c>
      <c r="E39" s="29" t="n">
        <v>2</v>
      </c>
      <c r="F39" s="29" t="n">
        <v>2.2</v>
      </c>
      <c r="G39" s="29" t="n">
        <v>2.2</v>
      </c>
      <c r="H39" s="29" t="n">
        <v>2.2</v>
      </c>
      <c r="I39" s="29" t="n">
        <v>2.1</v>
      </c>
      <c r="J39" s="29" t="n">
        <v>2.2</v>
      </c>
      <c r="K39" s="29" t="n">
        <v>2.3</v>
      </c>
      <c r="L39" s="29" t="n">
        <v>2.3</v>
      </c>
      <c r="M39" s="29" t="n">
        <v>2.3</v>
      </c>
      <c r="N39" s="29" t="n">
        <v>2.2</v>
      </c>
      <c r="O39" s="29" t="n">
        <v>2.2</v>
      </c>
      <c r="P39" s="29" t="n">
        <v>2.3</v>
      </c>
      <c r="Q39" s="29" t="n">
        <v>2.1</v>
      </c>
      <c r="R39" s="29" t="n">
        <v>2.3</v>
      </c>
      <c r="S39" s="29" t="n">
        <v>2.1</v>
      </c>
      <c r="T39" s="29" t="n">
        <v>2.3</v>
      </c>
      <c r="U39" s="29" t="n">
        <v>2.2</v>
      </c>
      <c r="V39" s="29" t="n">
        <v>2.4</v>
      </c>
      <c r="W39" s="29" t="n">
        <v>2.5</v>
      </c>
      <c r="X39" s="29" t="n">
        <v>2.2</v>
      </c>
      <c r="Y39" s="29" t="n">
        <v>2.3</v>
      </c>
      <c r="Z39" s="29" t="n">
        <v>2.4</v>
      </c>
      <c r="AA39" s="29" t="n">
        <v>2.4</v>
      </c>
      <c r="AB39" s="29" t="n">
        <v>2.5</v>
      </c>
      <c r="AC39" s="29" t="n">
        <v>2.3</v>
      </c>
      <c r="AD39" s="29" t="n">
        <v>2.3</v>
      </c>
      <c r="AE39" s="29" t="n">
        <v>2.4</v>
      </c>
      <c r="AF39" s="29" t="n">
        <v>2.5</v>
      </c>
      <c r="AG39" s="29" t="n">
        <v>2.3</v>
      </c>
      <c r="AH39" s="29" t="n">
        <v>2.3</v>
      </c>
      <c r="AI39" s="29" t="n">
        <v>2.6</v>
      </c>
      <c r="AK39" s="27">
        <f>SUM(X39:AI39)</f>
        <v>28.5</v>
      </c>
    </row>
    <row r="40">
      <c r="C40" s="3" t="inlineStr">
        <is>
          <t>Storage</t>
        </is>
      </c>
      <c r="D40" s="29" t="n">
        <v>1.1</v>
      </c>
      <c r="E40" s="29" t="n">
        <v>1.1</v>
      </c>
      <c r="F40" s="29" t="n">
        <v>1.1</v>
      </c>
      <c r="G40" s="29" t="n">
        <v>1</v>
      </c>
      <c r="H40" s="29" t="n">
        <v>1.1</v>
      </c>
      <c r="I40" s="29" t="n">
        <v>1.1</v>
      </c>
      <c r="J40" s="29" t="n">
        <v>1.1</v>
      </c>
      <c r="K40" s="29" t="n">
        <v>1</v>
      </c>
      <c r="L40" s="29" t="n">
        <v>1.1</v>
      </c>
      <c r="M40" s="29" t="n">
        <v>1.1</v>
      </c>
      <c r="N40" s="29" t="n">
        <v>1.1</v>
      </c>
      <c r="O40" s="29" t="n">
        <v>1.1</v>
      </c>
      <c r="P40" s="29" t="n">
        <v>1.1</v>
      </c>
      <c r="Q40" s="29" t="n">
        <v>1.1</v>
      </c>
      <c r="R40" s="29" t="n">
        <v>1.1</v>
      </c>
      <c r="S40" s="29" t="n">
        <v>1.1</v>
      </c>
      <c r="T40" s="29" t="n">
        <v>1.1</v>
      </c>
      <c r="U40" s="29" t="n">
        <v>1.1</v>
      </c>
      <c r="V40" s="29" t="n">
        <v>1.2</v>
      </c>
      <c r="W40" s="29" t="n">
        <v>1.2</v>
      </c>
      <c r="X40" s="29" t="n">
        <v>1.1</v>
      </c>
      <c r="Y40" s="29" t="n">
        <v>1.2</v>
      </c>
      <c r="Z40" s="29" t="n">
        <v>1.2</v>
      </c>
      <c r="AA40" s="29" t="n">
        <v>1.2</v>
      </c>
      <c r="AB40" s="29" t="n">
        <v>1.3</v>
      </c>
      <c r="AC40" s="29" t="n">
        <v>1.2</v>
      </c>
      <c r="AD40" s="29" t="n">
        <v>1.2</v>
      </c>
      <c r="AE40" s="29" t="n">
        <v>1.2</v>
      </c>
      <c r="AF40" s="29" t="n">
        <v>1.2</v>
      </c>
      <c r="AG40" s="29" t="n">
        <v>1.3</v>
      </c>
      <c r="AH40" s="29" t="n">
        <v>1.3</v>
      </c>
      <c r="AI40" s="29" t="n">
        <v>1.2</v>
      </c>
      <c r="AK40" s="27">
        <f>SUM(X40:AI40)</f>
        <v>14.6</v>
      </c>
    </row>
    <row r="41">
      <c r="C41" s="3" t="inlineStr">
        <is>
          <t>Facility Repairs &amp; Maintenance</t>
        </is>
      </c>
      <c r="D41" s="29" t="n">
        <v>3.6</v>
      </c>
      <c r="E41" s="29" t="n">
        <v>3.6</v>
      </c>
      <c r="F41" s="29" t="n">
        <v>3.6</v>
      </c>
      <c r="G41" s="29" t="n">
        <v>3.6</v>
      </c>
      <c r="H41" s="29" t="n">
        <v>3.8</v>
      </c>
      <c r="I41" s="29" t="n">
        <v>4</v>
      </c>
      <c r="J41" s="29" t="n">
        <v>4</v>
      </c>
      <c r="K41" s="29" t="n">
        <v>3.5</v>
      </c>
      <c r="L41" s="29" t="n">
        <v>3.7</v>
      </c>
      <c r="M41" s="29" t="n">
        <v>4</v>
      </c>
      <c r="N41" s="29" t="n">
        <v>3.9</v>
      </c>
      <c r="O41" s="29" t="n">
        <v>3.8</v>
      </c>
      <c r="P41" s="29" t="n">
        <v>3.7</v>
      </c>
      <c r="Q41" s="29" t="n">
        <v>3.9</v>
      </c>
      <c r="R41" s="29" t="n">
        <v>3.9</v>
      </c>
      <c r="S41" s="29" t="n">
        <v>4.2</v>
      </c>
      <c r="T41" s="29" t="n">
        <v>3.8</v>
      </c>
      <c r="U41" s="29" t="n">
        <v>4.2</v>
      </c>
      <c r="V41" s="29" t="n">
        <v>4.1</v>
      </c>
      <c r="W41" s="29" t="n">
        <v>4.2</v>
      </c>
      <c r="X41" s="29" t="n">
        <v>3.9</v>
      </c>
      <c r="Y41" s="29" t="n">
        <v>4.2</v>
      </c>
      <c r="Z41" s="29" t="n">
        <v>3.9</v>
      </c>
      <c r="AA41" s="29" t="n">
        <v>4.1</v>
      </c>
      <c r="AB41" s="29" t="n">
        <v>4.5</v>
      </c>
      <c r="AC41" s="29" t="n">
        <v>4</v>
      </c>
      <c r="AD41" s="29" t="n">
        <v>4.2</v>
      </c>
      <c r="AE41" s="29" t="n">
        <v>4.5</v>
      </c>
      <c r="AF41" s="29" t="n">
        <v>4.5</v>
      </c>
      <c r="AG41" s="29" t="n">
        <v>4.5</v>
      </c>
      <c r="AH41" s="29" t="n">
        <v>4.5</v>
      </c>
      <c r="AI41" s="29" t="n">
        <v>4.3</v>
      </c>
      <c r="AK41" s="27">
        <f>SUM(X41:AI41)</f>
        <v>51.1</v>
      </c>
    </row>
    <row r="42">
      <c r="C42" s="3" t="inlineStr">
        <is>
          <t>Waste Removal</t>
        </is>
      </c>
      <c r="D42" s="29" t="n">
        <v>2.5</v>
      </c>
      <c r="E42" s="29" t="n">
        <v>2.5</v>
      </c>
      <c r="F42" s="29" t="n">
        <v>2.6</v>
      </c>
      <c r="G42" s="29" t="n">
        <v>2.6</v>
      </c>
      <c r="H42" s="29" t="n">
        <v>2.8</v>
      </c>
      <c r="I42" s="29" t="n">
        <v>2.6</v>
      </c>
      <c r="J42" s="29" t="n">
        <v>2.7</v>
      </c>
      <c r="K42" s="29" t="n">
        <v>2.8</v>
      </c>
      <c r="L42" s="29" t="n">
        <v>2.7</v>
      </c>
      <c r="M42" s="29" t="n">
        <v>2.6</v>
      </c>
      <c r="N42" s="29" t="n">
        <v>2.7</v>
      </c>
      <c r="O42" s="29" t="n">
        <v>2.9</v>
      </c>
      <c r="P42" s="29" t="n">
        <v>2.9</v>
      </c>
      <c r="Q42" s="29" t="n">
        <v>2.8</v>
      </c>
      <c r="R42" s="29" t="n">
        <v>2.9</v>
      </c>
      <c r="S42" s="29" t="n">
        <v>2.8</v>
      </c>
      <c r="T42" s="29" t="n">
        <v>2.9</v>
      </c>
      <c r="U42" s="29" t="n">
        <v>3</v>
      </c>
      <c r="V42" s="29" t="n">
        <v>2.8</v>
      </c>
      <c r="W42" s="29" t="n">
        <v>2.9</v>
      </c>
      <c r="X42" s="29" t="n">
        <v>3.1</v>
      </c>
      <c r="Y42" s="29" t="n">
        <v>2.8</v>
      </c>
      <c r="Z42" s="29" t="n">
        <v>2.8</v>
      </c>
      <c r="AA42" s="29" t="n">
        <v>2.8</v>
      </c>
      <c r="AB42" s="29" t="n">
        <v>3.1</v>
      </c>
      <c r="AC42" s="29" t="n">
        <v>3</v>
      </c>
      <c r="AD42" s="29" t="n">
        <v>3.2</v>
      </c>
      <c r="AE42" s="29" t="n">
        <v>2.9</v>
      </c>
      <c r="AF42" s="29" t="n">
        <v>3.1</v>
      </c>
      <c r="AG42" s="29" t="n">
        <v>3.2</v>
      </c>
      <c r="AH42" s="29" t="n">
        <v>2.9</v>
      </c>
      <c r="AI42" s="29" t="n">
        <v>3</v>
      </c>
      <c r="AK42" s="27">
        <f>SUM(X42:AI42)</f>
        <v>35.9</v>
      </c>
    </row>
    <row r="43">
      <c r="C43" s="2" t="inlineStr">
        <is>
          <t>Total Occupancy Costs</t>
        </is>
      </c>
      <c r="D43" s="30">
        <f>SUM(D35:D42)</f>
        <v>57.7</v>
      </c>
      <c r="E43" s="30">
        <f>SUM(E35:E42)</f>
        <v>55.7</v>
      </c>
      <c r="F43" s="30">
        <f>SUM(F35:F42)</f>
        <v>59.8</v>
      </c>
      <c r="G43" s="30">
        <f>SUM(G35:G42)</f>
        <v>58.7</v>
      </c>
      <c r="H43" s="30">
        <f>SUM(H35:H42)</f>
        <v>61.1</v>
      </c>
      <c r="I43" s="30">
        <f>SUM(I35:I42)</f>
        <v>59.7</v>
      </c>
      <c r="J43" s="30">
        <f>SUM(J35:J42)</f>
        <v>59.2</v>
      </c>
      <c r="K43" s="30">
        <f>SUM(K35:K42)</f>
        <v>58.1</v>
      </c>
      <c r="L43" s="30">
        <f>SUM(L35:L42)</f>
        <v>58.7</v>
      </c>
      <c r="M43" s="30">
        <f>SUM(M35:M42)</f>
        <v>62.1</v>
      </c>
      <c r="N43" s="30">
        <f>SUM(N35:N42)</f>
        <v>60.5</v>
      </c>
      <c r="O43" s="30">
        <f>SUM(O35:O42)</f>
        <v>59.1</v>
      </c>
      <c r="P43" s="30">
        <f>SUM(P35:P42)</f>
        <v>59.1</v>
      </c>
      <c r="Q43" s="30">
        <f>SUM(Q35:Q42)</f>
        <v>60.5</v>
      </c>
      <c r="R43" s="30">
        <f>SUM(R35:R42)</f>
        <v>62.5</v>
      </c>
      <c r="S43" s="30">
        <f>SUM(S35:S42)</f>
        <v>63.7</v>
      </c>
      <c r="T43" s="30">
        <f>SUM(T35:T42)</f>
        <v>64.6</v>
      </c>
      <c r="U43" s="30">
        <f>SUM(U35:U42)</f>
        <v>63.2</v>
      </c>
      <c r="V43" s="30">
        <f>SUM(V35:V42)</f>
        <v>66.6</v>
      </c>
      <c r="W43" s="30">
        <f>SUM(W35:W42)</f>
        <v>64.8</v>
      </c>
      <c r="X43" s="30">
        <f>SUM(X35:X42)</f>
        <v>67</v>
      </c>
      <c r="Y43" s="30">
        <f>SUM(Y35:Y42)</f>
        <v>64.3</v>
      </c>
      <c r="Z43" s="30">
        <f>SUM(Z35:Z42)</f>
        <v>64.8</v>
      </c>
      <c r="AA43" s="30">
        <f>SUM(AA35:AA42)</f>
        <v>67</v>
      </c>
      <c r="AB43" s="30">
        <f>SUM(AB35:AB42)</f>
        <v>68.5</v>
      </c>
      <c r="AC43" s="30">
        <f>SUM(AC35:AC42)</f>
        <v>68.1</v>
      </c>
      <c r="AD43" s="30">
        <f>SUM(AD35:AD42)</f>
        <v>68.7</v>
      </c>
      <c r="AE43" s="30">
        <f>SUM(AE35:AE42)</f>
        <v>69</v>
      </c>
      <c r="AF43" s="30">
        <f>SUM(AF35:AF42)</f>
        <v>65.5</v>
      </c>
      <c r="AG43" s="30">
        <f>SUM(AG35:AG42)</f>
        <v>65.6</v>
      </c>
      <c r="AH43" s="30">
        <f>SUM(AH35:AH42)</f>
        <v>68</v>
      </c>
      <c r="AI43" s="30">
        <f>SUM(AI35:AI42)</f>
        <v>65.7</v>
      </c>
      <c r="AK43" s="30">
        <f>SUM(X43:AI43)</f>
        <v>802.2</v>
      </c>
    </row>
    <row r="45">
      <c r="C45" s="2" t="inlineStr">
        <is>
          <t>Drugs &amp; Medical Supplies</t>
        </is>
      </c>
    </row>
    <row r="46">
      <c r="C46" s="3" t="inlineStr">
        <is>
          <t>Medical Supplies</t>
        </is>
      </c>
      <c r="D46" s="29" t="n">
        <v>26.6</v>
      </c>
      <c r="E46" s="29" t="n">
        <v>23.5</v>
      </c>
      <c r="F46" s="29" t="n">
        <v>25.6</v>
      </c>
      <c r="G46" s="29" t="n">
        <v>25.9</v>
      </c>
      <c r="H46" s="29" t="n">
        <v>28.6</v>
      </c>
      <c r="I46" s="29" t="n">
        <v>25.1</v>
      </c>
      <c r="J46" s="29" t="n">
        <v>25.8</v>
      </c>
      <c r="K46" s="29" t="n">
        <v>26.5</v>
      </c>
      <c r="L46" s="29" t="n">
        <v>26</v>
      </c>
      <c r="M46" s="29" t="n">
        <v>31.3</v>
      </c>
      <c r="N46" s="29" t="n">
        <v>25.7</v>
      </c>
      <c r="O46" s="29" t="n">
        <v>26.6</v>
      </c>
      <c r="P46" s="29" t="n">
        <v>27.6</v>
      </c>
      <c r="Q46" s="29" t="n">
        <v>22.6</v>
      </c>
      <c r="R46" s="29" t="n">
        <v>27.8</v>
      </c>
      <c r="S46" s="29" t="n">
        <v>30.1</v>
      </c>
      <c r="T46" s="29" t="n">
        <v>29.4</v>
      </c>
      <c r="U46" s="29" t="n">
        <v>25.4</v>
      </c>
      <c r="V46" s="29" t="n">
        <v>29.8</v>
      </c>
      <c r="W46" s="29" t="n">
        <v>30.1</v>
      </c>
      <c r="X46" s="29" t="n">
        <v>29</v>
      </c>
      <c r="Y46" s="29" t="n">
        <v>33.5</v>
      </c>
      <c r="Z46" s="29" t="n">
        <v>27.8</v>
      </c>
      <c r="AA46" s="29" t="n">
        <v>30.7</v>
      </c>
      <c r="AB46" s="29" t="n">
        <v>31.1</v>
      </c>
      <c r="AC46" s="29" t="n">
        <v>26.5</v>
      </c>
      <c r="AD46" s="29" t="n">
        <v>30.2</v>
      </c>
      <c r="AE46" s="29" t="n">
        <v>32.2</v>
      </c>
      <c r="AF46" s="29" t="n">
        <v>31.8</v>
      </c>
      <c r="AG46" s="29" t="n">
        <v>30.4</v>
      </c>
      <c r="AH46" s="29" t="n">
        <v>31</v>
      </c>
      <c r="AI46" s="29" t="n">
        <v>29.8</v>
      </c>
      <c r="AK46" s="27">
        <f>SUM(X46:AI46)</f>
        <v>364</v>
      </c>
    </row>
    <row r="47">
      <c r="C47" s="3" t="inlineStr">
        <is>
          <t>Lab Supplies</t>
        </is>
      </c>
      <c r="D47" s="29" t="n">
        <v>87.2</v>
      </c>
      <c r="E47" s="29" t="n">
        <v>80.09999999999999</v>
      </c>
      <c r="F47" s="29" t="n">
        <v>87.90000000000001</v>
      </c>
      <c r="G47" s="29" t="n">
        <v>86.3</v>
      </c>
      <c r="H47" s="29" t="n">
        <v>97</v>
      </c>
      <c r="I47" s="29" t="n">
        <v>80.90000000000001</v>
      </c>
      <c r="J47" s="29" t="n">
        <v>91.8</v>
      </c>
      <c r="K47" s="29" t="n">
        <v>95.8</v>
      </c>
      <c r="L47" s="29" t="n">
        <v>82.40000000000001</v>
      </c>
      <c r="M47" s="29" t="n">
        <v>108</v>
      </c>
      <c r="N47" s="29" t="n">
        <v>88</v>
      </c>
      <c r="O47" s="29" t="n">
        <v>87.90000000000001</v>
      </c>
      <c r="P47" s="29" t="n">
        <v>96</v>
      </c>
      <c r="Q47" s="29" t="n">
        <v>84.2</v>
      </c>
      <c r="R47" s="29" t="n">
        <v>89.40000000000001</v>
      </c>
      <c r="S47" s="29" t="n">
        <v>97.5</v>
      </c>
      <c r="T47" s="29" t="n">
        <v>98</v>
      </c>
      <c r="U47" s="29" t="n">
        <v>92.7</v>
      </c>
      <c r="V47" s="29" t="n">
        <v>102.5</v>
      </c>
      <c r="W47" s="29" t="n">
        <v>96.90000000000001</v>
      </c>
      <c r="X47" s="29" t="n">
        <v>93.5</v>
      </c>
      <c r="Y47" s="29" t="n">
        <v>111.6</v>
      </c>
      <c r="Z47" s="29" t="n">
        <v>99.8</v>
      </c>
      <c r="AA47" s="29" t="n">
        <v>102.2</v>
      </c>
      <c r="AB47" s="29" t="n">
        <v>109.1</v>
      </c>
      <c r="AC47" s="29" t="n">
        <v>85</v>
      </c>
      <c r="AD47" s="29" t="n">
        <v>105.4</v>
      </c>
      <c r="AE47" s="29" t="n">
        <v>113.9</v>
      </c>
      <c r="AF47" s="29" t="n">
        <v>108.2</v>
      </c>
      <c r="AG47" s="29" t="n">
        <v>99.8</v>
      </c>
      <c r="AH47" s="29" t="n">
        <v>106.3</v>
      </c>
      <c r="AI47" s="29" t="n">
        <v>101.1</v>
      </c>
      <c r="AK47" s="27">
        <f>SUM(X47:AI47)</f>
        <v>1235.9</v>
      </c>
    </row>
    <row r="48">
      <c r="C48" s="3" t="inlineStr">
        <is>
          <t>Drugs</t>
        </is>
      </c>
      <c r="D48" s="29" t="n">
        <v>9.300000000000001</v>
      </c>
      <c r="E48" s="29" t="n">
        <v>8.800000000000001</v>
      </c>
      <c r="F48" s="29" t="n">
        <v>9.699999999999999</v>
      </c>
      <c r="G48" s="29" t="n">
        <v>9.1</v>
      </c>
      <c r="H48" s="29" t="n">
        <v>10.2</v>
      </c>
      <c r="I48" s="29" t="n">
        <v>9.199999999999999</v>
      </c>
      <c r="J48" s="29" t="n">
        <v>9.800000000000001</v>
      </c>
      <c r="K48" s="29" t="n">
        <v>10.1</v>
      </c>
      <c r="L48" s="29" t="n">
        <v>9.1</v>
      </c>
      <c r="M48" s="29" t="n">
        <v>11.5</v>
      </c>
      <c r="N48" s="29" t="n">
        <v>9.1</v>
      </c>
      <c r="O48" s="29" t="n">
        <v>8.9</v>
      </c>
      <c r="P48" s="29" t="n">
        <v>10.4</v>
      </c>
      <c r="Q48" s="29" t="n">
        <v>8.800000000000001</v>
      </c>
      <c r="R48" s="29" t="n">
        <v>9.300000000000001</v>
      </c>
      <c r="S48" s="29" t="n">
        <v>10.5</v>
      </c>
      <c r="T48" s="29" t="n">
        <v>10.6</v>
      </c>
      <c r="U48" s="29" t="n">
        <v>9.800000000000001</v>
      </c>
      <c r="V48" s="29" t="n">
        <v>10.6</v>
      </c>
      <c r="W48" s="29" t="n">
        <v>10.3</v>
      </c>
      <c r="X48" s="29" t="n">
        <v>10</v>
      </c>
      <c r="Y48" s="29" t="n">
        <v>11.9</v>
      </c>
      <c r="Z48" s="29" t="n">
        <v>10.5</v>
      </c>
      <c r="AA48" s="29" t="n">
        <v>10.9</v>
      </c>
      <c r="AB48" s="29" t="n">
        <v>11.6</v>
      </c>
      <c r="AC48" s="29" t="n">
        <v>9</v>
      </c>
      <c r="AD48" s="29" t="n">
        <v>11.1</v>
      </c>
      <c r="AE48" s="29" t="n">
        <v>11.4</v>
      </c>
      <c r="AF48" s="29" t="n">
        <v>11.7</v>
      </c>
      <c r="AG48" s="29" t="n">
        <v>11.1</v>
      </c>
      <c r="AH48" s="29" t="n">
        <v>12.1</v>
      </c>
      <c r="AI48" s="29" t="n">
        <v>10.7</v>
      </c>
      <c r="AK48" s="27">
        <f>SUM(X48:AI48)</f>
        <v>132</v>
      </c>
    </row>
    <row r="49">
      <c r="C49" s="3" t="inlineStr">
        <is>
          <t>Pharmacy</t>
        </is>
      </c>
      <c r="D49" s="29" t="n">
        <v>6.4</v>
      </c>
      <c r="E49" s="29" t="n">
        <v>5.5</v>
      </c>
      <c r="F49" s="29" t="n">
        <v>6.5</v>
      </c>
      <c r="G49" s="29" t="n">
        <v>5.9</v>
      </c>
      <c r="H49" s="29" t="n">
        <v>7</v>
      </c>
      <c r="I49" s="29" t="n">
        <v>5.9</v>
      </c>
      <c r="J49" s="29" t="n">
        <v>6.2</v>
      </c>
      <c r="K49" s="29" t="n">
        <v>6.3</v>
      </c>
      <c r="L49" s="29" t="n">
        <v>5.8</v>
      </c>
      <c r="M49" s="29" t="n">
        <v>7.6</v>
      </c>
      <c r="N49" s="29" t="n">
        <v>6.5</v>
      </c>
      <c r="O49" s="29" t="n">
        <v>6</v>
      </c>
      <c r="P49" s="29" t="n">
        <v>6.8</v>
      </c>
      <c r="Q49" s="29" t="n">
        <v>5.4</v>
      </c>
      <c r="R49" s="29" t="n">
        <v>6.5</v>
      </c>
      <c r="S49" s="29" t="n">
        <v>6.9</v>
      </c>
      <c r="T49" s="29" t="n">
        <v>7.3</v>
      </c>
      <c r="U49" s="29" t="n">
        <v>6.2</v>
      </c>
      <c r="V49" s="29" t="n">
        <v>7.3</v>
      </c>
      <c r="W49" s="29" t="n">
        <v>6.8</v>
      </c>
      <c r="X49" s="29" t="n">
        <v>6.7</v>
      </c>
      <c r="Y49" s="29" t="n">
        <v>8</v>
      </c>
      <c r="Z49" s="29" t="n">
        <v>7.1</v>
      </c>
      <c r="AA49" s="29" t="n">
        <v>7.4</v>
      </c>
      <c r="AB49" s="29" t="n">
        <v>7.1</v>
      </c>
      <c r="AC49" s="29" t="n">
        <v>6</v>
      </c>
      <c r="AD49" s="29" t="n">
        <v>7.1</v>
      </c>
      <c r="AE49" s="29" t="n">
        <v>8</v>
      </c>
      <c r="AF49" s="29" t="n">
        <v>7.2</v>
      </c>
      <c r="AG49" s="29" t="n">
        <v>6.8</v>
      </c>
      <c r="AH49" s="29" t="n">
        <v>7.7</v>
      </c>
      <c r="AI49" s="29" t="n">
        <v>7.7</v>
      </c>
      <c r="AK49" s="27">
        <f>SUM(X49:AI49)</f>
        <v>86.8</v>
      </c>
    </row>
    <row r="50">
      <c r="C50" s="2" t="inlineStr">
        <is>
          <t>Total Drugs &amp; Medical Supplies</t>
        </is>
      </c>
      <c r="D50" s="30">
        <f>SUM(D46:D49)</f>
        <v>129.5</v>
      </c>
      <c r="E50" s="30">
        <f>SUM(E46:E49)</f>
        <v>117.9</v>
      </c>
      <c r="F50" s="30">
        <f>SUM(F46:F49)</f>
        <v>129.7</v>
      </c>
      <c r="G50" s="30">
        <f>SUM(G46:G49)</f>
        <v>127.2</v>
      </c>
      <c r="H50" s="30">
        <f>SUM(H46:H49)</f>
        <v>142.8</v>
      </c>
      <c r="I50" s="30">
        <f>SUM(I46:I49)</f>
        <v>121.1</v>
      </c>
      <c r="J50" s="30">
        <f>SUM(J46:J49)</f>
        <v>133.6</v>
      </c>
      <c r="K50" s="30">
        <f>SUM(K46:K49)</f>
        <v>138.7</v>
      </c>
      <c r="L50" s="30">
        <f>SUM(L46:L49)</f>
        <v>123.3</v>
      </c>
      <c r="M50" s="30">
        <f>SUM(M46:M49)</f>
        <v>158.4</v>
      </c>
      <c r="N50" s="30">
        <f>SUM(N46:N49)</f>
        <v>129.3</v>
      </c>
      <c r="O50" s="30">
        <f>SUM(O46:O49)</f>
        <v>129.4</v>
      </c>
      <c r="P50" s="30">
        <f>SUM(P46:P49)</f>
        <v>140.8</v>
      </c>
      <c r="Q50" s="30">
        <f>SUM(Q46:Q49)</f>
        <v>121</v>
      </c>
      <c r="R50" s="30">
        <f>SUM(R46:R49)</f>
        <v>133</v>
      </c>
      <c r="S50" s="30">
        <f>SUM(S46:S49)</f>
        <v>145</v>
      </c>
      <c r="T50" s="30">
        <f>SUM(T46:T49)</f>
        <v>145.3</v>
      </c>
      <c r="U50" s="30">
        <f>SUM(U46:U49)</f>
        <v>134.1</v>
      </c>
      <c r="V50" s="30">
        <f>SUM(V46:V49)</f>
        <v>150.2</v>
      </c>
      <c r="W50" s="30">
        <f>SUM(W46:W49)</f>
        <v>144.1</v>
      </c>
      <c r="X50" s="30">
        <f>SUM(X46:X49)</f>
        <v>139.2</v>
      </c>
      <c r="Y50" s="30">
        <f>SUM(Y46:Y49)</f>
        <v>165</v>
      </c>
      <c r="Z50" s="30">
        <f>SUM(Z46:Z49)</f>
        <v>145.2</v>
      </c>
      <c r="AA50" s="30">
        <f>SUM(AA46:AA49)</f>
        <v>151.2</v>
      </c>
      <c r="AB50" s="30">
        <f>SUM(AB46:AB49)</f>
        <v>158.9</v>
      </c>
      <c r="AC50" s="30">
        <f>SUM(AC46:AC49)</f>
        <v>126.5</v>
      </c>
      <c r="AD50" s="30">
        <f>SUM(AD46:AD49)</f>
        <v>153.8</v>
      </c>
      <c r="AE50" s="30">
        <f>SUM(AE46:AE49)</f>
        <v>165.5</v>
      </c>
      <c r="AF50" s="30">
        <f>SUM(AF46:AF49)</f>
        <v>158.9</v>
      </c>
      <c r="AG50" s="30">
        <f>SUM(AG46:AG49)</f>
        <v>148.1</v>
      </c>
      <c r="AH50" s="30">
        <f>SUM(AH46:AH49)</f>
        <v>157.1</v>
      </c>
      <c r="AI50" s="30">
        <f>SUM(AI46:AI49)</f>
        <v>149.3</v>
      </c>
      <c r="AK50" s="30">
        <f>SUM(X50:AI50)</f>
        <v>1818.7</v>
      </c>
    </row>
    <row r="52">
      <c r="C52" s="2" t="inlineStr">
        <is>
          <t>Ancillary Services &amp; Supplies</t>
        </is>
      </c>
    </row>
    <row r="53">
      <c r="C53" s="3" t="inlineStr">
        <is>
          <t>Laboratory Fees</t>
        </is>
      </c>
      <c r="D53" s="29" t="n">
        <v>59</v>
      </c>
      <c r="E53" s="29" t="n">
        <v>55.8</v>
      </c>
      <c r="F53" s="29" t="n">
        <v>59</v>
      </c>
      <c r="G53" s="29" t="n">
        <v>58.4</v>
      </c>
      <c r="H53" s="29" t="n">
        <v>69.3</v>
      </c>
      <c r="I53" s="29" t="n">
        <v>54.7</v>
      </c>
      <c r="J53" s="29" t="n">
        <v>64.5</v>
      </c>
      <c r="K53" s="29" t="n">
        <v>66</v>
      </c>
      <c r="L53" s="29" t="n">
        <v>58.2</v>
      </c>
      <c r="M53" s="29" t="n">
        <v>67.59999999999999</v>
      </c>
      <c r="N53" s="29" t="n">
        <v>59.2</v>
      </c>
      <c r="O53" s="29" t="n">
        <v>58.1</v>
      </c>
      <c r="P53" s="29" t="n">
        <v>65</v>
      </c>
      <c r="Q53" s="29" t="n">
        <v>57.4</v>
      </c>
      <c r="R53" s="29" t="n">
        <v>59.8</v>
      </c>
      <c r="S53" s="29" t="n">
        <v>70</v>
      </c>
      <c r="T53" s="29" t="n">
        <v>70.7</v>
      </c>
      <c r="U53" s="29" t="n">
        <v>61.5</v>
      </c>
      <c r="V53" s="29" t="n">
        <v>67.90000000000001</v>
      </c>
      <c r="W53" s="29" t="n">
        <v>64.8</v>
      </c>
      <c r="X53" s="29" t="n">
        <v>64.7</v>
      </c>
      <c r="Y53" s="29" t="n">
        <v>76.7</v>
      </c>
      <c r="Z53" s="29" t="n">
        <v>67.7</v>
      </c>
      <c r="AA53" s="29" t="n">
        <v>66</v>
      </c>
      <c r="AB53" s="29" t="n">
        <v>72.8</v>
      </c>
      <c r="AC53" s="29" t="n">
        <v>61.5</v>
      </c>
      <c r="AD53" s="29" t="n">
        <v>72.59999999999999</v>
      </c>
      <c r="AE53" s="29" t="n">
        <v>76.8</v>
      </c>
      <c r="AF53" s="29" t="n">
        <v>70.2</v>
      </c>
      <c r="AG53" s="29" t="n">
        <v>66.09999999999999</v>
      </c>
      <c r="AH53" s="29" t="n">
        <v>71.5</v>
      </c>
      <c r="AI53" s="29" t="n">
        <v>74.59999999999999</v>
      </c>
      <c r="AK53" s="27">
        <f>SUM(X53:AI53)</f>
        <v>841.2</v>
      </c>
    </row>
    <row r="54">
      <c r="C54" s="3" t="inlineStr">
        <is>
          <t>Other Lab Expenses</t>
        </is>
      </c>
      <c r="D54" s="29" t="n">
        <v>7.3</v>
      </c>
      <c r="E54" s="29" t="n">
        <v>6.6</v>
      </c>
      <c r="F54" s="29" t="n">
        <v>7.1</v>
      </c>
      <c r="G54" s="29" t="n">
        <v>7.3</v>
      </c>
      <c r="H54" s="29" t="n">
        <v>7.9</v>
      </c>
      <c r="I54" s="29" t="n">
        <v>6.5</v>
      </c>
      <c r="J54" s="29" t="n">
        <v>7.5</v>
      </c>
      <c r="K54" s="29" t="n">
        <v>7.7</v>
      </c>
      <c r="L54" s="29" t="n">
        <v>7.3</v>
      </c>
      <c r="M54" s="29" t="n">
        <v>8.9</v>
      </c>
      <c r="N54" s="29" t="n">
        <v>7.2</v>
      </c>
      <c r="O54" s="29" t="n">
        <v>7.2</v>
      </c>
      <c r="P54" s="29" t="n">
        <v>8.4</v>
      </c>
      <c r="Q54" s="29" t="n">
        <v>6.9</v>
      </c>
      <c r="R54" s="29" t="n">
        <v>7.9</v>
      </c>
      <c r="S54" s="29" t="n">
        <v>8.300000000000001</v>
      </c>
      <c r="T54" s="29" t="n">
        <v>8.6</v>
      </c>
      <c r="U54" s="29" t="n">
        <v>7.7</v>
      </c>
      <c r="V54" s="29" t="n">
        <v>8.699999999999999</v>
      </c>
      <c r="W54" s="29" t="n">
        <v>8.4</v>
      </c>
      <c r="X54" s="29" t="n">
        <v>7.8</v>
      </c>
      <c r="Y54" s="29" t="n">
        <v>9</v>
      </c>
      <c r="Z54" s="29" t="n">
        <v>8</v>
      </c>
      <c r="AA54" s="29" t="n">
        <v>8.4</v>
      </c>
      <c r="AB54" s="29" t="n">
        <v>8.9</v>
      </c>
      <c r="AC54" s="29" t="n">
        <v>7</v>
      </c>
      <c r="AD54" s="29" t="n">
        <v>9</v>
      </c>
      <c r="AE54" s="29" t="n">
        <v>9.199999999999999</v>
      </c>
      <c r="AF54" s="29" t="n">
        <v>8.9</v>
      </c>
      <c r="AG54" s="29" t="n">
        <v>8.300000000000001</v>
      </c>
      <c r="AH54" s="29" t="n">
        <v>9.5</v>
      </c>
      <c r="AI54" s="29" t="n">
        <v>8.300000000000001</v>
      </c>
      <c r="AK54" s="27">
        <f>SUM(X54:AI54)</f>
        <v>102.3</v>
      </c>
    </row>
    <row r="55">
      <c r="C55" s="3" t="inlineStr">
        <is>
          <t>CT &amp; X-Ray</t>
        </is>
      </c>
      <c r="D55" s="29" t="n">
        <v>1.6</v>
      </c>
      <c r="E55" s="29" t="n">
        <v>1.5</v>
      </c>
      <c r="F55" s="29" t="n">
        <v>1.6</v>
      </c>
      <c r="G55" s="29" t="n">
        <v>1.6</v>
      </c>
      <c r="H55" s="29" t="n">
        <v>1.8</v>
      </c>
      <c r="I55" s="29" t="n">
        <v>1.4</v>
      </c>
      <c r="J55" s="29" t="n">
        <v>1.6</v>
      </c>
      <c r="K55" s="29" t="n">
        <v>1.6</v>
      </c>
      <c r="L55" s="29" t="n">
        <v>1.5</v>
      </c>
      <c r="M55" s="29" t="n">
        <v>1.8</v>
      </c>
      <c r="N55" s="29" t="n">
        <v>1.6</v>
      </c>
      <c r="O55" s="29" t="n">
        <v>1.5</v>
      </c>
      <c r="P55" s="29" t="n">
        <v>1.8</v>
      </c>
      <c r="Q55" s="29" t="n">
        <v>1.5</v>
      </c>
      <c r="R55" s="29" t="n">
        <v>1.6</v>
      </c>
      <c r="S55" s="29" t="n">
        <v>1.8</v>
      </c>
      <c r="T55" s="29" t="n">
        <v>1.8</v>
      </c>
      <c r="U55" s="29" t="n">
        <v>1.6</v>
      </c>
      <c r="V55" s="29" t="n">
        <v>1.8</v>
      </c>
      <c r="W55" s="29" t="n">
        <v>1.8</v>
      </c>
      <c r="X55" s="29" t="n">
        <v>1.6</v>
      </c>
      <c r="Y55" s="29" t="n">
        <v>2</v>
      </c>
      <c r="Z55" s="29" t="n">
        <v>1.8</v>
      </c>
      <c r="AA55" s="29" t="n">
        <v>1.8</v>
      </c>
      <c r="AB55" s="29" t="n">
        <v>1.8</v>
      </c>
      <c r="AC55" s="29" t="n">
        <v>1.5</v>
      </c>
      <c r="AD55" s="29" t="n">
        <v>1.9</v>
      </c>
      <c r="AE55" s="29" t="n">
        <v>1.9</v>
      </c>
      <c r="AF55" s="29" t="n">
        <v>1.9</v>
      </c>
      <c r="AG55" s="29" t="n">
        <v>1.8</v>
      </c>
      <c r="AH55" s="29" t="n">
        <v>2</v>
      </c>
      <c r="AI55" s="29" t="n">
        <v>1.8</v>
      </c>
      <c r="AK55" s="27">
        <f>SUM(X55:AI55)</f>
        <v>21.8</v>
      </c>
    </row>
    <row r="56">
      <c r="C56" s="3" t="inlineStr">
        <is>
          <t>Net Anesthesia</t>
        </is>
      </c>
      <c r="D56" s="29" t="n">
        <v>0.5</v>
      </c>
      <c r="E56" s="29" t="n">
        <v>0.5</v>
      </c>
      <c r="F56" s="29" t="n">
        <v>0.5</v>
      </c>
      <c r="G56" s="29" t="n">
        <v>0.5</v>
      </c>
      <c r="H56" s="29" t="n">
        <v>0.6</v>
      </c>
      <c r="I56" s="29" t="n">
        <v>0.5</v>
      </c>
      <c r="J56" s="29" t="n">
        <v>0.5</v>
      </c>
      <c r="K56" s="29" t="n">
        <v>0.5</v>
      </c>
      <c r="L56" s="29" t="n">
        <v>0.5</v>
      </c>
      <c r="M56" s="29" t="n">
        <v>0.6</v>
      </c>
      <c r="N56" s="29" t="n">
        <v>0.5</v>
      </c>
      <c r="O56" s="29" t="n">
        <v>0.5</v>
      </c>
      <c r="P56" s="29" t="n">
        <v>0.6</v>
      </c>
      <c r="Q56" s="29" t="n">
        <v>0.5</v>
      </c>
      <c r="R56" s="29" t="n">
        <v>0.6</v>
      </c>
      <c r="S56" s="29" t="n">
        <v>0.6</v>
      </c>
      <c r="T56" s="29" t="n">
        <v>0.6</v>
      </c>
      <c r="U56" s="29" t="n">
        <v>0.5</v>
      </c>
      <c r="V56" s="29" t="n">
        <v>0.6</v>
      </c>
      <c r="W56" s="29" t="n">
        <v>0.6</v>
      </c>
      <c r="X56" s="29" t="n">
        <v>0.6</v>
      </c>
      <c r="Y56" s="29" t="n">
        <v>0.7</v>
      </c>
      <c r="Z56" s="29" t="n">
        <v>0.6</v>
      </c>
      <c r="AA56" s="29" t="n">
        <v>0.6</v>
      </c>
      <c r="AB56" s="29" t="n">
        <v>0.6</v>
      </c>
      <c r="AC56" s="29" t="n">
        <v>0.5</v>
      </c>
      <c r="AD56" s="29" t="n">
        <v>0.6</v>
      </c>
      <c r="AE56" s="29" t="n">
        <v>0.6</v>
      </c>
      <c r="AF56" s="29" t="n">
        <v>0.6</v>
      </c>
      <c r="AG56" s="29" t="n">
        <v>0.6</v>
      </c>
      <c r="AH56" s="29" t="n">
        <v>0.7</v>
      </c>
      <c r="AI56" s="29" t="n">
        <v>0.6</v>
      </c>
      <c r="AK56" s="27">
        <f>SUM(X56:AI56)</f>
        <v>7.3</v>
      </c>
    </row>
    <row r="57">
      <c r="C57" s="3" t="inlineStr">
        <is>
          <t>Transcription Expense</t>
        </is>
      </c>
      <c r="D57" s="29" t="n">
        <v>3</v>
      </c>
      <c r="E57" s="29" t="n">
        <v>2.9</v>
      </c>
      <c r="F57" s="29" t="n">
        <v>3</v>
      </c>
      <c r="G57" s="29" t="n">
        <v>3.2</v>
      </c>
      <c r="H57" s="29" t="n">
        <v>3.6</v>
      </c>
      <c r="I57" s="29" t="n">
        <v>3</v>
      </c>
      <c r="J57" s="29" t="n">
        <v>3.1</v>
      </c>
      <c r="K57" s="29" t="n">
        <v>3.2</v>
      </c>
      <c r="L57" s="29" t="n">
        <v>3.2</v>
      </c>
      <c r="M57" s="29" t="n">
        <v>3.7</v>
      </c>
      <c r="N57" s="29" t="n">
        <v>3.2</v>
      </c>
      <c r="O57" s="29" t="n">
        <v>3.1</v>
      </c>
      <c r="P57" s="29" t="n">
        <v>3.4</v>
      </c>
      <c r="Q57" s="29" t="n">
        <v>2.9</v>
      </c>
      <c r="R57" s="29" t="n">
        <v>3.4</v>
      </c>
      <c r="S57" s="29" t="n">
        <v>3.4</v>
      </c>
      <c r="T57" s="29" t="n">
        <v>3.5</v>
      </c>
      <c r="U57" s="29" t="n">
        <v>3.3</v>
      </c>
      <c r="V57" s="29" t="n">
        <v>3.5</v>
      </c>
      <c r="W57" s="29" t="n">
        <v>3.4</v>
      </c>
      <c r="X57" s="29" t="n">
        <v>3.4</v>
      </c>
      <c r="Y57" s="29" t="n">
        <v>3.9</v>
      </c>
      <c r="Z57" s="29" t="n">
        <v>3.3</v>
      </c>
      <c r="AA57" s="29" t="n">
        <v>3.7</v>
      </c>
      <c r="AB57" s="29" t="n">
        <v>3.6</v>
      </c>
      <c r="AC57" s="29" t="n">
        <v>3</v>
      </c>
      <c r="AD57" s="29" t="n">
        <v>3.6</v>
      </c>
      <c r="AE57" s="29" t="n">
        <v>3.8</v>
      </c>
      <c r="AF57" s="29" t="n">
        <v>3.9</v>
      </c>
      <c r="AG57" s="29" t="n">
        <v>3.7</v>
      </c>
      <c r="AH57" s="29" t="n">
        <v>3.9</v>
      </c>
      <c r="AI57" s="29" t="n">
        <v>3.7</v>
      </c>
      <c r="AK57" s="27">
        <f>SUM(X57:AI57)</f>
        <v>43.5</v>
      </c>
    </row>
    <row r="58">
      <c r="C58" s="2" t="inlineStr">
        <is>
          <t>Total Ancillary Services &amp; Supplies</t>
        </is>
      </c>
      <c r="D58" s="30">
        <f>SUM(D53:D57)</f>
        <v>71.4</v>
      </c>
      <c r="E58" s="30">
        <f>SUM(E53:E57)</f>
        <v>67.3</v>
      </c>
      <c r="F58" s="30">
        <f>SUM(F53:F57)</f>
        <v>71.2</v>
      </c>
      <c r="G58" s="30">
        <f>SUM(G53:G57)</f>
        <v>71</v>
      </c>
      <c r="H58" s="30">
        <f>SUM(H53:H57)</f>
        <v>83.2</v>
      </c>
      <c r="I58" s="30">
        <f>SUM(I53:I57)</f>
        <v>66.1</v>
      </c>
      <c r="J58" s="30">
        <f>SUM(J53:J57)</f>
        <v>77.2</v>
      </c>
      <c r="K58" s="30">
        <f>SUM(K53:K57)</f>
        <v>79</v>
      </c>
      <c r="L58" s="30">
        <f>SUM(L53:L57)</f>
        <v>70.7</v>
      </c>
      <c r="M58" s="30">
        <f>SUM(M53:M57)</f>
        <v>82.6</v>
      </c>
      <c r="N58" s="30">
        <f>SUM(N53:N57)</f>
        <v>71.7</v>
      </c>
      <c r="O58" s="30">
        <f>SUM(O53:O57)</f>
        <v>70.4</v>
      </c>
      <c r="P58" s="30">
        <f>SUM(P53:P57)</f>
        <v>79.2</v>
      </c>
      <c r="Q58" s="30">
        <f>SUM(Q53:Q57)</f>
        <v>69.2</v>
      </c>
      <c r="R58" s="30">
        <f>SUM(R53:R57)</f>
        <v>73.3</v>
      </c>
      <c r="S58" s="30">
        <f>SUM(S53:S57)</f>
        <v>84.1</v>
      </c>
      <c r="T58" s="30">
        <f>SUM(T53:T57)</f>
        <v>85.2</v>
      </c>
      <c r="U58" s="30">
        <f>SUM(U53:U57)</f>
        <v>74.6</v>
      </c>
      <c r="V58" s="30">
        <f>SUM(V53:V57)</f>
        <v>82.5</v>
      </c>
      <c r="W58" s="30">
        <f>SUM(W53:W57)</f>
        <v>79</v>
      </c>
      <c r="X58" s="30">
        <f>SUM(X53:X57)</f>
        <v>78.1</v>
      </c>
      <c r="Y58" s="30">
        <f>SUM(Y53:Y57)</f>
        <v>92.3</v>
      </c>
      <c r="Z58" s="30">
        <f>SUM(Z53:Z57)</f>
        <v>81.4</v>
      </c>
      <c r="AA58" s="30">
        <f>SUM(AA53:AA57)</f>
        <v>80.5</v>
      </c>
      <c r="AB58" s="30">
        <f>SUM(AB53:AB57)</f>
        <v>87.7</v>
      </c>
      <c r="AC58" s="30">
        <f>SUM(AC53:AC57)</f>
        <v>73.5</v>
      </c>
      <c r="AD58" s="30">
        <f>SUM(AD53:AD57)</f>
        <v>87.7</v>
      </c>
      <c r="AE58" s="30">
        <f>SUM(AE53:AE57)</f>
        <v>92.3</v>
      </c>
      <c r="AF58" s="30">
        <f>SUM(AF53:AF57)</f>
        <v>85.5</v>
      </c>
      <c r="AG58" s="30">
        <f>SUM(AG53:AG57)</f>
        <v>80.5</v>
      </c>
      <c r="AH58" s="30">
        <f>SUM(AH53:AH57)</f>
        <v>87.6</v>
      </c>
      <c r="AI58" s="30">
        <f>SUM(AI53:AI57)</f>
        <v>89</v>
      </c>
      <c r="AK58" s="30">
        <f>SUM(X58:AI58)</f>
        <v>1016.1</v>
      </c>
    </row>
    <row r="60">
      <c r="C60" s="2" t="inlineStr">
        <is>
          <t>Other Medical Costs</t>
        </is>
      </c>
    </row>
    <row r="61">
      <c r="C61" s="3" t="inlineStr">
        <is>
          <t>Other Clinical Expenses</t>
        </is>
      </c>
      <c r="D61" s="29" t="n">
        <v>4.4</v>
      </c>
      <c r="E61" s="29" t="n">
        <v>4.3</v>
      </c>
      <c r="F61" s="29" t="n">
        <v>4.2</v>
      </c>
      <c r="G61" s="29" t="n">
        <v>4.3</v>
      </c>
      <c r="H61" s="29" t="n">
        <v>4.2</v>
      </c>
      <c r="I61" s="29" t="n">
        <v>4.4</v>
      </c>
      <c r="J61" s="29" t="n">
        <v>4.2</v>
      </c>
      <c r="K61" s="29" t="n">
        <v>4.5</v>
      </c>
      <c r="L61" s="29" t="n">
        <v>4.5</v>
      </c>
      <c r="M61" s="29" t="n">
        <v>4.1</v>
      </c>
      <c r="N61" s="29" t="n">
        <v>4.1</v>
      </c>
      <c r="O61" s="29" t="n">
        <v>4.4</v>
      </c>
      <c r="P61" s="29" t="n">
        <v>4.3</v>
      </c>
      <c r="Q61" s="29" t="n">
        <v>4.2</v>
      </c>
      <c r="R61" s="29" t="n">
        <v>4.7</v>
      </c>
      <c r="S61" s="29" t="n">
        <v>4.6</v>
      </c>
      <c r="T61" s="29" t="n">
        <v>4.6</v>
      </c>
      <c r="U61" s="29" t="n">
        <v>4.8</v>
      </c>
      <c r="V61" s="29" t="n">
        <v>4.6</v>
      </c>
      <c r="W61" s="29" t="n">
        <v>4.8</v>
      </c>
      <c r="X61" s="29" t="n">
        <v>4.7</v>
      </c>
      <c r="Y61" s="29" t="n">
        <v>4.6</v>
      </c>
      <c r="Z61" s="29" t="n">
        <v>4.6</v>
      </c>
      <c r="AA61" s="29" t="n">
        <v>4.8</v>
      </c>
      <c r="AB61" s="29" t="n">
        <v>5</v>
      </c>
      <c r="AC61" s="29" t="n">
        <v>4.6</v>
      </c>
      <c r="AD61" s="29" t="n">
        <v>5.1</v>
      </c>
      <c r="AE61" s="29" t="n">
        <v>4.6</v>
      </c>
      <c r="AF61" s="29" t="n">
        <v>4.7</v>
      </c>
      <c r="AG61" s="29" t="n">
        <v>5.2</v>
      </c>
      <c r="AH61" s="29" t="n">
        <v>5.1</v>
      </c>
      <c r="AI61" s="29" t="n">
        <v>4.9</v>
      </c>
      <c r="AK61" s="27">
        <f>SUM(X61:AI61)</f>
        <v>57.9</v>
      </c>
    </row>
    <row r="62">
      <c r="C62" s="3" t="inlineStr">
        <is>
          <t>Lab Equipment</t>
        </is>
      </c>
      <c r="D62" s="29" t="n">
        <v>4.5</v>
      </c>
      <c r="E62" s="29" t="n">
        <v>4.6</v>
      </c>
      <c r="F62" s="29" t="n">
        <v>5</v>
      </c>
      <c r="G62" s="29" t="n">
        <v>4.6</v>
      </c>
      <c r="H62" s="29" t="n">
        <v>5.1</v>
      </c>
      <c r="I62" s="29" t="n">
        <v>5</v>
      </c>
      <c r="J62" s="29" t="n">
        <v>4.9</v>
      </c>
      <c r="K62" s="29" t="n">
        <v>5</v>
      </c>
      <c r="L62" s="29" t="n">
        <v>4.8</v>
      </c>
      <c r="M62" s="29" t="n">
        <v>5.1</v>
      </c>
      <c r="N62" s="29" t="n">
        <v>4.9</v>
      </c>
      <c r="O62" s="29" t="n">
        <v>5.3</v>
      </c>
      <c r="P62" s="29" t="n">
        <v>5.3</v>
      </c>
      <c r="Q62" s="29" t="n">
        <v>5.3</v>
      </c>
      <c r="R62" s="29" t="n">
        <v>4.8</v>
      </c>
      <c r="S62" s="29" t="n">
        <v>4.7</v>
      </c>
      <c r="T62" s="29" t="n">
        <v>5.2</v>
      </c>
      <c r="U62" s="29" t="n">
        <v>5.2</v>
      </c>
      <c r="V62" s="29" t="n">
        <v>5.2</v>
      </c>
      <c r="W62" s="29" t="n">
        <v>5.1</v>
      </c>
      <c r="X62" s="29" t="n">
        <v>5.3</v>
      </c>
      <c r="Y62" s="29" t="n">
        <v>5</v>
      </c>
      <c r="Z62" s="29" t="n">
        <v>5.2</v>
      </c>
      <c r="AA62" s="29" t="n">
        <v>5.1</v>
      </c>
      <c r="AB62" s="29" t="n">
        <v>5.3</v>
      </c>
      <c r="AC62" s="29" t="n">
        <v>5.6</v>
      </c>
      <c r="AD62" s="29" t="n">
        <v>5.6</v>
      </c>
      <c r="AE62" s="29" t="n">
        <v>5.7</v>
      </c>
      <c r="AF62" s="29" t="n">
        <v>5.6</v>
      </c>
      <c r="AG62" s="29" t="n">
        <v>5.4</v>
      </c>
      <c r="AH62" s="29" t="n">
        <v>5.3</v>
      </c>
      <c r="AI62" s="29" t="n">
        <v>5.8</v>
      </c>
      <c r="AK62" s="27">
        <f>SUM(X62:AI62)</f>
        <v>64.9</v>
      </c>
    </row>
    <row r="63">
      <c r="C63" s="3" t="inlineStr">
        <is>
          <t>Lab Credentialing</t>
        </is>
      </c>
      <c r="D63" s="29" t="n">
        <v>1.6</v>
      </c>
      <c r="E63" s="29" t="n">
        <v>1.5</v>
      </c>
      <c r="F63" s="29" t="n">
        <v>1.6</v>
      </c>
      <c r="G63" s="29" t="n">
        <v>1.7</v>
      </c>
      <c r="H63" s="29" t="n">
        <v>1.7</v>
      </c>
      <c r="I63" s="29" t="n">
        <v>1.5</v>
      </c>
      <c r="J63" s="29" t="n">
        <v>1.5</v>
      </c>
      <c r="K63" s="29" t="n">
        <v>1.5</v>
      </c>
      <c r="L63" s="29" t="n">
        <v>1.6</v>
      </c>
      <c r="M63" s="29" t="n">
        <v>1.7</v>
      </c>
      <c r="N63" s="29" t="n">
        <v>1.7</v>
      </c>
      <c r="O63" s="29" t="n">
        <v>1.7</v>
      </c>
      <c r="P63" s="29" t="n">
        <v>1.6</v>
      </c>
      <c r="Q63" s="29" t="n">
        <v>1.7</v>
      </c>
      <c r="R63" s="29" t="n">
        <v>1.7</v>
      </c>
      <c r="S63" s="29" t="n">
        <v>1.7</v>
      </c>
      <c r="T63" s="29" t="n">
        <v>1.8</v>
      </c>
      <c r="U63" s="29" t="n">
        <v>1.7</v>
      </c>
      <c r="V63" s="29" t="n">
        <v>1.8</v>
      </c>
      <c r="W63" s="29" t="n">
        <v>1.6</v>
      </c>
      <c r="X63" s="29" t="n">
        <v>1.6</v>
      </c>
      <c r="Y63" s="29" t="n">
        <v>1.8</v>
      </c>
      <c r="Z63" s="29" t="n">
        <v>1.9</v>
      </c>
      <c r="AA63" s="29" t="n">
        <v>1.8</v>
      </c>
      <c r="AB63" s="29" t="n">
        <v>1.8</v>
      </c>
      <c r="AC63" s="29" t="n">
        <v>1.9</v>
      </c>
      <c r="AD63" s="29" t="n">
        <v>1.9</v>
      </c>
      <c r="AE63" s="29" t="n">
        <v>1.7</v>
      </c>
      <c r="AF63" s="29" t="n">
        <v>1.8</v>
      </c>
      <c r="AG63" s="29" t="n">
        <v>1.9</v>
      </c>
      <c r="AH63" s="29" t="n">
        <v>1.9</v>
      </c>
      <c r="AI63" s="29" t="n">
        <v>1.8</v>
      </c>
      <c r="AK63" s="27">
        <f>SUM(X63:AI63)</f>
        <v>21.8</v>
      </c>
    </row>
    <row r="64">
      <c r="C64" s="2" t="inlineStr">
        <is>
          <t>Total Other Medical Costs</t>
        </is>
      </c>
      <c r="D64" s="30">
        <f>SUM(D61:D63)</f>
        <v>10.5</v>
      </c>
      <c r="E64" s="30">
        <f>SUM(E61:E63)</f>
        <v>10.4</v>
      </c>
      <c r="F64" s="30">
        <f>SUM(F61:F63)</f>
        <v>10.8</v>
      </c>
      <c r="G64" s="30">
        <f>SUM(G61:G63)</f>
        <v>10.6</v>
      </c>
      <c r="H64" s="30">
        <f>SUM(H61:H63)</f>
        <v>11</v>
      </c>
      <c r="I64" s="30">
        <f>SUM(I61:I63)</f>
        <v>10.9</v>
      </c>
      <c r="J64" s="30">
        <f>SUM(J61:J63)</f>
        <v>10.6</v>
      </c>
      <c r="K64" s="30">
        <f>SUM(K61:K63)</f>
        <v>11</v>
      </c>
      <c r="L64" s="30">
        <f>SUM(L61:L63)</f>
        <v>10.9</v>
      </c>
      <c r="M64" s="30">
        <f>SUM(M61:M63)</f>
        <v>10.9</v>
      </c>
      <c r="N64" s="30">
        <f>SUM(N61:N63)</f>
        <v>10.7</v>
      </c>
      <c r="O64" s="30">
        <f>SUM(O61:O63)</f>
        <v>11.4</v>
      </c>
      <c r="P64" s="30">
        <f>SUM(P61:P63)</f>
        <v>11.2</v>
      </c>
      <c r="Q64" s="30">
        <f>SUM(Q61:Q63)</f>
        <v>11.2</v>
      </c>
      <c r="R64" s="30">
        <f>SUM(R61:R63)</f>
        <v>11.2</v>
      </c>
      <c r="S64" s="30">
        <f>SUM(S61:S63)</f>
        <v>11</v>
      </c>
      <c r="T64" s="30">
        <f>SUM(T61:T63)</f>
        <v>11.6</v>
      </c>
      <c r="U64" s="30">
        <f>SUM(U61:U63)</f>
        <v>11.7</v>
      </c>
      <c r="V64" s="30">
        <f>SUM(V61:V63)</f>
        <v>11.6</v>
      </c>
      <c r="W64" s="30">
        <f>SUM(W61:W63)</f>
        <v>11.5</v>
      </c>
      <c r="X64" s="30">
        <f>SUM(X61:X63)</f>
        <v>11.6</v>
      </c>
      <c r="Y64" s="30">
        <f>SUM(Y61:Y63)</f>
        <v>11.4</v>
      </c>
      <c r="Z64" s="30">
        <f>SUM(Z61:Z63)</f>
        <v>11.7</v>
      </c>
      <c r="AA64" s="30">
        <f>SUM(AA61:AA63)</f>
        <v>11.7</v>
      </c>
      <c r="AB64" s="30">
        <f>SUM(AB61:AB63)</f>
        <v>12.1</v>
      </c>
      <c r="AC64" s="30">
        <f>SUM(AC61:AC63)</f>
        <v>12.1</v>
      </c>
      <c r="AD64" s="30">
        <f>SUM(AD61:AD63)</f>
        <v>12.6</v>
      </c>
      <c r="AE64" s="30">
        <f>SUM(AE61:AE63)</f>
        <v>12</v>
      </c>
      <c r="AF64" s="30">
        <f>SUM(AF61:AF63)</f>
        <v>12.1</v>
      </c>
      <c r="AG64" s="30">
        <f>SUM(AG61:AG63)</f>
        <v>12.5</v>
      </c>
      <c r="AH64" s="30">
        <f>SUM(AH61:AH63)</f>
        <v>12.3</v>
      </c>
      <c r="AI64" s="30">
        <f>SUM(AI61:AI63)</f>
        <v>12.5</v>
      </c>
      <c r="AK64" s="30">
        <f>SUM(X64:AI64)</f>
        <v>144.6</v>
      </c>
    </row>
    <row r="66">
      <c r="C66" s="2" t="inlineStr">
        <is>
          <t>Insurance</t>
        </is>
      </c>
    </row>
    <row r="67">
      <c r="C67" s="3" t="inlineStr">
        <is>
          <t>General Business</t>
        </is>
      </c>
      <c r="D67" s="29" t="n">
        <v>12.6</v>
      </c>
      <c r="E67" s="29" t="n">
        <v>12.1</v>
      </c>
      <c r="F67" s="29" t="n">
        <v>11.5</v>
      </c>
      <c r="G67" s="29" t="n">
        <v>13</v>
      </c>
      <c r="H67" s="29" t="n">
        <v>11.4</v>
      </c>
      <c r="I67" s="29" t="n">
        <v>12.5</v>
      </c>
      <c r="J67" s="29" t="n">
        <v>11.9</v>
      </c>
      <c r="K67" s="29" t="n">
        <v>11.6</v>
      </c>
      <c r="L67" s="29" t="n">
        <v>12.5</v>
      </c>
      <c r="M67" s="29" t="n">
        <v>12</v>
      </c>
      <c r="N67" s="29" t="n">
        <v>12.8</v>
      </c>
      <c r="O67" s="29" t="n">
        <v>12.2</v>
      </c>
      <c r="P67" s="29" t="n">
        <v>12.2</v>
      </c>
      <c r="Q67" s="29" t="n">
        <v>12</v>
      </c>
      <c r="R67" s="29" t="n">
        <v>12.2</v>
      </c>
      <c r="S67" s="29" t="n">
        <v>12.3</v>
      </c>
      <c r="T67" s="29" t="n">
        <v>13</v>
      </c>
      <c r="U67" s="29" t="n">
        <v>13.1</v>
      </c>
      <c r="V67" s="29" t="n">
        <v>13.8</v>
      </c>
      <c r="W67" s="29" t="n">
        <v>13.2</v>
      </c>
      <c r="X67" s="29" t="n">
        <v>13.5</v>
      </c>
      <c r="Y67" s="29" t="n">
        <v>12.9</v>
      </c>
      <c r="Z67" s="29" t="n">
        <v>14.2</v>
      </c>
      <c r="AA67" s="29" t="n">
        <v>13.1</v>
      </c>
      <c r="AB67" s="29" t="n">
        <v>13.3</v>
      </c>
      <c r="AC67" s="29" t="n">
        <v>13.2</v>
      </c>
      <c r="AD67" s="29" t="n">
        <v>14.8</v>
      </c>
      <c r="AE67" s="29" t="n">
        <v>14.6</v>
      </c>
      <c r="AF67" s="29" t="n">
        <v>13.9</v>
      </c>
      <c r="AG67" s="29" t="n">
        <v>14.6</v>
      </c>
      <c r="AH67" s="29" t="n">
        <v>13.7</v>
      </c>
      <c r="AI67" s="29" t="n">
        <v>13.6</v>
      </c>
      <c r="AK67" s="27">
        <f>SUM(X67:AI67)</f>
        <v>165.4</v>
      </c>
    </row>
    <row r="68">
      <c r="C68" s="3" t="inlineStr">
        <is>
          <t>Malpractice Insurance</t>
        </is>
      </c>
      <c r="D68" s="29" t="n">
        <v>2.5</v>
      </c>
      <c r="E68" s="29" t="n">
        <v>2.8</v>
      </c>
      <c r="F68" s="29" t="n">
        <v>2.5</v>
      </c>
      <c r="G68" s="29" t="n">
        <v>2.5</v>
      </c>
      <c r="H68" s="29" t="n">
        <v>2.6</v>
      </c>
      <c r="I68" s="29" t="n">
        <v>2.6</v>
      </c>
      <c r="J68" s="29" t="n">
        <v>2.6</v>
      </c>
      <c r="K68" s="29" t="n">
        <v>2.7</v>
      </c>
      <c r="L68" s="29" t="n">
        <v>2.6</v>
      </c>
      <c r="M68" s="29" t="n">
        <v>2.9</v>
      </c>
      <c r="N68" s="29" t="n">
        <v>2.7</v>
      </c>
      <c r="O68" s="29" t="n">
        <v>2.9</v>
      </c>
      <c r="P68" s="29" t="n">
        <v>2.8</v>
      </c>
      <c r="Q68" s="29" t="n">
        <v>2.7</v>
      </c>
      <c r="R68" s="29" t="n">
        <v>2.8</v>
      </c>
      <c r="S68" s="29" t="n">
        <v>3</v>
      </c>
      <c r="T68" s="29" t="n">
        <v>2.6</v>
      </c>
      <c r="U68" s="29" t="n">
        <v>2.8</v>
      </c>
      <c r="V68" s="29" t="n">
        <v>2.7</v>
      </c>
      <c r="W68" s="29" t="n">
        <v>2.9</v>
      </c>
      <c r="X68" s="29" t="n">
        <v>2.8</v>
      </c>
      <c r="Y68" s="29" t="n">
        <v>2.8</v>
      </c>
      <c r="Z68" s="29" t="n">
        <v>3</v>
      </c>
      <c r="AA68" s="29" t="n">
        <v>3</v>
      </c>
      <c r="AB68" s="29" t="n">
        <v>2.8</v>
      </c>
      <c r="AC68" s="29" t="n">
        <v>3.2</v>
      </c>
      <c r="AD68" s="29" t="n">
        <v>3.1</v>
      </c>
      <c r="AE68" s="29" t="n">
        <v>2.9</v>
      </c>
      <c r="AF68" s="29" t="n">
        <v>3.1</v>
      </c>
      <c r="AG68" s="29" t="n">
        <v>3.1</v>
      </c>
      <c r="AH68" s="29" t="n">
        <v>3</v>
      </c>
      <c r="AI68" s="29" t="n">
        <v>3</v>
      </c>
      <c r="AK68" s="27">
        <f>SUM(X68:AI68)</f>
        <v>35.8</v>
      </c>
    </row>
    <row r="69">
      <c r="C69" s="3" t="inlineStr">
        <is>
          <t>Liability Insurance</t>
        </is>
      </c>
      <c r="D69" s="29" t="n">
        <v>2</v>
      </c>
      <c r="E69" s="29" t="n">
        <v>2</v>
      </c>
      <c r="F69" s="29" t="n">
        <v>2.3</v>
      </c>
      <c r="G69" s="29" t="n">
        <v>2.1</v>
      </c>
      <c r="H69" s="29" t="n">
        <v>2.1</v>
      </c>
      <c r="I69" s="29" t="n">
        <v>2.2</v>
      </c>
      <c r="J69" s="29" t="n">
        <v>2.3</v>
      </c>
      <c r="K69" s="29" t="n">
        <v>2.2</v>
      </c>
      <c r="L69" s="29" t="n">
        <v>2.3</v>
      </c>
      <c r="M69" s="29" t="n">
        <v>2.1</v>
      </c>
      <c r="N69" s="29" t="n">
        <v>2.1</v>
      </c>
      <c r="O69" s="29" t="n">
        <v>2.2</v>
      </c>
      <c r="P69" s="29" t="n">
        <v>2.1</v>
      </c>
      <c r="Q69" s="29" t="n">
        <v>2.2</v>
      </c>
      <c r="R69" s="29" t="n">
        <v>2.1</v>
      </c>
      <c r="S69" s="29" t="n">
        <v>2.1</v>
      </c>
      <c r="T69" s="29" t="n">
        <v>2.4</v>
      </c>
      <c r="U69" s="29" t="n">
        <v>2.3</v>
      </c>
      <c r="V69" s="29" t="n">
        <v>2.2</v>
      </c>
      <c r="W69" s="29" t="n">
        <v>2.2</v>
      </c>
      <c r="X69" s="29" t="n">
        <v>2.5</v>
      </c>
      <c r="Y69" s="29" t="n">
        <v>2.3</v>
      </c>
      <c r="Z69" s="29" t="n">
        <v>2.2</v>
      </c>
      <c r="AA69" s="29" t="n">
        <v>2.5</v>
      </c>
      <c r="AB69" s="29" t="n">
        <v>2.2</v>
      </c>
      <c r="AC69" s="29" t="n">
        <v>2.3</v>
      </c>
      <c r="AD69" s="29" t="n">
        <v>2.3</v>
      </c>
      <c r="AE69" s="29" t="n">
        <v>2.4</v>
      </c>
      <c r="AF69" s="29" t="n">
        <v>2.4</v>
      </c>
      <c r="AG69" s="29" t="n">
        <v>2.3</v>
      </c>
      <c r="AH69" s="29" t="n">
        <v>2.3</v>
      </c>
      <c r="AI69" s="29" t="n">
        <v>2.6</v>
      </c>
      <c r="AK69" s="27">
        <f>SUM(X69:AI69)</f>
        <v>28.3</v>
      </c>
    </row>
    <row r="70">
      <c r="C70" s="3" t="inlineStr">
        <is>
          <t>Insurance Administration Fee</t>
        </is>
      </c>
      <c r="D70" s="29" t="n">
        <v>0.5</v>
      </c>
      <c r="E70" s="29" t="n">
        <v>0.6</v>
      </c>
      <c r="F70" s="29" t="n">
        <v>0.5</v>
      </c>
      <c r="G70" s="29" t="n">
        <v>0.5</v>
      </c>
      <c r="H70" s="29" t="n">
        <v>0.5</v>
      </c>
      <c r="I70" s="29" t="n">
        <v>0.5</v>
      </c>
      <c r="J70" s="29" t="n">
        <v>0.6</v>
      </c>
      <c r="K70" s="29" t="n">
        <v>0.5</v>
      </c>
      <c r="L70" s="29" t="n">
        <v>0.5</v>
      </c>
      <c r="M70" s="29" t="n">
        <v>0.5</v>
      </c>
      <c r="N70" s="29" t="n">
        <v>0.6</v>
      </c>
      <c r="O70" s="29" t="n">
        <v>0.5</v>
      </c>
      <c r="P70" s="29" t="n">
        <v>0.5</v>
      </c>
      <c r="Q70" s="29" t="n">
        <v>0.6</v>
      </c>
      <c r="R70" s="29" t="n">
        <v>0.6</v>
      </c>
      <c r="S70" s="29" t="n">
        <v>0.6</v>
      </c>
      <c r="T70" s="29" t="n">
        <v>0.5</v>
      </c>
      <c r="U70" s="29" t="n">
        <v>0.6</v>
      </c>
      <c r="V70" s="29" t="n">
        <v>0.6</v>
      </c>
      <c r="W70" s="29" t="n">
        <v>0.6</v>
      </c>
      <c r="X70" s="29" t="n">
        <v>0.6</v>
      </c>
      <c r="Y70" s="29" t="n">
        <v>0.6</v>
      </c>
      <c r="Z70" s="29" t="n">
        <v>0.6</v>
      </c>
      <c r="AA70" s="29" t="n">
        <v>0.6</v>
      </c>
      <c r="AB70" s="29" t="n">
        <v>0.6</v>
      </c>
      <c r="AC70" s="29" t="n">
        <v>0.6</v>
      </c>
      <c r="AD70" s="29" t="n">
        <v>0.6</v>
      </c>
      <c r="AE70" s="29" t="n">
        <v>0.6</v>
      </c>
      <c r="AF70" s="29" t="n">
        <v>0.6</v>
      </c>
      <c r="AG70" s="29" t="n">
        <v>0.6</v>
      </c>
      <c r="AH70" s="29" t="n">
        <v>0.6</v>
      </c>
      <c r="AI70" s="29" t="n">
        <v>0.6</v>
      </c>
      <c r="AK70" s="27">
        <f>SUM(X70:AI70)</f>
        <v>7.2</v>
      </c>
    </row>
    <row r="71">
      <c r="C71" s="2" t="inlineStr">
        <is>
          <t>Total Insurance</t>
        </is>
      </c>
      <c r="D71" s="30">
        <f>SUM(D67:D70)</f>
        <v>17.6</v>
      </c>
      <c r="E71" s="30">
        <f>SUM(E67:E70)</f>
        <v>17.5</v>
      </c>
      <c r="F71" s="30">
        <f>SUM(F67:F70)</f>
        <v>16.8</v>
      </c>
      <c r="G71" s="30">
        <f>SUM(G67:G70)</f>
        <v>18.1</v>
      </c>
      <c r="H71" s="30">
        <f>SUM(H67:H70)</f>
        <v>16.6</v>
      </c>
      <c r="I71" s="30">
        <f>SUM(I67:I70)</f>
        <v>17.8</v>
      </c>
      <c r="J71" s="30">
        <f>SUM(J67:J70)</f>
        <v>17.4</v>
      </c>
      <c r="K71" s="30">
        <f>SUM(K67:K70)</f>
        <v>17</v>
      </c>
      <c r="L71" s="30">
        <f>SUM(L67:L70)</f>
        <v>17.9</v>
      </c>
      <c r="M71" s="30">
        <f>SUM(M67:M70)</f>
        <v>17.5</v>
      </c>
      <c r="N71" s="30">
        <f>SUM(N67:N70)</f>
        <v>18.2</v>
      </c>
      <c r="O71" s="30">
        <f>SUM(O67:O70)</f>
        <v>17.8</v>
      </c>
      <c r="P71" s="30">
        <f>SUM(P67:P70)</f>
        <v>17.6</v>
      </c>
      <c r="Q71" s="30">
        <f>SUM(Q67:Q70)</f>
        <v>17.5</v>
      </c>
      <c r="R71" s="30">
        <f>SUM(R67:R70)</f>
        <v>17.7</v>
      </c>
      <c r="S71" s="30">
        <f>SUM(S67:S70)</f>
        <v>18</v>
      </c>
      <c r="T71" s="30">
        <f>SUM(T67:T70)</f>
        <v>18.5</v>
      </c>
      <c r="U71" s="30">
        <f>SUM(U67:U70)</f>
        <v>18.8</v>
      </c>
      <c r="V71" s="30">
        <f>SUM(V67:V70)</f>
        <v>19.3</v>
      </c>
      <c r="W71" s="30">
        <f>SUM(W67:W70)</f>
        <v>18.9</v>
      </c>
      <c r="X71" s="30">
        <f>SUM(X67:X70)</f>
        <v>19.4</v>
      </c>
      <c r="Y71" s="30">
        <f>SUM(Y67:Y70)</f>
        <v>18.6</v>
      </c>
      <c r="Z71" s="30">
        <f>SUM(Z67:Z70)</f>
        <v>20</v>
      </c>
      <c r="AA71" s="30">
        <f>SUM(AA67:AA70)</f>
        <v>19.2</v>
      </c>
      <c r="AB71" s="30">
        <f>SUM(AB67:AB70)</f>
        <v>18.9</v>
      </c>
      <c r="AC71" s="30">
        <f>SUM(AC67:AC70)</f>
        <v>19.3</v>
      </c>
      <c r="AD71" s="30">
        <f>SUM(AD67:AD70)</f>
        <v>20.8</v>
      </c>
      <c r="AE71" s="30">
        <f>SUM(AE67:AE70)</f>
        <v>20.5</v>
      </c>
      <c r="AF71" s="30">
        <f>SUM(AF67:AF70)</f>
        <v>20</v>
      </c>
      <c r="AG71" s="30">
        <f>SUM(AG67:AG70)</f>
        <v>20.6</v>
      </c>
      <c r="AH71" s="30">
        <f>SUM(AH67:AH70)</f>
        <v>19.6</v>
      </c>
      <c r="AI71" s="30">
        <f>SUM(AI67:AI70)</f>
        <v>19.8</v>
      </c>
      <c r="AK71" s="30">
        <f>SUM(X71:AI71)</f>
        <v>236.7</v>
      </c>
    </row>
    <row r="73">
      <c r="C73" s="2" t="inlineStr">
        <is>
          <t>General &amp; Administrative</t>
        </is>
      </c>
    </row>
    <row r="74">
      <c r="C74" s="3" t="inlineStr">
        <is>
          <t>Advertising &amp; Marketing</t>
        </is>
      </c>
      <c r="D74" s="29" t="n">
        <v>4.9</v>
      </c>
      <c r="E74" s="29" t="n">
        <v>5.2</v>
      </c>
      <c r="F74" s="29" t="n">
        <v>5.1</v>
      </c>
      <c r="G74" s="29" t="n">
        <v>5.2</v>
      </c>
      <c r="H74" s="29" t="n">
        <v>5.2</v>
      </c>
      <c r="I74" s="29" t="n">
        <v>5.7</v>
      </c>
      <c r="J74" s="29" t="n">
        <v>5.6</v>
      </c>
      <c r="K74" s="29" t="n">
        <v>5.7</v>
      </c>
      <c r="L74" s="29" t="n">
        <v>5.6</v>
      </c>
      <c r="M74" s="29" t="n">
        <v>5.1</v>
      </c>
      <c r="N74" s="29" t="n">
        <v>5.1</v>
      </c>
      <c r="O74" s="29" t="n">
        <v>5.7</v>
      </c>
      <c r="P74" s="29" t="n">
        <v>5.9</v>
      </c>
      <c r="Q74" s="29" t="n">
        <v>5.7</v>
      </c>
      <c r="R74" s="29" t="n">
        <v>5.9</v>
      </c>
      <c r="S74" s="29" t="n">
        <v>5.5</v>
      </c>
      <c r="T74" s="29" t="n">
        <v>5.7</v>
      </c>
      <c r="U74" s="29" t="n">
        <v>5.4</v>
      </c>
      <c r="V74" s="29" t="n">
        <v>5.6</v>
      </c>
      <c r="W74" s="29" t="n">
        <v>5.8</v>
      </c>
      <c r="X74" s="29" t="n">
        <v>5.9</v>
      </c>
      <c r="Y74" s="29" t="n">
        <v>5.8</v>
      </c>
      <c r="Z74" s="29" t="n">
        <v>5.9</v>
      </c>
      <c r="AA74" s="29" t="n">
        <v>6.2</v>
      </c>
      <c r="AB74" s="29" t="n">
        <v>6.3</v>
      </c>
      <c r="AC74" s="29" t="n">
        <v>5.6</v>
      </c>
      <c r="AD74" s="29" t="n">
        <v>6.1</v>
      </c>
      <c r="AE74" s="29" t="n">
        <v>5.7</v>
      </c>
      <c r="AF74" s="29" t="n">
        <v>6.2</v>
      </c>
      <c r="AG74" s="29" t="n">
        <v>6.1</v>
      </c>
      <c r="AH74" s="29" t="n">
        <v>5.7</v>
      </c>
      <c r="AI74" s="29" t="n">
        <v>6.1</v>
      </c>
      <c r="AK74" s="27">
        <f>SUM(X74:AI74)</f>
        <v>71.6</v>
      </c>
    </row>
    <row r="75">
      <c r="C75" s="3" t="inlineStr">
        <is>
          <t>Bad Debt Expense</t>
        </is>
      </c>
      <c r="D75" s="29" t="n">
        <v>12.2</v>
      </c>
      <c r="E75" s="29" t="n">
        <v>11.7</v>
      </c>
      <c r="F75" s="29" t="n">
        <v>12.6</v>
      </c>
      <c r="G75" s="29" t="n">
        <v>11.7</v>
      </c>
      <c r="H75" s="29" t="n">
        <v>13.3</v>
      </c>
      <c r="I75" s="29" t="n">
        <v>11.6</v>
      </c>
      <c r="J75" s="29" t="n">
        <v>13.5</v>
      </c>
      <c r="K75" s="29" t="n">
        <v>12.7</v>
      </c>
      <c r="L75" s="29" t="n">
        <v>11.6</v>
      </c>
      <c r="M75" s="29" t="n">
        <v>14.2</v>
      </c>
      <c r="N75" s="29" t="n">
        <v>12.6</v>
      </c>
      <c r="O75" s="29" t="n">
        <v>12.8</v>
      </c>
      <c r="P75" s="29" t="n">
        <v>13.8</v>
      </c>
      <c r="Q75" s="29" t="n">
        <v>11.2</v>
      </c>
      <c r="R75" s="29" t="n">
        <v>12.5</v>
      </c>
      <c r="S75" s="29" t="n">
        <v>14.1</v>
      </c>
      <c r="T75" s="29" t="n">
        <v>14.4</v>
      </c>
      <c r="U75" s="29" t="n">
        <v>13.2</v>
      </c>
      <c r="V75" s="29" t="n">
        <v>13.9</v>
      </c>
      <c r="W75" s="29" t="n">
        <v>14.5</v>
      </c>
      <c r="X75" s="29" t="n">
        <v>14.4</v>
      </c>
      <c r="Y75" s="29" t="n">
        <v>16.5</v>
      </c>
      <c r="Z75" s="29" t="n">
        <v>13.8</v>
      </c>
      <c r="AA75" s="29" t="n">
        <v>14.2</v>
      </c>
      <c r="AB75" s="29" t="n">
        <v>14.1</v>
      </c>
      <c r="AC75" s="29" t="n">
        <v>12.6</v>
      </c>
      <c r="AD75" s="29" t="n">
        <v>15.3</v>
      </c>
      <c r="AE75" s="29" t="n">
        <v>15</v>
      </c>
      <c r="AF75" s="29" t="n">
        <v>14.4</v>
      </c>
      <c r="AG75" s="29" t="n">
        <v>13.9</v>
      </c>
      <c r="AH75" s="29" t="n">
        <v>15.5</v>
      </c>
      <c r="AI75" s="29" t="n">
        <v>14.3</v>
      </c>
      <c r="AK75" s="27">
        <f>SUM(X75:AI75)</f>
        <v>174</v>
      </c>
    </row>
    <row r="76">
      <c r="C76" s="3" t="inlineStr">
        <is>
          <t>Billing &amp; Collection Fees</t>
        </is>
      </c>
      <c r="D76" s="29" t="n">
        <v>38.8</v>
      </c>
      <c r="E76" s="29" t="n">
        <v>34.7</v>
      </c>
      <c r="F76" s="29" t="n">
        <v>38.7</v>
      </c>
      <c r="G76" s="29" t="n">
        <v>36.7</v>
      </c>
      <c r="H76" s="29" t="n">
        <v>38.5</v>
      </c>
      <c r="I76" s="29" t="n">
        <v>34.9</v>
      </c>
      <c r="J76" s="29" t="n">
        <v>39</v>
      </c>
      <c r="K76" s="29" t="n">
        <v>37.6</v>
      </c>
      <c r="L76" s="29" t="n">
        <v>36.5</v>
      </c>
      <c r="M76" s="29" t="n">
        <v>40.7</v>
      </c>
      <c r="N76" s="29" t="n">
        <v>35.5</v>
      </c>
      <c r="O76" s="29" t="n">
        <v>36.7</v>
      </c>
      <c r="P76" s="29" t="n">
        <v>39</v>
      </c>
      <c r="Q76" s="29" t="n">
        <v>33.9</v>
      </c>
      <c r="R76" s="29" t="n">
        <v>39.1</v>
      </c>
      <c r="S76" s="29" t="n">
        <v>39.1</v>
      </c>
      <c r="T76" s="29" t="n">
        <v>41</v>
      </c>
      <c r="U76" s="29" t="n">
        <v>35.9</v>
      </c>
      <c r="V76" s="29" t="n">
        <v>41.1</v>
      </c>
      <c r="W76" s="29" t="n">
        <v>39.7</v>
      </c>
      <c r="X76" s="29" t="n">
        <v>40.1</v>
      </c>
      <c r="Y76" s="29" t="n">
        <v>46.4</v>
      </c>
      <c r="Z76" s="29" t="n">
        <v>40.1</v>
      </c>
      <c r="AA76" s="29" t="n">
        <v>40.6</v>
      </c>
      <c r="AB76" s="29" t="n">
        <v>44</v>
      </c>
      <c r="AC76" s="29" t="n">
        <v>36.4</v>
      </c>
      <c r="AD76" s="29" t="n">
        <v>43.9</v>
      </c>
      <c r="AE76" s="29" t="n">
        <v>46.7</v>
      </c>
      <c r="AF76" s="29" t="n">
        <v>42.9</v>
      </c>
      <c r="AG76" s="29" t="n">
        <v>43.3</v>
      </c>
      <c r="AH76" s="29" t="n">
        <v>43.2</v>
      </c>
      <c r="AI76" s="29" t="n">
        <v>41.2</v>
      </c>
      <c r="AK76" s="27">
        <f>SUM(X76:AI76)</f>
        <v>508.8</v>
      </c>
    </row>
    <row r="77">
      <c r="C77" s="3" t="inlineStr">
        <is>
          <t>Contract Services</t>
        </is>
      </c>
      <c r="D77" s="29" t="n">
        <v>5.3</v>
      </c>
      <c r="E77" s="29" t="n">
        <v>5</v>
      </c>
      <c r="F77" s="29" t="n">
        <v>5.1</v>
      </c>
      <c r="G77" s="29" t="n">
        <v>5.3</v>
      </c>
      <c r="H77" s="29" t="n">
        <v>5.6</v>
      </c>
      <c r="I77" s="29" t="n">
        <v>5.6</v>
      </c>
      <c r="J77" s="29" t="n">
        <v>5.6</v>
      </c>
      <c r="K77" s="29" t="n">
        <v>5.7</v>
      </c>
      <c r="L77" s="29" t="n">
        <v>5.6</v>
      </c>
      <c r="M77" s="29" t="n">
        <v>5.8</v>
      </c>
      <c r="N77" s="29" t="n">
        <v>5.6</v>
      </c>
      <c r="O77" s="29" t="n">
        <v>5.3</v>
      </c>
      <c r="P77" s="29" t="n">
        <v>5.3</v>
      </c>
      <c r="Q77" s="29" t="n">
        <v>5.3</v>
      </c>
      <c r="R77" s="29" t="n">
        <v>5.3</v>
      </c>
      <c r="S77" s="29" t="n">
        <v>5.5</v>
      </c>
      <c r="T77" s="29" t="n">
        <v>6.1</v>
      </c>
      <c r="U77" s="29" t="n">
        <v>6.1</v>
      </c>
      <c r="V77" s="29" t="n">
        <v>6</v>
      </c>
      <c r="W77" s="29" t="n">
        <v>5.6</v>
      </c>
      <c r="X77" s="29" t="n">
        <v>6</v>
      </c>
      <c r="Y77" s="29" t="n">
        <v>6</v>
      </c>
      <c r="Z77" s="29" t="n">
        <v>5.8</v>
      </c>
      <c r="AA77" s="29" t="n">
        <v>6.2</v>
      </c>
      <c r="AB77" s="29" t="n">
        <v>6.1</v>
      </c>
      <c r="AC77" s="29" t="n">
        <v>5.9</v>
      </c>
      <c r="AD77" s="29" t="n">
        <v>6.3</v>
      </c>
      <c r="AE77" s="29" t="n">
        <v>6.4</v>
      </c>
      <c r="AF77" s="29" t="n">
        <v>6</v>
      </c>
      <c r="AG77" s="29" t="n">
        <v>6.1</v>
      </c>
      <c r="AH77" s="29" t="n">
        <v>6.1</v>
      </c>
      <c r="AI77" s="29" t="n">
        <v>6.7</v>
      </c>
      <c r="AK77" s="27">
        <f>SUM(X77:AI77)</f>
        <v>73.6</v>
      </c>
    </row>
    <row r="78">
      <c r="C78" s="3" t="inlineStr">
        <is>
          <t>Dues &amp; Subscriptions</t>
        </is>
      </c>
      <c r="D78" s="29" t="n">
        <v>1.5</v>
      </c>
      <c r="E78" s="29" t="n">
        <v>1.7</v>
      </c>
      <c r="F78" s="29" t="n">
        <v>1.7</v>
      </c>
      <c r="G78" s="29" t="n">
        <v>1.6</v>
      </c>
      <c r="H78" s="29" t="n">
        <v>1.7</v>
      </c>
      <c r="I78" s="29" t="n">
        <v>1.5</v>
      </c>
      <c r="J78" s="29" t="n">
        <v>1.7</v>
      </c>
      <c r="K78" s="29" t="n">
        <v>1.7</v>
      </c>
      <c r="L78" s="29" t="n">
        <v>1.7</v>
      </c>
      <c r="M78" s="29" t="n">
        <v>1.6</v>
      </c>
      <c r="N78" s="29" t="n">
        <v>1.7</v>
      </c>
      <c r="O78" s="29" t="n">
        <v>1.7</v>
      </c>
      <c r="P78" s="29" t="n">
        <v>1.7</v>
      </c>
      <c r="Q78" s="29" t="n">
        <v>1.8</v>
      </c>
      <c r="R78" s="29" t="n">
        <v>1.6</v>
      </c>
      <c r="S78" s="29" t="n">
        <v>1.7</v>
      </c>
      <c r="T78" s="29" t="n">
        <v>1.7</v>
      </c>
      <c r="U78" s="29" t="n">
        <v>1.7</v>
      </c>
      <c r="V78" s="29" t="n">
        <v>1.8</v>
      </c>
      <c r="W78" s="29" t="n">
        <v>1.8</v>
      </c>
      <c r="X78" s="29" t="n">
        <v>1.7</v>
      </c>
      <c r="Y78" s="29" t="n">
        <v>1.7</v>
      </c>
      <c r="Z78" s="29" t="n">
        <v>1.8</v>
      </c>
      <c r="AA78" s="29" t="n">
        <v>1.7</v>
      </c>
      <c r="AB78" s="29" t="n">
        <v>1.8</v>
      </c>
      <c r="AC78" s="29" t="n">
        <v>1.8</v>
      </c>
      <c r="AD78" s="29" t="n">
        <v>1.7</v>
      </c>
      <c r="AE78" s="29" t="n">
        <v>1.7</v>
      </c>
      <c r="AF78" s="29" t="n">
        <v>1.9</v>
      </c>
      <c r="AG78" s="29" t="n">
        <v>1.9</v>
      </c>
      <c r="AH78" s="29" t="n">
        <v>1.9</v>
      </c>
      <c r="AI78" s="29" t="n">
        <v>1.8</v>
      </c>
      <c r="AK78" s="27">
        <f>SUM(X78:AI78)</f>
        <v>21.4</v>
      </c>
    </row>
    <row r="79">
      <c r="C79" s="3" t="inlineStr">
        <is>
          <t>Equipment Rentals</t>
        </is>
      </c>
      <c r="D79" s="29" t="n">
        <v>6.7</v>
      </c>
      <c r="E79" s="29" t="n">
        <v>6.5</v>
      </c>
      <c r="F79" s="29" t="n">
        <v>6.5</v>
      </c>
      <c r="G79" s="29" t="n">
        <v>6.8</v>
      </c>
      <c r="H79" s="29" t="n">
        <v>6.2</v>
      </c>
      <c r="I79" s="29" t="n">
        <v>6</v>
      </c>
      <c r="J79" s="29" t="n">
        <v>6.3</v>
      </c>
      <c r="K79" s="29" t="n">
        <v>6.8</v>
      </c>
      <c r="L79" s="29" t="n">
        <v>6</v>
      </c>
      <c r="M79" s="29" t="n">
        <v>7</v>
      </c>
      <c r="N79" s="29" t="n">
        <v>6.8</v>
      </c>
      <c r="O79" s="29" t="n">
        <v>6.8</v>
      </c>
      <c r="P79" s="29" t="n">
        <v>6.8</v>
      </c>
      <c r="Q79" s="29" t="n">
        <v>6.5</v>
      </c>
      <c r="R79" s="29" t="n">
        <v>6.3</v>
      </c>
      <c r="S79" s="29" t="n">
        <v>7.2</v>
      </c>
      <c r="T79" s="29" t="n">
        <v>7.2</v>
      </c>
      <c r="U79" s="29" t="n">
        <v>6.6</v>
      </c>
      <c r="V79" s="29" t="n">
        <v>7.2</v>
      </c>
      <c r="W79" s="29" t="n">
        <v>7.4</v>
      </c>
      <c r="X79" s="29" t="n">
        <v>7.5</v>
      </c>
      <c r="Y79" s="29" t="n">
        <v>7.3</v>
      </c>
      <c r="Z79" s="29" t="n">
        <v>7</v>
      </c>
      <c r="AA79" s="29" t="n">
        <v>7.3</v>
      </c>
      <c r="AB79" s="29" t="n">
        <v>7.4</v>
      </c>
      <c r="AC79" s="29" t="n">
        <v>6.8</v>
      </c>
      <c r="AD79" s="29" t="n">
        <v>6.9</v>
      </c>
      <c r="AE79" s="29" t="n">
        <v>7</v>
      </c>
      <c r="AF79" s="29" t="n">
        <v>7.8</v>
      </c>
      <c r="AG79" s="29" t="n">
        <v>7.2</v>
      </c>
      <c r="AH79" s="29" t="n">
        <v>7.4</v>
      </c>
      <c r="AI79" s="29" t="n">
        <v>8</v>
      </c>
      <c r="AK79" s="27">
        <f>SUM(X79:AI79)</f>
        <v>87.6</v>
      </c>
    </row>
    <row r="80">
      <c r="C80" s="3" t="inlineStr">
        <is>
          <t>Finance, Bank, &amp; Collection Charges</t>
        </is>
      </c>
      <c r="D80" s="29" t="n">
        <v>4.1</v>
      </c>
      <c r="E80" s="29" t="n">
        <v>3.8</v>
      </c>
      <c r="F80" s="29" t="n">
        <v>4.2</v>
      </c>
      <c r="G80" s="29" t="n">
        <v>4</v>
      </c>
      <c r="H80" s="29" t="n">
        <v>4.6</v>
      </c>
      <c r="I80" s="29" t="n">
        <v>3.8</v>
      </c>
      <c r="J80" s="29" t="n">
        <v>4.4</v>
      </c>
      <c r="K80" s="29" t="n">
        <v>4.4</v>
      </c>
      <c r="L80" s="29" t="n">
        <v>3.9</v>
      </c>
      <c r="M80" s="29" t="n">
        <v>5</v>
      </c>
      <c r="N80" s="29" t="n">
        <v>4.3</v>
      </c>
      <c r="O80" s="29" t="n">
        <v>4.2</v>
      </c>
      <c r="P80" s="29" t="n">
        <v>4.4</v>
      </c>
      <c r="Q80" s="29" t="n">
        <v>3.9</v>
      </c>
      <c r="R80" s="29" t="n">
        <v>4.2</v>
      </c>
      <c r="S80" s="29" t="n">
        <v>4.9</v>
      </c>
      <c r="T80" s="29" t="n">
        <v>4.7</v>
      </c>
      <c r="U80" s="29" t="n">
        <v>4.3</v>
      </c>
      <c r="V80" s="29" t="n">
        <v>4.9</v>
      </c>
      <c r="W80" s="29" t="n">
        <v>4.8</v>
      </c>
      <c r="X80" s="29" t="n">
        <v>4.7</v>
      </c>
      <c r="Y80" s="29" t="n">
        <v>5.2</v>
      </c>
      <c r="Z80" s="29" t="n">
        <v>4.7</v>
      </c>
      <c r="AA80" s="29" t="n">
        <v>4.7</v>
      </c>
      <c r="AB80" s="29" t="n">
        <v>5.1</v>
      </c>
      <c r="AC80" s="29" t="n">
        <v>4.1</v>
      </c>
      <c r="AD80" s="29" t="n">
        <v>4.7</v>
      </c>
      <c r="AE80" s="29" t="n">
        <v>5</v>
      </c>
      <c r="AF80" s="29" t="n">
        <v>4.8</v>
      </c>
      <c r="AG80" s="29" t="n">
        <v>4.7</v>
      </c>
      <c r="AH80" s="29" t="n">
        <v>5.4</v>
      </c>
      <c r="AI80" s="29" t="n">
        <v>5</v>
      </c>
      <c r="AK80" s="27">
        <f>SUM(X80:AI80)</f>
        <v>58.1</v>
      </c>
    </row>
    <row r="81">
      <c r="C81" s="3" t="inlineStr">
        <is>
          <t>Information Technology Expense</t>
        </is>
      </c>
      <c r="D81" s="29" t="n">
        <v>16</v>
      </c>
      <c r="E81" s="29" t="n">
        <v>15.2</v>
      </c>
      <c r="F81" s="29" t="n">
        <v>16</v>
      </c>
      <c r="G81" s="29" t="n">
        <v>16.3</v>
      </c>
      <c r="H81" s="29" t="n">
        <v>16.4</v>
      </c>
      <c r="I81" s="29" t="n">
        <v>15.1</v>
      </c>
      <c r="J81" s="29" t="n">
        <v>15.1</v>
      </c>
      <c r="K81" s="29" t="n">
        <v>16.2</v>
      </c>
      <c r="L81" s="29" t="n">
        <v>16.3</v>
      </c>
      <c r="M81" s="29" t="n">
        <v>16.5</v>
      </c>
      <c r="N81" s="29" t="n">
        <v>17.6</v>
      </c>
      <c r="O81" s="29" t="n">
        <v>17.3</v>
      </c>
      <c r="P81" s="29" t="n">
        <v>16.4</v>
      </c>
      <c r="Q81" s="29" t="n">
        <v>15.7</v>
      </c>
      <c r="R81" s="29" t="n">
        <v>17</v>
      </c>
      <c r="S81" s="29" t="n">
        <v>17.3</v>
      </c>
      <c r="T81" s="29" t="n">
        <v>17.1</v>
      </c>
      <c r="U81" s="29" t="n">
        <v>16.4</v>
      </c>
      <c r="V81" s="29" t="n">
        <v>17.1</v>
      </c>
      <c r="W81" s="29" t="n">
        <v>16.3</v>
      </c>
      <c r="X81" s="29" t="n">
        <v>16.5</v>
      </c>
      <c r="Y81" s="29" t="n">
        <v>18</v>
      </c>
      <c r="Z81" s="29" t="n">
        <v>17.4</v>
      </c>
      <c r="AA81" s="29" t="n">
        <v>17.8</v>
      </c>
      <c r="AB81" s="29" t="n">
        <v>17.7</v>
      </c>
      <c r="AC81" s="29" t="n">
        <v>17.2</v>
      </c>
      <c r="AD81" s="29" t="n">
        <v>19.1</v>
      </c>
      <c r="AE81" s="29" t="n">
        <v>19.5</v>
      </c>
      <c r="AF81" s="29" t="n">
        <v>18.7</v>
      </c>
      <c r="AG81" s="29" t="n">
        <v>18.2</v>
      </c>
      <c r="AH81" s="29" t="n">
        <v>18.5</v>
      </c>
      <c r="AI81" s="29" t="n">
        <v>19.2</v>
      </c>
      <c r="AK81" s="27">
        <f>SUM(X81:AI81)</f>
        <v>217.8</v>
      </c>
    </row>
    <row r="82">
      <c r="C82" s="3" t="inlineStr">
        <is>
          <t>Legal &amp; Professional Fees</t>
        </is>
      </c>
      <c r="D82" s="29" t="n">
        <v>10.2</v>
      </c>
      <c r="E82" s="29" t="n">
        <v>10</v>
      </c>
      <c r="F82" s="29" t="n">
        <v>10.7</v>
      </c>
      <c r="G82" s="29" t="n">
        <v>10.9</v>
      </c>
      <c r="H82" s="29" t="n">
        <v>11</v>
      </c>
      <c r="I82" s="29" t="n">
        <v>10.9</v>
      </c>
      <c r="J82" s="29" t="n">
        <v>10.6</v>
      </c>
      <c r="K82" s="29" t="n">
        <v>11.2</v>
      </c>
      <c r="L82" s="29" t="n">
        <v>11.2</v>
      </c>
      <c r="M82" s="29" t="n">
        <v>11.4</v>
      </c>
      <c r="N82" s="29" t="n">
        <v>10.6</v>
      </c>
      <c r="O82" s="29" t="n">
        <v>11.1</v>
      </c>
      <c r="P82" s="29" t="n">
        <v>11.2</v>
      </c>
      <c r="Q82" s="29" t="n">
        <v>11.2</v>
      </c>
      <c r="R82" s="29" t="n">
        <v>11.6</v>
      </c>
      <c r="S82" s="29" t="n">
        <v>11.7</v>
      </c>
      <c r="T82" s="29" t="n">
        <v>11.6</v>
      </c>
      <c r="U82" s="29" t="n">
        <v>11.2</v>
      </c>
      <c r="V82" s="29" t="n">
        <v>12.2</v>
      </c>
      <c r="W82" s="29" t="n">
        <v>11.4</v>
      </c>
      <c r="X82" s="29" t="n">
        <v>11.8</v>
      </c>
      <c r="Y82" s="29" t="n">
        <v>11.5</v>
      </c>
      <c r="Z82" s="29" t="n">
        <v>11.9</v>
      </c>
      <c r="AA82" s="29" t="n">
        <v>12.4</v>
      </c>
      <c r="AB82" s="29" t="n">
        <v>12.1</v>
      </c>
      <c r="AC82" s="29" t="n">
        <v>12.5</v>
      </c>
      <c r="AD82" s="29" t="n">
        <v>12.2</v>
      </c>
      <c r="AE82" s="29" t="n">
        <v>11.6</v>
      </c>
      <c r="AF82" s="29" t="n">
        <v>12</v>
      </c>
      <c r="AG82" s="29" t="n">
        <v>11.8</v>
      </c>
      <c r="AH82" s="29" t="n">
        <v>11.8</v>
      </c>
      <c r="AI82" s="29" t="n">
        <v>12.2</v>
      </c>
      <c r="AK82" s="27">
        <f>SUM(X82:AI82)</f>
        <v>143.8</v>
      </c>
    </row>
    <row r="83">
      <c r="C83" s="3" t="inlineStr">
        <is>
          <t>Management Fees</t>
        </is>
      </c>
      <c r="D83" s="29" t="n">
        <v>6</v>
      </c>
      <c r="E83" s="29" t="n">
        <v>6.3</v>
      </c>
      <c r="F83" s="29" t="n">
        <v>6.7</v>
      </c>
      <c r="G83" s="29" t="n">
        <v>6</v>
      </c>
      <c r="H83" s="29" t="n">
        <v>6.3</v>
      </c>
      <c r="I83" s="29" t="n">
        <v>6.4</v>
      </c>
      <c r="J83" s="29" t="n">
        <v>6.7</v>
      </c>
      <c r="K83" s="29" t="n">
        <v>6.1</v>
      </c>
      <c r="L83" s="29" t="n">
        <v>6.7</v>
      </c>
      <c r="M83" s="29" t="n">
        <v>6.4</v>
      </c>
      <c r="N83" s="29" t="n">
        <v>6.3</v>
      </c>
      <c r="O83" s="29" t="n">
        <v>6.8</v>
      </c>
      <c r="P83" s="29" t="n">
        <v>6.7</v>
      </c>
      <c r="Q83" s="29" t="n">
        <v>6.5</v>
      </c>
      <c r="R83" s="29" t="n">
        <v>6.9</v>
      </c>
      <c r="S83" s="29" t="n">
        <v>7.2</v>
      </c>
      <c r="T83" s="29" t="n">
        <v>6.4</v>
      </c>
      <c r="U83" s="29" t="n">
        <v>7.3</v>
      </c>
      <c r="V83" s="29" t="n">
        <v>6.8</v>
      </c>
      <c r="W83" s="29" t="n">
        <v>6.7</v>
      </c>
      <c r="X83" s="29" t="n">
        <v>6.6</v>
      </c>
      <c r="Y83" s="29" t="n">
        <v>6.8</v>
      </c>
      <c r="Z83" s="29" t="n">
        <v>6.6</v>
      </c>
      <c r="AA83" s="29" t="n">
        <v>7.6</v>
      </c>
      <c r="AB83" s="29" t="n">
        <v>6.9</v>
      </c>
      <c r="AC83" s="29" t="n">
        <v>7.5</v>
      </c>
      <c r="AD83" s="29" t="n">
        <v>6.8</v>
      </c>
      <c r="AE83" s="29" t="n">
        <v>6.8</v>
      </c>
      <c r="AF83" s="29" t="n">
        <v>6.9</v>
      </c>
      <c r="AG83" s="29" t="n">
        <v>7.2</v>
      </c>
      <c r="AH83" s="29" t="n">
        <v>7.6</v>
      </c>
      <c r="AI83" s="29" t="n">
        <v>7.2</v>
      </c>
      <c r="AK83" s="27">
        <f>SUM(X83:AI83)</f>
        <v>84.5</v>
      </c>
    </row>
    <row r="84">
      <c r="C84" s="3" t="inlineStr">
        <is>
          <t>Revenue Cycle Management Services</t>
        </is>
      </c>
      <c r="D84" s="29" t="n">
        <v>15.4</v>
      </c>
      <c r="E84" s="29" t="n">
        <v>16.4</v>
      </c>
      <c r="F84" s="29" t="n">
        <v>15.7</v>
      </c>
      <c r="G84" s="29" t="n">
        <v>15.1</v>
      </c>
      <c r="H84" s="29" t="n">
        <v>16.6</v>
      </c>
      <c r="I84" s="29" t="n">
        <v>16.1</v>
      </c>
      <c r="J84" s="29" t="n">
        <v>16.2</v>
      </c>
      <c r="K84" s="29" t="n">
        <v>17.2</v>
      </c>
      <c r="L84" s="29" t="n">
        <v>16.6</v>
      </c>
      <c r="M84" s="29" t="n">
        <v>16.5</v>
      </c>
      <c r="N84" s="29" t="n">
        <v>15.9</v>
      </c>
      <c r="O84" s="29" t="n">
        <v>16.1</v>
      </c>
      <c r="P84" s="29" t="n">
        <v>17.6</v>
      </c>
      <c r="Q84" s="29" t="n">
        <v>16.5</v>
      </c>
      <c r="R84" s="29" t="n">
        <v>17.3</v>
      </c>
      <c r="S84" s="29" t="n">
        <v>16.1</v>
      </c>
      <c r="T84" s="29" t="n">
        <v>16.7</v>
      </c>
      <c r="U84" s="29" t="n">
        <v>17.6</v>
      </c>
      <c r="V84" s="29" t="n">
        <v>16.7</v>
      </c>
      <c r="W84" s="29" t="n">
        <v>18.4</v>
      </c>
      <c r="X84" s="29" t="n">
        <v>18.4</v>
      </c>
      <c r="Y84" s="29" t="n">
        <v>16.5</v>
      </c>
      <c r="Z84" s="29" t="n">
        <v>18.7</v>
      </c>
      <c r="AA84" s="29" t="n">
        <v>17.3</v>
      </c>
      <c r="AB84" s="29" t="n">
        <v>18.7</v>
      </c>
      <c r="AC84" s="29" t="n">
        <v>17.9</v>
      </c>
      <c r="AD84" s="29" t="n">
        <v>17.3</v>
      </c>
      <c r="AE84" s="29" t="n">
        <v>18.5</v>
      </c>
      <c r="AF84" s="29" t="n">
        <v>19.3</v>
      </c>
      <c r="AG84" s="29" t="n">
        <v>19.1</v>
      </c>
      <c r="AH84" s="29" t="n">
        <v>18.9</v>
      </c>
      <c r="AI84" s="29" t="n">
        <v>19.3</v>
      </c>
      <c r="AK84" s="27">
        <f>SUM(X84:AI84)</f>
        <v>219.9</v>
      </c>
    </row>
    <row r="85">
      <c r="C85" s="3" t="inlineStr">
        <is>
          <t>Conferences &amp; Meetings</t>
        </is>
      </c>
      <c r="D85" s="29" t="n">
        <v>1</v>
      </c>
      <c r="E85" s="29" t="n">
        <v>1.1</v>
      </c>
      <c r="F85" s="29" t="n">
        <v>1</v>
      </c>
      <c r="G85" s="29" t="n">
        <v>1</v>
      </c>
      <c r="H85" s="29" t="n">
        <v>1.1</v>
      </c>
      <c r="I85" s="29" t="n">
        <v>1.1</v>
      </c>
      <c r="J85" s="29" t="n">
        <v>1.1</v>
      </c>
      <c r="K85" s="29" t="n">
        <v>1.1</v>
      </c>
      <c r="L85" s="29" t="n">
        <v>1</v>
      </c>
      <c r="M85" s="29" t="n">
        <v>1.1</v>
      </c>
      <c r="N85" s="29" t="n">
        <v>1.1</v>
      </c>
      <c r="O85" s="29" t="n">
        <v>1.1</v>
      </c>
      <c r="P85" s="29" t="n">
        <v>1.1</v>
      </c>
      <c r="Q85" s="29" t="n">
        <v>1.2</v>
      </c>
      <c r="R85" s="29" t="n">
        <v>1</v>
      </c>
      <c r="S85" s="29" t="n">
        <v>1.1</v>
      </c>
      <c r="T85" s="29" t="n">
        <v>1.1</v>
      </c>
      <c r="U85" s="29" t="n">
        <v>1.2</v>
      </c>
      <c r="V85" s="29" t="n">
        <v>1.2</v>
      </c>
      <c r="W85" s="29" t="n">
        <v>1.2</v>
      </c>
      <c r="X85" s="29" t="n">
        <v>1.2</v>
      </c>
      <c r="Y85" s="29" t="n">
        <v>1.1</v>
      </c>
      <c r="Z85" s="29" t="n">
        <v>1.2</v>
      </c>
      <c r="AA85" s="29" t="n">
        <v>1.2</v>
      </c>
      <c r="AB85" s="29" t="n">
        <v>1.3</v>
      </c>
      <c r="AC85" s="29" t="n">
        <v>1.3</v>
      </c>
      <c r="AD85" s="29" t="n">
        <v>1.1</v>
      </c>
      <c r="AE85" s="29" t="n">
        <v>1.2</v>
      </c>
      <c r="AF85" s="29" t="n">
        <v>1.3</v>
      </c>
      <c r="AG85" s="29" t="n">
        <v>1.3</v>
      </c>
      <c r="AH85" s="29" t="n">
        <v>1.2</v>
      </c>
      <c r="AI85" s="29" t="n">
        <v>1.2</v>
      </c>
      <c r="AK85" s="27">
        <f>SUM(X85:AI85)</f>
        <v>14.6</v>
      </c>
    </row>
    <row r="86">
      <c r="C86" s="3" t="inlineStr">
        <is>
          <t>Mileage Reimbursement</t>
        </is>
      </c>
      <c r="D86" s="29" t="n">
        <v>1.6</v>
      </c>
      <c r="E86" s="29" t="n">
        <v>1.6</v>
      </c>
      <c r="F86" s="29" t="n">
        <v>1.6</v>
      </c>
      <c r="G86" s="29" t="n">
        <v>1.5</v>
      </c>
      <c r="H86" s="29" t="n">
        <v>1.6</v>
      </c>
      <c r="I86" s="29" t="n">
        <v>1.6</v>
      </c>
      <c r="J86" s="29" t="n">
        <v>1.7</v>
      </c>
      <c r="K86" s="29" t="n">
        <v>1.7</v>
      </c>
      <c r="L86" s="29" t="n">
        <v>1.7</v>
      </c>
      <c r="M86" s="29" t="n">
        <v>1.7</v>
      </c>
      <c r="N86" s="29" t="n">
        <v>1.6</v>
      </c>
      <c r="O86" s="29" t="n">
        <v>1.7</v>
      </c>
      <c r="P86" s="29" t="n">
        <v>1.7</v>
      </c>
      <c r="Q86" s="29" t="n">
        <v>1.7</v>
      </c>
      <c r="R86" s="29" t="n">
        <v>1.7</v>
      </c>
      <c r="S86" s="29" t="n">
        <v>1.6</v>
      </c>
      <c r="T86" s="29" t="n">
        <v>1.8</v>
      </c>
      <c r="U86" s="29" t="n">
        <v>1.8</v>
      </c>
      <c r="V86" s="29" t="n">
        <v>1.8</v>
      </c>
      <c r="W86" s="29" t="n">
        <v>1.7</v>
      </c>
      <c r="X86" s="29" t="n">
        <v>1.9</v>
      </c>
      <c r="Y86" s="29" t="n">
        <v>1.7</v>
      </c>
      <c r="Z86" s="29" t="n">
        <v>1.9</v>
      </c>
      <c r="AA86" s="29" t="n">
        <v>1.9</v>
      </c>
      <c r="AB86" s="29" t="n">
        <v>1.7</v>
      </c>
      <c r="AC86" s="29" t="n">
        <v>1.9</v>
      </c>
      <c r="AD86" s="29" t="n">
        <v>1.9</v>
      </c>
      <c r="AE86" s="29" t="n">
        <v>1.8</v>
      </c>
      <c r="AF86" s="29" t="n">
        <v>1.9</v>
      </c>
      <c r="AG86" s="29" t="n">
        <v>1.7</v>
      </c>
      <c r="AH86" s="29" t="n">
        <v>1.8</v>
      </c>
      <c r="AI86" s="29" t="n">
        <v>1.9</v>
      </c>
      <c r="AK86" s="27">
        <f>SUM(X86:AI86)</f>
        <v>22</v>
      </c>
    </row>
    <row r="87">
      <c r="C87" s="3" t="inlineStr">
        <is>
          <t>Office Expense, Supplies &amp; Postage</t>
        </is>
      </c>
      <c r="D87" s="29" t="n">
        <v>3.6</v>
      </c>
      <c r="E87" s="29" t="n">
        <v>3.6</v>
      </c>
      <c r="F87" s="29" t="n">
        <v>3.7</v>
      </c>
      <c r="G87" s="29" t="n">
        <v>3.8</v>
      </c>
      <c r="H87" s="29" t="n">
        <v>3.5</v>
      </c>
      <c r="I87" s="29" t="n">
        <v>3.7</v>
      </c>
      <c r="J87" s="29" t="n">
        <v>3.8</v>
      </c>
      <c r="K87" s="29" t="n">
        <v>3.6</v>
      </c>
      <c r="L87" s="29" t="n">
        <v>3.6</v>
      </c>
      <c r="M87" s="29" t="n">
        <v>4</v>
      </c>
      <c r="N87" s="29" t="n">
        <v>3.7</v>
      </c>
      <c r="O87" s="29" t="n">
        <v>3.8</v>
      </c>
      <c r="P87" s="29" t="n">
        <v>4</v>
      </c>
      <c r="Q87" s="29" t="n">
        <v>3.7</v>
      </c>
      <c r="R87" s="29" t="n">
        <v>4.1</v>
      </c>
      <c r="S87" s="29" t="n">
        <v>3.8</v>
      </c>
      <c r="T87" s="29" t="n">
        <v>3.7</v>
      </c>
      <c r="U87" s="29" t="n">
        <v>4</v>
      </c>
      <c r="V87" s="29" t="n">
        <v>4.1</v>
      </c>
      <c r="W87" s="29" t="n">
        <v>4.3</v>
      </c>
      <c r="X87" s="29" t="n">
        <v>4</v>
      </c>
      <c r="Y87" s="29" t="n">
        <v>3.9</v>
      </c>
      <c r="Z87" s="29" t="n">
        <v>4.1</v>
      </c>
      <c r="AA87" s="29" t="n">
        <v>4.3</v>
      </c>
      <c r="AB87" s="29" t="n">
        <v>3.9</v>
      </c>
      <c r="AC87" s="29" t="n">
        <v>4.2</v>
      </c>
      <c r="AD87" s="29" t="n">
        <v>4.2</v>
      </c>
      <c r="AE87" s="29" t="n">
        <v>4.5</v>
      </c>
      <c r="AF87" s="29" t="n">
        <v>4.2</v>
      </c>
      <c r="AG87" s="29" t="n">
        <v>4</v>
      </c>
      <c r="AH87" s="29" t="n">
        <v>4</v>
      </c>
      <c r="AI87" s="29" t="n">
        <v>4.5</v>
      </c>
      <c r="AK87" s="27">
        <f>SUM(X87:AI87)</f>
        <v>49.8</v>
      </c>
    </row>
    <row r="88">
      <c r="C88" s="3" t="inlineStr">
        <is>
          <t>Other Operating Expenses</t>
        </is>
      </c>
      <c r="D88" s="29" t="n">
        <v>3.3</v>
      </c>
      <c r="E88" s="29" t="n">
        <v>3.4</v>
      </c>
      <c r="F88" s="29" t="n">
        <v>3.2</v>
      </c>
      <c r="G88" s="29" t="n">
        <v>3.3</v>
      </c>
      <c r="H88" s="29" t="n">
        <v>3.1</v>
      </c>
      <c r="I88" s="29" t="n">
        <v>3.4</v>
      </c>
      <c r="J88" s="29" t="n">
        <v>3.2</v>
      </c>
      <c r="K88" s="29" t="n">
        <v>3</v>
      </c>
      <c r="L88" s="29" t="n">
        <v>3.2</v>
      </c>
      <c r="M88" s="29" t="n">
        <v>3.3</v>
      </c>
      <c r="N88" s="29" t="n">
        <v>3.1</v>
      </c>
      <c r="O88" s="29" t="n">
        <v>3.3</v>
      </c>
      <c r="P88" s="29" t="n">
        <v>3.1</v>
      </c>
      <c r="Q88" s="29" t="n">
        <v>3.4</v>
      </c>
      <c r="R88" s="29" t="n">
        <v>3.6</v>
      </c>
      <c r="S88" s="29" t="n">
        <v>3.2</v>
      </c>
      <c r="T88" s="29" t="n">
        <v>3.5</v>
      </c>
      <c r="U88" s="29" t="n">
        <v>3.3</v>
      </c>
      <c r="V88" s="29" t="n">
        <v>3.3</v>
      </c>
      <c r="W88" s="29" t="n">
        <v>3.6</v>
      </c>
      <c r="X88" s="29" t="n">
        <v>3.3</v>
      </c>
      <c r="Y88" s="29" t="n">
        <v>3.8</v>
      </c>
      <c r="Z88" s="29" t="n">
        <v>3.7</v>
      </c>
      <c r="AA88" s="29" t="n">
        <v>3.5</v>
      </c>
      <c r="AB88" s="29" t="n">
        <v>3.5</v>
      </c>
      <c r="AC88" s="29" t="n">
        <v>3.4</v>
      </c>
      <c r="AD88" s="29" t="n">
        <v>3.6</v>
      </c>
      <c r="AE88" s="29" t="n">
        <v>3.7</v>
      </c>
      <c r="AF88" s="29" t="n">
        <v>3.5</v>
      </c>
      <c r="AG88" s="29" t="n">
        <v>3.8</v>
      </c>
      <c r="AH88" s="29" t="n">
        <v>3.5</v>
      </c>
      <c r="AI88" s="29" t="n">
        <v>3.8</v>
      </c>
      <c r="AK88" s="27">
        <f>SUM(X88:AI88)</f>
        <v>43.1</v>
      </c>
    </row>
    <row r="89">
      <c r="C89" s="3" t="inlineStr">
        <is>
          <t>Repairs &amp; Maintenance</t>
        </is>
      </c>
      <c r="D89" s="29" t="n">
        <v>3</v>
      </c>
      <c r="E89" s="29" t="n">
        <v>3.1</v>
      </c>
      <c r="F89" s="29" t="n">
        <v>3.1</v>
      </c>
      <c r="G89" s="29" t="n">
        <v>3</v>
      </c>
      <c r="H89" s="29" t="n">
        <v>3.2</v>
      </c>
      <c r="I89" s="29" t="n">
        <v>3</v>
      </c>
      <c r="J89" s="29" t="n">
        <v>3</v>
      </c>
      <c r="K89" s="29" t="n">
        <v>3.4</v>
      </c>
      <c r="L89" s="29" t="n">
        <v>3.2</v>
      </c>
      <c r="M89" s="29" t="n">
        <v>3.4</v>
      </c>
      <c r="N89" s="29" t="n">
        <v>3.1</v>
      </c>
      <c r="O89" s="29" t="n">
        <v>3.5</v>
      </c>
      <c r="P89" s="29" t="n">
        <v>3.2</v>
      </c>
      <c r="Q89" s="29" t="n">
        <v>3.4</v>
      </c>
      <c r="R89" s="29" t="n">
        <v>3.2</v>
      </c>
      <c r="S89" s="29" t="n">
        <v>3.2</v>
      </c>
      <c r="T89" s="29" t="n">
        <v>3.3</v>
      </c>
      <c r="U89" s="29" t="n">
        <v>3.3</v>
      </c>
      <c r="V89" s="29" t="n">
        <v>3.6</v>
      </c>
      <c r="W89" s="29" t="n">
        <v>3.7</v>
      </c>
      <c r="X89" s="29" t="n">
        <v>3.7</v>
      </c>
      <c r="Y89" s="29" t="n">
        <v>3.8</v>
      </c>
      <c r="Z89" s="29" t="n">
        <v>3.6</v>
      </c>
      <c r="AA89" s="29" t="n">
        <v>3.7</v>
      </c>
      <c r="AB89" s="29" t="n">
        <v>3.4</v>
      </c>
      <c r="AC89" s="29" t="n">
        <v>3.8</v>
      </c>
      <c r="AD89" s="29" t="n">
        <v>3.4</v>
      </c>
      <c r="AE89" s="29" t="n">
        <v>3.5</v>
      </c>
      <c r="AF89" s="29" t="n">
        <v>3.7</v>
      </c>
      <c r="AG89" s="29" t="n">
        <v>3.7</v>
      </c>
      <c r="AH89" s="29" t="n">
        <v>3.9</v>
      </c>
      <c r="AI89" s="29" t="n">
        <v>3.5</v>
      </c>
      <c r="AK89" s="27">
        <f>SUM(X89:AI89)</f>
        <v>43.7</v>
      </c>
    </row>
    <row r="90">
      <c r="C90" s="3" t="inlineStr">
        <is>
          <t>Taxes &amp; Licenses</t>
        </is>
      </c>
      <c r="D90" s="29" t="n">
        <v>3.9</v>
      </c>
      <c r="E90" s="29" t="n">
        <v>3.8</v>
      </c>
      <c r="F90" s="29" t="n">
        <v>3.8</v>
      </c>
      <c r="G90" s="29" t="n">
        <v>3.6</v>
      </c>
      <c r="H90" s="29" t="n">
        <v>3.6</v>
      </c>
      <c r="I90" s="29" t="n">
        <v>3.7</v>
      </c>
      <c r="J90" s="29" t="n">
        <v>3.8</v>
      </c>
      <c r="K90" s="29" t="n">
        <v>3.9</v>
      </c>
      <c r="L90" s="29" t="n">
        <v>3.7</v>
      </c>
      <c r="M90" s="29" t="n">
        <v>3.9</v>
      </c>
      <c r="N90" s="29" t="n">
        <v>3.8</v>
      </c>
      <c r="O90" s="29" t="n">
        <v>3.9</v>
      </c>
      <c r="P90" s="29" t="n">
        <v>4</v>
      </c>
      <c r="Q90" s="29" t="n">
        <v>3.9</v>
      </c>
      <c r="R90" s="29" t="n">
        <v>4</v>
      </c>
      <c r="S90" s="29" t="n">
        <v>3.8</v>
      </c>
      <c r="T90" s="29" t="n">
        <v>4.2</v>
      </c>
      <c r="U90" s="29" t="n">
        <v>4.1</v>
      </c>
      <c r="V90" s="29" t="n">
        <v>4</v>
      </c>
      <c r="W90" s="29" t="n">
        <v>4.3</v>
      </c>
      <c r="X90" s="29" t="n">
        <v>4.3</v>
      </c>
      <c r="Y90" s="29" t="n">
        <v>4.4</v>
      </c>
      <c r="Z90" s="29" t="n">
        <v>4.1</v>
      </c>
      <c r="AA90" s="29" t="n">
        <v>4.3</v>
      </c>
      <c r="AB90" s="29" t="n">
        <v>4</v>
      </c>
      <c r="AC90" s="29" t="n">
        <v>4.3</v>
      </c>
      <c r="AD90" s="29" t="n">
        <v>4.4</v>
      </c>
      <c r="AE90" s="29" t="n">
        <v>4.5</v>
      </c>
      <c r="AF90" s="29" t="n">
        <v>4.5</v>
      </c>
      <c r="AG90" s="29" t="n">
        <v>4.6</v>
      </c>
      <c r="AH90" s="29" t="n">
        <v>4.2</v>
      </c>
      <c r="AI90" s="29" t="n">
        <v>4.4</v>
      </c>
      <c r="AK90" s="27">
        <f>SUM(X90:AI90)</f>
        <v>52</v>
      </c>
    </row>
    <row r="91">
      <c r="C91" s="3" t="inlineStr">
        <is>
          <t>Telephone &amp; Message Services</t>
        </is>
      </c>
      <c r="D91" s="29" t="n">
        <v>4.4</v>
      </c>
      <c r="E91" s="29" t="n">
        <v>4.4</v>
      </c>
      <c r="F91" s="29" t="n">
        <v>4.5</v>
      </c>
      <c r="G91" s="29" t="n">
        <v>4.5</v>
      </c>
      <c r="H91" s="29" t="n">
        <v>4</v>
      </c>
      <c r="I91" s="29" t="n">
        <v>4.3</v>
      </c>
      <c r="J91" s="29" t="n">
        <v>4.3</v>
      </c>
      <c r="K91" s="29" t="n">
        <v>4.4</v>
      </c>
      <c r="L91" s="29" t="n">
        <v>4.3</v>
      </c>
      <c r="M91" s="29" t="n">
        <v>4.3</v>
      </c>
      <c r="N91" s="29" t="n">
        <v>4.5</v>
      </c>
      <c r="O91" s="29" t="n">
        <v>4.6</v>
      </c>
      <c r="P91" s="29" t="n">
        <v>4.7</v>
      </c>
      <c r="Q91" s="29" t="n">
        <v>4.3</v>
      </c>
      <c r="R91" s="29" t="n">
        <v>4.7</v>
      </c>
      <c r="S91" s="29" t="n">
        <v>4.6</v>
      </c>
      <c r="T91" s="29" t="n">
        <v>4.4</v>
      </c>
      <c r="U91" s="29" t="n">
        <v>4.4</v>
      </c>
      <c r="V91" s="29" t="n">
        <v>4.5</v>
      </c>
      <c r="W91" s="29" t="n">
        <v>4.8</v>
      </c>
      <c r="X91" s="29" t="n">
        <v>4.6</v>
      </c>
      <c r="Y91" s="29" t="n">
        <v>4.6</v>
      </c>
      <c r="Z91" s="29" t="n">
        <v>4.8</v>
      </c>
      <c r="AA91" s="29" t="n">
        <v>4.9</v>
      </c>
      <c r="AB91" s="29" t="n">
        <v>4.9</v>
      </c>
      <c r="AC91" s="29" t="n">
        <v>4.8</v>
      </c>
      <c r="AD91" s="29" t="n">
        <v>4.5</v>
      </c>
      <c r="AE91" s="29" t="n">
        <v>4.6</v>
      </c>
      <c r="AF91" s="29" t="n">
        <v>5</v>
      </c>
      <c r="AG91" s="29" t="n">
        <v>5.1</v>
      </c>
      <c r="AH91" s="29" t="n">
        <v>4.9</v>
      </c>
      <c r="AI91" s="29" t="n">
        <v>5.1</v>
      </c>
      <c r="AK91" s="27">
        <f>SUM(X91:AI91)</f>
        <v>57.8</v>
      </c>
    </row>
    <row r="92">
      <c r="C92" s="3" t="inlineStr">
        <is>
          <t>Travel, Meals &amp; Entertainment</t>
        </is>
      </c>
      <c r="D92" s="29" t="n">
        <v>3.1</v>
      </c>
      <c r="E92" s="29" t="n">
        <v>3</v>
      </c>
      <c r="F92" s="29" t="n">
        <v>3.1</v>
      </c>
      <c r="G92" s="29" t="n">
        <v>3.2</v>
      </c>
      <c r="H92" s="29" t="n">
        <v>3.1</v>
      </c>
      <c r="I92" s="29" t="n">
        <v>3.3</v>
      </c>
      <c r="J92" s="29" t="n">
        <v>3.4</v>
      </c>
      <c r="K92" s="29" t="n">
        <v>3.2</v>
      </c>
      <c r="L92" s="29" t="n">
        <v>3.4</v>
      </c>
      <c r="M92" s="29" t="n">
        <v>3.2</v>
      </c>
      <c r="N92" s="29" t="n">
        <v>3.2</v>
      </c>
      <c r="O92" s="29" t="n">
        <v>3.3</v>
      </c>
      <c r="P92" s="29" t="n">
        <v>3.5</v>
      </c>
      <c r="Q92" s="29" t="n">
        <v>3.2</v>
      </c>
      <c r="R92" s="29" t="n">
        <v>3.5</v>
      </c>
      <c r="S92" s="29" t="n">
        <v>3.5</v>
      </c>
      <c r="T92" s="29" t="n">
        <v>3.3</v>
      </c>
      <c r="U92" s="29" t="n">
        <v>3.6</v>
      </c>
      <c r="V92" s="29" t="n">
        <v>3.6</v>
      </c>
      <c r="W92" s="29" t="n">
        <v>3.3</v>
      </c>
      <c r="X92" s="29" t="n">
        <v>3.5</v>
      </c>
      <c r="Y92" s="29" t="n">
        <v>3.7</v>
      </c>
      <c r="Z92" s="29" t="n">
        <v>3.5</v>
      </c>
      <c r="AA92" s="29" t="n">
        <v>3.7</v>
      </c>
      <c r="AB92" s="29" t="n">
        <v>3.8</v>
      </c>
      <c r="AC92" s="29" t="n">
        <v>3.6</v>
      </c>
      <c r="AD92" s="29" t="n">
        <v>3.7</v>
      </c>
      <c r="AE92" s="29" t="n">
        <v>3.7</v>
      </c>
      <c r="AF92" s="29" t="n">
        <v>3.4</v>
      </c>
      <c r="AG92" s="29" t="n">
        <v>3.7</v>
      </c>
      <c r="AH92" s="29" t="n">
        <v>3.8</v>
      </c>
      <c r="AI92" s="29" t="n">
        <v>3.5</v>
      </c>
      <c r="AK92" s="27">
        <f>SUM(X92:AI92)</f>
        <v>43.6</v>
      </c>
    </row>
    <row r="93">
      <c r="C93" s="3" t="inlineStr">
        <is>
          <t>Donations &amp; Gifts</t>
        </is>
      </c>
      <c r="D93" s="29" t="n">
        <v>0.5</v>
      </c>
      <c r="E93" s="29" t="n">
        <v>0.5</v>
      </c>
      <c r="F93" s="29" t="n">
        <v>0.5</v>
      </c>
      <c r="G93" s="29" t="n">
        <v>0.5</v>
      </c>
      <c r="H93" s="29" t="n">
        <v>0.5</v>
      </c>
      <c r="I93" s="29" t="n">
        <v>0.5</v>
      </c>
      <c r="J93" s="29" t="n">
        <v>0.5</v>
      </c>
      <c r="K93" s="29" t="n">
        <v>0.5</v>
      </c>
      <c r="L93" s="29" t="n">
        <v>0.6</v>
      </c>
      <c r="M93" s="29" t="n">
        <v>0.6</v>
      </c>
      <c r="N93" s="29" t="n">
        <v>0.5</v>
      </c>
      <c r="O93" s="29" t="n">
        <v>0.5</v>
      </c>
      <c r="P93" s="29" t="n">
        <v>0.6</v>
      </c>
      <c r="Q93" s="29" t="n">
        <v>0.6</v>
      </c>
      <c r="R93" s="29" t="n">
        <v>0.6</v>
      </c>
      <c r="S93" s="29" t="n">
        <v>0.6</v>
      </c>
      <c r="T93" s="29" t="n">
        <v>0.6</v>
      </c>
      <c r="U93" s="29" t="n">
        <v>0.6</v>
      </c>
      <c r="V93" s="29" t="n">
        <v>0.5</v>
      </c>
      <c r="W93" s="29" t="n">
        <v>0.5</v>
      </c>
      <c r="X93" s="29" t="n">
        <v>0.6</v>
      </c>
      <c r="Y93" s="29" t="n">
        <v>0.6</v>
      </c>
      <c r="Z93" s="29" t="n">
        <v>0.6</v>
      </c>
      <c r="AA93" s="29" t="n">
        <v>0.6</v>
      </c>
      <c r="AB93" s="29" t="n">
        <v>0.6</v>
      </c>
      <c r="AC93" s="29" t="n">
        <v>0.6</v>
      </c>
      <c r="AD93" s="29" t="n">
        <v>0.6</v>
      </c>
      <c r="AE93" s="29" t="n">
        <v>0.6</v>
      </c>
      <c r="AF93" s="29" t="n">
        <v>0.6</v>
      </c>
      <c r="AG93" s="29" t="n">
        <v>0.6</v>
      </c>
      <c r="AH93" s="29" t="n">
        <v>0.6</v>
      </c>
      <c r="AI93" s="29" t="n">
        <v>0.6</v>
      </c>
      <c r="AK93" s="27">
        <f>SUM(X93:AI93)</f>
        <v>7.2</v>
      </c>
    </row>
    <row r="94">
      <c r="C94" s="3" t="inlineStr">
        <is>
          <t>Automobile Expense</t>
        </is>
      </c>
      <c r="D94" s="29" t="n">
        <v>3.6</v>
      </c>
      <c r="E94" s="29" t="n">
        <v>3.8</v>
      </c>
      <c r="F94" s="29" t="n">
        <v>3.8</v>
      </c>
      <c r="G94" s="29" t="n">
        <v>3.6</v>
      </c>
      <c r="H94" s="29" t="n">
        <v>3.6</v>
      </c>
      <c r="I94" s="29" t="n">
        <v>3.6</v>
      </c>
      <c r="J94" s="29" t="n">
        <v>3.8</v>
      </c>
      <c r="K94" s="29" t="n">
        <v>3.8</v>
      </c>
      <c r="L94" s="29" t="n">
        <v>3.8</v>
      </c>
      <c r="M94" s="29" t="n">
        <v>3.7</v>
      </c>
      <c r="N94" s="29" t="n">
        <v>4</v>
      </c>
      <c r="O94" s="29" t="n">
        <v>4.1</v>
      </c>
      <c r="P94" s="29" t="n">
        <v>3.8</v>
      </c>
      <c r="Q94" s="29" t="n">
        <v>3.8</v>
      </c>
      <c r="R94" s="29" t="n">
        <v>3.7</v>
      </c>
      <c r="S94" s="29" t="n">
        <v>3.8</v>
      </c>
      <c r="T94" s="29" t="n">
        <v>3.9</v>
      </c>
      <c r="U94" s="29" t="n">
        <v>4.2</v>
      </c>
      <c r="V94" s="29" t="n">
        <v>4.1</v>
      </c>
      <c r="W94" s="29" t="n">
        <v>4.3</v>
      </c>
      <c r="X94" s="29" t="n">
        <v>4.3</v>
      </c>
      <c r="Y94" s="29" t="n">
        <v>4</v>
      </c>
      <c r="Z94" s="29" t="n">
        <v>3.9</v>
      </c>
      <c r="AA94" s="29" t="n">
        <v>3.9</v>
      </c>
      <c r="AB94" s="29" t="n">
        <v>4.4</v>
      </c>
      <c r="AC94" s="29" t="n">
        <v>4</v>
      </c>
      <c r="AD94" s="29" t="n">
        <v>4.2</v>
      </c>
      <c r="AE94" s="29" t="n">
        <v>4.4</v>
      </c>
      <c r="AF94" s="29" t="n">
        <v>4</v>
      </c>
      <c r="AG94" s="29" t="n">
        <v>4.3</v>
      </c>
      <c r="AH94" s="29" t="n">
        <v>4.3</v>
      </c>
      <c r="AI94" s="29" t="n">
        <v>4.5</v>
      </c>
      <c r="AK94" s="27">
        <f>SUM(X94:AI94)</f>
        <v>50.2</v>
      </c>
    </row>
    <row r="95">
      <c r="C95" s="3" t="inlineStr">
        <is>
          <t>Quality Control</t>
        </is>
      </c>
      <c r="D95" s="29" t="n">
        <v>3.2</v>
      </c>
      <c r="E95" s="29" t="n">
        <v>3.3</v>
      </c>
      <c r="F95" s="29" t="n">
        <v>3.3</v>
      </c>
      <c r="G95" s="29" t="n">
        <v>3.1</v>
      </c>
      <c r="H95" s="29" t="n">
        <v>3.3</v>
      </c>
      <c r="I95" s="29" t="n">
        <v>3.3</v>
      </c>
      <c r="J95" s="29" t="n">
        <v>3</v>
      </c>
      <c r="K95" s="29" t="n">
        <v>3.1</v>
      </c>
      <c r="L95" s="29" t="n">
        <v>3</v>
      </c>
      <c r="M95" s="29" t="n">
        <v>3.3</v>
      </c>
      <c r="N95" s="29" t="n">
        <v>3.1</v>
      </c>
      <c r="O95" s="29" t="n">
        <v>3.1</v>
      </c>
      <c r="P95" s="29" t="n">
        <v>3.1</v>
      </c>
      <c r="Q95" s="29" t="n">
        <v>3.2</v>
      </c>
      <c r="R95" s="29" t="n">
        <v>3.3</v>
      </c>
      <c r="S95" s="29" t="n">
        <v>3.3</v>
      </c>
      <c r="T95" s="29" t="n">
        <v>3.2</v>
      </c>
      <c r="U95" s="29" t="n">
        <v>3.6</v>
      </c>
      <c r="V95" s="29" t="n">
        <v>3.6</v>
      </c>
      <c r="W95" s="29" t="n">
        <v>3.3</v>
      </c>
      <c r="X95" s="29" t="n">
        <v>3.7</v>
      </c>
      <c r="Y95" s="29" t="n">
        <v>3.6</v>
      </c>
      <c r="Z95" s="29" t="n">
        <v>3.5</v>
      </c>
      <c r="AA95" s="29" t="n">
        <v>3.7</v>
      </c>
      <c r="AB95" s="29" t="n">
        <v>3.5</v>
      </c>
      <c r="AC95" s="29" t="n">
        <v>3.7</v>
      </c>
      <c r="AD95" s="29" t="n">
        <v>3.4</v>
      </c>
      <c r="AE95" s="29" t="n">
        <v>3.5</v>
      </c>
      <c r="AF95" s="29" t="n">
        <v>3.7</v>
      </c>
      <c r="AG95" s="29" t="n">
        <v>3.6</v>
      </c>
      <c r="AH95" s="29" t="n">
        <v>3.5</v>
      </c>
      <c r="AI95" s="29" t="n">
        <v>3.7</v>
      </c>
      <c r="AK95" s="27">
        <f>SUM(X95:AI95)</f>
        <v>43.1</v>
      </c>
    </row>
    <row r="96">
      <c r="C96" s="3" t="inlineStr">
        <is>
          <t>Delivery and Transportation</t>
        </is>
      </c>
      <c r="D96" s="29" t="n">
        <v>6.3</v>
      </c>
      <c r="E96" s="29" t="n">
        <v>5.9</v>
      </c>
      <c r="F96" s="29" t="n">
        <v>6.3</v>
      </c>
      <c r="G96" s="29" t="n">
        <v>6.1</v>
      </c>
      <c r="H96" s="29" t="n">
        <v>6.8</v>
      </c>
      <c r="I96" s="29" t="n">
        <v>5.7</v>
      </c>
      <c r="J96" s="29" t="n">
        <v>6.6</v>
      </c>
      <c r="K96" s="29" t="n">
        <v>6.9</v>
      </c>
      <c r="L96" s="29" t="n">
        <v>6.2</v>
      </c>
      <c r="M96" s="29" t="n">
        <v>7.2</v>
      </c>
      <c r="N96" s="29" t="n">
        <v>6.3</v>
      </c>
      <c r="O96" s="29" t="n">
        <v>6</v>
      </c>
      <c r="P96" s="29" t="n">
        <v>7</v>
      </c>
      <c r="Q96" s="29" t="n">
        <v>5.7</v>
      </c>
      <c r="R96" s="29" t="n">
        <v>6.6</v>
      </c>
      <c r="S96" s="29" t="n">
        <v>7.1</v>
      </c>
      <c r="T96" s="29" t="n">
        <v>7.3</v>
      </c>
      <c r="U96" s="29" t="n">
        <v>6.3</v>
      </c>
      <c r="V96" s="29" t="n">
        <v>6.9</v>
      </c>
      <c r="W96" s="29" t="n">
        <v>6.8</v>
      </c>
      <c r="X96" s="29" t="n">
        <v>7.2</v>
      </c>
      <c r="Y96" s="29" t="n">
        <v>7.7</v>
      </c>
      <c r="Z96" s="29" t="n">
        <v>6.6</v>
      </c>
      <c r="AA96" s="29" t="n">
        <v>6.8</v>
      </c>
      <c r="AB96" s="29" t="n">
        <v>7.5</v>
      </c>
      <c r="AC96" s="29" t="n">
        <v>6.4</v>
      </c>
      <c r="AD96" s="29" t="n">
        <v>7.6</v>
      </c>
      <c r="AE96" s="29" t="n">
        <v>8.1</v>
      </c>
      <c r="AF96" s="29" t="n">
        <v>7.4</v>
      </c>
      <c r="AG96" s="29" t="n">
        <v>7</v>
      </c>
      <c r="AH96" s="29" t="n">
        <v>7.6</v>
      </c>
      <c r="AI96" s="29" t="n">
        <v>7.5</v>
      </c>
      <c r="AK96" s="27">
        <f>SUM(X96:AI96)</f>
        <v>87.4</v>
      </c>
    </row>
    <row r="97">
      <c r="C97" s="3" t="inlineStr">
        <is>
          <t>Recruitment Costs</t>
        </is>
      </c>
      <c r="D97" s="29" t="n">
        <v>2.1</v>
      </c>
      <c r="E97" s="29" t="n">
        <v>2</v>
      </c>
      <c r="F97" s="29" t="n">
        <v>2</v>
      </c>
      <c r="G97" s="29" t="n">
        <v>2</v>
      </c>
      <c r="H97" s="29" t="n">
        <v>2.2</v>
      </c>
      <c r="I97" s="29" t="n">
        <v>2.1</v>
      </c>
      <c r="J97" s="29" t="n">
        <v>2.1</v>
      </c>
      <c r="K97" s="29" t="n">
        <v>2.2</v>
      </c>
      <c r="L97" s="29" t="n">
        <v>2.2</v>
      </c>
      <c r="M97" s="29" t="n">
        <v>2.1</v>
      </c>
      <c r="N97" s="29" t="n">
        <v>2.3</v>
      </c>
      <c r="O97" s="29" t="n">
        <v>2.1</v>
      </c>
      <c r="P97" s="29" t="n">
        <v>2.2</v>
      </c>
      <c r="Q97" s="29" t="n">
        <v>2.3</v>
      </c>
      <c r="R97" s="29" t="n">
        <v>2.1</v>
      </c>
      <c r="S97" s="29" t="n">
        <v>2.1</v>
      </c>
      <c r="T97" s="29" t="n">
        <v>2.3</v>
      </c>
      <c r="U97" s="29" t="n">
        <v>2.2</v>
      </c>
      <c r="V97" s="29" t="n">
        <v>2.2</v>
      </c>
      <c r="W97" s="29" t="n">
        <v>2.3</v>
      </c>
      <c r="X97" s="29" t="n">
        <v>2.4</v>
      </c>
      <c r="Y97" s="29" t="n">
        <v>2.2</v>
      </c>
      <c r="Z97" s="29" t="n">
        <v>2.3</v>
      </c>
      <c r="AA97" s="29" t="n">
        <v>2.5</v>
      </c>
      <c r="AB97" s="29" t="n">
        <v>2.3</v>
      </c>
      <c r="AC97" s="29" t="n">
        <v>2.4</v>
      </c>
      <c r="AD97" s="29" t="n">
        <v>2.5</v>
      </c>
      <c r="AE97" s="29" t="n">
        <v>2.4</v>
      </c>
      <c r="AF97" s="29" t="n">
        <v>2.3</v>
      </c>
      <c r="AG97" s="29" t="n">
        <v>2.3</v>
      </c>
      <c r="AH97" s="29" t="n">
        <v>2.4</v>
      </c>
      <c r="AI97" s="29" t="n">
        <v>2.6</v>
      </c>
      <c r="AK97" s="27">
        <f>SUM(X97:AI97)</f>
        <v>28.6</v>
      </c>
    </row>
    <row r="98">
      <c r="C98" s="2" t="inlineStr">
        <is>
          <t>Total General &amp; Administrative</t>
        </is>
      </c>
      <c r="D98" s="30">
        <f>SUM(D74:D97)</f>
        <v>160.7</v>
      </c>
      <c r="E98" s="30">
        <f>SUM(E74:E97)</f>
        <v>156</v>
      </c>
      <c r="F98" s="30">
        <f>SUM(F74:F97)</f>
        <v>162.9</v>
      </c>
      <c r="G98" s="30">
        <f>SUM(G74:G97)</f>
        <v>158.8</v>
      </c>
      <c r="H98" s="30">
        <f>SUM(H74:H97)</f>
        <v>165</v>
      </c>
      <c r="I98" s="30">
        <f>SUM(I74:I97)</f>
        <v>156.9</v>
      </c>
      <c r="J98" s="30">
        <f>SUM(J74:J97)</f>
        <v>165</v>
      </c>
      <c r="K98" s="30">
        <f>SUM(K74:K97)</f>
        <v>166.1</v>
      </c>
      <c r="L98" s="30">
        <f>SUM(L74:L97)</f>
        <v>161.6</v>
      </c>
      <c r="M98" s="30">
        <f>SUM(M74:M97)</f>
        <v>172</v>
      </c>
      <c r="N98" s="30">
        <f>SUM(N74:N97)</f>
        <v>162.3</v>
      </c>
      <c r="O98" s="30">
        <f>SUM(O74:O97)</f>
        <v>165.5</v>
      </c>
      <c r="P98" s="30">
        <f>SUM(P74:P97)</f>
        <v>170.8</v>
      </c>
      <c r="Q98" s="30">
        <f>SUM(Q74:Q97)</f>
        <v>158.6</v>
      </c>
      <c r="R98" s="30">
        <f>SUM(R74:R97)</f>
        <v>169.8</v>
      </c>
      <c r="S98" s="30">
        <f>SUM(S74:S97)</f>
        <v>172</v>
      </c>
      <c r="T98" s="30">
        <f>SUM(T74:T97)</f>
        <v>175.2</v>
      </c>
      <c r="U98" s="30">
        <f>SUM(U74:U97)</f>
        <v>168.3</v>
      </c>
      <c r="V98" s="30">
        <f>SUM(V74:V97)</f>
        <v>176.7</v>
      </c>
      <c r="W98" s="30">
        <f>SUM(W74:W97)</f>
        <v>176.5</v>
      </c>
      <c r="X98" s="30">
        <f>SUM(X74:X97)</f>
        <v>178.3</v>
      </c>
      <c r="Y98" s="30">
        <f>SUM(Y74:Y97)</f>
        <v>186.8</v>
      </c>
      <c r="Z98" s="30">
        <f>SUM(Z74:Z97)</f>
        <v>177.5</v>
      </c>
      <c r="AA98" s="30">
        <f>SUM(AA74:AA97)</f>
        <v>181</v>
      </c>
      <c r="AB98" s="30">
        <f>SUM(AB74:AB97)</f>
        <v>185</v>
      </c>
      <c r="AC98" s="30">
        <f>SUM(AC74:AC97)</f>
        <v>172.7</v>
      </c>
      <c r="AD98" s="30">
        <f>SUM(AD74:AD97)</f>
        <v>185.4</v>
      </c>
      <c r="AE98" s="30">
        <f>SUM(AE74:AE97)</f>
        <v>190.4</v>
      </c>
      <c r="AF98" s="30">
        <f>SUM(AF74:AF97)</f>
        <v>186.4</v>
      </c>
      <c r="AG98" s="30">
        <f>SUM(AG74:AG97)</f>
        <v>185.2</v>
      </c>
      <c r="AH98" s="30">
        <f>SUM(AH74:AH97)</f>
        <v>187.7</v>
      </c>
      <c r="AI98" s="30">
        <f>SUM(AI74:AI97)</f>
        <v>187.8</v>
      </c>
      <c r="AK98" s="30">
        <f>SUM(X98:AI98)</f>
        <v>2204.2</v>
      </c>
    </row>
    <row r="100">
      <c r="C100" s="2" t="inlineStr">
        <is>
          <t>Total Operating Expenses</t>
        </is>
      </c>
      <c r="D100" s="30">
        <f>+SUM(D24,D32,D43,D50,D58,D64,D71,D98)</f>
        <v>843.6</v>
      </c>
      <c r="E100" s="30">
        <f>+SUM(E24,E32,E43,E50,E58,E64,E71,E98)</f>
        <v>810.4</v>
      </c>
      <c r="F100" s="30">
        <f>+SUM(F24,F32,F43,F50,F58,F64,F71,F98)</f>
        <v>848.3</v>
      </c>
      <c r="G100" s="30">
        <f>+SUM(G24,G32,G43,G50,G58,G64,G71,G98)</f>
        <v>844</v>
      </c>
      <c r="H100" s="30">
        <f>+SUM(H24,H32,H43,H50,H58,H64,H71,H98)</f>
        <v>877.1</v>
      </c>
      <c r="I100" s="30">
        <f>+SUM(I24,I32,I43,I50,I58,I64,I71,I98)</f>
        <v>824.6</v>
      </c>
      <c r="J100" s="30">
        <f>+SUM(J24,J32,J43,J50,J58,J64,J71,J98)</f>
        <v>862</v>
      </c>
      <c r="K100" s="30">
        <f>+SUM(K24,K32,K43,K50,K58,K64,K71,K98)</f>
        <v>870</v>
      </c>
      <c r="L100" s="30">
        <f>+SUM(L24,L32,L43,L50,L58,L64,L71,L98)</f>
        <v>837</v>
      </c>
      <c r="M100" s="30">
        <f>+SUM(M24,M32,M43,M50,M58,M64,M71,M98)</f>
        <v>906.7</v>
      </c>
      <c r="N100" s="30">
        <f>+SUM(N24,N32,N43,N50,N58,N64,N71,N98)</f>
        <v>849</v>
      </c>
      <c r="O100" s="30">
        <f>+SUM(O24,O32,O43,O50,O58,O64,O71,O98)</f>
        <v>845.6</v>
      </c>
      <c r="P100" s="30">
        <f>+SUM(P24,P32,P43,P50,P58,P64,P71,P98)</f>
        <v>894.1</v>
      </c>
      <c r="Q100" s="30">
        <f>+SUM(Q24,Q32,Q43,Q50,Q58,Q64,Q71,Q98)</f>
        <v>839.2</v>
      </c>
      <c r="R100" s="30">
        <f>+SUM(R24,R32,R43,R50,R58,R64,R71,R98)</f>
        <v>874.4</v>
      </c>
      <c r="S100" s="30">
        <f>+SUM(S24,S32,S43,S50,S58,S64,S71,S98)</f>
        <v>908.6</v>
      </c>
      <c r="T100" s="30">
        <f>+SUM(T24,T32,T43,T50,T58,T64,T71,T98)</f>
        <v>925.3</v>
      </c>
      <c r="U100" s="30">
        <f>+SUM(U24,U32,U43,U50,U58,U64,U71,U98)</f>
        <v>886.4</v>
      </c>
      <c r="V100" s="30">
        <f>+SUM(V24,V32,V43,V50,V58,V64,V71,V98)</f>
        <v>933.3</v>
      </c>
      <c r="W100" s="30">
        <f>+SUM(W24,W32,W43,W50,W58,W64,W71,W98)</f>
        <v>909.4</v>
      </c>
      <c r="X100" s="30">
        <f>+SUM(X24,X32,X43,X50,X58,X64,X71,X98)</f>
        <v>920.3</v>
      </c>
      <c r="Y100" s="30">
        <f>+SUM(Y24,Y32,Y43,Y50,Y58,Y64,Y71,Y98)</f>
        <v>975.6</v>
      </c>
      <c r="Z100" s="30">
        <f>+SUM(Z24,Z32,Z43,Z50,Z58,Z64,Z71,Z98)</f>
        <v>926.8</v>
      </c>
      <c r="AA100" s="30">
        <f>+SUM(AA24,AA32,AA43,AA50,AA58,AA64,AA71,AA98)</f>
        <v>945.8</v>
      </c>
      <c r="AB100" s="30">
        <f>+SUM(AB24,AB32,AB43,AB50,AB58,AB64,AB71,AB98)</f>
        <v>982.5</v>
      </c>
      <c r="AC100" s="30">
        <f>+SUM(AC24,AC32,AC43,AC50,AC58,AC64,AC71,AC98)</f>
        <v>900.6</v>
      </c>
      <c r="AD100" s="30">
        <f>+SUM(AD24,AD32,AD43,AD50,AD58,AD64,AD71,AD98)</f>
        <v>968.2</v>
      </c>
      <c r="AE100" s="30">
        <f>+SUM(AE24,AE32,AE43,AE50,AE58,AE64,AE71,AE98)</f>
        <v>994.4</v>
      </c>
      <c r="AF100" s="30">
        <f>+SUM(AF24,AF32,AF43,AF50,AF58,AF64,AF71,AF98)</f>
        <v>977.2</v>
      </c>
      <c r="AG100" s="30">
        <f>+SUM(AG24,AG32,AG43,AG50,AG58,AG64,AG71,AG98)</f>
        <v>952.5</v>
      </c>
      <c r="AH100" s="30">
        <f>+SUM(AH24,AH32,AH43,AH50,AH58,AH64,AH71,AH98)</f>
        <v>981.6</v>
      </c>
      <c r="AI100" s="30">
        <f>+SUM(AI24,AI32,AI43,AI50,AI58,AI64,AI71,AI98)</f>
        <v>972.3</v>
      </c>
      <c r="AK100" s="30">
        <f>SUM(X100:AI100)</f>
        <v>11497.8</v>
      </c>
    </row>
    <row r="101">
      <c r="C101" s="4" t="inlineStr">
        <is>
          <t>Growth</t>
        </is>
      </c>
      <c r="E101" s="12">
        <f>+IFERROR(E100/D100-1,"n/a")</f>
        <v>-0.0393551446183026</v>
      </c>
      <c r="F101" s="12">
        <f>+IFERROR(F100/E100-1,"n/a")</f>
        <v>0.0467670286278383</v>
      </c>
      <c r="G101" s="12">
        <f>+IFERROR(G100/F100-1,"n/a")</f>
        <v>-0.0050689614523165</v>
      </c>
      <c r="H101" s="12">
        <f>+IFERROR(H100/G100-1,"n/a")</f>
        <v>0.0392180094786729</v>
      </c>
      <c r="I101" s="12">
        <f>+IFERROR(I100/H100-1,"n/a")</f>
        <v>-0.0598563447725459</v>
      </c>
      <c r="J101" s="12">
        <f>+IFERROR(J100/I100-1,"n/a")</f>
        <v>0.0453553237933544</v>
      </c>
      <c r="K101" s="12">
        <f>+IFERROR(K100/J100-1,"n/a")</f>
        <v>0.00928074245939681</v>
      </c>
      <c r="L101" s="12">
        <f>+IFERROR(L100/K100-1,"n/a")</f>
        <v>-0.0379310344827586</v>
      </c>
      <c r="M101" s="12">
        <f>+IFERROR(M100/L100-1,"n/a")</f>
        <v>0.0832735961768221</v>
      </c>
      <c r="N101" s="12">
        <f>+IFERROR(N100/M100-1,"n/a")</f>
        <v>-0.0636373662732989</v>
      </c>
      <c r="O101" s="12">
        <f>+IFERROR(O100/N100-1,"n/a")</f>
        <v>-0.00400471142520609</v>
      </c>
      <c r="P101" s="12">
        <f>+IFERROR(P100/O100-1,"n/a")</f>
        <v>0.0573557237464522</v>
      </c>
      <c r="Q101" s="12">
        <f>+IFERROR(Q100/P100-1,"n/a")</f>
        <v>-0.0614025276814674</v>
      </c>
      <c r="R101" s="12">
        <f>+IFERROR(R100/Q100-1,"n/a")</f>
        <v>0.0419447092469016</v>
      </c>
      <c r="S101" s="12">
        <f>+IFERROR(S100/R100-1,"n/a")</f>
        <v>0.0391125343092407</v>
      </c>
      <c r="T101" s="12">
        <f>+IFERROR(T100/S100-1,"n/a")</f>
        <v>0.0183799251595862</v>
      </c>
      <c r="U101" s="12">
        <f>+IFERROR(U100/T100-1,"n/a")</f>
        <v>-0.0420404193234626</v>
      </c>
      <c r="V101" s="12">
        <f>+IFERROR(V100/U100-1,"n/a")</f>
        <v>0.0529106498194947</v>
      </c>
      <c r="W101" s="12">
        <f>+IFERROR(W100/V100-1,"n/a")</f>
        <v>-0.0256080574306224</v>
      </c>
      <c r="X101" s="12">
        <f>+IFERROR(X100/W100-1,"n/a")</f>
        <v>0.0119859247855729</v>
      </c>
      <c r="Y101" s="12">
        <f>+IFERROR(Y100/X100-1,"n/a")</f>
        <v>0.0600891013799849</v>
      </c>
      <c r="Z101" s="12">
        <f>+IFERROR(Z100/Y100-1,"n/a")</f>
        <v>-0.0500205002050022</v>
      </c>
      <c r="AA101" s="12">
        <f>+IFERROR(AA100/Z100-1,"n/a")</f>
        <v>0.0205006473888649</v>
      </c>
      <c r="AB101" s="12">
        <f>+IFERROR(AB100/AA100-1,"n/a")</f>
        <v>0.0388031296257136</v>
      </c>
      <c r="AC101" s="12">
        <f>+IFERROR(AC100/AB100-1,"n/a")</f>
        <v>-0.0833587786259542</v>
      </c>
      <c r="AD101" s="12">
        <f>+IFERROR(AD100/AC100-1,"n/a")</f>
        <v>0.0750610703975128</v>
      </c>
      <c r="AE101" s="12">
        <f>+IFERROR(AE100/AD100-1,"n/a")</f>
        <v>0.0270605246849824</v>
      </c>
      <c r="AF101" s="12">
        <f>+IFERROR(AF100/AE100-1,"n/a")</f>
        <v>-0.0172968624296057</v>
      </c>
      <c r="AG101" s="12">
        <f>+IFERROR(AG100/AF100-1,"n/a")</f>
        <v>-0.0252762996316005</v>
      </c>
      <c r="AH101" s="12">
        <f>+IFERROR(AH100/AG100-1,"n/a")</f>
        <v>0.0305511811023622</v>
      </c>
      <c r="AI101" s="12">
        <f>+IFERROR(AI100/AH100-1,"n/a")</f>
        <v>-0.00947432762836165</v>
      </c>
    </row>
    <row r="103">
      <c r="C103" s="2" t="inlineStr">
        <is>
          <t>Operating Margin</t>
        </is>
      </c>
      <c r="D103" s="31">
        <f>+D15-D100</f>
        <v>216</v>
      </c>
      <c r="E103" s="31">
        <f>+E15-E100</f>
        <v>146.7</v>
      </c>
      <c r="F103" s="31">
        <f>+F15-F100</f>
        <v>205</v>
      </c>
      <c r="G103" s="31">
        <f>+G15-G100</f>
        <v>180.7</v>
      </c>
      <c r="H103" s="31">
        <f>+H15-H100</f>
        <v>276</v>
      </c>
      <c r="I103" s="31">
        <f>+I15-I100</f>
        <v>148</v>
      </c>
      <c r="J103" s="31">
        <f>+J15-J100</f>
        <v>211.5</v>
      </c>
      <c r="K103" s="31">
        <f>+K15-K100</f>
        <v>227.4</v>
      </c>
      <c r="L103" s="31">
        <f>+L15-L100</f>
        <v>177.1</v>
      </c>
      <c r="M103" s="31">
        <f>+M15-M100</f>
        <v>314.9</v>
      </c>
      <c r="N103" s="31">
        <f>+N15-N100</f>
        <v>213.8</v>
      </c>
      <c r="O103" s="31">
        <f>+O15-O100</f>
        <v>176.5</v>
      </c>
      <c r="P103" s="31">
        <f>+P15-P100</f>
        <v>263.2</v>
      </c>
      <c r="Q103" s="31">
        <f>+Q15-Q100</f>
        <v>104.7</v>
      </c>
      <c r="R103" s="31">
        <f>+R15-R100</f>
        <v>207.5</v>
      </c>
      <c r="S103" s="31">
        <f>+S15-S100</f>
        <v>262.5</v>
      </c>
      <c r="T103" s="31">
        <f>+T15-T100</f>
        <v>281.5</v>
      </c>
      <c r="U103" s="31">
        <f>+U15-U100</f>
        <v>170.8</v>
      </c>
      <c r="V103" s="31">
        <f>+V15-V100</f>
        <v>274.6</v>
      </c>
      <c r="W103" s="31">
        <f>+W15-W100</f>
        <v>241.7</v>
      </c>
      <c r="X103" s="31">
        <f>+X15-X100</f>
        <v>231.5</v>
      </c>
      <c r="Y103" s="31">
        <f>+Y15-Y100</f>
        <v>350.6</v>
      </c>
      <c r="Z103" s="31">
        <f>+Z15-Z100</f>
        <v>196.3</v>
      </c>
      <c r="AA103" s="31">
        <f>+AA15-AA100</f>
        <v>233.3</v>
      </c>
      <c r="AB103" s="31">
        <f>+AB15-AB100</f>
        <v>251.6</v>
      </c>
      <c r="AC103" s="31">
        <f>+AC15-AC100</f>
        <v>143.3</v>
      </c>
      <c r="AD103" s="31">
        <f>+AD15-AD100</f>
        <v>270.6</v>
      </c>
      <c r="AE103" s="31">
        <f>+AE15-AE100</f>
        <v>294.7</v>
      </c>
      <c r="AF103" s="31">
        <f>+AF15-AF100</f>
        <v>271.2</v>
      </c>
      <c r="AG103" s="31">
        <f>+AG15-AG100</f>
        <v>235.5</v>
      </c>
      <c r="AH103" s="31">
        <f>+AH15-AH100</f>
        <v>316.1</v>
      </c>
      <c r="AI103" s="31">
        <f>+AI15-AI100</f>
        <v>260.7</v>
      </c>
      <c r="AK103" s="31">
        <f>SUM(X103:AI103)</f>
        <v>3055.4</v>
      </c>
    </row>
    <row r="105">
      <c r="C105" s="3" t="inlineStr">
        <is>
          <t>Non-Operating Expense / (Income)</t>
        </is>
      </c>
      <c r="D105" s="29" t="n">
        <v>2.1</v>
      </c>
      <c r="E105" s="29" t="n">
        <v>2.3</v>
      </c>
      <c r="F105" s="29" t="n">
        <v>3</v>
      </c>
      <c r="G105" s="29" t="n">
        <v>2.5</v>
      </c>
      <c r="H105" s="29" t="n">
        <v>1.8</v>
      </c>
      <c r="I105" s="29" t="n">
        <v>2.4</v>
      </c>
      <c r="J105" s="29" t="n">
        <v>2.7</v>
      </c>
      <c r="K105" s="29" t="n">
        <v>2.6</v>
      </c>
      <c r="L105" s="29" t="n">
        <v>1.9</v>
      </c>
      <c r="M105" s="29" t="n">
        <v>2.9</v>
      </c>
      <c r="N105" s="29" t="n">
        <v>2.6</v>
      </c>
      <c r="O105" s="29" t="n">
        <v>2.6</v>
      </c>
      <c r="P105" s="29" t="n">
        <v>2.3</v>
      </c>
      <c r="Q105" s="29" t="n">
        <v>2.3</v>
      </c>
      <c r="R105" s="29" t="n">
        <v>2.2</v>
      </c>
      <c r="S105" s="29" t="n">
        <v>2</v>
      </c>
      <c r="T105" s="29" t="n">
        <v>2.5</v>
      </c>
      <c r="U105" s="29" t="n">
        <v>2.4</v>
      </c>
      <c r="V105" s="29" t="n">
        <v>2.6</v>
      </c>
      <c r="W105" s="29" t="n">
        <v>2.4</v>
      </c>
      <c r="X105" s="29" t="n">
        <v>2.7</v>
      </c>
      <c r="Y105" s="29" t="n">
        <v>2.3</v>
      </c>
      <c r="Z105" s="29" t="n">
        <v>2.6</v>
      </c>
      <c r="AA105" s="29" t="n">
        <v>3</v>
      </c>
      <c r="AB105" s="29" t="n">
        <v>2.1</v>
      </c>
      <c r="AC105" s="29" t="n">
        <v>2.1</v>
      </c>
      <c r="AD105" s="29" t="n">
        <v>2</v>
      </c>
      <c r="AE105" s="29" t="n">
        <v>3</v>
      </c>
      <c r="AF105" s="29" t="n">
        <v>2.7</v>
      </c>
      <c r="AG105" s="29" t="n">
        <v>2.2</v>
      </c>
      <c r="AH105" s="29" t="n">
        <v>3</v>
      </c>
      <c r="AI105" s="29" t="n">
        <v>2.8</v>
      </c>
      <c r="AK105" s="27">
        <f>SUM(X105:AI105)</f>
        <v>30.5</v>
      </c>
    </row>
    <row r="106">
      <c r="C106" s="3" t="inlineStr">
        <is>
          <t>Non-Operating Income / (Expense)</t>
        </is>
      </c>
      <c r="D106" s="29" t="n">
        <v>0.9</v>
      </c>
      <c r="E106" s="29" t="n">
        <v>0.8</v>
      </c>
      <c r="F106" s="29" t="n">
        <v>1</v>
      </c>
      <c r="G106" s="29" t="n">
        <v>0.7</v>
      </c>
      <c r="H106" s="29" t="n">
        <v>0.9</v>
      </c>
      <c r="I106" s="29" t="n">
        <v>1</v>
      </c>
      <c r="J106" s="29" t="n">
        <v>0.7</v>
      </c>
      <c r="K106" s="29" t="n">
        <v>1.1</v>
      </c>
      <c r="L106" s="29" t="n">
        <v>1</v>
      </c>
      <c r="M106" s="29" t="n">
        <v>1</v>
      </c>
      <c r="N106" s="29" t="n">
        <v>1.2</v>
      </c>
      <c r="O106" s="29" t="n">
        <v>1</v>
      </c>
      <c r="P106" s="29" t="n">
        <v>1.1</v>
      </c>
      <c r="Q106" s="29" t="n">
        <v>1</v>
      </c>
      <c r="R106" s="29" t="n">
        <v>0.9</v>
      </c>
      <c r="S106" s="29" t="n">
        <v>1.1</v>
      </c>
      <c r="T106" s="29" t="n">
        <v>0.9</v>
      </c>
      <c r="U106" s="29" t="n">
        <v>1</v>
      </c>
      <c r="V106" s="29" t="n">
        <v>1</v>
      </c>
      <c r="W106" s="29" t="n">
        <v>1</v>
      </c>
      <c r="X106" s="29" t="n">
        <v>0.9</v>
      </c>
      <c r="Y106" s="29" t="n">
        <v>0.8</v>
      </c>
      <c r="Z106" s="29" t="n">
        <v>1.1</v>
      </c>
      <c r="AA106" s="29" t="n">
        <v>1</v>
      </c>
      <c r="AB106" s="29" t="n">
        <v>0.7</v>
      </c>
      <c r="AC106" s="29" t="n">
        <v>1.1</v>
      </c>
      <c r="AD106" s="29" t="n">
        <v>1.1</v>
      </c>
      <c r="AE106" s="29" t="n">
        <v>0.7</v>
      </c>
      <c r="AF106" s="29" t="n">
        <v>0.7</v>
      </c>
      <c r="AG106" s="29" t="n">
        <v>0.9</v>
      </c>
      <c r="AH106" s="29" t="n">
        <v>1</v>
      </c>
      <c r="AI106" s="29" t="n">
        <v>0.7</v>
      </c>
      <c r="AK106" s="27">
        <f>SUM(X106:AI106)</f>
        <v>10.7</v>
      </c>
    </row>
    <row r="108">
      <c r="C108" s="2" t="inlineStr">
        <is>
          <t>EBITDA</t>
        </is>
      </c>
      <c r="D108" s="32">
        <f>+SUM(D103-D105+D106)</f>
        <v>214.8</v>
      </c>
      <c r="E108" s="32">
        <f>+SUM(E103-E105+E106)</f>
        <v>145.2</v>
      </c>
      <c r="F108" s="32">
        <f>+SUM(F103-F105+F106)</f>
        <v>203</v>
      </c>
      <c r="G108" s="32">
        <f>+SUM(G103-G105+G106)</f>
        <v>178.9</v>
      </c>
      <c r="H108" s="32">
        <f>+SUM(H103-H105+H106)</f>
        <v>275.1</v>
      </c>
      <c r="I108" s="32">
        <f>+SUM(I103-I105+I106)</f>
        <v>146.6</v>
      </c>
      <c r="J108" s="32">
        <f>+SUM(J103-J105+J106)</f>
        <v>209.5</v>
      </c>
      <c r="K108" s="32">
        <f>+SUM(K103-K105+K106)</f>
        <v>225.9</v>
      </c>
      <c r="L108" s="32">
        <f>+SUM(L103-L105+L106)</f>
        <v>176.2</v>
      </c>
      <c r="M108" s="32">
        <f>+SUM(M103-M105+M106)</f>
        <v>313</v>
      </c>
      <c r="N108" s="32">
        <f>+SUM(N103-N105+N106)</f>
        <v>212.4</v>
      </c>
      <c r="O108" s="32">
        <f>+SUM(O103-O105+O106)</f>
        <v>174.9</v>
      </c>
      <c r="P108" s="32">
        <f>+SUM(P103-P105+P106)</f>
        <v>262</v>
      </c>
      <c r="Q108" s="32">
        <f>+SUM(Q103-Q105+Q106)</f>
        <v>103.4</v>
      </c>
      <c r="R108" s="32">
        <f>+SUM(R103-R105+R106)</f>
        <v>206.2</v>
      </c>
      <c r="S108" s="32">
        <f>+SUM(S103-S105+S106)</f>
        <v>261.6</v>
      </c>
      <c r="T108" s="32">
        <f>+SUM(T103-T105+T106)</f>
        <v>279.9</v>
      </c>
      <c r="U108" s="32">
        <f>+SUM(U103-U105+U106)</f>
        <v>169.4</v>
      </c>
      <c r="V108" s="32">
        <f>+SUM(V103-V105+V106)</f>
        <v>273</v>
      </c>
      <c r="W108" s="32">
        <f>+SUM(W103-W105+W106)</f>
        <v>240.3</v>
      </c>
      <c r="X108" s="32">
        <f>+SUM(X103-X105+X106)</f>
        <v>229.7</v>
      </c>
      <c r="Y108" s="32">
        <f>+SUM(Y103-Y105+Y106)</f>
        <v>349.1</v>
      </c>
      <c r="Z108" s="32">
        <f>+SUM(Z103-Z105+Z106)</f>
        <v>194.8</v>
      </c>
      <c r="AA108" s="32">
        <f>+SUM(AA103-AA105+AA106)</f>
        <v>231.3</v>
      </c>
      <c r="AB108" s="32">
        <f>+SUM(AB103-AB105+AB106)</f>
        <v>250.2</v>
      </c>
      <c r="AC108" s="32">
        <f>+SUM(AC103-AC105+AC106)</f>
        <v>142.3</v>
      </c>
      <c r="AD108" s="32">
        <f>+SUM(AD103-AD105+AD106)</f>
        <v>269.7</v>
      </c>
      <c r="AE108" s="32">
        <f>+SUM(AE103-AE105+AE106)</f>
        <v>292.4</v>
      </c>
      <c r="AF108" s="32">
        <f>+SUM(AF103-AF105+AF106)</f>
        <v>269.2</v>
      </c>
      <c r="AG108" s="32">
        <f>+SUM(AG103-AG105+AG106)</f>
        <v>234.2</v>
      </c>
      <c r="AH108" s="32">
        <f>+SUM(AH103-AH105+AH106)</f>
        <v>314.1</v>
      </c>
      <c r="AI108" s="32">
        <f>+SUM(AI103-AI105+AI106)</f>
        <v>258.6</v>
      </c>
      <c r="AK108" s="32">
        <f>SUM(X108:AI108)</f>
        <v>3035.6</v>
      </c>
    </row>
    <row r="109">
      <c r="C109" s="4" t="inlineStr">
        <is>
          <t>Margin</t>
        </is>
      </c>
      <c r="D109" s="12">
        <f>+IFERROR(D108/D$15,"n/a")</f>
        <v>0.202718006795017</v>
      </c>
      <c r="E109" s="12">
        <f>+IFERROR(E108/E$15,"n/a")</f>
        <v>0.151708285445617</v>
      </c>
      <c r="F109" s="12">
        <f>+IFERROR(F108/F$15,"n/a")</f>
        <v>0.192727617962594</v>
      </c>
      <c r="G109" s="12">
        <f>+IFERROR(G108/G$15,"n/a")</f>
        <v>0.174587684200254</v>
      </c>
      <c r="H109" s="12">
        <f>+IFERROR(H108/H$15,"n/a")</f>
        <v>0.238574278033128</v>
      </c>
      <c r="I109" s="12">
        <f>+IFERROR(I108/I$15,"n/a")</f>
        <v>0.150730002056344</v>
      </c>
      <c r="J109" s="12">
        <f>+IFERROR(J108/J$15,"n/a")</f>
        <v>0.195156031672101</v>
      </c>
      <c r="K109" s="12">
        <f>+IFERROR(K108/K$15,"n/a")</f>
        <v>0.2058501913614</v>
      </c>
      <c r="L109" s="12">
        <f>+IFERROR(L108/L$15,"n/a")</f>
        <v>0.173750123262006</v>
      </c>
      <c r="M109" s="12">
        <f>+IFERROR(M108/M$15,"n/a")</f>
        <v>0.256221349050426</v>
      </c>
      <c r="N109" s="12">
        <f>+IFERROR(N108/N$15,"n/a")</f>
        <v>0.199849454271735</v>
      </c>
      <c r="O109" s="12">
        <f>+IFERROR(O108/O$15,"n/a")</f>
        <v>0.171118285882008</v>
      </c>
      <c r="P109" s="12">
        <f>+IFERROR(P108/P$15,"n/a")</f>
        <v>0.226389008900026</v>
      </c>
      <c r="Q109" s="12">
        <f>+IFERROR(Q108/Q$15,"n/a")</f>
        <v>0.109545502701557</v>
      </c>
      <c r="R109" s="12">
        <f>+IFERROR(R108/R$15,"n/a")</f>
        <v>0.190590627599593</v>
      </c>
      <c r="S109" s="12">
        <f>+IFERROR(S108/S$15,"n/a")</f>
        <v>0.223379728460422</v>
      </c>
      <c r="T109" s="12">
        <f>+IFERROR(T108/T$15,"n/a")</f>
        <v>0.23193569771296</v>
      </c>
      <c r="U109" s="12">
        <f>+IFERROR(U108/U$15,"n/a")</f>
        <v>0.160234581914491</v>
      </c>
      <c r="V109" s="12">
        <f>+IFERROR(V108/V$15,"n/a")</f>
        <v>0.226012087093303</v>
      </c>
      <c r="W109" s="12">
        <f>+IFERROR(W108/W$15,"n/a")</f>
        <v>0.208756841282252</v>
      </c>
      <c r="X109" s="12">
        <f>+IFERROR(X108/X$15,"n/a")</f>
        <v>0.199426983851363</v>
      </c>
      <c r="Y109" s="12">
        <f>+IFERROR(Y108/Y$15,"n/a")</f>
        <v>0.263233298145076</v>
      </c>
      <c r="Z109" s="12">
        <f>+IFERROR(Z108/Z$15,"n/a")</f>
        <v>0.173448490784436</v>
      </c>
      <c r="AA109" s="12">
        <f>+IFERROR(AA108/AA$15,"n/a")</f>
        <v>0.196166567721143</v>
      </c>
      <c r="AB109" s="12">
        <f>+IFERROR(AB108/AB$15,"n/a")</f>
        <v>0.202738838019609</v>
      </c>
      <c r="AC109" s="12">
        <f>+IFERROR(AC108/AC$15,"n/a")</f>
        <v>0.136315739055465</v>
      </c>
      <c r="AD109" s="12">
        <f>+IFERROR(AD108/AD$15,"n/a")</f>
        <v>0.217710687762351</v>
      </c>
      <c r="AE109" s="12">
        <f>+IFERROR(AE108/AE$15,"n/a")</f>
        <v>0.226824916608487</v>
      </c>
      <c r="AF109" s="12">
        <f>+IFERROR(AF108/AF$15,"n/a")</f>
        <v>0.215636014098046</v>
      </c>
      <c r="AG109" s="12">
        <f>+IFERROR(AG108/AG$15,"n/a")</f>
        <v>0.197138047138047</v>
      </c>
      <c r="AH109" s="12">
        <f>+IFERROR(AH108/AH$15,"n/a")</f>
        <v>0.242043615627649</v>
      </c>
      <c r="AI109" s="12">
        <f>+IFERROR(AI108/AI$15,"n/a")</f>
        <v>0.209732360097324</v>
      </c>
      <c r="AK109" s="12">
        <f>+IFERROR(AK108/AK$15,"n/a")</f>
        <v>0.208586427727235</v>
      </c>
    </row>
    <row r="111">
      <c r="C111" s="2" t="inlineStr">
        <is>
          <t>Other Expense</t>
        </is>
      </c>
    </row>
    <row r="112">
      <c r="C112" s="3" t="inlineStr">
        <is>
          <t>Depreciation &amp; Amortization Expense</t>
        </is>
      </c>
      <c r="D112" s="29" t="n">
        <v>17.8</v>
      </c>
      <c r="E112" s="29" t="n">
        <v>17.8</v>
      </c>
      <c r="F112" s="29" t="n">
        <v>22.9</v>
      </c>
      <c r="G112" s="29" t="n">
        <v>18.3</v>
      </c>
      <c r="H112" s="29" t="n">
        <v>18.4</v>
      </c>
      <c r="I112" s="29" t="n">
        <v>23.4</v>
      </c>
      <c r="J112" s="29" t="n">
        <v>21.2</v>
      </c>
      <c r="K112" s="29" t="n">
        <v>21.9</v>
      </c>
      <c r="L112" s="29" t="n">
        <v>22.1</v>
      </c>
      <c r="M112" s="29" t="n">
        <v>23.9</v>
      </c>
      <c r="N112" s="29" t="n">
        <v>22.4</v>
      </c>
      <c r="O112" s="29" t="n">
        <v>18.4</v>
      </c>
      <c r="P112" s="29" t="n">
        <v>20.1</v>
      </c>
      <c r="Q112" s="29" t="n">
        <v>22.3</v>
      </c>
      <c r="R112" s="29" t="n">
        <v>23.3</v>
      </c>
      <c r="S112" s="29" t="n">
        <v>22.8</v>
      </c>
      <c r="T112" s="29" t="n">
        <v>22.5</v>
      </c>
      <c r="U112" s="29" t="n">
        <v>22.5</v>
      </c>
      <c r="V112" s="29" t="n">
        <v>19.4</v>
      </c>
      <c r="W112" s="29" t="n">
        <v>19.6</v>
      </c>
      <c r="X112" s="29" t="n">
        <v>23.7</v>
      </c>
      <c r="Y112" s="29" t="n">
        <v>20.6</v>
      </c>
      <c r="Z112" s="29" t="n">
        <v>19.9</v>
      </c>
      <c r="AA112" s="29" t="n">
        <v>24.8</v>
      </c>
      <c r="AB112" s="29" t="n">
        <v>25</v>
      </c>
      <c r="AC112" s="29" t="n">
        <v>20.5</v>
      </c>
      <c r="AD112" s="29" t="n">
        <v>22.9</v>
      </c>
      <c r="AE112" s="29" t="n">
        <v>18.7</v>
      </c>
      <c r="AF112" s="29" t="n">
        <v>20.1</v>
      </c>
      <c r="AG112" s="29" t="n">
        <v>20</v>
      </c>
      <c r="AH112" s="29" t="n">
        <v>23.6</v>
      </c>
      <c r="AI112" s="29" t="n">
        <v>20.9</v>
      </c>
      <c r="AK112" s="27">
        <f>SUM(X112:AI112)</f>
        <v>260.7</v>
      </c>
    </row>
    <row r="113">
      <c r="C113" s="3" t="inlineStr">
        <is>
          <t>Interest Income</t>
        </is>
      </c>
      <c r="D113" s="29" t="n">
        <v>-0.4</v>
      </c>
      <c r="E113" s="29" t="n">
        <v>-0.5</v>
      </c>
      <c r="F113" s="29" t="n">
        <v>-0.4</v>
      </c>
      <c r="G113" s="29" t="n">
        <v>-0.4</v>
      </c>
      <c r="H113" s="29" t="n">
        <v>-0.4</v>
      </c>
      <c r="I113" s="29" t="n">
        <v>-0.4</v>
      </c>
      <c r="J113" s="29" t="n">
        <v>-0.4</v>
      </c>
      <c r="K113" s="29" t="n">
        <v>-0.5</v>
      </c>
      <c r="L113" s="29" t="n">
        <v>-0.4</v>
      </c>
      <c r="M113" s="29" t="n">
        <v>-0.5</v>
      </c>
      <c r="N113" s="29" t="n">
        <v>-0.4</v>
      </c>
      <c r="O113" s="29" t="n">
        <v>-0.4</v>
      </c>
      <c r="P113" s="29" t="n">
        <v>-0.5</v>
      </c>
      <c r="Q113" s="29" t="n">
        <v>-0.5</v>
      </c>
      <c r="R113" s="29" t="n">
        <v>-0.4</v>
      </c>
      <c r="S113" s="29" t="n">
        <v>-0.4</v>
      </c>
      <c r="T113" s="29" t="n">
        <v>-0.5</v>
      </c>
      <c r="U113" s="29" t="n">
        <v>-0.4</v>
      </c>
      <c r="V113" s="29" t="n">
        <v>-0.4</v>
      </c>
      <c r="W113" s="29" t="n">
        <v>-0.4</v>
      </c>
      <c r="X113" s="29" t="n">
        <v>-0.5</v>
      </c>
      <c r="Y113" s="29" t="n">
        <v>-0.5</v>
      </c>
      <c r="Z113" s="29" t="n">
        <v>-0.4</v>
      </c>
      <c r="AA113" s="29" t="n">
        <v>-0.5</v>
      </c>
      <c r="AB113" s="29" t="n">
        <v>-0.5</v>
      </c>
      <c r="AC113" s="29" t="n">
        <v>-0.4</v>
      </c>
      <c r="AD113" s="29" t="n">
        <v>-0.4</v>
      </c>
      <c r="AE113" s="29" t="n">
        <v>-0.4</v>
      </c>
      <c r="AF113" s="29" t="n">
        <v>-0.4</v>
      </c>
      <c r="AG113" s="29" t="n">
        <v>-0.4</v>
      </c>
      <c r="AH113" s="29" t="n">
        <v>-0.4</v>
      </c>
      <c r="AI113" s="29" t="n">
        <v>-0.4</v>
      </c>
      <c r="AK113" s="27">
        <f>SUM(X113:AI113)</f>
        <v>-5.2</v>
      </c>
    </row>
    <row r="114">
      <c r="C114" s="3" t="inlineStr">
        <is>
          <t>Interest Expense</t>
        </is>
      </c>
      <c r="D114" s="29" t="n">
        <v>2.8</v>
      </c>
      <c r="E114" s="29" t="n">
        <v>2.8</v>
      </c>
      <c r="F114" s="29" t="n">
        <v>3.1</v>
      </c>
      <c r="G114" s="29" t="n">
        <v>2.7</v>
      </c>
      <c r="H114" s="29" t="n">
        <v>3.2</v>
      </c>
      <c r="I114" s="29" t="n">
        <v>3.2</v>
      </c>
      <c r="J114" s="29" t="n">
        <v>2.8</v>
      </c>
      <c r="K114" s="29" t="n">
        <v>2.8</v>
      </c>
      <c r="L114" s="29" t="n">
        <v>2.7</v>
      </c>
      <c r="M114" s="29" t="n">
        <v>2.7</v>
      </c>
      <c r="N114" s="29" t="n">
        <v>2.9</v>
      </c>
      <c r="O114" s="29" t="n">
        <v>2.9</v>
      </c>
      <c r="P114" s="29" t="n">
        <v>2.9</v>
      </c>
      <c r="Q114" s="29" t="n">
        <v>2.4</v>
      </c>
      <c r="R114" s="29" t="n">
        <v>2.9</v>
      </c>
      <c r="S114" s="29" t="n">
        <v>2.5</v>
      </c>
      <c r="T114" s="29" t="n">
        <v>2.6</v>
      </c>
      <c r="U114" s="29" t="n">
        <v>3.1</v>
      </c>
      <c r="V114" s="29" t="n">
        <v>2.4</v>
      </c>
      <c r="W114" s="29" t="n">
        <v>2.8</v>
      </c>
      <c r="X114" s="29" t="n">
        <v>3.2</v>
      </c>
      <c r="Y114" s="29" t="n">
        <v>3</v>
      </c>
      <c r="Z114" s="29" t="n">
        <v>3</v>
      </c>
      <c r="AA114" s="29" t="n">
        <v>3.2</v>
      </c>
      <c r="AB114" s="29" t="n">
        <v>3.1</v>
      </c>
      <c r="AC114" s="29" t="n">
        <v>2.7</v>
      </c>
      <c r="AD114" s="29" t="n">
        <v>2.4</v>
      </c>
      <c r="AE114" s="29" t="n">
        <v>3</v>
      </c>
      <c r="AF114" s="29" t="n">
        <v>3.2</v>
      </c>
      <c r="AG114" s="29" t="n">
        <v>3.2</v>
      </c>
      <c r="AH114" s="29" t="n">
        <v>3.2</v>
      </c>
      <c r="AI114" s="29" t="n">
        <v>2.6</v>
      </c>
      <c r="AK114" s="27">
        <f>SUM(X114:AI114)</f>
        <v>35.8</v>
      </c>
    </row>
    <row r="115">
      <c r="C115" s="2" t="inlineStr">
        <is>
          <t>**Open**</t>
        </is>
      </c>
    </row>
    <row r="116">
      <c r="C116" s="3" t="inlineStr">
        <is>
          <t>Other Income - Non RCM Revenue</t>
        </is>
      </c>
      <c r="D116" s="29" t="n">
        <v>-1.3</v>
      </c>
      <c r="E116" s="29" t="n">
        <v>-1.5</v>
      </c>
      <c r="F116" s="29" t="n">
        <v>-1.3</v>
      </c>
      <c r="G116" s="29" t="n">
        <v>-1.3</v>
      </c>
      <c r="H116" s="29" t="n">
        <v>-1.5</v>
      </c>
      <c r="I116" s="29" t="n">
        <v>-1.3</v>
      </c>
      <c r="J116" s="29" t="n">
        <v>-1.3</v>
      </c>
      <c r="K116" s="29" t="n">
        <v>-1.4</v>
      </c>
      <c r="L116" s="29" t="n">
        <v>-1.5</v>
      </c>
      <c r="M116" s="29" t="n">
        <v>-1.3</v>
      </c>
      <c r="N116" s="29" t="n">
        <v>-1.3</v>
      </c>
      <c r="O116" s="29" t="n">
        <v>-1.5</v>
      </c>
      <c r="P116" s="29" t="n">
        <v>-1.6</v>
      </c>
      <c r="Q116" s="29" t="n">
        <v>-1.3</v>
      </c>
      <c r="R116" s="29" t="n">
        <v>-1.4</v>
      </c>
      <c r="S116" s="29" t="n">
        <v>-1.4</v>
      </c>
      <c r="T116" s="29" t="n">
        <v>-1.7</v>
      </c>
      <c r="U116" s="29" t="n">
        <v>-1.4</v>
      </c>
      <c r="V116" s="29" t="n">
        <v>-1.6</v>
      </c>
      <c r="W116" s="29" t="n">
        <v>-1.4</v>
      </c>
      <c r="X116" s="29" t="n">
        <v>-1.6</v>
      </c>
      <c r="Y116" s="29" t="n">
        <v>-1.7</v>
      </c>
      <c r="Z116" s="29" t="n">
        <v>-1.6</v>
      </c>
      <c r="AA116" s="29" t="n">
        <v>-1.7</v>
      </c>
      <c r="AB116" s="29" t="n">
        <v>-1.4</v>
      </c>
      <c r="AC116" s="29" t="n">
        <v>-1.5</v>
      </c>
      <c r="AD116" s="29" t="n">
        <v>-1.6</v>
      </c>
      <c r="AE116" s="29" t="n">
        <v>-1.4</v>
      </c>
      <c r="AF116" s="29" t="n">
        <v>-1.4</v>
      </c>
      <c r="AG116" s="29" t="n">
        <v>-1.4</v>
      </c>
      <c r="AH116" s="29" t="n">
        <v>-1.6</v>
      </c>
      <c r="AI116" s="29" t="n">
        <v>-1.5</v>
      </c>
      <c r="AK116" s="27">
        <f>SUM(X116:AI116)</f>
        <v>-18.4</v>
      </c>
    </row>
    <row r="118">
      <c r="C118" s="2" t="inlineStr">
        <is>
          <t>Earnings Before Income Taxes</t>
        </is>
      </c>
      <c r="D118" s="30">
        <f>+D108-SUM(D111:D116)</f>
        <v>195.9</v>
      </c>
      <c r="E118" s="30">
        <f>+E108-SUM(E111:E116)</f>
        <v>126.6</v>
      </c>
      <c r="F118" s="30">
        <f>+F108-SUM(F111:F116)</f>
        <v>178.7</v>
      </c>
      <c r="G118" s="30">
        <f>+G108-SUM(G111:G116)</f>
        <v>159.6</v>
      </c>
      <c r="H118" s="30">
        <f>+H108-SUM(H111:H116)</f>
        <v>255.4</v>
      </c>
      <c r="I118" s="30">
        <f>+I108-SUM(I111:I116)</f>
        <v>121.7</v>
      </c>
      <c r="J118" s="30">
        <f>+J108-SUM(J111:J116)</f>
        <v>187.2</v>
      </c>
      <c r="K118" s="30">
        <f>+K108-SUM(K111:K116)</f>
        <v>203.1</v>
      </c>
      <c r="L118" s="30">
        <f>+L108-SUM(L111:L116)</f>
        <v>153.3</v>
      </c>
      <c r="M118" s="30">
        <f>+M108-SUM(M111:M116)</f>
        <v>288.2</v>
      </c>
      <c r="N118" s="30">
        <f>+N108-SUM(N111:N116)</f>
        <v>188.8</v>
      </c>
      <c r="O118" s="30">
        <f>+O108-SUM(O111:O116)</f>
        <v>155.5</v>
      </c>
      <c r="P118" s="30">
        <f>+P108-SUM(P111:P116)</f>
        <v>241.1</v>
      </c>
      <c r="Q118" s="30">
        <f>+Q108-SUM(Q111:Q116)</f>
        <v>80.4999999999999</v>
      </c>
      <c r="R118" s="30">
        <f>+R108-SUM(R111:R116)</f>
        <v>181.8</v>
      </c>
      <c r="S118" s="30">
        <f>+S108-SUM(S111:S116)</f>
        <v>238.1</v>
      </c>
      <c r="T118" s="30">
        <f>+T108-SUM(T111:T116)</f>
        <v>257</v>
      </c>
      <c r="U118" s="30">
        <f>+U108-SUM(U111:U116)</f>
        <v>145.6</v>
      </c>
      <c r="V118" s="30">
        <f>+V108-SUM(V111:V116)</f>
        <v>253.2</v>
      </c>
      <c r="W118" s="30">
        <f>+W108-SUM(W111:W116)</f>
        <v>219.7</v>
      </c>
      <c r="X118" s="30">
        <f>+X108-SUM(X111:X116)</f>
        <v>204.9</v>
      </c>
      <c r="Y118" s="30">
        <f>+Y108-SUM(Y111:Y116)</f>
        <v>327.7</v>
      </c>
      <c r="Z118" s="30">
        <f>+Z108-SUM(Z111:Z116)</f>
        <v>173.9</v>
      </c>
      <c r="AA118" s="30">
        <f>+AA108-SUM(AA111:AA116)</f>
        <v>205.5</v>
      </c>
      <c r="AB118" s="30">
        <f>+AB108-SUM(AB111:AB116)</f>
        <v>224</v>
      </c>
      <c r="AC118" s="30">
        <f>+AC108-SUM(AC111:AC116)</f>
        <v>121</v>
      </c>
      <c r="AD118" s="30">
        <f>+AD108-SUM(AD111:AD116)</f>
        <v>246.4</v>
      </c>
      <c r="AE118" s="30">
        <f>+AE108-SUM(AE111:AE116)</f>
        <v>272.5</v>
      </c>
      <c r="AF118" s="30">
        <f>+AF108-SUM(AF111:AF116)</f>
        <v>247.7</v>
      </c>
      <c r="AG118" s="30">
        <f>+AG108-SUM(AG111:AG116)</f>
        <v>212.8</v>
      </c>
      <c r="AH118" s="30">
        <f>+AH108-SUM(AH111:AH116)</f>
        <v>289.3</v>
      </c>
      <c r="AI118" s="30">
        <f>+AI108-SUM(AI111:AI116)</f>
        <v>237</v>
      </c>
      <c r="AK118" s="30">
        <f>SUM(X118:AI118)</f>
        <v>2762.7</v>
      </c>
    </row>
    <row r="121">
      <c r="B121" s="2" t="inlineStr">
        <is>
          <t>Notes &amp; Sources</t>
        </is>
      </c>
    </row>
    <row r="122">
      <c r="B122" s="4" t="inlineStr">
        <is>
          <t>Sources: Unaudited financial statements provided by Management; Quality of Earnings report prepared by the Company's accounting advisor</t>
        </is>
      </c>
    </row>
    <row r="123">
      <c r="B123" s="4" t="inlineStr">
        <is>
          <t>Note: pro forma adjustments reflect owner compensation normalisation and removal of non-recurring legal costs</t>
        </is>
      </c>
    </row>
    <row r="124">
      <c r="B124" s="4" t="inlineStr">
        <is>
          <t>(1) Interest income and other income are carried with a negative sign (expense convention) in the QoE databook.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7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</cols>
  <sheetData>
    <row r="1">
      <c r="B1" s="2" t="inlineStr">
        <is>
          <t>Orivane Clinical Laboratories, LLC</t>
        </is>
      </c>
    </row>
    <row r="2">
      <c r="I2" s="17">
        <f>+YEAR(I3)</f>
        <v>2024</v>
      </c>
      <c r="J2" s="17">
        <f>+YEAR(J3)</f>
        <v>2024</v>
      </c>
      <c r="K2" s="17">
        <f>+YEAR(K3)</f>
        <v>2024</v>
      </c>
      <c r="L2" s="17">
        <f>+YEAR(L3)</f>
        <v>2024</v>
      </c>
      <c r="M2" s="17">
        <f>+YEAR(M3)</f>
        <v>2024</v>
      </c>
      <c r="N2" s="17">
        <f>+YEAR(N3)</f>
        <v>2024</v>
      </c>
      <c r="O2" s="17">
        <f>+YEAR(O3)</f>
        <v>2024</v>
      </c>
      <c r="P2" s="17">
        <f>+YEAR(P3)</f>
        <v>2024</v>
      </c>
      <c r="Q2" s="17">
        <f>+YEAR(Q3)</f>
        <v>2024</v>
      </c>
      <c r="R2" s="17">
        <f>+YEAR(R3)</f>
        <v>2024</v>
      </c>
      <c r="S2" s="17">
        <f>+YEAR(S3)</f>
        <v>2024</v>
      </c>
      <c r="T2" s="17">
        <f>+YEAR(T3)</f>
        <v>2024</v>
      </c>
      <c r="U2" s="17">
        <f>+YEAR(U3)</f>
        <v>2025</v>
      </c>
      <c r="V2" s="17">
        <f>+YEAR(V3)</f>
        <v>2025</v>
      </c>
      <c r="W2" s="17">
        <f>+YEAR(W3)</f>
        <v>2025</v>
      </c>
      <c r="X2" s="17">
        <f>+YEAR(X3)</f>
        <v>2025</v>
      </c>
      <c r="Y2" s="17">
        <f>+YEAR(Y3)</f>
        <v>2025</v>
      </c>
      <c r="Z2" s="17">
        <f>+YEAR(Z3)</f>
        <v>2025</v>
      </c>
      <c r="AA2" s="17">
        <f>+YEAR(AA3)</f>
        <v>2025</v>
      </c>
      <c r="AB2" s="17">
        <f>+YEAR(AB3)</f>
        <v>2025</v>
      </c>
      <c r="AC2" s="17">
        <f>+YEAR(AC3)</f>
        <v>2025</v>
      </c>
      <c r="AD2" s="17">
        <f>+YEAR(AD3)</f>
        <v>2025</v>
      </c>
      <c r="AE2" s="17">
        <f>+YEAR(AE3)</f>
        <v>2025</v>
      </c>
      <c r="AF2" s="17">
        <f>+YEAR(AF3)</f>
        <v>2025</v>
      </c>
      <c r="AG2" s="17">
        <f>+YEAR(AG3)</f>
        <v>2026</v>
      </c>
      <c r="AH2" s="17">
        <f>+YEAR(AH3)</f>
        <v>2026</v>
      </c>
      <c r="AI2" s="17">
        <f>+YEAR(AI3)</f>
        <v>2026</v>
      </c>
      <c r="AJ2" s="17">
        <f>+YEAR(AJ3)</f>
        <v>2026</v>
      </c>
      <c r="AK2" s="17">
        <f>+YEAR(AK3)</f>
        <v>2026</v>
      </c>
      <c r="AL2" s="17">
        <f>+YEAR(AL3)</f>
        <v>2026</v>
      </c>
      <c r="AM2" s="17">
        <f>+YEAR(AM3)</f>
        <v>2026</v>
      </c>
      <c r="AN2" s="17">
        <f>+YEAR(AN3)</f>
        <v>2026</v>
      </c>
      <c r="AO2" s="17">
        <f>+YEAR(AO3)</f>
        <v>2026</v>
      </c>
      <c r="AP2" s="17">
        <f>+YEAR(AP3)</f>
        <v>2026</v>
      </c>
      <c r="AQ2" s="17">
        <f>+YEAR(AQ3)</f>
        <v>2026</v>
      </c>
      <c r="AR2" s="17">
        <f>+YEAR(AR3)</f>
        <v>2026</v>
      </c>
      <c r="AS2" s="17">
        <f>+YEAR(AS3)</f>
        <v>2027</v>
      </c>
      <c r="AT2" s="17">
        <f>+YEAR(AT3)</f>
        <v>2027</v>
      </c>
      <c r="AU2" s="17">
        <f>+YEAR(AU3)</f>
        <v>2027</v>
      </c>
      <c r="AV2" s="17">
        <f>+YEAR(AV3)</f>
        <v>2027</v>
      </c>
      <c r="AW2" s="17">
        <f>+YEAR(AW3)</f>
        <v>2027</v>
      </c>
      <c r="AX2" s="17">
        <f>+YEAR(AX3)</f>
        <v>2027</v>
      </c>
      <c r="AY2" s="17">
        <f>+YEAR(AY3)</f>
        <v>2027</v>
      </c>
      <c r="AZ2" s="17">
        <f>+YEAR(AZ3)</f>
        <v>2027</v>
      </c>
      <c r="BA2" s="17">
        <f>+YEAR(BA3)</f>
        <v>2027</v>
      </c>
      <c r="BB2" s="17">
        <f>+YEAR(BB3)</f>
        <v>2027</v>
      </c>
      <c r="BC2" s="17">
        <f>+YEAR(BC3)</f>
        <v>2027</v>
      </c>
      <c r="BD2" s="17">
        <f>+YEAR(BD3)</f>
        <v>2027</v>
      </c>
      <c r="BE2" s="17">
        <f>+YEAR(BE3)</f>
        <v>2028</v>
      </c>
      <c r="BF2" s="17">
        <f>+YEAR(BF3)</f>
        <v>2028</v>
      </c>
      <c r="BG2" s="17">
        <f>+YEAR(BG3)</f>
        <v>2028</v>
      </c>
      <c r="BH2" s="17">
        <f>+YEAR(BH3)</f>
        <v>2028</v>
      </c>
      <c r="BI2" s="17">
        <f>+YEAR(BI3)</f>
        <v>2028</v>
      </c>
      <c r="BJ2" s="17">
        <f>+YEAR(BJ3)</f>
        <v>2028</v>
      </c>
      <c r="BK2" s="17">
        <f>+YEAR(BK3)</f>
        <v>2028</v>
      </c>
      <c r="BL2" s="17">
        <f>+YEAR(BL3)</f>
        <v>2028</v>
      </c>
      <c r="BM2" s="17">
        <f>+YEAR(BM3)</f>
        <v>2028</v>
      </c>
      <c r="BN2" s="17">
        <f>+YEAR(BN3)</f>
        <v>2028</v>
      </c>
      <c r="BO2" s="17">
        <f>+YEAR(BO3)</f>
        <v>2028</v>
      </c>
      <c r="BP2" s="17">
        <f>+YEAR(BP3)</f>
        <v>2028</v>
      </c>
    </row>
    <row r="3">
      <c r="B3" s="4" t="inlineStr">
        <is>
          <t>$ in actual</t>
        </is>
      </c>
      <c r="C3" s="7" t="n">
        <v>2024</v>
      </c>
      <c r="D3" s="7" t="n">
        <v>2025</v>
      </c>
      <c r="E3" s="7" t="n">
        <v>2026</v>
      </c>
      <c r="F3" s="7" t="n">
        <v>2027</v>
      </c>
      <c r="G3" s="7" t="n">
        <v>2028</v>
      </c>
      <c r="I3" s="18" t="n">
        <v>45322</v>
      </c>
      <c r="J3" s="19">
        <f>+EOMONTH(I3,1)</f>
        <v>45351</v>
      </c>
      <c r="K3" s="19">
        <f>+EOMONTH(J3,1)</f>
        <v>45382</v>
      </c>
      <c r="L3" s="19">
        <f>+EOMONTH(K3,1)</f>
        <v>45412</v>
      </c>
      <c r="M3" s="19">
        <f>+EOMONTH(L3,1)</f>
        <v>45443</v>
      </c>
      <c r="N3" s="19">
        <f>+EOMONTH(M3,1)</f>
        <v>45473</v>
      </c>
      <c r="O3" s="19">
        <f>+EOMONTH(N3,1)</f>
        <v>45504</v>
      </c>
      <c r="P3" s="19">
        <f>+EOMONTH(O3,1)</f>
        <v>45535</v>
      </c>
      <c r="Q3" s="19">
        <f>+EOMONTH(P3,1)</f>
        <v>45565</v>
      </c>
      <c r="R3" s="19">
        <f>+EOMONTH(Q3,1)</f>
        <v>45596</v>
      </c>
      <c r="S3" s="19">
        <f>+EOMONTH(R3,1)</f>
        <v>45626</v>
      </c>
      <c r="T3" s="19">
        <f>+EOMONTH(S3,1)</f>
        <v>45657</v>
      </c>
      <c r="U3" s="19">
        <f>+EOMONTH(T3,1)</f>
        <v>45688</v>
      </c>
      <c r="V3" s="19">
        <f>+EOMONTH(U3,1)</f>
        <v>45716</v>
      </c>
      <c r="W3" s="19">
        <f>+EOMONTH(V3,1)</f>
        <v>45747</v>
      </c>
      <c r="X3" s="19">
        <f>+EOMONTH(W3,1)</f>
        <v>45777</v>
      </c>
      <c r="Y3" s="19">
        <f>+EOMONTH(X3,1)</f>
        <v>45808</v>
      </c>
      <c r="Z3" s="19">
        <f>+EOMONTH(Y3,1)</f>
        <v>45838</v>
      </c>
      <c r="AA3" s="19">
        <f>+EOMONTH(Z3,1)</f>
        <v>45869</v>
      </c>
      <c r="AB3" s="19">
        <f>+EOMONTH(AA3,1)</f>
        <v>45900</v>
      </c>
      <c r="AC3" s="19">
        <f>+EOMONTH(AB3,1)</f>
        <v>45930</v>
      </c>
      <c r="AD3" s="19">
        <f>+EOMONTH(AC3,1)</f>
        <v>45961</v>
      </c>
      <c r="AE3" s="19">
        <f>+EOMONTH(AD3,1)</f>
        <v>45991</v>
      </c>
      <c r="AF3" s="19">
        <f>+EOMONTH(AE3,1)</f>
        <v>46022</v>
      </c>
      <c r="AG3" s="19">
        <f>+EOMONTH(AF3,1)</f>
        <v>46053</v>
      </c>
      <c r="AH3" s="19">
        <f>+EOMONTH(AG3,1)</f>
        <v>46081</v>
      </c>
      <c r="AI3" s="19">
        <f>+EOMONTH(AH3,1)</f>
        <v>46112</v>
      </c>
      <c r="AJ3" s="19">
        <f>+EOMONTH(AI3,1)</f>
        <v>46142</v>
      </c>
      <c r="AK3" s="19">
        <f>+EOMONTH(AJ3,1)</f>
        <v>46173</v>
      </c>
      <c r="AL3" s="19">
        <f>+EOMONTH(AK3,1)</f>
        <v>46203</v>
      </c>
      <c r="AM3" s="19">
        <f>+EOMONTH(AL3,1)</f>
        <v>46234</v>
      </c>
      <c r="AN3" s="19">
        <f>+EOMONTH(AM3,1)</f>
        <v>46265</v>
      </c>
      <c r="AO3" s="19">
        <f>+EOMONTH(AN3,1)</f>
        <v>46295</v>
      </c>
      <c r="AP3" s="19">
        <f>+EOMONTH(AO3,1)</f>
        <v>46326</v>
      </c>
      <c r="AQ3" s="19">
        <f>+EOMONTH(AP3,1)</f>
        <v>46356</v>
      </c>
      <c r="AR3" s="19">
        <f>+EOMONTH(AQ3,1)</f>
        <v>46387</v>
      </c>
      <c r="AS3" s="19">
        <f>+EOMONTH(AR3,1)</f>
        <v>46418</v>
      </c>
      <c r="AT3" s="19">
        <f>+EOMONTH(AS3,1)</f>
        <v>46446</v>
      </c>
      <c r="AU3" s="19">
        <f>+EOMONTH(AT3,1)</f>
        <v>46477</v>
      </c>
      <c r="AV3" s="19">
        <f>+EOMONTH(AU3,1)</f>
        <v>46507</v>
      </c>
      <c r="AW3" s="19">
        <f>+EOMONTH(AV3,1)</f>
        <v>46538</v>
      </c>
      <c r="AX3" s="19">
        <f>+EOMONTH(AW3,1)</f>
        <v>46568</v>
      </c>
      <c r="AY3" s="19">
        <f>+EOMONTH(AX3,1)</f>
        <v>46599</v>
      </c>
      <c r="AZ3" s="19">
        <f>+EOMONTH(AY3,1)</f>
        <v>46630</v>
      </c>
      <c r="BA3" s="19">
        <f>+EOMONTH(AZ3,1)</f>
        <v>46660</v>
      </c>
      <c r="BB3" s="19">
        <f>+EOMONTH(BA3,1)</f>
        <v>46691</v>
      </c>
      <c r="BC3" s="19">
        <f>+EOMONTH(BB3,1)</f>
        <v>46721</v>
      </c>
      <c r="BD3" s="19">
        <f>+EOMONTH(BC3,1)</f>
        <v>46752</v>
      </c>
      <c r="BE3" s="19">
        <f>+EOMONTH(BD3,1)</f>
        <v>46783</v>
      </c>
      <c r="BF3" s="19">
        <f>+EOMONTH(BE3,1)</f>
        <v>46812</v>
      </c>
      <c r="BG3" s="19">
        <f>+EOMONTH(BF3,1)</f>
        <v>46843</v>
      </c>
      <c r="BH3" s="19">
        <f>+EOMONTH(BG3,1)</f>
        <v>46873</v>
      </c>
      <c r="BI3" s="19">
        <f>+EOMONTH(BH3,1)</f>
        <v>46904</v>
      </c>
      <c r="BJ3" s="19">
        <f>+EOMONTH(BI3,1)</f>
        <v>46934</v>
      </c>
      <c r="BK3" s="19">
        <f>+EOMONTH(BJ3,1)</f>
        <v>46965</v>
      </c>
      <c r="BL3" s="19">
        <f>+EOMONTH(BK3,1)</f>
        <v>46996</v>
      </c>
      <c r="BM3" s="19">
        <f>+EOMONTH(BL3,1)</f>
        <v>47026</v>
      </c>
      <c r="BN3" s="19">
        <f>+EOMONTH(BM3,1)</f>
        <v>47057</v>
      </c>
      <c r="BO3" s="19">
        <f>+EOMONTH(BN3,1)</f>
        <v>47087</v>
      </c>
      <c r="BP3" s="19">
        <f>+EOMONTH(BO3,1)</f>
        <v>47118</v>
      </c>
    </row>
    <row r="5">
      <c r="A5" s="9" t="inlineStr">
        <is>
          <t>Current Sales Force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</row>
    <row r="6">
      <c r="B6" s="3" t="inlineStr">
        <is>
          <t>Accessions</t>
        </is>
      </c>
      <c r="C6" s="20">
        <f>+SUMIFS($I6:$BP6,$I$2:$BP$2,C$3)</f>
        <v>85204</v>
      </c>
      <c r="D6" s="20">
        <f>+SUMIFS($I6:$BP6,$I$2:$BP$2,D$3)</f>
        <v>87676</v>
      </c>
      <c r="E6" s="20">
        <f>+SUMIFS($I6:$BP6,$I$2:$BP$2,E$3)</f>
        <v>89386</v>
      </c>
      <c r="F6" s="20">
        <f>+SUMIFS($I6:$BP6,$I$2:$BP$2,F$3)</f>
        <v>87313</v>
      </c>
      <c r="G6" s="20">
        <f>+SUMIFS($I6:$BP6,$I$2:$BP$2,G$3)</f>
        <v>89712</v>
      </c>
      <c r="I6" s="26" t="n">
        <v>7101</v>
      </c>
      <c r="J6" s="26" t="n">
        <v>6408</v>
      </c>
      <c r="K6" s="26" t="n">
        <v>7060</v>
      </c>
      <c r="L6" s="26" t="n">
        <v>6916</v>
      </c>
      <c r="M6" s="26" t="n">
        <v>7689</v>
      </c>
      <c r="N6" s="26" t="n">
        <v>6607</v>
      </c>
      <c r="O6" s="26" t="n">
        <v>7279</v>
      </c>
      <c r="P6" s="26" t="n">
        <v>7283</v>
      </c>
      <c r="Q6" s="26" t="n">
        <v>6807</v>
      </c>
      <c r="R6" s="26" t="n">
        <v>8136</v>
      </c>
      <c r="S6" s="26" t="n">
        <v>7078</v>
      </c>
      <c r="T6" s="26" t="n">
        <v>6840</v>
      </c>
      <c r="U6" s="26" t="n">
        <v>7674</v>
      </c>
      <c r="V6" s="26" t="n">
        <v>6308</v>
      </c>
      <c r="W6" s="26" t="n">
        <v>7268</v>
      </c>
      <c r="X6" s="26" t="n">
        <v>7535</v>
      </c>
      <c r="Y6" s="26" t="n">
        <v>7743</v>
      </c>
      <c r="Z6" s="26" t="n">
        <v>6873</v>
      </c>
      <c r="AA6" s="26" t="n">
        <v>7582</v>
      </c>
      <c r="AB6" s="26" t="n">
        <v>7238</v>
      </c>
      <c r="AC6" s="26" t="n">
        <v>7174</v>
      </c>
      <c r="AD6" s="26" t="n">
        <v>8209</v>
      </c>
      <c r="AE6" s="26" t="n">
        <v>6867</v>
      </c>
      <c r="AF6" s="26" t="n">
        <v>7205</v>
      </c>
      <c r="AG6" s="26" t="n">
        <v>7503</v>
      </c>
      <c r="AH6" s="26" t="n">
        <v>6277</v>
      </c>
      <c r="AI6" s="26" t="n">
        <v>7486</v>
      </c>
      <c r="AJ6" s="26" t="n">
        <v>7701</v>
      </c>
      <c r="AK6" s="26" t="n">
        <v>7522</v>
      </c>
      <c r="AL6" s="26" t="n">
        <v>7211</v>
      </c>
      <c r="AM6" s="26" t="n">
        <v>7698</v>
      </c>
      <c r="AN6" s="26" t="n">
        <v>7306</v>
      </c>
      <c r="AO6" s="26" t="n">
        <v>7739</v>
      </c>
      <c r="AP6" s="26" t="n">
        <v>8252</v>
      </c>
      <c r="AQ6" s="26" t="n">
        <v>7058</v>
      </c>
      <c r="AR6" s="20">
        <f>+ROUND(AR10*AR9,0)</f>
        <v>7633</v>
      </c>
      <c r="AS6" s="20">
        <f>+ROUND(AS10*AS9,0)</f>
        <v>6969</v>
      </c>
      <c r="AT6" s="20">
        <f>+ROUND(AT10*AT9,0)</f>
        <v>6637</v>
      </c>
      <c r="AU6" s="20">
        <f>+ROUND(AU10*AU9,0)</f>
        <v>7633</v>
      </c>
      <c r="AV6" s="20">
        <f>+ROUND(AV10*AV9,0)</f>
        <v>7633</v>
      </c>
      <c r="AW6" s="20">
        <f>+ROUND(AW10*AW9,0)</f>
        <v>6969</v>
      </c>
      <c r="AX6" s="20">
        <f>+ROUND(AX10*AX9,0)</f>
        <v>7314</v>
      </c>
      <c r="AY6" s="20">
        <f>+ROUND(AY10*AY9,0)</f>
        <v>7327</v>
      </c>
      <c r="AZ6" s="20">
        <f>+ROUND(AZ10*AZ9,0)</f>
        <v>7340</v>
      </c>
      <c r="BA6" s="20">
        <f>+ROUND(BA10*BA9,0)</f>
        <v>7353</v>
      </c>
      <c r="BB6" s="20">
        <f>+ROUND(BB10*BB9,0)</f>
        <v>7366</v>
      </c>
      <c r="BC6" s="20">
        <f>+ROUND(BC10*BC9,0)</f>
        <v>7044</v>
      </c>
      <c r="BD6" s="20">
        <f>+ROUND(BD10*BD9,0)</f>
        <v>7728</v>
      </c>
      <c r="BE6" s="20">
        <f>+ROUND(BE10*BE9,0)</f>
        <v>7392</v>
      </c>
      <c r="BF6" s="20">
        <f>+ROUND(BF10*BF9,0)</f>
        <v>7392</v>
      </c>
      <c r="BG6" s="20">
        <f>+ROUND(BG10*BG9,0)</f>
        <v>8064</v>
      </c>
      <c r="BH6" s="20">
        <f>+ROUND(BH10*BH9,0)</f>
        <v>7056</v>
      </c>
      <c r="BI6" s="20">
        <f>+ROUND(BI10*BI9,0)</f>
        <v>7392</v>
      </c>
      <c r="BJ6" s="20">
        <f>+ROUND(BJ10*BJ9,0)</f>
        <v>7728</v>
      </c>
      <c r="BK6" s="20">
        <f>+ROUND(BK10*BK9,0)</f>
        <v>7056</v>
      </c>
      <c r="BL6" s="20">
        <f>+ROUND(BL10*BL9,0)</f>
        <v>8064</v>
      </c>
      <c r="BM6" s="20">
        <f>+ROUND(BM10*BM9,0)</f>
        <v>7392</v>
      </c>
      <c r="BN6" s="20">
        <f>+ROUND(BN10*BN9,0)</f>
        <v>7392</v>
      </c>
      <c r="BO6" s="20">
        <f>+ROUND(BO10*BO9,0)</f>
        <v>7392</v>
      </c>
      <c r="BP6" s="20">
        <f>+ROUND(BP10*BP9,0)</f>
        <v>7392</v>
      </c>
    </row>
    <row r="7">
      <c r="B7" s="3" t="inlineStr">
        <is>
          <t>% YoY Growth</t>
        </is>
      </c>
      <c r="D7" s="12">
        <f>+IFERROR(D6/C6-1,)</f>
        <v>0.0290127224073986</v>
      </c>
      <c r="E7" s="12">
        <f>+IFERROR(E6/D6-1,)</f>
        <v>0.0195036269902824</v>
      </c>
      <c r="F7" s="12">
        <f>+IFERROR(F6/E6-1,)</f>
        <v>-0.0231915512496365</v>
      </c>
      <c r="G7" s="12">
        <f>+IFERROR(G6/F6-1,)</f>
        <v>0.0274758627008578</v>
      </c>
      <c r="U7" s="12">
        <f>+IFERROR(U6/I6-1,)</f>
        <v>0.0806928601605408</v>
      </c>
      <c r="V7" s="12">
        <f>+IFERROR(V6/J6-1,)</f>
        <v>-0.0156054931335831</v>
      </c>
      <c r="W7" s="12">
        <f>+IFERROR(W6/K6-1,)</f>
        <v>0.0294617563739377</v>
      </c>
      <c r="X7" s="12">
        <f>+IFERROR(X6/L6-1,)</f>
        <v>0.0895026026604975</v>
      </c>
      <c r="Y7" s="12">
        <f>+IFERROR(Y6/M6-1,)</f>
        <v>0.00702301989855636</v>
      </c>
      <c r="Z7" s="12">
        <f>+IFERROR(Z6/N6-1,)</f>
        <v>0.0402603299530802</v>
      </c>
      <c r="AA7" s="12">
        <f>+IFERROR(AA6/O6-1,)</f>
        <v>0.0416265970600358</v>
      </c>
      <c r="AB7" s="12">
        <f>+IFERROR(AB6/P6-1,)</f>
        <v>-0.00617877248386656</v>
      </c>
      <c r="AC7" s="12">
        <f>+IFERROR(AC6/Q6-1,)</f>
        <v>0.0539150874100192</v>
      </c>
      <c r="AD7" s="12">
        <f>+IFERROR(AD6/R6-1,)</f>
        <v>0.00897246804326457</v>
      </c>
      <c r="AE7" s="12">
        <f>+IFERROR(AE6/S6-1,)</f>
        <v>-0.0298106809833286</v>
      </c>
      <c r="AF7" s="12">
        <f>+IFERROR(AF6/T6-1,)</f>
        <v>0.0533625730994152</v>
      </c>
      <c r="AG7" s="12">
        <f>+IFERROR(AG6/U6-1,)</f>
        <v>-0.0222830336200156</v>
      </c>
      <c r="AH7" s="12">
        <f>+IFERROR(AH6/V6-1,)</f>
        <v>-0.00491439441978436</v>
      </c>
      <c r="AI7" s="12">
        <f>+IFERROR(AI6/W6-1,)</f>
        <v>0.0299944964226748</v>
      </c>
      <c r="AJ7" s="12">
        <f>+IFERROR(AJ6/X6-1,)</f>
        <v>0.0220305242203052</v>
      </c>
      <c r="AK7" s="12">
        <f>+IFERROR(AK6/Y6-1,)</f>
        <v>-0.0285419088208705</v>
      </c>
      <c r="AL7" s="12">
        <f>+IFERROR(AL6/Z6-1,)</f>
        <v>0.0491779426742325</v>
      </c>
      <c r="AM7" s="12">
        <f>+IFERROR(AM6/AA6-1,)</f>
        <v>0.0152993932999208</v>
      </c>
      <c r="AN7" s="12">
        <f>+IFERROR(AN6/AB6-1,)</f>
        <v>0.0093948604586902</v>
      </c>
      <c r="AO7" s="12">
        <f>+IFERROR(AO6/AC6-1,)</f>
        <v>0.0787566211318651</v>
      </c>
      <c r="AP7" s="12">
        <f>+IFERROR(AP6/AD6-1,)</f>
        <v>0.00523815324643673</v>
      </c>
      <c r="AQ7" s="12">
        <f>+IFERROR(AQ6/AE6-1,)</f>
        <v>0.0278141837774866</v>
      </c>
      <c r="AR7" s="12">
        <f>+IFERROR(AR6/AF6-1,)</f>
        <v>0.0594031922276197</v>
      </c>
      <c r="AS7" s="12">
        <f>+IFERROR(AS6/AG6-1,)</f>
        <v>-0.071171531387445</v>
      </c>
      <c r="AT7" s="12">
        <f>+IFERROR(AT6/AH6-1,)</f>
        <v>0.0573522383304126</v>
      </c>
      <c r="AU7" s="12">
        <f>+IFERROR(AU6/AI6-1,)</f>
        <v>0.0196366550895004</v>
      </c>
      <c r="AV7" s="12">
        <f>+IFERROR(AV6/AJ6-1,)</f>
        <v>-0.00883002207505523</v>
      </c>
      <c r="AW7" s="12">
        <f>+IFERROR(AW6/AK6-1,)</f>
        <v>-0.0735176814676948</v>
      </c>
      <c r="AX7" s="12">
        <f>+IFERROR(AX6/AL6-1,)</f>
        <v>0.0142837331854111</v>
      </c>
      <c r="AY7" s="12">
        <f>+IFERROR(AY6/AM6-1,)</f>
        <v>-0.0481943361912185</v>
      </c>
      <c r="AZ7" s="12">
        <f>+IFERROR(AZ6/AN6-1,)</f>
        <v>0.00465370928004383</v>
      </c>
      <c r="BA7" s="12">
        <f>+IFERROR(BA6/AO6-1,)</f>
        <v>-0.0498772451221088</v>
      </c>
      <c r="BB7" s="12">
        <f>+IFERROR(BB6/AP6-1,)</f>
        <v>-0.107367910809501</v>
      </c>
      <c r="BC7" s="12">
        <f>+IFERROR(BC6/AQ6-1,)</f>
        <v>-0.00198356474922079</v>
      </c>
      <c r="BD7" s="12">
        <f>+IFERROR(BD6/AR6-1,)</f>
        <v>0.0124459583387921</v>
      </c>
      <c r="BE7" s="12">
        <f>+IFERROR(BE6/AS6-1,)</f>
        <v>0.0606973740852346</v>
      </c>
      <c r="BF7" s="12">
        <f>+IFERROR(BF6/AT6-1,)</f>
        <v>0.113756215157451</v>
      </c>
      <c r="BG7" s="12">
        <f>+IFERROR(BG6/AU6-1,)</f>
        <v>0.0564653478317831</v>
      </c>
      <c r="BH7" s="12">
        <f>+IFERROR(BH6/AV6-1,)</f>
        <v>-0.0755928206471899</v>
      </c>
      <c r="BI7" s="12">
        <f>+IFERROR(BI6/AW6-1,)</f>
        <v>0.0606973740852346</v>
      </c>
      <c r="BJ7" s="12">
        <f>+IFERROR(BJ6/AX6-1,)</f>
        <v>0.0566037735849057</v>
      </c>
      <c r="BK7" s="12">
        <f>+IFERROR(BK6/AY6-1,)</f>
        <v>-0.0369864883308312</v>
      </c>
      <c r="BL7" s="12">
        <f>+IFERROR(BL6/AZ6-1,)</f>
        <v>0.0986376021798365</v>
      </c>
      <c r="BM7" s="12">
        <f>+IFERROR(BM6/BA6-1,)</f>
        <v>0.00530395756833935</v>
      </c>
      <c r="BN7" s="12">
        <f>+IFERROR(BN6/BB6-1,)</f>
        <v>0.00352973119739342</v>
      </c>
      <c r="BO7" s="12">
        <f>+IFERROR(BO6/BC6-1,)</f>
        <v>0.049403747870528</v>
      </c>
      <c r="BP7" s="12">
        <f>+IFERROR(BP6/BD6-1,)</f>
        <v>-0.0434782608695652</v>
      </c>
    </row>
    <row r="9">
      <c r="B9" s="3" t="inlineStr">
        <is>
          <t>Workdays</t>
        </is>
      </c>
      <c r="C9" s="20">
        <f>+SUMIFS($I9:$BP9,$I$2:$BP$2,C$3)</f>
        <v>269</v>
      </c>
      <c r="D9" s="20">
        <f>+SUMIFS($I9:$BP9,$I$2:$BP$2,D$3)</f>
        <v>270</v>
      </c>
      <c r="E9" s="20">
        <f>+SUMIFS($I9:$BP9,$I$2:$BP$2,E$3)</f>
        <v>268</v>
      </c>
      <c r="F9" s="20">
        <f>+SUMIFS($I9:$BP9,$I$2:$BP$2,F$3)</f>
        <v>262</v>
      </c>
      <c r="G9" s="20">
        <f>+SUMIFS($I9:$BP9,$I$2:$BP$2,G$3)</f>
        <v>267</v>
      </c>
      <c r="I9" s="20">
        <f>+NETWORKDAYS(DATE(2024,1,1),I3)</f>
        <v>23</v>
      </c>
      <c r="J9" s="20">
        <f>+NETWORKDAYS(I3,J3)</f>
        <v>22</v>
      </c>
      <c r="K9" s="20">
        <f>+NETWORKDAYS(J3,K3)</f>
        <v>22</v>
      </c>
      <c r="L9" s="20">
        <f>+NETWORKDAYS(K3,L3)</f>
        <v>22</v>
      </c>
      <c r="M9" s="20">
        <f>+NETWORKDAYS(L3,M3)</f>
        <v>24</v>
      </c>
      <c r="N9" s="20">
        <f>+NETWORKDAYS(M3,N3)</f>
        <v>21</v>
      </c>
      <c r="O9" s="20">
        <f>+NETWORKDAYS(N3,O3)</f>
        <v>23</v>
      </c>
      <c r="P9" s="20">
        <f>+NETWORKDAYS(O3,P3)</f>
        <v>23</v>
      </c>
      <c r="Q9" s="20">
        <f>+NETWORKDAYS(P3,Q3)</f>
        <v>21</v>
      </c>
      <c r="R9" s="20">
        <f>+NETWORKDAYS(Q3,R3)</f>
        <v>24</v>
      </c>
      <c r="S9" s="20">
        <f>+NETWORKDAYS(R3,S3)</f>
        <v>22</v>
      </c>
      <c r="T9" s="20">
        <f>+NETWORKDAYS(S3,T3)</f>
        <v>22</v>
      </c>
      <c r="U9" s="20">
        <f>+NETWORKDAYS(T3,U3)</f>
        <v>24</v>
      </c>
      <c r="V9" s="20">
        <f>+NETWORKDAYS(U3,V3)</f>
        <v>21</v>
      </c>
      <c r="W9" s="20">
        <f>+NETWORKDAYS(V3,W3)</f>
        <v>22</v>
      </c>
      <c r="X9" s="20">
        <f>+NETWORKDAYS(W3,X3)</f>
        <v>23</v>
      </c>
      <c r="Y9" s="20">
        <f>+NETWORKDAYS(X3,Y3)</f>
        <v>23</v>
      </c>
      <c r="Z9" s="20">
        <f>+NETWORKDAYS(Y3,Z3)</f>
        <v>21</v>
      </c>
      <c r="AA9" s="20">
        <f>+NETWORKDAYS(Z3,AA3)</f>
        <v>24</v>
      </c>
      <c r="AB9" s="20">
        <f>+NETWORKDAYS(AA3,AB3)</f>
        <v>22</v>
      </c>
      <c r="AC9" s="20">
        <f>+NETWORKDAYS(AB3,AC3)</f>
        <v>22</v>
      </c>
      <c r="AD9" s="20">
        <f>+NETWORKDAYS(AC3,AD3)</f>
        <v>24</v>
      </c>
      <c r="AE9" s="20">
        <f>+NETWORKDAYS(AD3,AE3)</f>
        <v>21</v>
      </c>
      <c r="AF9" s="20">
        <f>+NETWORKDAYS(AE3,AF3)</f>
        <v>23</v>
      </c>
      <c r="AG9" s="20">
        <f>+NETWORKDAYS(AF3,AG3)</f>
        <v>23</v>
      </c>
      <c r="AH9" s="20">
        <f>+NETWORKDAYS(AG3,AH3)</f>
        <v>20</v>
      </c>
      <c r="AI9" s="20">
        <f>+NETWORKDAYS(AH3,AI3)</f>
        <v>22</v>
      </c>
      <c r="AJ9" s="20">
        <f>+NETWORKDAYS(AI3,AJ3)</f>
        <v>23</v>
      </c>
      <c r="AK9" s="20">
        <f>+NETWORKDAYS(AJ3,AK3)</f>
        <v>22</v>
      </c>
      <c r="AL9" s="20">
        <f>+NETWORKDAYS(AK3,AL3)</f>
        <v>22</v>
      </c>
      <c r="AM9" s="20">
        <f>+NETWORKDAYS(AL3,AM3)</f>
        <v>24</v>
      </c>
      <c r="AN9" s="20">
        <f>+NETWORKDAYS(AM3,AN3)</f>
        <v>22</v>
      </c>
      <c r="AO9" s="20">
        <f>+NETWORKDAYS(AN3,AO3)</f>
        <v>23</v>
      </c>
      <c r="AP9" s="20">
        <f>+NETWORKDAYS(AO3,AP3)</f>
        <v>23</v>
      </c>
      <c r="AQ9" s="20">
        <f>+NETWORKDAYS(AP3,AQ3)</f>
        <v>21</v>
      </c>
      <c r="AR9" s="20">
        <f>+NETWORKDAYS(AQ3,AR3,$AQ$61:$AQ$70)</f>
        <v>23</v>
      </c>
      <c r="AS9" s="20">
        <f>+NETWORKDAYS(AR3,AS3,$AQ$61:$AQ$70)</f>
        <v>21</v>
      </c>
      <c r="AT9" s="20">
        <f>+NETWORKDAYS(AS3,AT3,$AQ$61:$AQ$70)</f>
        <v>20</v>
      </c>
      <c r="AU9" s="20">
        <f>+NETWORKDAYS(AT3,AU3,$AQ$61:$AQ$70)</f>
        <v>23</v>
      </c>
      <c r="AV9" s="20">
        <f>+NETWORKDAYS(AU3,AV3,$AQ$61:$AQ$70)</f>
        <v>23</v>
      </c>
      <c r="AW9" s="20">
        <f>+NETWORKDAYS(AV3,AW3,$AQ$61:$AQ$70)</f>
        <v>21</v>
      </c>
      <c r="AX9" s="20">
        <f>+NETWORKDAYS(AW3,AX3,$AQ$61:$AQ$70)</f>
        <v>22</v>
      </c>
      <c r="AY9" s="20">
        <f>+NETWORKDAYS(AX3,AY3,$AQ$61:$AQ$70)</f>
        <v>22</v>
      </c>
      <c r="AZ9" s="20">
        <f>+NETWORKDAYS(AY3,AZ3,$AQ$61:$AQ$70)</f>
        <v>22</v>
      </c>
      <c r="BA9" s="20">
        <f>+NETWORKDAYS(AZ3,BA3,$AQ$61:$AQ$70)</f>
        <v>22</v>
      </c>
      <c r="BB9" s="20">
        <f>+NETWORKDAYS(BA3,BB3,$AQ$61:$AQ$70)</f>
        <v>22</v>
      </c>
      <c r="BC9" s="20">
        <f>+NETWORKDAYS(BB3,BC3,$AQ$61:$AQ$70)</f>
        <v>21</v>
      </c>
      <c r="BD9" s="20">
        <f>+NETWORKDAYS(BC3,BD3,$AQ$61:$AQ$70)</f>
        <v>23</v>
      </c>
      <c r="BE9" s="20">
        <f>+NETWORKDAYS(BD3,BE3,$AQ$61:$AQ$70)</f>
        <v>22</v>
      </c>
      <c r="BF9" s="20">
        <f>+NETWORKDAYS(BE3,BF3,$AQ$61:$AQ$70)</f>
        <v>22</v>
      </c>
      <c r="BG9" s="20">
        <f>+NETWORKDAYS(BF3,BG3,$AQ$61:$AQ$70)</f>
        <v>24</v>
      </c>
      <c r="BH9" s="20">
        <f>+NETWORKDAYS(BG3,BH3,$AQ$61:$AQ$70)</f>
        <v>21</v>
      </c>
      <c r="BI9" s="20">
        <f>+NETWORKDAYS(BH3,BI3,$AQ$61:$AQ$70)</f>
        <v>22</v>
      </c>
      <c r="BJ9" s="20">
        <f>+NETWORKDAYS(BI3,BJ3,$AQ$61:$AQ$70)</f>
        <v>23</v>
      </c>
      <c r="BK9" s="20">
        <f>+NETWORKDAYS(BJ3,BK3,$AQ$61:$AQ$70)</f>
        <v>21</v>
      </c>
      <c r="BL9" s="20">
        <f>+NETWORKDAYS(BK3,BL3,$AQ$61:$AQ$70)</f>
        <v>24</v>
      </c>
      <c r="BM9" s="20">
        <f>+NETWORKDAYS(BL3,BM3,$AQ$61:$AQ$70)</f>
        <v>22</v>
      </c>
      <c r="BN9" s="20">
        <f>+NETWORKDAYS(BM3,BN3,$AQ$61:$AQ$70)</f>
        <v>22</v>
      </c>
      <c r="BO9" s="20">
        <f>+NETWORKDAYS(BN3,BO3,$AQ$61:$AQ$70)</f>
        <v>22</v>
      </c>
      <c r="BP9" s="20">
        <f>+NETWORKDAYS(BO3,BP3,$AQ$61:$AQ$70)</f>
        <v>22</v>
      </c>
    </row>
    <row r="10">
      <c r="B10" s="3" t="inlineStr">
        <is>
          <t>Accessions per Workday</t>
        </is>
      </c>
      <c r="C10" s="27">
        <f>+IFERROR(C6/C9,)</f>
        <v>316.743494423792</v>
      </c>
      <c r="D10" s="27">
        <f>+IFERROR(D6/D9,)</f>
        <v>324.725925925926</v>
      </c>
      <c r="E10" s="27">
        <f>+IFERROR(E6/E9,)</f>
        <v>333.529850746269</v>
      </c>
      <c r="F10" s="27">
        <f>+IFERROR(F6/F9,)</f>
        <v>333.25572519084</v>
      </c>
      <c r="G10" s="27">
        <f>+IFERROR(G6/G9,)</f>
        <v>336</v>
      </c>
      <c r="I10" s="27">
        <f>+IFERROR(I6/I9,)</f>
        <v>308.739130434783</v>
      </c>
      <c r="J10" s="27">
        <f>+IFERROR(J6/J9,)</f>
        <v>291.272727272727</v>
      </c>
      <c r="K10" s="27">
        <f>+IFERROR(K6/K9,)</f>
        <v>320.909090909091</v>
      </c>
      <c r="L10" s="27">
        <f>+IFERROR(L6/L9,)</f>
        <v>314.363636363636</v>
      </c>
      <c r="M10" s="27">
        <f>+IFERROR(M6/M9,)</f>
        <v>320.375</v>
      </c>
      <c r="N10" s="27">
        <f>+IFERROR(N6/N9,)</f>
        <v>314.619047619048</v>
      </c>
      <c r="O10" s="27">
        <f>+IFERROR(O6/O9,)</f>
        <v>316.478260869565</v>
      </c>
      <c r="P10" s="27">
        <f>+IFERROR(P6/P9,)</f>
        <v>316.652173913044</v>
      </c>
      <c r="Q10" s="27">
        <f>+IFERROR(Q6/Q9,)</f>
        <v>324.142857142857</v>
      </c>
      <c r="R10" s="27">
        <f>+IFERROR(R6/R9,)</f>
        <v>339</v>
      </c>
      <c r="S10" s="27">
        <f>+IFERROR(S6/S9,)</f>
        <v>321.727272727273</v>
      </c>
      <c r="T10" s="27">
        <f>+IFERROR(T6/T9,)</f>
        <v>310.909090909091</v>
      </c>
      <c r="U10" s="27">
        <f>+IFERROR(U6/U9,)</f>
        <v>319.75</v>
      </c>
      <c r="V10" s="27">
        <f>+IFERROR(V6/V9,)</f>
        <v>300.380952380952</v>
      </c>
      <c r="W10" s="27">
        <f>+IFERROR(W6/W9,)</f>
        <v>330.363636363636</v>
      </c>
      <c r="X10" s="27">
        <f>+IFERROR(X6/X9,)</f>
        <v>327.608695652174</v>
      </c>
      <c r="Y10" s="27">
        <f>+IFERROR(Y6/Y9,)</f>
        <v>336.652173913044</v>
      </c>
      <c r="Z10" s="27">
        <f>+IFERROR(Z6/Z9,)</f>
        <v>327.285714285714</v>
      </c>
      <c r="AA10" s="27">
        <f>+IFERROR(AA6/AA9,)</f>
        <v>315.916666666667</v>
      </c>
      <c r="AB10" s="27">
        <f>+IFERROR(AB6/AB9,)</f>
        <v>329</v>
      </c>
      <c r="AC10" s="27">
        <f>+IFERROR(AC6/AC9,)</f>
        <v>326.090909090909</v>
      </c>
      <c r="AD10" s="27">
        <f>+IFERROR(AD6/AD9,)</f>
        <v>342.041666666667</v>
      </c>
      <c r="AE10" s="27">
        <f>+IFERROR(AE6/AE9,)</f>
        <v>327</v>
      </c>
      <c r="AF10" s="27">
        <f>+IFERROR(AF6/AF9,)</f>
        <v>313.260869565217</v>
      </c>
      <c r="AG10" s="27">
        <f>+IFERROR(AG6/AG9,)</f>
        <v>326.217391304348</v>
      </c>
      <c r="AH10" s="27">
        <f>+IFERROR(AH6/AH9,)</f>
        <v>313.85</v>
      </c>
      <c r="AI10" s="27">
        <f>+IFERROR(AI6/AI9,)</f>
        <v>340.272727272727</v>
      </c>
      <c r="AJ10" s="27">
        <f>+IFERROR(AJ6/AJ9,)</f>
        <v>334.826086956522</v>
      </c>
      <c r="AK10" s="27">
        <f>+IFERROR(AK6/AK9,)</f>
        <v>341.909090909091</v>
      </c>
      <c r="AL10" s="27">
        <f>+IFERROR(AL6/AL9,)</f>
        <v>327.772727272727</v>
      </c>
      <c r="AM10" s="27">
        <f>+IFERROR(AM6/AM9,)</f>
        <v>320.75</v>
      </c>
      <c r="AN10" s="27">
        <f>+IFERROR(AN6/AN9,)</f>
        <v>332.090909090909</v>
      </c>
      <c r="AO10" s="27">
        <f>+IFERROR(AO6/AO9,)</f>
        <v>336.478260869565</v>
      </c>
      <c r="AP10" s="27">
        <f>+IFERROR(AP6/AP9,)</f>
        <v>358.782608695652</v>
      </c>
      <c r="AQ10" s="27">
        <f>+IFERROR(AQ6/AQ9,)</f>
        <v>336.095238095238</v>
      </c>
      <c r="AR10" s="27">
        <f>+AVERAGE(AF10:AQ10)</f>
        <v>331.858825836</v>
      </c>
      <c r="AS10" s="27">
        <f>+AR10</f>
        <v>331.858825836</v>
      </c>
      <c r="AT10" s="27">
        <f>+AS10</f>
        <v>331.858825836</v>
      </c>
      <c r="AU10" s="27">
        <f>+AT10</f>
        <v>331.858825836</v>
      </c>
      <c r="AV10" s="27">
        <f>+AU10</f>
        <v>331.858825836</v>
      </c>
      <c r="AW10" s="27">
        <f>+AV10</f>
        <v>331.858825836</v>
      </c>
      <c r="AX10" s="27">
        <f>+$AW10+((COLUMN()-COLUMN($AW10))/(COLUMN($BD10)-COLUMN($AW10)))*($BD10-$AW10)</f>
        <v>332.450422145143</v>
      </c>
      <c r="AY10" s="27">
        <f>+$AW10+((COLUMN()-COLUMN($AW10))/(COLUMN($BD10)-COLUMN($AW10)))*($BD10-$AW10)</f>
        <v>333.042018454286</v>
      </c>
      <c r="AZ10" s="27">
        <f>+$AW10+((COLUMN()-COLUMN($AW10))/(COLUMN($BD10)-COLUMN($AW10)))*($BD10-$AW10)</f>
        <v>333.633614763428</v>
      </c>
      <c r="BA10" s="27">
        <f>+$AW10+((COLUMN()-COLUMN($AW10))/(COLUMN($BD10)-COLUMN($AW10)))*($BD10-$AW10)</f>
        <v>334.225211072571</v>
      </c>
      <c r="BB10" s="27">
        <f>+$AW10+((COLUMN()-COLUMN($AW10))/(COLUMN($BD10)-COLUMN($AW10)))*($BD10-$AW10)</f>
        <v>334.816807381714</v>
      </c>
      <c r="BC10" s="27">
        <f>+$AW10+((COLUMN()-COLUMN($AW10))/(COLUMN($BD10)-COLUMN($AW10)))*($BD10-$AW10)</f>
        <v>335.408403690857</v>
      </c>
      <c r="BD10" s="29" t="n">
        <v>336</v>
      </c>
      <c r="BE10" s="27">
        <f>+BD10</f>
        <v>336</v>
      </c>
      <c r="BF10" s="27">
        <f>+BE10</f>
        <v>336</v>
      </c>
      <c r="BG10" s="27">
        <f>+BF10</f>
        <v>336</v>
      </c>
      <c r="BH10" s="27">
        <f>+BG10</f>
        <v>336</v>
      </c>
      <c r="BI10" s="27">
        <f>+BH10</f>
        <v>336</v>
      </c>
      <c r="BJ10" s="27">
        <f>+BI10</f>
        <v>336</v>
      </c>
      <c r="BK10" s="27">
        <f>+BJ10</f>
        <v>336</v>
      </c>
      <c r="BL10" s="27">
        <f>+BK10</f>
        <v>336</v>
      </c>
      <c r="BM10" s="27">
        <f>+BL10</f>
        <v>336</v>
      </c>
      <c r="BN10" s="27">
        <f>+BM10</f>
        <v>336</v>
      </c>
      <c r="BO10" s="27">
        <f>+BN10</f>
        <v>336</v>
      </c>
      <c r="BP10" s="27">
        <f>+BO10</f>
        <v>336</v>
      </c>
    </row>
    <row r="11">
      <c r="B11" s="3" t="inlineStr">
        <is>
          <t>% MoM Growth</t>
        </is>
      </c>
      <c r="J11" s="12">
        <f>+IFERROR(J10/I10-1,)</f>
        <v>-0.0565733379421594</v>
      </c>
      <c r="K11" s="12">
        <f>+IFERROR(K10/J10-1,)</f>
        <v>0.101747815230961</v>
      </c>
      <c r="L11" s="12">
        <f>+IFERROR(L10/K10-1,)</f>
        <v>-0.0203966005665723</v>
      </c>
      <c r="M11" s="12">
        <f>+IFERROR(M10/L10-1,)</f>
        <v>0.0191223250433776</v>
      </c>
      <c r="N11" s="12">
        <f>+IFERROR(N10/M10-1,)</f>
        <v>-0.0179662969362541</v>
      </c>
      <c r="O11" s="12">
        <f>+IFERROR(O10/N10-1,)</f>
        <v>0.0059094109672877</v>
      </c>
      <c r="P11" s="12">
        <f>+IFERROR(P10/O10-1,)</f>
        <v>0.000549526033795988</v>
      </c>
      <c r="Q11" s="12">
        <f>+IFERROR(Q10/P10-1,)</f>
        <v>0.0236558717953748</v>
      </c>
      <c r="R11" s="12">
        <f>+IFERROR(R10/Q10-1,)</f>
        <v>0.0458351696782724</v>
      </c>
      <c r="S11" s="12">
        <f>+IFERROR(S10/R10-1,)</f>
        <v>-0.0509519978546527</v>
      </c>
      <c r="T11" s="12">
        <f>+IFERROR(T10/S10-1,)</f>
        <v>-0.0336253178864085</v>
      </c>
      <c r="U11" s="12">
        <f>+IFERROR(U10/T10-1,)</f>
        <v>0.0284356725146198</v>
      </c>
      <c r="V11" s="12">
        <f>+IFERROR(V10/U10-1,)</f>
        <v>-0.0605755984958486</v>
      </c>
      <c r="W11" s="12">
        <f>+IFERROR(W10/V10-1,)</f>
        <v>0.099815530062835</v>
      </c>
      <c r="X11" s="12">
        <f>+IFERROR(X10/W10-1,)</f>
        <v>-0.00833911607762439</v>
      </c>
      <c r="Y11" s="12">
        <f>+IFERROR(Y10/X10-1,)</f>
        <v>0.0276045122760451</v>
      </c>
      <c r="Z11" s="12">
        <f>+IFERROR(Z10/Y10-1,)</f>
        <v>-0.0278223649010166</v>
      </c>
      <c r="AA11" s="12">
        <f>+IFERROR(AA10/Z10-1,)</f>
        <v>-0.0347373781463698</v>
      </c>
      <c r="AB11" s="12">
        <f>+IFERROR(AB10/AA10-1,)</f>
        <v>0.0414138749670272</v>
      </c>
      <c r="AC11" s="12">
        <f>+IFERROR(AC10/AB10-1,)</f>
        <v>-0.00884222160817916</v>
      </c>
      <c r="AD11" s="12">
        <f>+IFERROR(AD10/AC10-1,)</f>
        <v>0.0489150636557942</v>
      </c>
      <c r="AE11" s="12">
        <f>+IFERROR(AE10/AD10-1,)</f>
        <v>-0.0439761237665977</v>
      </c>
      <c r="AF11" s="12">
        <f>+IFERROR(AF10/AE10-1,)</f>
        <v>-0.0420156894030049</v>
      </c>
      <c r="AG11" s="12">
        <f>+IFERROR(AG10/AF10-1,)</f>
        <v>0.0413601665510062</v>
      </c>
      <c r="AH11" s="12">
        <f>+IFERROR(AH10/AG10-1,)</f>
        <v>-0.0379115020658403</v>
      </c>
      <c r="AI11" s="12">
        <f>+IFERROR(AI10/AH10-1,)</f>
        <v>0.0841890306602748</v>
      </c>
      <c r="AJ11" s="12">
        <f>+IFERROR(AJ10/AI10-1,)</f>
        <v>-0.0160066907502699</v>
      </c>
      <c r="AK11" s="12">
        <f>+IFERROR(AK10/AJ10-1,)</f>
        <v>0.0211542774846243</v>
      </c>
      <c r="AL11" s="12">
        <f>+IFERROR(AL10/AK10-1,)</f>
        <v>-0.0413453868651955</v>
      </c>
      <c r="AM11" s="12">
        <f>+IFERROR(AM10/AL10-1,)</f>
        <v>-0.0214255997781168</v>
      </c>
      <c r="AN11" s="12">
        <f>+IFERROR(AN10/AM10-1,)</f>
        <v>0.0353574718344787</v>
      </c>
      <c r="AO11" s="12">
        <f>+IFERROR(AO10/AN10-1,)</f>
        <v>0.0132112974446257</v>
      </c>
      <c r="AP11" s="12">
        <f>+IFERROR(AP10/AO10-1,)</f>
        <v>0.0662876340612484</v>
      </c>
      <c r="AQ11" s="12">
        <f>+IFERROR(AQ10/AP10-1,)</f>
        <v>-0.0632343097200102</v>
      </c>
      <c r="AR11" s="12">
        <f>+IFERROR(AR10/AQ10-1,)</f>
        <v>-0.0126047970308876</v>
      </c>
      <c r="AS11" s="12">
        <f>+IFERROR(AS10/AR10-1,)</f>
        <v>0</v>
      </c>
      <c r="AT11" s="12">
        <f>+IFERROR(AT10/AS10-1,)</f>
        <v>0</v>
      </c>
      <c r="AU11" s="12">
        <f>+IFERROR(AU10/AT10-1,)</f>
        <v>0</v>
      </c>
      <c r="AV11" s="12">
        <f>+IFERROR(AV10/AU10-1,)</f>
        <v>0</v>
      </c>
      <c r="AW11" s="12">
        <f>+IFERROR(AW10/AV10-1,)</f>
        <v>0</v>
      </c>
      <c r="AX11" s="12">
        <f>+IFERROR(AX10/AW10-1,)</f>
        <v>0.00178267462874482</v>
      </c>
      <c r="AY11" s="12">
        <f>+IFERROR(AY10/AX10-1,)</f>
        <v>0.00177950235504465</v>
      </c>
      <c r="AZ11" s="12">
        <f>+IFERROR(AZ10/AY10-1,)</f>
        <v>0.00177634135142646</v>
      </c>
      <c r="BA11" s="12">
        <f>+IFERROR(BA10/AZ10-1,)</f>
        <v>0.00177319155793798</v>
      </c>
      <c r="BB11" s="12">
        <f>+IFERROR(BB10/BA10-1,)</f>
        <v>0.00177005291505217</v>
      </c>
      <c r="BC11" s="12">
        <f>+IFERROR(BC10/BB10-1,)</f>
        <v>0.00176692536366141</v>
      </c>
      <c r="BD11" s="12">
        <f>+IFERROR(BD10/BC10-1,)</f>
        <v>0.00176380884507643</v>
      </c>
      <c r="BE11" s="12">
        <f>+IFERROR(BE10/BD10-1,)</f>
        <v>0</v>
      </c>
      <c r="BF11" s="12">
        <f>+IFERROR(BF10/BE10-1,)</f>
        <v>0</v>
      </c>
      <c r="BG11" s="12">
        <f>+IFERROR(BG10/BF10-1,)</f>
        <v>0</v>
      </c>
      <c r="BH11" s="12">
        <f>+IFERROR(BH10/BG10-1,)</f>
        <v>0</v>
      </c>
      <c r="BI11" s="12">
        <f>+IFERROR(BI10/BH10-1,)</f>
        <v>0</v>
      </c>
      <c r="BJ11" s="12">
        <f>+IFERROR(BJ10/BI10-1,)</f>
        <v>0</v>
      </c>
      <c r="BK11" s="12">
        <f>+IFERROR(BK10/BJ10-1,)</f>
        <v>0</v>
      </c>
      <c r="BL11" s="12">
        <f>+IFERROR(BL10/BK10-1,)</f>
        <v>0</v>
      </c>
      <c r="BM11" s="12">
        <f>+IFERROR(BM10/BL10-1,)</f>
        <v>0</v>
      </c>
      <c r="BN11" s="12">
        <f>+IFERROR(BN10/BM10-1,)</f>
        <v>0</v>
      </c>
      <c r="BO11" s="12">
        <f>+IFERROR(BO10/BN10-1,)</f>
        <v>0</v>
      </c>
      <c r="BP11" s="12">
        <f>+IFERROR(BP10/BO10-1,)</f>
        <v>0</v>
      </c>
    </row>
    <row r="12">
      <c r="B12" s="3" t="inlineStr">
        <is>
          <t>% YoY Growth</t>
        </is>
      </c>
      <c r="U12" s="12">
        <f>+IFERROR(U10/I10-1,)</f>
        <v>0.0356639909871848</v>
      </c>
      <c r="V12" s="12">
        <f>+IFERROR(V10/J10-1,)</f>
        <v>0.0312704357648179</v>
      </c>
      <c r="W12" s="12">
        <f>+IFERROR(W10/K10-1,)</f>
        <v>0.0294617563739377</v>
      </c>
      <c r="X12" s="12">
        <f>+IFERROR(X10/L10-1,)</f>
        <v>0.0421329242839541</v>
      </c>
      <c r="Y12" s="12">
        <f>+IFERROR(Y10/M10-1,)</f>
        <v>0.0508066294593632</v>
      </c>
      <c r="Z12" s="12">
        <f>+IFERROR(Z10/N10-1,)</f>
        <v>0.0402603299530802</v>
      </c>
      <c r="AA12" s="12">
        <f>+IFERROR(AA10/O10-1,)</f>
        <v>-0.00177451115079896</v>
      </c>
      <c r="AB12" s="12">
        <f>+IFERROR(AB10/P10-1,)</f>
        <v>0.0389949196759576</v>
      </c>
      <c r="AC12" s="12">
        <f>+IFERROR(AC10/Q10-1,)</f>
        <v>0.00600985616410887</v>
      </c>
      <c r="AD12" s="12">
        <f>+IFERROR(AD10/R10-1,)</f>
        <v>0.00897246804326457</v>
      </c>
      <c r="AE12" s="12">
        <f>+IFERROR(AE10/S10-1,)</f>
        <v>0.0163888103984176</v>
      </c>
      <c r="AF12" s="12">
        <f>+IFERROR(AF10/T10-1,)</f>
        <v>0.00756420035596217</v>
      </c>
      <c r="AG12" s="12">
        <f>+IFERROR(AG10/U10-1,)</f>
        <v>0.0202263997008532</v>
      </c>
      <c r="AH12" s="12">
        <f>+IFERROR(AH10/V10-1,)</f>
        <v>0.0448398858592263</v>
      </c>
      <c r="AI12" s="12">
        <f>+IFERROR(AI10/W10-1,)</f>
        <v>0.0299944964226746</v>
      </c>
      <c r="AJ12" s="12">
        <f>+IFERROR(AJ10/X10-1,)</f>
        <v>0.0220305242203052</v>
      </c>
      <c r="AK12" s="12">
        <f>+IFERROR(AK10/Y10-1,)</f>
        <v>0.0156152771418172</v>
      </c>
      <c r="AL12" s="12">
        <f>+IFERROR(AL10/Z10-1,)</f>
        <v>0.00148803618904014</v>
      </c>
      <c r="AM12" s="12">
        <f>+IFERROR(AM10/AA10-1,)</f>
        <v>0.0152993932999208</v>
      </c>
      <c r="AN12" s="12">
        <f>+IFERROR(AN10/AB10-1,)</f>
        <v>0.0093948604586902</v>
      </c>
      <c r="AO12" s="12">
        <f>+IFERROR(AO10/AC10-1,)</f>
        <v>0.0318541593435231</v>
      </c>
      <c r="AP12" s="12">
        <f>+IFERROR(AP10/AD10-1,)</f>
        <v>0.0489441599093254</v>
      </c>
      <c r="AQ12" s="12">
        <f>+IFERROR(AQ10/AE10-1,)</f>
        <v>0.0278141837774866</v>
      </c>
      <c r="AR12" s="12">
        <f>+IFERROR(AR10/AF10-1,)</f>
        <v>0.059368909677723</v>
      </c>
      <c r="AS12" s="12">
        <f>+IFERROR(AS10/AG10-1,)</f>
        <v>0.0172934818376642</v>
      </c>
      <c r="AT12" s="12">
        <f>+IFERROR(AT10/AH10-1,)</f>
        <v>0.0573803595220639</v>
      </c>
      <c r="AU12" s="12">
        <f>+IFERROR(AU10/AI10-1,)</f>
        <v>-0.0247269344921193</v>
      </c>
      <c r="AV12" s="12">
        <f>+IFERROR(AV10/AJ10-1,)</f>
        <v>-0.00886209658122394</v>
      </c>
      <c r="AW12" s="12">
        <f>+IFERROR(AW10/AK10-1,)</f>
        <v>-0.0293945535240635</v>
      </c>
      <c r="AX12" s="12">
        <f>+IFERROR(AX10/AL10-1,)</f>
        <v>0.0142711534035695</v>
      </c>
      <c r="AY12" s="12">
        <f>+IFERROR(AY10/AM10-1,)</f>
        <v>0.0383227387506955</v>
      </c>
      <c r="AZ12" s="12">
        <f>+IFERROR(AZ10/AN10-1,)</f>
        <v>0.00464543180884558</v>
      </c>
      <c r="BA12" s="12">
        <f>+IFERROR(BA10/AO10-1,)</f>
        <v>-0.00669597432883562</v>
      </c>
      <c r="BB12" s="12">
        <f>+IFERROR(BB10/AP10-1,)</f>
        <v>-0.0667975557707917</v>
      </c>
      <c r="BC12" s="12">
        <f>+IFERROR(BC10/AQ10-1,)</f>
        <v>-0.00204357076962325</v>
      </c>
      <c r="BD12" s="12">
        <f>+IFERROR(BD10/AR10-1,)</f>
        <v>0.0124787224012139</v>
      </c>
      <c r="BE12" s="12">
        <f>+IFERROR(BE10/AS10-1,)</f>
        <v>0.0124787224012139</v>
      </c>
      <c r="BF12" s="12">
        <f>+IFERROR(BF10/AT10-1,)</f>
        <v>0.0124787224012139</v>
      </c>
      <c r="BG12" s="12">
        <f>+IFERROR(BG10/AU10-1,)</f>
        <v>0.0124787224012139</v>
      </c>
      <c r="BH12" s="12">
        <f>+IFERROR(BH10/AV10-1,)</f>
        <v>0.0124787224012139</v>
      </c>
      <c r="BI12" s="12">
        <f>+IFERROR(BI10/AW10-1,)</f>
        <v>0.0124787224012139</v>
      </c>
      <c r="BJ12" s="12">
        <f>+IFERROR(BJ10/AX10-1,)</f>
        <v>0.0106770141302681</v>
      </c>
      <c r="BK12" s="12">
        <f>+IFERROR(BK10/AY10-1,)</f>
        <v>0.00888170675713251</v>
      </c>
      <c r="BL12" s="12">
        <f>+IFERROR(BL10/AZ10-1,)</f>
        <v>0.00709276623175237</v>
      </c>
      <c r="BM12" s="12">
        <f>+IFERROR(BM10/BA10-1,)</f>
        <v>0.00531015874515628</v>
      </c>
      <c r="BN12" s="12">
        <f>+IFERROR(BN10/BB10-1,)</f>
        <v>0.00353385072732282</v>
      </c>
      <c r="BO12" s="12">
        <f>+IFERROR(BO10/BC10-1,)</f>
        <v>0.00176380884507643</v>
      </c>
      <c r="BP12" s="12">
        <f>+IFERROR(BP10/BD10-1,)</f>
        <v>0</v>
      </c>
    </row>
    <row r="14">
      <c r="B14" s="3" t="inlineStr">
        <is>
          <t>Adj. Net Revenue</t>
        </is>
      </c>
      <c r="C14" s="20">
        <f>+SUMIFS($I14:$BP14,$I$2:$BP$2,C$3)</f>
        <v>12711900</v>
      </c>
      <c r="D14" s="20">
        <f>+SUMIFS($I14:$BP14,$I$2:$BP$2,D$3)</f>
        <v>13253985</v>
      </c>
      <c r="E14" s="20">
        <f>+SUMIFS($I14:$BP14,$I$2:$BP$2,E$3)</f>
        <v>13721774.2902012</v>
      </c>
      <c r="F14" s="20">
        <f>+SUMIFS($I14:$BP14,$I$2:$BP$2,F$3)</f>
        <v>13483490.9332487</v>
      </c>
      <c r="G14" s="20">
        <f>+SUMIFS($I14:$BP14,$I$2:$BP$2,G$3)</f>
        <v>13853961.4788589</v>
      </c>
      <c r="I14" s="26" t="n">
        <v>1059600</v>
      </c>
      <c r="J14" s="26" t="n">
        <v>957100</v>
      </c>
      <c r="K14" s="26" t="n">
        <v>1053300</v>
      </c>
      <c r="L14" s="26" t="n">
        <v>1024700</v>
      </c>
      <c r="M14" s="26" t="n">
        <v>1153100</v>
      </c>
      <c r="N14" s="26" t="n">
        <v>972600</v>
      </c>
      <c r="O14" s="26" t="n">
        <v>1073500</v>
      </c>
      <c r="P14" s="26" t="n">
        <v>1097400</v>
      </c>
      <c r="Q14" s="26" t="n">
        <v>1014100</v>
      </c>
      <c r="R14" s="26" t="n">
        <v>1221600</v>
      </c>
      <c r="S14" s="26" t="n">
        <v>1062800</v>
      </c>
      <c r="T14" s="26" t="n">
        <v>1022100</v>
      </c>
      <c r="U14" s="26" t="n">
        <v>1157300</v>
      </c>
      <c r="V14" s="26" t="n">
        <v>943900</v>
      </c>
      <c r="W14" s="26" t="n">
        <v>1081900</v>
      </c>
      <c r="X14" s="26" t="n">
        <v>1136945</v>
      </c>
      <c r="Y14" s="26" t="n">
        <v>1172645</v>
      </c>
      <c r="Z14" s="26" t="n">
        <v>1026015</v>
      </c>
      <c r="AA14" s="26" t="n">
        <v>1148500</v>
      </c>
      <c r="AB14" s="26" t="n">
        <v>1096650</v>
      </c>
      <c r="AC14" s="26" t="n">
        <v>1097350</v>
      </c>
      <c r="AD14" s="26" t="n">
        <v>1243040</v>
      </c>
      <c r="AE14" s="26" t="n">
        <v>1050335</v>
      </c>
      <c r="AF14" s="26" t="n">
        <v>1099405</v>
      </c>
      <c r="AG14" s="26" t="n">
        <v>1135568</v>
      </c>
      <c r="AH14" s="26" t="n">
        <v>958220</v>
      </c>
      <c r="AI14" s="26" t="n">
        <v>1144552</v>
      </c>
      <c r="AJ14" s="26" t="n">
        <v>1190568</v>
      </c>
      <c r="AK14" s="26" t="n">
        <v>1154152</v>
      </c>
      <c r="AL14" s="26" t="n">
        <v>1093752</v>
      </c>
      <c r="AM14" s="26" t="n">
        <v>1180196</v>
      </c>
      <c r="AN14" s="26" t="n">
        <v>1125288</v>
      </c>
      <c r="AO14" s="26" t="n">
        <v>1198752.06</v>
      </c>
      <c r="AP14" s="26" t="n">
        <v>1281426.43</v>
      </c>
      <c r="AQ14" s="26" t="n">
        <v>1080557.96</v>
      </c>
      <c r="AR14" s="20">
        <f>+AR6*AR16</f>
        <v>1178741.8402012</v>
      </c>
      <c r="AS14" s="20">
        <f>+AS6*AS16</f>
        <v>1076202.2644258</v>
      </c>
      <c r="AT14" s="20">
        <f>+AT6*AT16</f>
        <v>1024932.4765381</v>
      </c>
      <c r="AU14" s="20">
        <f>+AU6*AU16</f>
        <v>1178741.8402012</v>
      </c>
      <c r="AV14" s="20">
        <f>+AV6*AV16</f>
        <v>1178741.8402012</v>
      </c>
      <c r="AW14" s="20">
        <f>+AW6*AW16</f>
        <v>1076202.2644258</v>
      </c>
      <c r="AX14" s="20">
        <f>+AX6*AX16</f>
        <v>1129479.60424886</v>
      </c>
      <c r="AY14" s="20">
        <f>+AY6*AY16</f>
        <v>1131487.15618422</v>
      </c>
      <c r="AZ14" s="20">
        <f>+AZ6*AZ16</f>
        <v>1133494.70811958</v>
      </c>
      <c r="BA14" s="20">
        <f>+BA6*BA16</f>
        <v>1135502.26005494</v>
      </c>
      <c r="BB14" s="20">
        <f>+BB6*BB16</f>
        <v>1137509.81199031</v>
      </c>
      <c r="BC14" s="20">
        <f>+BC6*BC16</f>
        <v>1087784.29482212</v>
      </c>
      <c r="BD14" s="20">
        <f>+BD6*BD16</f>
        <v>1193412.41203653</v>
      </c>
      <c r="BE14" s="20">
        <f>+BE6*BE16</f>
        <v>1141524.91586103</v>
      </c>
      <c r="BF14" s="20">
        <f>+BF6*BF16</f>
        <v>1141524.91586103</v>
      </c>
      <c r="BG14" s="20">
        <f>+BG6*BG16</f>
        <v>1245299.90821203</v>
      </c>
      <c r="BH14" s="20">
        <f>+BH6*BH16</f>
        <v>1089637.41968553</v>
      </c>
      <c r="BI14" s="20">
        <f>+BI6*BI16</f>
        <v>1141524.91586103</v>
      </c>
      <c r="BJ14" s="20">
        <f>+BJ6*BJ16</f>
        <v>1193412.41203653</v>
      </c>
      <c r="BK14" s="20">
        <f>+BK6*BK16</f>
        <v>1089637.41968553</v>
      </c>
      <c r="BL14" s="20">
        <f>+BL6*BL16</f>
        <v>1245299.90821203</v>
      </c>
      <c r="BM14" s="20">
        <f>+BM6*BM16</f>
        <v>1141524.91586103</v>
      </c>
      <c r="BN14" s="20">
        <f>+BN6*BN16</f>
        <v>1141524.91586103</v>
      </c>
      <c r="BO14" s="20">
        <f>+BO6*BO16</f>
        <v>1141524.91586103</v>
      </c>
      <c r="BP14" s="20">
        <f>+BP6*BP16</f>
        <v>1141524.91586103</v>
      </c>
    </row>
    <row r="16">
      <c r="B16" s="3" t="inlineStr">
        <is>
          <t>$ per Accession</t>
        </is>
      </c>
      <c r="C16" s="13">
        <f>+IFERROR(C14/C6,)</f>
        <v>149.193699826299</v>
      </c>
      <c r="D16" s="13">
        <f>+IFERROR(D14/D6,)</f>
        <v>151.17004653497</v>
      </c>
      <c r="E16" s="13">
        <f>+IFERROR(E14/E6,)</f>
        <v>153.511447991869</v>
      </c>
      <c r="F16" s="13">
        <f>+IFERROR(F14/F6,)</f>
        <v>154.427071950897</v>
      </c>
      <c r="G16" s="13">
        <f>+IFERROR(G14/G6,)</f>
        <v>154.427071950897</v>
      </c>
      <c r="I16" s="13">
        <f>+IFERROR(I14/I6,)</f>
        <v>149.218419940853</v>
      </c>
      <c r="J16" s="13">
        <f>+IFERROR(J14/J6,)</f>
        <v>149.360174781523</v>
      </c>
      <c r="K16" s="13">
        <f>+IFERROR(K14/K6,)</f>
        <v>149.192634560907</v>
      </c>
      <c r="L16" s="13">
        <f>+IFERROR(L14/L6,)</f>
        <v>148.163678426836</v>
      </c>
      <c r="M16" s="13">
        <f>+IFERROR(M14/M6,)</f>
        <v>149.967486018988</v>
      </c>
      <c r="N16" s="13">
        <f>+IFERROR(N14/N6,)</f>
        <v>147.207507189345</v>
      </c>
      <c r="O16" s="13">
        <f>+IFERROR(O14/O6,)</f>
        <v>147.479049319962</v>
      </c>
      <c r="P16" s="13">
        <f>+IFERROR(P14/P6,)</f>
        <v>150.679664973225</v>
      </c>
      <c r="Q16" s="13">
        <f>+IFERROR(Q14/Q6,)</f>
        <v>148.978992213897</v>
      </c>
      <c r="R16" s="13">
        <f>+IFERROR(R14/R6,)</f>
        <v>150.147492625369</v>
      </c>
      <c r="S16" s="13">
        <f>+IFERROR(S14/S6,)</f>
        <v>150.155411133088</v>
      </c>
      <c r="T16" s="13">
        <f>+IFERROR(T14/T6,)</f>
        <v>149.429824561404</v>
      </c>
      <c r="U16" s="13">
        <f>+IFERROR(U14/U6,)</f>
        <v>150.807922856398</v>
      </c>
      <c r="V16" s="13">
        <f>+IFERROR(V14/V6,)</f>
        <v>149.635383639822</v>
      </c>
      <c r="W16" s="13">
        <f>+IFERROR(W14/W6,)</f>
        <v>148.858007705008</v>
      </c>
      <c r="X16" s="13">
        <f>+IFERROR(X14/X6,)</f>
        <v>150.888520238885</v>
      </c>
      <c r="Y16" s="13">
        <f>+IFERROR(Y14/Y6,)</f>
        <v>151.445822032804</v>
      </c>
      <c r="Z16" s="13">
        <f>+IFERROR(Z14/Z6,)</f>
        <v>149.281972937582</v>
      </c>
      <c r="AA16" s="13">
        <f>+IFERROR(AA14/AA6,)</f>
        <v>151.477182801372</v>
      </c>
      <c r="AB16" s="13">
        <f>+IFERROR(AB14/AB6,)</f>
        <v>151.512848853274</v>
      </c>
      <c r="AC16" s="13">
        <f>+IFERROR(AC14/AC6,)</f>
        <v>152.962085308057</v>
      </c>
      <c r="AD16" s="13">
        <f>+IFERROR(AD14/AD6,)</f>
        <v>151.424046777927</v>
      </c>
      <c r="AE16" s="13">
        <f>+IFERROR(AE14/AE6,)</f>
        <v>152.953982816368</v>
      </c>
      <c r="AF16" s="13">
        <f>+IFERROR(AF14/AF6,)</f>
        <v>152.589174184594</v>
      </c>
      <c r="AG16" s="13">
        <f>+IFERROR(AG14/AG6,)</f>
        <v>151.348527255764</v>
      </c>
      <c r="AH16" s="13">
        <f>+IFERROR(AH14/AH6,)</f>
        <v>152.655727258244</v>
      </c>
      <c r="AI16" s="13">
        <f>+IFERROR(AI14/AI6,)</f>
        <v>152.892332353727</v>
      </c>
      <c r="AJ16" s="13">
        <f>+IFERROR(AJ14/AJ6,)</f>
        <v>154.599142968446</v>
      </c>
      <c r="AK16" s="13">
        <f>+IFERROR(AK14/AK6,)</f>
        <v>153.43685190109</v>
      </c>
      <c r="AL16" s="13">
        <f>+IFERROR(AL14/AL6,)</f>
        <v>151.678269310775</v>
      </c>
      <c r="AM16" s="13">
        <f>+IFERROR(AM14/AM6,)</f>
        <v>153.312029098467</v>
      </c>
      <c r="AN16" s="13">
        <f>+IFERROR(AN14/AN6,)</f>
        <v>154.022447303586</v>
      </c>
      <c r="AO16" s="13">
        <f>+IFERROR(AO14/AO6,)</f>
        <v>154.897539733816</v>
      </c>
      <c r="AP16" s="13">
        <f>+IFERROR(AP14/AP6,)</f>
        <v>155.286770479884</v>
      </c>
      <c r="AQ16" s="13">
        <f>+IFERROR(AQ14/AQ6,)</f>
        <v>153.096905638991</v>
      </c>
      <c r="AR16" s="13">
        <f>+AQ17</f>
        <v>154.427071950897</v>
      </c>
      <c r="AS16" s="13">
        <f>+AR16</f>
        <v>154.427071950897</v>
      </c>
      <c r="AT16" s="13">
        <f>+AS16</f>
        <v>154.427071950897</v>
      </c>
      <c r="AU16" s="13">
        <f>+AT16</f>
        <v>154.427071950897</v>
      </c>
      <c r="AV16" s="13">
        <f>+AU16</f>
        <v>154.427071950897</v>
      </c>
      <c r="AW16" s="13">
        <f>+AV16</f>
        <v>154.427071950897</v>
      </c>
      <c r="AX16" s="13">
        <f>+AW16</f>
        <v>154.427071950897</v>
      </c>
      <c r="AY16" s="13">
        <f>+AX16</f>
        <v>154.427071950897</v>
      </c>
      <c r="AZ16" s="13">
        <f>+AY16</f>
        <v>154.427071950897</v>
      </c>
      <c r="BA16" s="13">
        <f>+AZ16</f>
        <v>154.427071950897</v>
      </c>
      <c r="BB16" s="13">
        <f>+BA16</f>
        <v>154.427071950897</v>
      </c>
      <c r="BC16" s="13">
        <f>+BB16</f>
        <v>154.427071950897</v>
      </c>
      <c r="BD16" s="13">
        <f>+BC16</f>
        <v>154.427071950897</v>
      </c>
      <c r="BE16" s="13">
        <f>+BD16</f>
        <v>154.427071950897</v>
      </c>
      <c r="BF16" s="13">
        <f>+BE16</f>
        <v>154.427071950897</v>
      </c>
      <c r="BG16" s="13">
        <f>+BF16</f>
        <v>154.427071950897</v>
      </c>
      <c r="BH16" s="13">
        <f>+BG16</f>
        <v>154.427071950897</v>
      </c>
      <c r="BI16" s="13">
        <f>+BH16</f>
        <v>154.427071950897</v>
      </c>
      <c r="BJ16" s="13">
        <f>+BI16</f>
        <v>154.427071950897</v>
      </c>
      <c r="BK16" s="13">
        <f>+BJ16</f>
        <v>154.427071950897</v>
      </c>
      <c r="BL16" s="13">
        <f>+BK16</f>
        <v>154.427071950897</v>
      </c>
      <c r="BM16" s="13">
        <f>+BL16</f>
        <v>154.427071950897</v>
      </c>
      <c r="BN16" s="13">
        <f>+BM16</f>
        <v>154.427071950897</v>
      </c>
      <c r="BO16" s="13">
        <f>+BN16</f>
        <v>154.427071950897</v>
      </c>
      <c r="BP16" s="13">
        <f>+BO16</f>
        <v>154.427071950897</v>
      </c>
    </row>
    <row r="17">
      <c r="B17" s="4" t="inlineStr">
        <is>
          <t>L3M Average</t>
        </is>
      </c>
      <c r="K17" s="13">
        <f>+AVERAGE(I16:K16)</f>
        <v>149.257076427761</v>
      </c>
      <c r="L17" s="13">
        <f>+AVERAGE(J16:L16)</f>
        <v>148.905495923089</v>
      </c>
      <c r="M17" s="13">
        <f>+AVERAGE(K16:M16)</f>
        <v>149.107933002244</v>
      </c>
      <c r="N17" s="13">
        <f>+AVERAGE(L16:N16)</f>
        <v>148.44622387839</v>
      </c>
      <c r="O17" s="13">
        <f>+AVERAGE(M16:O16)</f>
        <v>148.218014176098</v>
      </c>
      <c r="P17" s="13">
        <f>+AVERAGE(N16:P16)</f>
        <v>148.455407160844</v>
      </c>
      <c r="Q17" s="13">
        <f>+AVERAGE(O16:Q16)</f>
        <v>149.045902169028</v>
      </c>
      <c r="R17" s="13">
        <f>+AVERAGE(P16:R16)</f>
        <v>149.935383270831</v>
      </c>
      <c r="S17" s="13">
        <f>+AVERAGE(Q16:S16)</f>
        <v>149.760631990785</v>
      </c>
      <c r="T17" s="13">
        <f>+AVERAGE(R16:T16)</f>
        <v>149.910909439954</v>
      </c>
      <c r="U17" s="13">
        <f>+AVERAGE(S16:U16)</f>
        <v>150.131052850297</v>
      </c>
      <c r="V17" s="13">
        <f>+AVERAGE(T16:V16)</f>
        <v>149.957710352541</v>
      </c>
      <c r="W17" s="13">
        <f>+AVERAGE(U16:W16)</f>
        <v>149.767104733743</v>
      </c>
      <c r="X17" s="13">
        <f>+AVERAGE(V16:X16)</f>
        <v>149.793970527905</v>
      </c>
      <c r="Y17" s="13">
        <f>+AVERAGE(W16:Y16)</f>
        <v>150.397449992232</v>
      </c>
      <c r="Z17" s="13">
        <f>+AVERAGE(X16:Z16)</f>
        <v>150.538771736424</v>
      </c>
      <c r="AA17" s="13">
        <f>+AVERAGE(Y16:AA16)</f>
        <v>150.734992590586</v>
      </c>
      <c r="AB17" s="13">
        <f>+AVERAGE(Z16:AB16)</f>
        <v>150.757334864076</v>
      </c>
      <c r="AC17" s="13">
        <f>+AVERAGE(AA16:AC16)</f>
        <v>151.984038987568</v>
      </c>
      <c r="AD17" s="13">
        <f>+AVERAGE(AB16:AD16)</f>
        <v>151.966326979753</v>
      </c>
      <c r="AE17" s="13">
        <f>+AVERAGE(AC16:AE16)</f>
        <v>152.446704967451</v>
      </c>
      <c r="AF17" s="13">
        <f>+AVERAGE(AD16:AF16)</f>
        <v>152.32240125963</v>
      </c>
      <c r="AG17" s="13">
        <f>+AVERAGE(AE16:AG16)</f>
        <v>152.297228085576</v>
      </c>
      <c r="AH17" s="13">
        <f>+AVERAGE(AF16:AH16)</f>
        <v>152.197809566201</v>
      </c>
      <c r="AI17" s="13">
        <f>+AVERAGE(AG16:AI16)</f>
        <v>152.298862289245</v>
      </c>
      <c r="AJ17" s="13">
        <f>+AVERAGE(AH16:AJ16)</f>
        <v>153.382400860139</v>
      </c>
      <c r="AK17" s="13">
        <f>+AVERAGE(AI16:AK16)</f>
        <v>153.642775741088</v>
      </c>
      <c r="AL17" s="13">
        <f>+AVERAGE(AJ16:AL16)</f>
        <v>153.238088060104</v>
      </c>
      <c r="AM17" s="13">
        <f>+AVERAGE(AK16:AM16)</f>
        <v>152.809050103444</v>
      </c>
      <c r="AN17" s="13">
        <f>+AVERAGE(AL16:AN16)</f>
        <v>153.004248570943</v>
      </c>
      <c r="AO17" s="13">
        <f>+AVERAGE(AM16:AO16)</f>
        <v>154.077338711956</v>
      </c>
      <c r="AP17" s="13">
        <f>+AVERAGE(AN16:AP16)</f>
        <v>154.735585839095</v>
      </c>
      <c r="AQ17" s="13">
        <f>+AVERAGE(AO16:AQ16)</f>
        <v>154.427071950897</v>
      </c>
    </row>
    <row r="18">
      <c r="B18" s="4" t="inlineStr">
        <is>
          <t>L6M Average</t>
        </is>
      </c>
      <c r="N18" s="13">
        <f>+AVERAGE(I16:N16)</f>
        <v>148.851650153075</v>
      </c>
      <c r="O18" s="13">
        <f>+AVERAGE(J16:O16)</f>
        <v>148.561755049593</v>
      </c>
      <c r="P18" s="13">
        <f>+AVERAGE(K16:P16)</f>
        <v>148.781670081544</v>
      </c>
      <c r="Q18" s="13">
        <f>+AVERAGE(L16:Q16)</f>
        <v>148.746063023709</v>
      </c>
      <c r="R18" s="13">
        <f>+AVERAGE(M16:R16)</f>
        <v>149.076698723464</v>
      </c>
      <c r="S18" s="13">
        <f>+AVERAGE(N16:S16)</f>
        <v>149.108019575814</v>
      </c>
      <c r="T18" s="13">
        <f>+AVERAGE(O16:T16)</f>
        <v>149.478405804491</v>
      </c>
      <c r="U18" s="13">
        <f>+AVERAGE(P16:U16)</f>
        <v>150.033218060564</v>
      </c>
      <c r="V18" s="13">
        <f>+AVERAGE(Q16:V16)</f>
        <v>149.859171171663</v>
      </c>
      <c r="W18" s="13">
        <f>+AVERAGE(R16:W16)</f>
        <v>149.839007086848</v>
      </c>
      <c r="X18" s="13">
        <f>+AVERAGE(S16:X16)</f>
        <v>149.962511689101</v>
      </c>
      <c r="Y18" s="13">
        <f>+AVERAGE(T16:Y16)</f>
        <v>150.177580172387</v>
      </c>
      <c r="Z18" s="13">
        <f>+AVERAGE(U16:Z16)</f>
        <v>150.152938235083</v>
      </c>
      <c r="AA18" s="13">
        <f>+AVERAGE(V16:AA16)</f>
        <v>150.264481559246</v>
      </c>
      <c r="AB18" s="13">
        <f>+AVERAGE(W16:AB16)</f>
        <v>150.577392428154</v>
      </c>
      <c r="AC18" s="13">
        <f>+AVERAGE(X16:AC16)</f>
        <v>151.261405361996</v>
      </c>
      <c r="AD18" s="13">
        <f>+AVERAGE(Y16:AD16)</f>
        <v>151.350659785169</v>
      </c>
      <c r="AE18" s="13">
        <f>+AVERAGE(Z16:AE16)</f>
        <v>151.602019915763</v>
      </c>
      <c r="AF18" s="13">
        <f>+AVERAGE(AA16:AF16)</f>
        <v>152.153220123599</v>
      </c>
      <c r="AG18" s="13">
        <f>+AVERAGE(AB16:AG16)</f>
        <v>152.131777532664</v>
      </c>
      <c r="AH18" s="13">
        <f>+AVERAGE(AC16:AH16)</f>
        <v>152.322257266826</v>
      </c>
      <c r="AI18" s="13">
        <f>+AVERAGE(AD16:AI16)</f>
        <v>152.310631774437</v>
      </c>
      <c r="AJ18" s="13">
        <f>+AVERAGE(AE16:AJ16)</f>
        <v>152.839814472857</v>
      </c>
      <c r="AK18" s="13">
        <f>+AVERAGE(AF16:AK16)</f>
        <v>152.920292653644</v>
      </c>
      <c r="AL18" s="13">
        <f>+AVERAGE(AG16:AL16)</f>
        <v>152.768475174674</v>
      </c>
      <c r="AM18" s="13">
        <f>+AVERAGE(AH16:AM16)</f>
        <v>153.095725481792</v>
      </c>
      <c r="AN18" s="13">
        <f>+AVERAGE(AI16:AN16)</f>
        <v>153.323512156015</v>
      </c>
      <c r="AO18" s="13">
        <f>+AVERAGE(AJ16:AO16)</f>
        <v>153.65771338603</v>
      </c>
      <c r="AP18" s="13">
        <f>+AVERAGE(AK16:AP16)</f>
        <v>153.77231797127</v>
      </c>
      <c r="AQ18" s="13">
        <f>+AVERAGE(AL16:AQ16)</f>
        <v>153.71566026092</v>
      </c>
    </row>
    <row r="19">
      <c r="B19" s="4" t="inlineStr">
        <is>
          <t>LTM Average</t>
        </is>
      </c>
      <c r="T19" s="13">
        <f>+AVERAGE(I16:T16)</f>
        <v>149.165027978783</v>
      </c>
      <c r="U19" s="13">
        <f>+AVERAGE(J16:U16)</f>
        <v>149.297486555079</v>
      </c>
      <c r="V19" s="13">
        <f>+AVERAGE(K16:V16)</f>
        <v>149.320420626603</v>
      </c>
      <c r="W19" s="13">
        <f>+AVERAGE(L16:W16)</f>
        <v>149.292535055279</v>
      </c>
      <c r="X19" s="13">
        <f>+AVERAGE(M16:X16)</f>
        <v>149.519605206283</v>
      </c>
      <c r="Y19" s="13">
        <f>+AVERAGE(N16:Y16)</f>
        <v>149.642799874101</v>
      </c>
      <c r="Z19" s="13">
        <f>+AVERAGE(O16:Z16)</f>
        <v>149.815672019787</v>
      </c>
      <c r="AA19" s="13">
        <f>+AVERAGE(P16:AA16)</f>
        <v>150.148849809905</v>
      </c>
      <c r="AB19" s="13">
        <f>+AVERAGE(Q16:AB16)</f>
        <v>150.218281799909</v>
      </c>
      <c r="AC19" s="13">
        <f>+AVERAGE(R16:AC16)</f>
        <v>150.550206224422</v>
      </c>
      <c r="AD19" s="13">
        <f>+AVERAGE(S16:AD16)</f>
        <v>150.656585737135</v>
      </c>
      <c r="AE19" s="13">
        <f>+AVERAGE(T16:AE16)</f>
        <v>150.889800044075</v>
      </c>
      <c r="AF19" s="13">
        <f>+AVERAGE(U16:AF16)</f>
        <v>151.153079179341</v>
      </c>
      <c r="AG19" s="13">
        <f>+AVERAGE(V16:AG16)</f>
        <v>151.198129545955</v>
      </c>
      <c r="AH19" s="13">
        <f>+AVERAGE(W16:AH16)</f>
        <v>151.44982484749</v>
      </c>
      <c r="AI19" s="13">
        <f>+AVERAGE(X16:AI16)</f>
        <v>151.786018568217</v>
      </c>
      <c r="AJ19" s="13">
        <f>+AVERAGE(Y16:AJ16)</f>
        <v>152.095237129013</v>
      </c>
      <c r="AK19" s="13">
        <f>+AVERAGE(Z16:AK16)</f>
        <v>152.261156284704</v>
      </c>
      <c r="AL19" s="13">
        <f>+AVERAGE(AA16:AL16)</f>
        <v>152.460847649137</v>
      </c>
      <c r="AM19" s="13">
        <f>+AVERAGE(AB16:AM16)</f>
        <v>152.613751507228</v>
      </c>
      <c r="AN19" s="13">
        <f>+AVERAGE(AC16:AN16)</f>
        <v>152.82288471142</v>
      </c>
      <c r="AO19" s="13">
        <f>+AVERAGE(AD16:AO16)</f>
        <v>152.984172580234</v>
      </c>
      <c r="AP19" s="13">
        <f>+AVERAGE(AE16:AP16)</f>
        <v>153.306066222063</v>
      </c>
      <c r="AQ19" s="13">
        <f>+AVERAGE(AF16:AQ16)</f>
        <v>153.317976457282</v>
      </c>
    </row>
    <row r="21">
      <c r="A21" s="9" t="inlineStr">
        <is>
          <t>Senior Living Relationship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</row>
    <row r="22">
      <c r="B22" s="3" t="inlineStr">
        <is>
          <t>Accessions per Workday</t>
        </is>
      </c>
      <c r="C22" s="27">
        <f>+IFERROR(C24/C23,)</f>
        <v>0</v>
      </c>
      <c r="D22" s="27">
        <f>+IFERROR(D24/D23,)</f>
        <v>18.8333333333333</v>
      </c>
      <c r="E22" s="27">
        <f>+IFERROR(E24/E23,)</f>
        <v>45.044776119403</v>
      </c>
      <c r="F22" s="27">
        <f>+IFERROR(F24/F23,)</f>
        <v>52.381679389313</v>
      </c>
      <c r="G22" s="27">
        <f>+IFERROR(G24/G23,)</f>
        <v>55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15</v>
      </c>
      <c r="Y22" s="26" t="n">
        <v>15</v>
      </c>
      <c r="Z22" s="26" t="n">
        <v>15</v>
      </c>
      <c r="AA22" s="26" t="n">
        <v>25</v>
      </c>
      <c r="AB22" s="26" t="n">
        <v>25</v>
      </c>
      <c r="AC22" s="26" t="n">
        <v>25</v>
      </c>
      <c r="AD22" s="26" t="n">
        <v>35</v>
      </c>
      <c r="AE22" s="26" t="n">
        <v>35</v>
      </c>
      <c r="AF22" s="26" t="n">
        <v>35</v>
      </c>
      <c r="AG22" s="26" t="n">
        <v>42</v>
      </c>
      <c r="AH22" s="26" t="n">
        <v>42</v>
      </c>
      <c r="AI22" s="26" t="n">
        <v>42</v>
      </c>
      <c r="AJ22" s="26" t="n">
        <v>42</v>
      </c>
      <c r="AK22" s="26" t="n">
        <v>42</v>
      </c>
      <c r="AL22" s="26" t="n">
        <v>42</v>
      </c>
      <c r="AM22" s="26" t="n">
        <v>48</v>
      </c>
      <c r="AN22" s="26" t="n">
        <v>48</v>
      </c>
      <c r="AO22" s="26" t="n">
        <v>48</v>
      </c>
      <c r="AP22" s="26" t="n">
        <v>48</v>
      </c>
      <c r="AQ22" s="26" t="n">
        <v>48</v>
      </c>
      <c r="AR22" s="20">
        <f>+AQ22</f>
        <v>48</v>
      </c>
      <c r="AS22" s="20">
        <f>+AR22</f>
        <v>48</v>
      </c>
      <c r="AT22" s="20">
        <f>+AS22</f>
        <v>48</v>
      </c>
      <c r="AU22" s="26" t="n">
        <v>52</v>
      </c>
      <c r="AV22" s="20">
        <f>+AU22</f>
        <v>52</v>
      </c>
      <c r="AW22" s="20">
        <f>+AV22</f>
        <v>52</v>
      </c>
      <c r="AX22" s="20">
        <f>+AW22</f>
        <v>52</v>
      </c>
      <c r="AY22" s="20">
        <f>+AX22</f>
        <v>52</v>
      </c>
      <c r="AZ22" s="20">
        <f>+AY22</f>
        <v>52</v>
      </c>
      <c r="BA22" s="26" t="n">
        <v>55</v>
      </c>
      <c r="BB22" s="20">
        <f>+BA22</f>
        <v>55</v>
      </c>
      <c r="BC22" s="20">
        <f>+BB22</f>
        <v>55</v>
      </c>
      <c r="BD22" s="20">
        <f>+BC22</f>
        <v>55</v>
      </c>
      <c r="BE22" s="20">
        <f>+BD22</f>
        <v>55</v>
      </c>
      <c r="BF22" s="20">
        <f>+BE22</f>
        <v>55</v>
      </c>
      <c r="BG22" s="20">
        <f>+BF22</f>
        <v>55</v>
      </c>
      <c r="BH22" s="20">
        <f>+BG22</f>
        <v>55</v>
      </c>
      <c r="BI22" s="20">
        <f>+BH22</f>
        <v>55</v>
      </c>
      <c r="BJ22" s="20">
        <f>+BI22</f>
        <v>55</v>
      </c>
      <c r="BK22" s="20">
        <f>+BJ22</f>
        <v>55</v>
      </c>
      <c r="BL22" s="20">
        <f>+BK22</f>
        <v>55</v>
      </c>
      <c r="BM22" s="20">
        <f>+BL22</f>
        <v>55</v>
      </c>
      <c r="BN22" s="20">
        <f>+BM22</f>
        <v>55</v>
      </c>
      <c r="BO22" s="20">
        <f>+BN22</f>
        <v>55</v>
      </c>
      <c r="BP22" s="20">
        <f>+BO22</f>
        <v>55</v>
      </c>
    </row>
    <row r="23">
      <c r="B23" s="3" t="inlineStr">
        <is>
          <t>Workdays</t>
        </is>
      </c>
      <c r="C23" s="20">
        <f>+SUMIFS($I23:$BP23,$I$2:$BP$2,C$3)</f>
        <v>269</v>
      </c>
      <c r="D23" s="20">
        <f>+SUMIFS($I23:$BP23,$I$2:$BP$2,D$3)</f>
        <v>270</v>
      </c>
      <c r="E23" s="20">
        <f>+SUMIFS($I23:$BP23,$I$2:$BP$2,E$3)</f>
        <v>268</v>
      </c>
      <c r="F23" s="20">
        <f>+SUMIFS($I23:$BP23,$I$2:$BP$2,F$3)</f>
        <v>262</v>
      </c>
      <c r="G23" s="20">
        <f>+SUMIFS($I23:$BP23,$I$2:$BP$2,G$3)</f>
        <v>267</v>
      </c>
      <c r="I23" s="20">
        <f>+I9</f>
        <v>23</v>
      </c>
      <c r="J23" s="20">
        <f>+J9</f>
        <v>22</v>
      </c>
      <c r="K23" s="20">
        <f>+K9</f>
        <v>22</v>
      </c>
      <c r="L23" s="20">
        <f>+L9</f>
        <v>22</v>
      </c>
      <c r="M23" s="20">
        <f>+M9</f>
        <v>24</v>
      </c>
      <c r="N23" s="20">
        <f>+N9</f>
        <v>21</v>
      </c>
      <c r="O23" s="20">
        <f>+O9</f>
        <v>23</v>
      </c>
      <c r="P23" s="20">
        <f>+P9</f>
        <v>23</v>
      </c>
      <c r="Q23" s="20">
        <f>+Q9</f>
        <v>21</v>
      </c>
      <c r="R23" s="20">
        <f>+R9</f>
        <v>24</v>
      </c>
      <c r="S23" s="20">
        <f>+S9</f>
        <v>22</v>
      </c>
      <c r="T23" s="20">
        <f>+T9</f>
        <v>22</v>
      </c>
      <c r="U23" s="20">
        <f>+U9</f>
        <v>24</v>
      </c>
      <c r="V23" s="20">
        <f>+V9</f>
        <v>21</v>
      </c>
      <c r="W23" s="20">
        <f>+W9</f>
        <v>22</v>
      </c>
      <c r="X23" s="20">
        <f>+X9</f>
        <v>23</v>
      </c>
      <c r="Y23" s="20">
        <f>+Y9</f>
        <v>23</v>
      </c>
      <c r="Z23" s="20">
        <f>+Z9</f>
        <v>21</v>
      </c>
      <c r="AA23" s="20">
        <f>+AA9</f>
        <v>24</v>
      </c>
      <c r="AB23" s="20">
        <f>+AB9</f>
        <v>22</v>
      </c>
      <c r="AC23" s="20">
        <f>+AC9</f>
        <v>22</v>
      </c>
      <c r="AD23" s="20">
        <f>+AD9</f>
        <v>24</v>
      </c>
      <c r="AE23" s="20">
        <f>+AE9</f>
        <v>21</v>
      </c>
      <c r="AF23" s="20">
        <f>+AF9</f>
        <v>23</v>
      </c>
      <c r="AG23" s="20">
        <f>+AG9</f>
        <v>23</v>
      </c>
      <c r="AH23" s="20">
        <f>+AH9</f>
        <v>20</v>
      </c>
      <c r="AI23" s="20">
        <f>+AI9</f>
        <v>22</v>
      </c>
      <c r="AJ23" s="20">
        <f>+AJ9</f>
        <v>23</v>
      </c>
      <c r="AK23" s="20">
        <f>+AK9</f>
        <v>22</v>
      </c>
      <c r="AL23" s="20">
        <f>+AL9</f>
        <v>22</v>
      </c>
      <c r="AM23" s="20">
        <f>+AM9</f>
        <v>24</v>
      </c>
      <c r="AN23" s="20">
        <f>+AN9</f>
        <v>22</v>
      </c>
      <c r="AO23" s="20">
        <f>+AO9</f>
        <v>23</v>
      </c>
      <c r="AP23" s="20">
        <f>+AP9</f>
        <v>23</v>
      </c>
      <c r="AQ23" s="20">
        <f>+AQ9</f>
        <v>21</v>
      </c>
      <c r="AR23" s="20">
        <f>+AR9</f>
        <v>23</v>
      </c>
      <c r="AS23" s="20">
        <f>+AS9</f>
        <v>21</v>
      </c>
      <c r="AT23" s="20">
        <f>+AT9</f>
        <v>20</v>
      </c>
      <c r="AU23" s="20">
        <f>+AU9</f>
        <v>23</v>
      </c>
      <c r="AV23" s="20">
        <f>+AV9</f>
        <v>23</v>
      </c>
      <c r="AW23" s="20">
        <f>+AW9</f>
        <v>21</v>
      </c>
      <c r="AX23" s="20">
        <f>+AX9</f>
        <v>22</v>
      </c>
      <c r="AY23" s="20">
        <f>+AY9</f>
        <v>22</v>
      </c>
      <c r="AZ23" s="20">
        <f>+AZ9</f>
        <v>22</v>
      </c>
      <c r="BA23" s="20">
        <f>+BA9</f>
        <v>22</v>
      </c>
      <c r="BB23" s="20">
        <f>+BB9</f>
        <v>22</v>
      </c>
      <c r="BC23" s="20">
        <f>+BC9</f>
        <v>21</v>
      </c>
      <c r="BD23" s="20">
        <f>+BD9</f>
        <v>23</v>
      </c>
      <c r="BE23" s="20">
        <f>+BE9</f>
        <v>22</v>
      </c>
      <c r="BF23" s="20">
        <f>+BF9</f>
        <v>22</v>
      </c>
      <c r="BG23" s="20">
        <f>+BG9</f>
        <v>24</v>
      </c>
      <c r="BH23" s="20">
        <f>+BH9</f>
        <v>21</v>
      </c>
      <c r="BI23" s="20">
        <f>+BI9</f>
        <v>22</v>
      </c>
      <c r="BJ23" s="20">
        <f>+BJ9</f>
        <v>23</v>
      </c>
      <c r="BK23" s="20">
        <f>+BK9</f>
        <v>21</v>
      </c>
      <c r="BL23" s="20">
        <f>+BL9</f>
        <v>24</v>
      </c>
      <c r="BM23" s="20">
        <f>+BM9</f>
        <v>22</v>
      </c>
      <c r="BN23" s="20">
        <f>+BN9</f>
        <v>22</v>
      </c>
      <c r="BO23" s="20">
        <f>+BO9</f>
        <v>22</v>
      </c>
      <c r="BP23" s="20">
        <f>+BP9</f>
        <v>22</v>
      </c>
    </row>
    <row r="24">
      <c r="B24" s="3" t="inlineStr">
        <is>
          <t>Accessions</t>
        </is>
      </c>
      <c r="C24" s="20">
        <f>+SUMIFS($I24:$BP24,$I$2:$BP$2,C$3)</f>
        <v>0</v>
      </c>
      <c r="D24" s="20">
        <f>+SUMIFS($I24:$BP24,$I$2:$BP$2,D$3)</f>
        <v>5085</v>
      </c>
      <c r="E24" s="20">
        <f>+SUMIFS($I24:$BP24,$I$2:$BP$2,E$3)</f>
        <v>12072</v>
      </c>
      <c r="F24" s="20">
        <f>+SUMIFS($I24:$BP24,$I$2:$BP$2,F$3)</f>
        <v>13724</v>
      </c>
      <c r="G24" s="20">
        <f>+SUMIFS($I24:$BP24,$I$2:$BP$2,G$3)</f>
        <v>14685</v>
      </c>
      <c r="I24" s="20">
        <f>+I22*I23</f>
        <v>0</v>
      </c>
      <c r="J24" s="20">
        <f>+J22*J23</f>
        <v>0</v>
      </c>
      <c r="K24" s="20">
        <f>+K22*K23</f>
        <v>0</v>
      </c>
      <c r="L24" s="20">
        <f>+L22*L23</f>
        <v>0</v>
      </c>
      <c r="M24" s="20">
        <f>+M22*M23</f>
        <v>0</v>
      </c>
      <c r="N24" s="20">
        <f>+N22*N23</f>
        <v>0</v>
      </c>
      <c r="O24" s="20">
        <f>+O22*O23</f>
        <v>0</v>
      </c>
      <c r="P24" s="20">
        <f>+P22*P23</f>
        <v>0</v>
      </c>
      <c r="Q24" s="20">
        <f>+Q22*Q23</f>
        <v>0</v>
      </c>
      <c r="R24" s="20">
        <f>+R22*R23</f>
        <v>0</v>
      </c>
      <c r="S24" s="20">
        <f>+S22*S23</f>
        <v>0</v>
      </c>
      <c r="T24" s="20">
        <f>+T22*T23</f>
        <v>0</v>
      </c>
      <c r="U24" s="20">
        <f>+U22*U23</f>
        <v>0</v>
      </c>
      <c r="V24" s="20">
        <f>+V22*V23</f>
        <v>0</v>
      </c>
      <c r="W24" s="20">
        <f>+W22*W23</f>
        <v>0</v>
      </c>
      <c r="X24" s="20">
        <f>+X22*X23</f>
        <v>345</v>
      </c>
      <c r="Y24" s="20">
        <f>+Y22*Y23</f>
        <v>345</v>
      </c>
      <c r="Z24" s="20">
        <f>+Z22*Z23</f>
        <v>315</v>
      </c>
      <c r="AA24" s="20">
        <f>+AA22*AA23</f>
        <v>600</v>
      </c>
      <c r="AB24" s="20">
        <f>+AB22*AB23</f>
        <v>550</v>
      </c>
      <c r="AC24" s="20">
        <f>+AC22*AC23</f>
        <v>550</v>
      </c>
      <c r="AD24" s="20">
        <f>+AD22*AD23</f>
        <v>840</v>
      </c>
      <c r="AE24" s="20">
        <f>+AE22*AE23</f>
        <v>735</v>
      </c>
      <c r="AF24" s="20">
        <f>+AF22*AF23</f>
        <v>805</v>
      </c>
      <c r="AG24" s="20">
        <f>+AG22*AG23</f>
        <v>966</v>
      </c>
      <c r="AH24" s="20">
        <f>+AH22*AH23</f>
        <v>840</v>
      </c>
      <c r="AI24" s="20">
        <f>+AI22*AI23</f>
        <v>924</v>
      </c>
      <c r="AJ24" s="20">
        <f>+AJ22*AJ23</f>
        <v>966</v>
      </c>
      <c r="AK24" s="20">
        <f>+AK22*AK23</f>
        <v>924</v>
      </c>
      <c r="AL24" s="20">
        <f>+AL22*AL23</f>
        <v>924</v>
      </c>
      <c r="AM24" s="20">
        <f>+AM22*AM23</f>
        <v>1152</v>
      </c>
      <c r="AN24" s="20">
        <f>+AN22*AN23</f>
        <v>1056</v>
      </c>
      <c r="AO24" s="20">
        <f>+AO22*AO23</f>
        <v>1104</v>
      </c>
      <c r="AP24" s="20">
        <f>+AP22*AP23</f>
        <v>1104</v>
      </c>
      <c r="AQ24" s="20">
        <f>+AQ22*AQ23</f>
        <v>1008</v>
      </c>
      <c r="AR24" s="20">
        <f>+ROUND(AR22*AR23,0)</f>
        <v>1104</v>
      </c>
      <c r="AS24" s="20">
        <f>+ROUND(AS22*AS23,0)</f>
        <v>1008</v>
      </c>
      <c r="AT24" s="20">
        <f>+ROUND(AT22*AT23,0)</f>
        <v>960</v>
      </c>
      <c r="AU24" s="20">
        <f>+ROUND(AU22*AU23,0)</f>
        <v>1196</v>
      </c>
      <c r="AV24" s="20">
        <f>+ROUND(AV22*AV23,0)</f>
        <v>1196</v>
      </c>
      <c r="AW24" s="20">
        <f>+ROUND(AW22*AW23,0)</f>
        <v>1092</v>
      </c>
      <c r="AX24" s="20">
        <f>+ROUND(AX22*AX23,0)</f>
        <v>1144</v>
      </c>
      <c r="AY24" s="20">
        <f>+ROUND(AY22*AY23,0)</f>
        <v>1144</v>
      </c>
      <c r="AZ24" s="20">
        <f>+ROUND(AZ22*AZ23,0)</f>
        <v>1144</v>
      </c>
      <c r="BA24" s="20">
        <f>+ROUND(BA22*BA23,0)</f>
        <v>1210</v>
      </c>
      <c r="BB24" s="20">
        <f>+ROUND(BB22*BB23,0)</f>
        <v>1210</v>
      </c>
      <c r="BC24" s="20">
        <f>+ROUND(BC22*BC23,0)</f>
        <v>1155</v>
      </c>
      <c r="BD24" s="20">
        <f>+ROUND(BD22*BD23,0)</f>
        <v>1265</v>
      </c>
      <c r="BE24" s="20">
        <f>+ROUND(BE22*BE23,0)</f>
        <v>1210</v>
      </c>
      <c r="BF24" s="20">
        <f>+ROUND(BF22*BF23,0)</f>
        <v>1210</v>
      </c>
      <c r="BG24" s="20">
        <f>+ROUND(BG22*BG23,0)</f>
        <v>1320</v>
      </c>
      <c r="BH24" s="20">
        <f>+ROUND(BH22*BH23,0)</f>
        <v>1155</v>
      </c>
      <c r="BI24" s="20">
        <f>+ROUND(BI22*BI23,0)</f>
        <v>1210</v>
      </c>
      <c r="BJ24" s="20">
        <f>+ROUND(BJ22*BJ23,0)</f>
        <v>1265</v>
      </c>
      <c r="BK24" s="20">
        <f>+ROUND(BK22*BK23,0)</f>
        <v>1155</v>
      </c>
      <c r="BL24" s="20">
        <f>+ROUND(BL22*BL23,0)</f>
        <v>1320</v>
      </c>
      <c r="BM24" s="20">
        <f>+ROUND(BM22*BM23,0)</f>
        <v>1210</v>
      </c>
      <c r="BN24" s="20">
        <f>+ROUND(BN22*BN23,0)</f>
        <v>1210</v>
      </c>
      <c r="BO24" s="20">
        <f>+ROUND(BO22*BO23,0)</f>
        <v>1210</v>
      </c>
      <c r="BP24" s="20">
        <f>+ROUND(BP22*BP23,0)</f>
        <v>1210</v>
      </c>
    </row>
    <row r="26">
      <c r="B26" s="3" t="inlineStr">
        <is>
          <t>$ per Accession</t>
        </is>
      </c>
      <c r="C26" s="13">
        <f>+IFERROR(C28/C24,)</f>
        <v>0</v>
      </c>
      <c r="D26" s="13">
        <f>+IFERROR(D28/D24,)</f>
        <v>99</v>
      </c>
      <c r="E26" s="13">
        <f>+IFERROR(E28/E24,)</f>
        <v>102</v>
      </c>
      <c r="F26" s="13">
        <f>+IFERROR(F28/F24,)</f>
        <v>102</v>
      </c>
      <c r="G26" s="13">
        <f>+IFERROR(G28/G24,)</f>
        <v>104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3" t="n">
        <v>0</v>
      </c>
      <c r="R26" s="33" t="n">
        <v>0</v>
      </c>
      <c r="S26" s="33" t="n">
        <v>0</v>
      </c>
      <c r="T26" s="33" t="n">
        <v>0</v>
      </c>
      <c r="U26" s="33" t="n">
        <v>0</v>
      </c>
      <c r="V26" s="33" t="n">
        <v>0</v>
      </c>
      <c r="W26" s="33" t="n">
        <v>0</v>
      </c>
      <c r="X26" s="33" t="n">
        <v>99</v>
      </c>
      <c r="Y26" s="33" t="n">
        <v>99</v>
      </c>
      <c r="Z26" s="33" t="n">
        <v>99</v>
      </c>
      <c r="AA26" s="33" t="n">
        <v>99</v>
      </c>
      <c r="AB26" s="33" t="n">
        <v>99</v>
      </c>
      <c r="AC26" s="33" t="n">
        <v>99</v>
      </c>
      <c r="AD26" s="33" t="n">
        <v>99</v>
      </c>
      <c r="AE26" s="33" t="n">
        <v>99</v>
      </c>
      <c r="AF26" s="33" t="n">
        <v>99</v>
      </c>
      <c r="AG26" s="33" t="n">
        <v>102</v>
      </c>
      <c r="AH26" s="33" t="n">
        <v>102</v>
      </c>
      <c r="AI26" s="33" t="n">
        <v>102</v>
      </c>
      <c r="AJ26" s="33" t="n">
        <v>102</v>
      </c>
      <c r="AK26" s="33" t="n">
        <v>102</v>
      </c>
      <c r="AL26" s="33" t="n">
        <v>102</v>
      </c>
      <c r="AM26" s="33" t="n">
        <v>102</v>
      </c>
      <c r="AN26" s="33" t="n">
        <v>102</v>
      </c>
      <c r="AO26" s="33" t="n">
        <v>102</v>
      </c>
      <c r="AP26" s="33" t="n">
        <v>102</v>
      </c>
      <c r="AQ26" s="33" t="n">
        <v>102</v>
      </c>
      <c r="AR26" s="13">
        <f>+AQ26</f>
        <v>102</v>
      </c>
      <c r="AS26" s="13">
        <f>+AR26</f>
        <v>102</v>
      </c>
      <c r="AT26" s="13">
        <f>+AS26</f>
        <v>102</v>
      </c>
      <c r="AU26" s="13">
        <f>+AT26</f>
        <v>102</v>
      </c>
      <c r="AV26" s="13">
        <f>+AU26</f>
        <v>102</v>
      </c>
      <c r="AW26" s="13">
        <f>+AV26</f>
        <v>102</v>
      </c>
      <c r="AX26" s="13">
        <f>+AW26</f>
        <v>102</v>
      </c>
      <c r="AY26" s="13">
        <f>+AX26</f>
        <v>102</v>
      </c>
      <c r="AZ26" s="13">
        <f>+AY26</f>
        <v>102</v>
      </c>
      <c r="BA26" s="13">
        <f>+AZ26</f>
        <v>102</v>
      </c>
      <c r="BB26" s="13">
        <f>+BA26</f>
        <v>102</v>
      </c>
      <c r="BC26" s="13">
        <f>+BB26</f>
        <v>102</v>
      </c>
      <c r="BD26" s="13">
        <f>+BC26</f>
        <v>102</v>
      </c>
      <c r="BE26" s="33" t="n">
        <v>104</v>
      </c>
      <c r="BF26" s="13">
        <f>+BE26</f>
        <v>104</v>
      </c>
      <c r="BG26" s="13">
        <f>+BF26</f>
        <v>104</v>
      </c>
      <c r="BH26" s="13">
        <f>+BG26</f>
        <v>104</v>
      </c>
      <c r="BI26" s="13">
        <f>+BH26</f>
        <v>104</v>
      </c>
      <c r="BJ26" s="13">
        <f>+BI26</f>
        <v>104</v>
      </c>
      <c r="BK26" s="13">
        <f>+BJ26</f>
        <v>104</v>
      </c>
      <c r="BL26" s="13">
        <f>+BK26</f>
        <v>104</v>
      </c>
      <c r="BM26" s="13">
        <f>+BL26</f>
        <v>104</v>
      </c>
      <c r="BN26" s="13">
        <f>+BM26</f>
        <v>104</v>
      </c>
      <c r="BO26" s="13">
        <f>+BN26</f>
        <v>104</v>
      </c>
      <c r="BP26" s="13">
        <f>+BO26</f>
        <v>104</v>
      </c>
    </row>
    <row r="28">
      <c r="B28" s="3" t="inlineStr">
        <is>
          <t>Adj. Net Revenue</t>
        </is>
      </c>
      <c r="C28" s="20">
        <f>+SUMIFS($I28:$BP28,$I$2:$BP$2,C$3)</f>
        <v>0</v>
      </c>
      <c r="D28" s="20">
        <f>+SUMIFS($I28:$BP28,$I$2:$BP$2,D$3)</f>
        <v>503415</v>
      </c>
      <c r="E28" s="20">
        <f>+SUMIFS($I28:$BP28,$I$2:$BP$2,E$3)</f>
        <v>1231344</v>
      </c>
      <c r="F28" s="20">
        <f>+SUMIFS($I28:$BP28,$I$2:$BP$2,F$3)</f>
        <v>1399848</v>
      </c>
      <c r="G28" s="20">
        <f>+SUMIFS($I28:$BP28,$I$2:$BP$2,G$3)</f>
        <v>1527240</v>
      </c>
      <c r="I28" s="20">
        <f>+I24*I26</f>
        <v>0</v>
      </c>
      <c r="J28" s="20">
        <f>+J24*J26</f>
        <v>0</v>
      </c>
      <c r="K28" s="20">
        <f>+K24*K26</f>
        <v>0</v>
      </c>
      <c r="L28" s="20">
        <f>+L24*L26</f>
        <v>0</v>
      </c>
      <c r="M28" s="20">
        <f>+M24*M26</f>
        <v>0</v>
      </c>
      <c r="N28" s="20">
        <f>+N24*N26</f>
        <v>0</v>
      </c>
      <c r="O28" s="20">
        <f>+O24*O26</f>
        <v>0</v>
      </c>
      <c r="P28" s="20">
        <f>+P24*P26</f>
        <v>0</v>
      </c>
      <c r="Q28" s="20">
        <f>+Q24*Q26</f>
        <v>0</v>
      </c>
      <c r="R28" s="20">
        <f>+R24*R26</f>
        <v>0</v>
      </c>
      <c r="S28" s="20">
        <f>+S24*S26</f>
        <v>0</v>
      </c>
      <c r="T28" s="20">
        <f>+T24*T26</f>
        <v>0</v>
      </c>
      <c r="U28" s="20">
        <f>+U24*U26</f>
        <v>0</v>
      </c>
      <c r="V28" s="20">
        <f>+V24*V26</f>
        <v>0</v>
      </c>
      <c r="W28" s="20">
        <f>+W24*W26</f>
        <v>0</v>
      </c>
      <c r="X28" s="20">
        <f>+X24*X26</f>
        <v>34155</v>
      </c>
      <c r="Y28" s="20">
        <f>+Y24*Y26</f>
        <v>34155</v>
      </c>
      <c r="Z28" s="20">
        <f>+Z24*Z26</f>
        <v>31185</v>
      </c>
      <c r="AA28" s="20">
        <f>+AA24*AA26</f>
        <v>59400</v>
      </c>
      <c r="AB28" s="20">
        <f>+AB24*AB26</f>
        <v>54450</v>
      </c>
      <c r="AC28" s="20">
        <f>+AC24*AC26</f>
        <v>54450</v>
      </c>
      <c r="AD28" s="20">
        <f>+AD24*AD26</f>
        <v>83160</v>
      </c>
      <c r="AE28" s="20">
        <f>+AE24*AE26</f>
        <v>72765</v>
      </c>
      <c r="AF28" s="20">
        <f>+AF24*AF26</f>
        <v>79695</v>
      </c>
      <c r="AG28" s="20">
        <f>+AG24*AG26</f>
        <v>98532</v>
      </c>
      <c r="AH28" s="20">
        <f>+AH24*AH26</f>
        <v>85680</v>
      </c>
      <c r="AI28" s="20">
        <f>+AI24*AI26</f>
        <v>94248</v>
      </c>
      <c r="AJ28" s="20">
        <f>+AJ24*AJ26</f>
        <v>98532</v>
      </c>
      <c r="AK28" s="20">
        <f>+AK24*AK26</f>
        <v>94248</v>
      </c>
      <c r="AL28" s="20">
        <f>+AL24*AL26</f>
        <v>94248</v>
      </c>
      <c r="AM28" s="20">
        <f>+AM24*AM26</f>
        <v>117504</v>
      </c>
      <c r="AN28" s="20">
        <f>+AN24*AN26</f>
        <v>107712</v>
      </c>
      <c r="AO28" s="20">
        <f>+AO24*AO26</f>
        <v>112608</v>
      </c>
      <c r="AP28" s="20">
        <f>+AP24*AP26</f>
        <v>112608</v>
      </c>
      <c r="AQ28" s="20">
        <f>+AQ24*AQ26</f>
        <v>102816</v>
      </c>
      <c r="AR28" s="20">
        <f>+AR24*AR26</f>
        <v>112608</v>
      </c>
      <c r="AS28" s="20">
        <f>+AS24*AS26</f>
        <v>102816</v>
      </c>
      <c r="AT28" s="20">
        <f>+AT24*AT26</f>
        <v>97920</v>
      </c>
      <c r="AU28" s="20">
        <f>+AU24*AU26</f>
        <v>121992</v>
      </c>
      <c r="AV28" s="20">
        <f>+AV24*AV26</f>
        <v>121992</v>
      </c>
      <c r="AW28" s="20">
        <f>+AW24*AW26</f>
        <v>111384</v>
      </c>
      <c r="AX28" s="20">
        <f>+AX24*AX26</f>
        <v>116688</v>
      </c>
      <c r="AY28" s="20">
        <f>+AY24*AY26</f>
        <v>116688</v>
      </c>
      <c r="AZ28" s="20">
        <f>+AZ24*AZ26</f>
        <v>116688</v>
      </c>
      <c r="BA28" s="20">
        <f>+BA24*BA26</f>
        <v>123420</v>
      </c>
      <c r="BB28" s="20">
        <f>+BB24*BB26</f>
        <v>123420</v>
      </c>
      <c r="BC28" s="20">
        <f>+BC24*BC26</f>
        <v>117810</v>
      </c>
      <c r="BD28" s="20">
        <f>+BD24*BD26</f>
        <v>129030</v>
      </c>
      <c r="BE28" s="20">
        <f>+BE24*BE26</f>
        <v>125840</v>
      </c>
      <c r="BF28" s="20">
        <f>+BF24*BF26</f>
        <v>125840</v>
      </c>
      <c r="BG28" s="20">
        <f>+BG24*BG26</f>
        <v>137280</v>
      </c>
      <c r="BH28" s="20">
        <f>+BH24*BH26</f>
        <v>120120</v>
      </c>
      <c r="BI28" s="20">
        <f>+BI24*BI26</f>
        <v>125840</v>
      </c>
      <c r="BJ28" s="20">
        <f>+BJ24*BJ26</f>
        <v>131560</v>
      </c>
      <c r="BK28" s="20">
        <f>+BK24*BK26</f>
        <v>120120</v>
      </c>
      <c r="BL28" s="20">
        <f>+BL24*BL26</f>
        <v>137280</v>
      </c>
      <c r="BM28" s="20">
        <f>+BM24*BM26</f>
        <v>125840</v>
      </c>
      <c r="BN28" s="20">
        <f>+BN24*BN26</f>
        <v>125840</v>
      </c>
      <c r="BO28" s="20">
        <f>+BO24*BO26</f>
        <v>125840</v>
      </c>
      <c r="BP28" s="20">
        <f>+BP24*BP26</f>
        <v>125840</v>
      </c>
    </row>
    <row r="30">
      <c r="A30" s="9" t="inlineStr">
        <is>
          <t>New Sales Team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</row>
    <row r="31">
      <c r="B31" s="3" t="inlineStr">
        <is>
          <t>New Sales Hires (expected Mar-27)</t>
        </is>
      </c>
      <c r="AU31" s="26" t="n">
        <v>2</v>
      </c>
      <c r="AV31" s="20">
        <f>+AU31</f>
        <v>2</v>
      </c>
      <c r="AW31" s="20">
        <f>+AV31</f>
        <v>2</v>
      </c>
      <c r="AX31" s="26" t="n">
        <v>3</v>
      </c>
      <c r="AY31" s="20">
        <f>+AX31</f>
        <v>3</v>
      </c>
      <c r="AZ31" s="20">
        <f>+AY31</f>
        <v>3</v>
      </c>
      <c r="BA31" s="26" t="n">
        <v>4</v>
      </c>
      <c r="BB31" s="20">
        <f>+BA31</f>
        <v>4</v>
      </c>
      <c r="BC31" s="20">
        <f>+BB31</f>
        <v>4</v>
      </c>
      <c r="BD31" s="20">
        <f>+BC31</f>
        <v>4</v>
      </c>
      <c r="BE31" s="20">
        <f>+BD31</f>
        <v>4</v>
      </c>
      <c r="BF31" s="20">
        <f>+BE31</f>
        <v>4</v>
      </c>
      <c r="BG31" s="20">
        <f>+BF31</f>
        <v>4</v>
      </c>
      <c r="BH31" s="20">
        <f>+BG31</f>
        <v>4</v>
      </c>
      <c r="BI31" s="20">
        <f>+BH31</f>
        <v>4</v>
      </c>
      <c r="BJ31" s="20">
        <f>+BI31</f>
        <v>4</v>
      </c>
      <c r="BK31" s="20">
        <f>+BJ31</f>
        <v>4</v>
      </c>
      <c r="BL31" s="20">
        <f>+BK31</f>
        <v>4</v>
      </c>
      <c r="BM31" s="20">
        <f>+BL31</f>
        <v>4</v>
      </c>
      <c r="BN31" s="20">
        <f>+BM31</f>
        <v>4</v>
      </c>
      <c r="BO31" s="20">
        <f>+BN31</f>
        <v>4</v>
      </c>
      <c r="BP31" s="20">
        <f>+BO31</f>
        <v>4</v>
      </c>
    </row>
    <row r="32">
      <c r="B32" s="3" t="inlineStr">
        <is>
          <t>Accessions per Workday</t>
        </is>
      </c>
      <c r="C32" s="27">
        <f>+IFERROR(C34/C33,)</f>
        <v>0</v>
      </c>
      <c r="D32" s="27">
        <f>+IFERROR(D34/D33,)</f>
        <v>0</v>
      </c>
      <c r="E32" s="27">
        <f>+IFERROR(E34/E33,)</f>
        <v>0</v>
      </c>
      <c r="F32" s="27">
        <f>+IFERROR(F34/F33,)</f>
        <v>54.7963800904977</v>
      </c>
      <c r="G32" s="27">
        <f>+IFERROR(G34/G33,)</f>
        <v>119.176029962547</v>
      </c>
      <c r="AU32" s="29" t="n">
        <v>10</v>
      </c>
      <c r="AV32" s="27">
        <f>+$AU32+((COLUMN()-COLUMN($AU32))/(COLUMN($BF32)-COLUMN($AU32)))*($BF32-$AU32)</f>
        <v>20</v>
      </c>
      <c r="AW32" s="27">
        <f>+$AU32+((COLUMN()-COLUMN($AU32))/(COLUMN($BF32)-COLUMN($AU32)))*($BF32-$AU32)</f>
        <v>30</v>
      </c>
      <c r="AX32" s="27">
        <f>+$AU32+((COLUMN()-COLUMN($AU32))/(COLUMN($BF32)-COLUMN($AU32)))*($BF32-$AU32)</f>
        <v>40</v>
      </c>
      <c r="AY32" s="27">
        <f>+$AU32+((COLUMN()-COLUMN($AU32))/(COLUMN($BF32)-COLUMN($AU32)))*($BF32-$AU32)</f>
        <v>50</v>
      </c>
      <c r="AZ32" s="27">
        <f>+$AU32+((COLUMN()-COLUMN($AU32))/(COLUMN($BF32)-COLUMN($AU32)))*($BF32-$AU32)</f>
        <v>60</v>
      </c>
      <c r="BA32" s="27">
        <f>+$AU32+((COLUMN()-COLUMN($AU32))/(COLUMN($BF32)-COLUMN($AU32)))*($BF32-$AU32)</f>
        <v>70</v>
      </c>
      <c r="BB32" s="27">
        <f>+$AU32+((COLUMN()-COLUMN($AU32))/(COLUMN($BF32)-COLUMN($AU32)))*($BF32-$AU32)</f>
        <v>80</v>
      </c>
      <c r="BC32" s="27">
        <f>+$AU32+((COLUMN()-COLUMN($AU32))/(COLUMN($BF32)-COLUMN($AU32)))*($BF32-$AU32)</f>
        <v>90</v>
      </c>
      <c r="BD32" s="27">
        <f>+$AU32+((COLUMN()-COLUMN($AU32))/(COLUMN($BF32)-COLUMN($AU32)))*($BF32-$AU32)</f>
        <v>100</v>
      </c>
      <c r="BE32" s="27">
        <f>+$AU32+((COLUMN()-COLUMN($AU32))/(COLUMN($BF32)-COLUMN($AU32)))*($BF32-$AU32)</f>
        <v>110</v>
      </c>
      <c r="BF32" s="29" t="n">
        <v>120</v>
      </c>
      <c r="BG32" s="27">
        <f>+BF32</f>
        <v>120</v>
      </c>
      <c r="BH32" s="27">
        <f>+BG32</f>
        <v>120</v>
      </c>
      <c r="BI32" s="27">
        <f>+BH32</f>
        <v>120</v>
      </c>
      <c r="BJ32" s="27">
        <f>+BI32</f>
        <v>120</v>
      </c>
      <c r="BK32" s="27">
        <f>+BJ32</f>
        <v>120</v>
      </c>
      <c r="BL32" s="27">
        <f>+BK32</f>
        <v>120</v>
      </c>
      <c r="BM32" s="27">
        <f>+BL32</f>
        <v>120</v>
      </c>
      <c r="BN32" s="27">
        <f>+BM32</f>
        <v>120</v>
      </c>
      <c r="BO32" s="27">
        <f>+BN32</f>
        <v>120</v>
      </c>
      <c r="BP32" s="27">
        <f>+BO32</f>
        <v>120</v>
      </c>
    </row>
    <row r="33">
      <c r="B33" s="3" t="inlineStr">
        <is>
          <t>Workdays</t>
        </is>
      </c>
      <c r="C33" s="20">
        <f>+SUMIFS($I33:$BP33,$I$2:$BP$2,C$3)</f>
        <v>0</v>
      </c>
      <c r="D33" s="20">
        <f>+SUMIFS($I33:$BP33,$I$2:$BP$2,D$3)</f>
        <v>0</v>
      </c>
      <c r="E33" s="20">
        <f>+SUMIFS($I33:$BP33,$I$2:$BP$2,E$3)</f>
        <v>0</v>
      </c>
      <c r="F33" s="20">
        <f>+SUMIFS($I33:$BP33,$I$2:$BP$2,F$3)</f>
        <v>221</v>
      </c>
      <c r="G33" s="20">
        <f>+SUMIFS($I33:$BP33,$I$2:$BP$2,G$3)</f>
        <v>267</v>
      </c>
      <c r="AU33" s="20">
        <f>+AU9</f>
        <v>23</v>
      </c>
      <c r="AV33" s="20">
        <f>+AV9</f>
        <v>23</v>
      </c>
      <c r="AW33" s="20">
        <f>+AW9</f>
        <v>21</v>
      </c>
      <c r="AX33" s="20">
        <f>+AX9</f>
        <v>22</v>
      </c>
      <c r="AY33" s="20">
        <f>+AY9</f>
        <v>22</v>
      </c>
      <c r="AZ33" s="20">
        <f>+AZ9</f>
        <v>22</v>
      </c>
      <c r="BA33" s="20">
        <f>+BA9</f>
        <v>22</v>
      </c>
      <c r="BB33" s="20">
        <f>+BB9</f>
        <v>22</v>
      </c>
      <c r="BC33" s="20">
        <f>+BC9</f>
        <v>21</v>
      </c>
      <c r="BD33" s="20">
        <f>+BD9</f>
        <v>23</v>
      </c>
      <c r="BE33" s="20">
        <f>+BE9</f>
        <v>22</v>
      </c>
      <c r="BF33" s="20">
        <f>+BF9</f>
        <v>22</v>
      </c>
      <c r="BG33" s="20">
        <f>+BG9</f>
        <v>24</v>
      </c>
      <c r="BH33" s="20">
        <f>+BH9</f>
        <v>21</v>
      </c>
      <c r="BI33" s="20">
        <f>+BI9</f>
        <v>22</v>
      </c>
      <c r="BJ33" s="20">
        <f>+BJ9</f>
        <v>23</v>
      </c>
      <c r="BK33" s="20">
        <f>+BK9</f>
        <v>21</v>
      </c>
      <c r="BL33" s="20">
        <f>+BL9</f>
        <v>24</v>
      </c>
      <c r="BM33" s="20">
        <f>+BM9</f>
        <v>22</v>
      </c>
      <c r="BN33" s="20">
        <f>+BN9</f>
        <v>22</v>
      </c>
      <c r="BO33" s="20">
        <f>+BO9</f>
        <v>22</v>
      </c>
      <c r="BP33" s="20">
        <f>+BP9</f>
        <v>22</v>
      </c>
    </row>
    <row r="34">
      <c r="B34" s="3" t="inlineStr">
        <is>
          <t>Accessions</t>
        </is>
      </c>
      <c r="C34" s="20">
        <f>+SUMIFS($I34:$BP34,$I$2:$BP$2,C$3)</f>
        <v>0</v>
      </c>
      <c r="D34" s="20">
        <f>+SUMIFS($I34:$BP34,$I$2:$BP$2,D$3)</f>
        <v>0</v>
      </c>
      <c r="E34" s="20">
        <f>+SUMIFS($I34:$BP34,$I$2:$BP$2,E$3)</f>
        <v>0</v>
      </c>
      <c r="F34" s="20">
        <f>+SUMIFS($I34:$BP34,$I$2:$BP$2,F$3)</f>
        <v>12110</v>
      </c>
      <c r="G34" s="20">
        <f>+SUMIFS($I34:$BP34,$I$2:$BP$2,G$3)</f>
        <v>31820</v>
      </c>
      <c r="AU34" s="20">
        <f>+ROUND(AU32*AU33,0)</f>
        <v>230</v>
      </c>
      <c r="AV34" s="20">
        <f>+ROUND(AV32*AV33,0)</f>
        <v>460</v>
      </c>
      <c r="AW34" s="20">
        <f>+ROUND(AW32*AW33,0)</f>
        <v>630</v>
      </c>
      <c r="AX34" s="20">
        <f>+ROUND(AX32*AX33,0)</f>
        <v>880</v>
      </c>
      <c r="AY34" s="20">
        <f>+ROUND(AY32*AY33,0)</f>
        <v>1100</v>
      </c>
      <c r="AZ34" s="20">
        <f>+ROUND(AZ32*AZ33,0)</f>
        <v>1320</v>
      </c>
      <c r="BA34" s="20">
        <f>+ROUND(BA32*BA33,0)</f>
        <v>1540</v>
      </c>
      <c r="BB34" s="20">
        <f>+ROUND(BB32*BB33,0)</f>
        <v>1760</v>
      </c>
      <c r="BC34" s="20">
        <f>+ROUND(BC32*BC33,0)</f>
        <v>1890</v>
      </c>
      <c r="BD34" s="20">
        <f>+ROUND(BD32*BD33,0)</f>
        <v>2300</v>
      </c>
      <c r="BE34" s="20">
        <f>+ROUND(BE32*BE33,0)</f>
        <v>2420</v>
      </c>
      <c r="BF34" s="20">
        <f>+ROUND(BF32*BF33,0)</f>
        <v>2640</v>
      </c>
      <c r="BG34" s="20">
        <f>+ROUND(BG32*BG33,0)</f>
        <v>2880</v>
      </c>
      <c r="BH34" s="20">
        <f>+ROUND(BH32*BH33,0)</f>
        <v>2520</v>
      </c>
      <c r="BI34" s="20">
        <f>+ROUND(BI32*BI33,0)</f>
        <v>2640</v>
      </c>
      <c r="BJ34" s="20">
        <f>+ROUND(BJ32*BJ33,0)</f>
        <v>2760</v>
      </c>
      <c r="BK34" s="20">
        <f>+ROUND(BK32*BK33,0)</f>
        <v>2520</v>
      </c>
      <c r="BL34" s="20">
        <f>+ROUND(BL32*BL33,0)</f>
        <v>2880</v>
      </c>
      <c r="BM34" s="20">
        <f>+ROUND(BM32*BM33,0)</f>
        <v>2640</v>
      </c>
      <c r="BN34" s="20">
        <f>+ROUND(BN32*BN33,0)</f>
        <v>2640</v>
      </c>
      <c r="BO34" s="20">
        <f>+ROUND(BO32*BO33,0)</f>
        <v>2640</v>
      </c>
      <c r="BP34" s="20">
        <f>+ROUND(BP32*BP33,0)</f>
        <v>2640</v>
      </c>
    </row>
    <row r="36">
      <c r="B36" s="3" t="inlineStr">
        <is>
          <t>$ per Accession</t>
        </is>
      </c>
      <c r="C36" s="13">
        <f>+IFERROR(C38/C34,)</f>
        <v>0</v>
      </c>
      <c r="D36" s="13">
        <f>+IFERROR(D38/D34,)</f>
        <v>0</v>
      </c>
      <c r="E36" s="13">
        <f>+IFERROR(E38/E34,)</f>
        <v>0</v>
      </c>
      <c r="F36" s="13">
        <f>+IFERROR(F38/F34,)</f>
        <v>112</v>
      </c>
      <c r="G36" s="13">
        <f>+IFERROR(G38/G34,)</f>
        <v>112</v>
      </c>
      <c r="AU36" s="33" t="n">
        <v>112</v>
      </c>
      <c r="AV36" s="13">
        <f>+AU36</f>
        <v>112</v>
      </c>
      <c r="AW36" s="13">
        <f>+AV36</f>
        <v>112</v>
      </c>
      <c r="AX36" s="13">
        <f>+AW36</f>
        <v>112</v>
      </c>
      <c r="AY36" s="13">
        <f>+AX36</f>
        <v>112</v>
      </c>
      <c r="AZ36" s="13">
        <f>+AY36</f>
        <v>112</v>
      </c>
      <c r="BA36" s="13">
        <f>+AZ36</f>
        <v>112</v>
      </c>
      <c r="BB36" s="13">
        <f>+BA36</f>
        <v>112</v>
      </c>
      <c r="BC36" s="13">
        <f>+BB36</f>
        <v>112</v>
      </c>
      <c r="BD36" s="13">
        <f>+BC36</f>
        <v>112</v>
      </c>
      <c r="BE36" s="13">
        <f>+BD36</f>
        <v>112</v>
      </c>
      <c r="BF36" s="13">
        <f>+BE36</f>
        <v>112</v>
      </c>
      <c r="BG36" s="13">
        <f>+BF36</f>
        <v>112</v>
      </c>
      <c r="BH36" s="13">
        <f>+BG36</f>
        <v>112</v>
      </c>
      <c r="BI36" s="13">
        <f>+BH36</f>
        <v>112</v>
      </c>
      <c r="BJ36" s="13">
        <f>+BI36</f>
        <v>112</v>
      </c>
      <c r="BK36" s="13">
        <f>+BJ36</f>
        <v>112</v>
      </c>
      <c r="BL36" s="13">
        <f>+BK36</f>
        <v>112</v>
      </c>
      <c r="BM36" s="13">
        <f>+BL36</f>
        <v>112</v>
      </c>
      <c r="BN36" s="13">
        <f>+BM36</f>
        <v>112</v>
      </c>
      <c r="BO36" s="13">
        <f>+BN36</f>
        <v>112</v>
      </c>
      <c r="BP36" s="13">
        <f>+BO36</f>
        <v>112</v>
      </c>
    </row>
    <row r="38">
      <c r="B38" s="3" t="inlineStr">
        <is>
          <t>Adj. Net Revenue</t>
        </is>
      </c>
      <c r="C38" s="20">
        <f>+SUMIFS($I38:$BP38,$I$2:$BP$2,C$3)</f>
        <v>0</v>
      </c>
      <c r="D38" s="20">
        <f>+SUMIFS($I38:$BP38,$I$2:$BP$2,D$3)</f>
        <v>0</v>
      </c>
      <c r="E38" s="20">
        <f>+SUMIFS($I38:$BP38,$I$2:$BP$2,E$3)</f>
        <v>0</v>
      </c>
      <c r="F38" s="20">
        <f>+SUMIFS($I38:$BP38,$I$2:$BP$2,F$3)</f>
        <v>1356320</v>
      </c>
      <c r="G38" s="20">
        <f>+SUMIFS($I38:$BP38,$I$2:$BP$2,G$3)</f>
        <v>3563840</v>
      </c>
      <c r="AU38" s="20">
        <f>+AU34*AU36</f>
        <v>25760</v>
      </c>
      <c r="AV38" s="20">
        <f>+AV34*AV36</f>
        <v>51520</v>
      </c>
      <c r="AW38" s="20">
        <f>+AW34*AW36</f>
        <v>70560</v>
      </c>
      <c r="AX38" s="20">
        <f>+AX34*AX36</f>
        <v>98560</v>
      </c>
      <c r="AY38" s="20">
        <f>+AY34*AY36</f>
        <v>123200</v>
      </c>
      <c r="AZ38" s="20">
        <f>+AZ34*AZ36</f>
        <v>147840</v>
      </c>
      <c r="BA38" s="20">
        <f>+BA34*BA36</f>
        <v>172480</v>
      </c>
      <c r="BB38" s="20">
        <f>+BB34*BB36</f>
        <v>197120</v>
      </c>
      <c r="BC38" s="20">
        <f>+BC34*BC36</f>
        <v>211680</v>
      </c>
      <c r="BD38" s="20">
        <f>+BD34*BD36</f>
        <v>257600</v>
      </c>
      <c r="BE38" s="20">
        <f>+BE34*BE36</f>
        <v>271040</v>
      </c>
      <c r="BF38" s="20">
        <f>+BF34*BF36</f>
        <v>295680</v>
      </c>
      <c r="BG38" s="20">
        <f>+BG34*BG36</f>
        <v>322560</v>
      </c>
      <c r="BH38" s="20">
        <f>+BH34*BH36</f>
        <v>282240</v>
      </c>
      <c r="BI38" s="20">
        <f>+BI34*BI36</f>
        <v>295680</v>
      </c>
      <c r="BJ38" s="20">
        <f>+BJ34*BJ36</f>
        <v>309120</v>
      </c>
      <c r="BK38" s="20">
        <f>+BK34*BK36</f>
        <v>282240</v>
      </c>
      <c r="BL38" s="20">
        <f>+BL34*BL36</f>
        <v>322560</v>
      </c>
      <c r="BM38" s="20">
        <f>+BM34*BM36</f>
        <v>295680</v>
      </c>
      <c r="BN38" s="20">
        <f>+BN34*BN36</f>
        <v>295680</v>
      </c>
      <c r="BO38" s="20">
        <f>+BO34*BO36</f>
        <v>295680</v>
      </c>
      <c r="BP38" s="20">
        <f>+BP34*BP36</f>
        <v>295680</v>
      </c>
    </row>
    <row r="41">
      <c r="B41" s="2" t="inlineStr">
        <is>
          <t>Total Adj. Net Revenue</t>
        </is>
      </c>
      <c r="C41" s="22">
        <f>+SUMIFS($I41:$BP41,$I$2:$BP$2,C$3)</f>
        <v>12711900</v>
      </c>
      <c r="D41" s="22">
        <f>+SUMIFS($I41:$BP41,$I$2:$BP$2,D$3)</f>
        <v>13757400</v>
      </c>
      <c r="E41" s="22">
        <f>+SUMIFS($I41:$BP41,$I$2:$BP$2,E$3)</f>
        <v>14953118.2902012</v>
      </c>
      <c r="F41" s="22">
        <f>+SUMIFS($I41:$BP41,$I$2:$BP$2,F$3)</f>
        <v>16239658.9332487</v>
      </c>
      <c r="G41" s="22">
        <f>+SUMIFS($I41:$BP41,$I$2:$BP$2,G$3)</f>
        <v>18945041.4788589</v>
      </c>
      <c r="I41" s="22">
        <f>+I38+I28+I14</f>
        <v>1059600</v>
      </c>
      <c r="J41" s="22">
        <f>+J38+J28+J14</f>
        <v>957100</v>
      </c>
      <c r="K41" s="22">
        <f>+K38+K28+K14</f>
        <v>1053300</v>
      </c>
      <c r="L41" s="22">
        <f>+L38+L28+L14</f>
        <v>1024700</v>
      </c>
      <c r="M41" s="22">
        <f>+M38+M28+M14</f>
        <v>1153100</v>
      </c>
      <c r="N41" s="22">
        <f>+N38+N28+N14</f>
        <v>972600</v>
      </c>
      <c r="O41" s="22">
        <f>+O38+O28+O14</f>
        <v>1073500</v>
      </c>
      <c r="P41" s="22">
        <f>+P38+P28+P14</f>
        <v>1097400</v>
      </c>
      <c r="Q41" s="22">
        <f>+Q38+Q28+Q14</f>
        <v>1014100</v>
      </c>
      <c r="R41" s="22">
        <f>+R38+R28+R14</f>
        <v>1221600</v>
      </c>
      <c r="S41" s="22">
        <f>+S38+S28+S14</f>
        <v>1062800</v>
      </c>
      <c r="T41" s="22">
        <f>+T38+T28+T14</f>
        <v>1022100</v>
      </c>
      <c r="U41" s="22">
        <f>+U38+U28+U14</f>
        <v>1157300</v>
      </c>
      <c r="V41" s="22">
        <f>+V38+V28+V14</f>
        <v>943900</v>
      </c>
      <c r="W41" s="22">
        <f>+W38+W28+W14</f>
        <v>1081900</v>
      </c>
      <c r="X41" s="22">
        <f>+X38+X28+X14</f>
        <v>1171100</v>
      </c>
      <c r="Y41" s="22">
        <f>+Y38+Y28+Y14</f>
        <v>1206800</v>
      </c>
      <c r="Z41" s="22">
        <f>+Z38+Z28+Z14</f>
        <v>1057200</v>
      </c>
      <c r="AA41" s="22">
        <f>+AA38+AA28+AA14</f>
        <v>1207900</v>
      </c>
      <c r="AB41" s="22">
        <f>+AB38+AB28+AB14</f>
        <v>1151100</v>
      </c>
      <c r="AC41" s="22">
        <f>+AC38+AC28+AC14</f>
        <v>1151800</v>
      </c>
      <c r="AD41" s="22">
        <f>+AD38+AD28+AD14</f>
        <v>1326200</v>
      </c>
      <c r="AE41" s="22">
        <f>+AE38+AE28+AE14</f>
        <v>1123100</v>
      </c>
      <c r="AF41" s="22">
        <f>+AF38+AF28+AF14</f>
        <v>1179100</v>
      </c>
      <c r="AG41" s="22">
        <f>+AG38+AG28+AG14</f>
        <v>1234100</v>
      </c>
      <c r="AH41" s="22">
        <f>+AH38+AH28+AH14</f>
        <v>1043900</v>
      </c>
      <c r="AI41" s="22">
        <f>+AI38+AI28+AI14</f>
        <v>1238800</v>
      </c>
      <c r="AJ41" s="22">
        <f>+AJ38+AJ28+AJ14</f>
        <v>1289100</v>
      </c>
      <c r="AK41" s="22">
        <f>+AK38+AK28+AK14</f>
        <v>1248400</v>
      </c>
      <c r="AL41" s="22">
        <f>+AL38+AL28+AL14</f>
        <v>1188000</v>
      </c>
      <c r="AM41" s="22">
        <f>+AM38+AM28+AM14</f>
        <v>1297700</v>
      </c>
      <c r="AN41" s="22">
        <f>+AN38+AN28+AN14</f>
        <v>1233000</v>
      </c>
      <c r="AO41" s="22">
        <f>+AO38+AO28+AO14</f>
        <v>1311360.06</v>
      </c>
      <c r="AP41" s="22">
        <f>+AP38+AP28+AP14</f>
        <v>1394034.43</v>
      </c>
      <c r="AQ41" s="22">
        <f>+AQ38+AQ28+AQ14</f>
        <v>1183373.96</v>
      </c>
      <c r="AR41" s="22">
        <f>+AR38+AR28+AR14</f>
        <v>1291349.8402012</v>
      </c>
      <c r="AS41" s="22">
        <f>+AS38+AS28+AS14</f>
        <v>1179018.2644258</v>
      </c>
      <c r="AT41" s="22">
        <f>+AT38+AT28+AT14</f>
        <v>1122852.4765381</v>
      </c>
      <c r="AU41" s="22">
        <f>+AU38+AU28+AU14</f>
        <v>1326493.8402012</v>
      </c>
      <c r="AV41" s="22">
        <f>+AV38+AV28+AV14</f>
        <v>1352253.8402012</v>
      </c>
      <c r="AW41" s="22">
        <f>+AW38+AW28+AW14</f>
        <v>1258146.2644258</v>
      </c>
      <c r="AX41" s="22">
        <f>+AX38+AX28+AX14</f>
        <v>1344727.60424886</v>
      </c>
      <c r="AY41" s="22">
        <f>+AY38+AY28+AY14</f>
        <v>1371375.15618422</v>
      </c>
      <c r="AZ41" s="22">
        <f>+AZ38+AZ28+AZ14</f>
        <v>1398022.70811958</v>
      </c>
      <c r="BA41" s="22">
        <f>+BA38+BA28+BA14</f>
        <v>1431402.26005494</v>
      </c>
      <c r="BB41" s="22">
        <f>+BB38+BB28+BB14</f>
        <v>1458049.81199031</v>
      </c>
      <c r="BC41" s="22">
        <f>+BC38+BC28+BC14</f>
        <v>1417274.29482212</v>
      </c>
      <c r="BD41" s="22">
        <f>+BD38+BD28+BD14</f>
        <v>1580042.41203653</v>
      </c>
      <c r="BE41" s="22">
        <f>+BE38+BE28+BE14</f>
        <v>1538404.91586103</v>
      </c>
      <c r="BF41" s="22">
        <f>+BF38+BF28+BF14</f>
        <v>1563044.91586103</v>
      </c>
      <c r="BG41" s="22">
        <f>+BG38+BG28+BG14</f>
        <v>1705139.90821203</v>
      </c>
      <c r="BH41" s="22">
        <f>+BH38+BH28+BH14</f>
        <v>1491997.41968553</v>
      </c>
      <c r="BI41" s="22">
        <f>+BI38+BI28+BI14</f>
        <v>1563044.91586103</v>
      </c>
      <c r="BJ41" s="22">
        <f>+BJ38+BJ28+BJ14</f>
        <v>1634092.41203653</v>
      </c>
      <c r="BK41" s="22">
        <f>+BK38+BK28+BK14</f>
        <v>1491997.41968553</v>
      </c>
      <c r="BL41" s="22">
        <f>+BL38+BL28+BL14</f>
        <v>1705139.90821203</v>
      </c>
      <c r="BM41" s="22">
        <f>+BM38+BM28+BM14</f>
        <v>1563044.91586103</v>
      </c>
      <c r="BN41" s="22">
        <f>+BN38+BN28+BN14</f>
        <v>1563044.91586103</v>
      </c>
      <c r="BO41" s="22">
        <f>+BO38+BO28+BO14</f>
        <v>1563044.91586103</v>
      </c>
      <c r="BP41" s="22">
        <f>+BP38+BP28+BP14</f>
        <v>1563044.91586103</v>
      </c>
    </row>
    <row r="44">
      <c r="B44" s="3" t="inlineStr">
        <is>
          <t>Max Daily Accessions</t>
        </is>
      </c>
      <c r="C44" s="20">
        <f>+I44</f>
        <v>520</v>
      </c>
      <c r="D44" s="20">
        <f>+I44</f>
        <v>520</v>
      </c>
      <c r="E44" s="20">
        <f>+I44</f>
        <v>520</v>
      </c>
      <c r="F44" s="20">
        <f>+I44</f>
        <v>520</v>
      </c>
      <c r="G44" s="20">
        <f>+I44</f>
        <v>520</v>
      </c>
      <c r="I44" s="26" t="n">
        <v>520</v>
      </c>
      <c r="J44" s="20">
        <f>+I44</f>
        <v>520</v>
      </c>
      <c r="K44" s="20">
        <f>+J44</f>
        <v>520</v>
      </c>
      <c r="L44" s="20">
        <f>+K44</f>
        <v>520</v>
      </c>
      <c r="M44" s="20">
        <f>+L44</f>
        <v>520</v>
      </c>
      <c r="N44" s="20">
        <f>+M44</f>
        <v>520</v>
      </c>
      <c r="O44" s="20">
        <f>+N44</f>
        <v>520</v>
      </c>
      <c r="P44" s="20">
        <f>+O44</f>
        <v>520</v>
      </c>
      <c r="Q44" s="20">
        <f>+P44</f>
        <v>520</v>
      </c>
      <c r="R44" s="20">
        <f>+Q44</f>
        <v>520</v>
      </c>
      <c r="S44" s="20">
        <f>+R44</f>
        <v>520</v>
      </c>
      <c r="T44" s="20">
        <f>+S44</f>
        <v>520</v>
      </c>
      <c r="U44" s="20">
        <f>+T44</f>
        <v>520</v>
      </c>
      <c r="V44" s="20">
        <f>+U44</f>
        <v>520</v>
      </c>
      <c r="W44" s="20">
        <f>+V44</f>
        <v>520</v>
      </c>
      <c r="X44" s="20">
        <f>+W44</f>
        <v>520</v>
      </c>
      <c r="Y44" s="20">
        <f>+X44</f>
        <v>520</v>
      </c>
      <c r="Z44" s="20">
        <f>+Y44</f>
        <v>520</v>
      </c>
      <c r="AA44" s="20">
        <f>+Z44</f>
        <v>520</v>
      </c>
      <c r="AB44" s="20">
        <f>+AA44</f>
        <v>520</v>
      </c>
      <c r="AC44" s="20">
        <f>+AB44</f>
        <v>520</v>
      </c>
      <c r="AD44" s="20">
        <f>+AC44</f>
        <v>520</v>
      </c>
      <c r="AE44" s="20">
        <f>+AD44</f>
        <v>520</v>
      </c>
      <c r="AF44" s="20">
        <f>+AE44</f>
        <v>520</v>
      </c>
      <c r="AG44" s="20">
        <f>+AF44</f>
        <v>520</v>
      </c>
      <c r="AH44" s="20">
        <f>+AG44</f>
        <v>520</v>
      </c>
      <c r="AI44" s="20">
        <f>+AH44</f>
        <v>520</v>
      </c>
      <c r="AJ44" s="20">
        <f>+AI44</f>
        <v>520</v>
      </c>
      <c r="AK44" s="20">
        <f>+AJ44</f>
        <v>520</v>
      </c>
      <c r="AL44" s="20">
        <f>+AK44</f>
        <v>520</v>
      </c>
      <c r="AM44" s="20">
        <f>+AL44</f>
        <v>520</v>
      </c>
      <c r="AN44" s="20">
        <f>+AM44</f>
        <v>520</v>
      </c>
      <c r="AO44" s="20">
        <f>+AN44</f>
        <v>520</v>
      </c>
      <c r="AP44" s="20">
        <f>+AO44</f>
        <v>520</v>
      </c>
      <c r="AQ44" s="20">
        <f>+AP44</f>
        <v>520</v>
      </c>
      <c r="AR44" s="20">
        <f>+AQ44</f>
        <v>520</v>
      </c>
      <c r="AS44" s="20">
        <f>+AR44</f>
        <v>520</v>
      </c>
      <c r="AT44" s="20">
        <f>+AS44</f>
        <v>520</v>
      </c>
      <c r="AU44" s="20">
        <f>+AT44</f>
        <v>520</v>
      </c>
      <c r="AV44" s="20">
        <f>+AU44</f>
        <v>520</v>
      </c>
      <c r="AW44" s="20">
        <f>+AV44</f>
        <v>520</v>
      </c>
      <c r="AX44" s="20">
        <f>+AW44</f>
        <v>520</v>
      </c>
      <c r="AY44" s="20">
        <f>+AX44</f>
        <v>520</v>
      </c>
      <c r="AZ44" s="20">
        <f>+AY44</f>
        <v>520</v>
      </c>
      <c r="BA44" s="20">
        <f>+AZ44</f>
        <v>520</v>
      </c>
      <c r="BB44" s="20">
        <f>+BA44</f>
        <v>520</v>
      </c>
      <c r="BC44" s="20">
        <f>+BB44</f>
        <v>520</v>
      </c>
      <c r="BD44" s="20">
        <f>+BC44</f>
        <v>520</v>
      </c>
      <c r="BE44" s="20">
        <f>+BD44</f>
        <v>520</v>
      </c>
      <c r="BF44" s="20">
        <f>+BE44</f>
        <v>520</v>
      </c>
      <c r="BG44" s="20">
        <f>+BF44</f>
        <v>520</v>
      </c>
      <c r="BH44" s="20">
        <f>+BG44</f>
        <v>520</v>
      </c>
      <c r="BI44" s="20">
        <f>+BH44</f>
        <v>520</v>
      </c>
      <c r="BJ44" s="20">
        <f>+BI44</f>
        <v>520</v>
      </c>
      <c r="BK44" s="20">
        <f>+BJ44</f>
        <v>520</v>
      </c>
      <c r="BL44" s="20">
        <f>+BK44</f>
        <v>520</v>
      </c>
      <c r="BM44" s="20">
        <f>+BL44</f>
        <v>520</v>
      </c>
      <c r="BN44" s="20">
        <f>+BM44</f>
        <v>520</v>
      </c>
      <c r="BO44" s="20">
        <f>+BN44</f>
        <v>520</v>
      </c>
      <c r="BP44" s="20">
        <f>+BO44</f>
        <v>520</v>
      </c>
    </row>
    <row r="46">
      <c r="B46" s="3" t="inlineStr">
        <is>
          <t>Assumed Daily Accessions (sum of per-workday rows)</t>
        </is>
      </c>
      <c r="C46" s="27">
        <f>+IFERROR(C51/C9,)</f>
        <v>316.743494423792</v>
      </c>
      <c r="D46" s="27">
        <f>+IFERROR(D51/D9,)</f>
        <v>343.559259259259</v>
      </c>
      <c r="E46" s="27">
        <f>+IFERROR(E51/E9,)</f>
        <v>378.574626865672</v>
      </c>
      <c r="F46" s="27">
        <f>+IFERROR(F51/F9,)</f>
        <v>431.858778625954</v>
      </c>
      <c r="G46" s="27">
        <f>+IFERROR(G51/G9,)</f>
        <v>510.176029962547</v>
      </c>
      <c r="I46" s="27">
        <f>+I10+I22+I32</f>
        <v>308.739130434783</v>
      </c>
      <c r="J46" s="27">
        <f>+J10+J22+J32</f>
        <v>291.272727272727</v>
      </c>
      <c r="K46" s="27">
        <f>+K10+K22+K32</f>
        <v>320.909090909091</v>
      </c>
      <c r="L46" s="27">
        <f>+L10+L22+L32</f>
        <v>314.363636363636</v>
      </c>
      <c r="M46" s="27">
        <f>+M10+M22+M32</f>
        <v>320.375</v>
      </c>
      <c r="N46" s="27">
        <f>+N10+N22+N32</f>
        <v>314.619047619048</v>
      </c>
      <c r="O46" s="27">
        <f>+O10+O22+O32</f>
        <v>316.478260869565</v>
      </c>
      <c r="P46" s="27">
        <f>+P10+P22+P32</f>
        <v>316.652173913044</v>
      </c>
      <c r="Q46" s="27">
        <f>+Q10+Q22+Q32</f>
        <v>324.142857142857</v>
      </c>
      <c r="R46" s="27">
        <f>+R10+R22+R32</f>
        <v>339</v>
      </c>
      <c r="S46" s="27">
        <f>+S10+S22+S32</f>
        <v>321.727272727273</v>
      </c>
      <c r="T46" s="27">
        <f>+T10+T22+T32</f>
        <v>310.909090909091</v>
      </c>
      <c r="U46" s="27">
        <f>+U10+U22+U32</f>
        <v>319.75</v>
      </c>
      <c r="V46" s="27">
        <f>+V10+V22+V32</f>
        <v>300.380952380952</v>
      </c>
      <c r="W46" s="27">
        <f>+W10+W22+W32</f>
        <v>330.363636363636</v>
      </c>
      <c r="X46" s="27">
        <f>+X10+X22+X32</f>
        <v>342.608695652174</v>
      </c>
      <c r="Y46" s="27">
        <f>+Y10+Y22+Y32</f>
        <v>351.652173913044</v>
      </c>
      <c r="Z46" s="27">
        <f>+Z10+Z22+Z32</f>
        <v>342.285714285714</v>
      </c>
      <c r="AA46" s="27">
        <f>+AA10+AA22+AA32</f>
        <v>340.916666666667</v>
      </c>
      <c r="AB46" s="27">
        <f>+AB10+AB22+AB32</f>
        <v>354</v>
      </c>
      <c r="AC46" s="27">
        <f>+AC10+AC22+AC32</f>
        <v>351.090909090909</v>
      </c>
      <c r="AD46" s="27">
        <f>+AD10+AD22+AD32</f>
        <v>377.041666666667</v>
      </c>
      <c r="AE46" s="27">
        <f>+AE10+AE22+AE32</f>
        <v>362</v>
      </c>
      <c r="AF46" s="27">
        <f>+AF10+AF22+AF32</f>
        <v>348.260869565217</v>
      </c>
      <c r="AG46" s="27">
        <f>+AG10+AG22+AG32</f>
        <v>368.217391304348</v>
      </c>
      <c r="AH46" s="27">
        <f>+AH10+AH22+AH32</f>
        <v>355.85</v>
      </c>
      <c r="AI46" s="27">
        <f>+AI10+AI22+AI32</f>
        <v>382.272727272727</v>
      </c>
      <c r="AJ46" s="27">
        <f>+AJ10+AJ22+AJ32</f>
        <v>376.826086956522</v>
      </c>
      <c r="AK46" s="27">
        <f>+AK10+AK22+AK32</f>
        <v>383.909090909091</v>
      </c>
      <c r="AL46" s="27">
        <f>+AL10+AL22+AL32</f>
        <v>369.772727272727</v>
      </c>
      <c r="AM46" s="27">
        <f>+AM10+AM22+AM32</f>
        <v>368.75</v>
      </c>
      <c r="AN46" s="27">
        <f>+AN10+AN22+AN32</f>
        <v>380.090909090909</v>
      </c>
      <c r="AO46" s="27">
        <f>+AO10+AO22+AO32</f>
        <v>384.478260869565</v>
      </c>
      <c r="AP46" s="27">
        <f>+AP10+AP22+AP32</f>
        <v>406.782608695652</v>
      </c>
      <c r="AQ46" s="27">
        <f>+AQ10+AQ22+AQ32</f>
        <v>384.095238095238</v>
      </c>
      <c r="AR46" s="27">
        <f>+AR10+AR22+AR32</f>
        <v>379.858825836</v>
      </c>
      <c r="AS46" s="27">
        <f>+AS10+AS22+AS32</f>
        <v>379.858825836</v>
      </c>
      <c r="AT46" s="27">
        <f>+AT10+AT22+AT32</f>
        <v>379.858825836</v>
      </c>
      <c r="AU46" s="27">
        <f>+AU10+AU22+AU32</f>
        <v>393.858825836</v>
      </c>
      <c r="AV46" s="27">
        <f>+AV10+AV22+AV32</f>
        <v>403.858825836</v>
      </c>
      <c r="AW46" s="27">
        <f>+AW10+AW22+AW32</f>
        <v>413.858825836</v>
      </c>
      <c r="AX46" s="27">
        <f>+AX10+AX22+AX32</f>
        <v>424.450422145143</v>
      </c>
      <c r="AY46" s="27">
        <f>+AY10+AY22+AY32</f>
        <v>435.042018454286</v>
      </c>
      <c r="AZ46" s="27">
        <f>+AZ10+AZ22+AZ32</f>
        <v>445.633614763428</v>
      </c>
      <c r="BA46" s="27">
        <f>+BA10+BA22+BA32</f>
        <v>459.225211072571</v>
      </c>
      <c r="BB46" s="27">
        <f>+BB10+BB22+BB32</f>
        <v>469.816807381714</v>
      </c>
      <c r="BC46" s="27">
        <f>+BC10+BC22+BC32</f>
        <v>480.408403690857</v>
      </c>
      <c r="BD46" s="27">
        <f>+BD10+BD22+BD32</f>
        <v>491</v>
      </c>
      <c r="BE46" s="27">
        <f>+BE10+BE22+BE32</f>
        <v>501</v>
      </c>
      <c r="BF46" s="27">
        <f>+BF10+BF22+BF32</f>
        <v>511</v>
      </c>
      <c r="BG46" s="27">
        <f>+BG10+BG22+BG32</f>
        <v>511</v>
      </c>
      <c r="BH46" s="27">
        <f>+BH10+BH22+BH32</f>
        <v>511</v>
      </c>
      <c r="BI46" s="27">
        <f>+BI10+BI22+BI32</f>
        <v>511</v>
      </c>
      <c r="BJ46" s="27">
        <f>+BJ10+BJ22+BJ32</f>
        <v>511</v>
      </c>
      <c r="BK46" s="27">
        <f>+BK10+BK22+BK32</f>
        <v>511</v>
      </c>
      <c r="BL46" s="27">
        <f>+BL10+BL22+BL32</f>
        <v>511</v>
      </c>
      <c r="BM46" s="27">
        <f>+BM10+BM22+BM32</f>
        <v>511</v>
      </c>
      <c r="BN46" s="27">
        <f>+BN10+BN22+BN32</f>
        <v>511</v>
      </c>
      <c r="BO46" s="27">
        <f>+BO10+BO22+BO32</f>
        <v>511</v>
      </c>
      <c r="BP46" s="27">
        <f>+BP10+BP22+BP32</f>
        <v>511</v>
      </c>
    </row>
    <row r="48">
      <c r="B48" s="3" t="inlineStr">
        <is>
          <t>% Capacity</t>
        </is>
      </c>
      <c r="C48" s="11">
        <f>+IFERROR(C46/C44,)</f>
        <v>0.609122104661138</v>
      </c>
      <c r="D48" s="11">
        <f>+IFERROR(D46/D44,)</f>
        <v>0.660690883190883</v>
      </c>
      <c r="E48" s="11">
        <f>+IFERROR(E46/E44,)</f>
        <v>0.72802812858783</v>
      </c>
      <c r="F48" s="11">
        <f>+IFERROR(F46/F44,)</f>
        <v>0.830497651203758</v>
      </c>
      <c r="G48" s="11">
        <f>+IFERROR(G46/G44,)</f>
        <v>0.981107749927975</v>
      </c>
      <c r="I48" s="11">
        <f>+IFERROR(I46/I44,)</f>
        <v>0.593729096989967</v>
      </c>
      <c r="J48" s="11">
        <f>+IFERROR(J46/J44,)</f>
        <v>0.56013986013986</v>
      </c>
      <c r="K48" s="11">
        <f>+IFERROR(K46/K44,)</f>
        <v>0.617132867132867</v>
      </c>
      <c r="L48" s="11">
        <f>+IFERROR(L46/L44,)</f>
        <v>0.604545454545455</v>
      </c>
      <c r="M48" s="11">
        <f>+IFERROR(M46/M44,)</f>
        <v>0.616105769230769</v>
      </c>
      <c r="N48" s="11">
        <f>+IFERROR(N46/N44,)</f>
        <v>0.60503663003663</v>
      </c>
      <c r="O48" s="11">
        <f>+IFERROR(O46/O44,)</f>
        <v>0.608612040133779</v>
      </c>
      <c r="P48" s="11">
        <f>+IFERROR(P46/P44,)</f>
        <v>0.608946488294314</v>
      </c>
      <c r="Q48" s="11">
        <f>+IFERROR(Q46/Q44,)</f>
        <v>0.623351648351648</v>
      </c>
      <c r="R48" s="11">
        <f>+IFERROR(R46/R44,)</f>
        <v>0.651923076923077</v>
      </c>
      <c r="S48" s="11">
        <f>+IFERROR(S46/S44,)</f>
        <v>0.618706293706294</v>
      </c>
      <c r="T48" s="11">
        <f>+IFERROR(T46/T44,)</f>
        <v>0.597902097902098</v>
      </c>
      <c r="U48" s="11">
        <f>+IFERROR(U46/U44,)</f>
        <v>0.614903846153846</v>
      </c>
      <c r="V48" s="11">
        <f>+IFERROR(V46/V44,)</f>
        <v>0.577655677655678</v>
      </c>
      <c r="W48" s="11">
        <f>+IFERROR(W46/W44,)</f>
        <v>0.635314685314685</v>
      </c>
      <c r="X48" s="11">
        <f>+IFERROR(X46/X44,)</f>
        <v>0.658862876254181</v>
      </c>
      <c r="Y48" s="11">
        <f>+IFERROR(Y46/Y44,)</f>
        <v>0.676254180602007</v>
      </c>
      <c r="Z48" s="11">
        <f>+IFERROR(Z46/Z44,)</f>
        <v>0.658241758241758</v>
      </c>
      <c r="AA48" s="11">
        <f>+IFERROR(AA46/AA44,)</f>
        <v>0.655608974358974</v>
      </c>
      <c r="AB48" s="11">
        <f>+IFERROR(AB46/AB44,)</f>
        <v>0.680769230769231</v>
      </c>
      <c r="AC48" s="11">
        <f>+IFERROR(AC46/AC44,)</f>
        <v>0.675174825174825</v>
      </c>
      <c r="AD48" s="11">
        <f>+IFERROR(AD46/AD44,)</f>
        <v>0.725080128205128</v>
      </c>
      <c r="AE48" s="11">
        <f>+IFERROR(AE46/AE44,)</f>
        <v>0.696153846153846</v>
      </c>
      <c r="AF48" s="11">
        <f>+IFERROR(AF46/AF44,)</f>
        <v>0.669732441471572</v>
      </c>
      <c r="AG48" s="11">
        <f>+IFERROR(AG46/AG44,)</f>
        <v>0.708110367892977</v>
      </c>
      <c r="AH48" s="11">
        <f>+IFERROR(AH46/AH44,)</f>
        <v>0.684326923076923</v>
      </c>
      <c r="AI48" s="11">
        <f>+IFERROR(AI46/AI44,)</f>
        <v>0.73513986013986</v>
      </c>
      <c r="AJ48" s="11">
        <f>+IFERROR(AJ46/AJ44,)</f>
        <v>0.724665551839465</v>
      </c>
      <c r="AK48" s="11">
        <f>+IFERROR(AK46/AK44,)</f>
        <v>0.738286713286713</v>
      </c>
      <c r="AL48" s="11">
        <f>+IFERROR(AL46/AL44,)</f>
        <v>0.711101398601399</v>
      </c>
      <c r="AM48" s="11">
        <f>+IFERROR(AM46/AM44,)</f>
        <v>0.709134615384615</v>
      </c>
      <c r="AN48" s="11">
        <f>+IFERROR(AN46/AN44,)</f>
        <v>0.730944055944056</v>
      </c>
      <c r="AO48" s="11">
        <f>+IFERROR(AO46/AO44,)</f>
        <v>0.73938127090301</v>
      </c>
      <c r="AP48" s="11">
        <f>+IFERROR(AP46/AP44,)</f>
        <v>0.782274247491639</v>
      </c>
      <c r="AQ48" s="11">
        <f>+IFERROR(AQ46/AQ44,)</f>
        <v>0.738644688644689</v>
      </c>
      <c r="AR48" s="11">
        <f>+IFERROR(AR46/AR44,)</f>
        <v>0.730497741992307</v>
      </c>
      <c r="AS48" s="11">
        <f>+IFERROR(AS46/AS44,)</f>
        <v>0.730497741992307</v>
      </c>
      <c r="AT48" s="11">
        <f>+IFERROR(AT46/AT44,)</f>
        <v>0.730497741992307</v>
      </c>
      <c r="AU48" s="11">
        <f>+IFERROR(AU46/AU44,)</f>
        <v>0.757420818915384</v>
      </c>
      <c r="AV48" s="11">
        <f>+IFERROR(AV46/AV44,)</f>
        <v>0.776651588146153</v>
      </c>
      <c r="AW48" s="11">
        <f>+IFERROR(AW46/AW44,)</f>
        <v>0.795882357376923</v>
      </c>
      <c r="AX48" s="11">
        <f>+IFERROR(AX46/AX44,)</f>
        <v>0.816250811817582</v>
      </c>
      <c r="AY48" s="11">
        <f>+IFERROR(AY46/AY44,)</f>
        <v>0.836619266258242</v>
      </c>
      <c r="AZ48" s="11">
        <f>+IFERROR(AZ46/AZ44,)</f>
        <v>0.856987720698901</v>
      </c>
      <c r="BA48" s="11">
        <f>+IFERROR(BA46/BA44,)</f>
        <v>0.883125405908791</v>
      </c>
      <c r="BB48" s="11">
        <f>+IFERROR(BB46/BB44,)</f>
        <v>0.903493860349451</v>
      </c>
      <c r="BC48" s="11">
        <f>+IFERROR(BC46/BC44,)</f>
        <v>0.92386231479011</v>
      </c>
      <c r="BD48" s="11">
        <f>+IFERROR(BD46/BD44,)</f>
        <v>0.944230769230769</v>
      </c>
      <c r="BE48" s="11">
        <f>+IFERROR(BE46/BE44,)</f>
        <v>0.963461538461539</v>
      </c>
      <c r="BF48" s="11">
        <f>+IFERROR(BF46/BF44,)</f>
        <v>0.982692307692308</v>
      </c>
      <c r="BG48" s="11">
        <f>+IFERROR(BG46/BG44,)</f>
        <v>0.982692307692308</v>
      </c>
      <c r="BH48" s="11">
        <f>+IFERROR(BH46/BH44,)</f>
        <v>0.982692307692308</v>
      </c>
      <c r="BI48" s="11">
        <f>+IFERROR(BI46/BI44,)</f>
        <v>0.982692307692308</v>
      </c>
      <c r="BJ48" s="11">
        <f>+IFERROR(BJ46/BJ44,)</f>
        <v>0.982692307692308</v>
      </c>
      <c r="BK48" s="11">
        <f>+IFERROR(BK46/BK44,)</f>
        <v>0.982692307692308</v>
      </c>
      <c r="BL48" s="11">
        <f>+IFERROR(BL46/BL44,)</f>
        <v>0.982692307692308</v>
      </c>
      <c r="BM48" s="11">
        <f>+IFERROR(BM46/BM44,)</f>
        <v>0.982692307692308</v>
      </c>
      <c r="BN48" s="11">
        <f>+IFERROR(BN46/BN44,)</f>
        <v>0.982692307692308</v>
      </c>
      <c r="BO48" s="11">
        <f>+IFERROR(BO46/BO44,)</f>
        <v>0.982692307692308</v>
      </c>
      <c r="BP48" s="11">
        <f>+IFERROR(BP46/BP44,)</f>
        <v>0.982692307692308</v>
      </c>
    </row>
    <row r="51">
      <c r="B51" s="2" t="inlineStr">
        <is>
          <t>Total Accessions</t>
        </is>
      </c>
      <c r="C51" s="15">
        <f>+SUMIFS($I51:$BP51,$I$2:$BP$2,C$3)</f>
        <v>85204</v>
      </c>
      <c r="D51" s="15">
        <f>+SUMIFS($I51:$BP51,$I$2:$BP$2,D$3)</f>
        <v>92761</v>
      </c>
      <c r="E51" s="15">
        <f>+SUMIFS($I51:$BP51,$I$2:$BP$2,E$3)</f>
        <v>101458</v>
      </c>
      <c r="F51" s="15">
        <f>+SUMIFS($I51:$BP51,$I$2:$BP$2,F$3)</f>
        <v>113147</v>
      </c>
      <c r="G51" s="15">
        <f>+SUMIFS($I51:$BP51,$I$2:$BP$2,G$3)</f>
        <v>136217</v>
      </c>
      <c r="I51" s="15">
        <f>+I6+I24+I34</f>
        <v>7101</v>
      </c>
      <c r="J51" s="15">
        <f>+J6+J24+J34</f>
        <v>6408</v>
      </c>
      <c r="K51" s="15">
        <f>+K6+K24+K34</f>
        <v>7060</v>
      </c>
      <c r="L51" s="15">
        <f>+L6+L24+L34</f>
        <v>6916</v>
      </c>
      <c r="M51" s="15">
        <f>+M6+M24+M34</f>
        <v>7689</v>
      </c>
      <c r="N51" s="15">
        <f>+N6+N24+N34</f>
        <v>6607</v>
      </c>
      <c r="O51" s="15">
        <f>+O6+O24+O34</f>
        <v>7279</v>
      </c>
      <c r="P51" s="15">
        <f>+P6+P24+P34</f>
        <v>7283</v>
      </c>
      <c r="Q51" s="15">
        <f>+Q6+Q24+Q34</f>
        <v>6807</v>
      </c>
      <c r="R51" s="15">
        <f>+R6+R24+R34</f>
        <v>8136</v>
      </c>
      <c r="S51" s="15">
        <f>+S6+S24+S34</f>
        <v>7078</v>
      </c>
      <c r="T51" s="15">
        <f>+T6+T24+T34</f>
        <v>6840</v>
      </c>
      <c r="U51" s="15">
        <f>+U6+U24+U34</f>
        <v>7674</v>
      </c>
      <c r="V51" s="15">
        <f>+V6+V24+V34</f>
        <v>6308</v>
      </c>
      <c r="W51" s="15">
        <f>+W6+W24+W34</f>
        <v>7268</v>
      </c>
      <c r="X51" s="15">
        <f>+X6+X24+X34</f>
        <v>7880</v>
      </c>
      <c r="Y51" s="15">
        <f>+Y6+Y24+Y34</f>
        <v>8088</v>
      </c>
      <c r="Z51" s="15">
        <f>+Z6+Z24+Z34</f>
        <v>7188</v>
      </c>
      <c r="AA51" s="15">
        <f>+AA6+AA24+AA34</f>
        <v>8182</v>
      </c>
      <c r="AB51" s="15">
        <f>+AB6+AB24+AB34</f>
        <v>7788</v>
      </c>
      <c r="AC51" s="15">
        <f>+AC6+AC24+AC34</f>
        <v>7724</v>
      </c>
      <c r="AD51" s="15">
        <f>+AD6+AD24+AD34</f>
        <v>9049</v>
      </c>
      <c r="AE51" s="15">
        <f>+AE6+AE24+AE34</f>
        <v>7602</v>
      </c>
      <c r="AF51" s="15">
        <f>+AF6+AF24+AF34</f>
        <v>8010</v>
      </c>
      <c r="AG51" s="15">
        <f>+AG6+AG24+AG34</f>
        <v>8469</v>
      </c>
      <c r="AH51" s="15">
        <f>+AH6+AH24+AH34</f>
        <v>7117</v>
      </c>
      <c r="AI51" s="15">
        <f>+AI6+AI24+AI34</f>
        <v>8410</v>
      </c>
      <c r="AJ51" s="15">
        <f>+AJ6+AJ24+AJ34</f>
        <v>8667</v>
      </c>
      <c r="AK51" s="15">
        <f>+AK6+AK24+AK34</f>
        <v>8446</v>
      </c>
      <c r="AL51" s="15">
        <f>+AL6+AL24+AL34</f>
        <v>8135</v>
      </c>
      <c r="AM51" s="15">
        <f>+AM6+AM24+AM34</f>
        <v>8850</v>
      </c>
      <c r="AN51" s="15">
        <f>+AN6+AN24+AN34</f>
        <v>8362</v>
      </c>
      <c r="AO51" s="15">
        <f>+AO6+AO24+AO34</f>
        <v>8843</v>
      </c>
      <c r="AP51" s="15">
        <f>+AP6+AP24+AP34</f>
        <v>9356</v>
      </c>
      <c r="AQ51" s="15">
        <f>+AQ6+AQ24+AQ34</f>
        <v>8066</v>
      </c>
      <c r="AR51" s="15">
        <f>+AR6+AR24+AR34</f>
        <v>8737</v>
      </c>
      <c r="AS51" s="15">
        <f>+AS6+AS24+AS34</f>
        <v>7977</v>
      </c>
      <c r="AT51" s="15">
        <f>+AT6+AT24+AT34</f>
        <v>7597</v>
      </c>
      <c r="AU51" s="15">
        <f>+AU6+AU24+AU34</f>
        <v>9059</v>
      </c>
      <c r="AV51" s="15">
        <f>+AV6+AV24+AV34</f>
        <v>9289</v>
      </c>
      <c r="AW51" s="15">
        <f>+AW6+AW24+AW34</f>
        <v>8691</v>
      </c>
      <c r="AX51" s="15">
        <f>+AX6+AX24+AX34</f>
        <v>9338</v>
      </c>
      <c r="AY51" s="15">
        <f>+AY6+AY24+AY34</f>
        <v>9571</v>
      </c>
      <c r="AZ51" s="15">
        <f>+AZ6+AZ24+AZ34</f>
        <v>9804</v>
      </c>
      <c r="BA51" s="15">
        <f>+BA6+BA24+BA34</f>
        <v>10103</v>
      </c>
      <c r="BB51" s="15">
        <f>+BB6+BB24+BB34</f>
        <v>10336</v>
      </c>
      <c r="BC51" s="15">
        <f>+BC6+BC24+BC34</f>
        <v>10089</v>
      </c>
      <c r="BD51" s="15">
        <f>+BD6+BD24+BD34</f>
        <v>11293</v>
      </c>
      <c r="BE51" s="15">
        <f>+BE6+BE24+BE34</f>
        <v>11022</v>
      </c>
      <c r="BF51" s="15">
        <f>+BF6+BF24+BF34</f>
        <v>11242</v>
      </c>
      <c r="BG51" s="15">
        <f>+BG6+BG24+BG34</f>
        <v>12264</v>
      </c>
      <c r="BH51" s="15">
        <f>+BH6+BH24+BH34</f>
        <v>10731</v>
      </c>
      <c r="BI51" s="15">
        <f>+BI6+BI24+BI34</f>
        <v>11242</v>
      </c>
      <c r="BJ51" s="15">
        <f>+BJ6+BJ24+BJ34</f>
        <v>11753</v>
      </c>
      <c r="BK51" s="15">
        <f>+BK6+BK24+BK34</f>
        <v>10731</v>
      </c>
      <c r="BL51" s="15">
        <f>+BL6+BL24+BL34</f>
        <v>12264</v>
      </c>
      <c r="BM51" s="15">
        <f>+BM6+BM24+BM34</f>
        <v>11242</v>
      </c>
      <c r="BN51" s="15">
        <f>+BN6+BN24+BN34</f>
        <v>11242</v>
      </c>
      <c r="BO51" s="15">
        <f>+BO6+BO24+BO34</f>
        <v>11242</v>
      </c>
      <c r="BP51" s="15">
        <f>+BP6+BP24+BP34</f>
        <v>11242</v>
      </c>
    </row>
    <row r="52">
      <c r="B52" s="4" t="inlineStr">
        <is>
          <t>YoY % Growth</t>
        </is>
      </c>
      <c r="D52" s="12">
        <f>+IFERROR(D51/C51-1,)</f>
        <v>0.0886930191070843</v>
      </c>
      <c r="E52" s="12">
        <f>+IFERROR(E51/D51-1,)</f>
        <v>0.0937570746326581</v>
      </c>
      <c r="F52" s="12">
        <f>+IFERROR(F51/E51-1,)</f>
        <v>0.115210234776952</v>
      </c>
      <c r="G52" s="12">
        <f>+IFERROR(G51/F51-1,)</f>
        <v>0.203894049334052</v>
      </c>
      <c r="U52" s="12">
        <f>+IFERROR(U51/I51-1,)</f>
        <v>0.0806928601605408</v>
      </c>
      <c r="V52" s="12">
        <f>+IFERROR(V51/J51-1,)</f>
        <v>-0.0156054931335831</v>
      </c>
      <c r="W52" s="12">
        <f>+IFERROR(W51/K51-1,)</f>
        <v>0.0294617563739377</v>
      </c>
      <c r="X52" s="12">
        <f>+IFERROR(X51/L51-1,)</f>
        <v>0.139386928860613</v>
      </c>
      <c r="Y52" s="12">
        <f>+IFERROR(Y51/M51-1,)</f>
        <v>0.0518923136948888</v>
      </c>
      <c r="Z52" s="12">
        <f>+IFERROR(Z51/N51-1,)</f>
        <v>0.0879370364764645</v>
      </c>
      <c r="AA52" s="12">
        <f>+IFERROR(AA51/O51-1,)</f>
        <v>0.124055502129413</v>
      </c>
      <c r="AB52" s="12">
        <f>+IFERROR(AB51/P51-1,)</f>
        <v>0.0693395578745022</v>
      </c>
      <c r="AC52" s="12">
        <f>+IFERROR(AC51/Q51-1,)</f>
        <v>0.134714264727486</v>
      </c>
      <c r="AD52" s="12">
        <f>+IFERROR(AD51/R51-1,)</f>
        <v>0.112217305801377</v>
      </c>
      <c r="AE52" s="12">
        <f>+IFERROR(AE51/S51-1,)</f>
        <v>0.0740322124894037</v>
      </c>
      <c r="AF52" s="12">
        <f>+IFERROR(AF51/T51-1,)</f>
        <v>0.171052631578947</v>
      </c>
      <c r="AG52" s="12">
        <f>+IFERROR(AG51/U51-1,)</f>
        <v>0.103596559812353</v>
      </c>
      <c r="AH52" s="12">
        <f>+IFERROR(AH51/V51-1,)</f>
        <v>0.128249841471148</v>
      </c>
      <c r="AI52" s="12">
        <f>+IFERROR(AI51/W51-1,)</f>
        <v>0.157127132636214</v>
      </c>
      <c r="AJ52" s="12">
        <f>+IFERROR(AJ51/X51-1,)</f>
        <v>0.0998730964467005</v>
      </c>
      <c r="AK52" s="12">
        <f>+IFERROR(AK51/Y51-1,)</f>
        <v>0.0442631058358061</v>
      </c>
      <c r="AL52" s="12">
        <f>+IFERROR(AL51/Z51-1,)</f>
        <v>0.13174735670562</v>
      </c>
      <c r="AM52" s="12">
        <f>+IFERROR(AM51/AA51-1,)</f>
        <v>0.081642630163774</v>
      </c>
      <c r="AN52" s="12">
        <f>+IFERROR(AN51/AB51-1,)</f>
        <v>0.073703133025167</v>
      </c>
      <c r="AO52" s="12">
        <f>+IFERROR(AO51/AC51-1,)</f>
        <v>0.144873122734335</v>
      </c>
      <c r="AP52" s="12">
        <f>+IFERROR(AP51/AD51-1,)</f>
        <v>0.0339264007072604</v>
      </c>
      <c r="AQ52" s="12">
        <f>+IFERROR(AQ51/AE51-1,)</f>
        <v>0.0610365693238621</v>
      </c>
      <c r="AR52" s="12">
        <f>+IFERROR(AR51/AF51-1,)</f>
        <v>0.0907615480649189</v>
      </c>
      <c r="AS52" s="12">
        <f>+IFERROR(AS51/AG51-1,)</f>
        <v>-0.0580942260007085</v>
      </c>
      <c r="AT52" s="12">
        <f>+IFERROR(AT51/AH51-1,)</f>
        <v>0.0674441478150907</v>
      </c>
      <c r="AU52" s="12">
        <f>+IFERROR(AU51/AI51-1,)</f>
        <v>0.0771700356718192</v>
      </c>
      <c r="AV52" s="12">
        <f>+IFERROR(AV51/AJ51-1,)</f>
        <v>0.0717664705203647</v>
      </c>
      <c r="AW52" s="12">
        <f>+IFERROR(AW51/AK51-1,)</f>
        <v>0.0290078143499881</v>
      </c>
      <c r="AX52" s="12">
        <f>+IFERROR(AX51/AL51-1,)</f>
        <v>0.147879532882606</v>
      </c>
      <c r="AY52" s="12">
        <f>+IFERROR(AY51/AM51-1,)</f>
        <v>0.0814689265536723</v>
      </c>
      <c r="AZ52" s="12">
        <f>+IFERROR(AZ51/AN51-1,)</f>
        <v>0.172446783066252</v>
      </c>
      <c r="BA52" s="12">
        <f>+IFERROR(BA51/AO51-1,)</f>
        <v>0.142485581816126</v>
      </c>
      <c r="BB52" s="12">
        <f>+IFERROR(BB51/AP51-1,)</f>
        <v>0.104745617785378</v>
      </c>
      <c r="BC52" s="12">
        <f>+IFERROR(BC51/AQ51-1,)</f>
        <v>0.250805851723283</v>
      </c>
      <c r="BD52" s="12">
        <f>+IFERROR(BD51/AR51-1,)</f>
        <v>0.292548929838617</v>
      </c>
      <c r="BE52" s="12">
        <f>+IFERROR(BE51/AS51-1,)</f>
        <v>0.381722452049643</v>
      </c>
      <c r="BF52" s="12">
        <f>+IFERROR(BF51/AT51-1,)</f>
        <v>0.479794655785178</v>
      </c>
      <c r="BG52" s="12">
        <f>+IFERROR(BG51/AU51-1,)</f>
        <v>0.353791809250469</v>
      </c>
      <c r="BH52" s="12">
        <f>+IFERROR(BH51/AV51-1,)</f>
        <v>0.155237377543331</v>
      </c>
      <c r="BI52" s="12">
        <f>+IFERROR(BI51/AW51-1,)</f>
        <v>0.293522034288344</v>
      </c>
      <c r="BJ52" s="12">
        <f>+IFERROR(BJ51/AX51-1,)</f>
        <v>0.258620689655172</v>
      </c>
      <c r="BK52" s="12">
        <f>+IFERROR(BK51/AY51-1,)</f>
        <v>0.121199456692091</v>
      </c>
      <c r="BL52" s="12">
        <f>+IFERROR(BL51/AZ51-1,)</f>
        <v>0.250917992656059</v>
      </c>
      <c r="BM52" s="12">
        <f>+IFERROR(BM51/BA51-1,)</f>
        <v>0.11273879045828</v>
      </c>
      <c r="BN52" s="12">
        <f>+IFERROR(BN51/BB51-1,)</f>
        <v>0.0876547987616099</v>
      </c>
      <c r="BO52" s="12">
        <f>+IFERROR(BO51/BC51-1,)</f>
        <v>0.114282882347111</v>
      </c>
      <c r="BP52" s="12">
        <f>+IFERROR(BP51/BD51-1,)</f>
        <v>-0.00451607190294878</v>
      </c>
    </row>
    <row r="56">
      <c r="B56" s="3" t="inlineStr">
        <is>
          <t>Collection Rate (net / gross charges)</t>
        </is>
      </c>
      <c r="C56" s="11">
        <f>+IFERROR(C41/C58,)</f>
        <v>0.421996827860041</v>
      </c>
      <c r="D56" s="11">
        <f>+IFERROR(D41/D58,)</f>
        <v>0.420119109155711</v>
      </c>
      <c r="E56" s="11">
        <f>+IFERROR(E41/E58,)</f>
        <v>0.425264268291561</v>
      </c>
      <c r="F56" s="11">
        <f>+IFERROR(F41/F58,)</f>
        <v>0.424</v>
      </c>
      <c r="G56" s="11">
        <f>+IFERROR(G41/G58,)</f>
        <v>0.424</v>
      </c>
      <c r="I56" s="25" t="n">
        <v>0.4073</v>
      </c>
      <c r="J56" s="25" t="n">
        <v>0.4132</v>
      </c>
      <c r="K56" s="25" t="n">
        <v>0.4174</v>
      </c>
      <c r="L56" s="25" t="n">
        <v>0.4217</v>
      </c>
      <c r="M56" s="25" t="n">
        <v>0.4224</v>
      </c>
      <c r="N56" s="25" t="n">
        <v>0.4274</v>
      </c>
      <c r="O56" s="25" t="n">
        <v>0.4243</v>
      </c>
      <c r="P56" s="25" t="n">
        <v>0.4228</v>
      </c>
      <c r="Q56" s="25" t="n">
        <v>0.4246</v>
      </c>
      <c r="R56" s="25" t="n">
        <v>0.4255</v>
      </c>
      <c r="S56" s="25" t="n">
        <v>0.4292</v>
      </c>
      <c r="T56" s="25" t="n">
        <v>0.4285</v>
      </c>
      <c r="U56" s="25" t="n">
        <v>0.4232</v>
      </c>
      <c r="V56" s="25" t="n">
        <v>0.418</v>
      </c>
      <c r="W56" s="25" t="n">
        <v>0.4133</v>
      </c>
      <c r="X56" s="25" t="n">
        <v>0.4179</v>
      </c>
      <c r="Y56" s="25" t="n">
        <v>0.4174</v>
      </c>
      <c r="Z56" s="25" t="n">
        <v>0.4177</v>
      </c>
      <c r="AA56" s="25" t="n">
        <v>0.4156</v>
      </c>
      <c r="AB56" s="25" t="n">
        <v>0.4214</v>
      </c>
      <c r="AC56" s="25" t="n">
        <v>0.4197</v>
      </c>
      <c r="AD56" s="25" t="n">
        <v>0.4222</v>
      </c>
      <c r="AE56" s="25" t="n">
        <v>0.4275</v>
      </c>
      <c r="AF56" s="25" t="n">
        <v>0.4271</v>
      </c>
      <c r="AG56" s="25" t="n">
        <v>0.4263</v>
      </c>
      <c r="AH56" s="25" t="n">
        <v>0.4309</v>
      </c>
      <c r="AI56" s="25" t="n">
        <v>0.4253</v>
      </c>
      <c r="AJ56" s="25" t="n">
        <v>0.4273</v>
      </c>
      <c r="AK56" s="25" t="n">
        <v>0.4213</v>
      </c>
      <c r="AL56" s="25" t="n">
        <v>0.4208</v>
      </c>
      <c r="AM56" s="25" t="n">
        <v>0.4218</v>
      </c>
      <c r="AN56" s="25" t="n">
        <v>0.4277</v>
      </c>
      <c r="AO56" s="25" t="n">
        <v>0.426</v>
      </c>
      <c r="AP56" s="25" t="n">
        <v>0.4284</v>
      </c>
      <c r="AQ56" s="25" t="n">
        <v>0.424</v>
      </c>
      <c r="AR56" s="11">
        <f>+AQ56</f>
        <v>0.424</v>
      </c>
      <c r="AS56" s="11">
        <f>+AR56</f>
        <v>0.424</v>
      </c>
      <c r="AT56" s="11">
        <f>+AS56</f>
        <v>0.424</v>
      </c>
      <c r="AU56" s="11">
        <f>+AT56</f>
        <v>0.424</v>
      </c>
      <c r="AV56" s="11">
        <f>+AU56</f>
        <v>0.424</v>
      </c>
      <c r="AW56" s="11">
        <f>+AV56</f>
        <v>0.424</v>
      </c>
      <c r="AX56" s="11">
        <f>+AW56</f>
        <v>0.424</v>
      </c>
      <c r="AY56" s="11">
        <f>+AX56</f>
        <v>0.424</v>
      </c>
      <c r="AZ56" s="11">
        <f>+AY56</f>
        <v>0.424</v>
      </c>
      <c r="BA56" s="11">
        <f>+AZ56</f>
        <v>0.424</v>
      </c>
      <c r="BB56" s="11">
        <f>+BA56</f>
        <v>0.424</v>
      </c>
      <c r="BC56" s="11">
        <f>+BB56</f>
        <v>0.424</v>
      </c>
      <c r="BD56" s="11">
        <f>+BC56</f>
        <v>0.424</v>
      </c>
      <c r="BE56" s="11">
        <f>+BD56</f>
        <v>0.424</v>
      </c>
      <c r="BF56" s="11">
        <f>+BE56</f>
        <v>0.424</v>
      </c>
      <c r="BG56" s="11">
        <f>+BF56</f>
        <v>0.424</v>
      </c>
      <c r="BH56" s="11">
        <f>+BG56</f>
        <v>0.424</v>
      </c>
      <c r="BI56" s="11">
        <f>+BH56</f>
        <v>0.424</v>
      </c>
      <c r="BJ56" s="11">
        <f>+BI56</f>
        <v>0.424</v>
      </c>
      <c r="BK56" s="11">
        <f>+BJ56</f>
        <v>0.424</v>
      </c>
      <c r="BL56" s="11">
        <f>+BK56</f>
        <v>0.424</v>
      </c>
      <c r="BM56" s="11">
        <f>+BL56</f>
        <v>0.424</v>
      </c>
      <c r="BN56" s="11">
        <f>+BM56</f>
        <v>0.424</v>
      </c>
      <c r="BO56" s="11">
        <f>+BN56</f>
        <v>0.424</v>
      </c>
      <c r="BP56" s="11">
        <f>+BO56</f>
        <v>0.424</v>
      </c>
    </row>
    <row r="58">
      <c r="B58" s="3" t="inlineStr">
        <is>
          <t>Gross Charges</t>
        </is>
      </c>
      <c r="C58" s="20">
        <f>+SUMIFS($I58:$BP58,$I$2:$BP$2,C$3)</f>
        <v>30123212.2157468</v>
      </c>
      <c r="D58" s="20">
        <f>+SUMIFS($I58:$BP58,$I$2:$BP$2,D$3)</f>
        <v>32746427.6206037</v>
      </c>
      <c r="E58" s="20">
        <f>+SUMIFS($I58:$BP58,$I$2:$BP$2,E$3)</f>
        <v>35161943.772688</v>
      </c>
      <c r="F58" s="20">
        <f>+SUMIFS($I58:$BP58,$I$2:$BP$2,F$3)</f>
        <v>38301082.3897374</v>
      </c>
      <c r="G58" s="20">
        <f>+SUMIFS($I58:$BP58,$I$2:$BP$2,G$3)</f>
        <v>44681701.6010822</v>
      </c>
      <c r="I58" s="20">
        <f>+I41/I56</f>
        <v>2601522.21949423</v>
      </c>
      <c r="J58" s="20">
        <f>+J41/J56</f>
        <v>2316311.71345595</v>
      </c>
      <c r="K58" s="20">
        <f>+K41/K56</f>
        <v>2523478.67752755</v>
      </c>
      <c r="L58" s="20">
        <f>+L41/L56</f>
        <v>2429926.48802466</v>
      </c>
      <c r="M58" s="20">
        <f>+M41/M56</f>
        <v>2729876.89393939</v>
      </c>
      <c r="N58" s="20">
        <f>+N41/N56</f>
        <v>2275620.02807674</v>
      </c>
      <c r="O58" s="20">
        <f>+O41/O56</f>
        <v>2530049.49328305</v>
      </c>
      <c r="P58" s="20">
        <f>+P41/P56</f>
        <v>2595553.45316935</v>
      </c>
      <c r="Q58" s="20">
        <f>+Q41/Q56</f>
        <v>2388365.52048987</v>
      </c>
      <c r="R58" s="20">
        <f>+R41/R56</f>
        <v>2870975.32314924</v>
      </c>
      <c r="S58" s="20">
        <f>+S41/S56</f>
        <v>2476234.8555452</v>
      </c>
      <c r="T58" s="20">
        <f>+T41/T56</f>
        <v>2385297.5495916</v>
      </c>
      <c r="U58" s="20">
        <f>+U41/U56</f>
        <v>2734640.83175803</v>
      </c>
      <c r="V58" s="20">
        <f>+V41/V56</f>
        <v>2258133.97129187</v>
      </c>
      <c r="W58" s="20">
        <f>+W41/W56</f>
        <v>2617711.10573433</v>
      </c>
      <c r="X58" s="20">
        <f>+X41/X56</f>
        <v>2802345.05862647</v>
      </c>
      <c r="Y58" s="20">
        <f>+Y41/Y56</f>
        <v>2891231.43267849</v>
      </c>
      <c r="Z58" s="20">
        <f>+Z41/Z56</f>
        <v>2531003.11228154</v>
      </c>
      <c r="AA58" s="20">
        <f>+AA41/AA56</f>
        <v>2906400.38498556</v>
      </c>
      <c r="AB58" s="20">
        <f>+AB41/AB56</f>
        <v>2731608.92263882</v>
      </c>
      <c r="AC58" s="20">
        <f>+AC41/AC56</f>
        <v>2744341.19609245</v>
      </c>
      <c r="AD58" s="20">
        <f>+AD41/AD56</f>
        <v>3141165.32449076</v>
      </c>
      <c r="AE58" s="20">
        <f>+AE41/AE56</f>
        <v>2627134.50292398</v>
      </c>
      <c r="AF58" s="20">
        <f>+AF41/AF56</f>
        <v>2760711.77710138</v>
      </c>
      <c r="AG58" s="20">
        <f>+AG41/AG56</f>
        <v>2894909.68801314</v>
      </c>
      <c r="AH58" s="20">
        <f>+AH41/AH56</f>
        <v>2422603.85240195</v>
      </c>
      <c r="AI58" s="20">
        <f>+AI41/AI56</f>
        <v>2912767.45826475</v>
      </c>
      <c r="AJ58" s="20">
        <f>+AJ41/AJ56</f>
        <v>3016849.98829862</v>
      </c>
      <c r="AK58" s="20">
        <f>+AK41/AK56</f>
        <v>2963209.11464515</v>
      </c>
      <c r="AL58" s="20">
        <f>+AL41/AL56</f>
        <v>2823193.91634981</v>
      </c>
      <c r="AM58" s="20">
        <f>+AM41/AM56</f>
        <v>3076576.57657658</v>
      </c>
      <c r="AN58" s="20">
        <f>+AN41/AN56</f>
        <v>2882861.81903203</v>
      </c>
      <c r="AO58" s="20">
        <f>+AO41/AO56</f>
        <v>3078310</v>
      </c>
      <c r="AP58" s="20">
        <f>+AP41/AP56</f>
        <v>3254048.62278245</v>
      </c>
      <c r="AQ58" s="20">
        <f>+AQ41/AQ56</f>
        <v>2790976.32075472</v>
      </c>
      <c r="AR58" s="20">
        <f>+AR41/AR56</f>
        <v>3045636.41556886</v>
      </c>
      <c r="AS58" s="20">
        <f>+AS41/AS56</f>
        <v>2780703.45383444</v>
      </c>
      <c r="AT58" s="20">
        <f>+AT41/AT56</f>
        <v>2648236.97296722</v>
      </c>
      <c r="AU58" s="20">
        <f>+AU41/AU56</f>
        <v>3128523.20802169</v>
      </c>
      <c r="AV58" s="20">
        <f>+AV41/AV56</f>
        <v>3189277.92500282</v>
      </c>
      <c r="AW58" s="20">
        <f>+AW41/AW56</f>
        <v>2967326.09534387</v>
      </c>
      <c r="AX58" s="20">
        <f>+AX41/AX56</f>
        <v>3171527.36851146</v>
      </c>
      <c r="AY58" s="20">
        <f>+AY41/AY56</f>
        <v>3234375.36835901</v>
      </c>
      <c r="AZ58" s="20">
        <f>+AZ41/AZ56</f>
        <v>3297223.36820656</v>
      </c>
      <c r="BA58" s="20">
        <f>+BA41/BA56</f>
        <v>3375948.72654468</v>
      </c>
      <c r="BB58" s="20">
        <f>+BB41/BB56</f>
        <v>3438796.72639223</v>
      </c>
      <c r="BC58" s="20">
        <f>+BC41/BC56</f>
        <v>3342628.05382575</v>
      </c>
      <c r="BD58" s="20">
        <f>+BD41/BD56</f>
        <v>3726515.12272767</v>
      </c>
      <c r="BE58" s="20">
        <f>+BE41/BE56</f>
        <v>3628313.48080432</v>
      </c>
      <c r="BF58" s="20">
        <f>+BF41/BF56</f>
        <v>3686426.68835149</v>
      </c>
      <c r="BG58" s="20">
        <f>+BG41/BG56</f>
        <v>4021556.38729253</v>
      </c>
      <c r="BH58" s="20">
        <f>+BH41/BH56</f>
        <v>3518861.83888096</v>
      </c>
      <c r="BI58" s="20">
        <f>+BI41/BI56</f>
        <v>3686426.68835149</v>
      </c>
      <c r="BJ58" s="20">
        <f>+BJ41/BJ56</f>
        <v>3853991.53782201</v>
      </c>
      <c r="BK58" s="20">
        <f>+BK41/BK56</f>
        <v>3518861.83888096</v>
      </c>
      <c r="BL58" s="20">
        <f>+BL41/BL56</f>
        <v>4021556.38729253</v>
      </c>
      <c r="BM58" s="20">
        <f>+BM41/BM56</f>
        <v>3686426.68835149</v>
      </c>
      <c r="BN58" s="20">
        <f>+BN41/BN56</f>
        <v>3686426.68835149</v>
      </c>
      <c r="BO58" s="20">
        <f>+BO41/BO56</f>
        <v>3686426.68835149</v>
      </c>
      <c r="BP58" s="20">
        <f>+BP41/BP56</f>
        <v>3686426.68835149</v>
      </c>
    </row>
    <row r="59">
      <c r="B59" s="4" t="inlineStr">
        <is>
          <t>Net-to-Gross %</t>
        </is>
      </c>
      <c r="C59" s="11">
        <f>+IFERROR(C41/C58,)</f>
        <v>0.421996827860041</v>
      </c>
      <c r="D59" s="11">
        <f>+IFERROR(D41/D58,)</f>
        <v>0.420119109155711</v>
      </c>
      <c r="E59" s="11">
        <f>+IFERROR(E41/E58,)</f>
        <v>0.425264268291561</v>
      </c>
      <c r="F59" s="11">
        <f>+IFERROR(F41/F58,)</f>
        <v>0.424</v>
      </c>
      <c r="G59" s="11">
        <f>+IFERROR(G41/G58,)</f>
        <v>0.424</v>
      </c>
      <c r="I59" s="12">
        <f>+I41/I58</f>
        <v>0.4073</v>
      </c>
      <c r="J59" s="12">
        <f>+J41/J58</f>
        <v>0.4132</v>
      </c>
      <c r="K59" s="12">
        <f>+K41/K58</f>
        <v>0.4174</v>
      </c>
      <c r="L59" s="12">
        <f>+L41/L58</f>
        <v>0.4217</v>
      </c>
      <c r="M59" s="12">
        <f>+M41/M58</f>
        <v>0.4224</v>
      </c>
      <c r="N59" s="12">
        <f>+N41/N58</f>
        <v>0.4274</v>
      </c>
      <c r="O59" s="12">
        <f>+O41/O58</f>
        <v>0.4243</v>
      </c>
      <c r="P59" s="12">
        <f>+P41/P58</f>
        <v>0.4228</v>
      </c>
      <c r="Q59" s="12">
        <f>+Q41/Q58</f>
        <v>0.4246</v>
      </c>
      <c r="R59" s="12">
        <f>+R41/R58</f>
        <v>0.4255</v>
      </c>
      <c r="S59" s="12">
        <f>+S41/S58</f>
        <v>0.4292</v>
      </c>
      <c r="T59" s="12">
        <f>+T41/T58</f>
        <v>0.4285</v>
      </c>
      <c r="U59" s="12">
        <f>+U41/U58</f>
        <v>0.4232</v>
      </c>
      <c r="V59" s="12">
        <f>+V41/V58</f>
        <v>0.418</v>
      </c>
      <c r="W59" s="12">
        <f>+W41/W58</f>
        <v>0.4133</v>
      </c>
      <c r="X59" s="12">
        <f>+X41/X58</f>
        <v>0.4179</v>
      </c>
      <c r="Y59" s="12">
        <f>+Y41/Y58</f>
        <v>0.4174</v>
      </c>
      <c r="Z59" s="12">
        <f>+Z41/Z58</f>
        <v>0.4177</v>
      </c>
      <c r="AA59" s="12">
        <f>+AA41/AA58</f>
        <v>0.4156</v>
      </c>
      <c r="AB59" s="12">
        <f>+AB41/AB58</f>
        <v>0.4214</v>
      </c>
      <c r="AC59" s="12">
        <f>+AC41/AC58</f>
        <v>0.4197</v>
      </c>
      <c r="AD59" s="12">
        <f>+AD41/AD58</f>
        <v>0.4222</v>
      </c>
      <c r="AE59" s="12">
        <f>+AE41/AE58</f>
        <v>0.4275</v>
      </c>
      <c r="AF59" s="12">
        <f>+AF41/AF58</f>
        <v>0.4271</v>
      </c>
      <c r="AG59" s="12">
        <f>+AG41/AG58</f>
        <v>0.4263</v>
      </c>
      <c r="AH59" s="12">
        <f>+AH41/AH58</f>
        <v>0.4309</v>
      </c>
      <c r="AI59" s="12">
        <f>+AI41/AI58</f>
        <v>0.4253</v>
      </c>
      <c r="AJ59" s="12">
        <f>+AJ41/AJ58</f>
        <v>0.4273</v>
      </c>
      <c r="AK59" s="12">
        <f>+AK41/AK58</f>
        <v>0.4213</v>
      </c>
      <c r="AL59" s="12">
        <f>+AL41/AL58</f>
        <v>0.4208</v>
      </c>
      <c r="AM59" s="12">
        <f>+AM41/AM58</f>
        <v>0.4218</v>
      </c>
      <c r="AN59" s="12">
        <f>+AN41/AN58</f>
        <v>0.4277</v>
      </c>
      <c r="AO59" s="12">
        <f>+AO41/AO58</f>
        <v>0.426</v>
      </c>
      <c r="AP59" s="12">
        <f>+AP41/AP58</f>
        <v>0.4284</v>
      </c>
      <c r="AQ59" s="12">
        <f>+AQ41/AQ58</f>
        <v>0.424</v>
      </c>
      <c r="AR59" s="12">
        <f>+AR41/AR58</f>
        <v>0.424</v>
      </c>
      <c r="AS59" s="12">
        <f>+AS41/AS58</f>
        <v>0.424</v>
      </c>
      <c r="AT59" s="12">
        <f>+AT41/AT58</f>
        <v>0.424</v>
      </c>
      <c r="AU59" s="12">
        <f>+AU41/AU58</f>
        <v>0.424</v>
      </c>
      <c r="AV59" s="12">
        <f>+AV41/AV58</f>
        <v>0.424</v>
      </c>
      <c r="AW59" s="12">
        <f>+AW41/AW58</f>
        <v>0.424</v>
      </c>
      <c r="AX59" s="12">
        <f>+AX41/AX58</f>
        <v>0.424</v>
      </c>
      <c r="AY59" s="12">
        <f>+AY41/AY58</f>
        <v>0.424</v>
      </c>
      <c r="AZ59" s="12">
        <f>+AZ41/AZ58</f>
        <v>0.424</v>
      </c>
      <c r="BA59" s="12">
        <f>+BA41/BA58</f>
        <v>0.424</v>
      </c>
      <c r="BB59" s="12">
        <f>+BB41/BB58</f>
        <v>0.424</v>
      </c>
      <c r="BC59" s="12">
        <f>+BC41/BC58</f>
        <v>0.424</v>
      </c>
      <c r="BD59" s="12">
        <f>+BD41/BD58</f>
        <v>0.424</v>
      </c>
      <c r="BE59" s="12">
        <f>+BE41/BE58</f>
        <v>0.424</v>
      </c>
      <c r="BF59" s="12">
        <f>+BF41/BF58</f>
        <v>0.424</v>
      </c>
      <c r="BG59" s="12">
        <f>+BG41/BG58</f>
        <v>0.424</v>
      </c>
      <c r="BH59" s="12">
        <f>+BH41/BH58</f>
        <v>0.424</v>
      </c>
      <c r="BI59" s="12">
        <f>+BI41/BI58</f>
        <v>0.424</v>
      </c>
      <c r="BJ59" s="12">
        <f>+BJ41/BJ58</f>
        <v>0.424</v>
      </c>
      <c r="BK59" s="12">
        <f>+BK41/BK58</f>
        <v>0.424</v>
      </c>
      <c r="BL59" s="12">
        <f>+BL41/BL58</f>
        <v>0.424</v>
      </c>
      <c r="BM59" s="12">
        <f>+BM41/BM58</f>
        <v>0.424</v>
      </c>
      <c r="BN59" s="12">
        <f>+BN41/BN58</f>
        <v>0.424</v>
      </c>
      <c r="BO59" s="12">
        <f>+BO41/BO58</f>
        <v>0.424</v>
      </c>
      <c r="BP59" s="12">
        <f>+BP41/BP58</f>
        <v>0.424</v>
      </c>
    </row>
    <row r="60">
      <c r="AP60" s="2" t="inlineStr">
        <is>
          <t>Holiday list (projections)</t>
        </is>
      </c>
    </row>
    <row r="61">
      <c r="AP61" s="4" t="inlineStr">
        <is>
          <t>Year-End Holiday</t>
        </is>
      </c>
      <c r="AQ61" s="34" t="n">
        <v>46381</v>
      </c>
    </row>
    <row r="62">
      <c r="AP62" s="4" t="inlineStr">
        <is>
          <t>New Year's Day</t>
        </is>
      </c>
      <c r="AQ62" s="34" t="n">
        <v>46388</v>
      </c>
    </row>
    <row r="63">
      <c r="AP63" s="4" t="inlineStr">
        <is>
          <t>Spring Public Holiday</t>
        </is>
      </c>
      <c r="AQ63" s="34" t="n">
        <v>46538</v>
      </c>
    </row>
    <row r="64">
      <c r="AP64" s="4" t="inlineStr">
        <is>
          <t>National Day (obs.)</t>
        </is>
      </c>
      <c r="AQ64" s="34" t="n">
        <v>46573</v>
      </c>
    </row>
    <row r="65">
      <c r="AP65" s="4" t="inlineStr">
        <is>
          <t>Late-Summer Public Holiday</t>
        </is>
      </c>
      <c r="AQ65" s="34" t="n">
        <v>46636</v>
      </c>
    </row>
    <row r="66">
      <c r="AP66" s="4" t="inlineStr">
        <is>
          <t>Autumn Public Holiday</t>
        </is>
      </c>
      <c r="AQ66" s="34" t="n">
        <v>46716</v>
      </c>
    </row>
    <row r="67">
      <c r="AP67" s="4" t="inlineStr">
        <is>
          <t>Year-End Holiday (obs.)</t>
        </is>
      </c>
      <c r="AQ67" s="34" t="n">
        <v>46745</v>
      </c>
    </row>
    <row r="68">
      <c r="AP68" s="4" t="inlineStr">
        <is>
          <t>Spring Public Holiday</t>
        </is>
      </c>
      <c r="AQ68" s="34" t="n">
        <v>46902</v>
      </c>
    </row>
    <row r="69">
      <c r="AP69" s="4" t="inlineStr">
        <is>
          <t>National Day</t>
        </is>
      </c>
      <c r="AQ69" s="34" t="n">
        <v>46938</v>
      </c>
    </row>
    <row r="70">
      <c r="AP70" s="4" t="inlineStr">
        <is>
          <t>Autumn Public Holiday</t>
        </is>
      </c>
      <c r="AQ70" s="34" t="n">
        <v>47080</v>
      </c>
    </row>
  </sheetData>
  <conditionalFormatting sqref="AR5:BP19">
    <cfRule type="expression" priority="1" dxfId="0">
      <formula>AR$3&gt;=DATE(2026,12,1)</formula>
    </cfRule>
  </conditionalFormatting>
  <conditionalFormatting sqref="AR21:BP28">
    <cfRule type="expression" priority="2" dxfId="0">
      <formula>AR$3&gt;=DATE(2026,12,1)</formula>
    </cfRule>
  </conditionalFormatting>
  <conditionalFormatting sqref="AR30:BP38">
    <cfRule type="expression" priority="3" dxfId="0">
      <formula>AR$3&gt;=DATE(2026,12,1)</formula>
    </cfRule>
  </conditionalFormatting>
  <conditionalFormatting sqref="AR41:BP41">
    <cfRule type="expression" priority="4" dxfId="0">
      <formula>AR$3&gt;=DATE(2026,12,1)</formula>
    </cfRule>
  </conditionalFormatting>
  <conditionalFormatting sqref="AR44:BP48">
    <cfRule type="expression" priority="5" dxfId="0">
      <formula>AR$3&gt;=DATE(2026,12,1)</formula>
    </cfRule>
  </conditionalFormatting>
  <conditionalFormatting sqref="AR51:BP52">
    <cfRule type="expression" priority="6" dxfId="0">
      <formula>AR$3&gt;=DATE(2026,12,1)</formula>
    </cfRule>
  </conditionalFormatting>
  <conditionalFormatting sqref="AR56:BP59">
    <cfRule type="expression" priority="7" dxfId="0">
      <formula>AR$3&gt;=DATE(2026,12,1)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39"/>
  <sheetViews>
    <sheetView showGridLines="0" zoomScale="85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2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B1" s="2" t="inlineStr">
        <is>
          <t>ORIVANE CLINICAL LABORATORIES, LLC</t>
        </is>
      </c>
    </row>
    <row r="2">
      <c r="B2" s="2" t="inlineStr">
        <is>
          <t>Profit and Loss</t>
        </is>
      </c>
    </row>
    <row r="3">
      <c r="B3" s="3" t="inlineStr">
        <is>
          <t>September - November, 2026</t>
        </is>
      </c>
    </row>
    <row r="4">
      <c r="B4" s="4" t="inlineStr">
        <is>
          <t>Reported</t>
        </is>
      </c>
      <c r="I4" s="4" t="inlineStr">
        <is>
          <t>Mapped amounts (model sign convention)</t>
        </is>
      </c>
    </row>
    <row r="5">
      <c r="D5" s="8" t="inlineStr">
        <is>
          <t>Mapping Column</t>
        </is>
      </c>
      <c r="E5" s="8" t="inlineStr">
        <is>
          <t>Sep 2026</t>
        </is>
      </c>
      <c r="F5" s="8" t="inlineStr">
        <is>
          <t>Oct 2026</t>
        </is>
      </c>
      <c r="G5" s="8" t="inlineStr">
        <is>
          <t>Nov 2026</t>
        </is>
      </c>
      <c r="H5" s="8" t="inlineStr">
        <is>
          <t>Total</t>
        </is>
      </c>
      <c r="I5" s="8" t="inlineStr">
        <is>
          <t>Sep 2026</t>
        </is>
      </c>
      <c r="J5" s="8" t="inlineStr">
        <is>
          <t>Oct 2026</t>
        </is>
      </c>
      <c r="K5" s="8" t="inlineStr">
        <is>
          <t>Nov 2026</t>
        </is>
      </c>
    </row>
    <row r="6">
      <c r="B6" s="2" t="inlineStr">
        <is>
          <t>Income</t>
        </is>
      </c>
    </row>
    <row r="7">
      <c r="B7" s="3" t="inlineStr">
        <is>
          <t xml:space="preserve">   Interest income</t>
        </is>
      </c>
      <c r="D7" s="3" t="inlineStr">
        <is>
          <t>Interest Income</t>
        </is>
      </c>
      <c r="E7" s="33" t="n">
        <v>407.27</v>
      </c>
      <c r="F7" s="33" t="n">
        <v>429.84</v>
      </c>
      <c r="G7" s="33" t="n">
        <v>450.79</v>
      </c>
      <c r="H7" s="13">
        <f>SUM(E7:G7)</f>
        <v>1287.9</v>
      </c>
      <c r="I7" s="13">
        <f>-E7</f>
        <v>-407.27</v>
      </c>
      <c r="J7" s="13">
        <f>-F7</f>
        <v>-429.84</v>
      </c>
      <c r="K7" s="13">
        <f>-G7</f>
        <v>-450.79</v>
      </c>
    </row>
    <row r="8">
      <c r="B8" s="3" t="inlineStr">
        <is>
          <t xml:space="preserve">   Service Income</t>
        </is>
      </c>
      <c r="D8" s="3" t="inlineStr">
        <is>
          <t>Net Fee-for-Service</t>
        </is>
      </c>
      <c r="E8" s="33" t="n">
        <v>1295664.05</v>
      </c>
      <c r="F8" s="33" t="n">
        <v>1378580.82</v>
      </c>
      <c r="G8" s="33" t="n">
        <v>1168562.17</v>
      </c>
      <c r="H8" s="13">
        <f>SUM(E8:G8)</f>
        <v>3842807.04</v>
      </c>
      <c r="I8" s="13">
        <f>+E8</f>
        <v>1295664.05</v>
      </c>
      <c r="J8" s="13">
        <f>+F8</f>
        <v>1378580.82</v>
      </c>
      <c r="K8" s="13">
        <f>+G8</f>
        <v>1168562.17</v>
      </c>
    </row>
    <row r="9">
      <c r="B9" s="3" t="inlineStr">
        <is>
          <t xml:space="preserve">   Services</t>
        </is>
      </c>
      <c r="D9" s="3" t="inlineStr">
        <is>
          <t>Net Fee-for-Service</t>
        </is>
      </c>
      <c r="E9" s="33" t="n">
        <v>15696.01</v>
      </c>
      <c r="F9" s="33" t="n">
        <v>15453.61</v>
      </c>
      <c r="G9" s="33" t="n">
        <v>14811.79</v>
      </c>
      <c r="H9" s="13">
        <f>SUM(E9:G9)</f>
        <v>45961.41</v>
      </c>
      <c r="I9" s="13">
        <f>+E9</f>
        <v>15696.01</v>
      </c>
      <c r="J9" s="13">
        <f>+F9</f>
        <v>15453.61</v>
      </c>
      <c r="K9" s="13">
        <f>+G9</f>
        <v>14811.79</v>
      </c>
    </row>
    <row r="10">
      <c r="B10" s="2" t="inlineStr">
        <is>
          <t>Total Income</t>
        </is>
      </c>
      <c r="D10" s="3" t="inlineStr">
        <is>
          <t>Net Operating Revenue</t>
        </is>
      </c>
      <c r="E10" s="35">
        <f>E7+E8+E9</f>
        <v>1311767.33</v>
      </c>
      <c r="F10" s="35">
        <f>F7+F8+F9</f>
        <v>1394464.27</v>
      </c>
      <c r="G10" s="35">
        <f>G7+G8+G9</f>
        <v>1183824.75</v>
      </c>
      <c r="H10" s="36">
        <f>SUM(E10:G10)</f>
        <v>3890056.35</v>
      </c>
      <c r="I10" s="36">
        <f>+E10-E7</f>
        <v>1311360.06</v>
      </c>
      <c r="J10" s="36">
        <f>+F10-F7</f>
        <v>1394034.43</v>
      </c>
      <c r="K10" s="36">
        <f>+G10-G7</f>
        <v>1183373.96</v>
      </c>
    </row>
    <row r="11">
      <c r="B11" s="2" t="inlineStr">
        <is>
          <t>Cost of Goods Sold</t>
        </is>
      </c>
    </row>
    <row r="12">
      <c r="B12" s="3" t="inlineStr">
        <is>
          <t xml:space="preserve">   Lab Expenses</t>
        </is>
      </c>
      <c r="D12" s="3" t="inlineStr">
        <is>
          <t>Other Lab Expenses</t>
        </is>
      </c>
      <c r="E12" s="33" t="n">
        <v>20978.31</v>
      </c>
      <c r="F12" s="33" t="n">
        <v>21804.08</v>
      </c>
      <c r="G12" s="33" t="n">
        <v>19388.62</v>
      </c>
      <c r="H12" s="13">
        <f>SUM(E12:G12)</f>
        <v>62171.01</v>
      </c>
      <c r="I12" s="13">
        <f>+E12</f>
        <v>20978.31</v>
      </c>
      <c r="J12" s="13">
        <f>+F12</f>
        <v>21804.08</v>
      </c>
      <c r="K12" s="13">
        <f>+G12</f>
        <v>19388.62</v>
      </c>
    </row>
    <row r="13">
      <c r="B13" s="3" t="inlineStr">
        <is>
          <t xml:space="preserve">   Lab Supplies</t>
        </is>
      </c>
      <c r="D13" s="3" t="inlineStr">
        <is>
          <t>Lab Supplies</t>
        </is>
      </c>
      <c r="E13" s="33" t="n">
        <v>106214.08</v>
      </c>
      <c r="F13" s="33" t="n">
        <v>119964.33</v>
      </c>
      <c r="G13" s="33" t="n">
        <v>98240.19</v>
      </c>
      <c r="H13" s="13">
        <f>SUM(E13:G13)</f>
        <v>324418.6</v>
      </c>
      <c r="I13" s="13">
        <f>+E13</f>
        <v>106214.08</v>
      </c>
      <c r="J13" s="13">
        <f>+F13</f>
        <v>119964.33</v>
      </c>
      <c r="K13" s="13">
        <f>+G13</f>
        <v>98240.19</v>
      </c>
    </row>
    <row r="14">
      <c r="B14" s="3" t="inlineStr">
        <is>
          <t xml:space="preserve">   Laboratory Fees</t>
        </is>
      </c>
      <c r="D14" s="3" t="inlineStr">
        <is>
          <t>Laboratory Fees</t>
        </is>
      </c>
      <c r="E14" s="33" t="n">
        <v>74758.7</v>
      </c>
      <c r="F14" s="33" t="n">
        <v>77001.36</v>
      </c>
      <c r="G14" s="33" t="n">
        <v>69860.48</v>
      </c>
      <c r="H14" s="13">
        <f>SUM(E14:G14)</f>
        <v>221620.54</v>
      </c>
      <c r="I14" s="13">
        <f>+E14</f>
        <v>74758.7</v>
      </c>
      <c r="J14" s="13">
        <f>+F14</f>
        <v>77001.36</v>
      </c>
      <c r="K14" s="13">
        <f>+G14</f>
        <v>69860.48</v>
      </c>
    </row>
    <row r="15">
      <c r="B15" s="3" t="inlineStr">
        <is>
          <t xml:space="preserve">   Reagents</t>
        </is>
      </c>
      <c r="D15" s="3" t="inlineStr">
        <is>
          <t>Medical Supplies</t>
        </is>
      </c>
      <c r="E15" s="33" t="n">
        <v>52039.5</v>
      </c>
      <c r="F15" s="33" t="n">
        <v>56217.96</v>
      </c>
      <c r="G15" s="33" t="n">
        <v>46736.19</v>
      </c>
      <c r="H15" s="13">
        <f>SUM(E15:G15)</f>
        <v>154993.65</v>
      </c>
      <c r="I15" s="13">
        <f>+E15</f>
        <v>52039.5</v>
      </c>
      <c r="J15" s="13">
        <f>+F15</f>
        <v>56217.96</v>
      </c>
      <c r="K15" s="13">
        <f>+G15</f>
        <v>46736.19</v>
      </c>
    </row>
    <row r="16">
      <c r="B16" s="2" t="inlineStr">
        <is>
          <t>Total Cost of Goods Sold</t>
        </is>
      </c>
      <c r="E16" s="35">
        <f>E12+E13+E14+E15</f>
        <v>253990.59</v>
      </c>
      <c r="F16" s="35">
        <f>F12+F13+F14+F15</f>
        <v>274987.73</v>
      </c>
      <c r="G16" s="35">
        <f>G12+G13+G14+G15</f>
        <v>234225.48</v>
      </c>
      <c r="H16" s="36">
        <f>SUM(E16:G16)</f>
        <v>763203.8</v>
      </c>
    </row>
    <row r="17">
      <c r="B17" s="2" t="inlineStr">
        <is>
          <t>Gross Profit</t>
        </is>
      </c>
      <c r="E17" s="36">
        <f>+E10-E16</f>
        <v>1057776.74</v>
      </c>
      <c r="F17" s="36">
        <f>+F10-F16</f>
        <v>1119476.54</v>
      </c>
      <c r="G17" s="36">
        <f>+G10-G16</f>
        <v>949599.27</v>
      </c>
      <c r="H17" s="36">
        <f>SUM(E17:G17)</f>
        <v>3126852.55</v>
      </c>
    </row>
    <row r="18">
      <c r="B18" s="2" t="inlineStr">
        <is>
          <t>Expenses</t>
        </is>
      </c>
    </row>
    <row r="19">
      <c r="B19" s="3" t="inlineStr">
        <is>
          <t xml:space="preserve">   Bank Fees</t>
        </is>
      </c>
      <c r="D19" s="3" t="inlineStr">
        <is>
          <t>Finance, Bank, &amp; Collection Charges</t>
        </is>
      </c>
      <c r="E19" s="33" t="n">
        <v>3814.04</v>
      </c>
      <c r="F19" s="33" t="n">
        <v>3962.16</v>
      </c>
      <c r="G19" s="33" t="n">
        <v>3418.78</v>
      </c>
      <c r="H19" s="13">
        <f>SUM(E19:G19)</f>
        <v>11194.98</v>
      </c>
      <c r="I19" s="13">
        <f>+E19</f>
        <v>3814.04</v>
      </c>
      <c r="J19" s="13">
        <f>+F19</f>
        <v>3962.16</v>
      </c>
      <c r="K19" s="13">
        <f>+G19</f>
        <v>3418.78</v>
      </c>
    </row>
    <row r="20">
      <c r="B20" s="3" t="inlineStr">
        <is>
          <t xml:space="preserve">      Cash</t>
        </is>
      </c>
      <c r="D20" s="3" t="inlineStr">
        <is>
          <t>Finance, Bank, &amp; Collection Charges</t>
        </is>
      </c>
      <c r="E20" s="33" t="n">
        <v>1634.59</v>
      </c>
      <c r="F20" s="33" t="n">
        <v>1698.07</v>
      </c>
      <c r="G20" s="33" t="n">
        <v>1465.19</v>
      </c>
      <c r="H20" s="13">
        <f>SUM(E20:G20)</f>
        <v>4797.85</v>
      </c>
      <c r="I20" s="13">
        <f>+E20</f>
        <v>1634.59</v>
      </c>
      <c r="J20" s="13">
        <f>+F20</f>
        <v>1698.07</v>
      </c>
      <c r="K20" s="13">
        <f>+G20</f>
        <v>1465.19</v>
      </c>
    </row>
    <row r="21">
      <c r="B21" s="2" t="inlineStr">
        <is>
          <t xml:space="preserve">   Total Bank Fees</t>
        </is>
      </c>
      <c r="E21" s="35">
        <f>E19+E20</f>
        <v>5448.63</v>
      </c>
      <c r="F21" s="35">
        <f>F19+F20</f>
        <v>5660.23</v>
      </c>
      <c r="G21" s="35">
        <f>G19+G20</f>
        <v>4883.97</v>
      </c>
      <c r="H21" s="36">
        <f>SUM(E21:G21)</f>
        <v>15992.83</v>
      </c>
    </row>
    <row r="22">
      <c r="B22" s="3" t="inlineStr">
        <is>
          <t xml:space="preserve">   Consulting</t>
        </is>
      </c>
      <c r="D22" s="3" t="inlineStr">
        <is>
          <t>Legal &amp; Professional Fees</t>
        </is>
      </c>
      <c r="E22" s="33" t="n">
        <v>6189.45</v>
      </c>
      <c r="F22" s="33" t="n">
        <v>6289.92</v>
      </c>
      <c r="G22" s="33" t="n">
        <v>6461.11</v>
      </c>
      <c r="H22" s="13">
        <f>SUM(E22:G22)</f>
        <v>18940.48</v>
      </c>
      <c r="I22" s="13">
        <f>+E22</f>
        <v>6189.45</v>
      </c>
      <c r="J22" s="13">
        <f>+F22</f>
        <v>6289.92</v>
      </c>
      <c r="K22" s="13">
        <f>+G22</f>
        <v>6461.11</v>
      </c>
    </row>
    <row r="23">
      <c r="B23" s="3" t="inlineStr">
        <is>
          <t xml:space="preserve">   Contractors</t>
        </is>
      </c>
      <c r="D23" s="3" t="inlineStr">
        <is>
          <t>Contract Labor</t>
        </is>
      </c>
      <c r="E23" s="33" t="n">
        <v>29625.63</v>
      </c>
      <c r="F23" s="33" t="n">
        <v>30177.2</v>
      </c>
      <c r="G23" s="33" t="n">
        <v>26298.13</v>
      </c>
      <c r="H23" s="13">
        <f>SUM(E23:G23)</f>
        <v>86100.96</v>
      </c>
      <c r="I23" s="13">
        <f>+E23</f>
        <v>29625.63</v>
      </c>
      <c r="J23" s="13">
        <f>+F23</f>
        <v>30177.2</v>
      </c>
      <c r="K23" s="13">
        <f>+G23</f>
        <v>26298.13</v>
      </c>
    </row>
    <row r="24">
      <c r="B24" s="3" t="inlineStr">
        <is>
          <t xml:space="preserve">   Delivery and Transportation</t>
        </is>
      </c>
      <c r="D24" s="3" t="inlineStr">
        <is>
          <t>Delivery and Transportation</t>
        </is>
      </c>
      <c r="E24" s="33" t="n">
        <v>7570.09</v>
      </c>
      <c r="F24" s="33" t="n">
        <v>8438.76</v>
      </c>
      <c r="G24" s="33" t="n">
        <v>7180.27</v>
      </c>
      <c r="H24" s="13">
        <f>SUM(E24:G24)</f>
        <v>23189.12</v>
      </c>
      <c r="I24" s="13">
        <f>+E24</f>
        <v>7570.09</v>
      </c>
      <c r="J24" s="13">
        <f>+F24</f>
        <v>8438.76</v>
      </c>
      <c r="K24" s="13">
        <f>+G24</f>
        <v>7180.27</v>
      </c>
    </row>
    <row r="25">
      <c r="B25" s="3" t="inlineStr">
        <is>
          <t xml:space="preserve">   Dues &amp; Subscriptions</t>
        </is>
      </c>
      <c r="D25" s="3" t="inlineStr">
        <is>
          <t>Dues &amp; Subscriptions</t>
        </is>
      </c>
      <c r="E25" s="33" t="n">
        <v>1934.62</v>
      </c>
      <c r="F25" s="33" t="n">
        <v>1819.25</v>
      </c>
      <c r="G25" s="33" t="n">
        <v>1919.04</v>
      </c>
      <c r="H25" s="13">
        <f>SUM(E25:G25)</f>
        <v>5672.91</v>
      </c>
      <c r="I25" s="13">
        <f>+E25</f>
        <v>1934.62</v>
      </c>
      <c r="J25" s="13">
        <f>+F25</f>
        <v>1819.25</v>
      </c>
      <c r="K25" s="13">
        <f>+G25</f>
        <v>1919.04</v>
      </c>
    </row>
    <row r="26">
      <c r="B26" s="3" t="inlineStr">
        <is>
          <t xml:space="preserve">   Equipment</t>
        </is>
      </c>
    </row>
    <row r="27">
      <c r="B27" s="3" t="inlineStr">
        <is>
          <t xml:space="preserve">      Lab Equipment</t>
        </is>
      </c>
      <c r="D27" s="3" t="inlineStr">
        <is>
          <t>Lab Equipment</t>
        </is>
      </c>
      <c r="E27" s="33" t="n">
        <v>5517.7</v>
      </c>
      <c r="F27" s="33" t="n">
        <v>5740.46</v>
      </c>
      <c r="G27" s="33" t="n">
        <v>5333.51</v>
      </c>
      <c r="H27" s="13">
        <f>SUM(E27:G27)</f>
        <v>16591.67</v>
      </c>
      <c r="I27" s="13">
        <f>+E27</f>
        <v>5517.7</v>
      </c>
      <c r="J27" s="13">
        <f>+F27</f>
        <v>5740.46</v>
      </c>
      <c r="K27" s="13">
        <f>+G27</f>
        <v>5333.51</v>
      </c>
    </row>
    <row r="28">
      <c r="B28" s="2" t="inlineStr">
        <is>
          <t xml:space="preserve">   Total Equipment</t>
        </is>
      </c>
      <c r="E28" s="35">
        <f>E27</f>
        <v>5517.7</v>
      </c>
      <c r="F28" s="35">
        <f>F27</f>
        <v>5740.46</v>
      </c>
      <c r="G28" s="35">
        <f>G27</f>
        <v>5333.51</v>
      </c>
      <c r="H28" s="36">
        <f>SUM(E28:G28)</f>
        <v>16591.67</v>
      </c>
    </row>
    <row r="29">
      <c r="B29" s="3" t="inlineStr">
        <is>
          <t xml:space="preserve">   Insurance Expense</t>
        </is>
      </c>
      <c r="D29" s="3" t="inlineStr">
        <is>
          <t>General Business</t>
        </is>
      </c>
      <c r="E29" s="33" t="n">
        <v>20403.37</v>
      </c>
      <c r="F29" s="33" t="n">
        <v>19957.11</v>
      </c>
      <c r="G29" s="33" t="n">
        <v>21181.83</v>
      </c>
      <c r="H29" s="13">
        <f>SUM(E29:G29)</f>
        <v>61542.31</v>
      </c>
      <c r="I29" s="13">
        <f>+E29</f>
        <v>20403.37</v>
      </c>
      <c r="J29" s="13">
        <f>+F29</f>
        <v>19957.11</v>
      </c>
      <c r="K29" s="13">
        <f>+G29</f>
        <v>21181.83</v>
      </c>
    </row>
    <row r="30">
      <c r="B30" s="3" t="inlineStr">
        <is>
          <t xml:space="preserve">   Interest Expense</t>
        </is>
      </c>
      <c r="D30" s="3" t="inlineStr">
        <is>
          <t>Interest Expense</t>
        </is>
      </c>
      <c r="E30" s="33" t="n">
        <v>3128.52</v>
      </c>
      <c r="F30" s="33" t="n">
        <v>3152.9</v>
      </c>
      <c r="G30" s="33" t="n">
        <v>2803.22</v>
      </c>
      <c r="H30" s="13">
        <f>SUM(E30:G30)</f>
        <v>9084.64</v>
      </c>
      <c r="I30" s="13">
        <f>+E30</f>
        <v>3128.52</v>
      </c>
      <c r="J30" s="13">
        <f>+F30</f>
        <v>3152.9</v>
      </c>
      <c r="K30" s="13">
        <f>+G30</f>
        <v>2803.22</v>
      </c>
    </row>
    <row r="31">
      <c r="B31" s="3" t="inlineStr">
        <is>
          <t xml:space="preserve">   Lease</t>
        </is>
      </c>
    </row>
    <row r="32">
      <c r="B32" s="3" t="inlineStr">
        <is>
          <t xml:space="preserve">      Equipment Lease</t>
        </is>
      </c>
      <c r="D32" s="3" t="inlineStr">
        <is>
          <t>Equipment Rentals</t>
        </is>
      </c>
      <c r="E32" s="33" t="n">
        <v>7426.4</v>
      </c>
      <c r="F32" s="33" t="n">
        <v>7102.3</v>
      </c>
      <c r="G32" s="33" t="n">
        <v>7863.62</v>
      </c>
      <c r="H32" s="13">
        <f>SUM(E32:G32)</f>
        <v>22392.32</v>
      </c>
      <c r="I32" s="13">
        <f>+E32</f>
        <v>7426.4</v>
      </c>
      <c r="J32" s="13">
        <f>+F32</f>
        <v>7102.3</v>
      </c>
      <c r="K32" s="13">
        <f>+G32</f>
        <v>7863.62</v>
      </c>
    </row>
    <row r="33">
      <c r="B33" s="2" t="inlineStr">
        <is>
          <t xml:space="preserve">   Total Lease</t>
        </is>
      </c>
      <c r="E33" s="35">
        <f>E32</f>
        <v>7426.4</v>
      </c>
      <c r="F33" s="35">
        <f>F32</f>
        <v>7102.3</v>
      </c>
      <c r="G33" s="35">
        <f>G32</f>
        <v>7863.62</v>
      </c>
      <c r="H33" s="36">
        <f>SUM(E33:G33)</f>
        <v>22392.32</v>
      </c>
    </row>
    <row r="34">
      <c r="B34" s="3" t="inlineStr">
        <is>
          <t xml:space="preserve">   Legal &amp; Professional Fees</t>
        </is>
      </c>
      <c r="D34" s="3" t="inlineStr">
        <is>
          <t>Legal &amp; Professional Fees</t>
        </is>
      </c>
      <c r="E34" s="33" t="n">
        <v>2496.88</v>
      </c>
      <c r="F34" s="33" t="n">
        <v>2647.97</v>
      </c>
      <c r="G34" s="33" t="n">
        <v>2439.87</v>
      </c>
      <c r="H34" s="13">
        <f>SUM(E34:G34)</f>
        <v>7584.72</v>
      </c>
      <c r="I34" s="13">
        <f>+E34</f>
        <v>2496.88</v>
      </c>
      <c r="J34" s="13">
        <f>+F34</f>
        <v>2647.97</v>
      </c>
      <c r="K34" s="13">
        <f>+G34</f>
        <v>2439.87</v>
      </c>
    </row>
    <row r="35">
      <c r="B35" s="3" t="inlineStr">
        <is>
          <t xml:space="preserve">      Accounting Service</t>
        </is>
      </c>
      <c r="D35" s="3" t="inlineStr">
        <is>
          <t>Legal &amp; Professional Fees</t>
        </is>
      </c>
      <c r="E35" s="33" t="n">
        <v>6242.2</v>
      </c>
      <c r="F35" s="33" t="n">
        <v>6619.93</v>
      </c>
      <c r="G35" s="33" t="n">
        <v>6099.68</v>
      </c>
      <c r="H35" s="13">
        <f>SUM(E35:G35)</f>
        <v>18961.81</v>
      </c>
      <c r="I35" s="13">
        <f>+E35</f>
        <v>6242.2</v>
      </c>
      <c r="J35" s="13">
        <f>+F35</f>
        <v>6619.93</v>
      </c>
      <c r="K35" s="13">
        <f>+G35</f>
        <v>6099.68</v>
      </c>
    </row>
    <row r="36">
      <c r="B36" s="3" t="inlineStr">
        <is>
          <t xml:space="preserve">      Professional Fees</t>
        </is>
      </c>
      <c r="D36" s="3" t="inlineStr">
        <is>
          <t>Legal &amp; Professional Fees</t>
        </is>
      </c>
      <c r="E36" s="33" t="n">
        <v>10868.42</v>
      </c>
      <c r="F36" s="33" t="n">
        <v>11369.71</v>
      </c>
      <c r="G36" s="33" t="n">
        <v>11565.3</v>
      </c>
      <c r="H36" s="13">
        <f>SUM(E36:G36)</f>
        <v>33803.43</v>
      </c>
      <c r="I36" s="13">
        <f>+E36</f>
        <v>10868.42</v>
      </c>
      <c r="J36" s="13">
        <f>+F36</f>
        <v>11369.71</v>
      </c>
      <c r="K36" s="13">
        <f>+G36</f>
        <v>11565.3</v>
      </c>
    </row>
    <row r="37">
      <c r="B37" s="2" t="inlineStr">
        <is>
          <t xml:space="preserve">   Total Legal &amp; Professional Fees</t>
        </is>
      </c>
      <c r="E37" s="35">
        <f>E34+E35+E36</f>
        <v>19607.5</v>
      </c>
      <c r="F37" s="35">
        <f>F34+F35+F36</f>
        <v>20637.61</v>
      </c>
      <c r="G37" s="35">
        <f>G34+G35+G36</f>
        <v>20104.85</v>
      </c>
      <c r="H37" s="36">
        <f>SUM(E37:G37)</f>
        <v>60349.96</v>
      </c>
    </row>
    <row r="38">
      <c r="B38" s="3" t="inlineStr">
        <is>
          <t xml:space="preserve">   Lab Credentialing</t>
        </is>
      </c>
      <c r="D38" s="3" t="inlineStr">
        <is>
          <t>Lab Credentialing</t>
        </is>
      </c>
      <c r="E38" s="33" t="n">
        <v>1907.69</v>
      </c>
      <c r="F38" s="33" t="n">
        <v>1839.54</v>
      </c>
      <c r="G38" s="33" t="n">
        <v>1887.56</v>
      </c>
      <c r="H38" s="13">
        <f>SUM(E38:G38)</f>
        <v>5634.79</v>
      </c>
      <c r="I38" s="13">
        <f>+E38</f>
        <v>1907.69</v>
      </c>
      <c r="J38" s="13">
        <f>+F38</f>
        <v>1839.54</v>
      </c>
      <c r="K38" s="13">
        <f>+G38</f>
        <v>1887.56</v>
      </c>
    </row>
    <row r="39">
      <c r="B39" s="3" t="inlineStr">
        <is>
          <t xml:space="preserve">   Office Supplies</t>
        </is>
      </c>
      <c r="D39" s="3" t="inlineStr">
        <is>
          <t>Office Expense, Supplies &amp; Postage</t>
        </is>
      </c>
      <c r="E39" s="33" t="n">
        <v>3527.76</v>
      </c>
      <c r="F39" s="33" t="n">
        <v>3688.86</v>
      </c>
      <c r="G39" s="33" t="n">
        <v>3383.31</v>
      </c>
      <c r="H39" s="13">
        <f>SUM(E39:G39)</f>
        <v>10599.93</v>
      </c>
      <c r="I39" s="13">
        <f>+E39</f>
        <v>3527.76</v>
      </c>
      <c r="J39" s="13">
        <f>+F39</f>
        <v>3688.86</v>
      </c>
      <c r="K39" s="13">
        <f>+G39</f>
        <v>3383.31</v>
      </c>
    </row>
    <row r="40">
      <c r="B40" s="3" t="inlineStr">
        <is>
          <t xml:space="preserve">   Other Office Expenses</t>
        </is>
      </c>
    </row>
    <row r="41">
      <c r="B41" s="3" t="inlineStr">
        <is>
          <t xml:space="preserve">      Meals and Entertainment</t>
        </is>
      </c>
      <c r="D41" s="3" t="inlineStr">
        <is>
          <t>Travel, Meals &amp; Entertainment</t>
        </is>
      </c>
      <c r="E41" s="33" t="n">
        <v>1558.82</v>
      </c>
      <c r="F41" s="33" t="n">
        <v>1573.5</v>
      </c>
      <c r="G41" s="33" t="n">
        <v>1513.7</v>
      </c>
      <c r="H41" s="13">
        <f>SUM(E41:G41)</f>
        <v>4646.02</v>
      </c>
      <c r="I41" s="13">
        <f>+E41</f>
        <v>1558.82</v>
      </c>
      <c r="J41" s="13">
        <f>+F41</f>
        <v>1573.5</v>
      </c>
      <c r="K41" s="13">
        <f>+G41</f>
        <v>1513.7</v>
      </c>
    </row>
    <row r="42">
      <c r="B42" s="3" t="inlineStr">
        <is>
          <t xml:space="preserve">      Reimbursement</t>
        </is>
      </c>
      <c r="D42" s="3" t="inlineStr">
        <is>
          <t>Other Operating Expenses</t>
        </is>
      </c>
      <c r="E42" s="33" t="n">
        <v>2751.45</v>
      </c>
      <c r="F42" s="33" t="n">
        <v>2983.76</v>
      </c>
      <c r="G42" s="33" t="n">
        <v>2822.72</v>
      </c>
      <c r="H42" s="13">
        <f>SUM(E42:G42)</f>
        <v>8557.93</v>
      </c>
      <c r="I42" s="13">
        <f>+E42</f>
        <v>2751.45</v>
      </c>
      <c r="J42" s="13">
        <f>+F42</f>
        <v>2983.76</v>
      </c>
      <c r="K42" s="13">
        <f>+G42</f>
        <v>2822.72</v>
      </c>
    </row>
    <row r="43">
      <c r="B43" s="2" t="inlineStr">
        <is>
          <t xml:space="preserve">   Total Other Office Expenses</t>
        </is>
      </c>
      <c r="E43" s="35">
        <f>E41+E42</f>
        <v>4310.27</v>
      </c>
      <c r="F43" s="35">
        <f>F41+F42</f>
        <v>4557.26</v>
      </c>
      <c r="G43" s="35">
        <f>G41+G42</f>
        <v>4336.42</v>
      </c>
      <c r="H43" s="36">
        <f>SUM(E43:G43)</f>
        <v>13203.95</v>
      </c>
    </row>
    <row r="44">
      <c r="B44" s="3" t="inlineStr">
        <is>
          <t xml:space="preserve">   Parking</t>
        </is>
      </c>
      <c r="D44" s="3" t="inlineStr">
        <is>
          <t>Automobile Expense</t>
        </is>
      </c>
      <c r="E44" s="33" t="n">
        <v>1382.89</v>
      </c>
      <c r="F44" s="33" t="n">
        <v>1258.32</v>
      </c>
      <c r="G44" s="33" t="n">
        <v>1407.32</v>
      </c>
      <c r="H44" s="13">
        <f>SUM(E44:G44)</f>
        <v>4048.53</v>
      </c>
      <c r="I44" s="13">
        <f>+E44</f>
        <v>1382.89</v>
      </c>
      <c r="J44" s="13">
        <f>+F44</f>
        <v>1258.32</v>
      </c>
      <c r="K44" s="13">
        <f>+G44</f>
        <v>1407.32</v>
      </c>
    </row>
    <row r="45">
      <c r="B45" s="3" t="inlineStr">
        <is>
          <t xml:space="preserve">   Postage and Delivery</t>
        </is>
      </c>
      <c r="D45" s="3" t="inlineStr">
        <is>
          <t>Office Expense, Supplies &amp; Postage</t>
        </is>
      </c>
      <c r="E45" s="33" t="n">
        <v>881.9400000000001</v>
      </c>
      <c r="F45" s="33" t="n">
        <v>922.21</v>
      </c>
      <c r="G45" s="33" t="n">
        <v>845.83</v>
      </c>
      <c r="H45" s="13">
        <f>SUM(E45:G45)</f>
        <v>2649.98</v>
      </c>
      <c r="I45" s="13">
        <f>+E45</f>
        <v>881.94</v>
      </c>
      <c r="J45" s="13">
        <f>+F45</f>
        <v>922.21</v>
      </c>
      <c r="K45" s="13">
        <f>+G45</f>
        <v>845.83</v>
      </c>
    </row>
    <row r="46">
      <c r="B46" s="3" t="inlineStr">
        <is>
          <t xml:space="preserve">   Property tax</t>
        </is>
      </c>
      <c r="D46" s="3" t="inlineStr">
        <is>
          <t>Taxes &amp; Licenses</t>
        </is>
      </c>
      <c r="E46" s="33" t="n">
        <v>2156.97</v>
      </c>
      <c r="F46" s="33" t="n">
        <v>2249.23</v>
      </c>
      <c r="G46" s="33" t="n">
        <v>2175.35</v>
      </c>
      <c r="H46" s="13">
        <f>SUM(E46:G46)</f>
        <v>6581.55</v>
      </c>
      <c r="I46" s="13">
        <f>+E46</f>
        <v>2156.97</v>
      </c>
      <c r="J46" s="13">
        <f>+F46</f>
        <v>2249.23</v>
      </c>
      <c r="K46" s="13">
        <f>+G46</f>
        <v>2175.35</v>
      </c>
    </row>
    <row r="47">
      <c r="B47" s="3" t="inlineStr">
        <is>
          <t xml:space="preserve">   QAQC</t>
        </is>
      </c>
      <c r="D47" s="3" t="inlineStr">
        <is>
          <t>Quality Control</t>
        </is>
      </c>
      <c r="E47" s="33" t="n">
        <v>3882.98</v>
      </c>
      <c r="F47" s="33" t="n">
        <v>3777.36</v>
      </c>
      <c r="G47" s="33" t="n">
        <v>4024.81</v>
      </c>
      <c r="H47" s="13">
        <f>SUM(E47:G47)</f>
        <v>11685.15</v>
      </c>
      <c r="I47" s="13">
        <f>+E47</f>
        <v>3882.98</v>
      </c>
      <c r="J47" s="13">
        <f>+F47</f>
        <v>3777.36</v>
      </c>
      <c r="K47" s="13">
        <f>+G47</f>
        <v>4024.81</v>
      </c>
    </row>
    <row r="48">
      <c r="B48" s="3" t="inlineStr">
        <is>
          <t xml:space="preserve">   Recruitment</t>
        </is>
      </c>
      <c r="D48" s="3" t="inlineStr">
        <is>
          <t>Recruitment Costs</t>
        </is>
      </c>
      <c r="E48" s="33" t="n">
        <v>2625.69</v>
      </c>
      <c r="F48" s="33" t="n">
        <v>2407.03</v>
      </c>
      <c r="G48" s="33" t="n">
        <v>2431.66</v>
      </c>
      <c r="H48" s="13">
        <f>SUM(E48:G48)</f>
        <v>7464.38</v>
      </c>
      <c r="I48" s="13">
        <f>+E48</f>
        <v>2625.69</v>
      </c>
      <c r="J48" s="13">
        <f>+F48</f>
        <v>2407.03</v>
      </c>
      <c r="K48" s="13">
        <f>+G48</f>
        <v>2431.66</v>
      </c>
    </row>
    <row r="49">
      <c r="B49" s="3" t="inlineStr">
        <is>
          <t xml:space="preserve">   Refunds</t>
        </is>
      </c>
      <c r="D49" s="3" t="inlineStr">
        <is>
          <t>Other Operating Expenses</t>
        </is>
      </c>
      <c r="E49" s="33" t="n">
        <v>17882.3</v>
      </c>
      <c r="F49" s="33" t="n">
        <v>18571.57</v>
      </c>
      <c r="G49" s="33" t="n">
        <v>15135.42</v>
      </c>
      <c r="H49" s="13">
        <f>SUM(E49:G49)</f>
        <v>51589.29</v>
      </c>
      <c r="I49" s="13">
        <f>+E49</f>
        <v>17882.3</v>
      </c>
      <c r="J49" s="13">
        <f>+F49</f>
        <v>18571.57</v>
      </c>
      <c r="K49" s="13">
        <f>+G49</f>
        <v>15135.42</v>
      </c>
    </row>
    <row r="50">
      <c r="B50" s="3" t="inlineStr">
        <is>
          <t xml:space="preserve">   Rent Expense</t>
        </is>
      </c>
      <c r="D50" s="3" t="inlineStr">
        <is>
          <t>Facility Rent</t>
        </is>
      </c>
      <c r="E50" s="33" t="n">
        <v>43353.99</v>
      </c>
      <c r="F50" s="33" t="n">
        <v>43742.9</v>
      </c>
      <c r="G50" s="33" t="n">
        <v>45360.16</v>
      </c>
      <c r="H50" s="13">
        <f>SUM(E50:G50)</f>
        <v>132457.05</v>
      </c>
      <c r="I50" s="13">
        <f>+E50</f>
        <v>43353.99</v>
      </c>
      <c r="J50" s="13">
        <f>+F50</f>
        <v>43742.9</v>
      </c>
      <c r="K50" s="13">
        <f>+G50</f>
        <v>45360.16</v>
      </c>
    </row>
    <row r="51">
      <c r="B51" s="3" t="inlineStr">
        <is>
          <t xml:space="preserve">   Repairs and Maintenance</t>
        </is>
      </c>
      <c r="D51" s="3" t="inlineStr">
        <is>
          <t>Repairs &amp; Maintenance</t>
        </is>
      </c>
      <c r="E51" s="33" t="n">
        <v>3753.91</v>
      </c>
      <c r="F51" s="33" t="n">
        <v>3766.24</v>
      </c>
      <c r="G51" s="33" t="n">
        <v>3562.45</v>
      </c>
      <c r="H51" s="13">
        <f>SUM(E51:G51)</f>
        <v>11082.6</v>
      </c>
      <c r="I51" s="13">
        <f>+E51</f>
        <v>3753.91</v>
      </c>
      <c r="J51" s="13">
        <f>+F51</f>
        <v>3766.24</v>
      </c>
      <c r="K51" s="13">
        <f>+G51</f>
        <v>3562.45</v>
      </c>
    </row>
    <row r="52">
      <c r="B52" s="3" t="inlineStr">
        <is>
          <t xml:space="preserve">      Automobile Expense</t>
        </is>
      </c>
      <c r="D52" s="3" t="inlineStr">
        <is>
          <t>Automobile Expense</t>
        </is>
      </c>
      <c r="E52" s="33" t="n">
        <v>1843.85</v>
      </c>
      <c r="F52" s="33" t="n">
        <v>1677.76</v>
      </c>
      <c r="G52" s="33" t="n">
        <v>1876.42</v>
      </c>
      <c r="H52" s="13">
        <f>SUM(E52:G52)</f>
        <v>5398.03</v>
      </c>
      <c r="I52" s="13">
        <f>+E52</f>
        <v>1843.85</v>
      </c>
      <c r="J52" s="13">
        <f>+F52</f>
        <v>1677.76</v>
      </c>
      <c r="K52" s="13">
        <f>+G52</f>
        <v>1876.42</v>
      </c>
    </row>
    <row r="53">
      <c r="B53" s="3" t="inlineStr">
        <is>
          <t xml:space="preserve">      Car expense</t>
        </is>
      </c>
      <c r="D53" s="3" t="inlineStr">
        <is>
          <t>Automobile Expense</t>
        </is>
      </c>
      <c r="E53" s="33" t="n">
        <v>1382.89</v>
      </c>
      <c r="F53" s="33" t="n">
        <v>1258.32</v>
      </c>
      <c r="G53" s="33" t="n">
        <v>1407.32</v>
      </c>
      <c r="H53" s="13">
        <f>SUM(E53:G53)</f>
        <v>4048.53</v>
      </c>
      <c r="I53" s="13">
        <f>+E53</f>
        <v>1382.89</v>
      </c>
      <c r="J53" s="13">
        <f>+F53</f>
        <v>1258.32</v>
      </c>
      <c r="K53" s="13">
        <f>+G53</f>
        <v>1407.32</v>
      </c>
    </row>
    <row r="54">
      <c r="B54" s="3" t="inlineStr">
        <is>
          <t xml:space="preserve">      Gas</t>
        </is>
      </c>
      <c r="D54" s="3" t="inlineStr">
        <is>
          <t>Automobile Expense</t>
        </is>
      </c>
      <c r="E54" s="33" t="n">
        <v>1927.45</v>
      </c>
      <c r="F54" s="33" t="n">
        <v>1892.48</v>
      </c>
      <c r="G54" s="33" t="n">
        <v>1892.1</v>
      </c>
      <c r="H54" s="13">
        <f>SUM(E54:G54)</f>
        <v>5712.03</v>
      </c>
      <c r="I54" s="13">
        <f>+E54</f>
        <v>1927.45</v>
      </c>
      <c r="J54" s="13">
        <f>+F54</f>
        <v>1892.48</v>
      </c>
      <c r="K54" s="13">
        <f>+G54</f>
        <v>1892.1</v>
      </c>
    </row>
    <row r="55">
      <c r="B55" s="3" t="inlineStr">
        <is>
          <t xml:space="preserve">      Hazard Waste</t>
        </is>
      </c>
      <c r="D55" s="3" t="inlineStr">
        <is>
          <t>Waste Removal</t>
        </is>
      </c>
      <c r="E55" s="33" t="n">
        <v>1890.13</v>
      </c>
      <c r="F55" s="33" t="n">
        <v>1978.98</v>
      </c>
      <c r="G55" s="33" t="n">
        <v>1806.3</v>
      </c>
      <c r="H55" s="13">
        <f>SUM(E55:G55)</f>
        <v>5675.41</v>
      </c>
      <c r="I55" s="13">
        <f>+E55</f>
        <v>1890.13</v>
      </c>
      <c r="J55" s="13">
        <f>+F55</f>
        <v>1978.98</v>
      </c>
      <c r="K55" s="13">
        <f>+G55</f>
        <v>1806.3</v>
      </c>
    </row>
    <row r="56">
      <c r="B56" s="3" t="inlineStr">
        <is>
          <t xml:space="preserve">      Landscaping</t>
        </is>
      </c>
      <c r="D56" s="3" t="inlineStr">
        <is>
          <t>Other Facility Expenses</t>
        </is>
      </c>
      <c r="E56" s="33" t="n">
        <v>2388.26</v>
      </c>
      <c r="F56" s="33" t="n">
        <v>2510.58</v>
      </c>
      <c r="G56" s="33" t="n">
        <v>2511.75</v>
      </c>
      <c r="H56" s="13">
        <f>SUM(E56:G56)</f>
        <v>7410.59</v>
      </c>
      <c r="I56" s="13">
        <f>+E56</f>
        <v>2388.26</v>
      </c>
      <c r="J56" s="13">
        <f>+F56</f>
        <v>2510.58</v>
      </c>
      <c r="K56" s="13">
        <f>+G56</f>
        <v>2511.75</v>
      </c>
    </row>
    <row r="57">
      <c r="B57" s="3" t="inlineStr">
        <is>
          <t xml:space="preserve">      Repairs and Maintenance</t>
        </is>
      </c>
      <c r="D57" s="3" t="inlineStr">
        <is>
          <t>Facility Repairs &amp; Maintenance</t>
        </is>
      </c>
      <c r="E57" s="33" t="n">
        <v>9552.870000000001</v>
      </c>
      <c r="F57" s="33" t="n">
        <v>9671.370000000001</v>
      </c>
      <c r="G57" s="33" t="n">
        <v>9508.35</v>
      </c>
      <c r="H57" s="13">
        <f>SUM(E57:G57)</f>
        <v>28732.59</v>
      </c>
      <c r="I57" s="13">
        <f>+E57</f>
        <v>9552.87</v>
      </c>
      <c r="J57" s="13">
        <f>+F57</f>
        <v>9671.37</v>
      </c>
      <c r="K57" s="13">
        <f>+G57</f>
        <v>9508.35</v>
      </c>
    </row>
    <row r="58">
      <c r="B58" s="3" t="inlineStr">
        <is>
          <t xml:space="preserve">      Waste Removal</t>
        </is>
      </c>
      <c r="D58" s="3" t="inlineStr">
        <is>
          <t>Waste Removal</t>
        </is>
      </c>
      <c r="E58" s="33" t="n">
        <v>1260.09</v>
      </c>
      <c r="F58" s="33" t="n">
        <v>1319.32</v>
      </c>
      <c r="G58" s="33" t="n">
        <v>1204.2</v>
      </c>
      <c r="H58" s="13">
        <f>SUM(E58:G58)</f>
        <v>3783.61</v>
      </c>
      <c r="I58" s="13">
        <f>+E58</f>
        <v>1260.09</v>
      </c>
      <c r="J58" s="13">
        <f>+F58</f>
        <v>1319.32</v>
      </c>
      <c r="K58" s="13">
        <f>+G58</f>
        <v>1204.2</v>
      </c>
    </row>
    <row r="59">
      <c r="B59" s="2" t="inlineStr">
        <is>
          <t xml:space="preserve">   Total Repairs and Maintenance</t>
        </is>
      </c>
      <c r="E59" s="35">
        <f>E51+E52+E53+E54+E55+E56+E57+E58</f>
        <v>23999.45</v>
      </c>
      <c r="F59" s="35">
        <f>F51+F52+F53+F54+F55+F56+F57+F58</f>
        <v>24075.05</v>
      </c>
      <c r="G59" s="35">
        <f>G51+G52+G53+G54+G55+G56+G57+G58</f>
        <v>23768.89</v>
      </c>
      <c r="H59" s="36">
        <f>SUM(E59:G59)</f>
        <v>71843.39</v>
      </c>
    </row>
    <row r="60">
      <c r="B60" s="3" t="inlineStr">
        <is>
          <t xml:space="preserve">   Salaries and Wages</t>
        </is>
      </c>
      <c r="D60" s="3" t="inlineStr">
        <is>
          <t>Salaries &amp; Wages</t>
        </is>
      </c>
      <c r="E60" s="33" t="n">
        <v>336098.26</v>
      </c>
      <c r="F60" s="33" t="n">
        <v>340503.83</v>
      </c>
      <c r="G60" s="33" t="n">
        <v>335832.28</v>
      </c>
      <c r="H60" s="13">
        <f>SUM(E60:G60)</f>
        <v>1012434.37</v>
      </c>
      <c r="I60" s="13">
        <f>+E60</f>
        <v>336098.26</v>
      </c>
      <c r="J60" s="13">
        <f>+F60</f>
        <v>340503.83</v>
      </c>
      <c r="K60" s="13">
        <f>+G60</f>
        <v>335832.28</v>
      </c>
    </row>
    <row r="61">
      <c r="B61" s="3" t="inlineStr">
        <is>
          <t xml:space="preserve">      Payroll Taxes</t>
        </is>
      </c>
      <c r="D61" s="3" t="inlineStr">
        <is>
          <t>Payroll Taxes</t>
        </is>
      </c>
      <c r="E61" s="33" t="n">
        <v>2474.47</v>
      </c>
      <c r="F61" s="33" t="n">
        <v>2479.96</v>
      </c>
      <c r="G61" s="33" t="n">
        <v>2472.6</v>
      </c>
      <c r="H61" s="13">
        <f>SUM(E61:G61)</f>
        <v>7427.03</v>
      </c>
      <c r="I61" s="13">
        <f>+E61</f>
        <v>2474.47</v>
      </c>
      <c r="J61" s="13">
        <f>+F61</f>
        <v>2479.96</v>
      </c>
      <c r="K61" s="13">
        <f>+G61</f>
        <v>2472.6</v>
      </c>
    </row>
    <row r="62">
      <c r="B62" s="3" t="inlineStr">
        <is>
          <t xml:space="preserve">      Payroll Processing Fee</t>
        </is>
      </c>
      <c r="D62" s="3" t="inlineStr">
        <is>
          <t>Payroll Processing Fee</t>
        </is>
      </c>
      <c r="E62" s="33" t="n">
        <v>254.85</v>
      </c>
      <c r="F62" s="33" t="n">
        <v>251.7</v>
      </c>
      <c r="G62" s="33" t="n">
        <v>256.3</v>
      </c>
      <c r="H62" s="13">
        <f>SUM(E62:G62)</f>
        <v>762.85</v>
      </c>
      <c r="I62" s="13">
        <f>+E62</f>
        <v>254.85</v>
      </c>
      <c r="J62" s="13">
        <f>+F62</f>
        <v>251.7</v>
      </c>
      <c r="K62" s="13">
        <f>+G62</f>
        <v>256.3</v>
      </c>
    </row>
    <row r="63">
      <c r="B63" s="3" t="inlineStr">
        <is>
          <t xml:space="preserve">      Benefits</t>
        </is>
      </c>
      <c r="D63" s="3" t="inlineStr">
        <is>
          <t>Employee Benefits</t>
        </is>
      </c>
      <c r="E63" s="33" t="n">
        <v>23121.22</v>
      </c>
      <c r="F63" s="33" t="n">
        <v>23283.72</v>
      </c>
      <c r="G63" s="33" t="n">
        <v>23241.01</v>
      </c>
      <c r="H63" s="13">
        <f>SUM(E63:G63)</f>
        <v>69645.95</v>
      </c>
      <c r="I63" s="13">
        <f>+E63</f>
        <v>23121.22</v>
      </c>
      <c r="J63" s="13">
        <f>+F63</f>
        <v>23283.72</v>
      </c>
      <c r="K63" s="13">
        <f>+G63</f>
        <v>23241.01</v>
      </c>
    </row>
    <row r="64">
      <c r="B64" s="2" t="inlineStr">
        <is>
          <t xml:space="preserve">   Total Salaries and Wages</t>
        </is>
      </c>
      <c r="E64" s="35">
        <f>E60+E61+E62+E63</f>
        <v>361948.8</v>
      </c>
      <c r="F64" s="35">
        <f>F60+F61+F62+F63</f>
        <v>366519.21</v>
      </c>
      <c r="G64" s="35">
        <f>G60+G61+G62+G63</f>
        <v>361802.19</v>
      </c>
      <c r="H64" s="36">
        <f>SUM(E64:G64)</f>
        <v>1090270.2</v>
      </c>
    </row>
    <row r="65">
      <c r="B65" s="3" t="inlineStr">
        <is>
          <t xml:space="preserve">   Sales and Marketing Expenses</t>
        </is>
      </c>
      <c r="D65" s="3" t="inlineStr">
        <is>
          <t>Sales Rep Expense</t>
        </is>
      </c>
      <c r="E65" s="33" t="n">
        <v>63206.61</v>
      </c>
      <c r="F65" s="33" t="n">
        <v>69262.96000000001</v>
      </c>
      <c r="G65" s="33" t="n">
        <v>59675.72</v>
      </c>
      <c r="H65" s="13">
        <f>SUM(E65:G65)</f>
        <v>192145.29</v>
      </c>
      <c r="I65" s="13">
        <f>+E65</f>
        <v>63206.61</v>
      </c>
      <c r="J65" s="13">
        <f>+F65</f>
        <v>69262.96</v>
      </c>
      <c r="K65" s="13">
        <f>+G65</f>
        <v>59675.72</v>
      </c>
    </row>
    <row r="66">
      <c r="B66" s="3" t="inlineStr">
        <is>
          <t xml:space="preserve">      Business Meetings &amp; Development</t>
        </is>
      </c>
      <c r="D66" s="3" t="inlineStr">
        <is>
          <t>Advertising &amp; Marketing</t>
        </is>
      </c>
      <c r="E66" s="33" t="n">
        <v>7295.68</v>
      </c>
      <c r="F66" s="33" t="n">
        <v>7411.76</v>
      </c>
      <c r="G66" s="33" t="n">
        <v>7220.43</v>
      </c>
      <c r="H66" s="13">
        <f>SUM(E66:G66)</f>
        <v>21927.87</v>
      </c>
      <c r="I66" s="13">
        <f>+E66</f>
        <v>7295.68</v>
      </c>
      <c r="J66" s="13">
        <f>+F66</f>
        <v>7411.76</v>
      </c>
      <c r="K66" s="13">
        <f>+G66</f>
        <v>7220.43</v>
      </c>
    </row>
    <row r="67">
      <c r="B67" s="2" t="inlineStr">
        <is>
          <t xml:space="preserve">   Total Sales and Marketing Expenses</t>
        </is>
      </c>
      <c r="E67" s="35">
        <f>E65+E66</f>
        <v>70502.29</v>
      </c>
      <c r="F67" s="35">
        <f>F65+F66</f>
        <v>76674.72</v>
      </c>
      <c r="G67" s="35">
        <f>G65+G66</f>
        <v>66896.15</v>
      </c>
      <c r="H67" s="36">
        <f>SUM(E67:G67)</f>
        <v>214073.16</v>
      </c>
    </row>
    <row r="68">
      <c r="B68" s="3" t="inlineStr">
        <is>
          <t xml:space="preserve">   Software</t>
        </is>
      </c>
      <c r="D68" s="3" t="inlineStr">
        <is>
          <t>Information Technology Expense</t>
        </is>
      </c>
      <c r="E68" s="33" t="n">
        <v>5784.9</v>
      </c>
      <c r="F68" s="33" t="n">
        <v>5295.86</v>
      </c>
      <c r="G68" s="33" t="n">
        <v>5348.92</v>
      </c>
      <c r="H68" s="13">
        <f>SUM(E68:G68)</f>
        <v>16429.68</v>
      </c>
      <c r="I68" s="13">
        <f>+E68</f>
        <v>5784.9</v>
      </c>
      <c r="J68" s="13">
        <f>+F68</f>
        <v>5295.86</v>
      </c>
      <c r="K68" s="13">
        <f>+G68</f>
        <v>5348.92</v>
      </c>
    </row>
    <row r="69">
      <c r="B69" s="3" t="inlineStr">
        <is>
          <t xml:space="preserve">      Billing Software as a Service</t>
        </is>
      </c>
      <c r="D69" s="3" t="inlineStr">
        <is>
          <t>Billing &amp; Collection Fees</t>
        </is>
      </c>
      <c r="E69" s="33" t="n">
        <v>65891.98</v>
      </c>
      <c r="F69" s="33" t="n">
        <v>67735.91</v>
      </c>
      <c r="G69" s="33" t="n">
        <v>60673.37</v>
      </c>
      <c r="H69" s="13">
        <f>SUM(E69:G69)</f>
        <v>194301.26</v>
      </c>
      <c r="I69" s="13">
        <f>+E69</f>
        <v>65891.98</v>
      </c>
      <c r="J69" s="13">
        <f>+F69</f>
        <v>67735.91</v>
      </c>
      <c r="K69" s="13">
        <f>+G69</f>
        <v>60673.37</v>
      </c>
    </row>
    <row r="70">
      <c r="B70" s="3" t="inlineStr">
        <is>
          <t xml:space="preserve">      Lab EMR Service</t>
        </is>
      </c>
      <c r="D70" s="3" t="inlineStr">
        <is>
          <t>Information Technology Expense</t>
        </is>
      </c>
      <c r="E70" s="33" t="n">
        <v>7713.2</v>
      </c>
      <c r="F70" s="33" t="n">
        <v>7061.14</v>
      </c>
      <c r="G70" s="33" t="n">
        <v>7131.9</v>
      </c>
      <c r="H70" s="13">
        <f>SUM(E70:G70)</f>
        <v>21906.24</v>
      </c>
      <c r="I70" s="13">
        <f>+E70</f>
        <v>7713.2</v>
      </c>
      <c r="J70" s="13">
        <f>+F70</f>
        <v>7061.14</v>
      </c>
      <c r="K70" s="13">
        <f>+G70</f>
        <v>7131.9</v>
      </c>
    </row>
    <row r="71">
      <c r="B71" s="3" t="inlineStr">
        <is>
          <t xml:space="preserve">      Interface Service</t>
        </is>
      </c>
      <c r="D71" s="3" t="inlineStr">
        <is>
          <t>Information Technology Expense</t>
        </is>
      </c>
      <c r="E71" s="33" t="n">
        <v>3856.6</v>
      </c>
      <c r="F71" s="33" t="n">
        <v>3530.57</v>
      </c>
      <c r="G71" s="33" t="n">
        <v>3565.95</v>
      </c>
      <c r="H71" s="13">
        <f>SUM(E71:G71)</f>
        <v>10953.12</v>
      </c>
      <c r="I71" s="13">
        <f>+E71</f>
        <v>3856.6</v>
      </c>
      <c r="J71" s="13">
        <f>+F71</f>
        <v>3530.57</v>
      </c>
      <c r="K71" s="13">
        <f>+G71</f>
        <v>3565.95</v>
      </c>
    </row>
    <row r="72">
      <c r="B72" s="2" t="inlineStr">
        <is>
          <t xml:space="preserve">   Total Software</t>
        </is>
      </c>
      <c r="E72" s="35">
        <f>E68+E69+E70+E71</f>
        <v>83246.68</v>
      </c>
      <c r="F72" s="35">
        <f>F68+F69+F70+F71</f>
        <v>83623.48</v>
      </c>
      <c r="G72" s="35">
        <f>G68+G69+G70+G71</f>
        <v>76720.14</v>
      </c>
      <c r="H72" s="36">
        <f>SUM(E72:G72)</f>
        <v>243590.3</v>
      </c>
    </row>
    <row r="73">
      <c r="B73" s="3" t="inlineStr">
        <is>
          <t xml:space="preserve">   Taxes and Licenses</t>
        </is>
      </c>
      <c r="D73" s="3" t="inlineStr">
        <is>
          <t>Taxes &amp; Licenses</t>
        </is>
      </c>
      <c r="E73" s="33" t="n">
        <v>862.79</v>
      </c>
      <c r="F73" s="33" t="n">
        <v>899.6900000000001</v>
      </c>
      <c r="G73" s="33" t="n">
        <v>870.14</v>
      </c>
      <c r="H73" s="13">
        <f>SUM(E73:G73)</f>
        <v>2632.62</v>
      </c>
      <c r="I73" s="13">
        <f>+E73</f>
        <v>862.79</v>
      </c>
      <c r="J73" s="13">
        <f>+F73</f>
        <v>899.69</v>
      </c>
      <c r="K73" s="13">
        <f>+G73</f>
        <v>870.14</v>
      </c>
    </row>
    <row r="74">
      <c r="B74" s="3" t="inlineStr">
        <is>
          <t xml:space="preserve">      Business Licenses and Permits</t>
        </is>
      </c>
      <c r="D74" s="3" t="inlineStr">
        <is>
          <t>Taxes &amp; Licenses</t>
        </is>
      </c>
      <c r="E74" s="33" t="n">
        <v>1294.18</v>
      </c>
      <c r="F74" s="33" t="n">
        <v>1349.54</v>
      </c>
      <c r="G74" s="33" t="n">
        <v>1305.21</v>
      </c>
      <c r="H74" s="13">
        <f>SUM(E74:G74)</f>
        <v>3948.93</v>
      </c>
      <c r="I74" s="13">
        <f>+E74</f>
        <v>1294.18</v>
      </c>
      <c r="J74" s="13">
        <f>+F74</f>
        <v>1349.54</v>
      </c>
      <c r="K74" s="13">
        <f>+G74</f>
        <v>1305.21</v>
      </c>
    </row>
    <row r="75">
      <c r="B75" s="2" t="inlineStr">
        <is>
          <t xml:space="preserve">   Total Taxes and Licenses</t>
        </is>
      </c>
      <c r="E75" s="35">
        <f>E73+E74</f>
        <v>2156.97</v>
      </c>
      <c r="F75" s="35">
        <f>F73+F74</f>
        <v>2249.23</v>
      </c>
      <c r="G75" s="35">
        <f>G73+G74</f>
        <v>2175.35</v>
      </c>
      <c r="H75" s="36">
        <f>SUM(E75:G75)</f>
        <v>6581.55</v>
      </c>
    </row>
    <row r="76">
      <c r="B76" s="3" t="inlineStr">
        <is>
          <t xml:space="preserve">   Telecom and Internet</t>
        </is>
      </c>
      <c r="D76" s="3" t="inlineStr">
        <is>
          <t>Information Technology Expense</t>
        </is>
      </c>
      <c r="E76" s="33" t="n">
        <v>5610.32</v>
      </c>
      <c r="F76" s="33" t="n">
        <v>5406.29</v>
      </c>
      <c r="G76" s="33" t="n">
        <v>5245.93</v>
      </c>
      <c r="H76" s="13">
        <f>SUM(E76:G76)</f>
        <v>16262.54</v>
      </c>
      <c r="I76" s="13">
        <f>+E76</f>
        <v>5610.32</v>
      </c>
      <c r="J76" s="13">
        <f>+F76</f>
        <v>5406.29</v>
      </c>
      <c r="K76" s="13">
        <f>+G76</f>
        <v>5245.93</v>
      </c>
    </row>
    <row r="77">
      <c r="B77" s="3" t="inlineStr">
        <is>
          <t xml:space="preserve">      Fax Service</t>
        </is>
      </c>
      <c r="D77" s="3" t="inlineStr">
        <is>
          <t>Information Technology Expense</t>
        </is>
      </c>
      <c r="E77" s="33" t="n">
        <v>1578.01</v>
      </c>
      <c r="F77" s="33" t="n">
        <v>1560.43</v>
      </c>
      <c r="G77" s="33" t="n">
        <v>1484.13</v>
      </c>
      <c r="H77" s="13">
        <f>SUM(E77:G77)</f>
        <v>4622.57</v>
      </c>
      <c r="I77" s="13">
        <f>+E77</f>
        <v>1578.01</v>
      </c>
      <c r="J77" s="13">
        <f>+F77</f>
        <v>1560.43</v>
      </c>
      <c r="K77" s="13">
        <f>+G77</f>
        <v>1484.13</v>
      </c>
    </row>
    <row r="78">
      <c r="B78" s="2" t="inlineStr">
        <is>
          <t xml:space="preserve">   Total Telecom and Internet</t>
        </is>
      </c>
      <c r="E78" s="35">
        <f>E76+E77</f>
        <v>7188.33</v>
      </c>
      <c r="F78" s="35">
        <f>F76+F77</f>
        <v>6966.72</v>
      </c>
      <c r="G78" s="35">
        <f>G76+G77</f>
        <v>6730.06</v>
      </c>
      <c r="H78" s="36">
        <f>SUM(E78:G78)</f>
        <v>20885.11</v>
      </c>
    </row>
    <row r="79">
      <c r="B79" s="3" t="inlineStr">
        <is>
          <t xml:space="preserve">   Travel Expense</t>
        </is>
      </c>
      <c r="D79" s="3" t="inlineStr">
        <is>
          <t>Travel, Meals &amp; Entertainment</t>
        </is>
      </c>
      <c r="E79" s="33" t="n">
        <v>2338.23</v>
      </c>
      <c r="F79" s="33" t="n">
        <v>2360.25</v>
      </c>
      <c r="G79" s="33" t="n">
        <v>2270.55</v>
      </c>
      <c r="H79" s="13">
        <f>SUM(E79:G79)</f>
        <v>6969.03</v>
      </c>
      <c r="I79" s="13">
        <f>+E79</f>
        <v>2338.23</v>
      </c>
      <c r="J79" s="13">
        <f>+F79</f>
        <v>2360.25</v>
      </c>
      <c r="K79" s="13">
        <f>+G79</f>
        <v>2270.55</v>
      </c>
    </row>
    <row r="80">
      <c r="B80" s="3" t="inlineStr">
        <is>
          <t xml:space="preserve">   Utilities</t>
        </is>
      </c>
      <c r="D80" s="3" t="inlineStr">
        <is>
          <t>Utilities</t>
        </is>
      </c>
      <c r="E80" s="33" t="n">
        <v>7569.46</v>
      </c>
      <c r="F80" s="33" t="n">
        <v>7723.55</v>
      </c>
      <c r="G80" s="33" t="n">
        <v>7138.56</v>
      </c>
      <c r="H80" s="13">
        <f>SUM(E80:G80)</f>
        <v>22431.57</v>
      </c>
      <c r="I80" s="13">
        <f>+E80</f>
        <v>7569.46</v>
      </c>
      <c r="J80" s="13">
        <f>+F80</f>
        <v>7723.55</v>
      </c>
      <c r="K80" s="13">
        <f>+G80</f>
        <v>7138.56</v>
      </c>
    </row>
    <row r="81">
      <c r="B81" s="2" t="inlineStr">
        <is>
          <t>Total Expenses</t>
        </is>
      </c>
      <c r="E81" s="35">
        <f>E21+E22+E23+E24+E25+E28+E29+E30+E33+E37+E38+E39+E43+E44+E45+E46+E47+E48+E49+E50+E59+E64+E67+E72+E75+E78+E79+E80</f>
        <v>747714.6</v>
      </c>
      <c r="F81" s="35">
        <f>F21+F22+F23+F24+F25+F28+F29+F30+F33+F37+F38+F39+F43+F44+F45+F46+F47+F48+F49+F50+F59+F64+F67+F72+F75+F78+F79+F80</f>
        <v>762182.23</v>
      </c>
      <c r="G81" s="35">
        <f>G21+G22+G23+G24+G25+G28+G29+G30+G33+G37+G38+G39+G43+G44+G45+G46+G47+G48+G49+G50+G59+G64+G67+G72+G75+G78+G79+G80</f>
        <v>732519.28</v>
      </c>
      <c r="H81" s="36">
        <f>SUM(E81:G81)</f>
        <v>2242416.11</v>
      </c>
    </row>
    <row r="82">
      <c r="B82" s="2" t="inlineStr">
        <is>
          <t>Net Operating Income</t>
        </is>
      </c>
      <c r="E82" s="36">
        <f>+E17-E81</f>
        <v>310062.14</v>
      </c>
      <c r="F82" s="36">
        <f>+F17-F81</f>
        <v>357294.31</v>
      </c>
      <c r="G82" s="36">
        <f>+G17-G81</f>
        <v>217079.99</v>
      </c>
      <c r="H82" s="36">
        <f>SUM(E82:G82)</f>
        <v>884436.44</v>
      </c>
    </row>
    <row r="83">
      <c r="B83" s="2" t="inlineStr">
        <is>
          <t>Net Income</t>
        </is>
      </c>
      <c r="E83" s="37">
        <f>+E82</f>
        <v>310062.14</v>
      </c>
      <c r="F83" s="37">
        <f>+F82</f>
        <v>357294.31</v>
      </c>
      <c r="G83" s="37">
        <f>+G82</f>
        <v>217079.99</v>
      </c>
      <c r="H83" s="36">
        <f>SUM(E83:G83)</f>
        <v>884436.44</v>
      </c>
    </row>
    <row r="88">
      <c r="B88" s="4" t="inlineStr">
        <is>
          <t>Friday, Dec 12, 2026 12:17:44 AM - Accrual Basis</t>
        </is>
      </c>
    </row>
    <row r="90">
      <c r="E90" s="38" t="n"/>
      <c r="F90" s="38" t="n"/>
      <c r="G90" s="38" t="n"/>
      <c r="H90" s="38" t="n"/>
      <c r="I90" s="38" t="n"/>
      <c r="J90" s="38" t="n"/>
      <c r="K90" s="38" t="n"/>
    </row>
    <row r="91">
      <c r="E91" s="38" t="n"/>
      <c r="F91" s="38" t="n"/>
      <c r="G91" s="38" t="n"/>
      <c r="H91" s="38" t="n"/>
      <c r="I91" s="38" t="n"/>
      <c r="J91" s="38" t="n"/>
      <c r="K91" s="38" t="n"/>
    </row>
    <row r="92">
      <c r="E92" s="38" t="n"/>
      <c r="F92" s="38" t="n"/>
      <c r="G92" s="38" t="n"/>
      <c r="H92" s="38" t="n"/>
      <c r="I92" s="38" t="n"/>
      <c r="J92" s="38" t="n"/>
      <c r="K92" s="38" t="n"/>
    </row>
    <row r="93">
      <c r="E93" s="38" t="n"/>
      <c r="F93" s="38" t="n"/>
      <c r="G93" s="38" t="n"/>
      <c r="H93" s="38" t="n"/>
      <c r="I93" s="38" t="n"/>
      <c r="J93" s="38" t="n"/>
      <c r="K93" s="38" t="n"/>
    </row>
    <row r="94">
      <c r="E94" s="38" t="n"/>
      <c r="F94" s="38" t="n"/>
      <c r="G94" s="38" t="n"/>
      <c r="H94" s="38" t="n"/>
      <c r="I94" s="38" t="n"/>
      <c r="J94" s="38" t="n"/>
      <c r="K94" s="38" t="n"/>
    </row>
    <row r="95">
      <c r="E95" s="38" t="n"/>
      <c r="F95" s="38" t="n"/>
      <c r="G95" s="38" t="n"/>
      <c r="H95" s="38" t="n"/>
      <c r="I95" s="38" t="n"/>
      <c r="J95" s="38" t="n"/>
      <c r="K95" s="38" t="n"/>
    </row>
    <row r="96">
      <c r="E96" s="38" t="n"/>
      <c r="F96" s="38" t="n"/>
      <c r="G96" s="38" t="n"/>
      <c r="H96" s="38" t="n"/>
      <c r="I96" s="38" t="n"/>
      <c r="J96" s="38" t="n"/>
      <c r="K96" s="38" t="n"/>
    </row>
    <row r="97">
      <c r="E97" s="38" t="n"/>
      <c r="F97" s="38" t="n"/>
      <c r="G97" s="38" t="n"/>
      <c r="H97" s="38" t="n"/>
      <c r="I97" s="38" t="n"/>
      <c r="J97" s="38" t="n"/>
      <c r="K97" s="38" t="n"/>
    </row>
    <row r="98">
      <c r="E98" s="38" t="n"/>
      <c r="F98" s="38" t="n"/>
      <c r="G98" s="38" t="n"/>
      <c r="H98" s="38" t="n"/>
      <c r="I98" s="38" t="n"/>
      <c r="J98" s="38" t="n"/>
      <c r="K98" s="38" t="n"/>
    </row>
    <row r="99">
      <c r="E99" s="38" t="n"/>
      <c r="F99" s="38" t="n"/>
      <c r="G99" s="38" t="n"/>
      <c r="H99" s="38" t="n"/>
      <c r="I99" s="38" t="n"/>
      <c r="J99" s="38" t="n"/>
      <c r="K99" s="38" t="n"/>
    </row>
    <row r="100">
      <c r="E100" s="38" t="n"/>
      <c r="F100" s="38" t="n"/>
      <c r="G100" s="38" t="n"/>
      <c r="H100" s="38" t="n"/>
      <c r="I100" s="38" t="n"/>
      <c r="J100" s="38" t="n"/>
      <c r="K100" s="38" t="n"/>
    </row>
    <row r="101">
      <c r="E101" s="38" t="n"/>
      <c r="F101" s="38" t="n"/>
      <c r="G101" s="38" t="n"/>
      <c r="H101" s="38" t="n"/>
      <c r="I101" s="38" t="n"/>
      <c r="J101" s="38" t="n"/>
      <c r="K101" s="38" t="n"/>
    </row>
    <row r="102">
      <c r="E102" s="38" t="n"/>
      <c r="F102" s="38" t="n"/>
      <c r="G102" s="38" t="n"/>
      <c r="H102" s="38" t="n"/>
      <c r="I102" s="38" t="n"/>
      <c r="J102" s="38" t="n"/>
      <c r="K102" s="38" t="n"/>
    </row>
    <row r="103">
      <c r="E103" s="38" t="n"/>
      <c r="F103" s="38" t="n"/>
      <c r="G103" s="38" t="n"/>
      <c r="H103" s="38" t="n"/>
      <c r="I103" s="38" t="n"/>
      <c r="J103" s="38" t="n"/>
      <c r="K103" s="38" t="n"/>
    </row>
    <row r="104">
      <c r="E104" s="38" t="n"/>
      <c r="F104" s="38" t="n"/>
      <c r="G104" s="38" t="n"/>
      <c r="H104" s="38" t="n"/>
      <c r="I104" s="38" t="n"/>
      <c r="J104" s="38" t="n"/>
      <c r="K104" s="38" t="n"/>
    </row>
    <row r="105">
      <c r="E105" s="38" t="n"/>
      <c r="F105" s="38" t="n"/>
      <c r="G105" s="38" t="n"/>
      <c r="H105" s="38" t="n"/>
      <c r="I105" s="38" t="n"/>
      <c r="J105" s="38" t="n"/>
      <c r="K105" s="38" t="n"/>
    </row>
    <row r="106">
      <c r="E106" s="38" t="n"/>
      <c r="F106" s="38" t="n"/>
      <c r="G106" s="38" t="n"/>
      <c r="H106" s="38" t="n"/>
      <c r="I106" s="38" t="n"/>
      <c r="J106" s="38" t="n"/>
      <c r="K106" s="38" t="n"/>
    </row>
    <row r="107">
      <c r="E107" s="38" t="n"/>
      <c r="F107" s="38" t="n"/>
      <c r="G107" s="38" t="n"/>
      <c r="H107" s="38" t="n"/>
      <c r="I107" s="38" t="n"/>
      <c r="J107" s="38" t="n"/>
      <c r="K107" s="38" t="n"/>
    </row>
    <row r="108">
      <c r="E108" s="38" t="n"/>
      <c r="F108" s="38" t="n"/>
      <c r="G108" s="38" t="n"/>
      <c r="H108" s="38" t="n"/>
      <c r="I108" s="38" t="n"/>
      <c r="J108" s="38" t="n"/>
      <c r="K108" s="38" t="n"/>
    </row>
    <row r="109">
      <c r="E109" s="38" t="n"/>
      <c r="F109" s="38" t="n"/>
      <c r="G109" s="38" t="n"/>
      <c r="H109" s="38" t="n"/>
      <c r="I109" s="38" t="n"/>
      <c r="J109" s="38" t="n"/>
      <c r="K109" s="38" t="n"/>
    </row>
    <row r="110">
      <c r="E110" s="38" t="n"/>
      <c r="F110" s="38" t="n"/>
      <c r="G110" s="38" t="n"/>
      <c r="H110" s="38" t="n"/>
      <c r="I110" s="38" t="n"/>
      <c r="J110" s="38" t="n"/>
      <c r="K110" s="38" t="n"/>
    </row>
    <row r="111">
      <c r="E111" s="38" t="n"/>
      <c r="F111" s="38" t="n"/>
      <c r="G111" s="38" t="n"/>
      <c r="H111" s="38" t="n"/>
      <c r="I111" s="38" t="n"/>
      <c r="J111" s="38" t="n"/>
      <c r="K111" s="38" t="n"/>
    </row>
    <row r="112">
      <c r="E112" s="38" t="n"/>
      <c r="F112" s="38" t="n"/>
      <c r="G112" s="38" t="n"/>
      <c r="H112" s="38" t="n"/>
      <c r="I112" s="38" t="n"/>
      <c r="J112" s="38" t="n"/>
      <c r="K112" s="38" t="n"/>
    </row>
    <row r="113">
      <c r="E113" s="38" t="n"/>
      <c r="F113" s="38" t="n"/>
      <c r="G113" s="38" t="n"/>
      <c r="H113" s="38" t="n"/>
      <c r="I113" s="38" t="n"/>
      <c r="J113" s="38" t="n"/>
      <c r="K113" s="38" t="n"/>
    </row>
    <row r="114">
      <c r="E114" s="38" t="n"/>
      <c r="F114" s="38" t="n"/>
      <c r="G114" s="38" t="n"/>
      <c r="H114" s="38" t="n"/>
      <c r="I114" s="38" t="n"/>
      <c r="J114" s="38" t="n"/>
      <c r="K114" s="38" t="n"/>
    </row>
    <row r="115">
      <c r="E115" s="38" t="n"/>
      <c r="F115" s="38" t="n"/>
      <c r="G115" s="38" t="n"/>
      <c r="H115" s="38" t="n"/>
      <c r="I115" s="38" t="n"/>
      <c r="J115" s="38" t="n"/>
      <c r="K115" s="38" t="n"/>
    </row>
    <row r="116">
      <c r="E116" s="38" t="n"/>
      <c r="F116" s="38" t="n"/>
      <c r="G116" s="38" t="n"/>
      <c r="H116" s="38" t="n"/>
      <c r="I116" s="38" t="n"/>
      <c r="J116" s="38" t="n"/>
      <c r="K116" s="38" t="n"/>
    </row>
    <row r="117">
      <c r="E117" s="38" t="n"/>
      <c r="F117" s="38" t="n"/>
      <c r="G117" s="38" t="n"/>
      <c r="H117" s="38" t="n"/>
      <c r="I117" s="38" t="n"/>
      <c r="J117" s="38" t="n"/>
      <c r="K117" s="38" t="n"/>
    </row>
    <row r="118">
      <c r="E118" s="38" t="n"/>
      <c r="F118" s="38" t="n"/>
      <c r="G118" s="38" t="n"/>
      <c r="H118" s="38" t="n"/>
      <c r="I118" s="38" t="n"/>
      <c r="J118" s="38" t="n"/>
      <c r="K118" s="38" t="n"/>
    </row>
    <row r="119">
      <c r="E119" s="38" t="n"/>
      <c r="F119" s="38" t="n"/>
      <c r="G119" s="38" t="n"/>
      <c r="H119" s="38" t="n"/>
      <c r="I119" s="38" t="n"/>
      <c r="J119" s="38" t="n"/>
      <c r="K119" s="38" t="n"/>
    </row>
    <row r="120">
      <c r="E120" s="38" t="n"/>
      <c r="F120" s="38" t="n"/>
      <c r="G120" s="38" t="n"/>
      <c r="H120" s="38" t="n"/>
      <c r="I120" s="38" t="n"/>
      <c r="J120" s="38" t="n"/>
      <c r="K120" s="38" t="n"/>
    </row>
    <row r="121">
      <c r="E121" s="38" t="n"/>
      <c r="F121" s="38" t="n"/>
      <c r="G121" s="38" t="n"/>
      <c r="H121" s="38" t="n"/>
      <c r="I121" s="38" t="n"/>
      <c r="J121" s="38" t="n"/>
      <c r="K121" s="38" t="n"/>
    </row>
    <row r="122">
      <c r="E122" s="38" t="n"/>
      <c r="F122" s="38" t="n"/>
      <c r="G122" s="38" t="n"/>
      <c r="H122" s="38" t="n"/>
      <c r="I122" s="38" t="n"/>
      <c r="J122" s="38" t="n"/>
      <c r="K122" s="38" t="n"/>
    </row>
    <row r="123">
      <c r="E123" s="38" t="n"/>
      <c r="F123" s="38" t="n"/>
      <c r="G123" s="38" t="n"/>
      <c r="H123" s="38" t="n"/>
      <c r="I123" s="38" t="n"/>
      <c r="J123" s="38" t="n"/>
      <c r="K123" s="38" t="n"/>
    </row>
    <row r="124">
      <c r="E124" s="38" t="n"/>
      <c r="F124" s="38" t="n"/>
      <c r="G124" s="38" t="n"/>
      <c r="H124" s="38" t="n"/>
      <c r="I124" s="38" t="n"/>
      <c r="J124" s="38" t="n"/>
      <c r="K124" s="38" t="n"/>
    </row>
    <row r="125">
      <c r="E125" s="38" t="n"/>
      <c r="F125" s="38" t="n"/>
      <c r="G125" s="38" t="n"/>
      <c r="H125" s="38" t="n"/>
      <c r="I125" s="38" t="n"/>
      <c r="J125" s="38" t="n"/>
      <c r="K125" s="38" t="n"/>
    </row>
    <row r="126">
      <c r="E126" s="38" t="n"/>
      <c r="F126" s="38" t="n"/>
      <c r="G126" s="38" t="n"/>
      <c r="H126" s="38" t="n"/>
      <c r="I126" s="38" t="n"/>
      <c r="J126" s="38" t="n"/>
      <c r="K126" s="38" t="n"/>
    </row>
    <row r="127">
      <c r="E127" s="38" t="n"/>
      <c r="F127" s="38" t="n"/>
      <c r="G127" s="38" t="n"/>
      <c r="H127" s="38" t="n"/>
      <c r="I127" s="38" t="n"/>
      <c r="J127" s="38" t="n"/>
      <c r="K127" s="38" t="n"/>
    </row>
    <row r="128">
      <c r="E128" s="38" t="n"/>
      <c r="F128" s="38" t="n"/>
      <c r="G128" s="38" t="n"/>
      <c r="H128" s="38" t="n"/>
      <c r="I128" s="38" t="n"/>
      <c r="J128" s="38" t="n"/>
      <c r="K128" s="38" t="n"/>
    </row>
    <row r="129">
      <c r="E129" s="38" t="n"/>
      <c r="F129" s="38" t="n"/>
      <c r="G129" s="38" t="n"/>
      <c r="H129" s="38" t="n"/>
      <c r="I129" s="38" t="n"/>
      <c r="J129" s="38" t="n"/>
      <c r="K129" s="38" t="n"/>
    </row>
    <row r="130">
      <c r="E130" s="38" t="n"/>
      <c r="F130" s="38" t="n"/>
      <c r="G130" s="38" t="n"/>
      <c r="H130" s="38" t="n"/>
      <c r="I130" s="38" t="n"/>
      <c r="J130" s="38" t="n"/>
      <c r="K130" s="38" t="n"/>
    </row>
    <row r="131">
      <c r="E131" s="38" t="n"/>
      <c r="F131" s="38" t="n"/>
      <c r="G131" s="38" t="n"/>
      <c r="H131" s="38" t="n"/>
      <c r="I131" s="38" t="n"/>
      <c r="J131" s="38" t="n"/>
      <c r="K131" s="38" t="n"/>
    </row>
    <row r="132">
      <c r="E132" s="38" t="n"/>
      <c r="F132" s="38" t="n"/>
      <c r="G132" s="38" t="n"/>
      <c r="H132" s="38" t="n"/>
      <c r="I132" s="38" t="n"/>
      <c r="J132" s="38" t="n"/>
      <c r="K132" s="38" t="n"/>
    </row>
    <row r="133">
      <c r="E133" s="38" t="n"/>
      <c r="F133" s="38" t="n"/>
      <c r="G133" s="38" t="n"/>
      <c r="H133" s="38" t="n"/>
      <c r="I133" s="38" t="n"/>
      <c r="J133" s="38" t="n"/>
      <c r="K133" s="38" t="n"/>
    </row>
    <row r="134">
      <c r="E134" s="38" t="n"/>
      <c r="F134" s="38" t="n"/>
      <c r="G134" s="38" t="n"/>
      <c r="H134" s="38" t="n"/>
      <c r="I134" s="38" t="n"/>
      <c r="J134" s="38" t="n"/>
      <c r="K134" s="38" t="n"/>
    </row>
    <row r="135">
      <c r="E135" s="38" t="n"/>
      <c r="F135" s="38" t="n"/>
      <c r="G135" s="38" t="n"/>
      <c r="H135" s="38" t="n"/>
      <c r="I135" s="38" t="n"/>
      <c r="J135" s="38" t="n"/>
      <c r="K135" s="38" t="n"/>
    </row>
    <row r="136">
      <c r="E136" s="38" t="n"/>
      <c r="F136" s="38" t="n"/>
      <c r="G136" s="38" t="n"/>
      <c r="H136" s="38" t="n"/>
      <c r="I136" s="38" t="n"/>
      <c r="J136" s="38" t="n"/>
      <c r="K136" s="38" t="n"/>
    </row>
    <row r="137">
      <c r="E137" s="38" t="n"/>
      <c r="F137" s="38" t="n"/>
      <c r="G137" s="38" t="n"/>
      <c r="H137" s="38" t="n"/>
      <c r="I137" s="38" t="n"/>
      <c r="J137" s="38" t="n"/>
      <c r="K137" s="38" t="n"/>
    </row>
    <row r="138">
      <c r="E138" s="38" t="n"/>
      <c r="F138" s="38" t="n"/>
      <c r="G138" s="38" t="n"/>
      <c r="H138" s="38" t="n"/>
      <c r="I138" s="38" t="n"/>
      <c r="J138" s="38" t="n"/>
      <c r="K138" s="38" t="n"/>
    </row>
    <row r="139">
      <c r="E139" s="38" t="n"/>
      <c r="F139" s="38" t="n"/>
      <c r="G139" s="38" t="n"/>
      <c r="H139" s="38" t="n"/>
      <c r="I139" s="38" t="n"/>
      <c r="J139" s="38" t="n"/>
      <c r="K139" s="3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47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0" customWidth="1" min="3" max="3"/>
    <col width="10" customWidth="1" min="4" max="4"/>
    <col width="30" customWidth="1" min="5" max="5"/>
    <col width="62" customWidth="1" min="6" max="6"/>
    <col width="26" customWidth="1" min="7" max="7"/>
    <col width="30" customWidth="1" min="8" max="8"/>
    <col width="14" customWidth="1" min="9" max="9"/>
    <col width="14" customWidth="1" min="10" max="10"/>
    <col width="10" customWidth="1" min="11" max="11"/>
    <col width="28" customWidth="1" min="12" max="12"/>
    <col width="34" customWidth="1" min="13" max="13"/>
  </cols>
  <sheetData>
    <row r="1">
      <c r="A1" s="2" t="inlineStr">
        <is>
          <t>General Ledger</t>
        </is>
      </c>
    </row>
    <row r="2">
      <c r="A2" s="2" t="inlineStr">
        <is>
          <t>ORIVANE CLINICAL LABORATORIES, LLC</t>
        </is>
      </c>
    </row>
    <row r="3">
      <c r="A3" s="3" t="inlineStr">
        <is>
          <t>January 1-November 30, 2026</t>
        </is>
      </c>
    </row>
    <row r="5">
      <c r="A5" s="9" t="n"/>
      <c r="B5" s="9" t="inlineStr">
        <is>
          <t>Date</t>
        </is>
      </c>
      <c r="C5" s="9" t="inlineStr">
        <is>
          <t>Transaction Type</t>
        </is>
      </c>
      <c r="D5" s="9" t="inlineStr">
        <is>
          <t>Num</t>
        </is>
      </c>
      <c r="E5" s="9" t="inlineStr">
        <is>
          <t>Name</t>
        </is>
      </c>
      <c r="F5" s="9" t="inlineStr">
        <is>
          <t>Memo/Description</t>
        </is>
      </c>
      <c r="G5" s="9" t="inlineStr">
        <is>
          <t>Split</t>
        </is>
      </c>
      <c r="H5" s="9" t="inlineStr">
        <is>
          <t>Account</t>
        </is>
      </c>
      <c r="I5" s="9" t="inlineStr">
        <is>
          <t>Amount</t>
        </is>
      </c>
      <c r="J5" s="9" t="inlineStr">
        <is>
          <t>Balance</t>
        </is>
      </c>
      <c r="K5" s="9" t="inlineStr">
        <is>
          <t>Month</t>
        </is>
      </c>
      <c r="L5" s="9" t="inlineStr">
        <is>
          <t>Account (helper)</t>
        </is>
      </c>
      <c r="M5" s="9" t="inlineStr">
        <is>
          <t>Mapped P&amp;L line</t>
        </is>
      </c>
    </row>
    <row r="6">
      <c r="A6" s="2" t="inlineStr">
        <is>
          <t>Checking – Operating</t>
        </is>
      </c>
    </row>
    <row r="7">
      <c r="B7" s="39" t="n">
        <v>46024</v>
      </c>
      <c r="C7" s="3" t="inlineStr">
        <is>
          <t>Credit Card Expense</t>
        </is>
      </c>
      <c r="D7" s="3" t="inlineStr"/>
      <c r="E7" s="3" t="inlineStr">
        <is>
          <t>Tessarand Payroll Services</t>
        </is>
      </c>
      <c r="F7" s="3" t="inlineStr">
        <is>
          <t>Sales and Marketing Expenses – January</t>
        </is>
      </c>
      <c r="G7" s="3" t="inlineStr">
        <is>
          <t>Sales and Marketing Expenses</t>
        </is>
      </c>
      <c r="H7" s="3" t="inlineStr">
        <is>
          <t>Checking – Operating</t>
        </is>
      </c>
      <c r="I7" s="33" t="n">
        <v>-17315.5</v>
      </c>
      <c r="J7" s="13">
        <f>+I7</f>
        <v>-17315.5</v>
      </c>
      <c r="K7" s="19">
        <f>+EOMONTH(B7,0)</f>
        <v>46053</v>
      </c>
      <c r="L7" s="3" t="inlineStr">
        <is>
          <t>Checking – Operating</t>
        </is>
      </c>
      <c r="M7" s="3" t="inlineStr">
        <is>
          <t>Balance Sheet</t>
        </is>
      </c>
    </row>
    <row r="8">
      <c r="B8" s="39" t="n">
        <v>46024</v>
      </c>
      <c r="C8" s="3" t="inlineStr">
        <is>
          <t>Deposit</t>
        </is>
      </c>
      <c r="D8" s="3" t="inlineStr"/>
      <c r="E8" s="3" t="inlineStr">
        <is>
          <t>Silvermoss Senior Living</t>
        </is>
      </c>
      <c r="F8" s="3" t="inlineStr">
        <is>
          <t>ORIG CO NAME:SILVERMOSS SL ORIG ID:XXXXXX4216 DESC DATE:260102 CO ENTRY DESCR:HCCLAIMPMT SEC:CCD TRACE#:XXXXXXXX8974530 EED:260102 IND ID:</t>
        </is>
      </c>
      <c r="G8" s="3" t="inlineStr">
        <is>
          <t>Service Income</t>
        </is>
      </c>
      <c r="H8" s="3" t="inlineStr">
        <is>
          <t>Checking – Operating</t>
        </is>
      </c>
      <c r="I8" s="33" t="n">
        <v>41213.01</v>
      </c>
      <c r="J8" s="13">
        <f>+J7+I8</f>
        <v>23897.51</v>
      </c>
      <c r="K8" s="19">
        <f>+EOMONTH(B8,0)</f>
        <v>46053</v>
      </c>
      <c r="L8" s="3" t="inlineStr">
        <is>
          <t>Checking – Operating</t>
        </is>
      </c>
      <c r="M8" s="3" t="inlineStr">
        <is>
          <t>Balance Sheet</t>
        </is>
      </c>
    </row>
    <row r="9">
      <c r="B9" s="39" t="n">
        <v>46024</v>
      </c>
      <c r="C9" s="3" t="inlineStr">
        <is>
          <t>Deposit</t>
        </is>
      </c>
      <c r="D9" s="3" t="inlineStr"/>
      <c r="E9" s="3" t="inlineStr">
        <is>
          <t>Lanternway Benefits</t>
        </is>
      </c>
      <c r="F9" s="3" t="inlineStr">
        <is>
          <t>ORIG CO NAME:LANTERNWAY BEN ORIG ID:XXXXXX8407 DESC DATE:260102 CO ENTRY DESCR:HCCLAIMPMT SEC:CCD TRACE#:XXXXXXXX4611892 EED:260102 IND ID:</t>
        </is>
      </c>
      <c r="G9" s="3" t="inlineStr">
        <is>
          <t>Service Income</t>
        </is>
      </c>
      <c r="H9" s="3" t="inlineStr">
        <is>
          <t>Checking – Operating</t>
        </is>
      </c>
      <c r="I9" s="33" t="n">
        <v>54034.1</v>
      </c>
      <c r="J9" s="13">
        <f>+J8+I9</f>
        <v>77931.61</v>
      </c>
      <c r="K9" s="19">
        <f>+EOMONTH(B9,0)</f>
        <v>46053</v>
      </c>
      <c r="L9" s="3" t="inlineStr">
        <is>
          <t>Checking – Operating</t>
        </is>
      </c>
      <c r="M9" s="3" t="inlineStr">
        <is>
          <t>Balance Sheet</t>
        </is>
      </c>
    </row>
    <row r="10">
      <c r="B10" s="39" t="n">
        <v>46024</v>
      </c>
      <c r="C10" s="3" t="inlineStr">
        <is>
          <t>Expense</t>
        </is>
      </c>
      <c r="D10" s="3" t="inlineStr"/>
      <c r="E10" s="3" t="inlineStr">
        <is>
          <t>Consultant A</t>
        </is>
      </c>
      <c r="F10" s="3" t="inlineStr">
        <is>
          <t>Professional Fees – January</t>
        </is>
      </c>
      <c r="G10" s="3" t="inlineStr">
        <is>
          <t>Professional Fees</t>
        </is>
      </c>
      <c r="H10" s="3" t="inlineStr">
        <is>
          <t>Checking – Operating</t>
        </is>
      </c>
      <c r="I10" s="33" t="n">
        <v>-4719.44</v>
      </c>
      <c r="J10" s="13">
        <f>+J9+I10</f>
        <v>73212.17</v>
      </c>
      <c r="K10" s="19">
        <f>+EOMONTH(B10,0)</f>
        <v>46053</v>
      </c>
      <c r="L10" s="3" t="inlineStr">
        <is>
          <t>Checking – Operating</t>
        </is>
      </c>
      <c r="M10" s="3" t="inlineStr">
        <is>
          <t>Balance Sheet</t>
        </is>
      </c>
    </row>
    <row r="11">
      <c r="B11" s="39" t="n">
        <v>46024</v>
      </c>
      <c r="C11" s="3" t="inlineStr">
        <is>
          <t>Journal Entry</t>
        </is>
      </c>
      <c r="D11" s="3" t="inlineStr"/>
      <c r="E11" s="3" t="inlineStr"/>
      <c r="F11" s="3" t="inlineStr">
        <is>
          <t>Travel Expense – January</t>
        </is>
      </c>
      <c r="G11" s="3" t="inlineStr">
        <is>
          <t>Travel Expense</t>
        </is>
      </c>
      <c r="H11" s="3" t="inlineStr">
        <is>
          <t>Checking – Operating</t>
        </is>
      </c>
      <c r="I11" s="33" t="n">
        <v>-1335.58</v>
      </c>
      <c r="J11" s="13">
        <f>+J10+I11</f>
        <v>71876.59</v>
      </c>
      <c r="K11" s="19">
        <f>+EOMONTH(B11,0)</f>
        <v>46053</v>
      </c>
      <c r="L11" s="3" t="inlineStr">
        <is>
          <t>Checking – Operating</t>
        </is>
      </c>
      <c r="M11" s="3" t="inlineStr">
        <is>
          <t>Balance Sheet</t>
        </is>
      </c>
    </row>
    <row r="12">
      <c r="B12" s="39" t="n">
        <v>46025</v>
      </c>
      <c r="C12" s="3" t="inlineStr">
        <is>
          <t>Credit Card Expense</t>
        </is>
      </c>
      <c r="D12" s="3" t="inlineStr"/>
      <c r="E12" s="3" t="inlineStr">
        <is>
          <t>Tessarand Payroll Services</t>
        </is>
      </c>
      <c r="F12" s="3" t="inlineStr">
        <is>
          <t>Contractors – January</t>
        </is>
      </c>
      <c r="G12" s="3" t="inlineStr">
        <is>
          <t>Contractors</t>
        </is>
      </c>
      <c r="H12" s="3" t="inlineStr">
        <is>
          <t>Checking – Operating</t>
        </is>
      </c>
      <c r="I12" s="33" t="n">
        <v>-8845.92</v>
      </c>
      <c r="J12" s="13">
        <f>+J11+I12</f>
        <v>63030.67</v>
      </c>
      <c r="K12" s="19">
        <f>+EOMONTH(B12,0)</f>
        <v>46053</v>
      </c>
      <c r="L12" s="3" t="inlineStr">
        <is>
          <t>Checking – Operating</t>
        </is>
      </c>
      <c r="M12" s="3" t="inlineStr">
        <is>
          <t>Balance Sheet</t>
        </is>
      </c>
    </row>
    <row r="13">
      <c r="B13" s="39" t="n">
        <v>46025</v>
      </c>
      <c r="C13" s="3" t="inlineStr">
        <is>
          <t>Deposit</t>
        </is>
      </c>
      <c r="D13" s="3" t="inlineStr"/>
      <c r="E13" s="3" t="inlineStr">
        <is>
          <t>Quayside Choice Senior Plan</t>
        </is>
      </c>
      <c r="F13" s="3" t="inlineStr">
        <is>
          <t>ORIG CO NAME:QUAYSIDE CHOICE SP ORIG ID:XXXXXX4889 DESC DATE:260103 CO ENTRY DESCR:HCCLAIMPMT SEC:CCD TRACE#:XXXXXXXX6043312 EED:260103 IND ID:</t>
        </is>
      </c>
      <c r="G13" s="3" t="inlineStr">
        <is>
          <t>Service Income</t>
        </is>
      </c>
      <c r="H13" s="3" t="inlineStr">
        <is>
          <t>Checking – Operating</t>
        </is>
      </c>
      <c r="I13" s="33" t="n">
        <v>35891.36</v>
      </c>
      <c r="J13" s="13">
        <f>+J12+I13</f>
        <v>98922.03</v>
      </c>
      <c r="K13" s="19">
        <f>+EOMONTH(B13,0)</f>
        <v>46053</v>
      </c>
      <c r="L13" s="3" t="inlineStr">
        <is>
          <t>Checking – Operating</t>
        </is>
      </c>
      <c r="M13" s="3" t="inlineStr">
        <is>
          <t>Balance Sheet</t>
        </is>
      </c>
    </row>
    <row r="14">
      <c r="B14" s="39" t="n">
        <v>46025</v>
      </c>
      <c r="C14" s="3" t="inlineStr">
        <is>
          <t>Journal Entry</t>
        </is>
      </c>
      <c r="D14" s="3" t="inlineStr"/>
      <c r="E14" s="3" t="inlineStr">
        <is>
          <t>Ledgerquill Billing SaaS</t>
        </is>
      </c>
      <c r="F14" s="3" t="inlineStr">
        <is>
          <t>Dues &amp; Subscriptions – January</t>
        </is>
      </c>
      <c r="G14" s="3" t="inlineStr">
        <is>
          <t>Dues &amp; Subscriptions</t>
        </is>
      </c>
      <c r="H14" s="3" t="inlineStr">
        <is>
          <t>Checking – Operating</t>
        </is>
      </c>
      <c r="I14" s="33" t="n">
        <v>-810.3</v>
      </c>
      <c r="J14" s="13">
        <f>+J13+I14</f>
        <v>98111.73</v>
      </c>
      <c r="K14" s="19">
        <f>+EOMONTH(B14,0)</f>
        <v>46053</v>
      </c>
      <c r="L14" s="3" t="inlineStr">
        <is>
          <t>Checking – Operating</t>
        </is>
      </c>
      <c r="M14" s="3" t="inlineStr">
        <is>
          <t>Balance Sheet</t>
        </is>
      </c>
    </row>
    <row r="15">
      <c r="B15" s="39" t="n">
        <v>46026</v>
      </c>
      <c r="C15" s="3" t="inlineStr">
        <is>
          <t>Credit Card Expense</t>
        </is>
      </c>
      <c r="D15" s="3" t="inlineStr"/>
      <c r="E15" s="3" t="inlineStr">
        <is>
          <t>Ledgerquill Billing SaaS</t>
        </is>
      </c>
      <c r="F15" s="3" t="inlineStr">
        <is>
          <t>Software – January</t>
        </is>
      </c>
      <c r="G15" s="3" t="inlineStr">
        <is>
          <t>Software</t>
        </is>
      </c>
      <c r="H15" s="3" t="inlineStr">
        <is>
          <t>Checking – Operating</t>
        </is>
      </c>
      <c r="I15" s="33" t="n">
        <v>-2653.5</v>
      </c>
      <c r="J15" s="13">
        <f>+J14+I15</f>
        <v>95458.23</v>
      </c>
      <c r="K15" s="19">
        <f>+EOMONTH(B15,0)</f>
        <v>46053</v>
      </c>
      <c r="L15" s="3" t="inlineStr">
        <is>
          <t>Checking – Operating</t>
        </is>
      </c>
      <c r="M15" s="3" t="inlineStr">
        <is>
          <t>Balance Sheet</t>
        </is>
      </c>
    </row>
    <row r="16">
      <c r="B16" s="39" t="n">
        <v>46026</v>
      </c>
      <c r="C16" s="3" t="inlineStr">
        <is>
          <t>Expense</t>
        </is>
      </c>
      <c r="D16" s="3" t="inlineStr"/>
      <c r="E16" s="3" t="inlineStr">
        <is>
          <t>Ledgerquill Billing SaaS</t>
        </is>
      </c>
      <c r="F16" s="3" t="inlineStr">
        <is>
          <t>Lab EMR Service – January</t>
        </is>
      </c>
      <c r="G16" s="3" t="inlineStr">
        <is>
          <t>Lab EMR Service</t>
        </is>
      </c>
      <c r="H16" s="3" t="inlineStr">
        <is>
          <t>Checking – Operating</t>
        </is>
      </c>
      <c r="I16" s="33" t="n">
        <v>-3162.35</v>
      </c>
      <c r="J16" s="13">
        <f>+J15+I16</f>
        <v>92295.88</v>
      </c>
      <c r="K16" s="19">
        <f>+EOMONTH(B16,0)</f>
        <v>46053</v>
      </c>
      <c r="L16" s="3" t="inlineStr">
        <is>
          <t>Checking – Operating</t>
        </is>
      </c>
      <c r="M16" s="3" t="inlineStr">
        <is>
          <t>Balance Sheet</t>
        </is>
      </c>
    </row>
    <row r="17">
      <c r="B17" s="39" t="n">
        <v>46026</v>
      </c>
      <c r="C17" s="3" t="inlineStr">
        <is>
          <t>Payroll Check</t>
        </is>
      </c>
      <c r="D17" s="3" t="inlineStr"/>
      <c r="E17" s="3" t="inlineStr">
        <is>
          <t>Tessarand Payroll Services</t>
        </is>
      </c>
      <c r="F17" s="3" t="inlineStr">
        <is>
          <t>Payroll – biweekly</t>
        </is>
      </c>
      <c r="G17" s="3" t="inlineStr">
        <is>
          <t>Salaries and Wages</t>
        </is>
      </c>
      <c r="H17" s="3" t="inlineStr">
        <is>
          <t>Checking – Operating</t>
        </is>
      </c>
      <c r="I17" s="33" t="n">
        <v>-131458.93</v>
      </c>
      <c r="J17" s="13">
        <f>+J16+I17</f>
        <v>-39163.05</v>
      </c>
      <c r="K17" s="19">
        <f>+EOMONTH(B17,0)</f>
        <v>46053</v>
      </c>
      <c r="L17" s="3" t="inlineStr">
        <is>
          <t>Checking – Operating</t>
        </is>
      </c>
      <c r="M17" s="3" t="inlineStr">
        <is>
          <t>Balance Sheet</t>
        </is>
      </c>
    </row>
    <row r="18">
      <c r="B18" s="39" t="n">
        <v>46027</v>
      </c>
      <c r="C18" s="3" t="inlineStr">
        <is>
          <t>Journal Entry</t>
        </is>
      </c>
      <c r="D18" s="3" t="inlineStr"/>
      <c r="E18" s="3" t="inlineStr"/>
      <c r="F18" s="3" t="inlineStr">
        <is>
          <t>Reimbursement – January</t>
        </is>
      </c>
      <c r="G18" s="3" t="inlineStr">
        <is>
          <t>Reimbursement</t>
        </is>
      </c>
      <c r="H18" s="3" t="inlineStr">
        <is>
          <t>Checking – Operating</t>
        </is>
      </c>
      <c r="I18" s="33" t="n">
        <v>-914.85</v>
      </c>
      <c r="J18" s="13">
        <f>+J17+I18</f>
        <v>-40077.9</v>
      </c>
      <c r="K18" s="19">
        <f>+EOMONTH(B18,0)</f>
        <v>46053</v>
      </c>
      <c r="L18" s="3" t="inlineStr">
        <is>
          <t>Checking – Operating</t>
        </is>
      </c>
      <c r="M18" s="3" t="inlineStr">
        <is>
          <t>Balance Sheet</t>
        </is>
      </c>
    </row>
    <row r="19">
      <c r="B19" s="39" t="n">
        <v>46028</v>
      </c>
      <c r="C19" s="3" t="inlineStr">
        <is>
          <t>Expense</t>
        </is>
      </c>
      <c r="D19" s="3" t="inlineStr"/>
      <c r="E19" s="3" t="inlineStr">
        <is>
          <t>Vialtrace Lab Supplies Inc</t>
        </is>
      </c>
      <c r="F19" s="3" t="inlineStr">
        <is>
          <t>Office Supplies – January</t>
        </is>
      </c>
      <c r="G19" s="3" t="inlineStr">
        <is>
          <t>Office Supplies</t>
        </is>
      </c>
      <c r="H19" s="3" t="inlineStr">
        <is>
          <t>Checking – Operating</t>
        </is>
      </c>
      <c r="I19" s="33" t="n">
        <v>-1529.96</v>
      </c>
      <c r="J19" s="13">
        <f>+J18+I19</f>
        <v>-41607.86</v>
      </c>
      <c r="K19" s="19">
        <f>+EOMONTH(B19,0)</f>
        <v>46053</v>
      </c>
      <c r="L19" s="3" t="inlineStr">
        <is>
          <t>Checking – Operating</t>
        </is>
      </c>
      <c r="M19" s="3" t="inlineStr">
        <is>
          <t>Balance Sheet</t>
        </is>
      </c>
    </row>
    <row r="20">
      <c r="B20" s="39" t="n">
        <v>46028</v>
      </c>
      <c r="C20" s="3" t="inlineStr">
        <is>
          <t>Expense</t>
        </is>
      </c>
      <c r="D20" s="3" t="inlineStr"/>
      <c r="E20" s="3" t="inlineStr"/>
      <c r="F20" s="3" t="inlineStr">
        <is>
          <t>Business Meetings &amp; Development – January</t>
        </is>
      </c>
      <c r="G20" s="3" t="inlineStr">
        <is>
          <t>Business Meetings &amp; Development</t>
        </is>
      </c>
      <c r="H20" s="3" t="inlineStr">
        <is>
          <t>Checking – Operating</t>
        </is>
      </c>
      <c r="I20" s="33" t="n">
        <v>-3186.02</v>
      </c>
      <c r="J20" s="13">
        <f>+J19+I20</f>
        <v>-44793.88</v>
      </c>
      <c r="K20" s="19">
        <f>+EOMONTH(B20,0)</f>
        <v>46053</v>
      </c>
      <c r="L20" s="3" t="inlineStr">
        <is>
          <t>Checking – Operating</t>
        </is>
      </c>
      <c r="M20" s="3" t="inlineStr">
        <is>
          <t>Balance Sheet</t>
        </is>
      </c>
    </row>
    <row r="21">
      <c r="B21" s="39" t="n">
        <v>46029</v>
      </c>
      <c r="C21" s="3" t="inlineStr">
        <is>
          <t>Expense</t>
        </is>
      </c>
      <c r="D21" s="3" t="inlineStr"/>
      <c r="E21" s="3" t="inlineStr"/>
      <c r="F21" s="3" t="inlineStr">
        <is>
          <t>Car expense – January</t>
        </is>
      </c>
      <c r="G21" s="3" t="inlineStr">
        <is>
          <t>Car expense</t>
        </is>
      </c>
      <c r="H21" s="3" t="inlineStr">
        <is>
          <t>Checking – Operating</t>
        </is>
      </c>
      <c r="I21" s="33" t="n">
        <v>-701.74</v>
      </c>
      <c r="J21" s="13">
        <f>+J20+I21</f>
        <v>-45495.62</v>
      </c>
      <c r="K21" s="19">
        <f>+EOMONTH(B21,0)</f>
        <v>46053</v>
      </c>
      <c r="L21" s="3" t="inlineStr">
        <is>
          <t>Checking – Operating</t>
        </is>
      </c>
      <c r="M21" s="3" t="inlineStr">
        <is>
          <t>Balance Sheet</t>
        </is>
      </c>
    </row>
    <row r="22">
      <c r="B22" s="39" t="n">
        <v>46029</v>
      </c>
      <c r="C22" s="3" t="inlineStr">
        <is>
          <t>Journal Entry</t>
        </is>
      </c>
      <c r="D22" s="3" t="inlineStr"/>
      <c r="E22" s="3" t="inlineStr">
        <is>
          <t>Ledgerquill Billing SaaS</t>
        </is>
      </c>
      <c r="F22" s="3" t="inlineStr">
        <is>
          <t>Dues &amp; Subscriptions – January</t>
        </is>
      </c>
      <c r="G22" s="3" t="inlineStr">
        <is>
          <t>Dues &amp; Subscriptions</t>
        </is>
      </c>
      <c r="H22" s="3" t="inlineStr">
        <is>
          <t>Checking – Operating</t>
        </is>
      </c>
      <c r="I22" s="33" t="n">
        <v>-989.7</v>
      </c>
      <c r="J22" s="13">
        <f>+J21+I22</f>
        <v>-46485.32</v>
      </c>
      <c r="K22" s="19">
        <f>+EOMONTH(B22,0)</f>
        <v>46053</v>
      </c>
      <c r="L22" s="3" t="inlineStr">
        <is>
          <t>Checking – Operating</t>
        </is>
      </c>
      <c r="M22" s="3" t="inlineStr">
        <is>
          <t>Balance Sheet</t>
        </is>
      </c>
    </row>
    <row r="23">
      <c r="B23" s="39" t="n">
        <v>46029</v>
      </c>
      <c r="C23" s="3" t="inlineStr">
        <is>
          <t>Journal Entry</t>
        </is>
      </c>
      <c r="D23" s="3" t="inlineStr"/>
      <c r="E23" s="3" t="inlineStr">
        <is>
          <t>Swiftmere Courier</t>
        </is>
      </c>
      <c r="F23" s="3" t="inlineStr">
        <is>
          <t>Postage and Delivery – January</t>
        </is>
      </c>
      <c r="G23" s="3" t="inlineStr">
        <is>
          <t>Postage and Delivery</t>
        </is>
      </c>
      <c r="H23" s="3" t="inlineStr">
        <is>
          <t>Checking – Operating</t>
        </is>
      </c>
      <c r="I23" s="33" t="n">
        <v>-780</v>
      </c>
      <c r="J23" s="13">
        <f>+J22+I23</f>
        <v>-47265.32</v>
      </c>
      <c r="K23" s="19">
        <f>+EOMONTH(B23,0)</f>
        <v>46053</v>
      </c>
      <c r="L23" s="3" t="inlineStr">
        <is>
          <t>Checking – Operating</t>
        </is>
      </c>
      <c r="M23" s="3" t="inlineStr">
        <is>
          <t>Balance Sheet</t>
        </is>
      </c>
    </row>
    <row r="24">
      <c r="B24" s="39" t="n">
        <v>46029</v>
      </c>
      <c r="C24" s="3" t="inlineStr">
        <is>
          <t>Journal Entry</t>
        </is>
      </c>
      <c r="D24" s="3" t="inlineStr"/>
      <c r="E24" s="3" t="inlineStr">
        <is>
          <t>Lumenlease Equipment</t>
        </is>
      </c>
      <c r="F24" s="3" t="inlineStr">
        <is>
          <t>Repairs and Maintenance – January</t>
        </is>
      </c>
      <c r="G24" s="3" t="inlineStr">
        <is>
          <t>Repairs and Maintenance</t>
        </is>
      </c>
      <c r="H24" s="3" t="inlineStr">
        <is>
          <t>Checking – Operating</t>
        </is>
      </c>
      <c r="I24" s="33" t="n">
        <v>-1850.58</v>
      </c>
      <c r="J24" s="13">
        <f>+J23+I24</f>
        <v>-49115.9</v>
      </c>
      <c r="K24" s="19">
        <f>+EOMONTH(B24,0)</f>
        <v>46053</v>
      </c>
      <c r="L24" s="3" t="inlineStr">
        <is>
          <t>Checking – Operating</t>
        </is>
      </c>
      <c r="M24" s="3" t="inlineStr">
        <is>
          <t>Balance Sheet</t>
        </is>
      </c>
    </row>
    <row r="25">
      <c r="B25" s="39" t="n">
        <v>46030</v>
      </c>
      <c r="C25" s="3" t="inlineStr">
        <is>
          <t>Credit Card Expense</t>
        </is>
      </c>
      <c r="D25" s="3" t="inlineStr"/>
      <c r="E25" s="3" t="inlineStr"/>
      <c r="F25" s="3" t="inlineStr">
        <is>
          <t>Property tax installment</t>
        </is>
      </c>
      <c r="G25" s="3" t="inlineStr">
        <is>
          <t>Property tax</t>
        </is>
      </c>
      <c r="H25" s="3" t="inlineStr">
        <is>
          <t>Checking – Operating</t>
        </is>
      </c>
      <c r="I25" s="33" t="n">
        <v>-797.6900000000001</v>
      </c>
      <c r="J25" s="13">
        <f>+J24+I25</f>
        <v>-49913.59</v>
      </c>
      <c r="K25" s="19">
        <f>+EOMONTH(B25,0)</f>
        <v>46053</v>
      </c>
      <c r="L25" s="3" t="inlineStr">
        <is>
          <t>Checking – Operating</t>
        </is>
      </c>
      <c r="M25" s="3" t="inlineStr">
        <is>
          <t>Balance Sheet</t>
        </is>
      </c>
    </row>
    <row r="26">
      <c r="B26" s="39" t="n">
        <v>46030</v>
      </c>
      <c r="C26" s="3" t="inlineStr">
        <is>
          <t>Deposit</t>
        </is>
      </c>
      <c r="D26" s="3" t="inlineStr"/>
      <c r="E26" s="3" t="inlineStr">
        <is>
          <t>Quayside Choice Senior Plan</t>
        </is>
      </c>
      <c r="F26" s="3" t="inlineStr">
        <is>
          <t>ORIG CO NAME:QUAYSIDE CHOICE SP ORIG ID:XXXXXX1812 DESC DATE:260108 CO ENTRY DESCR:HCCLAIMPMT SEC:CCD TRACE#:XXXXXXXX8303767 EED:260108 IND ID:</t>
        </is>
      </c>
      <c r="G26" s="3" t="inlineStr">
        <is>
          <t>Service Income</t>
        </is>
      </c>
      <c r="H26" s="3" t="inlineStr">
        <is>
          <t>Checking – Operating</t>
        </is>
      </c>
      <c r="I26" s="33" t="n">
        <v>61228.14</v>
      </c>
      <c r="J26" s="13">
        <f>+J25+I26</f>
        <v>11314.55</v>
      </c>
      <c r="K26" s="19">
        <f>+EOMONTH(B26,0)</f>
        <v>46053</v>
      </c>
      <c r="L26" s="3" t="inlineStr">
        <is>
          <t>Checking – Operating</t>
        </is>
      </c>
      <c r="M26" s="3" t="inlineStr">
        <is>
          <t>Balance Sheet</t>
        </is>
      </c>
    </row>
    <row r="27">
      <c r="B27" s="39" t="n">
        <v>46030</v>
      </c>
      <c r="C27" s="3" t="inlineStr">
        <is>
          <t>Expense</t>
        </is>
      </c>
      <c r="D27" s="3" t="inlineStr"/>
      <c r="E27" s="3" t="inlineStr">
        <is>
          <t>Halloway Ridge Realty (rent)</t>
        </is>
      </c>
      <c r="F27" s="3" t="inlineStr">
        <is>
          <t>Landscaping – January</t>
        </is>
      </c>
      <c r="G27" s="3" t="inlineStr">
        <is>
          <t>Landscaping</t>
        </is>
      </c>
      <c r="H27" s="3" t="inlineStr">
        <is>
          <t>Checking – Operating</t>
        </is>
      </c>
      <c r="I27" s="33" t="n">
        <v>-1390.46</v>
      </c>
      <c r="J27" s="13">
        <f>+J26+I27</f>
        <v>9924.09</v>
      </c>
      <c r="K27" s="19">
        <f>+EOMONTH(B27,0)</f>
        <v>46053</v>
      </c>
      <c r="L27" s="3" t="inlineStr">
        <is>
          <t>Checking – Operating</t>
        </is>
      </c>
      <c r="M27" s="3" t="inlineStr">
        <is>
          <t>Balance Sheet</t>
        </is>
      </c>
    </row>
    <row r="28">
      <c r="B28" s="39" t="n">
        <v>46031</v>
      </c>
      <c r="C28" s="3" t="inlineStr">
        <is>
          <t>Credit Card Expense</t>
        </is>
      </c>
      <c r="D28" s="3" t="inlineStr"/>
      <c r="E28" s="3" t="inlineStr"/>
      <c r="F28" s="3" t="inlineStr">
        <is>
          <t>Lab Credentialing – January</t>
        </is>
      </c>
      <c r="G28" s="3" t="inlineStr">
        <is>
          <t>Lab Credentialing</t>
        </is>
      </c>
      <c r="H28" s="3" t="inlineStr">
        <is>
          <t>Checking – Operating</t>
        </is>
      </c>
      <c r="I28" s="33" t="n">
        <v>-871.1</v>
      </c>
      <c r="J28" s="13">
        <f>+J27+I28</f>
        <v>9052.99</v>
      </c>
      <c r="K28" s="19">
        <f>+EOMONTH(B28,0)</f>
        <v>46053</v>
      </c>
      <c r="L28" s="3" t="inlineStr">
        <is>
          <t>Checking – Operating</t>
        </is>
      </c>
      <c r="M28" s="3" t="inlineStr">
        <is>
          <t>Balance Sheet</t>
        </is>
      </c>
    </row>
    <row r="29">
      <c r="B29" s="39" t="n">
        <v>46031</v>
      </c>
      <c r="C29" s="3" t="inlineStr">
        <is>
          <t>Credit Card Expense</t>
        </is>
      </c>
      <c r="D29" s="3" t="inlineStr"/>
      <c r="E29" s="3" t="inlineStr"/>
      <c r="F29" s="3" t="inlineStr">
        <is>
          <t>Parking – January</t>
        </is>
      </c>
      <c r="G29" s="3" t="inlineStr">
        <is>
          <t>Parking</t>
        </is>
      </c>
      <c r="H29" s="3" t="inlineStr">
        <is>
          <t>Checking – Operating</t>
        </is>
      </c>
      <c r="I29" s="33" t="n">
        <v>-663.29</v>
      </c>
      <c r="J29" s="13">
        <f>+J28+I29</f>
        <v>8389.7</v>
      </c>
      <c r="K29" s="19">
        <f>+EOMONTH(B29,0)</f>
        <v>46053</v>
      </c>
      <c r="L29" s="3" t="inlineStr">
        <is>
          <t>Checking – Operating</t>
        </is>
      </c>
      <c r="M29" s="3" t="inlineStr">
        <is>
          <t>Balance Sheet</t>
        </is>
      </c>
    </row>
    <row r="30">
      <c r="B30" s="39" t="n">
        <v>46031</v>
      </c>
      <c r="C30" s="3" t="inlineStr">
        <is>
          <t>Credit Card Expense</t>
        </is>
      </c>
      <c r="D30" s="3" t="inlineStr"/>
      <c r="E30" s="3" t="inlineStr"/>
      <c r="F30" s="3" t="inlineStr">
        <is>
          <t>Business Licenses and Permits – January</t>
        </is>
      </c>
      <c r="G30" s="3" t="inlineStr">
        <is>
          <t>Business Licenses and Permits</t>
        </is>
      </c>
      <c r="H30" s="3" t="inlineStr">
        <is>
          <t>Checking – Operating</t>
        </is>
      </c>
      <c r="I30" s="33" t="n">
        <v>-447.94</v>
      </c>
      <c r="J30" s="13">
        <f>+J29+I30</f>
        <v>7941.76000000001</v>
      </c>
      <c r="K30" s="19">
        <f>+EOMONTH(B30,0)</f>
        <v>46053</v>
      </c>
      <c r="L30" s="3" t="inlineStr">
        <is>
          <t>Checking – Operating</t>
        </is>
      </c>
      <c r="M30" s="3" t="inlineStr">
        <is>
          <t>Balance Sheet</t>
        </is>
      </c>
    </row>
    <row r="31">
      <c r="B31" s="39" t="n">
        <v>46031</v>
      </c>
      <c r="C31" s="3" t="inlineStr">
        <is>
          <t>Expense</t>
        </is>
      </c>
      <c r="D31" s="3" t="inlineStr"/>
      <c r="E31" s="3" t="inlineStr"/>
      <c r="F31" s="3" t="inlineStr">
        <is>
          <t>Bank service charges – January</t>
        </is>
      </c>
      <c r="G31" s="3" t="inlineStr">
        <is>
          <t>Bank Fees</t>
        </is>
      </c>
      <c r="H31" s="3" t="inlineStr">
        <is>
          <t>Checking – Operating</t>
        </is>
      </c>
      <c r="I31" s="33" t="n">
        <v>-2090.42</v>
      </c>
      <c r="J31" s="13">
        <f>+J30+I31</f>
        <v>5851.34000000001</v>
      </c>
      <c r="K31" s="19">
        <f>+EOMONTH(B31,0)</f>
        <v>46053</v>
      </c>
      <c r="L31" s="3" t="inlineStr">
        <is>
          <t>Checking – Operating</t>
        </is>
      </c>
      <c r="M31" s="3" t="inlineStr">
        <is>
          <t>Balance Sheet</t>
        </is>
      </c>
    </row>
    <row r="32">
      <c r="B32" s="39" t="n">
        <v>46032</v>
      </c>
      <c r="C32" s="3" t="inlineStr">
        <is>
          <t>Credit Card Expense</t>
        </is>
      </c>
      <c r="D32" s="3" t="inlineStr"/>
      <c r="E32" s="3" t="inlineStr"/>
      <c r="F32" s="3" t="inlineStr">
        <is>
          <t>Gas – January</t>
        </is>
      </c>
      <c r="G32" s="3" t="inlineStr">
        <is>
          <t>Gas</t>
        </is>
      </c>
      <c r="H32" s="3" t="inlineStr">
        <is>
          <t>Checking – Operating</t>
        </is>
      </c>
      <c r="I32" s="33" t="n">
        <v>-846.5599999999999</v>
      </c>
      <c r="J32" s="13">
        <f>+J31+I32</f>
        <v>5004.78</v>
      </c>
      <c r="K32" s="19">
        <f>+EOMONTH(B32,0)</f>
        <v>46053</v>
      </c>
      <c r="L32" s="3" t="inlineStr">
        <is>
          <t>Checking – Operating</t>
        </is>
      </c>
      <c r="M32" s="3" t="inlineStr">
        <is>
          <t>Balance Sheet</t>
        </is>
      </c>
    </row>
    <row r="33">
      <c r="B33" s="39" t="n">
        <v>46032</v>
      </c>
      <c r="C33" s="3" t="inlineStr">
        <is>
          <t>Expense</t>
        </is>
      </c>
      <c r="D33" s="3" t="inlineStr"/>
      <c r="E33" s="3" t="inlineStr">
        <is>
          <t>Tessarand Payroll Services</t>
        </is>
      </c>
      <c r="F33" s="3" t="inlineStr">
        <is>
          <t>Contractors – January</t>
        </is>
      </c>
      <c r="G33" s="3" t="inlineStr">
        <is>
          <t>Contractors</t>
        </is>
      </c>
      <c r="H33" s="3" t="inlineStr">
        <is>
          <t>Checking – Operating</t>
        </is>
      </c>
      <c r="I33" s="33" t="n">
        <v>-7564.99</v>
      </c>
      <c r="J33" s="13">
        <f>+J32+I33</f>
        <v>-2560.21</v>
      </c>
      <c r="K33" s="19">
        <f>+EOMONTH(B33,0)</f>
        <v>46053</v>
      </c>
      <c r="L33" s="3" t="inlineStr">
        <is>
          <t>Checking – Operating</t>
        </is>
      </c>
      <c r="M33" s="3" t="inlineStr">
        <is>
          <t>Balance Sheet</t>
        </is>
      </c>
    </row>
    <row r="34">
      <c r="B34" s="39" t="n">
        <v>46032</v>
      </c>
      <c r="C34" s="3" t="inlineStr">
        <is>
          <t>Expense</t>
        </is>
      </c>
      <c r="D34" s="3" t="inlineStr"/>
      <c r="E34" s="3" t="inlineStr">
        <is>
          <t>Ledgerquill Billing SaaS</t>
        </is>
      </c>
      <c r="F34" s="3" t="inlineStr">
        <is>
          <t>Lab EMR Service – January</t>
        </is>
      </c>
      <c r="G34" s="3" t="inlineStr">
        <is>
          <t>Lab EMR Service</t>
        </is>
      </c>
      <c r="H34" s="3" t="inlineStr">
        <is>
          <t>Checking – Operating</t>
        </is>
      </c>
      <c r="I34" s="33" t="n">
        <v>-3917.65</v>
      </c>
      <c r="J34" s="13">
        <f>+J33+I34</f>
        <v>-6477.86</v>
      </c>
      <c r="K34" s="19">
        <f>+EOMONTH(B34,0)</f>
        <v>46053</v>
      </c>
      <c r="L34" s="3" t="inlineStr">
        <is>
          <t>Checking – Operating</t>
        </is>
      </c>
      <c r="M34" s="3" t="inlineStr">
        <is>
          <t>Balance Sheet</t>
        </is>
      </c>
    </row>
    <row r="35">
      <c r="B35" s="39" t="n">
        <v>46032</v>
      </c>
      <c r="C35" s="3" t="inlineStr">
        <is>
          <t>Journal Entry</t>
        </is>
      </c>
      <c r="D35" s="3" t="inlineStr"/>
      <c r="E35" s="3" t="inlineStr"/>
      <c r="F35" s="3" t="inlineStr">
        <is>
          <t>Automobile Expense – January</t>
        </is>
      </c>
      <c r="G35" s="3" t="inlineStr">
        <is>
          <t>Automobile Expense</t>
        </is>
      </c>
      <c r="H35" s="3" t="inlineStr">
        <is>
          <t>Checking – Operating</t>
        </is>
      </c>
      <c r="I35" s="33" t="n">
        <v>-850.15</v>
      </c>
      <c r="J35" s="13">
        <f>+J34+I35</f>
        <v>-7328.01</v>
      </c>
      <c r="K35" s="19">
        <f>+EOMONTH(B35,0)</f>
        <v>46053</v>
      </c>
      <c r="L35" s="3" t="inlineStr">
        <is>
          <t>Checking – Operating</t>
        </is>
      </c>
      <c r="M35" s="3" t="inlineStr">
        <is>
          <t>Balance Sheet</t>
        </is>
      </c>
    </row>
    <row r="36">
      <c r="B36" s="39" t="n">
        <v>46033</v>
      </c>
      <c r="C36" s="3" t="inlineStr">
        <is>
          <t>Deposit</t>
        </is>
      </c>
      <c r="D36" s="3" t="inlineStr"/>
      <c r="E36" s="3" t="inlineStr">
        <is>
          <t>Marrowby Mutual</t>
        </is>
      </c>
      <c r="F36" s="3" t="inlineStr">
        <is>
          <t>ORIG CO NAME:MARROWBY MUTUAL ORIG ID:XXXXXX3976 DESC DATE:260111 CO ENTRY DESCR:HCCLAIMPMT SEC:CCD TRACE#:XXXXXXXX5710973 EED:260111 IND ID:</t>
        </is>
      </c>
      <c r="G36" s="3" t="inlineStr">
        <is>
          <t>Service Income</t>
        </is>
      </c>
      <c r="H36" s="3" t="inlineStr">
        <is>
          <t>Checking – Operating</t>
        </is>
      </c>
      <c r="I36" s="33" t="n">
        <v>79687.48</v>
      </c>
      <c r="J36" s="13">
        <f>+J35+I36</f>
        <v>72359.47</v>
      </c>
      <c r="K36" s="19">
        <f>+EOMONTH(B36,0)</f>
        <v>46053</v>
      </c>
      <c r="L36" s="3" t="inlineStr">
        <is>
          <t>Checking – Operating</t>
        </is>
      </c>
      <c r="M36" s="3" t="inlineStr">
        <is>
          <t>Balance Sheet</t>
        </is>
      </c>
    </row>
    <row r="37">
      <c r="B37" s="39" t="n">
        <v>46033</v>
      </c>
      <c r="C37" s="3" t="inlineStr">
        <is>
          <t>Expense</t>
        </is>
      </c>
      <c r="D37" s="3" t="inlineStr"/>
      <c r="E37" s="3" t="inlineStr"/>
      <c r="F37" s="3" t="inlineStr">
        <is>
          <t>Interest – equipment note</t>
        </is>
      </c>
      <c r="G37" s="3" t="inlineStr">
        <is>
          <t>Interest Expense</t>
        </is>
      </c>
      <c r="H37" s="3" t="inlineStr">
        <is>
          <t>Checking – Operating</t>
        </is>
      </c>
      <c r="I37" s="33" t="n">
        <v>-1262.61</v>
      </c>
      <c r="J37" s="13">
        <f>+J36+I37</f>
        <v>71096.86</v>
      </c>
      <c r="K37" s="19">
        <f>+EOMONTH(B37,0)</f>
        <v>46053</v>
      </c>
      <c r="L37" s="3" t="inlineStr">
        <is>
          <t>Checking – Operating</t>
        </is>
      </c>
      <c r="M37" s="3" t="inlineStr">
        <is>
          <t>Balance Sheet</t>
        </is>
      </c>
    </row>
    <row r="38">
      <c r="B38" s="39" t="n">
        <v>46033</v>
      </c>
      <c r="C38" s="3" t="inlineStr">
        <is>
          <t>Payroll Check</t>
        </is>
      </c>
      <c r="D38" s="3" t="inlineStr"/>
      <c r="E38" s="3" t="inlineStr">
        <is>
          <t>Tessarand Payroll Services</t>
        </is>
      </c>
      <c r="F38" s="3" t="inlineStr">
        <is>
          <t>Payroll processing fee</t>
        </is>
      </c>
      <c r="G38" s="3" t="inlineStr">
        <is>
          <t>Payroll Processing Fee</t>
        </is>
      </c>
      <c r="H38" s="3" t="inlineStr">
        <is>
          <t>Checking – Operating</t>
        </is>
      </c>
      <c r="I38" s="33" t="n">
        <v>-109.77</v>
      </c>
      <c r="J38" s="13">
        <f>+J37+I38</f>
        <v>70987.09</v>
      </c>
      <c r="K38" s="19">
        <f>+EOMONTH(B38,0)</f>
        <v>46053</v>
      </c>
      <c r="L38" s="3" t="inlineStr">
        <is>
          <t>Checking – Operating</t>
        </is>
      </c>
      <c r="M38" s="3" t="inlineStr">
        <is>
          <t>Balance Sheet</t>
        </is>
      </c>
    </row>
    <row r="39">
      <c r="B39" s="39" t="n">
        <v>46034</v>
      </c>
      <c r="C39" s="3" t="inlineStr">
        <is>
          <t>Deposit</t>
        </is>
      </c>
      <c r="D39" s="3" t="inlineStr"/>
      <c r="E39" s="3" t="inlineStr">
        <is>
          <t>Federal Program A</t>
        </is>
      </c>
      <c r="F39" s="3" t="inlineStr">
        <is>
          <t>ORIG CO NAME:FEDERAL PROG A ORIG ID:XXXXXX1796 DESC DATE:260112 CO ENTRY DESCR:HCCLAIMPMT SEC:CCD TRACE#:XXXXXXXX8723458 EED:260112 IND ID:</t>
        </is>
      </c>
      <c r="G39" s="3" t="inlineStr">
        <is>
          <t>Service Income</t>
        </is>
      </c>
      <c r="H39" s="3" t="inlineStr">
        <is>
          <t>Checking – Operating</t>
        </is>
      </c>
      <c r="I39" s="33" t="n">
        <v>92474.10000000001</v>
      </c>
      <c r="J39" s="13">
        <f>+J38+I39</f>
        <v>163461.19</v>
      </c>
      <c r="K39" s="19">
        <f>+EOMONTH(B39,0)</f>
        <v>46053</v>
      </c>
      <c r="L39" s="3" t="inlineStr">
        <is>
          <t>Checking – Operating</t>
        </is>
      </c>
      <c r="M39" s="3" t="inlineStr">
        <is>
          <t>Balance Sheet</t>
        </is>
      </c>
    </row>
    <row r="40">
      <c r="B40" s="39" t="n">
        <v>46034</v>
      </c>
      <c r="C40" s="3" t="inlineStr">
        <is>
          <t>Deposit</t>
        </is>
      </c>
      <c r="D40" s="3" t="inlineStr"/>
      <c r="E40" s="3" t="inlineStr">
        <is>
          <t>Quayside Choice Senior Plan</t>
        </is>
      </c>
      <c r="F40" s="3" t="inlineStr">
        <is>
          <t>ORIG CO NAME:QUAYSIDE CHOICE SP ORIG ID:XXXXXX6371 DESC DATE:260112 CO ENTRY DESCR:HCCLAIMPMT SEC:CCD TRACE#:XXXXXXXX6959018 EED:260112 IND ID:</t>
        </is>
      </c>
      <c r="G40" s="3" t="inlineStr">
        <is>
          <t>Service Income</t>
        </is>
      </c>
      <c r="H40" s="3" t="inlineStr">
        <is>
          <t>Checking – Operating</t>
        </is>
      </c>
      <c r="I40" s="33" t="n">
        <v>36946.09</v>
      </c>
      <c r="J40" s="13">
        <f>+J39+I40</f>
        <v>200407.28</v>
      </c>
      <c r="K40" s="19">
        <f>+EOMONTH(B40,0)</f>
        <v>46053</v>
      </c>
      <c r="L40" s="3" t="inlineStr">
        <is>
          <t>Checking – Operating</t>
        </is>
      </c>
      <c r="M40" s="3" t="inlineStr">
        <is>
          <t>Balance Sheet</t>
        </is>
      </c>
    </row>
    <row r="41">
      <c r="B41" s="39" t="n">
        <v>46034</v>
      </c>
      <c r="C41" s="3" t="inlineStr">
        <is>
          <t>Expense</t>
        </is>
      </c>
      <c r="D41" s="3" t="inlineStr"/>
      <c r="E41" s="3" t="inlineStr"/>
      <c r="F41" s="3" t="inlineStr">
        <is>
          <t>Patient refund</t>
        </is>
      </c>
      <c r="G41" s="3" t="inlineStr">
        <is>
          <t>Refunds</t>
        </is>
      </c>
      <c r="H41" s="3" t="inlineStr">
        <is>
          <t>Checking – Operating</t>
        </is>
      </c>
      <c r="I41" s="33" t="n">
        <v>-6556.11</v>
      </c>
      <c r="J41" s="13">
        <f>+J40+I41</f>
        <v>193851.17</v>
      </c>
      <c r="K41" s="19">
        <f>+EOMONTH(B41,0)</f>
        <v>46053</v>
      </c>
      <c r="L41" s="3" t="inlineStr">
        <is>
          <t>Checking – Operating</t>
        </is>
      </c>
      <c r="M41" s="3" t="inlineStr">
        <is>
          <t>Balance Sheet</t>
        </is>
      </c>
    </row>
    <row r="42">
      <c r="B42" s="39" t="n">
        <v>46034</v>
      </c>
      <c r="C42" s="3" t="inlineStr">
        <is>
          <t>Expense</t>
        </is>
      </c>
      <c r="D42" s="3" t="inlineStr"/>
      <c r="E42" s="3" t="inlineStr">
        <is>
          <t>Lumenlease Equipment</t>
        </is>
      </c>
      <c r="F42" s="3" t="inlineStr">
        <is>
          <t>Repairs and Maintenance – January</t>
        </is>
      </c>
      <c r="G42" s="3" t="inlineStr">
        <is>
          <t>Repairs and Maintenance</t>
        </is>
      </c>
      <c r="H42" s="3" t="inlineStr">
        <is>
          <t>Checking – Operating</t>
        </is>
      </c>
      <c r="I42" s="33" t="n">
        <v>-3324.4</v>
      </c>
      <c r="J42" s="13">
        <f>+J41+I42</f>
        <v>190526.77</v>
      </c>
      <c r="K42" s="19">
        <f>+EOMONTH(B42,0)</f>
        <v>46053</v>
      </c>
      <c r="L42" s="3" t="inlineStr">
        <is>
          <t>Checking – Operating</t>
        </is>
      </c>
      <c r="M42" s="3" t="inlineStr">
        <is>
          <t>Balance Sheet</t>
        </is>
      </c>
    </row>
    <row r="43">
      <c r="B43" s="39" t="n">
        <v>46034</v>
      </c>
      <c r="C43" s="3" t="inlineStr">
        <is>
          <t>Expense</t>
        </is>
      </c>
      <c r="D43" s="3" t="inlineStr"/>
      <c r="E43" s="3" t="inlineStr"/>
      <c r="F43" s="3" t="inlineStr">
        <is>
          <t>Business Licenses and Permits – January</t>
        </is>
      </c>
      <c r="G43" s="3" t="inlineStr">
        <is>
          <t>Business Licenses and Permits</t>
        </is>
      </c>
      <c r="H43" s="3" t="inlineStr">
        <is>
          <t>Checking – Operating</t>
        </is>
      </c>
      <c r="I43" s="33" t="n">
        <v>-752.0599999999999</v>
      </c>
      <c r="J43" s="13">
        <f>+J42+I43</f>
        <v>189774.71</v>
      </c>
      <c r="K43" s="19">
        <f>+EOMONTH(B43,0)</f>
        <v>46053</v>
      </c>
      <c r="L43" s="3" t="inlineStr">
        <is>
          <t>Checking – Operating</t>
        </is>
      </c>
      <c r="M43" s="3" t="inlineStr">
        <is>
          <t>Balance Sheet</t>
        </is>
      </c>
    </row>
    <row r="44">
      <c r="B44" s="39" t="n">
        <v>46034</v>
      </c>
      <c r="C44" s="3" t="inlineStr">
        <is>
          <t>Journal Entry</t>
        </is>
      </c>
      <c r="D44" s="3" t="inlineStr"/>
      <c r="E44" s="3" t="inlineStr"/>
      <c r="F44" s="3" t="inlineStr">
        <is>
          <t>Meals and Entertainment – January</t>
        </is>
      </c>
      <c r="G44" s="3" t="inlineStr">
        <is>
          <t>Meals and Entertainment</t>
        </is>
      </c>
      <c r="H44" s="3" t="inlineStr">
        <is>
          <t>Checking – Operating</t>
        </is>
      </c>
      <c r="I44" s="33" t="n">
        <v>-745.37</v>
      </c>
      <c r="J44" s="13">
        <f>+J43+I44</f>
        <v>189029.34</v>
      </c>
      <c r="K44" s="19">
        <f>+EOMONTH(B44,0)</f>
        <v>46053</v>
      </c>
      <c r="L44" s="3" t="inlineStr">
        <is>
          <t>Checking – Operating</t>
        </is>
      </c>
      <c r="M44" s="3" t="inlineStr">
        <is>
          <t>Balance Sheet</t>
        </is>
      </c>
    </row>
    <row r="45">
      <c r="B45" s="39" t="n">
        <v>46034</v>
      </c>
      <c r="C45" s="3" t="inlineStr">
        <is>
          <t>Journal Entry</t>
        </is>
      </c>
      <c r="D45" s="3" t="inlineStr"/>
      <c r="E45" s="3" t="inlineStr">
        <is>
          <t>Reagentix Corp</t>
        </is>
      </c>
      <c r="F45" s="3" t="inlineStr">
        <is>
          <t>QAQC – January</t>
        </is>
      </c>
      <c r="G45" s="3" t="inlineStr">
        <is>
          <t>QAQC</t>
        </is>
      </c>
      <c r="H45" s="3" t="inlineStr">
        <is>
          <t>Checking – Operating</t>
        </is>
      </c>
      <c r="I45" s="33" t="n">
        <v>-1686.12</v>
      </c>
      <c r="J45" s="13">
        <f>+J44+I45</f>
        <v>187343.22</v>
      </c>
      <c r="K45" s="19">
        <f>+EOMONTH(B45,0)</f>
        <v>46053</v>
      </c>
      <c r="L45" s="3" t="inlineStr">
        <is>
          <t>Checking – Operating</t>
        </is>
      </c>
      <c r="M45" s="3" t="inlineStr">
        <is>
          <t>Balance Sheet</t>
        </is>
      </c>
    </row>
    <row r="46">
      <c r="B46" s="39" t="n">
        <v>46034</v>
      </c>
      <c r="C46" s="3" t="inlineStr">
        <is>
          <t>Payroll Check</t>
        </is>
      </c>
      <c r="D46" s="3" t="inlineStr"/>
      <c r="E46" s="3" t="inlineStr">
        <is>
          <t>Tessarand Payroll Services</t>
        </is>
      </c>
      <c r="F46" s="3" t="inlineStr">
        <is>
          <t>Payroll taxes – biweekly</t>
        </is>
      </c>
      <c r="G46" s="3" t="inlineStr">
        <is>
          <t>Payroll Taxes</t>
        </is>
      </c>
      <c r="H46" s="3" t="inlineStr">
        <is>
          <t>Checking – Operating</t>
        </is>
      </c>
      <c r="I46" s="33" t="n">
        <v>-1182.77</v>
      </c>
      <c r="J46" s="13">
        <f>+J45+I46</f>
        <v>186160.45</v>
      </c>
      <c r="K46" s="19">
        <f>+EOMONTH(B46,0)</f>
        <v>46053</v>
      </c>
      <c r="L46" s="3" t="inlineStr">
        <is>
          <t>Checking – Operating</t>
        </is>
      </c>
      <c r="M46" s="3" t="inlineStr">
        <is>
          <t>Balance Sheet</t>
        </is>
      </c>
    </row>
    <row r="47">
      <c r="B47" s="39" t="n">
        <v>46036</v>
      </c>
      <c r="C47" s="3" t="inlineStr">
        <is>
          <t>Bill Payment (Check)</t>
        </is>
      </c>
      <c r="D47" s="3" t="inlineStr"/>
      <c r="E47" s="3" t="inlineStr">
        <is>
          <t>Northmoor Waste Services</t>
        </is>
      </c>
      <c r="F47" s="3" t="inlineStr">
        <is>
          <t>Hazard Waste – January</t>
        </is>
      </c>
      <c r="G47" s="3" t="inlineStr">
        <is>
          <t>Accounts Payable</t>
        </is>
      </c>
      <c r="H47" s="3" t="inlineStr">
        <is>
          <t>Checking – Operating</t>
        </is>
      </c>
      <c r="I47" s="33" t="n">
        <v>-851.0599999999999</v>
      </c>
      <c r="J47" s="13">
        <f>+J46+I47</f>
        <v>185309.39</v>
      </c>
      <c r="K47" s="19">
        <f>+EOMONTH(B47,0)</f>
        <v>46053</v>
      </c>
      <c r="L47" s="3" t="inlineStr">
        <is>
          <t>Checking – Operating</t>
        </is>
      </c>
      <c r="M47" s="3" t="inlineStr">
        <is>
          <t>Balance Sheet</t>
        </is>
      </c>
    </row>
    <row r="48">
      <c r="B48" s="39" t="n">
        <v>46036</v>
      </c>
      <c r="C48" s="3" t="inlineStr">
        <is>
          <t>Credit Card Expense</t>
        </is>
      </c>
      <c r="D48" s="3" t="inlineStr"/>
      <c r="E48" s="3" t="inlineStr"/>
      <c r="F48" s="3" t="inlineStr">
        <is>
          <t>Meals and Entertainment – January</t>
        </is>
      </c>
      <c r="G48" s="3" t="inlineStr">
        <is>
          <t>Meals and Entertainment</t>
        </is>
      </c>
      <c r="H48" s="3" t="inlineStr">
        <is>
          <t>Checking – Operating</t>
        </is>
      </c>
      <c r="I48" s="33" t="n">
        <v>-774.63</v>
      </c>
      <c r="J48" s="13">
        <f>+J47+I48</f>
        <v>184534.76</v>
      </c>
      <c r="K48" s="19">
        <f>+EOMONTH(B48,0)</f>
        <v>46053</v>
      </c>
      <c r="L48" s="3" t="inlineStr">
        <is>
          <t>Checking – Operating</t>
        </is>
      </c>
      <c r="M48" s="3" t="inlineStr">
        <is>
          <t>Balance Sheet</t>
        </is>
      </c>
    </row>
    <row r="49">
      <c r="B49" s="39" t="n">
        <v>46037</v>
      </c>
      <c r="C49" s="3" t="inlineStr">
        <is>
          <t>Credit Card Expense</t>
        </is>
      </c>
      <c r="D49" s="3" t="inlineStr"/>
      <c r="E49" s="3" t="inlineStr"/>
      <c r="F49" s="3" t="inlineStr">
        <is>
          <t>Bank service charges – January</t>
        </is>
      </c>
      <c r="G49" s="3" t="inlineStr">
        <is>
          <t>Cash</t>
        </is>
      </c>
      <c r="H49" s="3" t="inlineStr">
        <is>
          <t>Checking – Operating</t>
        </is>
      </c>
      <c r="I49" s="33" t="n">
        <v>-932.88</v>
      </c>
      <c r="J49" s="13">
        <f>+J48+I49</f>
        <v>183601.88</v>
      </c>
      <c r="K49" s="19">
        <f>+EOMONTH(B49,0)</f>
        <v>46053</v>
      </c>
      <c r="L49" s="3" t="inlineStr">
        <is>
          <t>Checking – Operating</t>
        </is>
      </c>
      <c r="M49" s="3" t="inlineStr">
        <is>
          <t>Balance Sheet</t>
        </is>
      </c>
    </row>
    <row r="50">
      <c r="B50" s="39" t="n">
        <v>46037</v>
      </c>
      <c r="C50" s="3" t="inlineStr">
        <is>
          <t>Deposit</t>
        </is>
      </c>
      <c r="D50" s="3" t="inlineStr"/>
      <c r="E50" s="3" t="inlineStr">
        <is>
          <t>Vantrelle Health Plan</t>
        </is>
      </c>
      <c r="F50" s="3" t="inlineStr">
        <is>
          <t>ORIG CO NAME:VANTRELLE HP ORIG ID:XXXXXX2520 DESC DATE:260115 CO ENTRY DESCR:HCCLAIMPMT SEC:CCD TRACE#:XXXXXXXX3081973 EED:260115 IND ID:</t>
        </is>
      </c>
      <c r="G50" s="3" t="inlineStr">
        <is>
          <t>Service Income</t>
        </is>
      </c>
      <c r="H50" s="3" t="inlineStr">
        <is>
          <t>Checking – Operating</t>
        </is>
      </c>
      <c r="I50" s="33" t="n">
        <v>72489.84</v>
      </c>
      <c r="J50" s="13">
        <f>+J49+I50</f>
        <v>256091.72</v>
      </c>
      <c r="K50" s="19">
        <f>+EOMONTH(B50,0)</f>
        <v>46053</v>
      </c>
      <c r="L50" s="3" t="inlineStr">
        <is>
          <t>Checking – Operating</t>
        </is>
      </c>
      <c r="M50" s="3" t="inlineStr">
        <is>
          <t>Balance Sheet</t>
        </is>
      </c>
    </row>
    <row r="51">
      <c r="B51" s="39" t="n">
        <v>46037</v>
      </c>
      <c r="C51" s="3" t="inlineStr">
        <is>
          <t>Expense</t>
        </is>
      </c>
      <c r="D51" s="3" t="inlineStr"/>
      <c r="E51" s="3" t="inlineStr">
        <is>
          <t>Tessarand Payroll Services</t>
        </is>
      </c>
      <c r="F51" s="3" t="inlineStr">
        <is>
          <t>Contractors – January</t>
        </is>
      </c>
      <c r="G51" s="3" t="inlineStr">
        <is>
          <t>Contractors</t>
        </is>
      </c>
      <c r="H51" s="3" t="inlineStr">
        <is>
          <t>Checking – Operating</t>
        </is>
      </c>
      <c r="I51" s="33" t="n">
        <v>-5752.91</v>
      </c>
      <c r="J51" s="13">
        <f>+J50+I51</f>
        <v>250338.81</v>
      </c>
      <c r="K51" s="19">
        <f>+EOMONTH(B51,0)</f>
        <v>46053</v>
      </c>
      <c r="L51" s="3" t="inlineStr">
        <is>
          <t>Checking – Operating</t>
        </is>
      </c>
      <c r="M51" s="3" t="inlineStr">
        <is>
          <t>Balance Sheet</t>
        </is>
      </c>
    </row>
    <row r="52">
      <c r="B52" s="39" t="n">
        <v>46037</v>
      </c>
      <c r="C52" s="3" t="inlineStr">
        <is>
          <t>Journal Entry</t>
        </is>
      </c>
      <c r="D52" s="3" t="inlineStr"/>
      <c r="E52" s="3" t="inlineStr"/>
      <c r="F52" s="3" t="inlineStr">
        <is>
          <t>Reimbursement – January</t>
        </is>
      </c>
      <c r="G52" s="3" t="inlineStr">
        <is>
          <t>Reimbursement</t>
        </is>
      </c>
      <c r="H52" s="3" t="inlineStr">
        <is>
          <t>Checking – Operating</t>
        </is>
      </c>
      <c r="I52" s="33" t="n">
        <v>-1785.15</v>
      </c>
      <c r="J52" s="13">
        <f>+J51+I52</f>
        <v>248553.66</v>
      </c>
      <c r="K52" s="19">
        <f>+EOMONTH(B52,0)</f>
        <v>46053</v>
      </c>
      <c r="L52" s="3" t="inlineStr">
        <is>
          <t>Checking – Operating</t>
        </is>
      </c>
      <c r="M52" s="3" t="inlineStr">
        <is>
          <t>Balance Sheet</t>
        </is>
      </c>
    </row>
    <row r="53">
      <c r="B53" s="39" t="n">
        <v>46037</v>
      </c>
      <c r="C53" s="3" t="inlineStr">
        <is>
          <t>Journal Entry</t>
        </is>
      </c>
      <c r="D53" s="3" t="inlineStr"/>
      <c r="E53" s="3" t="inlineStr"/>
      <c r="F53" s="3" t="inlineStr">
        <is>
          <t>Gas – January</t>
        </is>
      </c>
      <c r="G53" s="3" t="inlineStr">
        <is>
          <t>Gas</t>
        </is>
      </c>
      <c r="H53" s="3" t="inlineStr">
        <is>
          <t>Checking – Operating</t>
        </is>
      </c>
      <c r="I53" s="33" t="n">
        <v>-853.4400000000001</v>
      </c>
      <c r="J53" s="13">
        <f>+J52+I53</f>
        <v>247700.22</v>
      </c>
      <c r="K53" s="19">
        <f>+EOMONTH(B53,0)</f>
        <v>46053</v>
      </c>
      <c r="L53" s="3" t="inlineStr">
        <is>
          <t>Checking – Operating</t>
        </is>
      </c>
      <c r="M53" s="3" t="inlineStr">
        <is>
          <t>Balance Sheet</t>
        </is>
      </c>
    </row>
    <row r="54">
      <c r="B54" s="39" t="n">
        <v>46037</v>
      </c>
      <c r="C54" s="3" t="inlineStr">
        <is>
          <t>Payroll Check</t>
        </is>
      </c>
      <c r="D54" s="3" t="inlineStr"/>
      <c r="E54" s="3" t="inlineStr">
        <is>
          <t>Tessarand Payroll Services</t>
        </is>
      </c>
      <c r="F54" s="3" t="inlineStr">
        <is>
          <t>Payroll – biweekly</t>
        </is>
      </c>
      <c r="G54" s="3" t="inlineStr">
        <is>
          <t>Salaries and Wages</t>
        </is>
      </c>
      <c r="H54" s="3" t="inlineStr">
        <is>
          <t>Checking – Operating</t>
        </is>
      </c>
      <c r="I54" s="33" t="n">
        <v>-132048.83</v>
      </c>
      <c r="J54" s="13">
        <f>+J53+I54</f>
        <v>115651.39</v>
      </c>
      <c r="K54" s="19">
        <f>+EOMONTH(B54,0)</f>
        <v>46053</v>
      </c>
      <c r="L54" s="3" t="inlineStr">
        <is>
          <t>Checking – Operating</t>
        </is>
      </c>
      <c r="M54" s="3" t="inlineStr">
        <is>
          <t>Balance Sheet</t>
        </is>
      </c>
    </row>
    <row r="55">
      <c r="B55" s="39" t="n">
        <v>46038</v>
      </c>
      <c r="C55" s="3" t="inlineStr">
        <is>
          <t>Credit Card Expense</t>
        </is>
      </c>
      <c r="D55" s="3" t="inlineStr"/>
      <c r="E55" s="3" t="inlineStr">
        <is>
          <t>Ledgerquill Billing SaaS</t>
        </is>
      </c>
      <c r="F55" s="3" t="inlineStr">
        <is>
          <t>Software – January</t>
        </is>
      </c>
      <c r="G55" s="3" t="inlineStr">
        <is>
          <t>Software</t>
        </is>
      </c>
      <c r="H55" s="3" t="inlineStr">
        <is>
          <t>Checking – Operating</t>
        </is>
      </c>
      <c r="I55" s="33" t="n">
        <v>-2656.5</v>
      </c>
      <c r="J55" s="13">
        <f>+J54+I55</f>
        <v>112994.89</v>
      </c>
      <c r="K55" s="19">
        <f>+EOMONTH(B55,0)</f>
        <v>46053</v>
      </c>
      <c r="L55" s="3" t="inlineStr">
        <is>
          <t>Checking – Operating</t>
        </is>
      </c>
      <c r="M55" s="3" t="inlineStr">
        <is>
          <t>Balance Sheet</t>
        </is>
      </c>
    </row>
    <row r="56">
      <c r="B56" s="39" t="n">
        <v>46038</v>
      </c>
      <c r="C56" s="3" t="inlineStr">
        <is>
          <t>Deposit</t>
        </is>
      </c>
      <c r="D56" s="3" t="inlineStr"/>
      <c r="E56" s="3" t="inlineStr">
        <is>
          <t>Marrowby Mutual</t>
        </is>
      </c>
      <c r="F56" s="3" t="inlineStr">
        <is>
          <t>ORIG CO NAME:MARROWBY MUTUAL ORIG ID:XXXXXX1067 DESC DATE:260116 CO ENTRY DESCR:HCCLAIMPMT SEC:CCD TRACE#:XXXXXXXX2996908 EED:260116 IND ID:</t>
        </is>
      </c>
      <c r="G56" s="3" t="inlineStr">
        <is>
          <t>Service Income</t>
        </is>
      </c>
      <c r="H56" s="3" t="inlineStr">
        <is>
          <t>Checking – Operating</t>
        </is>
      </c>
      <c r="I56" s="33" t="n">
        <v>90941.46000000001</v>
      </c>
      <c r="J56" s="13">
        <f>+J55+I56</f>
        <v>203936.35</v>
      </c>
      <c r="K56" s="19">
        <f>+EOMONTH(B56,0)</f>
        <v>46053</v>
      </c>
      <c r="L56" s="3" t="inlineStr">
        <is>
          <t>Checking – Operating</t>
        </is>
      </c>
      <c r="M56" s="3" t="inlineStr">
        <is>
          <t>Balance Sheet</t>
        </is>
      </c>
    </row>
    <row r="57">
      <c r="B57" s="39" t="n">
        <v>46038</v>
      </c>
      <c r="C57" s="3" t="inlineStr">
        <is>
          <t>Expense</t>
        </is>
      </c>
      <c r="D57" s="3" t="inlineStr"/>
      <c r="E57" s="3" t="inlineStr"/>
      <c r="F57" s="3" t="inlineStr">
        <is>
          <t>Patient refund</t>
        </is>
      </c>
      <c r="G57" s="3" t="inlineStr">
        <is>
          <t>Refunds</t>
        </is>
      </c>
      <c r="H57" s="3" t="inlineStr">
        <is>
          <t>Checking – Operating</t>
        </is>
      </c>
      <c r="I57" s="33" t="n">
        <v>-5194.09</v>
      </c>
      <c r="J57" s="13">
        <f>+J56+I57</f>
        <v>198742.26</v>
      </c>
      <c r="K57" s="19">
        <f>+EOMONTH(B57,0)</f>
        <v>46053</v>
      </c>
      <c r="L57" s="3" t="inlineStr">
        <is>
          <t>Checking – Operating</t>
        </is>
      </c>
      <c r="M57" s="3" t="inlineStr">
        <is>
          <t>Balance Sheet</t>
        </is>
      </c>
    </row>
    <row r="58">
      <c r="B58" s="39" t="n">
        <v>46039</v>
      </c>
      <c r="C58" s="3" t="inlineStr">
        <is>
          <t>Bill Payment (Check)</t>
        </is>
      </c>
      <c r="D58" s="3" t="inlineStr"/>
      <c r="E58" s="3" t="inlineStr">
        <is>
          <t>Reagentix Corp</t>
        </is>
      </c>
      <c r="F58" s="3" t="inlineStr">
        <is>
          <t>Lab supplies PO# F2987</t>
        </is>
      </c>
      <c r="G58" s="3" t="inlineStr">
        <is>
          <t>Accounts Payable</t>
        </is>
      </c>
      <c r="H58" s="3" t="inlineStr">
        <is>
          <t>Checking – Operating</t>
        </is>
      </c>
      <c r="I58" s="33" t="n">
        <v>-13910.67</v>
      </c>
      <c r="J58" s="13">
        <f>+J57+I58</f>
        <v>184831.59</v>
      </c>
      <c r="K58" s="19">
        <f>+EOMONTH(B58,0)</f>
        <v>46053</v>
      </c>
      <c r="L58" s="3" t="inlineStr">
        <is>
          <t>Checking – Operating</t>
        </is>
      </c>
      <c r="M58" s="3" t="inlineStr">
        <is>
          <t>Balance Sheet</t>
        </is>
      </c>
    </row>
    <row r="59">
      <c r="B59" s="39" t="n">
        <v>46039</v>
      </c>
      <c r="C59" s="3" t="inlineStr">
        <is>
          <t>Deposit</t>
        </is>
      </c>
      <c r="D59" s="3" t="inlineStr"/>
      <c r="E59" s="3" t="inlineStr">
        <is>
          <t>State Program B</t>
        </is>
      </c>
      <c r="F59" s="3" t="inlineStr">
        <is>
          <t>ORIG CO NAME:STATE PROG B ORIG ID:XXXXXX7401 DESC DATE:260117 CO ENTRY DESCR:HCCLAIMPMT SEC:CCD TRACE#:XXXXXXXX1598433 EED:260117 IND ID:</t>
        </is>
      </c>
      <c r="G59" s="3" t="inlineStr">
        <is>
          <t>Service Income</t>
        </is>
      </c>
      <c r="H59" s="3" t="inlineStr">
        <is>
          <t>Checking – Operating</t>
        </is>
      </c>
      <c r="I59" s="33" t="n">
        <v>49535.86</v>
      </c>
      <c r="J59" s="13">
        <f>+J58+I59</f>
        <v>234367.45</v>
      </c>
      <c r="K59" s="19">
        <f>+EOMONTH(B59,0)</f>
        <v>46053</v>
      </c>
      <c r="L59" s="3" t="inlineStr">
        <is>
          <t>Checking – Operating</t>
        </is>
      </c>
      <c r="M59" s="3" t="inlineStr">
        <is>
          <t>Balance Sheet</t>
        </is>
      </c>
    </row>
    <row r="60">
      <c r="B60" s="39" t="n">
        <v>46039</v>
      </c>
      <c r="C60" s="3" t="inlineStr">
        <is>
          <t>Deposit</t>
        </is>
      </c>
      <c r="D60" s="3" t="inlineStr"/>
      <c r="E60" s="3" t="inlineStr">
        <is>
          <t>Silvermoss Senior Living</t>
        </is>
      </c>
      <c r="F60" s="3" t="inlineStr">
        <is>
          <t>ORIG CO NAME:SILVERMOSS SL ORIG ID:XXXXXX9493 DESC DATE:260117 CO ENTRY DESCR:HCCLAIMPMT SEC:CCD TRACE#:XXXXXXXX9481569 EED:260117 IND ID:</t>
        </is>
      </c>
      <c r="G60" s="3" t="inlineStr">
        <is>
          <t>Service Income</t>
        </is>
      </c>
      <c r="H60" s="3" t="inlineStr">
        <is>
          <t>Checking – Operating</t>
        </is>
      </c>
      <c r="I60" s="33" t="n">
        <v>56289.24</v>
      </c>
      <c r="J60" s="13">
        <f>+J59+I60</f>
        <v>290656.69</v>
      </c>
      <c r="K60" s="19">
        <f>+EOMONTH(B60,0)</f>
        <v>46053</v>
      </c>
      <c r="L60" s="3" t="inlineStr">
        <is>
          <t>Checking – Operating</t>
        </is>
      </c>
      <c r="M60" s="3" t="inlineStr">
        <is>
          <t>Balance Sheet</t>
        </is>
      </c>
    </row>
    <row r="61">
      <c r="B61" s="39" t="n">
        <v>46040</v>
      </c>
      <c r="C61" s="3" t="inlineStr">
        <is>
          <t>Expense</t>
        </is>
      </c>
      <c r="D61" s="3" t="inlineStr"/>
      <c r="E61" s="3" t="inlineStr">
        <is>
          <t>Tessarand Payroll Services</t>
        </is>
      </c>
      <c r="F61" s="3" t="inlineStr">
        <is>
          <t>Recruitment – January</t>
        </is>
      </c>
      <c r="G61" s="3" t="inlineStr">
        <is>
          <t>Recruitment</t>
        </is>
      </c>
      <c r="H61" s="3" t="inlineStr">
        <is>
          <t>Checking – Operating</t>
        </is>
      </c>
      <c r="I61" s="33" t="n">
        <v>-1085.48</v>
      </c>
      <c r="J61" s="13">
        <f>+J60+I61</f>
        <v>289571.21</v>
      </c>
      <c r="K61" s="19">
        <f>+EOMONTH(B61,0)</f>
        <v>46053</v>
      </c>
      <c r="L61" s="3" t="inlineStr">
        <is>
          <t>Checking – Operating</t>
        </is>
      </c>
      <c r="M61" s="3" t="inlineStr">
        <is>
          <t>Balance Sheet</t>
        </is>
      </c>
    </row>
    <row r="62">
      <c r="B62" s="39" t="n">
        <v>46041</v>
      </c>
      <c r="C62" s="3" t="inlineStr">
        <is>
          <t>Bill Payment (Check)</t>
        </is>
      </c>
      <c r="D62" s="3" t="inlineStr"/>
      <c r="E62" s="3" t="inlineStr">
        <is>
          <t>Lumenlease Equipment</t>
        </is>
      </c>
      <c r="F62" s="3" t="inlineStr">
        <is>
          <t>Lab Equipment – January</t>
        </is>
      </c>
      <c r="G62" s="3" t="inlineStr">
        <is>
          <t>Accounts Payable</t>
        </is>
      </c>
      <c r="H62" s="3" t="inlineStr">
        <is>
          <t>Checking – Operating</t>
        </is>
      </c>
      <c r="I62" s="33" t="n">
        <v>-2809.94</v>
      </c>
      <c r="J62" s="13">
        <f>+J61+I62</f>
        <v>286761.27</v>
      </c>
      <c r="K62" s="19">
        <f>+EOMONTH(B62,0)</f>
        <v>46053</v>
      </c>
      <c r="L62" s="3" t="inlineStr">
        <is>
          <t>Checking – Operating</t>
        </is>
      </c>
      <c r="M62" s="3" t="inlineStr">
        <is>
          <t>Balance Sheet</t>
        </is>
      </c>
    </row>
    <row r="63">
      <c r="B63" s="39" t="n">
        <v>46041</v>
      </c>
      <c r="C63" s="3" t="inlineStr">
        <is>
          <t>Deposit</t>
        </is>
      </c>
      <c r="D63" s="3" t="inlineStr"/>
      <c r="E63" s="3" t="inlineStr">
        <is>
          <t>Lanternway Benefits</t>
        </is>
      </c>
      <c r="F63" s="3" t="inlineStr">
        <is>
          <t>ORIG CO NAME:LANTERNWAY BEN ORIG ID:XXXXXX8762 DESC DATE:260119 CO ENTRY DESCR:HCCLAIMPMT SEC:CCD TRACE#:XXXXXXXX4577245 EED:260119 IND ID:</t>
        </is>
      </c>
      <c r="G63" s="3" t="inlineStr">
        <is>
          <t>Service Income</t>
        </is>
      </c>
      <c r="H63" s="3" t="inlineStr">
        <is>
          <t>Checking – Operating</t>
        </is>
      </c>
      <c r="I63" s="33" t="n">
        <v>40133.88</v>
      </c>
      <c r="J63" s="13">
        <f>+J62+I63</f>
        <v>326895.15</v>
      </c>
      <c r="K63" s="19">
        <f>+EOMONTH(B63,0)</f>
        <v>46053</v>
      </c>
      <c r="L63" s="3" t="inlineStr">
        <is>
          <t>Checking – Operating</t>
        </is>
      </c>
      <c r="M63" s="3" t="inlineStr">
        <is>
          <t>Balance Sheet</t>
        </is>
      </c>
    </row>
    <row r="64">
      <c r="B64" s="39" t="n">
        <v>46041</v>
      </c>
      <c r="C64" s="3" t="inlineStr">
        <is>
          <t>Expense</t>
        </is>
      </c>
      <c r="D64" s="3" t="inlineStr"/>
      <c r="E64" s="3" t="inlineStr">
        <is>
          <t>Ledgerquill Billing SaaS</t>
        </is>
      </c>
      <c r="F64" s="3" t="inlineStr">
        <is>
          <t>Interface Service – January</t>
        </is>
      </c>
      <c r="G64" s="3" t="inlineStr">
        <is>
          <t>Interface Service</t>
        </is>
      </c>
      <c r="H64" s="3" t="inlineStr">
        <is>
          <t>Checking – Operating</t>
        </is>
      </c>
      <c r="I64" s="33" t="n">
        <v>-1351.66</v>
      </c>
      <c r="J64" s="13">
        <f>+J63+I64</f>
        <v>325543.49</v>
      </c>
      <c r="K64" s="19">
        <f>+EOMONTH(B64,0)</f>
        <v>46053</v>
      </c>
      <c r="L64" s="3" t="inlineStr">
        <is>
          <t>Checking – Operating</t>
        </is>
      </c>
      <c r="M64" s="3" t="inlineStr">
        <is>
          <t>Balance Sheet</t>
        </is>
      </c>
    </row>
    <row r="65">
      <c r="B65" s="39" t="n">
        <v>46041</v>
      </c>
      <c r="C65" s="3" t="inlineStr">
        <is>
          <t>Journal Entry</t>
        </is>
      </c>
      <c r="D65" s="3" t="inlineStr"/>
      <c r="E65" s="3" t="inlineStr">
        <is>
          <t>Union Utilities</t>
        </is>
      </c>
      <c r="F65" s="3" t="inlineStr">
        <is>
          <t>Telecom and Internet – January</t>
        </is>
      </c>
      <c r="G65" s="3" t="inlineStr">
        <is>
          <t>Telecom and Internet</t>
        </is>
      </c>
      <c r="H65" s="3" t="inlineStr">
        <is>
          <t>Checking – Operating</t>
        </is>
      </c>
      <c r="I65" s="33" t="n">
        <v>-3093.01</v>
      </c>
      <c r="J65" s="13">
        <f>+J64+I65</f>
        <v>322450.48</v>
      </c>
      <c r="K65" s="19">
        <f>+EOMONTH(B65,0)</f>
        <v>46053</v>
      </c>
      <c r="L65" s="3" t="inlineStr">
        <is>
          <t>Checking – Operating</t>
        </is>
      </c>
      <c r="M65" s="3" t="inlineStr">
        <is>
          <t>Balance Sheet</t>
        </is>
      </c>
    </row>
    <row r="66">
      <c r="B66" s="39" t="n">
        <v>46042</v>
      </c>
      <c r="C66" s="3" t="inlineStr">
        <is>
          <t>Expense</t>
        </is>
      </c>
      <c r="D66" s="3" t="inlineStr"/>
      <c r="E66" s="3" t="inlineStr">
        <is>
          <t>Consultant A</t>
        </is>
      </c>
      <c r="F66" s="3" t="inlineStr">
        <is>
          <t>Legal &amp; Professional Fees – January</t>
        </is>
      </c>
      <c r="G66" s="3" t="inlineStr">
        <is>
          <t>Legal &amp; Professional Fees</t>
        </is>
      </c>
      <c r="H66" s="3" t="inlineStr">
        <is>
          <t>Checking – Operating</t>
        </is>
      </c>
      <c r="I66" s="33" t="n">
        <v>-1215.02</v>
      </c>
      <c r="J66" s="13">
        <f>+J65+I66</f>
        <v>321235.46</v>
      </c>
      <c r="K66" s="19">
        <f>+EOMONTH(B66,0)</f>
        <v>46053</v>
      </c>
      <c r="L66" s="3" t="inlineStr">
        <is>
          <t>Checking – Operating</t>
        </is>
      </c>
      <c r="M66" s="3" t="inlineStr">
        <is>
          <t>Balance Sheet</t>
        </is>
      </c>
    </row>
    <row r="67">
      <c r="B67" s="39" t="n">
        <v>46042</v>
      </c>
      <c r="C67" s="3" t="inlineStr">
        <is>
          <t>Journal Entry</t>
        </is>
      </c>
      <c r="D67" s="3" t="inlineStr"/>
      <c r="E67" s="3" t="inlineStr">
        <is>
          <t>Lumenlease Equipment</t>
        </is>
      </c>
      <c r="F67" s="3" t="inlineStr">
        <is>
          <t>Repairs and Maintenance – January</t>
        </is>
      </c>
      <c r="G67" s="3" t="inlineStr">
        <is>
          <t>Repairs and Maintenance</t>
        </is>
      </c>
      <c r="H67" s="3" t="inlineStr">
        <is>
          <t>Checking – Operating</t>
        </is>
      </c>
      <c r="I67" s="33" t="n">
        <v>-1549.42</v>
      </c>
      <c r="J67" s="13">
        <f>+J66+I67</f>
        <v>319686.04</v>
      </c>
      <c r="K67" s="19">
        <f>+EOMONTH(B67,0)</f>
        <v>46053</v>
      </c>
      <c r="L67" s="3" t="inlineStr">
        <is>
          <t>Checking – Operating</t>
        </is>
      </c>
      <c r="M67" s="3" t="inlineStr">
        <is>
          <t>Balance Sheet</t>
        </is>
      </c>
    </row>
    <row r="68">
      <c r="B68" s="39" t="n">
        <v>46042</v>
      </c>
      <c r="C68" s="3" t="inlineStr">
        <is>
          <t>Payroll Check</t>
        </is>
      </c>
      <c r="D68" s="3" t="inlineStr"/>
      <c r="E68" s="3" t="inlineStr">
        <is>
          <t>Tessarand Payroll Services</t>
        </is>
      </c>
      <c r="F68" s="3" t="inlineStr">
        <is>
          <t>Payroll processing fee</t>
        </is>
      </c>
      <c r="G68" s="3" t="inlineStr">
        <is>
          <t>Payroll Processing Fee</t>
        </is>
      </c>
      <c r="H68" s="3" t="inlineStr">
        <is>
          <t>Checking – Operating</t>
        </is>
      </c>
      <c r="I68" s="33" t="n">
        <v>-63.64</v>
      </c>
      <c r="J68" s="13">
        <f>+J67+I68</f>
        <v>319622.4</v>
      </c>
      <c r="K68" s="19">
        <f>+EOMONTH(B68,0)</f>
        <v>46053</v>
      </c>
      <c r="L68" s="3" t="inlineStr">
        <is>
          <t>Checking – Operating</t>
        </is>
      </c>
      <c r="M68" s="3" t="inlineStr">
        <is>
          <t>Balance Sheet</t>
        </is>
      </c>
    </row>
    <row r="69">
      <c r="B69" s="39" t="n">
        <v>46043</v>
      </c>
      <c r="C69" s="3" t="inlineStr">
        <is>
          <t>Credit Card Expense</t>
        </is>
      </c>
      <c r="D69" s="3" t="inlineStr"/>
      <c r="E69" s="3" t="inlineStr">
        <is>
          <t>Ledgerquill Billing SaaS</t>
        </is>
      </c>
      <c r="F69" s="3" t="inlineStr">
        <is>
          <t>Interface Service – January</t>
        </is>
      </c>
      <c r="G69" s="3" t="inlineStr">
        <is>
          <t>Interface Service</t>
        </is>
      </c>
      <c r="H69" s="3" t="inlineStr">
        <is>
          <t>Checking – Operating</t>
        </is>
      </c>
      <c r="I69" s="33" t="n">
        <v>-2188.34</v>
      </c>
      <c r="J69" s="13">
        <f>+J68+I69</f>
        <v>317434.06</v>
      </c>
      <c r="K69" s="19">
        <f>+EOMONTH(B69,0)</f>
        <v>46053</v>
      </c>
      <c r="L69" s="3" t="inlineStr">
        <is>
          <t>Checking – Operating</t>
        </is>
      </c>
      <c r="M69" s="3" t="inlineStr">
        <is>
          <t>Balance Sheet</t>
        </is>
      </c>
    </row>
    <row r="70">
      <c r="B70" s="39" t="n">
        <v>46043</v>
      </c>
      <c r="C70" s="3" t="inlineStr">
        <is>
          <t>Expense</t>
        </is>
      </c>
      <c r="D70" s="3" t="inlineStr"/>
      <c r="E70" s="3" t="inlineStr"/>
      <c r="F70" s="3" t="inlineStr">
        <is>
          <t>Bank service charges – January</t>
        </is>
      </c>
      <c r="G70" s="3" t="inlineStr">
        <is>
          <t>Bank Fees</t>
        </is>
      </c>
      <c r="H70" s="3" t="inlineStr">
        <is>
          <t>Checking – Operating</t>
        </is>
      </c>
      <c r="I70" s="33" t="n">
        <v>-1479.58</v>
      </c>
      <c r="J70" s="13">
        <f>+J69+I70</f>
        <v>315954.48</v>
      </c>
      <c r="K70" s="19">
        <f>+EOMONTH(B70,0)</f>
        <v>46053</v>
      </c>
      <c r="L70" s="3" t="inlineStr">
        <is>
          <t>Checking – Operating</t>
        </is>
      </c>
      <c r="M70" s="3" t="inlineStr">
        <is>
          <t>Balance Sheet</t>
        </is>
      </c>
    </row>
    <row r="71">
      <c r="B71" s="39" t="n">
        <v>46043</v>
      </c>
      <c r="C71" s="3" t="inlineStr">
        <is>
          <t>Expense</t>
        </is>
      </c>
      <c r="D71" s="3" t="inlineStr"/>
      <c r="E71" s="3" t="inlineStr">
        <is>
          <t>Halloway Ridge Realty (rent)</t>
        </is>
      </c>
      <c r="F71" s="3" t="inlineStr">
        <is>
          <t>Landscaping – January</t>
        </is>
      </c>
      <c r="G71" s="3" t="inlineStr">
        <is>
          <t>Landscaping</t>
        </is>
      </c>
      <c r="H71" s="3" t="inlineStr">
        <is>
          <t>Checking – Operating</t>
        </is>
      </c>
      <c r="I71" s="33" t="n">
        <v>-1109.54</v>
      </c>
      <c r="J71" s="13">
        <f>+J70+I71</f>
        <v>314844.94</v>
      </c>
      <c r="K71" s="19">
        <f>+EOMONTH(B71,0)</f>
        <v>46053</v>
      </c>
      <c r="L71" s="3" t="inlineStr">
        <is>
          <t>Checking – Operating</t>
        </is>
      </c>
      <c r="M71" s="3" t="inlineStr">
        <is>
          <t>Balance Sheet</t>
        </is>
      </c>
    </row>
    <row r="72">
      <c r="B72" s="39" t="n">
        <v>46043</v>
      </c>
      <c r="C72" s="3" t="inlineStr">
        <is>
          <t>Journal Entry</t>
        </is>
      </c>
      <c r="D72" s="3" t="inlineStr"/>
      <c r="E72" s="3" t="inlineStr">
        <is>
          <t>Tessarand Payroll Services</t>
        </is>
      </c>
      <c r="F72" s="3" t="inlineStr">
        <is>
          <t>Contractors – January</t>
        </is>
      </c>
      <c r="G72" s="3" t="inlineStr">
        <is>
          <t>Contractors</t>
        </is>
      </c>
      <c r="H72" s="3" t="inlineStr">
        <is>
          <t>Checking – Operating</t>
        </is>
      </c>
      <c r="I72" s="33" t="n">
        <v>-4736.18</v>
      </c>
      <c r="J72" s="13">
        <f>+J71+I72</f>
        <v>310108.76</v>
      </c>
      <c r="K72" s="19">
        <f>+EOMONTH(B72,0)</f>
        <v>46053</v>
      </c>
      <c r="L72" s="3" t="inlineStr">
        <is>
          <t>Checking – Operating</t>
        </is>
      </c>
      <c r="M72" s="3" t="inlineStr">
        <is>
          <t>Balance Sheet</t>
        </is>
      </c>
    </row>
    <row r="73">
      <c r="B73" s="39" t="n">
        <v>46043</v>
      </c>
      <c r="C73" s="3" t="inlineStr">
        <is>
          <t>Journal Entry</t>
        </is>
      </c>
      <c r="D73" s="3" t="inlineStr"/>
      <c r="E73" s="3" t="inlineStr">
        <is>
          <t>Consultant A</t>
        </is>
      </c>
      <c r="F73" s="3" t="inlineStr">
        <is>
          <t>Accounting Service – January</t>
        </is>
      </c>
      <c r="G73" s="3" t="inlineStr">
        <is>
          <t>Accounting Service</t>
        </is>
      </c>
      <c r="H73" s="3" t="inlineStr">
        <is>
          <t>Checking – Operating</t>
        </is>
      </c>
      <c r="I73" s="33" t="n">
        <v>-3892.87</v>
      </c>
      <c r="J73" s="13">
        <f>+J72+I73</f>
        <v>306215.89</v>
      </c>
      <c r="K73" s="19">
        <f>+EOMONTH(B73,0)</f>
        <v>46053</v>
      </c>
      <c r="L73" s="3" t="inlineStr">
        <is>
          <t>Checking – Operating</t>
        </is>
      </c>
      <c r="M73" s="3" t="inlineStr">
        <is>
          <t>Balance Sheet</t>
        </is>
      </c>
    </row>
    <row r="74">
      <c r="B74" s="39" t="n">
        <v>46044</v>
      </c>
      <c r="C74" s="3" t="inlineStr">
        <is>
          <t>Expense</t>
        </is>
      </c>
      <c r="D74" s="3" t="inlineStr"/>
      <c r="E74" s="3" t="inlineStr"/>
      <c r="F74" s="3" t="inlineStr">
        <is>
          <t>Bank service charges – January</t>
        </is>
      </c>
      <c r="G74" s="3" t="inlineStr">
        <is>
          <t>Cash</t>
        </is>
      </c>
      <c r="H74" s="3" t="inlineStr">
        <is>
          <t>Checking – Operating</t>
        </is>
      </c>
      <c r="I74" s="33" t="n">
        <v>-597.12</v>
      </c>
      <c r="J74" s="13">
        <f>+J73+I74</f>
        <v>305618.77</v>
      </c>
      <c r="K74" s="19">
        <f>+EOMONTH(B74,0)</f>
        <v>46053</v>
      </c>
      <c r="L74" s="3" t="inlineStr">
        <is>
          <t>Checking – Operating</t>
        </is>
      </c>
      <c r="M74" s="3" t="inlineStr">
        <is>
          <t>Balance Sheet</t>
        </is>
      </c>
    </row>
    <row r="75">
      <c r="B75" s="39" t="n">
        <v>46045</v>
      </c>
      <c r="C75" s="3" t="inlineStr">
        <is>
          <t>Credit Card Expense</t>
        </is>
      </c>
      <c r="D75" s="3" t="inlineStr"/>
      <c r="E75" s="3" t="inlineStr">
        <is>
          <t>Tessarand Payroll Services</t>
        </is>
      </c>
      <c r="F75" s="3" t="inlineStr">
        <is>
          <t>Sales and Marketing Expenses – January</t>
        </is>
      </c>
      <c r="G75" s="3" t="inlineStr">
        <is>
          <t>Sales and Marketing Expenses</t>
        </is>
      </c>
      <c r="H75" s="3" t="inlineStr">
        <is>
          <t>Checking – Operating</t>
        </is>
      </c>
      <c r="I75" s="33" t="n">
        <v>-13911.76</v>
      </c>
      <c r="J75" s="13">
        <f>+J74+I75</f>
        <v>291707.01</v>
      </c>
      <c r="K75" s="19">
        <f>+EOMONTH(B75,0)</f>
        <v>46053</v>
      </c>
      <c r="L75" s="3" t="inlineStr">
        <is>
          <t>Checking – Operating</t>
        </is>
      </c>
      <c r="M75" s="3" t="inlineStr">
        <is>
          <t>Balance Sheet</t>
        </is>
      </c>
    </row>
    <row r="76">
      <c r="B76" s="39" t="n">
        <v>46045</v>
      </c>
      <c r="C76" s="3" t="inlineStr">
        <is>
          <t>Expense</t>
        </is>
      </c>
      <c r="D76" s="3" t="inlineStr"/>
      <c r="E76" s="3" t="inlineStr">
        <is>
          <t>Reagentix Corp</t>
        </is>
      </c>
      <c r="F76" s="3" t="inlineStr">
        <is>
          <t>QAQC – January</t>
        </is>
      </c>
      <c r="G76" s="3" t="inlineStr">
        <is>
          <t>QAQC</t>
        </is>
      </c>
      <c r="H76" s="3" t="inlineStr">
        <is>
          <t>Checking – Operating</t>
        </is>
      </c>
      <c r="I76" s="33" t="n">
        <v>-1813.88</v>
      </c>
      <c r="J76" s="13">
        <f>+J75+I76</f>
        <v>289893.13</v>
      </c>
      <c r="K76" s="19">
        <f>+EOMONTH(B76,0)</f>
        <v>46053</v>
      </c>
      <c r="L76" s="3" t="inlineStr">
        <is>
          <t>Checking – Operating</t>
        </is>
      </c>
      <c r="M76" s="3" t="inlineStr">
        <is>
          <t>Balance Sheet</t>
        </is>
      </c>
    </row>
    <row r="77">
      <c r="B77" s="39" t="n">
        <v>46046</v>
      </c>
      <c r="C77" s="3" t="inlineStr">
        <is>
          <t>Bill Payment (Check)</t>
        </is>
      </c>
      <c r="D77" s="3" t="inlineStr"/>
      <c r="E77" s="3" t="inlineStr">
        <is>
          <t>Ledgerquill Billing SaaS</t>
        </is>
      </c>
      <c r="F77" s="3" t="inlineStr">
        <is>
          <t>Billing Software as a Service – January</t>
        </is>
      </c>
      <c r="G77" s="3" t="inlineStr">
        <is>
          <t>Accounts Payable</t>
        </is>
      </c>
      <c r="H77" s="3" t="inlineStr">
        <is>
          <t>Checking – Operating</t>
        </is>
      </c>
      <c r="I77" s="33" t="n">
        <v>-21277.65</v>
      </c>
      <c r="J77" s="13">
        <f>+J76+I77</f>
        <v>268615.48</v>
      </c>
      <c r="K77" s="19">
        <f>+EOMONTH(B77,0)</f>
        <v>46053</v>
      </c>
      <c r="L77" s="3" t="inlineStr">
        <is>
          <t>Checking – Operating</t>
        </is>
      </c>
      <c r="M77" s="3" t="inlineStr">
        <is>
          <t>Balance Sheet</t>
        </is>
      </c>
    </row>
    <row r="78">
      <c r="B78" s="39" t="n">
        <v>46046</v>
      </c>
      <c r="C78" s="3" t="inlineStr">
        <is>
          <t>Credit Card Expense</t>
        </is>
      </c>
      <c r="D78" s="3" t="inlineStr"/>
      <c r="E78" s="3" t="inlineStr"/>
      <c r="F78" s="3" t="inlineStr">
        <is>
          <t>Parking – January</t>
        </is>
      </c>
      <c r="G78" s="3" t="inlineStr">
        <is>
          <t>Parking</t>
        </is>
      </c>
      <c r="H78" s="3" t="inlineStr">
        <is>
          <t>Checking – Operating</t>
        </is>
      </c>
      <c r="I78" s="33" t="n">
        <v>-656.71</v>
      </c>
      <c r="J78" s="13">
        <f>+J77+I78</f>
        <v>267958.77</v>
      </c>
      <c r="K78" s="19">
        <f>+EOMONTH(B78,0)</f>
        <v>46053</v>
      </c>
      <c r="L78" s="3" t="inlineStr">
        <is>
          <t>Checking – Operating</t>
        </is>
      </c>
      <c r="M78" s="3" t="inlineStr">
        <is>
          <t>Balance Sheet</t>
        </is>
      </c>
    </row>
    <row r="79">
      <c r="B79" s="39" t="n">
        <v>46046</v>
      </c>
      <c r="C79" s="3" t="inlineStr">
        <is>
          <t>Expense</t>
        </is>
      </c>
      <c r="D79" s="3" t="inlineStr"/>
      <c r="E79" s="3" t="inlineStr">
        <is>
          <t>Consultant A</t>
        </is>
      </c>
      <c r="F79" s="3" t="inlineStr">
        <is>
          <t>Legal &amp; Professional Fees – January</t>
        </is>
      </c>
      <c r="G79" s="3" t="inlineStr">
        <is>
          <t>Legal &amp; Professional Fees</t>
        </is>
      </c>
      <c r="H79" s="3" t="inlineStr">
        <is>
          <t>Checking – Operating</t>
        </is>
      </c>
      <c r="I79" s="33" t="n">
        <v>-1204.98</v>
      </c>
      <c r="J79" s="13">
        <f>+J78+I79</f>
        <v>266753.79</v>
      </c>
      <c r="K79" s="19">
        <f>+EOMONTH(B79,0)</f>
        <v>46053</v>
      </c>
      <c r="L79" s="3" t="inlineStr">
        <is>
          <t>Checking – Operating</t>
        </is>
      </c>
      <c r="M79" s="3" t="inlineStr">
        <is>
          <t>Balance Sheet</t>
        </is>
      </c>
    </row>
    <row r="80">
      <c r="B80" s="39" t="n">
        <v>46046</v>
      </c>
      <c r="C80" s="3" t="inlineStr">
        <is>
          <t>Expense</t>
        </is>
      </c>
      <c r="D80" s="3" t="inlineStr"/>
      <c r="E80" s="3" t="inlineStr"/>
      <c r="F80" s="3" t="inlineStr">
        <is>
          <t>Property tax installment</t>
        </is>
      </c>
      <c r="G80" s="3" t="inlineStr">
        <is>
          <t>Property tax</t>
        </is>
      </c>
      <c r="H80" s="3" t="inlineStr">
        <is>
          <t>Checking – Operating</t>
        </is>
      </c>
      <c r="I80" s="33" t="n">
        <v>-1202.31</v>
      </c>
      <c r="J80" s="13">
        <f>+J79+I80</f>
        <v>265551.48</v>
      </c>
      <c r="K80" s="19">
        <f>+EOMONTH(B80,0)</f>
        <v>46053</v>
      </c>
      <c r="L80" s="3" t="inlineStr">
        <is>
          <t>Checking – Operating</t>
        </is>
      </c>
      <c r="M80" s="3" t="inlineStr">
        <is>
          <t>Balance Sheet</t>
        </is>
      </c>
    </row>
    <row r="81">
      <c r="B81" s="39" t="n">
        <v>46047</v>
      </c>
      <c r="C81" s="3" t="inlineStr">
        <is>
          <t>Expense</t>
        </is>
      </c>
      <c r="D81" s="3" t="inlineStr"/>
      <c r="E81" s="3" t="inlineStr">
        <is>
          <t>Consultant A</t>
        </is>
      </c>
      <c r="F81" s="3" t="inlineStr">
        <is>
          <t>Accounting Service – January</t>
        </is>
      </c>
      <c r="G81" s="3" t="inlineStr">
        <is>
          <t>Accounting Service</t>
        </is>
      </c>
      <c r="H81" s="3" t="inlineStr">
        <is>
          <t>Checking – Operating</t>
        </is>
      </c>
      <c r="I81" s="33" t="n">
        <v>-2157.13</v>
      </c>
      <c r="J81" s="13">
        <f>+J80+I81</f>
        <v>263394.35</v>
      </c>
      <c r="K81" s="19">
        <f>+EOMONTH(B81,0)</f>
        <v>46053</v>
      </c>
      <c r="L81" s="3" t="inlineStr">
        <is>
          <t>Checking – Operating</t>
        </is>
      </c>
      <c r="M81" s="3" t="inlineStr">
        <is>
          <t>Balance Sheet</t>
        </is>
      </c>
    </row>
    <row r="82">
      <c r="B82" s="39" t="n">
        <v>46047</v>
      </c>
      <c r="C82" s="3" t="inlineStr">
        <is>
          <t>Journal Entry</t>
        </is>
      </c>
      <c r="D82" s="3" t="inlineStr"/>
      <c r="E82" s="3" t="inlineStr"/>
      <c r="F82" s="3" t="inlineStr">
        <is>
          <t>Car expense – January</t>
        </is>
      </c>
      <c r="G82" s="3" t="inlineStr">
        <is>
          <t>Car expense</t>
        </is>
      </c>
      <c r="H82" s="3" t="inlineStr">
        <is>
          <t>Checking – Operating</t>
        </is>
      </c>
      <c r="I82" s="33" t="n">
        <v>-618.26</v>
      </c>
      <c r="J82" s="13">
        <f>+J81+I82</f>
        <v>262776.09</v>
      </c>
      <c r="K82" s="19">
        <f>+EOMONTH(B82,0)</f>
        <v>46053</v>
      </c>
      <c r="L82" s="3" t="inlineStr">
        <is>
          <t>Checking – Operating</t>
        </is>
      </c>
      <c r="M82" s="3" t="inlineStr">
        <is>
          <t>Balance Sheet</t>
        </is>
      </c>
    </row>
    <row r="83">
      <c r="B83" s="39" t="n">
        <v>46048</v>
      </c>
      <c r="C83" s="3" t="inlineStr">
        <is>
          <t>Bill Payment (Check)</t>
        </is>
      </c>
      <c r="D83" s="3" t="inlineStr"/>
      <c r="E83" s="3" t="inlineStr">
        <is>
          <t>Lumenlease Equipment</t>
        </is>
      </c>
      <c r="F83" s="3" t="inlineStr">
        <is>
          <t>Equipment Lease – January</t>
        </is>
      </c>
      <c r="G83" s="3" t="inlineStr">
        <is>
          <t>Accounts Payable</t>
        </is>
      </c>
      <c r="H83" s="3" t="inlineStr">
        <is>
          <t>Checking – Operating</t>
        </is>
      </c>
      <c r="I83" s="33" t="n">
        <v>-4381.77</v>
      </c>
      <c r="J83" s="13">
        <f>+J82+I83</f>
        <v>258394.32</v>
      </c>
      <c r="K83" s="19">
        <f>+EOMONTH(B83,0)</f>
        <v>46053</v>
      </c>
      <c r="L83" s="3" t="inlineStr">
        <is>
          <t>Checking – Operating</t>
        </is>
      </c>
      <c r="M83" s="3" t="inlineStr">
        <is>
          <t>Balance Sheet</t>
        </is>
      </c>
    </row>
    <row r="84">
      <c r="B84" s="39" t="n">
        <v>46048</v>
      </c>
      <c r="C84" s="3" t="inlineStr">
        <is>
          <t>Credit Card Expense</t>
        </is>
      </c>
      <c r="D84" s="3" t="inlineStr"/>
      <c r="E84" s="3" t="inlineStr">
        <is>
          <t>Union Utilities</t>
        </is>
      </c>
      <c r="F84" s="3" t="inlineStr">
        <is>
          <t>Telecom and Internet – January</t>
        </is>
      </c>
      <c r="G84" s="3" t="inlineStr">
        <is>
          <t>Telecom and Internet</t>
        </is>
      </c>
      <c r="H84" s="3" t="inlineStr">
        <is>
          <t>Checking – Operating</t>
        </is>
      </c>
      <c r="I84" s="33" t="n">
        <v>-2106.99</v>
      </c>
      <c r="J84" s="13">
        <f>+J83+I84</f>
        <v>256287.33</v>
      </c>
      <c r="K84" s="19">
        <f>+EOMONTH(B84,0)</f>
        <v>46053</v>
      </c>
      <c r="L84" s="3" t="inlineStr">
        <is>
          <t>Checking – Operating</t>
        </is>
      </c>
      <c r="M84" s="3" t="inlineStr">
        <is>
          <t>Balance Sheet</t>
        </is>
      </c>
    </row>
    <row r="85">
      <c r="B85" s="39" t="n">
        <v>46048</v>
      </c>
      <c r="C85" s="3" t="inlineStr">
        <is>
          <t>Deposit</t>
        </is>
      </c>
      <c r="D85" s="3" t="inlineStr"/>
      <c r="E85" s="3" t="inlineStr">
        <is>
          <t>Lanternway Benefits</t>
        </is>
      </c>
      <c r="F85" s="3" t="inlineStr">
        <is>
          <t>ORIG CO NAME:LANTERNWAY BEN ORIG ID:XXXXXX4548 DESC DATE:260126 CO ENTRY DESCR:HCCLAIMPMT SEC:CCD TRACE#:XXXXXXXX2761285 EED:260126 IND ID:</t>
        </is>
      </c>
      <c r="G85" s="3" t="inlineStr">
        <is>
          <t>Service Income</t>
        </is>
      </c>
      <c r="H85" s="3" t="inlineStr">
        <is>
          <t>Checking – Operating</t>
        </is>
      </c>
      <c r="I85" s="33" t="n">
        <v>27709.83</v>
      </c>
      <c r="J85" s="13">
        <f>+J84+I85</f>
        <v>283997.16</v>
      </c>
      <c r="K85" s="19">
        <f>+EOMONTH(B85,0)</f>
        <v>46053</v>
      </c>
      <c r="L85" s="3" t="inlineStr">
        <is>
          <t>Checking – Operating</t>
        </is>
      </c>
      <c r="M85" s="3" t="inlineStr">
        <is>
          <t>Balance Sheet</t>
        </is>
      </c>
    </row>
    <row r="86">
      <c r="B86" s="39" t="n">
        <v>46048</v>
      </c>
      <c r="C86" s="3" t="inlineStr">
        <is>
          <t>Expense</t>
        </is>
      </c>
      <c r="D86" s="3" t="inlineStr"/>
      <c r="E86" s="3" t="inlineStr"/>
      <c r="F86" s="3" t="inlineStr">
        <is>
          <t>Patient refund</t>
        </is>
      </c>
      <c r="G86" s="3" t="inlineStr">
        <is>
          <t>Refunds</t>
        </is>
      </c>
      <c r="H86" s="3" t="inlineStr">
        <is>
          <t>Checking – Operating</t>
        </is>
      </c>
      <c r="I86" s="33" t="n">
        <v>-3749.8</v>
      </c>
      <c r="J86" s="13">
        <f>+J85+I86</f>
        <v>280247.36</v>
      </c>
      <c r="K86" s="19">
        <f>+EOMONTH(B86,0)</f>
        <v>46053</v>
      </c>
      <c r="L86" s="3" t="inlineStr">
        <is>
          <t>Checking – Operating</t>
        </is>
      </c>
      <c r="M86" s="3" t="inlineStr">
        <is>
          <t>Balance Sheet</t>
        </is>
      </c>
    </row>
    <row r="87">
      <c r="B87" s="39" t="n">
        <v>46048</v>
      </c>
      <c r="C87" s="3" t="inlineStr">
        <is>
          <t>Expense</t>
        </is>
      </c>
      <c r="D87" s="3" t="inlineStr"/>
      <c r="E87" s="3" t="inlineStr">
        <is>
          <t>Union Utilities</t>
        </is>
      </c>
      <c r="F87" s="3" t="inlineStr">
        <is>
          <t>Fax Service – January</t>
        </is>
      </c>
      <c r="G87" s="3" t="inlineStr">
        <is>
          <t>Fax Service</t>
        </is>
      </c>
      <c r="H87" s="3" t="inlineStr">
        <is>
          <t>Checking – Operating</t>
        </is>
      </c>
      <c r="I87" s="33" t="n">
        <v>-456.99</v>
      </c>
      <c r="J87" s="13">
        <f>+J86+I87</f>
        <v>279790.37</v>
      </c>
      <c r="K87" s="19">
        <f>+EOMONTH(B87,0)</f>
        <v>46053</v>
      </c>
      <c r="L87" s="3" t="inlineStr">
        <is>
          <t>Checking – Operating</t>
        </is>
      </c>
      <c r="M87" s="3" t="inlineStr">
        <is>
          <t>Balance Sheet</t>
        </is>
      </c>
    </row>
    <row r="88">
      <c r="B88" s="39" t="n">
        <v>46048</v>
      </c>
      <c r="C88" s="3" t="inlineStr">
        <is>
          <t>Payroll Check</t>
        </is>
      </c>
      <c r="D88" s="3" t="inlineStr"/>
      <c r="E88" s="3" t="inlineStr">
        <is>
          <t>Tessarand Payroll Services</t>
        </is>
      </c>
      <c r="F88" s="3" t="inlineStr">
        <is>
          <t>Payroll taxes – biweekly</t>
        </is>
      </c>
      <c r="G88" s="3" t="inlineStr">
        <is>
          <t>Payroll Taxes</t>
        </is>
      </c>
      <c r="H88" s="3" t="inlineStr">
        <is>
          <t>Checking – Operating</t>
        </is>
      </c>
      <c r="I88" s="33" t="n">
        <v>-702.78</v>
      </c>
      <c r="J88" s="13">
        <f>+J87+I88</f>
        <v>279087.59</v>
      </c>
      <c r="K88" s="19">
        <f>+EOMONTH(B88,0)</f>
        <v>46053</v>
      </c>
      <c r="L88" s="3" t="inlineStr">
        <is>
          <t>Checking – Operating</t>
        </is>
      </c>
      <c r="M88" s="3" t="inlineStr">
        <is>
          <t>Balance Sheet</t>
        </is>
      </c>
    </row>
    <row r="89">
      <c r="B89" s="39" t="n">
        <v>46049</v>
      </c>
      <c r="C89" s="3" t="inlineStr">
        <is>
          <t>Credit Card Expense</t>
        </is>
      </c>
      <c r="D89" s="3" t="inlineStr"/>
      <c r="E89" s="3" t="inlineStr"/>
      <c r="F89" s="3" t="inlineStr">
        <is>
          <t>Travel Expense – January</t>
        </is>
      </c>
      <c r="G89" s="3" t="inlineStr">
        <is>
          <t>Travel Expense</t>
        </is>
      </c>
      <c r="H89" s="3" t="inlineStr">
        <is>
          <t>Checking – Operating</t>
        </is>
      </c>
      <c r="I89" s="33" t="n">
        <v>-944.42</v>
      </c>
      <c r="J89" s="13">
        <f>+J88+I89</f>
        <v>278143.17</v>
      </c>
      <c r="K89" s="19">
        <f>+EOMONTH(B89,0)</f>
        <v>46053</v>
      </c>
      <c r="L89" s="3" t="inlineStr">
        <is>
          <t>Checking – Operating</t>
        </is>
      </c>
      <c r="M89" s="3" t="inlineStr">
        <is>
          <t>Balance Sheet</t>
        </is>
      </c>
    </row>
    <row r="90">
      <c r="B90" s="39" t="n">
        <v>46049</v>
      </c>
      <c r="C90" s="3" t="inlineStr">
        <is>
          <t>Expense</t>
        </is>
      </c>
      <c r="D90" s="3" t="inlineStr"/>
      <c r="E90" s="3" t="inlineStr">
        <is>
          <t>Tessarand Payroll Services</t>
        </is>
      </c>
      <c r="F90" s="3" t="inlineStr">
        <is>
          <t>Sales and Marketing Expenses – January</t>
        </is>
      </c>
      <c r="G90" s="3" t="inlineStr">
        <is>
          <t>Sales and Marketing Expenses</t>
        </is>
      </c>
      <c r="H90" s="3" t="inlineStr">
        <is>
          <t>Checking – Operating</t>
        </is>
      </c>
      <c r="I90" s="33" t="n">
        <v>-19417.21</v>
      </c>
      <c r="J90" s="13">
        <f>+J89+I90</f>
        <v>258725.96</v>
      </c>
      <c r="K90" s="19">
        <f>+EOMONTH(B90,0)</f>
        <v>46053</v>
      </c>
      <c r="L90" s="3" t="inlineStr">
        <is>
          <t>Checking – Operating</t>
        </is>
      </c>
      <c r="M90" s="3" t="inlineStr">
        <is>
          <t>Balance Sheet</t>
        </is>
      </c>
    </row>
    <row r="91">
      <c r="B91" s="39" t="n">
        <v>46049</v>
      </c>
      <c r="C91" s="3" t="inlineStr">
        <is>
          <t>Journal Entry</t>
        </is>
      </c>
      <c r="D91" s="3" t="inlineStr"/>
      <c r="E91" s="3" t="inlineStr">
        <is>
          <t>Consultant A</t>
        </is>
      </c>
      <c r="F91" s="3" t="inlineStr">
        <is>
          <t>Consulting – January</t>
        </is>
      </c>
      <c r="G91" s="3" t="inlineStr">
        <is>
          <t>Consulting</t>
        </is>
      </c>
      <c r="H91" s="3" t="inlineStr">
        <is>
          <t>Checking – Operating</t>
        </is>
      </c>
      <c r="I91" s="33" t="n">
        <v>-3069.37</v>
      </c>
      <c r="J91" s="13">
        <f>+J90+I91</f>
        <v>255656.59</v>
      </c>
      <c r="K91" s="19">
        <f>+EOMONTH(B91,0)</f>
        <v>46053</v>
      </c>
      <c r="L91" s="3" t="inlineStr">
        <is>
          <t>Checking – Operating</t>
        </is>
      </c>
      <c r="M91" s="3" t="inlineStr">
        <is>
          <t>Balance Sheet</t>
        </is>
      </c>
    </row>
    <row r="92">
      <c r="B92" s="39" t="n">
        <v>46049</v>
      </c>
      <c r="C92" s="3" t="inlineStr">
        <is>
          <t>Journal Entry</t>
        </is>
      </c>
      <c r="D92" s="3" t="inlineStr"/>
      <c r="E92" s="3" t="inlineStr">
        <is>
          <t>Lumenlease Equipment</t>
        </is>
      </c>
      <c r="F92" s="3" t="inlineStr">
        <is>
          <t>Repairs and Maintenance – January</t>
        </is>
      </c>
      <c r="G92" s="3" t="inlineStr">
        <is>
          <t>Repairs and Maintenance</t>
        </is>
      </c>
      <c r="H92" s="3" t="inlineStr">
        <is>
          <t>Checking – Operating</t>
        </is>
      </c>
      <c r="I92" s="33" t="n">
        <v>-5875.6</v>
      </c>
      <c r="J92" s="13">
        <f>+J91+I92</f>
        <v>249780.99</v>
      </c>
      <c r="K92" s="19">
        <f>+EOMONTH(B92,0)</f>
        <v>46053</v>
      </c>
      <c r="L92" s="3" t="inlineStr">
        <is>
          <t>Checking – Operating</t>
        </is>
      </c>
      <c r="M92" s="3" t="inlineStr">
        <is>
          <t>Balance Sheet</t>
        </is>
      </c>
    </row>
    <row r="93">
      <c r="B93" s="39" t="n">
        <v>46049</v>
      </c>
      <c r="C93" s="3" t="inlineStr">
        <is>
          <t>Payroll Check</t>
        </is>
      </c>
      <c r="D93" s="3" t="inlineStr"/>
      <c r="E93" s="3" t="inlineStr">
        <is>
          <t>Tessarand Payroll Services</t>
        </is>
      </c>
      <c r="F93" s="3" t="inlineStr">
        <is>
          <t>Payroll taxes – biweekly</t>
        </is>
      </c>
      <c r="G93" s="3" t="inlineStr">
        <is>
          <t>Payroll Taxes</t>
        </is>
      </c>
      <c r="H93" s="3" t="inlineStr">
        <is>
          <t>Checking – Operating</t>
        </is>
      </c>
      <c r="I93" s="33" t="n">
        <v>-664.45</v>
      </c>
      <c r="J93" s="13">
        <f>+J92+I93</f>
        <v>249116.54</v>
      </c>
      <c r="K93" s="19">
        <f>+EOMONTH(B93,0)</f>
        <v>46053</v>
      </c>
      <c r="L93" s="3" t="inlineStr">
        <is>
          <t>Checking – Operating</t>
        </is>
      </c>
      <c r="M93" s="3" t="inlineStr">
        <is>
          <t>Balance Sheet</t>
        </is>
      </c>
    </row>
    <row r="94">
      <c r="B94" s="39" t="n">
        <v>46049</v>
      </c>
      <c r="C94" s="3" t="inlineStr">
        <is>
          <t>Payroll Check</t>
        </is>
      </c>
      <c r="D94" s="3" t="inlineStr"/>
      <c r="E94" s="3" t="inlineStr">
        <is>
          <t>Tessarand Payroll Services</t>
        </is>
      </c>
      <c r="F94" s="3" t="inlineStr">
        <is>
          <t>Payroll processing fee</t>
        </is>
      </c>
      <c r="G94" s="3" t="inlineStr">
        <is>
          <t>Payroll Processing Fee</t>
        </is>
      </c>
      <c r="H94" s="3" t="inlineStr">
        <is>
          <t>Checking – Operating</t>
        </is>
      </c>
      <c r="I94" s="33" t="n">
        <v>-86.59</v>
      </c>
      <c r="J94" s="13">
        <f>+J93+I94</f>
        <v>249029.95</v>
      </c>
      <c r="K94" s="19">
        <f>+EOMONTH(B94,0)</f>
        <v>46053</v>
      </c>
      <c r="L94" s="3" t="inlineStr">
        <is>
          <t>Checking – Operating</t>
        </is>
      </c>
      <c r="M94" s="3" t="inlineStr">
        <is>
          <t>Balance Sheet</t>
        </is>
      </c>
    </row>
    <row r="95">
      <c r="B95" s="39" t="n">
        <v>46050</v>
      </c>
      <c r="C95" s="3" t="inlineStr">
        <is>
          <t>Credit Card Expense</t>
        </is>
      </c>
      <c r="D95" s="3" t="inlineStr"/>
      <c r="E95" s="3" t="inlineStr"/>
      <c r="F95" s="3" t="inlineStr">
        <is>
          <t>Interest – equipment note</t>
        </is>
      </c>
      <c r="G95" s="3" t="inlineStr">
        <is>
          <t>Interest Expense</t>
        </is>
      </c>
      <c r="H95" s="3" t="inlineStr">
        <is>
          <t>Checking – Operating</t>
        </is>
      </c>
      <c r="I95" s="33" t="n">
        <v>-1837.39</v>
      </c>
      <c r="J95" s="13">
        <f>+J94+I95</f>
        <v>247192.56</v>
      </c>
      <c r="K95" s="19">
        <f>+EOMONTH(B95,0)</f>
        <v>46053</v>
      </c>
      <c r="L95" s="3" t="inlineStr">
        <is>
          <t>Checking – Operating</t>
        </is>
      </c>
      <c r="M95" s="3" t="inlineStr">
        <is>
          <t>Balance Sheet</t>
        </is>
      </c>
    </row>
    <row r="96">
      <c r="B96" s="39" t="n">
        <v>46050</v>
      </c>
      <c r="C96" s="3" t="inlineStr">
        <is>
          <t>Deposit</t>
        </is>
      </c>
      <c r="D96" s="3" t="inlineStr"/>
      <c r="E96" s="3" t="inlineStr">
        <is>
          <t>Cobaltmere Health</t>
        </is>
      </c>
      <c r="F96" s="3" t="inlineStr">
        <is>
          <t>ORIG CO NAME:COBALTMERE HEALTH ORIG ID:XXXXXX2840 DESC DATE:260128 CO ENTRY DESCR:HCCLAIMPMT SEC:CCD TRACE#:XXXXXXXX9993778 EED:260128 IND ID:</t>
        </is>
      </c>
      <c r="G96" s="3" t="inlineStr">
        <is>
          <t>Service Income</t>
        </is>
      </c>
      <c r="H96" s="3" t="inlineStr">
        <is>
          <t>Checking – Operating</t>
        </is>
      </c>
      <c r="I96" s="33" t="n">
        <v>47009.47</v>
      </c>
      <c r="J96" s="13">
        <f>+J95+I96</f>
        <v>294202.03</v>
      </c>
      <c r="K96" s="19">
        <f>+EOMONTH(B96,0)</f>
        <v>46053</v>
      </c>
      <c r="L96" s="3" t="inlineStr">
        <is>
          <t>Checking – Operating</t>
        </is>
      </c>
      <c r="M96" s="3" t="inlineStr">
        <is>
          <t>Balance Sheet</t>
        </is>
      </c>
    </row>
    <row r="97">
      <c r="B97" s="39" t="n">
        <v>46050</v>
      </c>
      <c r="C97" s="3" t="inlineStr">
        <is>
          <t>Deposit</t>
        </is>
      </c>
      <c r="D97" s="3" t="inlineStr"/>
      <c r="E97" s="3" t="inlineStr">
        <is>
          <t>Cobaltmere Health</t>
        </is>
      </c>
      <c r="F97" s="3" t="inlineStr">
        <is>
          <t>ORIG CO NAME:COBALTMERE HEALTH ORIG ID:XXXXXX1415 DESC DATE:260128 CO ENTRY DESCR:HCCLAIMPMT SEC:CCD TRACE#:XXXXXXXX6539310 EED:260128 IND ID:</t>
        </is>
      </c>
      <c r="G97" s="3" t="inlineStr">
        <is>
          <t>Service Income</t>
        </is>
      </c>
      <c r="H97" s="3" t="inlineStr">
        <is>
          <t>Checking – Operating</t>
        </is>
      </c>
      <c r="I97" s="33" t="n">
        <v>26117.22</v>
      </c>
      <c r="J97" s="13">
        <f>+J96+I97</f>
        <v>320319.25</v>
      </c>
      <c r="K97" s="19">
        <f>+EOMONTH(B97,0)</f>
        <v>46053</v>
      </c>
      <c r="L97" s="3" t="inlineStr">
        <is>
          <t>Checking – Operating</t>
        </is>
      </c>
      <c r="M97" s="3" t="inlineStr">
        <is>
          <t>Balance Sheet</t>
        </is>
      </c>
    </row>
    <row r="98">
      <c r="B98" s="39" t="n">
        <v>46050</v>
      </c>
      <c r="C98" s="3" t="inlineStr">
        <is>
          <t>Expense</t>
        </is>
      </c>
      <c r="D98" s="3" t="inlineStr"/>
      <c r="E98" s="3" t="inlineStr">
        <is>
          <t>Vialtrace Lab Supplies Inc</t>
        </is>
      </c>
      <c r="F98" s="3" t="inlineStr">
        <is>
          <t>Office Supplies – January</t>
        </is>
      </c>
      <c r="G98" s="3" t="inlineStr">
        <is>
          <t>Office Supplies</t>
        </is>
      </c>
      <c r="H98" s="3" t="inlineStr">
        <is>
          <t>Checking – Operating</t>
        </is>
      </c>
      <c r="I98" s="33" t="n">
        <v>-1590.04</v>
      </c>
      <c r="J98" s="13">
        <f>+J97+I98</f>
        <v>318729.21</v>
      </c>
      <c r="K98" s="19">
        <f>+EOMONTH(B98,0)</f>
        <v>46053</v>
      </c>
      <c r="L98" s="3" t="inlineStr">
        <is>
          <t>Checking – Operating</t>
        </is>
      </c>
      <c r="M98" s="3" t="inlineStr">
        <is>
          <t>Balance Sheet</t>
        </is>
      </c>
    </row>
    <row r="99">
      <c r="B99" s="39" t="n">
        <v>46050</v>
      </c>
      <c r="C99" s="3" t="inlineStr">
        <is>
          <t>Expense</t>
        </is>
      </c>
      <c r="D99" s="3" t="inlineStr"/>
      <c r="E99" s="3" t="inlineStr">
        <is>
          <t>Tessarand Payroll Services</t>
        </is>
      </c>
      <c r="F99" s="3" t="inlineStr">
        <is>
          <t>Recruitment – January</t>
        </is>
      </c>
      <c r="G99" s="3" t="inlineStr">
        <is>
          <t>Recruitment</t>
        </is>
      </c>
      <c r="H99" s="3" t="inlineStr">
        <is>
          <t>Checking – Operating</t>
        </is>
      </c>
      <c r="I99" s="33" t="n">
        <v>-1214.52</v>
      </c>
      <c r="J99" s="13">
        <f>+J98+I99</f>
        <v>317514.69</v>
      </c>
      <c r="K99" s="19">
        <f>+EOMONTH(B99,0)</f>
        <v>46053</v>
      </c>
      <c r="L99" s="3" t="inlineStr">
        <is>
          <t>Checking – Operating</t>
        </is>
      </c>
      <c r="M99" s="3" t="inlineStr">
        <is>
          <t>Balance Sheet</t>
        </is>
      </c>
    </row>
    <row r="100">
      <c r="B100" s="39" t="n">
        <v>46050</v>
      </c>
      <c r="C100" s="3" t="inlineStr">
        <is>
          <t>Journal Entry</t>
        </is>
      </c>
      <c r="D100" s="3" t="inlineStr"/>
      <c r="E100" s="3" t="inlineStr"/>
      <c r="F100" s="3" t="inlineStr">
        <is>
          <t>Automobile Expense – January</t>
        </is>
      </c>
      <c r="G100" s="3" t="inlineStr">
        <is>
          <t>Automobile Expense</t>
        </is>
      </c>
      <c r="H100" s="3" t="inlineStr">
        <is>
          <t>Checking – Operating</t>
        </is>
      </c>
      <c r="I100" s="33" t="n">
        <v>-909.85</v>
      </c>
      <c r="J100" s="13">
        <f>+J99+I100</f>
        <v>316604.84</v>
      </c>
      <c r="K100" s="19">
        <f>+EOMONTH(B100,0)</f>
        <v>46053</v>
      </c>
      <c r="L100" s="3" t="inlineStr">
        <is>
          <t>Checking – Operating</t>
        </is>
      </c>
      <c r="M100" s="3" t="inlineStr">
        <is>
          <t>Balance Sheet</t>
        </is>
      </c>
    </row>
    <row r="101">
      <c r="B101" s="39" t="n">
        <v>46050</v>
      </c>
      <c r="C101" s="3" t="inlineStr">
        <is>
          <t>Payroll Check</t>
        </is>
      </c>
      <c r="D101" s="3" t="inlineStr"/>
      <c r="E101" s="3" t="inlineStr">
        <is>
          <t>Tessarand Payroll Services</t>
        </is>
      </c>
      <c r="F101" s="3" t="inlineStr">
        <is>
          <t>Payroll – biweekly</t>
        </is>
      </c>
      <c r="G101" s="3" t="inlineStr">
        <is>
          <t>Salaries and Wages</t>
        </is>
      </c>
      <c r="H101" s="3" t="inlineStr">
        <is>
          <t>Checking – Operating</t>
        </is>
      </c>
      <c r="I101" s="33" t="n">
        <v>-72282.24000000001</v>
      </c>
      <c r="J101" s="13">
        <f>+J100+I101</f>
        <v>244322.6</v>
      </c>
      <c r="K101" s="19">
        <f>+EOMONTH(B101,0)</f>
        <v>46053</v>
      </c>
      <c r="L101" s="3" t="inlineStr">
        <is>
          <t>Checking – Operating</t>
        </is>
      </c>
      <c r="M101" s="3" t="inlineStr">
        <is>
          <t>Balance Sheet</t>
        </is>
      </c>
    </row>
    <row r="102">
      <c r="B102" s="39" t="n">
        <v>46051</v>
      </c>
      <c r="C102" s="3" t="inlineStr">
        <is>
          <t>Bill Payment (Check)</t>
        </is>
      </c>
      <c r="D102" s="3" t="inlineStr"/>
      <c r="E102" s="3" t="inlineStr">
        <is>
          <t>Halloway Ridge Realty (rent)</t>
        </is>
      </c>
      <c r="F102" s="3" t="inlineStr">
        <is>
          <t>Rent – January</t>
        </is>
      </c>
      <c r="G102" s="3" t="inlineStr">
        <is>
          <t>Accounts Payable</t>
        </is>
      </c>
      <c r="H102" s="3" t="inlineStr">
        <is>
          <t>Checking – Operating</t>
        </is>
      </c>
      <c r="I102" s="33" t="n">
        <v>-17866.16</v>
      </c>
      <c r="J102" s="13">
        <f>+J101+I102</f>
        <v>226456.44</v>
      </c>
      <c r="K102" s="19">
        <f>+EOMONTH(B102,0)</f>
        <v>46053</v>
      </c>
      <c r="L102" s="3" t="inlineStr">
        <is>
          <t>Checking – Operating</t>
        </is>
      </c>
      <c r="M102" s="3" t="inlineStr">
        <is>
          <t>Balance Sheet</t>
        </is>
      </c>
    </row>
    <row r="103">
      <c r="B103" s="39" t="n">
        <v>46051</v>
      </c>
      <c r="C103" s="3" t="inlineStr">
        <is>
          <t>Bill Payment (Check)</t>
        </is>
      </c>
      <c r="D103" s="3" t="inlineStr"/>
      <c r="E103" s="3" t="inlineStr">
        <is>
          <t>Ledgerquill Billing SaaS</t>
        </is>
      </c>
      <c r="F103" s="3" t="inlineStr">
        <is>
          <t>Billing Software as a Service – January</t>
        </is>
      </c>
      <c r="G103" s="3" t="inlineStr">
        <is>
          <t>Accounts Payable</t>
        </is>
      </c>
      <c r="H103" s="3" t="inlineStr">
        <is>
          <t>Checking – Operating</t>
        </is>
      </c>
      <c r="I103" s="33" t="n">
        <v>-15689.1</v>
      </c>
      <c r="J103" s="13">
        <f>+J102+I103</f>
        <v>210767.34</v>
      </c>
      <c r="K103" s="19">
        <f>+EOMONTH(B103,0)</f>
        <v>46053</v>
      </c>
      <c r="L103" s="3" t="inlineStr">
        <is>
          <t>Checking – Operating</t>
        </is>
      </c>
      <c r="M103" s="3" t="inlineStr">
        <is>
          <t>Balance Sheet</t>
        </is>
      </c>
    </row>
    <row r="104">
      <c r="B104" s="39" t="n">
        <v>46051</v>
      </c>
      <c r="C104" s="3" t="inlineStr">
        <is>
          <t>Credit Card Expense</t>
        </is>
      </c>
      <c r="D104" s="3" t="inlineStr"/>
      <c r="E104" s="3" t="inlineStr"/>
      <c r="F104" s="3" t="inlineStr">
        <is>
          <t>Business Meetings &amp; Development – January</t>
        </is>
      </c>
      <c r="G104" s="3" t="inlineStr">
        <is>
          <t>Business Meetings &amp; Development</t>
        </is>
      </c>
      <c r="H104" s="3" t="inlineStr">
        <is>
          <t>Checking – Operating</t>
        </is>
      </c>
      <c r="I104" s="33" t="n">
        <v>-4413.98</v>
      </c>
      <c r="J104" s="13">
        <f>+J103+I104</f>
        <v>206353.36</v>
      </c>
      <c r="K104" s="19">
        <f>+EOMONTH(B104,0)</f>
        <v>46053</v>
      </c>
      <c r="L104" s="3" t="inlineStr">
        <is>
          <t>Checking – Operating</t>
        </is>
      </c>
      <c r="M104" s="3" t="inlineStr">
        <is>
          <t>Balance Sheet</t>
        </is>
      </c>
    </row>
    <row r="105">
      <c r="B105" s="39" t="n">
        <v>46051</v>
      </c>
      <c r="C105" s="3" t="inlineStr">
        <is>
          <t>Deposit</t>
        </is>
      </c>
      <c r="D105" s="3" t="inlineStr"/>
      <c r="E105" s="3" t="inlineStr">
        <is>
          <t>Vantrelle Health Plan</t>
        </is>
      </c>
      <c r="F105" s="3" t="inlineStr">
        <is>
          <t>ORIG CO NAME:VANTRELLE HP ORIG ID:XXXXXX3786 DESC DATE:260129 CO ENTRY DESCR:HCCLAIMPMT SEC:CCD TRACE#:XXXXXXXX2539497 EED:260129 IND ID:</t>
        </is>
      </c>
      <c r="G105" s="3" t="inlineStr">
        <is>
          <t>Service Income</t>
        </is>
      </c>
      <c r="H105" s="3" t="inlineStr">
        <is>
          <t>Checking – Operating</t>
        </is>
      </c>
      <c r="I105" s="33" t="n">
        <v>89038.67</v>
      </c>
      <c r="J105" s="13">
        <f>+J104+I105</f>
        <v>295392.03</v>
      </c>
      <c r="K105" s="19">
        <f>+EOMONTH(B105,0)</f>
        <v>46053</v>
      </c>
      <c r="L105" s="3" t="inlineStr">
        <is>
          <t>Checking – Operating</t>
        </is>
      </c>
      <c r="M105" s="3" t="inlineStr">
        <is>
          <t>Balance Sheet</t>
        </is>
      </c>
    </row>
    <row r="106">
      <c r="B106" s="39" t="n">
        <v>46051</v>
      </c>
      <c r="C106" s="3" t="inlineStr">
        <is>
          <t>Deposit</t>
        </is>
      </c>
      <c r="D106" s="3" t="inlineStr"/>
      <c r="E106" s="3" t="inlineStr">
        <is>
          <t>Vantrelle Health Plan</t>
        </is>
      </c>
      <c r="F106" s="3" t="inlineStr">
        <is>
          <t>ORIG CO NAME:VANTRELLE HP ORIG ID:XXXXXX8721 DESC DATE:260129 CO ENTRY DESCR:HCCLAIMPMT SEC:CCD TRACE#:XXXXXXXX8417924 EED:260129 IND ID:</t>
        </is>
      </c>
      <c r="G106" s="3" t="inlineStr">
        <is>
          <t>Service Income</t>
        </is>
      </c>
      <c r="H106" s="3" t="inlineStr">
        <is>
          <t>Checking – Operating</t>
        </is>
      </c>
      <c r="I106" s="33" t="n">
        <v>130978.24</v>
      </c>
      <c r="J106" s="13">
        <f>+J105+I106</f>
        <v>426370.27</v>
      </c>
      <c r="K106" s="19">
        <f>+EOMONTH(B106,0)</f>
        <v>46053</v>
      </c>
      <c r="L106" s="3" t="inlineStr">
        <is>
          <t>Checking – Operating</t>
        </is>
      </c>
      <c r="M106" s="3" t="inlineStr">
        <is>
          <t>Balance Sheet</t>
        </is>
      </c>
    </row>
    <row r="107">
      <c r="B107" s="39" t="n">
        <v>46051</v>
      </c>
      <c r="C107" s="3" t="inlineStr">
        <is>
          <t>Deposit</t>
        </is>
      </c>
      <c r="D107" s="3" t="inlineStr"/>
      <c r="E107" s="3" t="inlineStr">
        <is>
          <t>State Program B</t>
        </is>
      </c>
      <c r="F107" s="3" t="inlineStr">
        <is>
          <t>ORIG CO NAME:STATE PROG B ORIG ID:XXXXXX5032 DESC DATE:260129 CO ENTRY DESCR:HCCLAIMPMT SEC:CCD TRACE#:XXXXXXXX1129926 EED:260129 IND ID:</t>
        </is>
      </c>
      <c r="G107" s="3" t="inlineStr">
        <is>
          <t>Service Income</t>
        </is>
      </c>
      <c r="H107" s="3" t="inlineStr">
        <is>
          <t>Checking – Operating</t>
        </is>
      </c>
      <c r="I107" s="33" t="n">
        <v>60154.17</v>
      </c>
      <c r="J107" s="13">
        <f>+J106+I107</f>
        <v>486524.44</v>
      </c>
      <c r="K107" s="19">
        <f>+EOMONTH(B107,0)</f>
        <v>46053</v>
      </c>
      <c r="L107" s="3" t="inlineStr">
        <is>
          <t>Checking – Operating</t>
        </is>
      </c>
      <c r="M107" s="3" t="inlineStr">
        <is>
          <t>Balance Sheet</t>
        </is>
      </c>
    </row>
    <row r="108">
      <c r="B108" s="39" t="n">
        <v>46052</v>
      </c>
      <c r="C108" s="3" t="inlineStr">
        <is>
          <t>Bill Payment (Check)</t>
        </is>
      </c>
      <c r="D108" s="3" t="inlineStr"/>
      <c r="E108" s="3" t="inlineStr">
        <is>
          <t>Reagentix Corp</t>
        </is>
      </c>
      <c r="F108" s="3" t="inlineStr">
        <is>
          <t>Lab supplies PO# F2629</t>
        </is>
      </c>
      <c r="G108" s="3" t="inlineStr">
        <is>
          <t>Accounts Payable</t>
        </is>
      </c>
      <c r="H108" s="3" t="inlineStr">
        <is>
          <t>Checking – Operating</t>
        </is>
      </c>
      <c r="I108" s="33" t="n">
        <v>-9806.629999999999</v>
      </c>
      <c r="J108" s="13">
        <f>+J107+I108</f>
        <v>476717.81</v>
      </c>
      <c r="K108" s="19">
        <f>+EOMONTH(B108,0)</f>
        <v>46053</v>
      </c>
      <c r="L108" s="3" t="inlineStr">
        <is>
          <t>Checking – Operating</t>
        </is>
      </c>
      <c r="M108" s="3" t="inlineStr">
        <is>
          <t>Balance Sheet</t>
        </is>
      </c>
    </row>
    <row r="109">
      <c r="B109" s="39" t="n">
        <v>46052</v>
      </c>
      <c r="C109" s="3" t="inlineStr">
        <is>
          <t>Bill Payment (Check)</t>
        </is>
      </c>
      <c r="D109" s="3" t="inlineStr"/>
      <c r="E109" s="3" t="inlineStr">
        <is>
          <t>Lumenlease Equipment</t>
        </is>
      </c>
      <c r="F109" s="3" t="inlineStr">
        <is>
          <t>Lab Equipment – January</t>
        </is>
      </c>
      <c r="G109" s="3" t="inlineStr">
        <is>
          <t>Accounts Payable</t>
        </is>
      </c>
      <c r="H109" s="3" t="inlineStr">
        <is>
          <t>Checking – Operating</t>
        </is>
      </c>
      <c r="I109" s="33" t="n">
        <v>-2490.06</v>
      </c>
      <c r="J109" s="13">
        <f>+J108+I109</f>
        <v>474227.75</v>
      </c>
      <c r="K109" s="19">
        <f>+EOMONTH(B109,0)</f>
        <v>46053</v>
      </c>
      <c r="L109" s="3" t="inlineStr">
        <is>
          <t>Checking – Operating</t>
        </is>
      </c>
      <c r="M109" s="3" t="inlineStr">
        <is>
          <t>Balance Sheet</t>
        </is>
      </c>
    </row>
    <row r="110">
      <c r="B110" s="39" t="n">
        <v>46052</v>
      </c>
      <c r="C110" s="3" t="inlineStr">
        <is>
          <t>Deposit</t>
        </is>
      </c>
      <c r="D110" s="3" t="inlineStr"/>
      <c r="E110" s="3" t="inlineStr">
        <is>
          <t>Federal Program A</t>
        </is>
      </c>
      <c r="F110" s="3" t="inlineStr">
        <is>
          <t>ORIG CO NAME:FEDERAL PROG A ORIG ID:XXXXXX6178 DESC DATE:260130 CO ENTRY DESCR:HCCLAIMPMT SEC:CCD TRACE#:XXXXXXXX2653104 EED:260130 IND ID:</t>
        </is>
      </c>
      <c r="G110" s="3" t="inlineStr">
        <is>
          <t>Service Income</t>
        </is>
      </c>
      <c r="H110" s="3" t="inlineStr">
        <is>
          <t>Checking – Operating</t>
        </is>
      </c>
      <c r="I110" s="33" t="n">
        <v>126905.96</v>
      </c>
      <c r="J110" s="13">
        <f>+J109+I110</f>
        <v>601133.71</v>
      </c>
      <c r="K110" s="19">
        <f>+EOMONTH(B110,0)</f>
        <v>46053</v>
      </c>
      <c r="L110" s="3" t="inlineStr">
        <is>
          <t>Checking – Operating</t>
        </is>
      </c>
      <c r="M110" s="3" t="inlineStr">
        <is>
          <t>Balance Sheet</t>
        </is>
      </c>
    </row>
    <row r="111">
      <c r="B111" s="39" t="n">
        <v>46052</v>
      </c>
      <c r="C111" s="3" t="inlineStr">
        <is>
          <t>Expense</t>
        </is>
      </c>
      <c r="D111" s="3" t="inlineStr"/>
      <c r="E111" s="3" t="inlineStr">
        <is>
          <t>Consultant A</t>
        </is>
      </c>
      <c r="F111" s="3" t="inlineStr">
        <is>
          <t>Consulting – January</t>
        </is>
      </c>
      <c r="G111" s="3" t="inlineStr">
        <is>
          <t>Consulting</t>
        </is>
      </c>
      <c r="H111" s="3" t="inlineStr">
        <is>
          <t>Checking – Operating</t>
        </is>
      </c>
      <c r="I111" s="33" t="n">
        <v>-3030.63</v>
      </c>
      <c r="J111" s="13">
        <f>+J110+I111</f>
        <v>598103.08</v>
      </c>
      <c r="K111" s="19">
        <f>+EOMONTH(B111,0)</f>
        <v>46053</v>
      </c>
      <c r="L111" s="3" t="inlineStr">
        <is>
          <t>Checking – Operating</t>
        </is>
      </c>
      <c r="M111" s="3" t="inlineStr">
        <is>
          <t>Balance Sheet</t>
        </is>
      </c>
    </row>
    <row r="112">
      <c r="B112" s="39" t="n">
        <v>46052</v>
      </c>
      <c r="C112" s="3" t="inlineStr">
        <is>
          <t>Journal Entry</t>
        </is>
      </c>
      <c r="D112" s="3" t="inlineStr"/>
      <c r="E112" s="3" t="inlineStr">
        <is>
          <t>Consultant A</t>
        </is>
      </c>
      <c r="F112" s="3" t="inlineStr">
        <is>
          <t>Professional Fees – January</t>
        </is>
      </c>
      <c r="G112" s="3" t="inlineStr">
        <is>
          <t>Professional Fees</t>
        </is>
      </c>
      <c r="H112" s="3" t="inlineStr">
        <is>
          <t>Checking – Operating</t>
        </is>
      </c>
      <c r="I112" s="33" t="n">
        <v>-5810.56</v>
      </c>
      <c r="J112" s="13">
        <f>+J111+I112</f>
        <v>592292.52</v>
      </c>
      <c r="K112" s="19">
        <f>+EOMONTH(B112,0)</f>
        <v>46053</v>
      </c>
      <c r="L112" s="3" t="inlineStr">
        <is>
          <t>Checking – Operating</t>
        </is>
      </c>
      <c r="M112" s="3" t="inlineStr">
        <is>
          <t>Balance Sheet</t>
        </is>
      </c>
    </row>
    <row r="113">
      <c r="B113" s="39" t="n">
        <v>46053</v>
      </c>
      <c r="C113" s="3" t="inlineStr">
        <is>
          <t>Credit Card Expense</t>
        </is>
      </c>
      <c r="D113" s="3" t="inlineStr"/>
      <c r="E113" s="3" t="inlineStr"/>
      <c r="F113" s="3" t="inlineStr">
        <is>
          <t>Lab Credentialing – January</t>
        </is>
      </c>
      <c r="G113" s="3" t="inlineStr">
        <is>
          <t>Lab Credentialing</t>
        </is>
      </c>
      <c r="H113" s="3" t="inlineStr">
        <is>
          <t>Checking – Operating</t>
        </is>
      </c>
      <c r="I113" s="33" t="n">
        <v>-928.9</v>
      </c>
      <c r="J113" s="13">
        <f>+J112+I113</f>
        <v>591363.62</v>
      </c>
      <c r="K113" s="19">
        <f>+EOMONTH(B113,0)</f>
        <v>46053</v>
      </c>
      <c r="L113" s="3" t="inlineStr">
        <is>
          <t>Checking – Operating</t>
        </is>
      </c>
      <c r="M113" s="3" t="inlineStr">
        <is>
          <t>Balance Sheet</t>
        </is>
      </c>
    </row>
    <row r="114">
      <c r="B114" s="39" t="n">
        <v>46053</v>
      </c>
      <c r="C114" s="3" t="inlineStr">
        <is>
          <t>Credit Card Expense</t>
        </is>
      </c>
      <c r="D114" s="3" t="inlineStr"/>
      <c r="E114" s="3" t="inlineStr">
        <is>
          <t>Tessarand Payroll Services</t>
        </is>
      </c>
      <c r="F114" s="3" t="inlineStr">
        <is>
          <t>Sales and Marketing Expenses – January</t>
        </is>
      </c>
      <c r="G114" s="3" t="inlineStr">
        <is>
          <t>Sales and Marketing Expenses</t>
        </is>
      </c>
      <c r="H114" s="3" t="inlineStr">
        <is>
          <t>Checking – Operating</t>
        </is>
      </c>
      <c r="I114" s="33" t="n">
        <v>-13155.53</v>
      </c>
      <c r="J114" s="13">
        <f>+J113+I114</f>
        <v>578208.09</v>
      </c>
      <c r="K114" s="19">
        <f>+EOMONTH(B114,0)</f>
        <v>46053</v>
      </c>
      <c r="L114" s="3" t="inlineStr">
        <is>
          <t>Checking – Operating</t>
        </is>
      </c>
      <c r="M114" s="3" t="inlineStr">
        <is>
          <t>Balance Sheet</t>
        </is>
      </c>
    </row>
    <row r="115">
      <c r="B115" s="39" t="n">
        <v>46053</v>
      </c>
      <c r="C115" s="3" t="inlineStr">
        <is>
          <t>Expense</t>
        </is>
      </c>
      <c r="D115" s="3" t="inlineStr"/>
      <c r="E115" s="3" t="inlineStr">
        <is>
          <t>Union Utilities</t>
        </is>
      </c>
      <c r="F115" s="3" t="inlineStr">
        <is>
          <t>Fax Service – January</t>
        </is>
      </c>
      <c r="G115" s="3" t="inlineStr">
        <is>
          <t>Fax Service</t>
        </is>
      </c>
      <c r="H115" s="3" t="inlineStr">
        <is>
          <t>Checking – Operating</t>
        </is>
      </c>
      <c r="I115" s="33" t="n">
        <v>-1013.01</v>
      </c>
      <c r="J115" s="13">
        <f>+J114+I115</f>
        <v>577195.08</v>
      </c>
      <c r="K115" s="19">
        <f>+EOMONTH(B115,0)</f>
        <v>46053</v>
      </c>
      <c r="L115" s="3" t="inlineStr">
        <is>
          <t>Checking – Operating</t>
        </is>
      </c>
      <c r="M115" s="3" t="inlineStr">
        <is>
          <t>Balance Sheet</t>
        </is>
      </c>
    </row>
    <row r="116">
      <c r="B116" s="39" t="n">
        <v>46053</v>
      </c>
      <c r="C116" s="3" t="inlineStr">
        <is>
          <t>Journal Entry</t>
        </is>
      </c>
      <c r="D116" s="3" t="inlineStr"/>
      <c r="E116" s="3" t="inlineStr"/>
      <c r="F116" s="3" t="inlineStr">
        <is>
          <t>Taxes and Licenses – January</t>
        </is>
      </c>
      <c r="G116" s="3" t="inlineStr">
        <is>
          <t>Taxes and Licenses</t>
        </is>
      </c>
      <c r="H116" s="3" t="inlineStr">
        <is>
          <t>Checking – Operating</t>
        </is>
      </c>
      <c r="I116" s="33" t="n">
        <v>-800</v>
      </c>
      <c r="J116" s="13">
        <f>+J115+I116</f>
        <v>576395.08</v>
      </c>
      <c r="K116" s="19">
        <f>+EOMONTH(B116,0)</f>
        <v>46053</v>
      </c>
      <c r="L116" s="3" t="inlineStr">
        <is>
          <t>Checking – Operating</t>
        </is>
      </c>
      <c r="M116" s="3" t="inlineStr">
        <is>
          <t>Balance Sheet</t>
        </is>
      </c>
    </row>
    <row r="117">
      <c r="B117" s="39" t="n">
        <v>46054</v>
      </c>
      <c r="C117" s="3" t="inlineStr">
        <is>
          <t>Bill Payment (Check)</t>
        </is>
      </c>
      <c r="D117" s="3" t="inlineStr"/>
      <c r="E117" s="3" t="inlineStr">
        <is>
          <t>Vialtrace Lab Supplies Inc</t>
        </is>
      </c>
      <c r="F117" s="3" t="inlineStr">
        <is>
          <t>Lab supplies PO# F2165</t>
        </is>
      </c>
      <c r="G117" s="3" t="inlineStr">
        <is>
          <t>Accounts Payable</t>
        </is>
      </c>
      <c r="H117" s="3" t="inlineStr">
        <is>
          <t>Checking – Operating</t>
        </is>
      </c>
      <c r="I117" s="33" t="n">
        <v>-25920.16</v>
      </c>
      <c r="J117" s="13">
        <f>+J116+I117</f>
        <v>550474.92</v>
      </c>
      <c r="K117" s="19">
        <f>+EOMONTH(B117,0)</f>
        <v>46081</v>
      </c>
      <c r="L117" s="3" t="inlineStr">
        <is>
          <t>Checking – Operating</t>
        </is>
      </c>
      <c r="M117" s="3" t="inlineStr">
        <is>
          <t>Balance Sheet</t>
        </is>
      </c>
    </row>
    <row r="118">
      <c r="B118" s="39" t="n">
        <v>46054</v>
      </c>
      <c r="C118" s="3" t="inlineStr">
        <is>
          <t>Bill Payment (Check)</t>
        </is>
      </c>
      <c r="D118" s="3" t="inlineStr"/>
      <c r="E118" s="3" t="inlineStr">
        <is>
          <t>Northmoor Waste Services</t>
        </is>
      </c>
      <c r="F118" s="3" t="inlineStr">
        <is>
          <t>Waste Removal – January</t>
        </is>
      </c>
      <c r="G118" s="3" t="inlineStr">
        <is>
          <t>Accounts Payable</t>
        </is>
      </c>
      <c r="H118" s="3" t="inlineStr">
        <is>
          <t>Checking – Operating</t>
        </is>
      </c>
      <c r="I118" s="33" t="n">
        <v>-624.67</v>
      </c>
      <c r="J118" s="13">
        <f>+J117+I118</f>
        <v>549850.25</v>
      </c>
      <c r="K118" s="19">
        <f>+EOMONTH(B118,0)</f>
        <v>46081</v>
      </c>
      <c r="L118" s="3" t="inlineStr">
        <is>
          <t>Checking – Operating</t>
        </is>
      </c>
      <c r="M118" s="3" t="inlineStr">
        <is>
          <t>Balance Sheet</t>
        </is>
      </c>
    </row>
    <row r="119">
      <c r="B119" s="39" t="n">
        <v>46055</v>
      </c>
      <c r="C119" s="3" t="inlineStr">
        <is>
          <t>Bill Payment (Check)</t>
        </is>
      </c>
      <c r="D119" s="3" t="inlineStr"/>
      <c r="E119" s="3" t="inlineStr">
        <is>
          <t>Reagentix Corp</t>
        </is>
      </c>
      <c r="F119" s="3" t="inlineStr">
        <is>
          <t>Lab supplies PO# F2324</t>
        </is>
      </c>
      <c r="G119" s="3" t="inlineStr">
        <is>
          <t>Accounts Payable</t>
        </is>
      </c>
      <c r="H119" s="3" t="inlineStr">
        <is>
          <t>Checking – Operating</t>
        </is>
      </c>
      <c r="I119" s="33" t="n">
        <v>-31413.72</v>
      </c>
      <c r="J119" s="13">
        <f>+J118+I119</f>
        <v>518436.53</v>
      </c>
      <c r="K119" s="19">
        <f>+EOMONTH(B119,0)</f>
        <v>46081</v>
      </c>
      <c r="L119" s="3" t="inlineStr">
        <is>
          <t>Checking – Operating</t>
        </is>
      </c>
      <c r="M119" s="3" t="inlineStr">
        <is>
          <t>Balance Sheet</t>
        </is>
      </c>
    </row>
    <row r="120">
      <c r="B120" s="39" t="n">
        <v>46055</v>
      </c>
      <c r="C120" s="3" t="inlineStr">
        <is>
          <t>Bill Payment (Check)</t>
        </is>
      </c>
      <c r="D120" s="3" t="inlineStr"/>
      <c r="E120" s="3" t="inlineStr">
        <is>
          <t>Lumenlease Equipment</t>
        </is>
      </c>
      <c r="F120" s="3" t="inlineStr">
        <is>
          <t>Equipment Lease – January</t>
        </is>
      </c>
      <c r="G120" s="3" t="inlineStr">
        <is>
          <t>Accounts Payable</t>
        </is>
      </c>
      <c r="H120" s="3" t="inlineStr">
        <is>
          <t>Checking – Operating</t>
        </is>
      </c>
      <c r="I120" s="33" t="n">
        <v>-3018.23</v>
      </c>
      <c r="J120" s="13">
        <f>+J119+I120</f>
        <v>515418.3</v>
      </c>
      <c r="K120" s="19">
        <f>+EOMONTH(B120,0)</f>
        <v>46081</v>
      </c>
      <c r="L120" s="3" t="inlineStr">
        <is>
          <t>Checking – Operating</t>
        </is>
      </c>
      <c r="M120" s="3" t="inlineStr">
        <is>
          <t>Balance Sheet</t>
        </is>
      </c>
    </row>
    <row r="121">
      <c r="B121" s="39" t="n">
        <v>46055</v>
      </c>
      <c r="C121" s="3" t="inlineStr">
        <is>
          <t>Expense</t>
        </is>
      </c>
      <c r="D121" s="3" t="inlineStr"/>
      <c r="E121" s="3" t="inlineStr"/>
      <c r="F121" s="3" t="inlineStr">
        <is>
          <t>Interest – equipment note</t>
        </is>
      </c>
      <c r="G121" s="3" t="inlineStr">
        <is>
          <t>Interest Expense</t>
        </is>
      </c>
      <c r="H121" s="3" t="inlineStr">
        <is>
          <t>Checking – Operating</t>
        </is>
      </c>
      <c r="I121" s="33" t="n">
        <v>-1168.97</v>
      </c>
      <c r="J121" s="13">
        <f>+J120+I121</f>
        <v>514249.33</v>
      </c>
      <c r="K121" s="19">
        <f>+EOMONTH(B121,0)</f>
        <v>46081</v>
      </c>
      <c r="L121" s="3" t="inlineStr">
        <is>
          <t>Checking – Operating</t>
        </is>
      </c>
      <c r="M121" s="3" t="inlineStr">
        <is>
          <t>Balance Sheet</t>
        </is>
      </c>
    </row>
    <row r="122">
      <c r="B122" s="39" t="n">
        <v>46055</v>
      </c>
      <c r="C122" s="3" t="inlineStr">
        <is>
          <t>Expense</t>
        </is>
      </c>
      <c r="D122" s="3" t="inlineStr"/>
      <c r="E122" s="3" t="inlineStr">
        <is>
          <t>Reagentix Corp</t>
        </is>
      </c>
      <c r="F122" s="3" t="inlineStr">
        <is>
          <t>QAQC – February</t>
        </is>
      </c>
      <c r="G122" s="3" t="inlineStr">
        <is>
          <t>QAQC</t>
        </is>
      </c>
      <c r="H122" s="3" t="inlineStr">
        <is>
          <t>Checking – Operating</t>
        </is>
      </c>
      <c r="I122" s="33" t="n">
        <v>-2496.99</v>
      </c>
      <c r="J122" s="13">
        <f>+J121+I122</f>
        <v>511752.34</v>
      </c>
      <c r="K122" s="19">
        <f>+EOMONTH(B122,0)</f>
        <v>46081</v>
      </c>
      <c r="L122" s="3" t="inlineStr">
        <is>
          <t>Checking – Operating</t>
        </is>
      </c>
      <c r="M122" s="3" t="inlineStr">
        <is>
          <t>Balance Sheet</t>
        </is>
      </c>
    </row>
    <row r="123">
      <c r="B123" s="39" t="n">
        <v>46056</v>
      </c>
      <c r="C123" s="3" t="inlineStr">
        <is>
          <t>Bill Payment (Check)</t>
        </is>
      </c>
      <c r="D123" s="3" t="inlineStr"/>
      <c r="E123" s="3" t="inlineStr">
        <is>
          <t>Reference Lab A</t>
        </is>
      </c>
      <c r="F123" s="3" t="inlineStr">
        <is>
          <t>Send-out testing – January</t>
        </is>
      </c>
      <c r="G123" s="3" t="inlineStr">
        <is>
          <t>Accounts Payable</t>
        </is>
      </c>
      <c r="H123" s="3" t="inlineStr">
        <is>
          <t>Checking – Operating</t>
        </is>
      </c>
      <c r="I123" s="33" t="n">
        <v>-17738.67</v>
      </c>
      <c r="J123" s="13">
        <f>+J122+I123</f>
        <v>494013.67</v>
      </c>
      <c r="K123" s="19">
        <f>+EOMONTH(B123,0)</f>
        <v>46081</v>
      </c>
      <c r="L123" s="3" t="inlineStr">
        <is>
          <t>Checking – Operating</t>
        </is>
      </c>
      <c r="M123" s="3" t="inlineStr">
        <is>
          <t>Balance Sheet</t>
        </is>
      </c>
    </row>
    <row r="124">
      <c r="B124" s="39" t="n">
        <v>46056</v>
      </c>
      <c r="C124" s="3" t="inlineStr">
        <is>
          <t>Bill Payment (Check)</t>
        </is>
      </c>
      <c r="D124" s="3" t="inlineStr"/>
      <c r="E124" s="3" t="inlineStr">
        <is>
          <t>Tarrowmere Mutual Insurance</t>
        </is>
      </c>
      <c r="F124" s="3" t="inlineStr">
        <is>
          <t>Benefits – January</t>
        </is>
      </c>
      <c r="G124" s="3" t="inlineStr">
        <is>
          <t>Accounts Payable</t>
        </is>
      </c>
      <c r="H124" s="3" t="inlineStr">
        <is>
          <t>Checking – Operating</t>
        </is>
      </c>
      <c r="I124" s="33" t="n">
        <v>-5498.21</v>
      </c>
      <c r="J124" s="13">
        <f>+J123+I124</f>
        <v>488515.46</v>
      </c>
      <c r="K124" s="19">
        <f>+EOMONTH(B124,0)</f>
        <v>46081</v>
      </c>
      <c r="L124" s="3" t="inlineStr">
        <is>
          <t>Checking – Operating</t>
        </is>
      </c>
      <c r="M124" s="3" t="inlineStr">
        <is>
          <t>Balance Sheet</t>
        </is>
      </c>
    </row>
    <row r="125">
      <c r="B125" s="39" t="n">
        <v>46056</v>
      </c>
      <c r="C125" s="3" t="inlineStr">
        <is>
          <t>Bill Payment (Check)</t>
        </is>
      </c>
      <c r="D125" s="3" t="inlineStr"/>
      <c r="E125" s="3" t="inlineStr">
        <is>
          <t>Tarrowmere Mutual Insurance</t>
        </is>
      </c>
      <c r="F125" s="3" t="inlineStr">
        <is>
          <t>Benefits – January</t>
        </is>
      </c>
      <c r="G125" s="3" t="inlineStr">
        <is>
          <t>Accounts Payable</t>
        </is>
      </c>
      <c r="H125" s="3" t="inlineStr">
        <is>
          <t>Checking – Operating</t>
        </is>
      </c>
      <c r="I125" s="33" t="n">
        <v>-5785.49</v>
      </c>
      <c r="J125" s="13">
        <f>+J124+I125</f>
        <v>482729.97</v>
      </c>
      <c r="K125" s="19">
        <f>+EOMONTH(B125,0)</f>
        <v>46081</v>
      </c>
      <c r="L125" s="3" t="inlineStr">
        <is>
          <t>Checking – Operating</t>
        </is>
      </c>
      <c r="M125" s="3" t="inlineStr">
        <is>
          <t>Balance Sheet</t>
        </is>
      </c>
    </row>
    <row r="126">
      <c r="B126" s="39" t="n">
        <v>46056</v>
      </c>
      <c r="C126" s="3" t="inlineStr">
        <is>
          <t>Credit Card Expense</t>
        </is>
      </c>
      <c r="D126" s="3" t="inlineStr"/>
      <c r="E126" s="3" t="inlineStr"/>
      <c r="F126" s="3" t="inlineStr">
        <is>
          <t>Lab Credentialing – February</t>
        </is>
      </c>
      <c r="G126" s="3" t="inlineStr">
        <is>
          <t>Lab Credentialing</t>
        </is>
      </c>
      <c r="H126" s="3" t="inlineStr">
        <is>
          <t>Checking – Operating</t>
        </is>
      </c>
      <c r="I126" s="33" t="n">
        <v>-922.1</v>
      </c>
      <c r="J126" s="13">
        <f>+J125+I126</f>
        <v>481807.87</v>
      </c>
      <c r="K126" s="19">
        <f>+EOMONTH(B126,0)</f>
        <v>46081</v>
      </c>
      <c r="L126" s="3" t="inlineStr">
        <is>
          <t>Checking – Operating</t>
        </is>
      </c>
      <c r="M126" s="3" t="inlineStr">
        <is>
          <t>Balance Sheet</t>
        </is>
      </c>
    </row>
    <row r="127">
      <c r="B127" s="39" t="n">
        <v>46056</v>
      </c>
      <c r="C127" s="3" t="inlineStr">
        <is>
          <t>Credit Card Expense</t>
        </is>
      </c>
      <c r="D127" s="3" t="inlineStr"/>
      <c r="E127" s="3" t="inlineStr"/>
      <c r="F127" s="3" t="inlineStr">
        <is>
          <t>Patient refund</t>
        </is>
      </c>
      <c r="G127" s="3" t="inlineStr">
        <is>
          <t>Refunds</t>
        </is>
      </c>
      <c r="H127" s="3" t="inlineStr">
        <is>
          <t>Checking – Operating</t>
        </is>
      </c>
      <c r="I127" s="33" t="n">
        <v>-7707.72</v>
      </c>
      <c r="J127" s="13">
        <f>+J126+I127</f>
        <v>474100.15</v>
      </c>
      <c r="K127" s="19">
        <f>+EOMONTH(B127,0)</f>
        <v>46081</v>
      </c>
      <c r="L127" s="3" t="inlineStr">
        <is>
          <t>Checking – Operating</t>
        </is>
      </c>
      <c r="M127" s="3" t="inlineStr">
        <is>
          <t>Balance Sheet</t>
        </is>
      </c>
    </row>
    <row r="128">
      <c r="B128" s="39" t="n">
        <v>46056</v>
      </c>
      <c r="C128" s="3" t="inlineStr">
        <is>
          <t>Expense</t>
        </is>
      </c>
      <c r="D128" s="3" t="inlineStr"/>
      <c r="E128" s="3" t="inlineStr">
        <is>
          <t>Lumenlease Equipment</t>
        </is>
      </c>
      <c r="F128" s="3" t="inlineStr">
        <is>
          <t>Repairs and Maintenance – February</t>
        </is>
      </c>
      <c r="G128" s="3" t="inlineStr">
        <is>
          <t>Repairs and Maintenance</t>
        </is>
      </c>
      <c r="H128" s="3" t="inlineStr">
        <is>
          <t>Checking – Operating</t>
        </is>
      </c>
      <c r="I128" s="33" t="n">
        <v>-4928.29</v>
      </c>
      <c r="J128" s="13">
        <f>+J127+I128</f>
        <v>469171.86</v>
      </c>
      <c r="K128" s="19">
        <f>+EOMONTH(B128,0)</f>
        <v>46081</v>
      </c>
      <c r="L128" s="3" t="inlineStr">
        <is>
          <t>Checking – Operating</t>
        </is>
      </c>
      <c r="M128" s="3" t="inlineStr">
        <is>
          <t>Balance Sheet</t>
        </is>
      </c>
    </row>
    <row r="129">
      <c r="B129" s="39" t="n">
        <v>46057</v>
      </c>
      <c r="C129" s="3" t="inlineStr">
        <is>
          <t>Bill Payment (Check)</t>
        </is>
      </c>
      <c r="D129" s="3" t="inlineStr"/>
      <c r="E129" s="3" t="inlineStr">
        <is>
          <t>Reagentix Corp</t>
        </is>
      </c>
      <c r="F129" s="3" t="inlineStr">
        <is>
          <t>Lab Expenses – January</t>
        </is>
      </c>
      <c r="G129" s="3" t="inlineStr">
        <is>
          <t>Accounts Payable</t>
        </is>
      </c>
      <c r="H129" s="3" t="inlineStr">
        <is>
          <t>Checking – Operating</t>
        </is>
      </c>
      <c r="I129" s="33" t="n">
        <v>-3403.49</v>
      </c>
      <c r="J129" s="13">
        <f>+J128+I129</f>
        <v>465768.37</v>
      </c>
      <c r="K129" s="19">
        <f>+EOMONTH(B129,0)</f>
        <v>46081</v>
      </c>
      <c r="L129" s="3" t="inlineStr">
        <is>
          <t>Checking – Operating</t>
        </is>
      </c>
      <c r="M129" s="3" t="inlineStr">
        <is>
          <t>Balance Sheet</t>
        </is>
      </c>
    </row>
    <row r="130">
      <c r="B130" s="39" t="n">
        <v>46057</v>
      </c>
      <c r="C130" s="3" t="inlineStr">
        <is>
          <t>Bill Payment (Check)</t>
        </is>
      </c>
      <c r="D130" s="3" t="inlineStr"/>
      <c r="E130" s="3" t="inlineStr">
        <is>
          <t>Northmoor Waste Services</t>
        </is>
      </c>
      <c r="F130" s="3" t="inlineStr">
        <is>
          <t>Waste Removal – January</t>
        </is>
      </c>
      <c r="G130" s="3" t="inlineStr">
        <is>
          <t>Accounts Payable</t>
        </is>
      </c>
      <c r="H130" s="3" t="inlineStr">
        <is>
          <t>Checking – Operating</t>
        </is>
      </c>
      <c r="I130" s="33" t="n">
        <v>-615.33</v>
      </c>
      <c r="J130" s="13">
        <f>+J129+I130</f>
        <v>465153.04</v>
      </c>
      <c r="K130" s="19">
        <f>+EOMONTH(B130,0)</f>
        <v>46081</v>
      </c>
      <c r="L130" s="3" t="inlineStr">
        <is>
          <t>Checking – Operating</t>
        </is>
      </c>
      <c r="M130" s="3" t="inlineStr">
        <is>
          <t>Balance Sheet</t>
        </is>
      </c>
    </row>
    <row r="131">
      <c r="B131" s="39" t="n">
        <v>46057</v>
      </c>
      <c r="C131" s="3" t="inlineStr">
        <is>
          <t>Credit Card Expense</t>
        </is>
      </c>
      <c r="D131" s="3" t="inlineStr"/>
      <c r="E131" s="3" t="inlineStr">
        <is>
          <t>Tessarand Payroll Services</t>
        </is>
      </c>
      <c r="F131" s="3" t="inlineStr">
        <is>
          <t>Sales and Marketing Expenses – February</t>
        </is>
      </c>
      <c r="G131" s="3" t="inlineStr">
        <is>
          <t>Sales and Marketing Expenses</t>
        </is>
      </c>
      <c r="H131" s="3" t="inlineStr">
        <is>
          <t>Checking – Operating</t>
        </is>
      </c>
      <c r="I131" s="33" t="n">
        <v>-14857.66</v>
      </c>
      <c r="J131" s="13">
        <f>+J130+I131</f>
        <v>450295.38</v>
      </c>
      <c r="K131" s="19">
        <f>+EOMONTH(B131,0)</f>
        <v>46081</v>
      </c>
      <c r="L131" s="3" t="inlineStr">
        <is>
          <t>Checking – Operating</t>
        </is>
      </c>
      <c r="M131" s="3" t="inlineStr">
        <is>
          <t>Balance Sheet</t>
        </is>
      </c>
    </row>
    <row r="132">
      <c r="B132" s="39" t="n">
        <v>46057</v>
      </c>
      <c r="C132" s="3" t="inlineStr">
        <is>
          <t>Deposit</t>
        </is>
      </c>
      <c r="D132" s="3" t="inlineStr"/>
      <c r="E132" s="3" t="inlineStr">
        <is>
          <t>Federal Program A</t>
        </is>
      </c>
      <c r="F132" s="3" t="inlineStr">
        <is>
          <t>ORIG CO NAME:FEDERAL PROG A ORIG ID:XXXXXX4296 DESC DATE:260204 CO ENTRY DESCR:HCCLAIMPMT SEC:CCD TRACE#:XXXXXXXX9472368 EED:260204 IND ID:</t>
        </is>
      </c>
      <c r="G132" s="3" t="inlineStr">
        <is>
          <t>Service Income</t>
        </is>
      </c>
      <c r="H132" s="3" t="inlineStr">
        <is>
          <t>Checking – Operating</t>
        </is>
      </c>
      <c r="I132" s="33" t="n">
        <v>74922.23</v>
      </c>
      <c r="J132" s="13">
        <f>+J131+I132</f>
        <v>525217.61</v>
      </c>
      <c r="K132" s="19">
        <f>+EOMONTH(B132,0)</f>
        <v>46081</v>
      </c>
      <c r="L132" s="3" t="inlineStr">
        <is>
          <t>Checking – Operating</t>
        </is>
      </c>
      <c r="M132" s="3" t="inlineStr">
        <is>
          <t>Balance Sheet</t>
        </is>
      </c>
    </row>
    <row r="133">
      <c r="B133" s="39" t="n">
        <v>46057</v>
      </c>
      <c r="C133" s="3" t="inlineStr">
        <is>
          <t>Expense</t>
        </is>
      </c>
      <c r="D133" s="3" t="inlineStr"/>
      <c r="E133" s="3" t="inlineStr"/>
      <c r="F133" s="3" t="inlineStr">
        <is>
          <t>Bank service charges – February</t>
        </is>
      </c>
      <c r="G133" s="3" t="inlineStr">
        <is>
          <t>Cash</t>
        </is>
      </c>
      <c r="H133" s="3" t="inlineStr">
        <is>
          <t>Checking – Operating</t>
        </is>
      </c>
      <c r="I133" s="33" t="n">
        <v>-699.11</v>
      </c>
      <c r="J133" s="13">
        <f>+J132+I133</f>
        <v>524518.5</v>
      </c>
      <c r="K133" s="19">
        <f>+EOMONTH(B133,0)</f>
        <v>46081</v>
      </c>
      <c r="L133" s="3" t="inlineStr">
        <is>
          <t>Checking – Operating</t>
        </is>
      </c>
      <c r="M133" s="3" t="inlineStr">
        <is>
          <t>Balance Sheet</t>
        </is>
      </c>
    </row>
    <row r="134">
      <c r="B134" s="39" t="n">
        <v>46057</v>
      </c>
      <c r="C134" s="3" t="inlineStr">
        <is>
          <t>Expense</t>
        </is>
      </c>
      <c r="D134" s="3" t="inlineStr"/>
      <c r="E134" s="3" t="inlineStr">
        <is>
          <t>Lumenlease Equipment</t>
        </is>
      </c>
      <c r="F134" s="3" t="inlineStr">
        <is>
          <t>Repairs and Maintenance – February</t>
        </is>
      </c>
      <c r="G134" s="3" t="inlineStr">
        <is>
          <t>Repairs and Maintenance</t>
        </is>
      </c>
      <c r="H134" s="3" t="inlineStr">
        <is>
          <t>Checking – Operating</t>
        </is>
      </c>
      <c r="I134" s="33" t="n">
        <v>-1576.38</v>
      </c>
      <c r="J134" s="13">
        <f>+J133+I134</f>
        <v>522942.12</v>
      </c>
      <c r="K134" s="19">
        <f>+EOMONTH(B134,0)</f>
        <v>46081</v>
      </c>
      <c r="L134" s="3" t="inlineStr">
        <is>
          <t>Checking – Operating</t>
        </is>
      </c>
      <c r="M134" s="3" t="inlineStr">
        <is>
          <t>Balance Sheet</t>
        </is>
      </c>
    </row>
    <row r="135">
      <c r="B135" s="39" t="n">
        <v>46058</v>
      </c>
      <c r="C135" s="3" t="inlineStr">
        <is>
          <t>Bill Payment (Check)</t>
        </is>
      </c>
      <c r="D135" s="3" t="inlineStr"/>
      <c r="E135" s="3" t="inlineStr">
        <is>
          <t>Reagentix Corp</t>
        </is>
      </c>
      <c r="F135" s="3" t="inlineStr">
        <is>
          <t>Lab Expenses – January</t>
        </is>
      </c>
      <c r="G135" s="3" t="inlineStr">
        <is>
          <t>Accounts Payable</t>
        </is>
      </c>
      <c r="H135" s="3" t="inlineStr">
        <is>
          <t>Checking – Operating</t>
        </is>
      </c>
      <c r="I135" s="33" t="n">
        <v>-4643.3</v>
      </c>
      <c r="J135" s="13">
        <f>+J134+I135</f>
        <v>518298.82</v>
      </c>
      <c r="K135" s="19">
        <f>+EOMONTH(B135,0)</f>
        <v>46081</v>
      </c>
      <c r="L135" s="3" t="inlineStr">
        <is>
          <t>Checking – Operating</t>
        </is>
      </c>
      <c r="M135" s="3" t="inlineStr">
        <is>
          <t>Balance Sheet</t>
        </is>
      </c>
    </row>
    <row r="136">
      <c r="B136" s="39" t="n">
        <v>46058</v>
      </c>
      <c r="C136" s="3" t="inlineStr">
        <is>
          <t>Bill Payment (Check)</t>
        </is>
      </c>
      <c r="D136" s="3" t="inlineStr"/>
      <c r="E136" s="3" t="inlineStr">
        <is>
          <t>Halloway Ridge Realty (rent)</t>
        </is>
      </c>
      <c r="F136" s="3" t="inlineStr">
        <is>
          <t>Rent – January</t>
        </is>
      </c>
      <c r="G136" s="3" t="inlineStr">
        <is>
          <t>Accounts Payable</t>
        </is>
      </c>
      <c r="H136" s="3" t="inlineStr">
        <is>
          <t>Checking – Operating</t>
        </is>
      </c>
      <c r="I136" s="33" t="n">
        <v>-11798.35</v>
      </c>
      <c r="J136" s="13">
        <f>+J135+I136</f>
        <v>506500.47</v>
      </c>
      <c r="K136" s="19">
        <f>+EOMONTH(B136,0)</f>
        <v>46081</v>
      </c>
      <c r="L136" s="3" t="inlineStr">
        <is>
          <t>Checking – Operating</t>
        </is>
      </c>
      <c r="M136" s="3" t="inlineStr">
        <is>
          <t>Balance Sheet</t>
        </is>
      </c>
    </row>
    <row r="137">
      <c r="B137" s="39" t="n">
        <v>46058</v>
      </c>
      <c r="C137" s="3" t="inlineStr">
        <is>
          <t>Credit Card Expense</t>
        </is>
      </c>
      <c r="D137" s="3" t="inlineStr"/>
      <c r="E137" s="3" t="inlineStr">
        <is>
          <t>Tessarand Payroll Services</t>
        </is>
      </c>
      <c r="F137" s="3" t="inlineStr">
        <is>
          <t>Contractors – February</t>
        </is>
      </c>
      <c r="G137" s="3" t="inlineStr">
        <is>
          <t>Contractors</t>
        </is>
      </c>
      <c r="H137" s="3" t="inlineStr">
        <is>
          <t>Checking – Operating</t>
        </is>
      </c>
      <c r="I137" s="33" t="n">
        <v>-6522.2</v>
      </c>
      <c r="J137" s="13">
        <f>+J136+I137</f>
        <v>499978.27</v>
      </c>
      <c r="K137" s="19">
        <f>+EOMONTH(B137,0)</f>
        <v>46081</v>
      </c>
      <c r="L137" s="3" t="inlineStr">
        <is>
          <t>Checking – Operating</t>
        </is>
      </c>
      <c r="M137" s="3" t="inlineStr">
        <is>
          <t>Balance Sheet</t>
        </is>
      </c>
    </row>
    <row r="138">
      <c r="B138" s="39" t="n">
        <v>46058</v>
      </c>
      <c r="C138" s="3" t="inlineStr">
        <is>
          <t>Credit Card Expense</t>
        </is>
      </c>
      <c r="D138" s="3" t="inlineStr"/>
      <c r="E138" s="3" t="inlineStr">
        <is>
          <t>Vialtrace Lab Supplies Inc</t>
        </is>
      </c>
      <c r="F138" s="3" t="inlineStr">
        <is>
          <t>Office Supplies – February</t>
        </is>
      </c>
      <c r="G138" s="3" t="inlineStr">
        <is>
          <t>Office Supplies</t>
        </is>
      </c>
      <c r="H138" s="3" t="inlineStr">
        <is>
          <t>Checking – Operating</t>
        </is>
      </c>
      <c r="I138" s="33" t="n">
        <v>-1667.01</v>
      </c>
      <c r="J138" s="13">
        <f>+J137+I138</f>
        <v>498311.26</v>
      </c>
      <c r="K138" s="19">
        <f>+EOMONTH(B138,0)</f>
        <v>46081</v>
      </c>
      <c r="L138" s="3" t="inlineStr">
        <is>
          <t>Checking – Operating</t>
        </is>
      </c>
      <c r="M138" s="3" t="inlineStr">
        <is>
          <t>Balance Sheet</t>
        </is>
      </c>
    </row>
    <row r="139">
      <c r="B139" s="39" t="n">
        <v>46058</v>
      </c>
      <c r="C139" s="3" t="inlineStr">
        <is>
          <t>Expense</t>
        </is>
      </c>
      <c r="D139" s="3" t="inlineStr"/>
      <c r="E139" s="3" t="inlineStr">
        <is>
          <t>Ledgerquill Billing SaaS</t>
        </is>
      </c>
      <c r="F139" s="3" t="inlineStr">
        <is>
          <t>Interface Service – February</t>
        </is>
      </c>
      <c r="G139" s="3" t="inlineStr">
        <is>
          <t>Interface Service</t>
        </is>
      </c>
      <c r="H139" s="3" t="inlineStr">
        <is>
          <t>Checking – Operating</t>
        </is>
      </c>
      <c r="I139" s="33" t="n">
        <v>-1656.42</v>
      </c>
      <c r="J139" s="13">
        <f>+J138+I139</f>
        <v>496654.84</v>
      </c>
      <c r="K139" s="19">
        <f>+EOMONTH(B139,0)</f>
        <v>46081</v>
      </c>
      <c r="L139" s="3" t="inlineStr">
        <is>
          <t>Checking – Operating</t>
        </is>
      </c>
      <c r="M139" s="3" t="inlineStr">
        <is>
          <t>Balance Sheet</t>
        </is>
      </c>
    </row>
    <row r="140">
      <c r="B140" s="39" t="n">
        <v>46059</v>
      </c>
      <c r="C140" s="3" t="inlineStr">
        <is>
          <t>Bill Payment (Check)</t>
        </is>
      </c>
      <c r="D140" s="3" t="inlineStr"/>
      <c r="E140" s="3" t="inlineStr">
        <is>
          <t>Ledgerquill Billing SaaS</t>
        </is>
      </c>
      <c r="F140" s="3" t="inlineStr">
        <is>
          <t>Billing Software as a Service – January</t>
        </is>
      </c>
      <c r="G140" s="3" t="inlineStr">
        <is>
          <t>Accounts Payable</t>
        </is>
      </c>
      <c r="H140" s="3" t="inlineStr">
        <is>
          <t>Checking – Operating</t>
        </is>
      </c>
      <c r="I140" s="33" t="n">
        <v>-10293.65</v>
      </c>
      <c r="J140" s="13">
        <f>+J139+I140</f>
        <v>486361.19</v>
      </c>
      <c r="K140" s="19">
        <f>+EOMONTH(B140,0)</f>
        <v>46081</v>
      </c>
      <c r="L140" s="3" t="inlineStr">
        <is>
          <t>Checking – Operating</t>
        </is>
      </c>
      <c r="M140" s="3" t="inlineStr">
        <is>
          <t>Balance Sheet</t>
        </is>
      </c>
    </row>
    <row r="141">
      <c r="B141" s="39" t="n">
        <v>46059</v>
      </c>
      <c r="C141" s="3" t="inlineStr">
        <is>
          <t>Expense</t>
        </is>
      </c>
      <c r="D141" s="3" t="inlineStr"/>
      <c r="E141" s="3" t="inlineStr">
        <is>
          <t>Union Utilities</t>
        </is>
      </c>
      <c r="F141" s="3" t="inlineStr">
        <is>
          <t>Telecom and Internet – February</t>
        </is>
      </c>
      <c r="G141" s="3" t="inlineStr">
        <is>
          <t>Telecom and Internet</t>
        </is>
      </c>
      <c r="H141" s="3" t="inlineStr">
        <is>
          <t>Checking – Operating</t>
        </is>
      </c>
      <c r="I141" s="33" t="n">
        <v>-3066.24</v>
      </c>
      <c r="J141" s="13">
        <f>+J140+I141</f>
        <v>483294.95</v>
      </c>
      <c r="K141" s="19">
        <f>+EOMONTH(B141,0)</f>
        <v>46081</v>
      </c>
      <c r="L141" s="3" t="inlineStr">
        <is>
          <t>Checking – Operating</t>
        </is>
      </c>
      <c r="M141" s="3" t="inlineStr">
        <is>
          <t>Balance Sheet</t>
        </is>
      </c>
    </row>
    <row r="142">
      <c r="B142" s="39" t="n">
        <v>46060</v>
      </c>
      <c r="C142" s="3" t="inlineStr">
        <is>
          <t>Deposit</t>
        </is>
      </c>
      <c r="D142" s="3" t="inlineStr"/>
      <c r="E142" s="3" t="inlineStr">
        <is>
          <t>Quayside Choice Senior Plan</t>
        </is>
      </c>
      <c r="F142" s="3" t="inlineStr">
        <is>
          <t>ORIG CO NAME:QUAYSIDE CHOICE SP ORIG ID:XXXXXX6196 DESC DATE:260207 CO ENTRY DESCR:HCCLAIMPMT SEC:CCD TRACE#:XXXXXXXX2233163 EED:260207 IND ID:</t>
        </is>
      </c>
      <c r="G142" s="3" t="inlineStr">
        <is>
          <t>Service Income</t>
        </is>
      </c>
      <c r="H142" s="3" t="inlineStr">
        <is>
          <t>Checking – Operating</t>
        </is>
      </c>
      <c r="I142" s="33" t="n">
        <v>47467.15</v>
      </c>
      <c r="J142" s="13">
        <f>+J141+I142</f>
        <v>530762.1</v>
      </c>
      <c r="K142" s="19">
        <f>+EOMONTH(B142,0)</f>
        <v>46081</v>
      </c>
      <c r="L142" s="3" t="inlineStr">
        <is>
          <t>Checking – Operating</t>
        </is>
      </c>
      <c r="M142" s="3" t="inlineStr">
        <is>
          <t>Balance Sheet</t>
        </is>
      </c>
    </row>
    <row r="143">
      <c r="B143" s="39" t="n">
        <v>46060</v>
      </c>
      <c r="C143" s="3" t="inlineStr">
        <is>
          <t>Expense</t>
        </is>
      </c>
      <c r="D143" s="3" t="inlineStr"/>
      <c r="E143" s="3" t="inlineStr"/>
      <c r="F143" s="3" t="inlineStr">
        <is>
          <t>Bank service charges – February</t>
        </is>
      </c>
      <c r="G143" s="3" t="inlineStr">
        <is>
          <t>Bank Fees</t>
        </is>
      </c>
      <c r="H143" s="3" t="inlineStr">
        <is>
          <t>Checking – Operating</t>
        </is>
      </c>
      <c r="I143" s="33" t="n">
        <v>-1557.79</v>
      </c>
      <c r="J143" s="13">
        <f>+J142+I143</f>
        <v>529204.31</v>
      </c>
      <c r="K143" s="19">
        <f>+EOMONTH(B143,0)</f>
        <v>46081</v>
      </c>
      <c r="L143" s="3" t="inlineStr">
        <is>
          <t>Checking – Operating</t>
        </is>
      </c>
      <c r="M143" s="3" t="inlineStr">
        <is>
          <t>Balance Sheet</t>
        </is>
      </c>
    </row>
    <row r="144">
      <c r="B144" s="39" t="n">
        <v>46060</v>
      </c>
      <c r="C144" s="3" t="inlineStr">
        <is>
          <t>Payroll Check</t>
        </is>
      </c>
      <c r="D144" s="3" t="inlineStr"/>
      <c r="E144" s="3" t="inlineStr">
        <is>
          <t>Tessarand Payroll Services</t>
        </is>
      </c>
      <c r="F144" s="3" t="inlineStr">
        <is>
          <t>Payroll processing fee</t>
        </is>
      </c>
      <c r="G144" s="3" t="inlineStr">
        <is>
          <t>Payroll Processing Fee</t>
        </is>
      </c>
      <c r="H144" s="3" t="inlineStr">
        <is>
          <t>Checking – Operating</t>
        </is>
      </c>
      <c r="I144" s="33" t="n">
        <v>-150.13</v>
      </c>
      <c r="J144" s="13">
        <f>+J143+I144</f>
        <v>529054.18</v>
      </c>
      <c r="K144" s="19">
        <f>+EOMONTH(B144,0)</f>
        <v>46081</v>
      </c>
      <c r="L144" s="3" t="inlineStr">
        <is>
          <t>Checking – Operating</t>
        </is>
      </c>
      <c r="M144" s="3" t="inlineStr">
        <is>
          <t>Balance Sheet</t>
        </is>
      </c>
    </row>
    <row r="145">
      <c r="B145" s="39" t="n">
        <v>46061</v>
      </c>
      <c r="C145" s="3" t="inlineStr">
        <is>
          <t>Bill Payment (Check)</t>
        </is>
      </c>
      <c r="D145" s="3" t="inlineStr"/>
      <c r="E145" s="3" t="inlineStr">
        <is>
          <t>Reagentix Corp</t>
        </is>
      </c>
      <c r="F145" s="3" t="inlineStr">
        <is>
          <t>Lab supplies PO# F2897</t>
        </is>
      </c>
      <c r="G145" s="3" t="inlineStr">
        <is>
          <t>Accounts Payable</t>
        </is>
      </c>
      <c r="H145" s="3" t="inlineStr">
        <is>
          <t>Checking – Operating</t>
        </is>
      </c>
      <c r="I145" s="33" t="n">
        <v>-7474.82</v>
      </c>
      <c r="J145" s="13">
        <f>+J144+I145</f>
        <v>521579.36</v>
      </c>
      <c r="K145" s="19">
        <f>+EOMONTH(B145,0)</f>
        <v>46081</v>
      </c>
      <c r="L145" s="3" t="inlineStr">
        <is>
          <t>Checking – Operating</t>
        </is>
      </c>
      <c r="M145" s="3" t="inlineStr">
        <is>
          <t>Balance Sheet</t>
        </is>
      </c>
    </row>
    <row r="146">
      <c r="B146" s="39" t="n">
        <v>46061</v>
      </c>
      <c r="C146" s="3" t="inlineStr">
        <is>
          <t>Deposit</t>
        </is>
      </c>
      <c r="D146" s="3" t="inlineStr"/>
      <c r="E146" s="3" t="inlineStr">
        <is>
          <t>Silvermoss Senior Living</t>
        </is>
      </c>
      <c r="F146" s="3" t="inlineStr">
        <is>
          <t>ORIG CO NAME:SILVERMOSS SL ORIG ID:XXXXXX1883 DESC DATE:260208 CO ENTRY DESCR:HCCLAIMPMT SEC:CCD TRACE#:XXXXXXXX9844821 EED:260208 IND ID:</t>
        </is>
      </c>
      <c r="G146" s="3" t="inlineStr">
        <is>
          <t>Service Income</t>
        </is>
      </c>
      <c r="H146" s="3" t="inlineStr">
        <is>
          <t>Checking – Operating</t>
        </is>
      </c>
      <c r="I146" s="33" t="n">
        <v>25833.03</v>
      </c>
      <c r="J146" s="13">
        <f>+J145+I146</f>
        <v>547412.39</v>
      </c>
      <c r="K146" s="19">
        <f>+EOMONTH(B146,0)</f>
        <v>46081</v>
      </c>
      <c r="L146" s="3" t="inlineStr">
        <is>
          <t>Checking – Operating</t>
        </is>
      </c>
      <c r="M146" s="3" t="inlineStr">
        <is>
          <t>Balance Sheet</t>
        </is>
      </c>
    </row>
    <row r="147">
      <c r="B147" s="39" t="n">
        <v>46061</v>
      </c>
      <c r="C147" s="3" t="inlineStr">
        <is>
          <t>Expense</t>
        </is>
      </c>
      <c r="D147" s="3" t="inlineStr"/>
      <c r="E147" s="3" t="inlineStr">
        <is>
          <t>Union Utilities</t>
        </is>
      </c>
      <c r="F147" s="3" t="inlineStr">
        <is>
          <t>Fax Service – February</t>
        </is>
      </c>
      <c r="G147" s="3" t="inlineStr">
        <is>
          <t>Fax Service</t>
        </is>
      </c>
      <c r="H147" s="3" t="inlineStr">
        <is>
          <t>Checking – Operating</t>
        </is>
      </c>
      <c r="I147" s="33" t="n">
        <v>-658.48</v>
      </c>
      <c r="J147" s="13">
        <f>+J146+I147</f>
        <v>546753.91</v>
      </c>
      <c r="K147" s="19">
        <f>+EOMONTH(B147,0)</f>
        <v>46081</v>
      </c>
      <c r="L147" s="3" t="inlineStr">
        <is>
          <t>Checking – Operating</t>
        </is>
      </c>
      <c r="M147" s="3" t="inlineStr">
        <is>
          <t>Balance Sheet</t>
        </is>
      </c>
    </row>
    <row r="148">
      <c r="B148" s="39" t="n">
        <v>46061</v>
      </c>
      <c r="C148" s="3" t="inlineStr">
        <is>
          <t>Journal Entry</t>
        </is>
      </c>
      <c r="D148" s="3" t="inlineStr"/>
      <c r="E148" s="3" t="inlineStr">
        <is>
          <t>Ledgerquill Billing SaaS</t>
        </is>
      </c>
      <c r="F148" s="3" t="inlineStr">
        <is>
          <t>Software – February</t>
        </is>
      </c>
      <c r="G148" s="3" t="inlineStr">
        <is>
          <t>Software</t>
        </is>
      </c>
      <c r="H148" s="3" t="inlineStr">
        <is>
          <t>Checking – Operating</t>
        </is>
      </c>
      <c r="I148" s="33" t="n">
        <v>-3127.13</v>
      </c>
      <c r="J148" s="13">
        <f>+J147+I148</f>
        <v>543626.78</v>
      </c>
      <c r="K148" s="19">
        <f>+EOMONTH(B148,0)</f>
        <v>46081</v>
      </c>
      <c r="L148" s="3" t="inlineStr">
        <is>
          <t>Checking – Operating</t>
        </is>
      </c>
      <c r="M148" s="3" t="inlineStr">
        <is>
          <t>Balance Sheet</t>
        </is>
      </c>
    </row>
    <row r="149">
      <c r="B149" s="39" t="n">
        <v>46062</v>
      </c>
      <c r="C149" s="3" t="inlineStr">
        <is>
          <t>Bill Payment (Check)</t>
        </is>
      </c>
      <c r="D149" s="3" t="inlineStr"/>
      <c r="E149" s="3" t="inlineStr">
        <is>
          <t>Reference Lab A</t>
        </is>
      </c>
      <c r="F149" s="3" t="inlineStr">
        <is>
          <t>Send-out testing – January</t>
        </is>
      </c>
      <c r="G149" s="3" t="inlineStr">
        <is>
          <t>Accounts Payable</t>
        </is>
      </c>
      <c r="H149" s="3" t="inlineStr">
        <is>
          <t>Checking – Operating</t>
        </is>
      </c>
      <c r="I149" s="33" t="n">
        <v>-16169.33</v>
      </c>
      <c r="J149" s="13">
        <f>+J148+I149</f>
        <v>527457.45</v>
      </c>
      <c r="K149" s="19">
        <f>+EOMONTH(B149,0)</f>
        <v>46081</v>
      </c>
      <c r="L149" s="3" t="inlineStr">
        <is>
          <t>Checking – Operating</t>
        </is>
      </c>
      <c r="M149" s="3" t="inlineStr">
        <is>
          <t>Balance Sheet</t>
        </is>
      </c>
    </row>
    <row r="150">
      <c r="B150" s="39" t="n">
        <v>46062</v>
      </c>
      <c r="C150" s="3" t="inlineStr">
        <is>
          <t>Bill Payment (Check)</t>
        </is>
      </c>
      <c r="D150" s="3" t="inlineStr"/>
      <c r="E150" s="3" t="inlineStr">
        <is>
          <t>Reagentix Corp</t>
        </is>
      </c>
      <c r="F150" s="3" t="inlineStr">
        <is>
          <t>Lab supplies PO# F2858</t>
        </is>
      </c>
      <c r="G150" s="3" t="inlineStr">
        <is>
          <t>Accounts Payable</t>
        </is>
      </c>
      <c r="H150" s="3" t="inlineStr">
        <is>
          <t>Checking – Operating</t>
        </is>
      </c>
      <c r="I150" s="33" t="n">
        <v>-10775.55</v>
      </c>
      <c r="J150" s="13">
        <f>+J149+I150</f>
        <v>516681.9</v>
      </c>
      <c r="K150" s="19">
        <f>+EOMONTH(B150,0)</f>
        <v>46081</v>
      </c>
      <c r="L150" s="3" t="inlineStr">
        <is>
          <t>Checking – Operating</t>
        </is>
      </c>
      <c r="M150" s="3" t="inlineStr">
        <is>
          <t>Balance Sheet</t>
        </is>
      </c>
    </row>
    <row r="151">
      <c r="B151" s="39" t="n">
        <v>46062</v>
      </c>
      <c r="C151" s="3" t="inlineStr">
        <is>
          <t>Bill Payment (Check)</t>
        </is>
      </c>
      <c r="D151" s="3" t="inlineStr"/>
      <c r="E151" s="3" t="inlineStr">
        <is>
          <t>Union Utilities</t>
        </is>
      </c>
      <c r="F151" s="3" t="inlineStr">
        <is>
          <t>Utilities – January</t>
        </is>
      </c>
      <c r="G151" s="3" t="inlineStr">
        <is>
          <t>Accounts Payable</t>
        </is>
      </c>
      <c r="H151" s="3" t="inlineStr">
        <is>
          <t>Checking – Operating</t>
        </is>
      </c>
      <c r="I151" s="33" t="n">
        <v>-3689.61</v>
      </c>
      <c r="J151" s="13">
        <f>+J150+I151</f>
        <v>512992.29</v>
      </c>
      <c r="K151" s="19">
        <f>+EOMONTH(B151,0)</f>
        <v>46081</v>
      </c>
      <c r="L151" s="3" t="inlineStr">
        <is>
          <t>Checking – Operating</t>
        </is>
      </c>
      <c r="M151" s="3" t="inlineStr">
        <is>
          <t>Balance Sheet</t>
        </is>
      </c>
    </row>
    <row r="152">
      <c r="B152" s="39" t="n">
        <v>46062</v>
      </c>
      <c r="C152" s="3" t="inlineStr">
        <is>
          <t>Credit Card Expense</t>
        </is>
      </c>
      <c r="D152" s="3" t="inlineStr"/>
      <c r="E152" s="3" t="inlineStr">
        <is>
          <t>Tessarand Payroll Services</t>
        </is>
      </c>
      <c r="F152" s="3" t="inlineStr">
        <is>
          <t>Contractors – February</t>
        </is>
      </c>
      <c r="G152" s="3" t="inlineStr">
        <is>
          <t>Contractors</t>
        </is>
      </c>
      <c r="H152" s="3" t="inlineStr">
        <is>
          <t>Checking – Operating</t>
        </is>
      </c>
      <c r="I152" s="33" t="n">
        <v>-8204.93</v>
      </c>
      <c r="J152" s="13">
        <f>+J151+I152</f>
        <v>504787.36</v>
      </c>
      <c r="K152" s="19">
        <f>+EOMONTH(B152,0)</f>
        <v>46081</v>
      </c>
      <c r="L152" s="3" t="inlineStr">
        <is>
          <t>Checking – Operating</t>
        </is>
      </c>
      <c r="M152" s="3" t="inlineStr">
        <is>
          <t>Balance Sheet</t>
        </is>
      </c>
    </row>
    <row r="153">
      <c r="B153" s="39" t="n">
        <v>46062</v>
      </c>
      <c r="C153" s="3" t="inlineStr">
        <is>
          <t>Deposit</t>
        </is>
      </c>
      <c r="D153" s="3" t="inlineStr"/>
      <c r="E153" s="3" t="inlineStr">
        <is>
          <t>Vantrelle Health Plan</t>
        </is>
      </c>
      <c r="F153" s="3" t="inlineStr">
        <is>
          <t>ORIG CO NAME:VANTRELLE HP ORIG ID:XXXXXX9202 DESC DATE:260209 CO ENTRY DESCR:HCCLAIMPMT SEC:CCD TRACE#:XXXXXXXX7845177 EED:260209 IND ID:</t>
        </is>
      </c>
      <c r="G153" s="3" t="inlineStr">
        <is>
          <t>Service Income</t>
        </is>
      </c>
      <c r="H153" s="3" t="inlineStr">
        <is>
          <t>Checking – Operating</t>
        </is>
      </c>
      <c r="I153" s="33" t="n">
        <v>105574.02</v>
      </c>
      <c r="J153" s="13">
        <f>+J152+I153</f>
        <v>610361.38</v>
      </c>
      <c r="K153" s="19">
        <f>+EOMONTH(B153,0)</f>
        <v>46081</v>
      </c>
      <c r="L153" s="3" t="inlineStr">
        <is>
          <t>Checking – Operating</t>
        </is>
      </c>
      <c r="M153" s="3" t="inlineStr">
        <is>
          <t>Balance Sheet</t>
        </is>
      </c>
    </row>
    <row r="154">
      <c r="B154" s="39" t="n">
        <v>46063</v>
      </c>
      <c r="C154" s="3" t="inlineStr">
        <is>
          <t>Bill Payment (Check)</t>
        </is>
      </c>
      <c r="D154" s="3" t="inlineStr"/>
      <c r="E154" s="3" t="inlineStr">
        <is>
          <t>Vialtrace Lab Supplies Inc</t>
        </is>
      </c>
      <c r="F154" s="3" t="inlineStr">
        <is>
          <t>Lab Expenses – January</t>
        </is>
      </c>
      <c r="G154" s="3" t="inlineStr">
        <is>
          <t>Accounts Payable</t>
        </is>
      </c>
      <c r="H154" s="3" t="inlineStr">
        <is>
          <t>Checking – Operating</t>
        </is>
      </c>
      <c r="I154" s="33" t="n">
        <v>-3737.44</v>
      </c>
      <c r="J154" s="13">
        <f>+J153+I154</f>
        <v>606623.94</v>
      </c>
      <c r="K154" s="19">
        <f>+EOMONTH(B154,0)</f>
        <v>46081</v>
      </c>
      <c r="L154" s="3" t="inlineStr">
        <is>
          <t>Checking – Operating</t>
        </is>
      </c>
      <c r="M154" s="3" t="inlineStr">
        <is>
          <t>Balance Sheet</t>
        </is>
      </c>
    </row>
    <row r="155">
      <c r="B155" s="39" t="n">
        <v>46063</v>
      </c>
      <c r="C155" s="3" t="inlineStr">
        <is>
          <t>Bill Payment (Check)</t>
        </is>
      </c>
      <c r="D155" s="3" t="inlineStr"/>
      <c r="E155" s="3" t="inlineStr">
        <is>
          <t>Reference Lab A</t>
        </is>
      </c>
      <c r="F155" s="3" t="inlineStr">
        <is>
          <t>Send-out testing – January</t>
        </is>
      </c>
      <c r="G155" s="3" t="inlineStr">
        <is>
          <t>Accounts Payable</t>
        </is>
      </c>
      <c r="H155" s="3" t="inlineStr">
        <is>
          <t>Checking – Operating</t>
        </is>
      </c>
      <c r="I155" s="33" t="n">
        <v>-12214.96</v>
      </c>
      <c r="J155" s="13">
        <f>+J154+I155</f>
        <v>594408.98</v>
      </c>
      <c r="K155" s="19">
        <f>+EOMONTH(B155,0)</f>
        <v>46081</v>
      </c>
      <c r="L155" s="3" t="inlineStr">
        <is>
          <t>Checking – Operating</t>
        </is>
      </c>
      <c r="M155" s="3" t="inlineStr">
        <is>
          <t>Balance Sheet</t>
        </is>
      </c>
    </row>
    <row r="156">
      <c r="B156" s="39" t="n">
        <v>46063</v>
      </c>
      <c r="C156" s="3" t="inlineStr">
        <is>
          <t>Bill Payment (Check)</t>
        </is>
      </c>
      <c r="D156" s="3" t="inlineStr"/>
      <c r="E156" s="3" t="inlineStr">
        <is>
          <t>Union Utilities</t>
        </is>
      </c>
      <c r="F156" s="3" t="inlineStr">
        <is>
          <t>Utilities – January</t>
        </is>
      </c>
      <c r="G156" s="3" t="inlineStr">
        <is>
          <t>Accounts Payable</t>
        </is>
      </c>
      <c r="H156" s="3" t="inlineStr">
        <is>
          <t>Checking – Operating</t>
        </is>
      </c>
      <c r="I156" s="33" t="n">
        <v>-3410.39</v>
      </c>
      <c r="J156" s="13">
        <f>+J155+I156</f>
        <v>590998.59</v>
      </c>
      <c r="K156" s="19">
        <f>+EOMONTH(B156,0)</f>
        <v>46081</v>
      </c>
      <c r="L156" s="3" t="inlineStr">
        <is>
          <t>Checking – Operating</t>
        </is>
      </c>
      <c r="M156" s="3" t="inlineStr">
        <is>
          <t>Balance Sheet</t>
        </is>
      </c>
    </row>
    <row r="157">
      <c r="B157" s="39" t="n">
        <v>46063</v>
      </c>
      <c r="C157" s="3" t="inlineStr">
        <is>
          <t>Credit Card Expense</t>
        </is>
      </c>
      <c r="D157" s="3" t="inlineStr"/>
      <c r="E157" s="3" t="inlineStr">
        <is>
          <t>Swiftmere Courier</t>
        </is>
      </c>
      <c r="F157" s="3" t="inlineStr">
        <is>
          <t>Postage and Delivery – February</t>
        </is>
      </c>
      <c r="G157" s="3" t="inlineStr">
        <is>
          <t>Postage and Delivery</t>
        </is>
      </c>
      <c r="H157" s="3" t="inlineStr">
        <is>
          <t>Checking – Operating</t>
        </is>
      </c>
      <c r="I157" s="33" t="n">
        <v>-469.23</v>
      </c>
      <c r="J157" s="13">
        <f>+J156+I157</f>
        <v>590529.36</v>
      </c>
      <c r="K157" s="19">
        <f>+EOMONTH(B157,0)</f>
        <v>46081</v>
      </c>
      <c r="L157" s="3" t="inlineStr">
        <is>
          <t>Checking – Operating</t>
        </is>
      </c>
      <c r="M157" s="3" t="inlineStr">
        <is>
          <t>Balance Sheet</t>
        </is>
      </c>
    </row>
    <row r="158">
      <c r="B158" s="39" t="n">
        <v>46063</v>
      </c>
      <c r="C158" s="3" t="inlineStr">
        <is>
          <t>Deposit</t>
        </is>
      </c>
      <c r="D158" s="3" t="inlineStr"/>
      <c r="E158" s="3" t="inlineStr">
        <is>
          <t>Silvermoss Senior Living</t>
        </is>
      </c>
      <c r="F158" s="3" t="inlineStr">
        <is>
          <t>ORIG CO NAME:SILVERMOSS SL ORIG ID:XXXXXX7183 DESC DATE:260210 CO ENTRY DESCR:HCCLAIMPMT SEC:CCD TRACE#:XXXXXXXX8937099 EED:260210 IND ID:</t>
        </is>
      </c>
      <c r="G158" s="3" t="inlineStr">
        <is>
          <t>Service Income</t>
        </is>
      </c>
      <c r="H158" s="3" t="inlineStr">
        <is>
          <t>Checking – Operating</t>
        </is>
      </c>
      <c r="I158" s="33" t="n">
        <v>22222.8</v>
      </c>
      <c r="J158" s="13">
        <f>+J157+I158</f>
        <v>612752.16</v>
      </c>
      <c r="K158" s="19">
        <f>+EOMONTH(B158,0)</f>
        <v>46081</v>
      </c>
      <c r="L158" s="3" t="inlineStr">
        <is>
          <t>Checking – Operating</t>
        </is>
      </c>
      <c r="M158" s="3" t="inlineStr">
        <is>
          <t>Balance Sheet</t>
        </is>
      </c>
    </row>
    <row r="159">
      <c r="B159" s="39" t="n">
        <v>46063</v>
      </c>
      <c r="C159" s="3" t="inlineStr">
        <is>
          <t>Deposit</t>
        </is>
      </c>
      <c r="D159" s="3" t="inlineStr"/>
      <c r="E159" s="3" t="inlineStr">
        <is>
          <t>Quayside Choice Senior Plan</t>
        </is>
      </c>
      <c r="F159" s="3" t="inlineStr">
        <is>
          <t>ORIG CO NAME:QUAYSIDE CHOICE SP ORIG ID:XXXXXX5032 DESC DATE:260210 CO ENTRY DESCR:HCCLAIMPMT SEC:CCD TRACE#:XXXXXXXX7279966 EED:260210 IND ID:</t>
        </is>
      </c>
      <c r="G159" s="3" t="inlineStr">
        <is>
          <t>Service Income</t>
        </is>
      </c>
      <c r="H159" s="3" t="inlineStr">
        <is>
          <t>Checking – Operating</t>
        </is>
      </c>
      <c r="I159" s="33" t="n">
        <v>31577.13</v>
      </c>
      <c r="J159" s="13">
        <f>+J158+I159</f>
        <v>644329.29</v>
      </c>
      <c r="K159" s="19">
        <f>+EOMONTH(B159,0)</f>
        <v>46081</v>
      </c>
      <c r="L159" s="3" t="inlineStr">
        <is>
          <t>Checking – Operating</t>
        </is>
      </c>
      <c r="M159" s="3" t="inlineStr">
        <is>
          <t>Balance Sheet</t>
        </is>
      </c>
    </row>
    <row r="160">
      <c r="B160" s="39" t="n">
        <v>46063</v>
      </c>
      <c r="C160" s="3" t="inlineStr">
        <is>
          <t>Journal Entry</t>
        </is>
      </c>
      <c r="D160" s="3" t="inlineStr"/>
      <c r="E160" s="3" t="inlineStr">
        <is>
          <t>Vialtrace Lab Supplies Inc</t>
        </is>
      </c>
      <c r="F160" s="3" t="inlineStr">
        <is>
          <t>QAQC – February</t>
        </is>
      </c>
      <c r="G160" s="3" t="inlineStr">
        <is>
          <t>QAQC</t>
        </is>
      </c>
      <c r="H160" s="3" t="inlineStr">
        <is>
          <t>Checking – Operating</t>
        </is>
      </c>
      <c r="I160" s="33" t="n">
        <v>-1203.01</v>
      </c>
      <c r="J160" s="13">
        <f>+J159+I160</f>
        <v>643126.28</v>
      </c>
      <c r="K160" s="19">
        <f>+EOMONTH(B160,0)</f>
        <v>46081</v>
      </c>
      <c r="L160" s="3" t="inlineStr">
        <is>
          <t>Checking – Operating</t>
        </is>
      </c>
      <c r="M160" s="3" t="inlineStr">
        <is>
          <t>Balance Sheet</t>
        </is>
      </c>
    </row>
    <row r="161">
      <c r="B161" s="39" t="n">
        <v>46063</v>
      </c>
      <c r="C161" s="3" t="inlineStr">
        <is>
          <t>Payroll Check</t>
        </is>
      </c>
      <c r="D161" s="3" t="inlineStr"/>
      <c r="E161" s="3" t="inlineStr">
        <is>
          <t>Tessarand Payroll Services</t>
        </is>
      </c>
      <c r="F161" s="3" t="inlineStr">
        <is>
          <t>Payroll – biweekly</t>
        </is>
      </c>
      <c r="G161" s="3" t="inlineStr">
        <is>
          <t>Salaries and Wages</t>
        </is>
      </c>
      <c r="H161" s="3" t="inlineStr">
        <is>
          <t>Checking – Operating</t>
        </is>
      </c>
      <c r="I161" s="33" t="n">
        <v>-130552.99</v>
      </c>
      <c r="J161" s="13">
        <f>+J160+I161</f>
        <v>512573.29</v>
      </c>
      <c r="K161" s="19">
        <f>+EOMONTH(B161,0)</f>
        <v>46081</v>
      </c>
      <c r="L161" s="3" t="inlineStr">
        <is>
          <t>Checking – Operating</t>
        </is>
      </c>
      <c r="M161" s="3" t="inlineStr">
        <is>
          <t>Balance Sheet</t>
        </is>
      </c>
    </row>
    <row r="162">
      <c r="B162" s="39" t="n">
        <v>46064</v>
      </c>
      <c r="C162" s="3" t="inlineStr">
        <is>
          <t>Credit Card Expense</t>
        </is>
      </c>
      <c r="D162" s="3" t="inlineStr"/>
      <c r="E162" s="3" t="inlineStr"/>
      <c r="F162" s="3" t="inlineStr">
        <is>
          <t>Interest – equipment note</t>
        </is>
      </c>
      <c r="G162" s="3" t="inlineStr">
        <is>
          <t>Interest Expense</t>
        </is>
      </c>
      <c r="H162" s="3" t="inlineStr">
        <is>
          <t>Checking – Operating</t>
        </is>
      </c>
      <c r="I162" s="33" t="n">
        <v>-1531.03</v>
      </c>
      <c r="J162" s="13">
        <f>+J161+I162</f>
        <v>511042.26</v>
      </c>
      <c r="K162" s="19">
        <f>+EOMONTH(B162,0)</f>
        <v>46081</v>
      </c>
      <c r="L162" s="3" t="inlineStr">
        <is>
          <t>Checking – Operating</t>
        </is>
      </c>
      <c r="M162" s="3" t="inlineStr">
        <is>
          <t>Balance Sheet</t>
        </is>
      </c>
    </row>
    <row r="163">
      <c r="B163" s="39" t="n">
        <v>46064</v>
      </c>
      <c r="C163" s="3" t="inlineStr">
        <is>
          <t>Deposit</t>
        </is>
      </c>
      <c r="D163" s="3" t="inlineStr"/>
      <c r="E163" s="3" t="inlineStr">
        <is>
          <t>State Program B</t>
        </is>
      </c>
      <c r="F163" s="3" t="inlineStr">
        <is>
          <t>ORIG CO NAME:STATE PROG B ORIG ID:XXXXXX1582 DESC DATE:260211 CO ENTRY DESCR:HCCLAIMPMT SEC:CCD TRACE#:XXXXXXXX1169519 EED:260211 IND ID:</t>
        </is>
      </c>
      <c r="G163" s="3" t="inlineStr">
        <is>
          <t>Service Income</t>
        </is>
      </c>
      <c r="H163" s="3" t="inlineStr">
        <is>
          <t>Checking – Operating</t>
        </is>
      </c>
      <c r="I163" s="33" t="n">
        <v>29653.82</v>
      </c>
      <c r="J163" s="13">
        <f>+J162+I163</f>
        <v>540696.08</v>
      </c>
      <c r="K163" s="19">
        <f>+EOMONTH(B163,0)</f>
        <v>46081</v>
      </c>
      <c r="L163" s="3" t="inlineStr">
        <is>
          <t>Checking – Operating</t>
        </is>
      </c>
      <c r="M163" s="3" t="inlineStr">
        <is>
          <t>Balance Sheet</t>
        </is>
      </c>
    </row>
    <row r="164">
      <c r="B164" s="39" t="n">
        <v>46064</v>
      </c>
      <c r="C164" s="3" t="inlineStr">
        <is>
          <t>Expense</t>
        </is>
      </c>
      <c r="D164" s="3" t="inlineStr"/>
      <c r="E164" s="3" t="inlineStr">
        <is>
          <t>Consultant A</t>
        </is>
      </c>
      <c r="F164" s="3" t="inlineStr">
        <is>
          <t>Consulting – February</t>
        </is>
      </c>
      <c r="G164" s="3" t="inlineStr">
        <is>
          <t>Consulting</t>
        </is>
      </c>
      <c r="H164" s="3" t="inlineStr">
        <is>
          <t>Checking – Operating</t>
        </is>
      </c>
      <c r="I164" s="33" t="n">
        <v>-2809.17</v>
      </c>
      <c r="J164" s="13">
        <f>+J163+I164</f>
        <v>537886.91</v>
      </c>
      <c r="K164" s="19">
        <f>+EOMONTH(B164,0)</f>
        <v>46081</v>
      </c>
      <c r="L164" s="3" t="inlineStr">
        <is>
          <t>Checking – Operating</t>
        </is>
      </c>
      <c r="M164" s="3" t="inlineStr">
        <is>
          <t>Balance Sheet</t>
        </is>
      </c>
    </row>
    <row r="165">
      <c r="B165" s="39" t="n">
        <v>46064</v>
      </c>
      <c r="C165" s="3" t="inlineStr">
        <is>
          <t>Expense</t>
        </is>
      </c>
      <c r="D165" s="3" t="inlineStr"/>
      <c r="E165" s="3" t="inlineStr"/>
      <c r="F165" s="3" t="inlineStr">
        <is>
          <t>Patient refund</t>
        </is>
      </c>
      <c r="G165" s="3" t="inlineStr">
        <is>
          <t>Refunds</t>
        </is>
      </c>
      <c r="H165" s="3" t="inlineStr">
        <is>
          <t>Checking – Operating</t>
        </is>
      </c>
      <c r="I165" s="33" t="n">
        <v>-6252.28</v>
      </c>
      <c r="J165" s="13">
        <f>+J164+I165</f>
        <v>531634.63</v>
      </c>
      <c r="K165" s="19">
        <f>+EOMONTH(B165,0)</f>
        <v>46081</v>
      </c>
      <c r="L165" s="3" t="inlineStr">
        <is>
          <t>Checking – Operating</t>
        </is>
      </c>
      <c r="M165" s="3" t="inlineStr">
        <is>
          <t>Balance Sheet</t>
        </is>
      </c>
    </row>
    <row r="166">
      <c r="B166" s="39" t="n">
        <v>46064</v>
      </c>
      <c r="C166" s="3" t="inlineStr">
        <is>
          <t>Expense</t>
        </is>
      </c>
      <c r="D166" s="3" t="inlineStr"/>
      <c r="E166" s="3" t="inlineStr"/>
      <c r="F166" s="3" t="inlineStr">
        <is>
          <t>Business Meetings &amp; Development – February</t>
        </is>
      </c>
      <c r="G166" s="3" t="inlineStr">
        <is>
          <t>Business Meetings &amp; Development</t>
        </is>
      </c>
      <c r="H166" s="3" t="inlineStr">
        <is>
          <t>Checking – Operating</t>
        </is>
      </c>
      <c r="I166" s="33" t="n">
        <v>-3644.09</v>
      </c>
      <c r="J166" s="13">
        <f>+J165+I166</f>
        <v>527990.54</v>
      </c>
      <c r="K166" s="19">
        <f>+EOMONTH(B166,0)</f>
        <v>46081</v>
      </c>
      <c r="L166" s="3" t="inlineStr">
        <is>
          <t>Checking – Operating</t>
        </is>
      </c>
      <c r="M166" s="3" t="inlineStr">
        <is>
          <t>Balance Sheet</t>
        </is>
      </c>
    </row>
    <row r="167">
      <c r="B167" s="39" t="n">
        <v>46064</v>
      </c>
      <c r="C167" s="3" t="inlineStr">
        <is>
          <t>Journal Entry</t>
        </is>
      </c>
      <c r="D167" s="3" t="inlineStr"/>
      <c r="E167" s="3" t="inlineStr"/>
      <c r="F167" s="3" t="inlineStr">
        <is>
          <t>Travel Expense – February</t>
        </is>
      </c>
      <c r="G167" s="3" t="inlineStr">
        <is>
          <t>Travel Expense</t>
        </is>
      </c>
      <c r="H167" s="3" t="inlineStr">
        <is>
          <t>Checking – Operating</t>
        </is>
      </c>
      <c r="I167" s="33" t="n">
        <v>-924.92</v>
      </c>
      <c r="J167" s="13">
        <f>+J166+I167</f>
        <v>527065.62</v>
      </c>
      <c r="K167" s="19">
        <f>+EOMONTH(B167,0)</f>
        <v>46081</v>
      </c>
      <c r="L167" s="3" t="inlineStr">
        <is>
          <t>Checking – Operating</t>
        </is>
      </c>
      <c r="M167" s="3" t="inlineStr">
        <is>
          <t>Balance Sheet</t>
        </is>
      </c>
    </row>
    <row r="168">
      <c r="B168" s="39" t="n">
        <v>46065</v>
      </c>
      <c r="C168" s="3" t="inlineStr">
        <is>
          <t>Bill Payment (Check)</t>
        </is>
      </c>
      <c r="D168" s="3" t="inlineStr"/>
      <c r="E168" s="3" t="inlineStr">
        <is>
          <t>Vialtrace Lab Supplies Inc</t>
        </is>
      </c>
      <c r="F168" s="3" t="inlineStr">
        <is>
          <t>Lab supplies PO# F2999</t>
        </is>
      </c>
      <c r="G168" s="3" t="inlineStr">
        <is>
          <t>Accounts Payable</t>
        </is>
      </c>
      <c r="H168" s="3" t="inlineStr">
        <is>
          <t>Checking – Operating</t>
        </is>
      </c>
      <c r="I168" s="33" t="n">
        <v>-27489.29</v>
      </c>
      <c r="J168" s="13">
        <f>+J167+I168</f>
        <v>499576.33</v>
      </c>
      <c r="K168" s="19">
        <f>+EOMONTH(B168,0)</f>
        <v>46081</v>
      </c>
      <c r="L168" s="3" t="inlineStr">
        <is>
          <t>Checking – Operating</t>
        </is>
      </c>
      <c r="M168" s="3" t="inlineStr">
        <is>
          <t>Balance Sheet</t>
        </is>
      </c>
    </row>
    <row r="169">
      <c r="B169" s="39" t="n">
        <v>46065</v>
      </c>
      <c r="C169" s="3" t="inlineStr">
        <is>
          <t>Deposit</t>
        </is>
      </c>
      <c r="D169" s="3" t="inlineStr"/>
      <c r="E169" s="3" t="inlineStr">
        <is>
          <t>Vantrelle Health Plan</t>
        </is>
      </c>
      <c r="F169" s="3" t="inlineStr">
        <is>
          <t>ORIG CO NAME:VANTRELLE HP ORIG ID:XXXXXX2683 DESC DATE:260212 CO ENTRY DESCR:HCCLAIMPMT SEC:CCD TRACE#:XXXXXXXX6141393 EED:260212 IND ID:</t>
        </is>
      </c>
      <c r="G169" s="3" t="inlineStr">
        <is>
          <t>Service Income</t>
        </is>
      </c>
      <c r="H169" s="3" t="inlineStr">
        <is>
          <t>Checking – Operating</t>
        </is>
      </c>
      <c r="I169" s="33" t="n">
        <v>142083.11</v>
      </c>
      <c r="J169" s="13">
        <f>+J168+I169</f>
        <v>641659.44</v>
      </c>
      <c r="K169" s="19">
        <f>+EOMONTH(B169,0)</f>
        <v>46081</v>
      </c>
      <c r="L169" s="3" t="inlineStr">
        <is>
          <t>Checking – Operating</t>
        </is>
      </c>
      <c r="M169" s="3" t="inlineStr">
        <is>
          <t>Balance Sheet</t>
        </is>
      </c>
    </row>
    <row r="170">
      <c r="B170" s="39" t="n">
        <v>46065</v>
      </c>
      <c r="C170" s="3" t="inlineStr">
        <is>
          <t>Deposit</t>
        </is>
      </c>
      <c r="D170" s="3" t="inlineStr"/>
      <c r="E170" s="3" t="inlineStr">
        <is>
          <t>Marrowby Mutual</t>
        </is>
      </c>
      <c r="F170" s="3" t="inlineStr">
        <is>
          <t>ORIG CO NAME:MARROWBY MUTUAL ORIG ID:XXXXXX1415 DESC DATE:260212 CO ENTRY DESCR:HCCLAIMPMT SEC:CCD TRACE#:XXXXXXXX7757760 EED:260212 IND ID:</t>
        </is>
      </c>
      <c r="G170" s="3" t="inlineStr">
        <is>
          <t>Service Income</t>
        </is>
      </c>
      <c r="H170" s="3" t="inlineStr">
        <is>
          <t>Checking – Operating</t>
        </is>
      </c>
      <c r="I170" s="33" t="n">
        <v>72223.64</v>
      </c>
      <c r="J170" s="13">
        <f>+J169+I170</f>
        <v>713883.08</v>
      </c>
      <c r="K170" s="19">
        <f>+EOMONTH(B170,0)</f>
        <v>46081</v>
      </c>
      <c r="L170" s="3" t="inlineStr">
        <is>
          <t>Checking – Operating</t>
        </is>
      </c>
      <c r="M170" s="3" t="inlineStr">
        <is>
          <t>Balance Sheet</t>
        </is>
      </c>
    </row>
    <row r="171">
      <c r="B171" s="39" t="n">
        <v>46065</v>
      </c>
      <c r="C171" s="3" t="inlineStr">
        <is>
          <t>Deposit</t>
        </is>
      </c>
      <c r="D171" s="3" t="inlineStr"/>
      <c r="E171" s="3" t="inlineStr">
        <is>
          <t>Lanternway Benefits</t>
        </is>
      </c>
      <c r="F171" s="3" t="inlineStr">
        <is>
          <t>ORIG CO NAME:LANTERNWAY BEN ORIG ID:XXXXXX5506 DESC DATE:260212 CO ENTRY DESCR:HCCLAIMPMT SEC:CCD TRACE#:XXXXXXXX5426006 EED:260212 IND ID:</t>
        </is>
      </c>
      <c r="G171" s="3" t="inlineStr">
        <is>
          <t>Service Income</t>
        </is>
      </c>
      <c r="H171" s="3" t="inlineStr">
        <is>
          <t>Checking – Operating</t>
        </is>
      </c>
      <c r="I171" s="33" t="n">
        <v>28901.28</v>
      </c>
      <c r="J171" s="13">
        <f>+J170+I171</f>
        <v>742784.36</v>
      </c>
      <c r="K171" s="19">
        <f>+EOMONTH(B171,0)</f>
        <v>46081</v>
      </c>
      <c r="L171" s="3" t="inlineStr">
        <is>
          <t>Checking – Operating</t>
        </is>
      </c>
      <c r="M171" s="3" t="inlineStr">
        <is>
          <t>Balance Sheet</t>
        </is>
      </c>
    </row>
    <row r="172">
      <c r="B172" s="39" t="n">
        <v>46065</v>
      </c>
      <c r="C172" s="3" t="inlineStr">
        <is>
          <t>Expense</t>
        </is>
      </c>
      <c r="D172" s="3" t="inlineStr"/>
      <c r="E172" s="3" t="inlineStr">
        <is>
          <t>Consultant A</t>
        </is>
      </c>
      <c r="F172" s="3" t="inlineStr">
        <is>
          <t>Legal &amp; Professional Fees – February</t>
        </is>
      </c>
      <c r="G172" s="3" t="inlineStr">
        <is>
          <t>Legal &amp; Professional Fees</t>
        </is>
      </c>
      <c r="H172" s="3" t="inlineStr">
        <is>
          <t>Checking – Operating</t>
        </is>
      </c>
      <c r="I172" s="33" t="n">
        <v>-1220.01</v>
      </c>
      <c r="J172" s="13">
        <f>+J171+I172</f>
        <v>741564.35</v>
      </c>
      <c r="K172" s="19">
        <f>+EOMONTH(B172,0)</f>
        <v>46081</v>
      </c>
      <c r="L172" s="3" t="inlineStr">
        <is>
          <t>Checking – Operating</t>
        </is>
      </c>
      <c r="M172" s="3" t="inlineStr">
        <is>
          <t>Balance Sheet</t>
        </is>
      </c>
    </row>
    <row r="173">
      <c r="B173" s="39" t="n">
        <v>46065</v>
      </c>
      <c r="C173" s="3" t="inlineStr">
        <is>
          <t>Expense</t>
        </is>
      </c>
      <c r="D173" s="3" t="inlineStr"/>
      <c r="E173" s="3" t="inlineStr"/>
      <c r="F173" s="3" t="inlineStr">
        <is>
          <t>Parking – February</t>
        </is>
      </c>
      <c r="G173" s="3" t="inlineStr">
        <is>
          <t>Parking</t>
        </is>
      </c>
      <c r="H173" s="3" t="inlineStr">
        <is>
          <t>Checking – Operating</t>
        </is>
      </c>
      <c r="I173" s="33" t="n">
        <v>-540.78</v>
      </c>
      <c r="J173" s="13">
        <f>+J172+I173</f>
        <v>741023.57</v>
      </c>
      <c r="K173" s="19">
        <f>+EOMONTH(B173,0)</f>
        <v>46081</v>
      </c>
      <c r="L173" s="3" t="inlineStr">
        <is>
          <t>Checking – Operating</t>
        </is>
      </c>
      <c r="M173" s="3" t="inlineStr">
        <is>
          <t>Balance Sheet</t>
        </is>
      </c>
    </row>
    <row r="174">
      <c r="B174" s="39" t="n">
        <v>46065</v>
      </c>
      <c r="C174" s="3" t="inlineStr">
        <is>
          <t>Payroll Check</t>
        </is>
      </c>
      <c r="D174" s="3" t="inlineStr"/>
      <c r="E174" s="3" t="inlineStr">
        <is>
          <t>Tessarand Payroll Services</t>
        </is>
      </c>
      <c r="F174" s="3" t="inlineStr">
        <is>
          <t>Payroll taxes – biweekly</t>
        </is>
      </c>
      <c r="G174" s="3" t="inlineStr">
        <is>
          <t>Payroll Taxes</t>
        </is>
      </c>
      <c r="H174" s="3" t="inlineStr">
        <is>
          <t>Checking – Operating</t>
        </is>
      </c>
      <c r="I174" s="33" t="n">
        <v>-1250.97</v>
      </c>
      <c r="J174" s="13">
        <f>+J173+I174</f>
        <v>739772.6</v>
      </c>
      <c r="K174" s="19">
        <f>+EOMONTH(B174,0)</f>
        <v>46081</v>
      </c>
      <c r="L174" s="3" t="inlineStr">
        <is>
          <t>Checking – Operating</t>
        </is>
      </c>
      <c r="M174" s="3" t="inlineStr">
        <is>
          <t>Balance Sheet</t>
        </is>
      </c>
    </row>
    <row r="175">
      <c r="B175" s="39" t="n">
        <v>46066</v>
      </c>
      <c r="C175" s="3" t="inlineStr">
        <is>
          <t>Bill Payment (Check)</t>
        </is>
      </c>
      <c r="D175" s="3" t="inlineStr"/>
      <c r="E175" s="3" t="inlineStr">
        <is>
          <t>Swiftmere Courier</t>
        </is>
      </c>
      <c r="F175" s="3" t="inlineStr">
        <is>
          <t>Delivery and Transportation – January</t>
        </is>
      </c>
      <c r="G175" s="3" t="inlineStr">
        <is>
          <t>Accounts Payable</t>
        </is>
      </c>
      <c r="H175" s="3" t="inlineStr">
        <is>
          <t>Checking – Operating</t>
        </is>
      </c>
      <c r="I175" s="33" t="n">
        <v>-4235.06</v>
      </c>
      <c r="J175" s="13">
        <f>+J174+I175</f>
        <v>735537.54</v>
      </c>
      <c r="K175" s="19">
        <f>+EOMONTH(B175,0)</f>
        <v>46081</v>
      </c>
      <c r="L175" s="3" t="inlineStr">
        <is>
          <t>Checking – Operating</t>
        </is>
      </c>
      <c r="M175" s="3" t="inlineStr">
        <is>
          <t>Balance Sheet</t>
        </is>
      </c>
    </row>
    <row r="176">
      <c r="B176" s="39" t="n">
        <v>46066</v>
      </c>
      <c r="C176" s="3" t="inlineStr">
        <is>
          <t>Expense</t>
        </is>
      </c>
      <c r="D176" s="3" t="inlineStr"/>
      <c r="E176" s="3" t="inlineStr"/>
      <c r="F176" s="3" t="inlineStr">
        <is>
          <t>Business Licenses and Permits – February</t>
        </is>
      </c>
      <c r="G176" s="3" t="inlineStr">
        <is>
          <t>Business Licenses and Permits</t>
        </is>
      </c>
      <c r="H176" s="3" t="inlineStr">
        <is>
          <t>Checking – Operating</t>
        </is>
      </c>
      <c r="I176" s="33" t="n">
        <v>-681.61</v>
      </c>
      <c r="J176" s="13">
        <f>+J175+I176</f>
        <v>734855.93</v>
      </c>
      <c r="K176" s="19">
        <f>+EOMONTH(B176,0)</f>
        <v>46081</v>
      </c>
      <c r="L176" s="3" t="inlineStr">
        <is>
          <t>Checking – Operating</t>
        </is>
      </c>
      <c r="M176" s="3" t="inlineStr">
        <is>
          <t>Balance Sheet</t>
        </is>
      </c>
    </row>
    <row r="177">
      <c r="B177" s="39" t="n">
        <v>46066</v>
      </c>
      <c r="C177" s="3" t="inlineStr">
        <is>
          <t>Journal Entry</t>
        </is>
      </c>
      <c r="D177" s="3" t="inlineStr"/>
      <c r="E177" s="3" t="inlineStr"/>
      <c r="F177" s="3" t="inlineStr">
        <is>
          <t>Lab Credentialing – February</t>
        </is>
      </c>
      <c r="G177" s="3" t="inlineStr">
        <is>
          <t>Lab Credentialing</t>
        </is>
      </c>
      <c r="H177" s="3" t="inlineStr">
        <is>
          <t>Checking – Operating</t>
        </is>
      </c>
      <c r="I177" s="33" t="n">
        <v>-977.9</v>
      </c>
      <c r="J177" s="13">
        <f>+J176+I177</f>
        <v>733878.03</v>
      </c>
      <c r="K177" s="19">
        <f>+EOMONTH(B177,0)</f>
        <v>46081</v>
      </c>
      <c r="L177" s="3" t="inlineStr">
        <is>
          <t>Checking – Operating</t>
        </is>
      </c>
      <c r="M177" s="3" t="inlineStr">
        <is>
          <t>Balance Sheet</t>
        </is>
      </c>
    </row>
    <row r="178">
      <c r="B178" s="39" t="n">
        <v>46066</v>
      </c>
      <c r="C178" s="3" t="inlineStr">
        <is>
          <t>Journal Entry</t>
        </is>
      </c>
      <c r="D178" s="3" t="inlineStr"/>
      <c r="E178" s="3" t="inlineStr">
        <is>
          <t>Ledgerquill Billing SaaS</t>
        </is>
      </c>
      <c r="F178" s="3" t="inlineStr">
        <is>
          <t>Software – February</t>
        </is>
      </c>
      <c r="G178" s="3" t="inlineStr">
        <is>
          <t>Software</t>
        </is>
      </c>
      <c r="H178" s="3" t="inlineStr">
        <is>
          <t>Checking – Operating</t>
        </is>
      </c>
      <c r="I178" s="33" t="n">
        <v>-2032.87</v>
      </c>
      <c r="J178" s="13">
        <f>+J177+I178</f>
        <v>731845.16</v>
      </c>
      <c r="K178" s="19">
        <f>+EOMONTH(B178,0)</f>
        <v>46081</v>
      </c>
      <c r="L178" s="3" t="inlineStr">
        <is>
          <t>Checking – Operating</t>
        </is>
      </c>
      <c r="M178" s="3" t="inlineStr">
        <is>
          <t>Balance Sheet</t>
        </is>
      </c>
    </row>
    <row r="179">
      <c r="B179" s="39" t="n">
        <v>46066</v>
      </c>
      <c r="C179" s="3" t="inlineStr">
        <is>
          <t>Journal Entry</t>
        </is>
      </c>
      <c r="D179" s="3" t="inlineStr"/>
      <c r="E179" s="3" t="inlineStr">
        <is>
          <t>Union Utilities</t>
        </is>
      </c>
      <c r="F179" s="3" t="inlineStr">
        <is>
          <t>Telecom and Internet – February</t>
        </is>
      </c>
      <c r="G179" s="3" t="inlineStr">
        <is>
          <t>Telecom and Internet</t>
        </is>
      </c>
      <c r="H179" s="3" t="inlineStr">
        <is>
          <t>Checking – Operating</t>
        </is>
      </c>
      <c r="I179" s="33" t="n">
        <v>-2013.76</v>
      </c>
      <c r="J179" s="13">
        <f>+J178+I179</f>
        <v>729831.4</v>
      </c>
      <c r="K179" s="19">
        <f>+EOMONTH(B179,0)</f>
        <v>46081</v>
      </c>
      <c r="L179" s="3" t="inlineStr">
        <is>
          <t>Checking – Operating</t>
        </is>
      </c>
      <c r="M179" s="3" t="inlineStr">
        <is>
          <t>Balance Sheet</t>
        </is>
      </c>
    </row>
    <row r="180">
      <c r="B180" s="39" t="n">
        <v>46067</v>
      </c>
      <c r="C180" s="3" t="inlineStr">
        <is>
          <t>Bill Payment (Check)</t>
        </is>
      </c>
      <c r="D180" s="3" t="inlineStr"/>
      <c r="E180" s="3" t="inlineStr">
        <is>
          <t>Reference Lab A</t>
        </is>
      </c>
      <c r="F180" s="3" t="inlineStr">
        <is>
          <t>Send-out testing – January</t>
        </is>
      </c>
      <c r="G180" s="3" t="inlineStr">
        <is>
          <t>Accounts Payable</t>
        </is>
      </c>
      <c r="H180" s="3" t="inlineStr">
        <is>
          <t>Checking – Operating</t>
        </is>
      </c>
      <c r="I180" s="33" t="n">
        <v>-11507.82</v>
      </c>
      <c r="J180" s="13">
        <f>+J179+I180</f>
        <v>718323.58</v>
      </c>
      <c r="K180" s="19">
        <f>+EOMONTH(B180,0)</f>
        <v>46081</v>
      </c>
      <c r="L180" s="3" t="inlineStr">
        <is>
          <t>Checking – Operating</t>
        </is>
      </c>
      <c r="M180" s="3" t="inlineStr">
        <is>
          <t>Balance Sheet</t>
        </is>
      </c>
    </row>
    <row r="181">
      <c r="B181" s="39" t="n">
        <v>46067</v>
      </c>
      <c r="C181" s="3" t="inlineStr">
        <is>
          <t>Bill Payment (Check)</t>
        </is>
      </c>
      <c r="D181" s="3" t="inlineStr"/>
      <c r="E181" s="3" t="inlineStr">
        <is>
          <t>Reagentix Corp</t>
        </is>
      </c>
      <c r="F181" s="3" t="inlineStr">
        <is>
          <t>Lab supplies PO# F2701</t>
        </is>
      </c>
      <c r="G181" s="3" t="inlineStr">
        <is>
          <t>Accounts Payable</t>
        </is>
      </c>
      <c r="H181" s="3" t="inlineStr">
        <is>
          <t>Checking – Operating</t>
        </is>
      </c>
      <c r="I181" s="33" t="n">
        <v>-7832.33</v>
      </c>
      <c r="J181" s="13">
        <f>+J180+I181</f>
        <v>710491.25</v>
      </c>
      <c r="K181" s="19">
        <f>+EOMONTH(B181,0)</f>
        <v>46081</v>
      </c>
      <c r="L181" s="3" t="inlineStr">
        <is>
          <t>Checking – Operating</t>
        </is>
      </c>
      <c r="M181" s="3" t="inlineStr">
        <is>
          <t>Balance Sheet</t>
        </is>
      </c>
    </row>
    <row r="182">
      <c r="B182" s="39" t="n">
        <v>46067</v>
      </c>
      <c r="C182" s="3" t="inlineStr">
        <is>
          <t>Bill Payment (Check)</t>
        </is>
      </c>
      <c r="D182" s="3" t="inlineStr"/>
      <c r="E182" s="3" t="inlineStr">
        <is>
          <t>Halloway Ridge Realty (rent)</t>
        </is>
      </c>
      <c r="F182" s="3" t="inlineStr">
        <is>
          <t>Rent – January</t>
        </is>
      </c>
      <c r="G182" s="3" t="inlineStr">
        <is>
          <t>Accounts Payable</t>
        </is>
      </c>
      <c r="H182" s="3" t="inlineStr">
        <is>
          <t>Checking – Operating</t>
        </is>
      </c>
      <c r="I182" s="33" t="n">
        <v>-16935.49</v>
      </c>
      <c r="J182" s="13">
        <f>+J181+I182</f>
        <v>693555.76</v>
      </c>
      <c r="K182" s="19">
        <f>+EOMONTH(B182,0)</f>
        <v>46081</v>
      </c>
      <c r="L182" s="3" t="inlineStr">
        <is>
          <t>Checking – Operating</t>
        </is>
      </c>
      <c r="M182" s="3" t="inlineStr">
        <is>
          <t>Balance Sheet</t>
        </is>
      </c>
    </row>
    <row r="183">
      <c r="B183" s="39" t="n">
        <v>46067</v>
      </c>
      <c r="C183" s="3" t="inlineStr">
        <is>
          <t>Bill Payment (Check)</t>
        </is>
      </c>
      <c r="D183" s="3" t="inlineStr"/>
      <c r="E183" s="3" t="inlineStr">
        <is>
          <t>Ledgerquill Billing SaaS</t>
        </is>
      </c>
      <c r="F183" s="3" t="inlineStr">
        <is>
          <t>Billing Software as a Service – January</t>
        </is>
      </c>
      <c r="G183" s="3" t="inlineStr">
        <is>
          <t>Accounts Payable</t>
        </is>
      </c>
      <c r="H183" s="3" t="inlineStr">
        <is>
          <t>Checking – Operating</t>
        </is>
      </c>
      <c r="I183" s="33" t="n">
        <v>-15439.6</v>
      </c>
      <c r="J183" s="13">
        <f>+J182+I183</f>
        <v>678116.16</v>
      </c>
      <c r="K183" s="19">
        <f>+EOMONTH(B183,0)</f>
        <v>46081</v>
      </c>
      <c r="L183" s="3" t="inlineStr">
        <is>
          <t>Checking – Operating</t>
        </is>
      </c>
      <c r="M183" s="3" t="inlineStr">
        <is>
          <t>Balance Sheet</t>
        </is>
      </c>
    </row>
    <row r="184">
      <c r="B184" s="39" t="n">
        <v>46067</v>
      </c>
      <c r="C184" s="3" t="inlineStr">
        <is>
          <t>Credit Card Expense</t>
        </is>
      </c>
      <c r="D184" s="3" t="inlineStr"/>
      <c r="E184" s="3" t="inlineStr">
        <is>
          <t>Halloway Ridge Realty (rent)</t>
        </is>
      </c>
      <c r="F184" s="3" t="inlineStr">
        <is>
          <t>Landscaping – February</t>
        </is>
      </c>
      <c r="G184" s="3" t="inlineStr">
        <is>
          <t>Landscaping</t>
        </is>
      </c>
      <c r="H184" s="3" t="inlineStr">
        <is>
          <t>Checking – Operating</t>
        </is>
      </c>
      <c r="I184" s="33" t="n">
        <v>-906.45</v>
      </c>
      <c r="J184" s="13">
        <f>+J183+I184</f>
        <v>677209.71</v>
      </c>
      <c r="K184" s="19">
        <f>+EOMONTH(B184,0)</f>
        <v>46081</v>
      </c>
      <c r="L184" s="3" t="inlineStr">
        <is>
          <t>Checking – Operating</t>
        </is>
      </c>
      <c r="M184" s="3" t="inlineStr">
        <is>
          <t>Balance Sheet</t>
        </is>
      </c>
    </row>
    <row r="185">
      <c r="B185" s="39" t="n">
        <v>46067</v>
      </c>
      <c r="C185" s="3" t="inlineStr">
        <is>
          <t>Credit Card Expense</t>
        </is>
      </c>
      <c r="D185" s="3" t="inlineStr"/>
      <c r="E185" s="3" t="inlineStr">
        <is>
          <t>Tessarand Payroll Services</t>
        </is>
      </c>
      <c r="F185" s="3" t="inlineStr">
        <is>
          <t>Sales and Marketing Expenses – February</t>
        </is>
      </c>
      <c r="G185" s="3" t="inlineStr">
        <is>
          <t>Sales and Marketing Expenses</t>
        </is>
      </c>
      <c r="H185" s="3" t="inlineStr">
        <is>
          <t>Checking – Operating</t>
        </is>
      </c>
      <c r="I185" s="33" t="n">
        <v>-12118.83</v>
      </c>
      <c r="J185" s="13">
        <f>+J184+I185</f>
        <v>665090.88</v>
      </c>
      <c r="K185" s="19">
        <f>+EOMONTH(B185,0)</f>
        <v>46081</v>
      </c>
      <c r="L185" s="3" t="inlineStr">
        <is>
          <t>Checking – Operating</t>
        </is>
      </c>
      <c r="M185" s="3" t="inlineStr">
        <is>
          <t>Balance Sheet</t>
        </is>
      </c>
    </row>
    <row r="186">
      <c r="B186" s="39" t="n">
        <v>46067</v>
      </c>
      <c r="C186" s="3" t="inlineStr">
        <is>
          <t>Deposit</t>
        </is>
      </c>
      <c r="D186" s="3" t="inlineStr"/>
      <c r="E186" s="3" t="inlineStr">
        <is>
          <t>Lanternway Benefits</t>
        </is>
      </c>
      <c r="F186" s="3" t="inlineStr">
        <is>
          <t>ORIG CO NAME:LANTERNWAY BEN ORIG ID:XXXXXX9554 DESC DATE:260214 CO ENTRY DESCR:HCCLAIMPMT SEC:CCD TRACE#:XXXXXXXX5810899 EED:260214 IND ID:</t>
        </is>
      </c>
      <c r="G186" s="3" t="inlineStr">
        <is>
          <t>Service Income</t>
        </is>
      </c>
      <c r="H186" s="3" t="inlineStr">
        <is>
          <t>Checking – Operating</t>
        </is>
      </c>
      <c r="I186" s="33" t="n">
        <v>37458.18</v>
      </c>
      <c r="J186" s="13">
        <f>+J185+I186</f>
        <v>702549.06</v>
      </c>
      <c r="K186" s="19">
        <f>+EOMONTH(B186,0)</f>
        <v>46081</v>
      </c>
      <c r="L186" s="3" t="inlineStr">
        <is>
          <t>Checking – Operating</t>
        </is>
      </c>
      <c r="M186" s="3" t="inlineStr">
        <is>
          <t>Balance Sheet</t>
        </is>
      </c>
    </row>
    <row r="187">
      <c r="B187" s="39" t="n">
        <v>46067</v>
      </c>
      <c r="C187" s="3" t="inlineStr">
        <is>
          <t>Deposit</t>
        </is>
      </c>
      <c r="D187" s="3" t="inlineStr"/>
      <c r="E187" s="3" t="inlineStr">
        <is>
          <t>Quayside Choice Senior Plan</t>
        </is>
      </c>
      <c r="F187" s="3" t="inlineStr">
        <is>
          <t>ORIG CO NAME:QUAYSIDE CHOICE SP ORIG ID:XXXXXX1318 DESC DATE:260214 CO ENTRY DESCR:HCCLAIMPMT SEC:CCD TRACE#:XXXXXXXX7829012 EED:260214 IND ID:</t>
        </is>
      </c>
      <c r="G187" s="3" t="inlineStr">
        <is>
          <t>Service Income</t>
        </is>
      </c>
      <c r="H187" s="3" t="inlineStr">
        <is>
          <t>Checking – Operating</t>
        </is>
      </c>
      <c r="I187" s="33" t="n">
        <v>34465.24</v>
      </c>
      <c r="J187" s="13">
        <f>+J186+I187</f>
        <v>737014.3</v>
      </c>
      <c r="K187" s="19">
        <f>+EOMONTH(B187,0)</f>
        <v>46081</v>
      </c>
      <c r="L187" s="3" t="inlineStr">
        <is>
          <t>Checking – Operating</t>
        </is>
      </c>
      <c r="M187" s="3" t="inlineStr">
        <is>
          <t>Balance Sheet</t>
        </is>
      </c>
    </row>
    <row r="188">
      <c r="B188" s="39" t="n">
        <v>46067</v>
      </c>
      <c r="C188" s="3" t="inlineStr">
        <is>
          <t>Payroll Check</t>
        </is>
      </c>
      <c r="D188" s="3" t="inlineStr"/>
      <c r="E188" s="3" t="inlineStr">
        <is>
          <t>Tessarand Payroll Services</t>
        </is>
      </c>
      <c r="F188" s="3" t="inlineStr">
        <is>
          <t>Payroll processing fee</t>
        </is>
      </c>
      <c r="G188" s="3" t="inlineStr">
        <is>
          <t>Payroll Processing Fee</t>
        </is>
      </c>
      <c r="H188" s="3" t="inlineStr">
        <is>
          <t>Checking – Operating</t>
        </is>
      </c>
      <c r="I188" s="33" t="n">
        <v>-89.87</v>
      </c>
      <c r="J188" s="13">
        <f>+J187+I188</f>
        <v>736924.43</v>
      </c>
      <c r="K188" s="19">
        <f>+EOMONTH(B188,0)</f>
        <v>46081</v>
      </c>
      <c r="L188" s="3" t="inlineStr">
        <is>
          <t>Checking – Operating</t>
        </is>
      </c>
      <c r="M188" s="3" t="inlineStr">
        <is>
          <t>Balance Sheet</t>
        </is>
      </c>
    </row>
    <row r="189">
      <c r="B189" s="39" t="n">
        <v>46068</v>
      </c>
      <c r="C189" s="3" t="inlineStr">
        <is>
          <t>Bill Payment (Check)</t>
        </is>
      </c>
      <c r="D189" s="3" t="inlineStr"/>
      <c r="E189" s="3" t="inlineStr">
        <is>
          <t>Reference Lab A</t>
        </is>
      </c>
      <c r="F189" s="3" t="inlineStr">
        <is>
          <t>Send-out testing – February</t>
        </is>
      </c>
      <c r="G189" s="3" t="inlineStr">
        <is>
          <t>Accounts Payable</t>
        </is>
      </c>
      <c r="H189" s="3" t="inlineStr">
        <is>
          <t>Checking – Operating</t>
        </is>
      </c>
      <c r="I189" s="33" t="n">
        <v>-11940.03</v>
      </c>
      <c r="J189" s="13">
        <f>+J188+I189</f>
        <v>724984.4</v>
      </c>
      <c r="K189" s="19">
        <f>+EOMONTH(B189,0)</f>
        <v>46081</v>
      </c>
      <c r="L189" s="3" t="inlineStr">
        <is>
          <t>Checking – Operating</t>
        </is>
      </c>
      <c r="M189" s="3" t="inlineStr">
        <is>
          <t>Balance Sheet</t>
        </is>
      </c>
    </row>
    <row r="190">
      <c r="B190" s="39" t="n">
        <v>46068</v>
      </c>
      <c r="C190" s="3" t="inlineStr">
        <is>
          <t>Expense</t>
        </is>
      </c>
      <c r="D190" s="3" t="inlineStr"/>
      <c r="E190" s="3" t="inlineStr"/>
      <c r="F190" s="3" t="inlineStr">
        <is>
          <t>Bank service charges – February</t>
        </is>
      </c>
      <c r="G190" s="3" t="inlineStr">
        <is>
          <t>Cash</t>
        </is>
      </c>
      <c r="H190" s="3" t="inlineStr">
        <is>
          <t>Checking – Operating</t>
        </is>
      </c>
      <c r="I190" s="33" t="n">
        <v>-530.89</v>
      </c>
      <c r="J190" s="13">
        <f>+J189+I190</f>
        <v>724453.51</v>
      </c>
      <c r="K190" s="19">
        <f>+EOMONTH(B190,0)</f>
        <v>46081</v>
      </c>
      <c r="L190" s="3" t="inlineStr">
        <is>
          <t>Checking – Operating</t>
        </is>
      </c>
      <c r="M190" s="3" t="inlineStr">
        <is>
          <t>Balance Sheet</t>
        </is>
      </c>
    </row>
    <row r="191">
      <c r="B191" s="39" t="n">
        <v>46068</v>
      </c>
      <c r="C191" s="3" t="inlineStr">
        <is>
          <t>Expense</t>
        </is>
      </c>
      <c r="D191" s="3" t="inlineStr"/>
      <c r="E191" s="3" t="inlineStr">
        <is>
          <t>Consultant A</t>
        </is>
      </c>
      <c r="F191" s="3" t="inlineStr">
        <is>
          <t>Consulting – February</t>
        </is>
      </c>
      <c r="G191" s="3" t="inlineStr">
        <is>
          <t>Consulting</t>
        </is>
      </c>
      <c r="H191" s="3" t="inlineStr">
        <is>
          <t>Checking – Operating</t>
        </is>
      </c>
      <c r="I191" s="33" t="n">
        <v>-3090.83</v>
      </c>
      <c r="J191" s="13">
        <f>+J190+I191</f>
        <v>721362.68</v>
      </c>
      <c r="K191" s="19">
        <f>+EOMONTH(B191,0)</f>
        <v>46081</v>
      </c>
      <c r="L191" s="3" t="inlineStr">
        <is>
          <t>Checking – Operating</t>
        </is>
      </c>
      <c r="M191" s="3" t="inlineStr">
        <is>
          <t>Balance Sheet</t>
        </is>
      </c>
    </row>
    <row r="192">
      <c r="B192" s="39" t="n">
        <v>46068</v>
      </c>
      <c r="C192" s="3" t="inlineStr">
        <is>
          <t>Expense</t>
        </is>
      </c>
      <c r="D192" s="3" t="inlineStr"/>
      <c r="E192" s="3" t="inlineStr"/>
      <c r="F192" s="3" t="inlineStr">
        <is>
          <t>Automobile Expense – February</t>
        </is>
      </c>
      <c r="G192" s="3" t="inlineStr">
        <is>
          <t>Automobile Expense</t>
        </is>
      </c>
      <c r="H192" s="3" t="inlineStr">
        <is>
          <t>Checking – Operating</t>
        </is>
      </c>
      <c r="I192" s="33" t="n">
        <v>-822.09</v>
      </c>
      <c r="J192" s="13">
        <f>+J191+I192</f>
        <v>720540.59</v>
      </c>
      <c r="K192" s="19">
        <f>+EOMONTH(B192,0)</f>
        <v>46081</v>
      </c>
      <c r="L192" s="3" t="inlineStr">
        <is>
          <t>Checking – Operating</t>
        </is>
      </c>
      <c r="M192" s="3" t="inlineStr">
        <is>
          <t>Balance Sheet</t>
        </is>
      </c>
    </row>
    <row r="193">
      <c r="B193" s="39" t="n">
        <v>46068</v>
      </c>
      <c r="C193" s="3" t="inlineStr">
        <is>
          <t>Journal Entry</t>
        </is>
      </c>
      <c r="D193" s="3" t="inlineStr"/>
      <c r="E193" s="3" t="inlineStr"/>
      <c r="F193" s="3" t="inlineStr">
        <is>
          <t>Meals and Entertainment – February</t>
        </is>
      </c>
      <c r="G193" s="3" t="inlineStr">
        <is>
          <t>Meals and Entertainment</t>
        </is>
      </c>
      <c r="H193" s="3" t="inlineStr">
        <is>
          <t>Checking – Operating</t>
        </is>
      </c>
      <c r="I193" s="33" t="n">
        <v>-543.25</v>
      </c>
      <c r="J193" s="13">
        <f>+J192+I193</f>
        <v>719997.34</v>
      </c>
      <c r="K193" s="19">
        <f>+EOMONTH(B193,0)</f>
        <v>46081</v>
      </c>
      <c r="L193" s="3" t="inlineStr">
        <is>
          <t>Checking – Operating</t>
        </is>
      </c>
      <c r="M193" s="3" t="inlineStr">
        <is>
          <t>Balance Sheet</t>
        </is>
      </c>
    </row>
    <row r="194">
      <c r="B194" s="39" t="n">
        <v>46068</v>
      </c>
      <c r="C194" s="3" t="inlineStr">
        <is>
          <t>Journal Entry</t>
        </is>
      </c>
      <c r="D194" s="3" t="inlineStr"/>
      <c r="E194" s="3" t="inlineStr">
        <is>
          <t>Swiftmere Courier</t>
        </is>
      </c>
      <c r="F194" s="3" t="inlineStr">
        <is>
          <t>Postage and Delivery – February</t>
        </is>
      </c>
      <c r="G194" s="3" t="inlineStr">
        <is>
          <t>Postage and Delivery</t>
        </is>
      </c>
      <c r="H194" s="3" t="inlineStr">
        <is>
          <t>Checking – Operating</t>
        </is>
      </c>
      <c r="I194" s="33" t="n">
        <v>-370.77</v>
      </c>
      <c r="J194" s="13">
        <f>+J193+I194</f>
        <v>719626.57</v>
      </c>
      <c r="K194" s="19">
        <f>+EOMONTH(B194,0)</f>
        <v>46081</v>
      </c>
      <c r="L194" s="3" t="inlineStr">
        <is>
          <t>Checking – Operating</t>
        </is>
      </c>
      <c r="M194" s="3" t="inlineStr">
        <is>
          <t>Balance Sheet</t>
        </is>
      </c>
    </row>
    <row r="195">
      <c r="B195" s="39" t="n">
        <v>46068</v>
      </c>
      <c r="C195" s="3" t="inlineStr">
        <is>
          <t>Journal Entry</t>
        </is>
      </c>
      <c r="D195" s="3" t="inlineStr"/>
      <c r="E195" s="3" t="inlineStr"/>
      <c r="F195" s="3" t="inlineStr">
        <is>
          <t>Business Licenses and Permits – February</t>
        </is>
      </c>
      <c r="G195" s="3" t="inlineStr">
        <is>
          <t>Business Licenses and Permits</t>
        </is>
      </c>
      <c r="H195" s="3" t="inlineStr">
        <is>
          <t>Checking – Operating</t>
        </is>
      </c>
      <c r="I195" s="33" t="n">
        <v>-608.39</v>
      </c>
      <c r="J195" s="13">
        <f>+J194+I195</f>
        <v>719018.18</v>
      </c>
      <c r="K195" s="19">
        <f>+EOMONTH(B195,0)</f>
        <v>46081</v>
      </c>
      <c r="L195" s="3" t="inlineStr">
        <is>
          <t>Checking – Operating</t>
        </is>
      </c>
      <c r="M195" s="3" t="inlineStr">
        <is>
          <t>Balance Sheet</t>
        </is>
      </c>
    </row>
    <row r="196">
      <c r="B196" s="39" t="n">
        <v>46069</v>
      </c>
      <c r="C196" s="3" t="inlineStr">
        <is>
          <t>Expense</t>
        </is>
      </c>
      <c r="D196" s="3" t="inlineStr"/>
      <c r="E196" s="3" t="inlineStr"/>
      <c r="F196" s="3" t="inlineStr">
        <is>
          <t>Gas – February</t>
        </is>
      </c>
      <c r="G196" s="3" t="inlineStr">
        <is>
          <t>Gas</t>
        </is>
      </c>
      <c r="H196" s="3" t="inlineStr">
        <is>
          <t>Checking – Operating</t>
        </is>
      </c>
      <c r="I196" s="33" t="n">
        <v>-787.7</v>
      </c>
      <c r="J196" s="13">
        <f>+J195+I196</f>
        <v>718230.48</v>
      </c>
      <c r="K196" s="19">
        <f>+EOMONTH(B196,0)</f>
        <v>46081</v>
      </c>
      <c r="L196" s="3" t="inlineStr">
        <is>
          <t>Checking – Operating</t>
        </is>
      </c>
      <c r="M196" s="3" t="inlineStr">
        <is>
          <t>Balance Sheet</t>
        </is>
      </c>
    </row>
    <row r="197">
      <c r="B197" s="39" t="n">
        <v>46069</v>
      </c>
      <c r="C197" s="3" t="inlineStr">
        <is>
          <t>Journal Entry</t>
        </is>
      </c>
      <c r="D197" s="3" t="inlineStr"/>
      <c r="E197" s="3" t="inlineStr">
        <is>
          <t>Ledgerquill Billing SaaS</t>
        </is>
      </c>
      <c r="F197" s="3" t="inlineStr">
        <is>
          <t>Dues &amp; Subscriptions – February</t>
        </is>
      </c>
      <c r="G197" s="3" t="inlineStr">
        <is>
          <t>Dues &amp; Subscriptions</t>
        </is>
      </c>
      <c r="H197" s="3" t="inlineStr">
        <is>
          <t>Checking – Operating</t>
        </is>
      </c>
      <c r="I197" s="33" t="n">
        <v>-777.48</v>
      </c>
      <c r="J197" s="13">
        <f>+J196+I197</f>
        <v>717453</v>
      </c>
      <c r="K197" s="19">
        <f>+EOMONTH(B197,0)</f>
        <v>46081</v>
      </c>
      <c r="L197" s="3" t="inlineStr">
        <is>
          <t>Checking – Operating</t>
        </is>
      </c>
      <c r="M197" s="3" t="inlineStr">
        <is>
          <t>Balance Sheet</t>
        </is>
      </c>
    </row>
    <row r="198">
      <c r="B198" s="39" t="n">
        <v>46069</v>
      </c>
      <c r="C198" s="3" t="inlineStr">
        <is>
          <t>Journal Entry</t>
        </is>
      </c>
      <c r="D198" s="3" t="inlineStr"/>
      <c r="E198" s="3" t="inlineStr">
        <is>
          <t>Ledgerquill Billing SaaS</t>
        </is>
      </c>
      <c r="F198" s="3" t="inlineStr">
        <is>
          <t>Interface Service – February</t>
        </is>
      </c>
      <c r="G198" s="3" t="inlineStr">
        <is>
          <t>Interface Service</t>
        </is>
      </c>
      <c r="H198" s="3" t="inlineStr">
        <is>
          <t>Checking – Operating</t>
        </is>
      </c>
      <c r="I198" s="33" t="n">
        <v>-1783.58</v>
      </c>
      <c r="J198" s="13">
        <f>+J197+I198</f>
        <v>715669.42</v>
      </c>
      <c r="K198" s="19">
        <f>+EOMONTH(B198,0)</f>
        <v>46081</v>
      </c>
      <c r="L198" s="3" t="inlineStr">
        <is>
          <t>Checking – Operating</t>
        </is>
      </c>
      <c r="M198" s="3" t="inlineStr">
        <is>
          <t>Balance Sheet</t>
        </is>
      </c>
    </row>
    <row r="199">
      <c r="B199" s="39" t="n">
        <v>46070</v>
      </c>
      <c r="C199" s="3" t="inlineStr">
        <is>
          <t>Bill Payment (Check)</t>
        </is>
      </c>
      <c r="D199" s="3" t="inlineStr"/>
      <c r="E199" s="3" t="inlineStr">
        <is>
          <t>Tarrowmere Mutual Insurance</t>
        </is>
      </c>
      <c r="F199" s="3" t="inlineStr">
        <is>
          <t>Premium installment</t>
        </is>
      </c>
      <c r="G199" s="3" t="inlineStr">
        <is>
          <t>Accounts Payable</t>
        </is>
      </c>
      <c r="H199" s="3" t="inlineStr">
        <is>
          <t>Checking – Operating</t>
        </is>
      </c>
      <c r="I199" s="33" t="n">
        <v>-4399.68</v>
      </c>
      <c r="J199" s="13">
        <f>+J198+I199</f>
        <v>711269.74</v>
      </c>
      <c r="K199" s="19">
        <f>+EOMONTH(B199,0)</f>
        <v>46081</v>
      </c>
      <c r="L199" s="3" t="inlineStr">
        <is>
          <t>Checking – Operating</t>
        </is>
      </c>
      <c r="M199" s="3" t="inlineStr">
        <is>
          <t>Balance Sheet</t>
        </is>
      </c>
    </row>
    <row r="200">
      <c r="B200" s="39" t="n">
        <v>46070</v>
      </c>
      <c r="C200" s="3" t="inlineStr">
        <is>
          <t>Bill Payment (Check)</t>
        </is>
      </c>
      <c r="D200" s="3" t="inlineStr"/>
      <c r="E200" s="3" t="inlineStr">
        <is>
          <t>Tarrowmere Mutual Insurance</t>
        </is>
      </c>
      <c r="F200" s="3" t="inlineStr">
        <is>
          <t>Benefits – January</t>
        </is>
      </c>
      <c r="G200" s="3" t="inlineStr">
        <is>
          <t>Accounts Payable</t>
        </is>
      </c>
      <c r="H200" s="3" t="inlineStr">
        <is>
          <t>Checking – Operating</t>
        </is>
      </c>
      <c r="I200" s="33" t="n">
        <v>-6666.87</v>
      </c>
      <c r="J200" s="13">
        <f>+J199+I200</f>
        <v>704602.87</v>
      </c>
      <c r="K200" s="19">
        <f>+EOMONTH(B200,0)</f>
        <v>46081</v>
      </c>
      <c r="L200" s="3" t="inlineStr">
        <is>
          <t>Checking – Operating</t>
        </is>
      </c>
      <c r="M200" s="3" t="inlineStr">
        <is>
          <t>Balance Sheet</t>
        </is>
      </c>
    </row>
    <row r="201">
      <c r="B201" s="39" t="n">
        <v>46070</v>
      </c>
      <c r="C201" s="3" t="inlineStr">
        <is>
          <t>Credit Card Expense</t>
        </is>
      </c>
      <c r="D201" s="3" t="inlineStr"/>
      <c r="E201" s="3" t="inlineStr"/>
      <c r="F201" s="3" t="inlineStr">
        <is>
          <t>Reimbursement – February</t>
        </is>
      </c>
      <c r="G201" s="3" t="inlineStr">
        <is>
          <t>Reimbursement</t>
        </is>
      </c>
      <c r="H201" s="3" t="inlineStr">
        <is>
          <t>Checking – Operating</t>
        </is>
      </c>
      <c r="I201" s="33" t="n">
        <v>-1145.39</v>
      </c>
      <c r="J201" s="13">
        <f>+J200+I201</f>
        <v>703457.48</v>
      </c>
      <c r="K201" s="19">
        <f>+EOMONTH(B201,0)</f>
        <v>46081</v>
      </c>
      <c r="L201" s="3" t="inlineStr">
        <is>
          <t>Checking – Operating</t>
        </is>
      </c>
      <c r="M201" s="3" t="inlineStr">
        <is>
          <t>Balance Sheet</t>
        </is>
      </c>
    </row>
    <row r="202">
      <c r="B202" s="39" t="n">
        <v>46070</v>
      </c>
      <c r="C202" s="3" t="inlineStr">
        <is>
          <t>Expense</t>
        </is>
      </c>
      <c r="D202" s="3" t="inlineStr"/>
      <c r="E202" s="3" t="inlineStr"/>
      <c r="F202" s="3" t="inlineStr">
        <is>
          <t>Gas – February</t>
        </is>
      </c>
      <c r="G202" s="3" t="inlineStr">
        <is>
          <t>Gas</t>
        </is>
      </c>
      <c r="H202" s="3" t="inlineStr">
        <is>
          <t>Checking – Operating</t>
        </is>
      </c>
      <c r="I202" s="33" t="n">
        <v>-1112.3</v>
      </c>
      <c r="J202" s="13">
        <f>+J201+I202</f>
        <v>702345.18</v>
      </c>
      <c r="K202" s="19">
        <f>+EOMONTH(B202,0)</f>
        <v>46081</v>
      </c>
      <c r="L202" s="3" t="inlineStr">
        <is>
          <t>Checking – Operating</t>
        </is>
      </c>
      <c r="M202" s="3" t="inlineStr">
        <is>
          <t>Balance Sheet</t>
        </is>
      </c>
    </row>
    <row r="203">
      <c r="B203" s="39" t="n">
        <v>46070</v>
      </c>
      <c r="C203" s="3" t="inlineStr">
        <is>
          <t>Expense</t>
        </is>
      </c>
      <c r="D203" s="3" t="inlineStr"/>
      <c r="E203" s="3" t="inlineStr">
        <is>
          <t>Ledgerquill Billing SaaS</t>
        </is>
      </c>
      <c r="F203" s="3" t="inlineStr">
        <is>
          <t>Lab EMR Service – February</t>
        </is>
      </c>
      <c r="G203" s="3" t="inlineStr">
        <is>
          <t>Lab EMR Service</t>
        </is>
      </c>
      <c r="H203" s="3" t="inlineStr">
        <is>
          <t>Checking – Operating</t>
        </is>
      </c>
      <c r="I203" s="33" t="n">
        <v>-4057.06</v>
      </c>
      <c r="J203" s="13">
        <f>+J202+I203</f>
        <v>698288.12</v>
      </c>
      <c r="K203" s="19">
        <f>+EOMONTH(B203,0)</f>
        <v>46081</v>
      </c>
      <c r="L203" s="3" t="inlineStr">
        <is>
          <t>Checking – Operating</t>
        </is>
      </c>
      <c r="M203" s="3" t="inlineStr">
        <is>
          <t>Balance Sheet</t>
        </is>
      </c>
    </row>
    <row r="204">
      <c r="B204" s="39" t="n">
        <v>46070</v>
      </c>
      <c r="C204" s="3" t="inlineStr">
        <is>
          <t>Expense</t>
        </is>
      </c>
      <c r="D204" s="3" t="inlineStr"/>
      <c r="E204" s="3" t="inlineStr">
        <is>
          <t>Union Utilities</t>
        </is>
      </c>
      <c r="F204" s="3" t="inlineStr">
        <is>
          <t>Fax Service – February</t>
        </is>
      </c>
      <c r="G204" s="3" t="inlineStr">
        <is>
          <t>Fax Service</t>
        </is>
      </c>
      <c r="H204" s="3" t="inlineStr">
        <is>
          <t>Checking – Operating</t>
        </is>
      </c>
      <c r="I204" s="33" t="n">
        <v>-781.52</v>
      </c>
      <c r="J204" s="13">
        <f>+J203+I204</f>
        <v>697506.6</v>
      </c>
      <c r="K204" s="19">
        <f>+EOMONTH(B204,0)</f>
        <v>46081</v>
      </c>
      <c r="L204" s="3" t="inlineStr">
        <is>
          <t>Checking – Operating</t>
        </is>
      </c>
      <c r="M204" s="3" t="inlineStr">
        <is>
          <t>Balance Sheet</t>
        </is>
      </c>
    </row>
    <row r="205">
      <c r="B205" s="39" t="n">
        <v>46071</v>
      </c>
      <c r="C205" s="3" t="inlineStr">
        <is>
          <t>Bill Payment (Check)</t>
        </is>
      </c>
      <c r="D205" s="3" t="inlineStr"/>
      <c r="E205" s="3" t="inlineStr">
        <is>
          <t>Reagentix Corp</t>
        </is>
      </c>
      <c r="F205" s="3" t="inlineStr">
        <is>
          <t>Lab Expenses – January</t>
        </is>
      </c>
      <c r="G205" s="3" t="inlineStr">
        <is>
          <t>Accounts Payable</t>
        </is>
      </c>
      <c r="H205" s="3" t="inlineStr">
        <is>
          <t>Checking – Operating</t>
        </is>
      </c>
      <c r="I205" s="33" t="n">
        <v>-3652.42</v>
      </c>
      <c r="J205" s="13">
        <f>+J204+I205</f>
        <v>693854.18</v>
      </c>
      <c r="K205" s="19">
        <f>+EOMONTH(B205,0)</f>
        <v>46081</v>
      </c>
      <c r="L205" s="3" t="inlineStr">
        <is>
          <t>Checking – Operating</t>
        </is>
      </c>
      <c r="M205" s="3" t="inlineStr">
        <is>
          <t>Balance Sheet</t>
        </is>
      </c>
    </row>
    <row r="206">
      <c r="B206" s="39" t="n">
        <v>46071</v>
      </c>
      <c r="C206" s="3" t="inlineStr">
        <is>
          <t>Bill Payment (Check)</t>
        </is>
      </c>
      <c r="D206" s="3" t="inlineStr"/>
      <c r="E206" s="3" t="inlineStr">
        <is>
          <t>Reference Lab A</t>
        </is>
      </c>
      <c r="F206" s="3" t="inlineStr">
        <is>
          <t>Send-out testing – February</t>
        </is>
      </c>
      <c r="G206" s="3" t="inlineStr">
        <is>
          <t>Accounts Payable</t>
        </is>
      </c>
      <c r="H206" s="3" t="inlineStr">
        <is>
          <t>Checking – Operating</t>
        </is>
      </c>
      <c r="I206" s="33" t="n">
        <v>-10059.97</v>
      </c>
      <c r="J206" s="13">
        <f>+J205+I206</f>
        <v>683794.21</v>
      </c>
      <c r="K206" s="19">
        <f>+EOMONTH(B206,0)</f>
        <v>46081</v>
      </c>
      <c r="L206" s="3" t="inlineStr">
        <is>
          <t>Checking – Operating</t>
        </is>
      </c>
      <c r="M206" s="3" t="inlineStr">
        <is>
          <t>Balance Sheet</t>
        </is>
      </c>
    </row>
    <row r="207">
      <c r="B207" s="39" t="n">
        <v>46071</v>
      </c>
      <c r="C207" s="3" t="inlineStr">
        <is>
          <t>Bill Payment (Check)</t>
        </is>
      </c>
      <c r="D207" s="3" t="inlineStr"/>
      <c r="E207" s="3" t="inlineStr">
        <is>
          <t>Tarrowmere Mutual Insurance</t>
        </is>
      </c>
      <c r="F207" s="3" t="inlineStr">
        <is>
          <t>Premium installment</t>
        </is>
      </c>
      <c r="G207" s="3" t="inlineStr">
        <is>
          <t>Accounts Payable</t>
        </is>
      </c>
      <c r="H207" s="3" t="inlineStr">
        <is>
          <t>Checking – Operating</t>
        </is>
      </c>
      <c r="I207" s="33" t="n">
        <v>-6938.98</v>
      </c>
      <c r="J207" s="13">
        <f>+J206+I207</f>
        <v>676855.23</v>
      </c>
      <c r="K207" s="19">
        <f>+EOMONTH(B207,0)</f>
        <v>46081</v>
      </c>
      <c r="L207" s="3" t="inlineStr">
        <is>
          <t>Checking – Operating</t>
        </is>
      </c>
      <c r="M207" s="3" t="inlineStr">
        <is>
          <t>Balance Sheet</t>
        </is>
      </c>
    </row>
    <row r="208">
      <c r="B208" s="39" t="n">
        <v>46071</v>
      </c>
      <c r="C208" s="3" t="inlineStr">
        <is>
          <t>Bill Payment (Check)</t>
        </is>
      </c>
      <c r="D208" s="3" t="inlineStr"/>
      <c r="E208" s="3" t="inlineStr">
        <is>
          <t>Northmoor Waste Services</t>
        </is>
      </c>
      <c r="F208" s="3" t="inlineStr">
        <is>
          <t>Hazard Waste – January</t>
        </is>
      </c>
      <c r="G208" s="3" t="inlineStr">
        <is>
          <t>Accounts Payable</t>
        </is>
      </c>
      <c r="H208" s="3" t="inlineStr">
        <is>
          <t>Checking – Operating</t>
        </is>
      </c>
      <c r="I208" s="33" t="n">
        <v>-1008.94</v>
      </c>
      <c r="J208" s="13">
        <f>+J207+I208</f>
        <v>675846.29</v>
      </c>
      <c r="K208" s="19">
        <f>+EOMONTH(B208,0)</f>
        <v>46081</v>
      </c>
      <c r="L208" s="3" t="inlineStr">
        <is>
          <t>Checking – Operating</t>
        </is>
      </c>
      <c r="M208" s="3" t="inlineStr">
        <is>
          <t>Balance Sheet</t>
        </is>
      </c>
    </row>
    <row r="209">
      <c r="B209" s="39" t="n">
        <v>46071</v>
      </c>
      <c r="C209" s="3" t="inlineStr">
        <is>
          <t>Deposit</t>
        </is>
      </c>
      <c r="D209" s="3" t="inlineStr"/>
      <c r="E209" s="3" t="inlineStr">
        <is>
          <t>State Program B</t>
        </is>
      </c>
      <c r="F209" s="3" t="inlineStr">
        <is>
          <t>ORIG CO NAME:STATE PROG B ORIG ID:XXXXXX2323 DESC DATE:260218 CO ENTRY DESCR:HCCLAIMPMT SEC:CCD TRACE#:XXXXXXXX4358239 EED:260218 IND ID:</t>
        </is>
      </c>
      <c r="G209" s="3" t="inlineStr">
        <is>
          <t>Service Income</t>
        </is>
      </c>
      <c r="H209" s="3" t="inlineStr">
        <is>
          <t>Checking – Operating</t>
        </is>
      </c>
      <c r="I209" s="33" t="n">
        <v>29904.81</v>
      </c>
      <c r="J209" s="13">
        <f>+J208+I209</f>
        <v>705751.1</v>
      </c>
      <c r="K209" s="19">
        <f>+EOMONTH(B209,0)</f>
        <v>46081</v>
      </c>
      <c r="L209" s="3" t="inlineStr">
        <is>
          <t>Checking – Operating</t>
        </is>
      </c>
      <c r="M209" s="3" t="inlineStr">
        <is>
          <t>Balance Sheet</t>
        </is>
      </c>
    </row>
    <row r="210">
      <c r="B210" s="39" t="n">
        <v>46071</v>
      </c>
      <c r="C210" s="3" t="inlineStr">
        <is>
          <t>Expense</t>
        </is>
      </c>
      <c r="D210" s="3" t="inlineStr"/>
      <c r="E210" s="3" t="inlineStr">
        <is>
          <t>Lumenlease Equipment</t>
        </is>
      </c>
      <c r="F210" s="3" t="inlineStr">
        <is>
          <t>Repairs and Maintenance – February</t>
        </is>
      </c>
      <c r="G210" s="3" t="inlineStr">
        <is>
          <t>Repairs and Maintenance</t>
        </is>
      </c>
      <c r="H210" s="3" t="inlineStr">
        <is>
          <t>Checking – Operating</t>
        </is>
      </c>
      <c r="I210" s="33" t="n">
        <v>-2223.62</v>
      </c>
      <c r="J210" s="13">
        <f>+J209+I210</f>
        <v>703527.48</v>
      </c>
      <c r="K210" s="19">
        <f>+EOMONTH(B210,0)</f>
        <v>46081</v>
      </c>
      <c r="L210" s="3" t="inlineStr">
        <is>
          <t>Checking – Operating</t>
        </is>
      </c>
      <c r="M210" s="3" t="inlineStr">
        <is>
          <t>Balance Sheet</t>
        </is>
      </c>
    </row>
    <row r="211">
      <c r="B211" s="39" t="n">
        <v>46072</v>
      </c>
      <c r="C211" s="3" t="inlineStr">
        <is>
          <t>Bill Payment (Check)</t>
        </is>
      </c>
      <c r="D211" s="3" t="inlineStr"/>
      <c r="E211" s="3" t="inlineStr">
        <is>
          <t>Vialtrace Lab Supplies Inc</t>
        </is>
      </c>
      <c r="F211" s="3" t="inlineStr">
        <is>
          <t>Lab supplies PO# F2010</t>
        </is>
      </c>
      <c r="G211" s="3" t="inlineStr">
        <is>
          <t>Accounts Payable</t>
        </is>
      </c>
      <c r="H211" s="3" t="inlineStr">
        <is>
          <t>Checking – Operating</t>
        </is>
      </c>
      <c r="I211" s="33" t="n">
        <v>-24276.83</v>
      </c>
      <c r="J211" s="13">
        <f>+J210+I211</f>
        <v>679250.65</v>
      </c>
      <c r="K211" s="19">
        <f>+EOMONTH(B211,0)</f>
        <v>46081</v>
      </c>
      <c r="L211" s="3" t="inlineStr">
        <is>
          <t>Checking – Operating</t>
        </is>
      </c>
      <c r="M211" s="3" t="inlineStr">
        <is>
          <t>Balance Sheet</t>
        </is>
      </c>
    </row>
    <row r="212">
      <c r="B212" s="39" t="n">
        <v>46072</v>
      </c>
      <c r="C212" s="3" t="inlineStr">
        <is>
          <t>Expense</t>
        </is>
      </c>
      <c r="D212" s="3" t="inlineStr"/>
      <c r="E212" s="3" t="inlineStr">
        <is>
          <t>Halloway Ridge Realty (rent)</t>
        </is>
      </c>
      <c r="F212" s="3" t="inlineStr">
        <is>
          <t>Landscaping – February</t>
        </is>
      </c>
      <c r="G212" s="3" t="inlineStr">
        <is>
          <t>Landscaping</t>
        </is>
      </c>
      <c r="H212" s="3" t="inlineStr">
        <is>
          <t>Checking – Operating</t>
        </is>
      </c>
      <c r="I212" s="33" t="n">
        <v>-1393.55</v>
      </c>
      <c r="J212" s="13">
        <f>+J211+I212</f>
        <v>677857.1</v>
      </c>
      <c r="K212" s="19">
        <f>+EOMONTH(B212,0)</f>
        <v>46081</v>
      </c>
      <c r="L212" s="3" t="inlineStr">
        <is>
          <t>Checking – Operating</t>
        </is>
      </c>
      <c r="M212" s="3" t="inlineStr">
        <is>
          <t>Balance Sheet</t>
        </is>
      </c>
    </row>
    <row r="213">
      <c r="B213" s="39" t="n">
        <v>46072</v>
      </c>
      <c r="C213" s="3" t="inlineStr">
        <is>
          <t>Journal Entry</t>
        </is>
      </c>
      <c r="D213" s="3" t="inlineStr"/>
      <c r="E213" s="3" t="inlineStr">
        <is>
          <t>Tessarand Payroll Services</t>
        </is>
      </c>
      <c r="F213" s="3" t="inlineStr">
        <is>
          <t>Sales and Marketing Expenses – February</t>
        </is>
      </c>
      <c r="G213" s="3" t="inlineStr">
        <is>
          <t>Sales and Marketing Expenses</t>
        </is>
      </c>
      <c r="H213" s="3" t="inlineStr">
        <is>
          <t>Checking – Operating</t>
        </is>
      </c>
      <c r="I213" s="33" t="n">
        <v>-15785.41</v>
      </c>
      <c r="J213" s="13">
        <f>+J212+I213</f>
        <v>662071.69</v>
      </c>
      <c r="K213" s="19">
        <f>+EOMONTH(B213,0)</f>
        <v>46081</v>
      </c>
      <c r="L213" s="3" t="inlineStr">
        <is>
          <t>Checking – Operating</t>
        </is>
      </c>
      <c r="M213" s="3" t="inlineStr">
        <is>
          <t>Balance Sheet</t>
        </is>
      </c>
    </row>
    <row r="214">
      <c r="B214" s="39" t="n">
        <v>46073</v>
      </c>
      <c r="C214" s="3" t="inlineStr">
        <is>
          <t>Credit Card Expense</t>
        </is>
      </c>
      <c r="D214" s="3" t="inlineStr"/>
      <c r="E214" s="3" t="inlineStr">
        <is>
          <t>Ledgerquill Billing SaaS</t>
        </is>
      </c>
      <c r="F214" s="3" t="inlineStr">
        <is>
          <t>Lab EMR Service – February</t>
        </is>
      </c>
      <c r="G214" s="3" t="inlineStr">
        <is>
          <t>Lab EMR Service</t>
        </is>
      </c>
      <c r="H214" s="3" t="inlineStr">
        <is>
          <t>Checking – Operating</t>
        </is>
      </c>
      <c r="I214" s="33" t="n">
        <v>-2822.94</v>
      </c>
      <c r="J214" s="13">
        <f>+J213+I214</f>
        <v>659248.75</v>
      </c>
      <c r="K214" s="19">
        <f>+EOMONTH(B214,0)</f>
        <v>46081</v>
      </c>
      <c r="L214" s="3" t="inlineStr">
        <is>
          <t>Checking – Operating</t>
        </is>
      </c>
      <c r="M214" s="3" t="inlineStr">
        <is>
          <t>Balance Sheet</t>
        </is>
      </c>
    </row>
    <row r="215">
      <c r="B215" s="39" t="n">
        <v>46073</v>
      </c>
      <c r="C215" s="3" t="inlineStr">
        <is>
          <t>Deposit</t>
        </is>
      </c>
      <c r="D215" s="3" t="inlineStr"/>
      <c r="E215" s="3" t="inlineStr">
        <is>
          <t>Federal Program A</t>
        </is>
      </c>
      <c r="F215" s="3" t="inlineStr">
        <is>
          <t>ORIG CO NAME:FEDERAL PROG A ORIG ID:XXXXXX1780 DESC DATE:260220 CO ENTRY DESCR:HCCLAIMPMT SEC:CCD TRACE#:XXXXXXXX3474026 EED:260220 IND ID:</t>
        </is>
      </c>
      <c r="G215" s="3" t="inlineStr">
        <is>
          <t>Service Income</t>
        </is>
      </c>
      <c r="H215" s="3" t="inlineStr">
        <is>
          <t>Checking – Operating</t>
        </is>
      </c>
      <c r="I215" s="33" t="n">
        <v>55015.92</v>
      </c>
      <c r="J215" s="13">
        <f>+J214+I215</f>
        <v>714264.67</v>
      </c>
      <c r="K215" s="19">
        <f>+EOMONTH(B215,0)</f>
        <v>46081</v>
      </c>
      <c r="L215" s="3" t="inlineStr">
        <is>
          <t>Checking – Operating</t>
        </is>
      </c>
      <c r="M215" s="3" t="inlineStr">
        <is>
          <t>Balance Sheet</t>
        </is>
      </c>
    </row>
    <row r="216">
      <c r="B216" s="39" t="n">
        <v>46073</v>
      </c>
      <c r="C216" s="3" t="inlineStr">
        <is>
          <t>Expense</t>
        </is>
      </c>
      <c r="D216" s="3" t="inlineStr"/>
      <c r="E216" s="3" t="inlineStr"/>
      <c r="F216" s="3" t="inlineStr">
        <is>
          <t>Meals and Entertainment – February</t>
        </is>
      </c>
      <c r="G216" s="3" t="inlineStr">
        <is>
          <t>Meals and Entertainment</t>
        </is>
      </c>
      <c r="H216" s="3" t="inlineStr">
        <is>
          <t>Checking – Operating</t>
        </is>
      </c>
      <c r="I216" s="33" t="n">
        <v>-896.75</v>
      </c>
      <c r="J216" s="13">
        <f>+J215+I216</f>
        <v>713367.92</v>
      </c>
      <c r="K216" s="19">
        <f>+EOMONTH(B216,0)</f>
        <v>46081</v>
      </c>
      <c r="L216" s="3" t="inlineStr">
        <is>
          <t>Checking – Operating</t>
        </is>
      </c>
      <c r="M216" s="3" t="inlineStr">
        <is>
          <t>Balance Sheet</t>
        </is>
      </c>
    </row>
    <row r="217">
      <c r="B217" s="39" t="n">
        <v>46073</v>
      </c>
      <c r="C217" s="3" t="inlineStr">
        <is>
          <t>Journal Entry</t>
        </is>
      </c>
      <c r="D217" s="3" t="inlineStr"/>
      <c r="E217" s="3" t="inlineStr">
        <is>
          <t>Tessarand Payroll Services</t>
        </is>
      </c>
      <c r="F217" s="3" t="inlineStr">
        <is>
          <t>Contractors – February</t>
        </is>
      </c>
      <c r="G217" s="3" t="inlineStr">
        <is>
          <t>Contractors</t>
        </is>
      </c>
      <c r="H217" s="3" t="inlineStr">
        <is>
          <t>Checking – Operating</t>
        </is>
      </c>
      <c r="I217" s="33" t="n">
        <v>-9872.870000000001</v>
      </c>
      <c r="J217" s="13">
        <f>+J216+I217</f>
        <v>703495.05</v>
      </c>
      <c r="K217" s="19">
        <f>+EOMONTH(B217,0)</f>
        <v>46081</v>
      </c>
      <c r="L217" s="3" t="inlineStr">
        <is>
          <t>Checking – Operating</t>
        </is>
      </c>
      <c r="M217" s="3" t="inlineStr">
        <is>
          <t>Balance Sheet</t>
        </is>
      </c>
    </row>
    <row r="218">
      <c r="B218" s="39" t="n">
        <v>46073</v>
      </c>
      <c r="C218" s="3" t="inlineStr">
        <is>
          <t>Journal Entry</t>
        </is>
      </c>
      <c r="D218" s="3" t="inlineStr"/>
      <c r="E218" s="3" t="inlineStr">
        <is>
          <t>Lumenlease Equipment</t>
        </is>
      </c>
      <c r="F218" s="3" t="inlineStr">
        <is>
          <t>Repairs and Maintenance – February</t>
        </is>
      </c>
      <c r="G218" s="3" t="inlineStr">
        <is>
          <t>Repairs and Maintenance</t>
        </is>
      </c>
      <c r="H218" s="3" t="inlineStr">
        <is>
          <t>Checking – Operating</t>
        </is>
      </c>
      <c r="I218" s="33" t="n">
        <v>-3771.71</v>
      </c>
      <c r="J218" s="13">
        <f>+J217+I218</f>
        <v>699723.34</v>
      </c>
      <c r="K218" s="19">
        <f>+EOMONTH(B218,0)</f>
        <v>46081</v>
      </c>
      <c r="L218" s="3" t="inlineStr">
        <is>
          <t>Checking – Operating</t>
        </is>
      </c>
      <c r="M218" s="3" t="inlineStr">
        <is>
          <t>Balance Sheet</t>
        </is>
      </c>
    </row>
    <row r="219">
      <c r="B219" s="39" t="n">
        <v>46073</v>
      </c>
      <c r="C219" s="3" t="inlineStr">
        <is>
          <t>Payroll Check</t>
        </is>
      </c>
      <c r="D219" s="3" t="inlineStr"/>
      <c r="E219" s="3" t="inlineStr">
        <is>
          <t>Tessarand Payroll Services</t>
        </is>
      </c>
      <c r="F219" s="3" t="inlineStr">
        <is>
          <t>Payroll taxes – biweekly</t>
        </is>
      </c>
      <c r="G219" s="3" t="inlineStr">
        <is>
          <t>Payroll Taxes</t>
        </is>
      </c>
      <c r="H219" s="3" t="inlineStr">
        <is>
          <t>Checking – Operating</t>
        </is>
      </c>
      <c r="I219" s="33" t="n">
        <v>-1149.03</v>
      </c>
      <c r="J219" s="13">
        <f>+J218+I219</f>
        <v>698574.31</v>
      </c>
      <c r="K219" s="19">
        <f>+EOMONTH(B219,0)</f>
        <v>46081</v>
      </c>
      <c r="L219" s="3" t="inlineStr">
        <is>
          <t>Checking – Operating</t>
        </is>
      </c>
      <c r="M219" s="3" t="inlineStr">
        <is>
          <t>Balance Sheet</t>
        </is>
      </c>
    </row>
    <row r="220">
      <c r="B220" s="39" t="n">
        <v>46074</v>
      </c>
      <c r="C220" s="3" t="inlineStr">
        <is>
          <t>Bill Payment (Check)</t>
        </is>
      </c>
      <c r="D220" s="3" t="inlineStr"/>
      <c r="E220" s="3" t="inlineStr">
        <is>
          <t>Swiftmere Courier</t>
        </is>
      </c>
      <c r="F220" s="3" t="inlineStr">
        <is>
          <t>Delivery and Transportation – February</t>
        </is>
      </c>
      <c r="G220" s="3" t="inlineStr">
        <is>
          <t>Accounts Payable</t>
        </is>
      </c>
      <c r="H220" s="3" t="inlineStr">
        <is>
          <t>Checking – Operating</t>
        </is>
      </c>
      <c r="I220" s="33" t="n">
        <v>-2606.22</v>
      </c>
      <c r="J220" s="13">
        <f>+J219+I220</f>
        <v>695968.09</v>
      </c>
      <c r="K220" s="19">
        <f>+EOMONTH(B220,0)</f>
        <v>46081</v>
      </c>
      <c r="L220" s="3" t="inlineStr">
        <is>
          <t>Checking – Operating</t>
        </is>
      </c>
      <c r="M220" s="3" t="inlineStr">
        <is>
          <t>Balance Sheet</t>
        </is>
      </c>
    </row>
    <row r="221">
      <c r="B221" s="39" t="n">
        <v>46074</v>
      </c>
      <c r="C221" s="3" t="inlineStr">
        <is>
          <t>Bill Payment (Check)</t>
        </is>
      </c>
      <c r="D221" s="3" t="inlineStr"/>
      <c r="E221" s="3" t="inlineStr">
        <is>
          <t>Tarrowmere Mutual Insurance</t>
        </is>
      </c>
      <c r="F221" s="3" t="inlineStr">
        <is>
          <t>Premium installment</t>
        </is>
      </c>
      <c r="G221" s="3" t="inlineStr">
        <is>
          <t>Accounts Payable</t>
        </is>
      </c>
      <c r="H221" s="3" t="inlineStr">
        <is>
          <t>Checking – Operating</t>
        </is>
      </c>
      <c r="I221" s="33" t="n">
        <v>-3431.26</v>
      </c>
      <c r="J221" s="13">
        <f>+J220+I221</f>
        <v>692536.83</v>
      </c>
      <c r="K221" s="19">
        <f>+EOMONTH(B221,0)</f>
        <v>46081</v>
      </c>
      <c r="L221" s="3" t="inlineStr">
        <is>
          <t>Checking – Operating</t>
        </is>
      </c>
      <c r="M221" s="3" t="inlineStr">
        <is>
          <t>Balance Sheet</t>
        </is>
      </c>
    </row>
    <row r="222">
      <c r="B222" s="39" t="n">
        <v>46074</v>
      </c>
      <c r="C222" s="3" t="inlineStr">
        <is>
          <t>Bill Payment (Check)</t>
        </is>
      </c>
      <c r="D222" s="3" t="inlineStr"/>
      <c r="E222" s="3" t="inlineStr">
        <is>
          <t>Tarrowmere Mutual Insurance</t>
        </is>
      </c>
      <c r="F222" s="3" t="inlineStr">
        <is>
          <t>Benefits – January</t>
        </is>
      </c>
      <c r="G222" s="3" t="inlineStr">
        <is>
          <t>Accounts Payable</t>
        </is>
      </c>
      <c r="H222" s="3" t="inlineStr">
        <is>
          <t>Checking – Operating</t>
        </is>
      </c>
      <c r="I222" s="33" t="n">
        <v>-4149.43</v>
      </c>
      <c r="J222" s="13">
        <f>+J221+I222</f>
        <v>688387.4</v>
      </c>
      <c r="K222" s="19">
        <f>+EOMONTH(B222,0)</f>
        <v>46081</v>
      </c>
      <c r="L222" s="3" t="inlineStr">
        <is>
          <t>Checking – Operating</t>
        </is>
      </c>
      <c r="M222" s="3" t="inlineStr">
        <is>
          <t>Balance Sheet</t>
        </is>
      </c>
    </row>
    <row r="223">
      <c r="B223" s="39" t="n">
        <v>46074</v>
      </c>
      <c r="C223" s="3" t="inlineStr">
        <is>
          <t>Credit Card Expense</t>
        </is>
      </c>
      <c r="D223" s="3" t="inlineStr"/>
      <c r="E223" s="3" t="inlineStr"/>
      <c r="F223" s="3" t="inlineStr">
        <is>
          <t>Parking – February</t>
        </is>
      </c>
      <c r="G223" s="3" t="inlineStr">
        <is>
          <t>Parking</t>
        </is>
      </c>
      <c r="H223" s="3" t="inlineStr">
        <is>
          <t>Checking – Operating</t>
        </is>
      </c>
      <c r="I223" s="33" t="n">
        <v>-659.22</v>
      </c>
      <c r="J223" s="13">
        <f>+J222+I223</f>
        <v>687728.18</v>
      </c>
      <c r="K223" s="19">
        <f>+EOMONTH(B223,0)</f>
        <v>46081</v>
      </c>
      <c r="L223" s="3" t="inlineStr">
        <is>
          <t>Checking – Operating</t>
        </is>
      </c>
      <c r="M223" s="3" t="inlineStr">
        <is>
          <t>Balance Sheet</t>
        </is>
      </c>
    </row>
    <row r="224">
      <c r="B224" s="39" t="n">
        <v>46074</v>
      </c>
      <c r="C224" s="3" t="inlineStr">
        <is>
          <t>Deposit</t>
        </is>
      </c>
      <c r="D224" s="3" t="inlineStr"/>
      <c r="E224" s="3" t="inlineStr">
        <is>
          <t>State Program B</t>
        </is>
      </c>
      <c r="F224" s="3" t="inlineStr">
        <is>
          <t>ORIG CO NAME:STATE PROG B ORIG ID:XXXXXX6713 DESC DATE:260221 CO ENTRY DESCR:HCCLAIMPMT SEC:CCD TRACE#:XXXXXXXX3780749 EED:260221 IND ID:</t>
        </is>
      </c>
      <c r="G224" s="3" t="inlineStr">
        <is>
          <t>Service Income</t>
        </is>
      </c>
      <c r="H224" s="3" t="inlineStr">
        <is>
          <t>Checking – Operating</t>
        </is>
      </c>
      <c r="I224" s="33" t="n">
        <v>33312.79</v>
      </c>
      <c r="J224" s="13">
        <f>+J223+I224</f>
        <v>721040.97</v>
      </c>
      <c r="K224" s="19">
        <f>+EOMONTH(B224,0)</f>
        <v>46081</v>
      </c>
      <c r="L224" s="3" t="inlineStr">
        <is>
          <t>Checking – Operating</t>
        </is>
      </c>
      <c r="M224" s="3" t="inlineStr">
        <is>
          <t>Balance Sheet</t>
        </is>
      </c>
    </row>
    <row r="225">
      <c r="B225" s="39" t="n">
        <v>46074</v>
      </c>
      <c r="C225" s="3" t="inlineStr">
        <is>
          <t>Deposit</t>
        </is>
      </c>
      <c r="D225" s="3" t="inlineStr"/>
      <c r="E225" s="3" t="inlineStr">
        <is>
          <t>Silvermoss Senior Living</t>
        </is>
      </c>
      <c r="F225" s="3" t="inlineStr">
        <is>
          <t>ORIG CO NAME:SILVERMOSS SL ORIG ID:XXXXXX9793 DESC DATE:260221 CO ENTRY DESCR:HCCLAIMPMT SEC:CCD TRACE#:XXXXXXXX3172220 EED:260221 IND ID:</t>
        </is>
      </c>
      <c r="G225" s="3" t="inlineStr">
        <is>
          <t>Service Income</t>
        </is>
      </c>
      <c r="H225" s="3" t="inlineStr">
        <is>
          <t>Checking – Operating</t>
        </is>
      </c>
      <c r="I225" s="33" t="n">
        <v>34496.55</v>
      </c>
      <c r="J225" s="13">
        <f>+J224+I225</f>
        <v>755537.52</v>
      </c>
      <c r="K225" s="19">
        <f>+EOMONTH(B225,0)</f>
        <v>46081</v>
      </c>
      <c r="L225" s="3" t="inlineStr">
        <is>
          <t>Checking – Operating</t>
        </is>
      </c>
      <c r="M225" s="3" t="inlineStr">
        <is>
          <t>Balance Sheet</t>
        </is>
      </c>
    </row>
    <row r="226">
      <c r="B226" s="39" t="n">
        <v>46074</v>
      </c>
      <c r="C226" s="3" t="inlineStr">
        <is>
          <t>Deposit</t>
        </is>
      </c>
      <c r="D226" s="3" t="inlineStr"/>
      <c r="E226" s="3" t="inlineStr">
        <is>
          <t>Cobaltmere Health</t>
        </is>
      </c>
      <c r="F226" s="3" t="inlineStr">
        <is>
          <t>ORIG CO NAME:COBALTMERE HEALTH ORIG ID:XXXXXX3754 DESC DATE:260221 CO ENTRY DESCR:HCCLAIMPMT SEC:CCD TRACE#:XXXXXXXX8705062 EED:260221 IND ID:</t>
        </is>
      </c>
      <c r="G226" s="3" t="inlineStr">
        <is>
          <t>Service Income</t>
        </is>
      </c>
      <c r="H226" s="3" t="inlineStr">
        <is>
          <t>Checking – Operating</t>
        </is>
      </c>
      <c r="I226" s="33" t="n">
        <v>25327.82</v>
      </c>
      <c r="J226" s="13">
        <f>+J225+I226</f>
        <v>780865.34</v>
      </c>
      <c r="K226" s="19">
        <f>+EOMONTH(B226,0)</f>
        <v>46081</v>
      </c>
      <c r="L226" s="3" t="inlineStr">
        <is>
          <t>Checking – Operating</t>
        </is>
      </c>
      <c r="M226" s="3" t="inlineStr">
        <is>
          <t>Balance Sheet</t>
        </is>
      </c>
    </row>
    <row r="227">
      <c r="B227" s="39" t="n">
        <v>46074</v>
      </c>
      <c r="C227" s="3" t="inlineStr">
        <is>
          <t>Expense</t>
        </is>
      </c>
      <c r="D227" s="3" t="inlineStr"/>
      <c r="E227" s="3" t="inlineStr">
        <is>
          <t>Consultant A</t>
        </is>
      </c>
      <c r="F227" s="3" t="inlineStr">
        <is>
          <t>Professional Fees – February</t>
        </is>
      </c>
      <c r="G227" s="3" t="inlineStr">
        <is>
          <t>Professional Fees</t>
        </is>
      </c>
      <c r="H227" s="3" t="inlineStr">
        <is>
          <t>Checking – Operating</t>
        </is>
      </c>
      <c r="I227" s="33" t="n">
        <v>-5956.46</v>
      </c>
      <c r="J227" s="13">
        <f>+J226+I227</f>
        <v>774908.88</v>
      </c>
      <c r="K227" s="19">
        <f>+EOMONTH(B227,0)</f>
        <v>46081</v>
      </c>
      <c r="L227" s="3" t="inlineStr">
        <is>
          <t>Checking – Operating</t>
        </is>
      </c>
      <c r="M227" s="3" t="inlineStr">
        <is>
          <t>Balance Sheet</t>
        </is>
      </c>
    </row>
    <row r="228">
      <c r="B228" s="39" t="n">
        <v>46074</v>
      </c>
      <c r="C228" s="3" t="inlineStr">
        <is>
          <t>Expense</t>
        </is>
      </c>
      <c r="D228" s="3" t="inlineStr"/>
      <c r="E228" s="3" t="inlineStr">
        <is>
          <t>Tessarand Payroll Services</t>
        </is>
      </c>
      <c r="F228" s="3" t="inlineStr">
        <is>
          <t>Recruitment – February</t>
        </is>
      </c>
      <c r="G228" s="3" t="inlineStr">
        <is>
          <t>Recruitment</t>
        </is>
      </c>
      <c r="H228" s="3" t="inlineStr">
        <is>
          <t>Checking – Operating</t>
        </is>
      </c>
      <c r="I228" s="33" t="n">
        <v>-1121.85</v>
      </c>
      <c r="J228" s="13">
        <f>+J227+I228</f>
        <v>773787.03</v>
      </c>
      <c r="K228" s="19">
        <f>+EOMONTH(B228,0)</f>
        <v>46081</v>
      </c>
      <c r="L228" s="3" t="inlineStr">
        <is>
          <t>Checking – Operating</t>
        </is>
      </c>
      <c r="M228" s="3" t="inlineStr">
        <is>
          <t>Balance Sheet</t>
        </is>
      </c>
    </row>
    <row r="229">
      <c r="B229" s="39" t="n">
        <v>46074</v>
      </c>
      <c r="C229" s="3" t="inlineStr">
        <is>
          <t>Expense</t>
        </is>
      </c>
      <c r="D229" s="3" t="inlineStr"/>
      <c r="E229" s="3" t="inlineStr"/>
      <c r="F229" s="3" t="inlineStr">
        <is>
          <t>Business Meetings &amp; Development – February</t>
        </is>
      </c>
      <c r="G229" s="3" t="inlineStr">
        <is>
          <t>Business Meetings &amp; Development</t>
        </is>
      </c>
      <c r="H229" s="3" t="inlineStr">
        <is>
          <t>Checking – Operating</t>
        </is>
      </c>
      <c r="I229" s="33" t="n">
        <v>-3255.91</v>
      </c>
      <c r="J229" s="13">
        <f>+J228+I229</f>
        <v>770531.12</v>
      </c>
      <c r="K229" s="19">
        <f>+EOMONTH(B229,0)</f>
        <v>46081</v>
      </c>
      <c r="L229" s="3" t="inlineStr">
        <is>
          <t>Checking – Operating</t>
        </is>
      </c>
      <c r="M229" s="3" t="inlineStr">
        <is>
          <t>Balance Sheet</t>
        </is>
      </c>
    </row>
    <row r="230">
      <c r="B230" s="39" t="n">
        <v>46075</v>
      </c>
      <c r="C230" s="3" t="inlineStr">
        <is>
          <t>Bill Payment (Check)</t>
        </is>
      </c>
      <c r="D230" s="3" t="inlineStr"/>
      <c r="E230" s="3" t="inlineStr">
        <is>
          <t>Vialtrace Lab Supplies Inc</t>
        </is>
      </c>
      <c r="F230" s="3" t="inlineStr">
        <is>
          <t>Lab Expenses – January</t>
        </is>
      </c>
      <c r="G230" s="3" t="inlineStr">
        <is>
          <t>Accounts Payable</t>
        </is>
      </c>
      <c r="H230" s="3" t="inlineStr">
        <is>
          <t>Checking – Operating</t>
        </is>
      </c>
      <c r="I230" s="33" t="n">
        <v>-4463.35</v>
      </c>
      <c r="J230" s="13">
        <f>+J229+I230</f>
        <v>766067.77</v>
      </c>
      <c r="K230" s="19">
        <f>+EOMONTH(B230,0)</f>
        <v>46081</v>
      </c>
      <c r="L230" s="3" t="inlineStr">
        <is>
          <t>Checking – Operating</t>
        </is>
      </c>
      <c r="M230" s="3" t="inlineStr">
        <is>
          <t>Balance Sheet</t>
        </is>
      </c>
    </row>
    <row r="231">
      <c r="B231" s="39" t="n">
        <v>46075</v>
      </c>
      <c r="C231" s="3" t="inlineStr">
        <is>
          <t>Bill Payment (Check)</t>
        </is>
      </c>
      <c r="D231" s="3" t="inlineStr"/>
      <c r="E231" s="3" t="inlineStr">
        <is>
          <t>Vialtrace Lab Supplies Inc</t>
        </is>
      </c>
      <c r="F231" s="3" t="inlineStr">
        <is>
          <t>Lab Expenses – February</t>
        </is>
      </c>
      <c r="G231" s="3" t="inlineStr">
        <is>
          <t>Accounts Payable</t>
        </is>
      </c>
      <c r="H231" s="3" t="inlineStr">
        <is>
          <t>Checking – Operating</t>
        </is>
      </c>
      <c r="I231" s="33" t="n">
        <v>-3763.45</v>
      </c>
      <c r="J231" s="13">
        <f>+J230+I231</f>
        <v>762304.32</v>
      </c>
      <c r="K231" s="19">
        <f>+EOMONTH(B231,0)</f>
        <v>46081</v>
      </c>
      <c r="L231" s="3" t="inlineStr">
        <is>
          <t>Checking – Operating</t>
        </is>
      </c>
      <c r="M231" s="3" t="inlineStr">
        <is>
          <t>Balance Sheet</t>
        </is>
      </c>
    </row>
    <row r="232">
      <c r="B232" s="39" t="n">
        <v>46075</v>
      </c>
      <c r="C232" s="3" t="inlineStr">
        <is>
          <t>Bill Payment (Check)</t>
        </is>
      </c>
      <c r="D232" s="3" t="inlineStr"/>
      <c r="E232" s="3" t="inlineStr">
        <is>
          <t>Reference Lab A</t>
        </is>
      </c>
      <c r="F232" s="3" t="inlineStr">
        <is>
          <t>Send-out testing – January</t>
        </is>
      </c>
      <c r="G232" s="3" t="inlineStr">
        <is>
          <t>Accounts Payable</t>
        </is>
      </c>
      <c r="H232" s="3" t="inlineStr">
        <is>
          <t>Checking – Operating</t>
        </is>
      </c>
      <c r="I232" s="33" t="n">
        <v>-15169.22</v>
      </c>
      <c r="J232" s="13">
        <f>+J231+I232</f>
        <v>747135.1</v>
      </c>
      <c r="K232" s="19">
        <f>+EOMONTH(B232,0)</f>
        <v>46081</v>
      </c>
      <c r="L232" s="3" t="inlineStr">
        <is>
          <t>Checking – Operating</t>
        </is>
      </c>
      <c r="M232" s="3" t="inlineStr">
        <is>
          <t>Balance Sheet</t>
        </is>
      </c>
    </row>
    <row r="233">
      <c r="B233" s="39" t="n">
        <v>46075</v>
      </c>
      <c r="C233" s="3" t="inlineStr">
        <is>
          <t>Bill Payment (Check)</t>
        </is>
      </c>
      <c r="D233" s="3" t="inlineStr"/>
      <c r="E233" s="3" t="inlineStr">
        <is>
          <t>Tarrowmere Mutual Insurance</t>
        </is>
      </c>
      <c r="F233" s="3" t="inlineStr">
        <is>
          <t>Premium installment</t>
        </is>
      </c>
      <c r="G233" s="3" t="inlineStr">
        <is>
          <t>Accounts Payable</t>
        </is>
      </c>
      <c r="H233" s="3" t="inlineStr">
        <is>
          <t>Checking – Operating</t>
        </is>
      </c>
      <c r="I233" s="33" t="n">
        <v>-6456.49</v>
      </c>
      <c r="J233" s="13">
        <f>+J232+I233</f>
        <v>740678.610000001</v>
      </c>
      <c r="K233" s="19">
        <f>+EOMONTH(B233,0)</f>
        <v>46081</v>
      </c>
      <c r="L233" s="3" t="inlineStr">
        <is>
          <t>Checking – Operating</t>
        </is>
      </c>
      <c r="M233" s="3" t="inlineStr">
        <is>
          <t>Balance Sheet</t>
        </is>
      </c>
    </row>
    <row r="234">
      <c r="B234" s="39" t="n">
        <v>46075</v>
      </c>
      <c r="C234" s="3" t="inlineStr">
        <is>
          <t>Bill Payment (Check)</t>
        </is>
      </c>
      <c r="D234" s="3" t="inlineStr"/>
      <c r="E234" s="3" t="inlineStr">
        <is>
          <t>Tarrowmere Mutual Insurance</t>
        </is>
      </c>
      <c r="F234" s="3" t="inlineStr">
        <is>
          <t>Premium installment</t>
        </is>
      </c>
      <c r="G234" s="3" t="inlineStr">
        <is>
          <t>Accounts Payable</t>
        </is>
      </c>
      <c r="H234" s="3" t="inlineStr">
        <is>
          <t>Checking – Operating</t>
        </is>
      </c>
      <c r="I234" s="33" t="n">
        <v>-3776.51</v>
      </c>
      <c r="J234" s="13">
        <f>+J233+I234</f>
        <v>736902.1</v>
      </c>
      <c r="K234" s="19">
        <f>+EOMONTH(B234,0)</f>
        <v>46081</v>
      </c>
      <c r="L234" s="3" t="inlineStr">
        <is>
          <t>Checking – Operating</t>
        </is>
      </c>
      <c r="M234" s="3" t="inlineStr">
        <is>
          <t>Balance Sheet</t>
        </is>
      </c>
    </row>
    <row r="235">
      <c r="B235" s="39" t="n">
        <v>46075</v>
      </c>
      <c r="C235" s="3" t="inlineStr">
        <is>
          <t>Credit Card Expense</t>
        </is>
      </c>
      <c r="D235" s="3" t="inlineStr"/>
      <c r="E235" s="3" t="inlineStr">
        <is>
          <t>Ledgerquill Billing SaaS</t>
        </is>
      </c>
      <c r="F235" s="3" t="inlineStr">
        <is>
          <t>Dues &amp; Subscriptions – February</t>
        </is>
      </c>
      <c r="G235" s="3" t="inlineStr">
        <is>
          <t>Dues &amp; Subscriptions</t>
        </is>
      </c>
      <c r="H235" s="3" t="inlineStr">
        <is>
          <t>Checking – Operating</t>
        </is>
      </c>
      <c r="I235" s="33" t="n">
        <v>-1022.52</v>
      </c>
      <c r="J235" s="13">
        <f>+J234+I235</f>
        <v>735879.58</v>
      </c>
      <c r="K235" s="19">
        <f>+EOMONTH(B235,0)</f>
        <v>46081</v>
      </c>
      <c r="L235" s="3" t="inlineStr">
        <is>
          <t>Checking – Operating</t>
        </is>
      </c>
      <c r="M235" s="3" t="inlineStr">
        <is>
          <t>Balance Sheet</t>
        </is>
      </c>
    </row>
    <row r="236">
      <c r="B236" s="39" t="n">
        <v>46075</v>
      </c>
      <c r="C236" s="3" t="inlineStr">
        <is>
          <t>Deposit</t>
        </is>
      </c>
      <c r="D236" s="3" t="inlineStr"/>
      <c r="E236" s="3" t="inlineStr">
        <is>
          <t>Federal Program A</t>
        </is>
      </c>
      <c r="F236" s="3" t="inlineStr">
        <is>
          <t>ORIG CO NAME:FEDERAL PROG A ORIG ID:XXXXXX6778 DESC DATE:260222 CO ENTRY DESCR:HCCLAIMPMT SEC:CCD TRACE#:XXXXXXXX9658790 EED:260222 IND ID:</t>
        </is>
      </c>
      <c r="G236" s="3" t="inlineStr">
        <is>
          <t>Service Income</t>
        </is>
      </c>
      <c r="H236" s="3" t="inlineStr">
        <is>
          <t>Checking – Operating</t>
        </is>
      </c>
      <c r="I236" s="33" t="n">
        <v>55804.7</v>
      </c>
      <c r="J236" s="13">
        <f>+J235+I236</f>
        <v>791684.28</v>
      </c>
      <c r="K236" s="19">
        <f>+EOMONTH(B236,0)</f>
        <v>46081</v>
      </c>
      <c r="L236" s="3" t="inlineStr">
        <is>
          <t>Checking – Operating</t>
        </is>
      </c>
      <c r="M236" s="3" t="inlineStr">
        <is>
          <t>Balance Sheet</t>
        </is>
      </c>
    </row>
    <row r="237">
      <c r="B237" s="39" t="n">
        <v>46075</v>
      </c>
      <c r="C237" s="3" t="inlineStr">
        <is>
          <t>Deposit</t>
        </is>
      </c>
      <c r="D237" s="3" t="inlineStr"/>
      <c r="E237" s="3" t="inlineStr">
        <is>
          <t>Cobaltmere Health</t>
        </is>
      </c>
      <c r="F237" s="3" t="inlineStr">
        <is>
          <t>ORIG CO NAME:COBALTMERE HEALTH ORIG ID:XXXXXX5404 DESC DATE:260222 CO ENTRY DESCR:HCCLAIMPMT SEC:CCD TRACE#:XXXXXXXX7138816 EED:260222 IND ID:</t>
        </is>
      </c>
      <c r="G237" s="3" t="inlineStr">
        <is>
          <t>Service Income</t>
        </is>
      </c>
      <c r="H237" s="3" t="inlineStr">
        <is>
          <t>Checking – Operating</t>
        </is>
      </c>
      <c r="I237" s="33" t="n">
        <v>18938.85</v>
      </c>
      <c r="J237" s="13">
        <f>+J236+I237</f>
        <v>810623.13</v>
      </c>
      <c r="K237" s="19">
        <f>+EOMONTH(B237,0)</f>
        <v>46081</v>
      </c>
      <c r="L237" s="3" t="inlineStr">
        <is>
          <t>Checking – Operating</t>
        </is>
      </c>
      <c r="M237" s="3" t="inlineStr">
        <is>
          <t>Balance Sheet</t>
        </is>
      </c>
    </row>
    <row r="238">
      <c r="B238" s="39" t="n">
        <v>46075</v>
      </c>
      <c r="C238" s="3" t="inlineStr">
        <is>
          <t>Expense</t>
        </is>
      </c>
      <c r="D238" s="3" t="inlineStr"/>
      <c r="E238" s="3" t="inlineStr">
        <is>
          <t>Consultant A</t>
        </is>
      </c>
      <c r="F238" s="3" t="inlineStr">
        <is>
          <t>Professional Fees – February</t>
        </is>
      </c>
      <c r="G238" s="3" t="inlineStr">
        <is>
          <t>Professional Fees</t>
        </is>
      </c>
      <c r="H238" s="3" t="inlineStr">
        <is>
          <t>Checking – Operating</t>
        </is>
      </c>
      <c r="I238" s="33" t="n">
        <v>-5293.54</v>
      </c>
      <c r="J238" s="13">
        <f>+J237+I238</f>
        <v>805329.59</v>
      </c>
      <c r="K238" s="19">
        <f>+EOMONTH(B238,0)</f>
        <v>46081</v>
      </c>
      <c r="L238" s="3" t="inlineStr">
        <is>
          <t>Checking – Operating</t>
        </is>
      </c>
      <c r="M238" s="3" t="inlineStr">
        <is>
          <t>Balance Sheet</t>
        </is>
      </c>
    </row>
    <row r="239">
      <c r="B239" s="39" t="n">
        <v>46075</v>
      </c>
      <c r="C239" s="3" t="inlineStr">
        <is>
          <t>Expense</t>
        </is>
      </c>
      <c r="D239" s="3" t="inlineStr"/>
      <c r="E239" s="3" t="inlineStr"/>
      <c r="F239" s="3" t="inlineStr">
        <is>
          <t>Property tax installment</t>
        </is>
      </c>
      <c r="G239" s="3" t="inlineStr">
        <is>
          <t>Property tax</t>
        </is>
      </c>
      <c r="H239" s="3" t="inlineStr">
        <is>
          <t>Checking – Operating</t>
        </is>
      </c>
      <c r="I239" s="33" t="n">
        <v>-1076.25</v>
      </c>
      <c r="J239" s="13">
        <f>+J238+I239</f>
        <v>804253.34</v>
      </c>
      <c r="K239" s="19">
        <f>+EOMONTH(B239,0)</f>
        <v>46081</v>
      </c>
      <c r="L239" s="3" t="inlineStr">
        <is>
          <t>Checking – Operating</t>
        </is>
      </c>
      <c r="M239" s="3" t="inlineStr">
        <is>
          <t>Balance Sheet</t>
        </is>
      </c>
    </row>
    <row r="240">
      <c r="B240" s="39" t="n">
        <v>46076</v>
      </c>
      <c r="C240" s="3" t="inlineStr">
        <is>
          <t>Bill Payment (Check)</t>
        </is>
      </c>
      <c r="D240" s="3" t="inlineStr"/>
      <c r="E240" s="3" t="inlineStr">
        <is>
          <t>Vialtrace Lab Supplies Inc</t>
        </is>
      </c>
      <c r="F240" s="3" t="inlineStr">
        <is>
          <t>Lab supplies PO# F2214</t>
        </is>
      </c>
      <c r="G240" s="3" t="inlineStr">
        <is>
          <t>Accounts Payable</t>
        </is>
      </c>
      <c r="H240" s="3" t="inlineStr">
        <is>
          <t>Checking – Operating</t>
        </is>
      </c>
      <c r="I240" s="33" t="n">
        <v>-19241.73</v>
      </c>
      <c r="J240" s="13">
        <f>+J239+I240</f>
        <v>785011.61</v>
      </c>
      <c r="K240" s="19">
        <f>+EOMONTH(B240,0)</f>
        <v>46081</v>
      </c>
      <c r="L240" s="3" t="inlineStr">
        <is>
          <t>Checking – Operating</t>
        </is>
      </c>
      <c r="M240" s="3" t="inlineStr">
        <is>
          <t>Balance Sheet</t>
        </is>
      </c>
    </row>
    <row r="241">
      <c r="B241" s="39" t="n">
        <v>46076</v>
      </c>
      <c r="C241" s="3" t="inlineStr">
        <is>
          <t>Bill Payment (Check)</t>
        </is>
      </c>
      <c r="D241" s="3" t="inlineStr"/>
      <c r="E241" s="3" t="inlineStr">
        <is>
          <t>Northmoor Waste Services</t>
        </is>
      </c>
      <c r="F241" s="3" t="inlineStr">
        <is>
          <t>Hazard Waste – February</t>
        </is>
      </c>
      <c r="G241" s="3" t="inlineStr">
        <is>
          <t>Accounts Payable</t>
        </is>
      </c>
      <c r="H241" s="3" t="inlineStr">
        <is>
          <t>Checking – Operating</t>
        </is>
      </c>
      <c r="I241" s="33" t="n">
        <v>-1164.84</v>
      </c>
      <c r="J241" s="13">
        <f>+J240+I241</f>
        <v>783846.77</v>
      </c>
      <c r="K241" s="19">
        <f>+EOMONTH(B241,0)</f>
        <v>46081</v>
      </c>
      <c r="L241" s="3" t="inlineStr">
        <is>
          <t>Checking – Operating</t>
        </is>
      </c>
      <c r="M241" s="3" t="inlineStr">
        <is>
          <t>Balance Sheet</t>
        </is>
      </c>
    </row>
    <row r="242">
      <c r="B242" s="39" t="n">
        <v>46076</v>
      </c>
      <c r="C242" s="3" t="inlineStr">
        <is>
          <t>Credit Card Expense</t>
        </is>
      </c>
      <c r="D242" s="3" t="inlineStr"/>
      <c r="E242" s="3" t="inlineStr"/>
      <c r="F242" s="3" t="inlineStr">
        <is>
          <t>Property tax installment</t>
        </is>
      </c>
      <c r="G242" s="3" t="inlineStr">
        <is>
          <t>Property tax</t>
        </is>
      </c>
      <c r="H242" s="3" t="inlineStr">
        <is>
          <t>Checking – Operating</t>
        </is>
      </c>
      <c r="I242" s="33" t="n">
        <v>-1073.75</v>
      </c>
      <c r="J242" s="13">
        <f>+J241+I242</f>
        <v>782773.02</v>
      </c>
      <c r="K242" s="19">
        <f>+EOMONTH(B242,0)</f>
        <v>46081</v>
      </c>
      <c r="L242" s="3" t="inlineStr">
        <is>
          <t>Checking – Operating</t>
        </is>
      </c>
      <c r="M242" s="3" t="inlineStr">
        <is>
          <t>Balance Sheet</t>
        </is>
      </c>
    </row>
    <row r="243">
      <c r="B243" s="39" t="n">
        <v>46076</v>
      </c>
      <c r="C243" s="3" t="inlineStr">
        <is>
          <t>Expense</t>
        </is>
      </c>
      <c r="D243" s="3" t="inlineStr"/>
      <c r="E243" s="3" t="inlineStr">
        <is>
          <t>Consultant A</t>
        </is>
      </c>
      <c r="F243" s="3" t="inlineStr">
        <is>
          <t>Accounting Service – February</t>
        </is>
      </c>
      <c r="G243" s="3" t="inlineStr">
        <is>
          <t>Accounting Service</t>
        </is>
      </c>
      <c r="H243" s="3" t="inlineStr">
        <is>
          <t>Checking – Operating</t>
        </is>
      </c>
      <c r="I243" s="33" t="n">
        <v>-3234.77</v>
      </c>
      <c r="J243" s="13">
        <f>+J242+I243</f>
        <v>779538.25</v>
      </c>
      <c r="K243" s="19">
        <f>+EOMONTH(B243,0)</f>
        <v>46081</v>
      </c>
      <c r="L243" s="3" t="inlineStr">
        <is>
          <t>Checking – Operating</t>
        </is>
      </c>
      <c r="M243" s="3" t="inlineStr">
        <is>
          <t>Balance Sheet</t>
        </is>
      </c>
    </row>
    <row r="244">
      <c r="B244" s="39" t="n">
        <v>46076</v>
      </c>
      <c r="C244" s="3" t="inlineStr">
        <is>
          <t>Expense</t>
        </is>
      </c>
      <c r="D244" s="3" t="inlineStr"/>
      <c r="E244" s="3" t="inlineStr">
        <is>
          <t>Tessarand Payroll Services</t>
        </is>
      </c>
      <c r="F244" s="3" t="inlineStr">
        <is>
          <t>Recruitment – February</t>
        </is>
      </c>
      <c r="G244" s="3" t="inlineStr">
        <is>
          <t>Recruitment</t>
        </is>
      </c>
      <c r="H244" s="3" t="inlineStr">
        <is>
          <t>Checking – Operating</t>
        </is>
      </c>
      <c r="I244" s="33" t="n">
        <v>-1278.15</v>
      </c>
      <c r="J244" s="13">
        <f>+J243+I244</f>
        <v>778260.1</v>
      </c>
      <c r="K244" s="19">
        <f>+EOMONTH(B244,0)</f>
        <v>46081</v>
      </c>
      <c r="L244" s="3" t="inlineStr">
        <is>
          <t>Checking – Operating</t>
        </is>
      </c>
      <c r="M244" s="3" t="inlineStr">
        <is>
          <t>Balance Sheet</t>
        </is>
      </c>
    </row>
    <row r="245">
      <c r="B245" s="39" t="n">
        <v>46076</v>
      </c>
      <c r="C245" s="3" t="inlineStr">
        <is>
          <t>Payroll Check</t>
        </is>
      </c>
      <c r="D245" s="3" t="inlineStr"/>
      <c r="E245" s="3" t="inlineStr">
        <is>
          <t>Tessarand Payroll Services</t>
        </is>
      </c>
      <c r="F245" s="3" t="inlineStr">
        <is>
          <t>Payroll – biweekly</t>
        </is>
      </c>
      <c r="G245" s="3" t="inlineStr">
        <is>
          <t>Salaries and Wages</t>
        </is>
      </c>
      <c r="H245" s="3" t="inlineStr">
        <is>
          <t>Checking – Operating</t>
        </is>
      </c>
      <c r="I245" s="33" t="n">
        <v>-195207.01</v>
      </c>
      <c r="J245" s="13">
        <f>+J244+I245</f>
        <v>583053.09</v>
      </c>
      <c r="K245" s="19">
        <f>+EOMONTH(B245,0)</f>
        <v>46081</v>
      </c>
      <c r="L245" s="3" t="inlineStr">
        <is>
          <t>Checking – Operating</t>
        </is>
      </c>
      <c r="M245" s="3" t="inlineStr">
        <is>
          <t>Balance Sheet</t>
        </is>
      </c>
    </row>
    <row r="246">
      <c r="B246" s="39" t="n">
        <v>46077</v>
      </c>
      <c r="C246" s="3" t="inlineStr">
        <is>
          <t>Bill Payment (Check)</t>
        </is>
      </c>
      <c r="D246" s="3" t="inlineStr"/>
      <c r="E246" s="3" t="inlineStr">
        <is>
          <t>Tarrowmere Mutual Insurance</t>
        </is>
      </c>
      <c r="F246" s="3" t="inlineStr">
        <is>
          <t>Premium installment</t>
        </is>
      </c>
      <c r="G246" s="3" t="inlineStr">
        <is>
          <t>Accounts Payable</t>
        </is>
      </c>
      <c r="H246" s="3" t="inlineStr">
        <is>
          <t>Checking – Operating</t>
        </is>
      </c>
      <c r="I246" s="33" t="n">
        <v>-5504.53</v>
      </c>
      <c r="J246" s="13">
        <f>+J245+I246</f>
        <v>577548.56</v>
      </c>
      <c r="K246" s="19">
        <f>+EOMONTH(B246,0)</f>
        <v>46081</v>
      </c>
      <c r="L246" s="3" t="inlineStr">
        <is>
          <t>Checking – Operating</t>
        </is>
      </c>
      <c r="M246" s="3" t="inlineStr">
        <is>
          <t>Balance Sheet</t>
        </is>
      </c>
    </row>
    <row r="247">
      <c r="B247" s="39" t="n">
        <v>46077</v>
      </c>
      <c r="C247" s="3" t="inlineStr">
        <is>
          <t>Bill Payment (Check)</t>
        </is>
      </c>
      <c r="D247" s="3" t="inlineStr"/>
      <c r="E247" s="3" t="inlineStr">
        <is>
          <t>Tarrowmere Mutual Insurance</t>
        </is>
      </c>
      <c r="F247" s="3" t="inlineStr">
        <is>
          <t>Benefits – February</t>
        </is>
      </c>
      <c r="G247" s="3" t="inlineStr">
        <is>
          <t>Accounts Payable</t>
        </is>
      </c>
      <c r="H247" s="3" t="inlineStr">
        <is>
          <t>Checking – Operating</t>
        </is>
      </c>
      <c r="I247" s="33" t="n">
        <v>-5339.27</v>
      </c>
      <c r="J247" s="13">
        <f>+J246+I247</f>
        <v>572209.29</v>
      </c>
      <c r="K247" s="19">
        <f>+EOMONTH(B247,0)</f>
        <v>46081</v>
      </c>
      <c r="L247" s="3" t="inlineStr">
        <is>
          <t>Checking – Operating</t>
        </is>
      </c>
      <c r="M247" s="3" t="inlineStr">
        <is>
          <t>Balance Sheet</t>
        </is>
      </c>
    </row>
    <row r="248">
      <c r="B248" s="39" t="n">
        <v>46077</v>
      </c>
      <c r="C248" s="3" t="inlineStr">
        <is>
          <t>Credit Card Expense</t>
        </is>
      </c>
      <c r="D248" s="3" t="inlineStr"/>
      <c r="E248" s="3" t="inlineStr">
        <is>
          <t>Vialtrace Lab Supplies Inc</t>
        </is>
      </c>
      <c r="F248" s="3" t="inlineStr">
        <is>
          <t>Office Supplies – February</t>
        </is>
      </c>
      <c r="G248" s="3" t="inlineStr">
        <is>
          <t>Office Supplies</t>
        </is>
      </c>
      <c r="H248" s="3" t="inlineStr">
        <is>
          <t>Checking – Operating</t>
        </is>
      </c>
      <c r="I248" s="33" t="n">
        <v>-1692.99</v>
      </c>
      <c r="J248" s="13">
        <f>+J247+I248</f>
        <v>570516.3</v>
      </c>
      <c r="K248" s="19">
        <f>+EOMONTH(B248,0)</f>
        <v>46081</v>
      </c>
      <c r="L248" s="3" t="inlineStr">
        <is>
          <t>Checking – Operating</t>
        </is>
      </c>
      <c r="M248" s="3" t="inlineStr">
        <is>
          <t>Balance Sheet</t>
        </is>
      </c>
    </row>
    <row r="249">
      <c r="B249" s="39" t="n">
        <v>46077</v>
      </c>
      <c r="C249" s="3" t="inlineStr">
        <is>
          <t>Credit Card Expense</t>
        </is>
      </c>
      <c r="D249" s="3" t="inlineStr"/>
      <c r="E249" s="3" t="inlineStr"/>
      <c r="F249" s="3" t="inlineStr">
        <is>
          <t>Taxes and Licenses – February</t>
        </is>
      </c>
      <c r="G249" s="3" t="inlineStr">
        <is>
          <t>Taxes and Licenses</t>
        </is>
      </c>
      <c r="H249" s="3" t="inlineStr">
        <is>
          <t>Checking – Operating</t>
        </is>
      </c>
      <c r="I249" s="33" t="n">
        <v>-860</v>
      </c>
      <c r="J249" s="13">
        <f>+J248+I249</f>
        <v>569656.3</v>
      </c>
      <c r="K249" s="19">
        <f>+EOMONTH(B249,0)</f>
        <v>46081</v>
      </c>
      <c r="L249" s="3" t="inlineStr">
        <is>
          <t>Checking – Operating</t>
        </is>
      </c>
      <c r="M249" s="3" t="inlineStr">
        <is>
          <t>Balance Sheet</t>
        </is>
      </c>
    </row>
    <row r="250">
      <c r="B250" s="39" t="n">
        <v>46077</v>
      </c>
      <c r="C250" s="3" t="inlineStr">
        <is>
          <t>Deposit</t>
        </is>
      </c>
      <c r="D250" s="3" t="inlineStr"/>
      <c r="E250" s="3" t="inlineStr">
        <is>
          <t>Marrowby Mutual</t>
        </is>
      </c>
      <c r="F250" s="3" t="inlineStr">
        <is>
          <t>ORIG CO NAME:MARROWBY MUTUAL ORIG ID:XXXXXX3763 DESC DATE:260224 CO ENTRY DESCR:HCCLAIMPMT SEC:CCD TRACE#:XXXXXXXX5396232 EED:260224 IND ID:</t>
        </is>
      </c>
      <c r="G250" s="3" t="inlineStr">
        <is>
          <t>Service Income</t>
        </is>
      </c>
      <c r="H250" s="3" t="inlineStr">
        <is>
          <t>Checking – Operating</t>
        </is>
      </c>
      <c r="I250" s="33" t="n">
        <v>72243.02</v>
      </c>
      <c r="J250" s="13">
        <f>+J249+I250</f>
        <v>641899.32</v>
      </c>
      <c r="K250" s="19">
        <f>+EOMONTH(B250,0)</f>
        <v>46081</v>
      </c>
      <c r="L250" s="3" t="inlineStr">
        <is>
          <t>Checking – Operating</t>
        </is>
      </c>
      <c r="M250" s="3" t="inlineStr">
        <is>
          <t>Balance Sheet</t>
        </is>
      </c>
    </row>
    <row r="251">
      <c r="B251" s="39" t="n">
        <v>46077</v>
      </c>
      <c r="C251" s="3" t="inlineStr">
        <is>
          <t>Expense</t>
        </is>
      </c>
      <c r="D251" s="3" t="inlineStr"/>
      <c r="E251" s="3" t="inlineStr">
        <is>
          <t>Consultant A</t>
        </is>
      </c>
      <c r="F251" s="3" t="inlineStr">
        <is>
          <t>Legal &amp; Professional Fees – February</t>
        </is>
      </c>
      <c r="G251" s="3" t="inlineStr">
        <is>
          <t>Legal &amp; Professional Fees</t>
        </is>
      </c>
      <c r="H251" s="3" t="inlineStr">
        <is>
          <t>Checking – Operating</t>
        </is>
      </c>
      <c r="I251" s="33" t="n">
        <v>-1279.99</v>
      </c>
      <c r="J251" s="13">
        <f>+J250+I251</f>
        <v>640619.33</v>
      </c>
      <c r="K251" s="19">
        <f>+EOMONTH(B251,0)</f>
        <v>46081</v>
      </c>
      <c r="L251" s="3" t="inlineStr">
        <is>
          <t>Checking – Operating</t>
        </is>
      </c>
      <c r="M251" s="3" t="inlineStr">
        <is>
          <t>Balance Sheet</t>
        </is>
      </c>
    </row>
    <row r="252">
      <c r="B252" s="39" t="n">
        <v>46078</v>
      </c>
      <c r="C252" s="3" t="inlineStr">
        <is>
          <t>Bill Payment (Check)</t>
        </is>
      </c>
      <c r="D252" s="3" t="inlineStr"/>
      <c r="E252" s="3" t="inlineStr">
        <is>
          <t>Vialtrace Lab Supplies Inc</t>
        </is>
      </c>
      <c r="F252" s="3" t="inlineStr">
        <is>
          <t>Lab supplies PO# F2433</t>
        </is>
      </c>
      <c r="G252" s="3" t="inlineStr">
        <is>
          <t>Accounts Payable</t>
        </is>
      </c>
      <c r="H252" s="3" t="inlineStr">
        <is>
          <t>Checking – Operating</t>
        </is>
      </c>
      <c r="I252" s="33" t="n">
        <v>-23482.06</v>
      </c>
      <c r="J252" s="13">
        <f>+J251+I252</f>
        <v>617137.27</v>
      </c>
      <c r="K252" s="19">
        <f>+EOMONTH(B252,0)</f>
        <v>46081</v>
      </c>
      <c r="L252" s="3" t="inlineStr">
        <is>
          <t>Checking – Operating</t>
        </is>
      </c>
      <c r="M252" s="3" t="inlineStr">
        <is>
          <t>Balance Sheet</t>
        </is>
      </c>
    </row>
    <row r="253">
      <c r="B253" s="39" t="n">
        <v>46078</v>
      </c>
      <c r="C253" s="3" t="inlineStr">
        <is>
          <t>Credit Card Expense</t>
        </is>
      </c>
      <c r="D253" s="3" t="inlineStr"/>
      <c r="E253" s="3" t="inlineStr"/>
      <c r="F253" s="3" t="inlineStr">
        <is>
          <t>Bank service charges – February</t>
        </is>
      </c>
      <c r="G253" s="3" t="inlineStr">
        <is>
          <t>Bank Fees</t>
        </is>
      </c>
      <c r="H253" s="3" t="inlineStr">
        <is>
          <t>Checking – Operating</t>
        </is>
      </c>
      <c r="I253" s="33" t="n">
        <v>-1312.21</v>
      </c>
      <c r="J253" s="13">
        <f>+J252+I253</f>
        <v>615825.06</v>
      </c>
      <c r="K253" s="19">
        <f>+EOMONTH(B253,0)</f>
        <v>46081</v>
      </c>
      <c r="L253" s="3" t="inlineStr">
        <is>
          <t>Checking – Operating</t>
        </is>
      </c>
      <c r="M253" s="3" t="inlineStr">
        <is>
          <t>Balance Sheet</t>
        </is>
      </c>
    </row>
    <row r="254">
      <c r="B254" s="39" t="n">
        <v>46078</v>
      </c>
      <c r="C254" s="3" t="inlineStr">
        <is>
          <t>Expense</t>
        </is>
      </c>
      <c r="D254" s="3" t="inlineStr"/>
      <c r="E254" s="3" t="inlineStr"/>
      <c r="F254" s="3" t="inlineStr">
        <is>
          <t>Car expense – February</t>
        </is>
      </c>
      <c r="G254" s="3" t="inlineStr">
        <is>
          <t>Car expense</t>
        </is>
      </c>
      <c r="H254" s="3" t="inlineStr">
        <is>
          <t>Checking – Operating</t>
        </is>
      </c>
      <c r="I254" s="33" t="n">
        <v>-828.6</v>
      </c>
      <c r="J254" s="13">
        <f>+J253+I254</f>
        <v>614996.46</v>
      </c>
      <c r="K254" s="19">
        <f>+EOMONTH(B254,0)</f>
        <v>46081</v>
      </c>
      <c r="L254" s="3" t="inlineStr">
        <is>
          <t>Checking – Operating</t>
        </is>
      </c>
      <c r="M254" s="3" t="inlineStr">
        <is>
          <t>Balance Sheet</t>
        </is>
      </c>
    </row>
    <row r="255">
      <c r="B255" s="39" t="n">
        <v>46078</v>
      </c>
      <c r="C255" s="3" t="inlineStr">
        <is>
          <t>Journal Entry</t>
        </is>
      </c>
      <c r="D255" s="3" t="inlineStr"/>
      <c r="E255" s="3" t="inlineStr"/>
      <c r="F255" s="3" t="inlineStr">
        <is>
          <t>Car expense – February</t>
        </is>
      </c>
      <c r="G255" s="3" t="inlineStr">
        <is>
          <t>Car expense</t>
        </is>
      </c>
      <c r="H255" s="3" t="inlineStr">
        <is>
          <t>Checking – Operating</t>
        </is>
      </c>
      <c r="I255" s="33" t="n">
        <v>-371.4</v>
      </c>
      <c r="J255" s="13">
        <f>+J254+I255</f>
        <v>614625.06</v>
      </c>
      <c r="K255" s="19">
        <f>+EOMONTH(B255,0)</f>
        <v>46081</v>
      </c>
      <c r="L255" s="3" t="inlineStr">
        <is>
          <t>Checking – Operating</t>
        </is>
      </c>
      <c r="M255" s="3" t="inlineStr">
        <is>
          <t>Balance Sheet</t>
        </is>
      </c>
    </row>
    <row r="256">
      <c r="B256" s="39" t="n">
        <v>46079</v>
      </c>
      <c r="C256" s="3" t="inlineStr">
        <is>
          <t>Bill Payment (Check)</t>
        </is>
      </c>
      <c r="D256" s="3" t="inlineStr"/>
      <c r="E256" s="3" t="inlineStr">
        <is>
          <t>Reference Lab A</t>
        </is>
      </c>
      <c r="F256" s="3" t="inlineStr">
        <is>
          <t>Send-out testing – February</t>
        </is>
      </c>
      <c r="G256" s="3" t="inlineStr">
        <is>
          <t>Accounts Payable</t>
        </is>
      </c>
      <c r="H256" s="3" t="inlineStr">
        <is>
          <t>Checking – Operating</t>
        </is>
      </c>
      <c r="I256" s="33" t="n">
        <v>-13761.51</v>
      </c>
      <c r="J256" s="13">
        <f>+J255+I256</f>
        <v>600863.55</v>
      </c>
      <c r="K256" s="19">
        <f>+EOMONTH(B256,0)</f>
        <v>46081</v>
      </c>
      <c r="L256" s="3" t="inlineStr">
        <is>
          <t>Checking – Operating</t>
        </is>
      </c>
      <c r="M256" s="3" t="inlineStr">
        <is>
          <t>Balance Sheet</t>
        </is>
      </c>
    </row>
    <row r="257">
      <c r="B257" s="39" t="n">
        <v>46079</v>
      </c>
      <c r="C257" s="3" t="inlineStr">
        <is>
          <t>Bill Payment (Check)</t>
        </is>
      </c>
      <c r="D257" s="3" t="inlineStr"/>
      <c r="E257" s="3" t="inlineStr">
        <is>
          <t>Swiftmere Courier</t>
        </is>
      </c>
      <c r="F257" s="3" t="inlineStr">
        <is>
          <t>Delivery and Transportation – January</t>
        </is>
      </c>
      <c r="G257" s="3" t="inlineStr">
        <is>
          <t>Accounts Payable</t>
        </is>
      </c>
      <c r="H257" s="3" t="inlineStr">
        <is>
          <t>Checking – Operating</t>
        </is>
      </c>
      <c r="I257" s="33" t="n">
        <v>-3264.94</v>
      </c>
      <c r="J257" s="13">
        <f>+J256+I257</f>
        <v>597598.61</v>
      </c>
      <c r="K257" s="19">
        <f>+EOMONTH(B257,0)</f>
        <v>46081</v>
      </c>
      <c r="L257" s="3" t="inlineStr">
        <is>
          <t>Checking – Operating</t>
        </is>
      </c>
      <c r="M257" s="3" t="inlineStr">
        <is>
          <t>Balance Sheet</t>
        </is>
      </c>
    </row>
    <row r="258">
      <c r="B258" s="39" t="n">
        <v>46079</v>
      </c>
      <c r="C258" s="3" t="inlineStr">
        <is>
          <t>Deposit</t>
        </is>
      </c>
      <c r="D258" s="3" t="inlineStr"/>
      <c r="E258" s="3" t="inlineStr">
        <is>
          <t>Cobaltmere Health</t>
        </is>
      </c>
      <c r="F258" s="3" t="inlineStr">
        <is>
          <t>ORIG CO NAME:COBALTMERE HEALTH ORIG ID:XXXXXX5504 DESC DATE:260226 CO ENTRY DESCR:HCCLAIMPMT SEC:CCD TRACE#:XXXXXXXX5374890 EED:260226 IND ID:</t>
        </is>
      </c>
      <c r="G258" s="3" t="inlineStr">
        <is>
          <t>Service Income</t>
        </is>
      </c>
      <c r="H258" s="3" t="inlineStr">
        <is>
          <t>Checking – Operating</t>
        </is>
      </c>
      <c r="I258" s="33" t="n">
        <v>17647.61</v>
      </c>
      <c r="J258" s="13">
        <f>+J257+I258</f>
        <v>615246.22</v>
      </c>
      <c r="K258" s="19">
        <f>+EOMONTH(B258,0)</f>
        <v>46081</v>
      </c>
      <c r="L258" s="3" t="inlineStr">
        <is>
          <t>Checking – Operating</t>
        </is>
      </c>
      <c r="M258" s="3" t="inlineStr">
        <is>
          <t>Balance Sheet</t>
        </is>
      </c>
    </row>
    <row r="259">
      <c r="B259" s="39" t="n">
        <v>46080</v>
      </c>
      <c r="C259" s="3" t="inlineStr">
        <is>
          <t>Bill Payment (Check)</t>
        </is>
      </c>
      <c r="D259" s="3" t="inlineStr"/>
      <c r="E259" s="3" t="inlineStr">
        <is>
          <t>Lumenlease Equipment</t>
        </is>
      </c>
      <c r="F259" s="3" t="inlineStr">
        <is>
          <t>Lab Equipment – February</t>
        </is>
      </c>
      <c r="G259" s="3" t="inlineStr">
        <is>
          <t>Accounts Payable</t>
        </is>
      </c>
      <c r="H259" s="3" t="inlineStr">
        <is>
          <t>Checking – Operating</t>
        </is>
      </c>
      <c r="I259" s="33" t="n">
        <v>-3196.8</v>
      </c>
      <c r="J259" s="13">
        <f>+J258+I259</f>
        <v>612049.42</v>
      </c>
      <c r="K259" s="19">
        <f>+EOMONTH(B259,0)</f>
        <v>46081</v>
      </c>
      <c r="L259" s="3" t="inlineStr">
        <is>
          <t>Checking – Operating</t>
        </is>
      </c>
      <c r="M259" s="3" t="inlineStr">
        <is>
          <t>Balance Sheet</t>
        </is>
      </c>
    </row>
    <row r="260">
      <c r="B260" s="39" t="n">
        <v>46080</v>
      </c>
      <c r="C260" s="3" t="inlineStr">
        <is>
          <t>Deposit</t>
        </is>
      </c>
      <c r="D260" s="3" t="inlineStr"/>
      <c r="E260" s="3" t="inlineStr">
        <is>
          <t>Lanternway Benefits</t>
        </is>
      </c>
      <c r="F260" s="3" t="inlineStr">
        <is>
          <t>ORIG CO NAME:LANTERNWAY BEN ORIG ID:XXXXXX9640 DESC DATE:260227 CO ENTRY DESCR:HCCLAIMPMT SEC:CCD TRACE#:XXXXXXXX2950279 EED:260227 IND ID:</t>
        </is>
      </c>
      <c r="G260" s="3" t="inlineStr">
        <is>
          <t>Service Income</t>
        </is>
      </c>
      <c r="H260" s="3" t="inlineStr">
        <is>
          <t>Checking – Operating</t>
        </is>
      </c>
      <c r="I260" s="33" t="n">
        <v>36831.01</v>
      </c>
      <c r="J260" s="13">
        <f>+J259+I260</f>
        <v>648880.43</v>
      </c>
      <c r="K260" s="19">
        <f>+EOMONTH(B260,0)</f>
        <v>46081</v>
      </c>
      <c r="L260" s="3" t="inlineStr">
        <is>
          <t>Checking – Operating</t>
        </is>
      </c>
      <c r="M260" s="3" t="inlineStr">
        <is>
          <t>Balance Sheet</t>
        </is>
      </c>
    </row>
    <row r="261">
      <c r="B261" s="39" t="n">
        <v>46080</v>
      </c>
      <c r="C261" s="3" t="inlineStr">
        <is>
          <t>Expense</t>
        </is>
      </c>
      <c r="D261" s="3" t="inlineStr"/>
      <c r="E261" s="3" t="inlineStr">
        <is>
          <t>Consultant A</t>
        </is>
      </c>
      <c r="F261" s="3" t="inlineStr">
        <is>
          <t>Accounting Service – February</t>
        </is>
      </c>
      <c r="G261" s="3" t="inlineStr">
        <is>
          <t>Accounting Service</t>
        </is>
      </c>
      <c r="H261" s="3" t="inlineStr">
        <is>
          <t>Checking – Operating</t>
        </is>
      </c>
      <c r="I261" s="33" t="n">
        <v>-3015.23</v>
      </c>
      <c r="J261" s="13">
        <f>+J260+I261</f>
        <v>645865.2</v>
      </c>
      <c r="K261" s="19">
        <f>+EOMONTH(B261,0)</f>
        <v>46081</v>
      </c>
      <c r="L261" s="3" t="inlineStr">
        <is>
          <t>Checking – Operating</t>
        </is>
      </c>
      <c r="M261" s="3" t="inlineStr">
        <is>
          <t>Balance Sheet</t>
        </is>
      </c>
    </row>
    <row r="262">
      <c r="B262" s="39" t="n">
        <v>46081</v>
      </c>
      <c r="C262" s="3" t="inlineStr">
        <is>
          <t>Expense</t>
        </is>
      </c>
      <c r="D262" s="3" t="inlineStr"/>
      <c r="E262" s="3" t="inlineStr"/>
      <c r="F262" s="3" t="inlineStr">
        <is>
          <t>Reimbursement – February</t>
        </is>
      </c>
      <c r="G262" s="3" t="inlineStr">
        <is>
          <t>Reimbursement</t>
        </is>
      </c>
      <c r="H262" s="3" t="inlineStr">
        <is>
          <t>Checking – Operating</t>
        </is>
      </c>
      <c r="I262" s="33" t="n">
        <v>-1494.61</v>
      </c>
      <c r="J262" s="13">
        <f>+J261+I262</f>
        <v>644370.59</v>
      </c>
      <c r="K262" s="19">
        <f>+EOMONTH(B262,0)</f>
        <v>46081</v>
      </c>
      <c r="L262" s="3" t="inlineStr">
        <is>
          <t>Checking – Operating</t>
        </is>
      </c>
      <c r="M262" s="3" t="inlineStr">
        <is>
          <t>Balance Sheet</t>
        </is>
      </c>
    </row>
    <row r="263">
      <c r="B263" s="39" t="n">
        <v>46081</v>
      </c>
      <c r="C263" s="3" t="inlineStr">
        <is>
          <t>Expense</t>
        </is>
      </c>
      <c r="D263" s="3" t="inlineStr"/>
      <c r="E263" s="3" t="inlineStr"/>
      <c r="F263" s="3" t="inlineStr">
        <is>
          <t>Automobile Expense – February</t>
        </is>
      </c>
      <c r="G263" s="3" t="inlineStr">
        <is>
          <t>Automobile Expense</t>
        </is>
      </c>
      <c r="H263" s="3" t="inlineStr">
        <is>
          <t>Checking – Operating</t>
        </is>
      </c>
      <c r="I263" s="33" t="n">
        <v>-777.91</v>
      </c>
      <c r="J263" s="13">
        <f>+J262+I263</f>
        <v>643592.68</v>
      </c>
      <c r="K263" s="19">
        <f>+EOMONTH(B263,0)</f>
        <v>46081</v>
      </c>
      <c r="L263" s="3" t="inlineStr">
        <is>
          <t>Checking – Operating</t>
        </is>
      </c>
      <c r="M263" s="3" t="inlineStr">
        <is>
          <t>Balance Sheet</t>
        </is>
      </c>
    </row>
    <row r="264">
      <c r="B264" s="39" t="n">
        <v>46081</v>
      </c>
      <c r="C264" s="3" t="inlineStr">
        <is>
          <t>Journal Entry</t>
        </is>
      </c>
      <c r="D264" s="3" t="inlineStr"/>
      <c r="E264" s="3" t="inlineStr">
        <is>
          <t>Tessarand Payroll Services</t>
        </is>
      </c>
      <c r="F264" s="3" t="inlineStr">
        <is>
          <t>Sales and Marketing Expenses – February</t>
        </is>
      </c>
      <c r="G264" s="3" t="inlineStr">
        <is>
          <t>Sales and Marketing Expenses</t>
        </is>
      </c>
      <c r="H264" s="3" t="inlineStr">
        <is>
          <t>Checking – Operating</t>
        </is>
      </c>
      <c r="I264" s="33" t="n">
        <v>-10738.1</v>
      </c>
      <c r="J264" s="13">
        <f>+J263+I264</f>
        <v>632854.58</v>
      </c>
      <c r="K264" s="19">
        <f>+EOMONTH(B264,0)</f>
        <v>46081</v>
      </c>
      <c r="L264" s="3" t="inlineStr">
        <is>
          <t>Checking – Operating</t>
        </is>
      </c>
      <c r="M264" s="3" t="inlineStr">
        <is>
          <t>Balance Sheet</t>
        </is>
      </c>
    </row>
    <row r="265">
      <c r="B265" s="39" t="n">
        <v>46081</v>
      </c>
      <c r="C265" s="3" t="inlineStr">
        <is>
          <t>Journal Entry</t>
        </is>
      </c>
      <c r="D265" s="3" t="inlineStr"/>
      <c r="E265" s="3" t="inlineStr"/>
      <c r="F265" s="3" t="inlineStr">
        <is>
          <t>Travel Expense – February</t>
        </is>
      </c>
      <c r="G265" s="3" t="inlineStr">
        <is>
          <t>Travel Expense</t>
        </is>
      </c>
      <c r="H265" s="3" t="inlineStr">
        <is>
          <t>Checking – Operating</t>
        </is>
      </c>
      <c r="I265" s="33" t="n">
        <v>-1235.08</v>
      </c>
      <c r="J265" s="13">
        <f>+J264+I265</f>
        <v>631619.5</v>
      </c>
      <c r="K265" s="19">
        <f>+EOMONTH(B265,0)</f>
        <v>46081</v>
      </c>
      <c r="L265" s="3" t="inlineStr">
        <is>
          <t>Checking – Operating</t>
        </is>
      </c>
      <c r="M265" s="3" t="inlineStr">
        <is>
          <t>Balance Sheet</t>
        </is>
      </c>
    </row>
    <row r="266">
      <c r="B266" s="39" t="n">
        <v>46082</v>
      </c>
      <c r="C266" s="3" t="inlineStr">
        <is>
          <t>Bill Payment (Check)</t>
        </is>
      </c>
      <c r="D266" s="3" t="inlineStr"/>
      <c r="E266" s="3" t="inlineStr">
        <is>
          <t>Vialtrace Lab Supplies Inc</t>
        </is>
      </c>
      <c r="F266" s="3" t="inlineStr">
        <is>
          <t>Lab Expenses – February</t>
        </is>
      </c>
      <c r="G266" s="3" t="inlineStr">
        <is>
          <t>Accounts Payable</t>
        </is>
      </c>
      <c r="H266" s="3" t="inlineStr">
        <is>
          <t>Checking – Operating</t>
        </is>
      </c>
      <c r="I266" s="33" t="n">
        <v>-3550.13</v>
      </c>
      <c r="J266" s="13">
        <f>+J265+I266</f>
        <v>628069.37</v>
      </c>
      <c r="K266" s="19">
        <f>+EOMONTH(B266,0)</f>
        <v>46112</v>
      </c>
      <c r="L266" s="3" t="inlineStr">
        <is>
          <t>Checking – Operating</t>
        </is>
      </c>
      <c r="M266" s="3" t="inlineStr">
        <is>
          <t>Balance Sheet</t>
        </is>
      </c>
    </row>
    <row r="267">
      <c r="B267" s="39" t="n">
        <v>46082</v>
      </c>
      <c r="C267" s="3" t="inlineStr">
        <is>
          <t>Deposit</t>
        </is>
      </c>
      <c r="D267" s="3" t="inlineStr"/>
      <c r="E267" s="3" t="inlineStr">
        <is>
          <t>State Program B</t>
        </is>
      </c>
      <c r="F267" s="3" t="inlineStr">
        <is>
          <t>ORIG CO NAME:STATE PROG B ORIG ID:XXXXXX1234 DESC DATE:260301 CO ENTRY DESCR:HCCLAIMPMT SEC:CCD TRACE#:XXXXXXXX1976287 EED:260301 IND ID:</t>
        </is>
      </c>
      <c r="G267" s="3" t="inlineStr">
        <is>
          <t>Service Income</t>
        </is>
      </c>
      <c r="H267" s="3" t="inlineStr">
        <is>
          <t>Checking – Operating</t>
        </is>
      </c>
      <c r="I267" s="33" t="n">
        <v>51923.81</v>
      </c>
      <c r="J267" s="13">
        <f>+J266+I267</f>
        <v>679993.18</v>
      </c>
      <c r="K267" s="19">
        <f>+EOMONTH(B267,0)</f>
        <v>46112</v>
      </c>
      <c r="L267" s="3" t="inlineStr">
        <is>
          <t>Checking – Operating</t>
        </is>
      </c>
      <c r="M267" s="3" t="inlineStr">
        <is>
          <t>Balance Sheet</t>
        </is>
      </c>
    </row>
    <row r="268">
      <c r="B268" s="39" t="n">
        <v>46082</v>
      </c>
      <c r="C268" s="3" t="inlineStr">
        <is>
          <t>Expense</t>
        </is>
      </c>
      <c r="D268" s="3" t="inlineStr"/>
      <c r="E268" s="3" t="inlineStr"/>
      <c r="F268" s="3" t="inlineStr">
        <is>
          <t>Parking – March</t>
        </is>
      </c>
      <c r="G268" s="3" t="inlineStr">
        <is>
          <t>Parking</t>
        </is>
      </c>
      <c r="H268" s="3" t="inlineStr">
        <is>
          <t>Checking – Operating</t>
        </is>
      </c>
      <c r="I268" s="33" t="n">
        <v>-489.87</v>
      </c>
      <c r="J268" s="13">
        <f>+J267+I268</f>
        <v>679503.31</v>
      </c>
      <c r="K268" s="19">
        <f>+EOMONTH(B268,0)</f>
        <v>46112</v>
      </c>
      <c r="L268" s="3" t="inlineStr">
        <is>
          <t>Checking – Operating</t>
        </is>
      </c>
      <c r="M268" s="3" t="inlineStr">
        <is>
          <t>Balance Sheet</t>
        </is>
      </c>
    </row>
    <row r="269">
      <c r="B269" s="39" t="n">
        <v>46082</v>
      </c>
      <c r="C269" s="3" t="inlineStr">
        <is>
          <t>Expense</t>
        </is>
      </c>
      <c r="D269" s="3" t="inlineStr"/>
      <c r="E269" s="3" t="inlineStr"/>
      <c r="F269" s="3" t="inlineStr">
        <is>
          <t>Travel Expense – March</t>
        </is>
      </c>
      <c r="G269" s="3" t="inlineStr">
        <is>
          <t>Travel Expense</t>
        </is>
      </c>
      <c r="H269" s="3" t="inlineStr">
        <is>
          <t>Checking – Operating</t>
        </is>
      </c>
      <c r="I269" s="33" t="n">
        <v>-806.42</v>
      </c>
      <c r="J269" s="13">
        <f>+J268+I269</f>
        <v>678696.89</v>
      </c>
      <c r="K269" s="19">
        <f>+EOMONTH(B269,0)</f>
        <v>46112</v>
      </c>
      <c r="L269" s="3" t="inlineStr">
        <is>
          <t>Checking – Operating</t>
        </is>
      </c>
      <c r="M269" s="3" t="inlineStr">
        <is>
          <t>Balance Sheet</t>
        </is>
      </c>
    </row>
    <row r="270">
      <c r="B270" s="39" t="n">
        <v>46082</v>
      </c>
      <c r="C270" s="3" t="inlineStr">
        <is>
          <t>Journal Entry</t>
        </is>
      </c>
      <c r="D270" s="3" t="inlineStr"/>
      <c r="E270" s="3" t="inlineStr"/>
      <c r="F270" s="3" t="inlineStr">
        <is>
          <t>Bank service charges – March</t>
        </is>
      </c>
      <c r="G270" s="3" t="inlineStr">
        <is>
          <t>Bank Fees</t>
        </is>
      </c>
      <c r="H270" s="3" t="inlineStr">
        <is>
          <t>Checking – Operating</t>
        </is>
      </c>
      <c r="I270" s="33" t="n">
        <v>-1757.77</v>
      </c>
      <c r="J270" s="13">
        <f>+J269+I270</f>
        <v>676939.12</v>
      </c>
      <c r="K270" s="19">
        <f>+EOMONTH(B270,0)</f>
        <v>46112</v>
      </c>
      <c r="L270" s="3" t="inlineStr">
        <is>
          <t>Checking – Operating</t>
        </is>
      </c>
      <c r="M270" s="3" t="inlineStr">
        <is>
          <t>Balance Sheet</t>
        </is>
      </c>
    </row>
    <row r="271">
      <c r="B271" s="39" t="n">
        <v>46082</v>
      </c>
      <c r="C271" s="3" t="inlineStr">
        <is>
          <t>Payroll Check</t>
        </is>
      </c>
      <c r="D271" s="3" t="inlineStr"/>
      <c r="E271" s="3" t="inlineStr">
        <is>
          <t>Tessarand Payroll Services</t>
        </is>
      </c>
      <c r="F271" s="3" t="inlineStr">
        <is>
          <t>Payroll – biweekly</t>
        </is>
      </c>
      <c r="G271" s="3" t="inlineStr">
        <is>
          <t>Salaries and Wages</t>
        </is>
      </c>
      <c r="H271" s="3" t="inlineStr">
        <is>
          <t>Checking – Operating</t>
        </is>
      </c>
      <c r="I271" s="33" t="n">
        <v>-166542.5</v>
      </c>
      <c r="J271" s="13">
        <f>+J270+I271</f>
        <v>510396.62</v>
      </c>
      <c r="K271" s="19">
        <f>+EOMONTH(B271,0)</f>
        <v>46112</v>
      </c>
      <c r="L271" s="3" t="inlineStr">
        <is>
          <t>Checking – Operating</t>
        </is>
      </c>
      <c r="M271" s="3" t="inlineStr">
        <is>
          <t>Balance Sheet</t>
        </is>
      </c>
    </row>
    <row r="272">
      <c r="B272" s="39" t="n">
        <v>46083</v>
      </c>
      <c r="C272" s="3" t="inlineStr">
        <is>
          <t>Bill Payment (Check)</t>
        </is>
      </c>
      <c r="D272" s="3" t="inlineStr"/>
      <c r="E272" s="3" t="inlineStr">
        <is>
          <t>Northmoor Waste Services</t>
        </is>
      </c>
      <c r="F272" s="3" t="inlineStr">
        <is>
          <t>Waste Removal – February</t>
        </is>
      </c>
      <c r="G272" s="3" t="inlineStr">
        <is>
          <t>Accounts Payable</t>
        </is>
      </c>
      <c r="H272" s="3" t="inlineStr">
        <is>
          <t>Checking – Operating</t>
        </is>
      </c>
      <c r="I272" s="33" t="n">
        <v>-645.0700000000001</v>
      </c>
      <c r="J272" s="13">
        <f>+J271+I272</f>
        <v>509751.55</v>
      </c>
      <c r="K272" s="19">
        <f>+EOMONTH(B272,0)</f>
        <v>46112</v>
      </c>
      <c r="L272" s="3" t="inlineStr">
        <is>
          <t>Checking – Operating</t>
        </is>
      </c>
      <c r="M272" s="3" t="inlineStr">
        <is>
          <t>Balance Sheet</t>
        </is>
      </c>
    </row>
    <row r="273">
      <c r="B273" s="39" t="n">
        <v>46083</v>
      </c>
      <c r="C273" s="3" t="inlineStr">
        <is>
          <t>Credit Card Expense</t>
        </is>
      </c>
      <c r="D273" s="3" t="inlineStr"/>
      <c r="E273" s="3" t="inlineStr"/>
      <c r="F273" s="3" t="inlineStr">
        <is>
          <t>Taxes and Licenses – March</t>
        </is>
      </c>
      <c r="G273" s="3" t="inlineStr">
        <is>
          <t>Taxes and Licenses</t>
        </is>
      </c>
      <c r="H273" s="3" t="inlineStr">
        <is>
          <t>Checking – Operating</t>
        </is>
      </c>
      <c r="I273" s="33" t="n">
        <v>-499.95</v>
      </c>
      <c r="J273" s="13">
        <f>+J272+I273</f>
        <v>509251.6</v>
      </c>
      <c r="K273" s="19">
        <f>+EOMONTH(B273,0)</f>
        <v>46112</v>
      </c>
      <c r="L273" s="3" t="inlineStr">
        <is>
          <t>Checking – Operating</t>
        </is>
      </c>
      <c r="M273" s="3" t="inlineStr">
        <is>
          <t>Balance Sheet</t>
        </is>
      </c>
    </row>
    <row r="274">
      <c r="B274" s="39" t="n">
        <v>46083</v>
      </c>
      <c r="C274" s="3" t="inlineStr">
        <is>
          <t>Expense</t>
        </is>
      </c>
      <c r="D274" s="3" t="inlineStr"/>
      <c r="E274" s="3" t="inlineStr">
        <is>
          <t>Tessarand Payroll Services</t>
        </is>
      </c>
      <c r="F274" s="3" t="inlineStr">
        <is>
          <t>Contractors – March</t>
        </is>
      </c>
      <c r="G274" s="3" t="inlineStr">
        <is>
          <t>Contractors</t>
        </is>
      </c>
      <c r="H274" s="3" t="inlineStr">
        <is>
          <t>Checking – Operating</t>
        </is>
      </c>
      <c r="I274" s="33" t="n">
        <v>-3535.9</v>
      </c>
      <c r="J274" s="13">
        <f>+J273+I274</f>
        <v>505715.7</v>
      </c>
      <c r="K274" s="19">
        <f>+EOMONTH(B274,0)</f>
        <v>46112</v>
      </c>
      <c r="L274" s="3" t="inlineStr">
        <is>
          <t>Checking – Operating</t>
        </is>
      </c>
      <c r="M274" s="3" t="inlineStr">
        <is>
          <t>Balance Sheet</t>
        </is>
      </c>
    </row>
    <row r="275">
      <c r="B275" s="39" t="n">
        <v>46083</v>
      </c>
      <c r="C275" s="3" t="inlineStr">
        <is>
          <t>Expense</t>
        </is>
      </c>
      <c r="D275" s="3" t="inlineStr"/>
      <c r="E275" s="3" t="inlineStr">
        <is>
          <t>Lumenlease Equipment</t>
        </is>
      </c>
      <c r="F275" s="3" t="inlineStr">
        <is>
          <t>Repairs and Maintenance – March</t>
        </is>
      </c>
      <c r="G275" s="3" t="inlineStr">
        <is>
          <t>Repairs and Maintenance</t>
        </is>
      </c>
      <c r="H275" s="3" t="inlineStr">
        <is>
          <t>Checking – Operating</t>
        </is>
      </c>
      <c r="I275" s="33" t="n">
        <v>-4995.81</v>
      </c>
      <c r="J275" s="13">
        <f>+J274+I275</f>
        <v>500719.89</v>
      </c>
      <c r="K275" s="19">
        <f>+EOMONTH(B275,0)</f>
        <v>46112</v>
      </c>
      <c r="L275" s="3" t="inlineStr">
        <is>
          <t>Checking – Operating</t>
        </is>
      </c>
      <c r="M275" s="3" t="inlineStr">
        <is>
          <t>Balance Sheet</t>
        </is>
      </c>
    </row>
    <row r="276">
      <c r="B276" s="39" t="n">
        <v>46083</v>
      </c>
      <c r="C276" s="3" t="inlineStr">
        <is>
          <t>Expense</t>
        </is>
      </c>
      <c r="D276" s="3" t="inlineStr"/>
      <c r="E276" s="3" t="inlineStr">
        <is>
          <t>Tessarand Payroll Services</t>
        </is>
      </c>
      <c r="F276" s="3" t="inlineStr">
        <is>
          <t>Sales and Marketing Expenses – March</t>
        </is>
      </c>
      <c r="G276" s="3" t="inlineStr">
        <is>
          <t>Sales and Marketing Expenses</t>
        </is>
      </c>
      <c r="H276" s="3" t="inlineStr">
        <is>
          <t>Checking – Operating</t>
        </is>
      </c>
      <c r="I276" s="33" t="n">
        <v>-21372.17</v>
      </c>
      <c r="J276" s="13">
        <f>+J275+I276</f>
        <v>479347.72</v>
      </c>
      <c r="K276" s="19">
        <f>+EOMONTH(B276,0)</f>
        <v>46112</v>
      </c>
      <c r="L276" s="3" t="inlineStr">
        <is>
          <t>Checking – Operating</t>
        </is>
      </c>
      <c r="M276" s="3" t="inlineStr">
        <is>
          <t>Balance Sheet</t>
        </is>
      </c>
    </row>
    <row r="277">
      <c r="B277" s="39" t="n">
        <v>46083</v>
      </c>
      <c r="C277" s="3" t="inlineStr">
        <is>
          <t>Expense</t>
        </is>
      </c>
      <c r="D277" s="3" t="inlineStr"/>
      <c r="E277" s="3" t="inlineStr">
        <is>
          <t>Ledgerquill Billing SaaS</t>
        </is>
      </c>
      <c r="F277" s="3" t="inlineStr">
        <is>
          <t>Software – March</t>
        </is>
      </c>
      <c r="G277" s="3" t="inlineStr">
        <is>
          <t>Software</t>
        </is>
      </c>
      <c r="H277" s="3" t="inlineStr">
        <is>
          <t>Checking – Operating</t>
        </is>
      </c>
      <c r="I277" s="33" t="n">
        <v>-1982.55</v>
      </c>
      <c r="J277" s="13">
        <f>+J276+I277</f>
        <v>477365.17</v>
      </c>
      <c r="K277" s="19">
        <f>+EOMONTH(B277,0)</f>
        <v>46112</v>
      </c>
      <c r="L277" s="3" t="inlineStr">
        <is>
          <t>Checking – Operating</t>
        </is>
      </c>
      <c r="M277" s="3" t="inlineStr">
        <is>
          <t>Balance Sheet</t>
        </is>
      </c>
    </row>
    <row r="278">
      <c r="B278" s="39" t="n">
        <v>46084</v>
      </c>
      <c r="C278" s="3" t="inlineStr">
        <is>
          <t>Bill Payment (Check)</t>
        </is>
      </c>
      <c r="D278" s="3" t="inlineStr"/>
      <c r="E278" s="3" t="inlineStr">
        <is>
          <t>Tarrowmere Mutual Insurance</t>
        </is>
      </c>
      <c r="F278" s="3" t="inlineStr">
        <is>
          <t>Benefits – February</t>
        </is>
      </c>
      <c r="G278" s="3" t="inlineStr">
        <is>
          <t>Accounts Payable</t>
        </is>
      </c>
      <c r="H278" s="3" t="inlineStr">
        <is>
          <t>Checking – Operating</t>
        </is>
      </c>
      <c r="I278" s="33" t="n">
        <v>-4992.61</v>
      </c>
      <c r="J278" s="13">
        <f>+J277+I278</f>
        <v>472372.56</v>
      </c>
      <c r="K278" s="19">
        <f>+EOMONTH(B278,0)</f>
        <v>46112</v>
      </c>
      <c r="L278" s="3" t="inlineStr">
        <is>
          <t>Checking – Operating</t>
        </is>
      </c>
      <c r="M278" s="3" t="inlineStr">
        <is>
          <t>Balance Sheet</t>
        </is>
      </c>
    </row>
    <row r="279">
      <c r="B279" s="39" t="n">
        <v>46084</v>
      </c>
      <c r="C279" s="3" t="inlineStr">
        <is>
          <t>Credit Card Expense</t>
        </is>
      </c>
      <c r="D279" s="3" t="inlineStr"/>
      <c r="E279" s="3" t="inlineStr"/>
      <c r="F279" s="3" t="inlineStr">
        <is>
          <t>Reimbursement – March</t>
        </is>
      </c>
      <c r="G279" s="3" t="inlineStr">
        <is>
          <t>Reimbursement</t>
        </is>
      </c>
      <c r="H279" s="3" t="inlineStr">
        <is>
          <t>Checking – Operating</t>
        </is>
      </c>
      <c r="I279" s="33" t="n">
        <v>-1633.28</v>
      </c>
      <c r="J279" s="13">
        <f>+J278+I279</f>
        <v>470739.28</v>
      </c>
      <c r="K279" s="19">
        <f>+EOMONTH(B279,0)</f>
        <v>46112</v>
      </c>
      <c r="L279" s="3" t="inlineStr">
        <is>
          <t>Checking – Operating</t>
        </is>
      </c>
      <c r="M279" s="3" t="inlineStr">
        <is>
          <t>Balance Sheet</t>
        </is>
      </c>
    </row>
    <row r="280">
      <c r="B280" s="39" t="n">
        <v>46084</v>
      </c>
      <c r="C280" s="3" t="inlineStr">
        <is>
          <t>Credit Card Expense</t>
        </is>
      </c>
      <c r="D280" s="3" t="inlineStr"/>
      <c r="E280" s="3" t="inlineStr"/>
      <c r="F280" s="3" t="inlineStr">
        <is>
          <t>Patient refund</t>
        </is>
      </c>
      <c r="G280" s="3" t="inlineStr">
        <is>
          <t>Refunds</t>
        </is>
      </c>
      <c r="H280" s="3" t="inlineStr">
        <is>
          <t>Checking – Operating</t>
        </is>
      </c>
      <c r="I280" s="33" t="n">
        <v>-2984.2</v>
      </c>
      <c r="J280" s="13">
        <f>+J279+I280</f>
        <v>467755.08</v>
      </c>
      <c r="K280" s="19">
        <f>+EOMONTH(B280,0)</f>
        <v>46112</v>
      </c>
      <c r="L280" s="3" t="inlineStr">
        <is>
          <t>Checking – Operating</t>
        </is>
      </c>
      <c r="M280" s="3" t="inlineStr">
        <is>
          <t>Balance Sheet</t>
        </is>
      </c>
    </row>
    <row r="281">
      <c r="B281" s="39" t="n">
        <v>46084</v>
      </c>
      <c r="C281" s="3" t="inlineStr">
        <is>
          <t>Credit Card Expense</t>
        </is>
      </c>
      <c r="D281" s="3" t="inlineStr"/>
      <c r="E281" s="3" t="inlineStr"/>
      <c r="F281" s="3" t="inlineStr">
        <is>
          <t>Business Licenses and Permits – March</t>
        </is>
      </c>
      <c r="G281" s="3" t="inlineStr">
        <is>
          <t>Business Licenses and Permits</t>
        </is>
      </c>
      <c r="H281" s="3" t="inlineStr">
        <is>
          <t>Checking – Operating</t>
        </is>
      </c>
      <c r="I281" s="33" t="n">
        <v>-614.29</v>
      </c>
      <c r="J281" s="13">
        <f>+J280+I281</f>
        <v>467140.79</v>
      </c>
      <c r="K281" s="19">
        <f>+EOMONTH(B281,0)</f>
        <v>46112</v>
      </c>
      <c r="L281" s="3" t="inlineStr">
        <is>
          <t>Checking – Operating</t>
        </is>
      </c>
      <c r="M281" s="3" t="inlineStr">
        <is>
          <t>Balance Sheet</t>
        </is>
      </c>
    </row>
    <row r="282">
      <c r="B282" s="39" t="n">
        <v>46084</v>
      </c>
      <c r="C282" s="3" t="inlineStr">
        <is>
          <t>Expense</t>
        </is>
      </c>
      <c r="D282" s="3" t="inlineStr"/>
      <c r="E282" s="3" t="inlineStr">
        <is>
          <t>Consultant A</t>
        </is>
      </c>
      <c r="F282" s="3" t="inlineStr">
        <is>
          <t>Accounting Service – March</t>
        </is>
      </c>
      <c r="G282" s="3" t="inlineStr">
        <is>
          <t>Accounting Service</t>
        </is>
      </c>
      <c r="H282" s="3" t="inlineStr">
        <is>
          <t>Checking – Operating</t>
        </is>
      </c>
      <c r="I282" s="33" t="n">
        <v>-3542.01</v>
      </c>
      <c r="J282" s="13">
        <f>+J281+I282</f>
        <v>463598.78</v>
      </c>
      <c r="K282" s="19">
        <f>+EOMONTH(B282,0)</f>
        <v>46112</v>
      </c>
      <c r="L282" s="3" t="inlineStr">
        <is>
          <t>Checking – Operating</t>
        </is>
      </c>
      <c r="M282" s="3" t="inlineStr">
        <is>
          <t>Balance Sheet</t>
        </is>
      </c>
    </row>
    <row r="283">
      <c r="B283" s="39" t="n">
        <v>46084</v>
      </c>
      <c r="C283" s="3" t="inlineStr">
        <is>
          <t>Journal Entry</t>
        </is>
      </c>
      <c r="D283" s="3" t="inlineStr"/>
      <c r="E283" s="3" t="inlineStr">
        <is>
          <t>Swiftmere Courier</t>
        </is>
      </c>
      <c r="F283" s="3" t="inlineStr">
        <is>
          <t>Postage and Delivery – March</t>
        </is>
      </c>
      <c r="G283" s="3" t="inlineStr">
        <is>
          <t>Postage and Delivery</t>
        </is>
      </c>
      <c r="H283" s="3" t="inlineStr">
        <is>
          <t>Checking – Operating</t>
        </is>
      </c>
      <c r="I283" s="33" t="n">
        <v>-840</v>
      </c>
      <c r="J283" s="13">
        <f>+J282+I283</f>
        <v>462758.78</v>
      </c>
      <c r="K283" s="19">
        <f>+EOMONTH(B283,0)</f>
        <v>46112</v>
      </c>
      <c r="L283" s="3" t="inlineStr">
        <is>
          <t>Checking – Operating</t>
        </is>
      </c>
      <c r="M283" s="3" t="inlineStr">
        <is>
          <t>Balance Sheet</t>
        </is>
      </c>
    </row>
    <row r="284">
      <c r="B284" s="39" t="n">
        <v>46085</v>
      </c>
      <c r="C284" s="3" t="inlineStr">
        <is>
          <t>Bill Payment (Check)</t>
        </is>
      </c>
      <c r="D284" s="3" t="inlineStr"/>
      <c r="E284" s="3" t="inlineStr">
        <is>
          <t>Swiftmere Courier</t>
        </is>
      </c>
      <c r="F284" s="3" t="inlineStr">
        <is>
          <t>Delivery and Transportation – February</t>
        </is>
      </c>
      <c r="G284" s="3" t="inlineStr">
        <is>
          <t>Accounts Payable</t>
        </is>
      </c>
      <c r="H284" s="3" t="inlineStr">
        <is>
          <t>Checking – Operating</t>
        </is>
      </c>
      <c r="I284" s="33" t="n">
        <v>-3793.78</v>
      </c>
      <c r="J284" s="13">
        <f>+J283+I284</f>
        <v>458965</v>
      </c>
      <c r="K284" s="19">
        <f>+EOMONTH(B284,0)</f>
        <v>46112</v>
      </c>
      <c r="L284" s="3" t="inlineStr">
        <is>
          <t>Checking – Operating</t>
        </is>
      </c>
      <c r="M284" s="3" t="inlineStr">
        <is>
          <t>Balance Sheet</t>
        </is>
      </c>
    </row>
    <row r="285">
      <c r="B285" s="39" t="n">
        <v>46085</v>
      </c>
      <c r="C285" s="3" t="inlineStr">
        <is>
          <t>Bill Payment (Check)</t>
        </is>
      </c>
      <c r="D285" s="3" t="inlineStr"/>
      <c r="E285" s="3" t="inlineStr">
        <is>
          <t>Lumenlease Equipment</t>
        </is>
      </c>
      <c r="F285" s="3" t="inlineStr">
        <is>
          <t>Equipment Lease – February</t>
        </is>
      </c>
      <c r="G285" s="3" t="inlineStr">
        <is>
          <t>Accounts Payable</t>
        </is>
      </c>
      <c r="H285" s="3" t="inlineStr">
        <is>
          <t>Checking – Operating</t>
        </is>
      </c>
      <c r="I285" s="33" t="n">
        <v>-3247.59</v>
      </c>
      <c r="J285" s="13">
        <f>+J284+I285</f>
        <v>455717.41</v>
      </c>
      <c r="K285" s="19">
        <f>+EOMONTH(B285,0)</f>
        <v>46112</v>
      </c>
      <c r="L285" s="3" t="inlineStr">
        <is>
          <t>Checking – Operating</t>
        </is>
      </c>
      <c r="M285" s="3" t="inlineStr">
        <is>
          <t>Balance Sheet</t>
        </is>
      </c>
    </row>
    <row r="286">
      <c r="B286" s="39" t="n">
        <v>46085</v>
      </c>
      <c r="C286" s="3" t="inlineStr">
        <is>
          <t>Deposit</t>
        </is>
      </c>
      <c r="D286" s="3" t="inlineStr"/>
      <c r="E286" s="3" t="inlineStr">
        <is>
          <t>Vantrelle Health Plan</t>
        </is>
      </c>
      <c r="F286" s="3" t="inlineStr">
        <is>
          <t>ORIG CO NAME:VANTRELLE HP ORIG ID:XXXXXX4299 DESC DATE:260304 CO ENTRY DESCR:HCCLAIMPMT SEC:CCD TRACE#:XXXXXXXX8551586 EED:260304 IND ID:</t>
        </is>
      </c>
      <c r="G286" s="3" t="inlineStr">
        <is>
          <t>Service Income</t>
        </is>
      </c>
      <c r="H286" s="3" t="inlineStr">
        <is>
          <t>Checking – Operating</t>
        </is>
      </c>
      <c r="I286" s="33" t="n">
        <v>142128.56</v>
      </c>
      <c r="J286" s="13">
        <f>+J285+I286</f>
        <v>597845.97</v>
      </c>
      <c r="K286" s="19">
        <f>+EOMONTH(B286,0)</f>
        <v>46112</v>
      </c>
      <c r="L286" s="3" t="inlineStr">
        <is>
          <t>Checking – Operating</t>
        </is>
      </c>
      <c r="M286" s="3" t="inlineStr">
        <is>
          <t>Balance Sheet</t>
        </is>
      </c>
    </row>
    <row r="287">
      <c r="B287" s="39" t="n">
        <v>46085</v>
      </c>
      <c r="C287" s="3" t="inlineStr">
        <is>
          <t>Journal Entry</t>
        </is>
      </c>
      <c r="D287" s="3" t="inlineStr"/>
      <c r="E287" s="3" t="inlineStr"/>
      <c r="F287" s="3" t="inlineStr">
        <is>
          <t>Reimbursement – March</t>
        </is>
      </c>
      <c r="G287" s="3" t="inlineStr">
        <is>
          <t>Reimbursement</t>
        </is>
      </c>
      <c r="H287" s="3" t="inlineStr">
        <is>
          <t>Checking – Operating</t>
        </is>
      </c>
      <c r="I287" s="33" t="n">
        <v>-1126.72</v>
      </c>
      <c r="J287" s="13">
        <f>+J286+I287</f>
        <v>596719.25</v>
      </c>
      <c r="K287" s="19">
        <f>+EOMONTH(B287,0)</f>
        <v>46112</v>
      </c>
      <c r="L287" s="3" t="inlineStr">
        <is>
          <t>Checking – Operating</t>
        </is>
      </c>
      <c r="M287" s="3" t="inlineStr">
        <is>
          <t>Balance Sheet</t>
        </is>
      </c>
    </row>
    <row r="288">
      <c r="B288" s="39" t="n">
        <v>46086</v>
      </c>
      <c r="C288" s="3" t="inlineStr">
        <is>
          <t>Bill Payment (Check)</t>
        </is>
      </c>
      <c r="D288" s="3" t="inlineStr"/>
      <c r="E288" s="3" t="inlineStr">
        <is>
          <t>Halloway Ridge Realty (rent)</t>
        </is>
      </c>
      <c r="F288" s="3" t="inlineStr">
        <is>
          <t>Rent – February</t>
        </is>
      </c>
      <c r="G288" s="3" t="inlineStr">
        <is>
          <t>Accounts Payable</t>
        </is>
      </c>
      <c r="H288" s="3" t="inlineStr">
        <is>
          <t>Checking – Operating</t>
        </is>
      </c>
      <c r="I288" s="33" t="n">
        <v>-21808.3</v>
      </c>
      <c r="J288" s="13">
        <f>+J287+I288</f>
        <v>574910.95</v>
      </c>
      <c r="K288" s="19">
        <f>+EOMONTH(B288,0)</f>
        <v>46112</v>
      </c>
      <c r="L288" s="3" t="inlineStr">
        <is>
          <t>Checking – Operating</t>
        </is>
      </c>
      <c r="M288" s="3" t="inlineStr">
        <is>
          <t>Balance Sheet</t>
        </is>
      </c>
    </row>
    <row r="289">
      <c r="B289" s="39" t="n">
        <v>46086</v>
      </c>
      <c r="C289" s="3" t="inlineStr">
        <is>
          <t>Expense</t>
        </is>
      </c>
      <c r="D289" s="3" t="inlineStr"/>
      <c r="E289" s="3" t="inlineStr">
        <is>
          <t>Consultant A</t>
        </is>
      </c>
      <c r="F289" s="3" t="inlineStr">
        <is>
          <t>Consulting – March</t>
        </is>
      </c>
      <c r="G289" s="3" t="inlineStr">
        <is>
          <t>Consulting</t>
        </is>
      </c>
      <c r="H289" s="3" t="inlineStr">
        <is>
          <t>Checking – Operating</t>
        </is>
      </c>
      <c r="I289" s="33" t="n">
        <v>-3716.65</v>
      </c>
      <c r="J289" s="13">
        <f>+J288+I289</f>
        <v>571194.3</v>
      </c>
      <c r="K289" s="19">
        <f>+EOMONTH(B289,0)</f>
        <v>46112</v>
      </c>
      <c r="L289" s="3" t="inlineStr">
        <is>
          <t>Checking – Operating</t>
        </is>
      </c>
      <c r="M289" s="3" t="inlineStr">
        <is>
          <t>Balance Sheet</t>
        </is>
      </c>
    </row>
    <row r="290">
      <c r="B290" s="39" t="n">
        <v>46086</v>
      </c>
      <c r="C290" s="3" t="inlineStr">
        <is>
          <t>Expense</t>
        </is>
      </c>
      <c r="D290" s="3" t="inlineStr"/>
      <c r="E290" s="3" t="inlineStr">
        <is>
          <t>Lumenlease Equipment</t>
        </is>
      </c>
      <c r="F290" s="3" t="inlineStr">
        <is>
          <t>Repairs and Maintenance – March</t>
        </is>
      </c>
      <c r="G290" s="3" t="inlineStr">
        <is>
          <t>Repairs and Maintenance</t>
        </is>
      </c>
      <c r="H290" s="3" t="inlineStr">
        <is>
          <t>Checking – Operating</t>
        </is>
      </c>
      <c r="I290" s="33" t="n">
        <v>-1227.21</v>
      </c>
      <c r="J290" s="13">
        <f>+J289+I290</f>
        <v>569967.09</v>
      </c>
      <c r="K290" s="19">
        <f>+EOMONTH(B290,0)</f>
        <v>46112</v>
      </c>
      <c r="L290" s="3" t="inlineStr">
        <is>
          <t>Checking – Operating</t>
        </is>
      </c>
      <c r="M290" s="3" t="inlineStr">
        <is>
          <t>Balance Sheet</t>
        </is>
      </c>
    </row>
    <row r="291">
      <c r="B291" s="39" t="n">
        <v>46086</v>
      </c>
      <c r="C291" s="3" t="inlineStr">
        <is>
          <t>Expense</t>
        </is>
      </c>
      <c r="D291" s="3" t="inlineStr"/>
      <c r="E291" s="3" t="inlineStr">
        <is>
          <t>Tessarand Payroll Services</t>
        </is>
      </c>
      <c r="F291" s="3" t="inlineStr">
        <is>
          <t>Sales and Marketing Expenses – March</t>
        </is>
      </c>
      <c r="G291" s="3" t="inlineStr">
        <is>
          <t>Sales and Marketing Expenses</t>
        </is>
      </c>
      <c r="H291" s="3" t="inlineStr">
        <is>
          <t>Checking – Operating</t>
        </is>
      </c>
      <c r="I291" s="33" t="n">
        <v>-13567.16</v>
      </c>
      <c r="J291" s="13">
        <f>+J290+I291</f>
        <v>556399.93</v>
      </c>
      <c r="K291" s="19">
        <f>+EOMONTH(B291,0)</f>
        <v>46112</v>
      </c>
      <c r="L291" s="3" t="inlineStr">
        <is>
          <t>Checking – Operating</t>
        </is>
      </c>
      <c r="M291" s="3" t="inlineStr">
        <is>
          <t>Balance Sheet</t>
        </is>
      </c>
    </row>
    <row r="292">
      <c r="B292" s="39" t="n">
        <v>46087</v>
      </c>
      <c r="C292" s="3" t="inlineStr">
        <is>
          <t>Bill Payment (Check)</t>
        </is>
      </c>
      <c r="D292" s="3" t="inlineStr"/>
      <c r="E292" s="3" t="inlineStr">
        <is>
          <t>Reagentix Corp</t>
        </is>
      </c>
      <c r="F292" s="3" t="inlineStr">
        <is>
          <t>Lab supplies PO# F2980</t>
        </is>
      </c>
      <c r="G292" s="3" t="inlineStr">
        <is>
          <t>Accounts Payable</t>
        </is>
      </c>
      <c r="H292" s="3" t="inlineStr">
        <is>
          <t>Checking – Operating</t>
        </is>
      </c>
      <c r="I292" s="33" t="n">
        <v>-8781.370000000001</v>
      </c>
      <c r="J292" s="13">
        <f>+J291+I292</f>
        <v>547618.56</v>
      </c>
      <c r="K292" s="19">
        <f>+EOMONTH(B292,0)</f>
        <v>46112</v>
      </c>
      <c r="L292" s="3" t="inlineStr">
        <is>
          <t>Checking – Operating</t>
        </is>
      </c>
      <c r="M292" s="3" t="inlineStr">
        <is>
          <t>Balance Sheet</t>
        </is>
      </c>
    </row>
    <row r="293">
      <c r="B293" s="39" t="n">
        <v>46087</v>
      </c>
      <c r="C293" s="3" t="inlineStr">
        <is>
          <t>Bill Payment (Check)</t>
        </is>
      </c>
      <c r="D293" s="3" t="inlineStr"/>
      <c r="E293" s="3" t="inlineStr">
        <is>
          <t>Northmoor Waste Services</t>
        </is>
      </c>
      <c r="F293" s="3" t="inlineStr">
        <is>
          <t>Hazard Waste – February</t>
        </is>
      </c>
      <c r="G293" s="3" t="inlineStr">
        <is>
          <t>Accounts Payable</t>
        </is>
      </c>
      <c r="H293" s="3" t="inlineStr">
        <is>
          <t>Checking – Operating</t>
        </is>
      </c>
      <c r="I293" s="33" t="n">
        <v>-635.16</v>
      </c>
      <c r="J293" s="13">
        <f>+J292+I293</f>
        <v>546983.4</v>
      </c>
      <c r="K293" s="19">
        <f>+EOMONTH(B293,0)</f>
        <v>46112</v>
      </c>
      <c r="L293" s="3" t="inlineStr">
        <is>
          <t>Checking – Operating</t>
        </is>
      </c>
      <c r="M293" s="3" t="inlineStr">
        <is>
          <t>Balance Sheet</t>
        </is>
      </c>
    </row>
    <row r="294">
      <c r="B294" s="39" t="n">
        <v>46087</v>
      </c>
      <c r="C294" s="3" t="inlineStr">
        <is>
          <t>Bill Payment (Check)</t>
        </is>
      </c>
      <c r="D294" s="3" t="inlineStr"/>
      <c r="E294" s="3" t="inlineStr">
        <is>
          <t>Union Utilities</t>
        </is>
      </c>
      <c r="F294" s="3" t="inlineStr">
        <is>
          <t>Utilities – February</t>
        </is>
      </c>
      <c r="G294" s="3" t="inlineStr">
        <is>
          <t>Accounts Payable</t>
        </is>
      </c>
      <c r="H294" s="3" t="inlineStr">
        <is>
          <t>Checking – Operating</t>
        </is>
      </c>
      <c r="I294" s="33" t="n">
        <v>-3560.43</v>
      </c>
      <c r="J294" s="13">
        <f>+J293+I294</f>
        <v>543422.97</v>
      </c>
      <c r="K294" s="19">
        <f>+EOMONTH(B294,0)</f>
        <v>46112</v>
      </c>
      <c r="L294" s="3" t="inlineStr">
        <is>
          <t>Checking – Operating</t>
        </is>
      </c>
      <c r="M294" s="3" t="inlineStr">
        <is>
          <t>Balance Sheet</t>
        </is>
      </c>
    </row>
    <row r="295">
      <c r="B295" s="39" t="n">
        <v>46087</v>
      </c>
      <c r="C295" s="3" t="inlineStr">
        <is>
          <t>Expense</t>
        </is>
      </c>
      <c r="D295" s="3" t="inlineStr"/>
      <c r="E295" s="3" t="inlineStr"/>
      <c r="F295" s="3" t="inlineStr">
        <is>
          <t>Bank service charges – March</t>
        </is>
      </c>
      <c r="G295" s="3" t="inlineStr">
        <is>
          <t>Cash</t>
        </is>
      </c>
      <c r="H295" s="3" t="inlineStr">
        <is>
          <t>Checking – Operating</t>
        </is>
      </c>
      <c r="I295" s="33" t="n">
        <v>-789.35</v>
      </c>
      <c r="J295" s="13">
        <f>+J294+I295</f>
        <v>542633.62</v>
      </c>
      <c r="K295" s="19">
        <f>+EOMONTH(B295,0)</f>
        <v>46112</v>
      </c>
      <c r="L295" s="3" t="inlineStr">
        <is>
          <t>Checking – Operating</t>
        </is>
      </c>
      <c r="M295" s="3" t="inlineStr">
        <is>
          <t>Balance Sheet</t>
        </is>
      </c>
    </row>
    <row r="296">
      <c r="B296" s="39" t="n">
        <v>46087</v>
      </c>
      <c r="C296" s="3" t="inlineStr">
        <is>
          <t>Expense</t>
        </is>
      </c>
      <c r="D296" s="3" t="inlineStr"/>
      <c r="E296" s="3" t="inlineStr"/>
      <c r="F296" s="3" t="inlineStr">
        <is>
          <t>Business Meetings &amp; Development – March</t>
        </is>
      </c>
      <c r="G296" s="3" t="inlineStr">
        <is>
          <t>Business Meetings &amp; Development</t>
        </is>
      </c>
      <c r="H296" s="3" t="inlineStr">
        <is>
          <t>Checking – Operating</t>
        </is>
      </c>
      <c r="I296" s="33" t="n">
        <v>-3976.62</v>
      </c>
      <c r="J296" s="13">
        <f>+J295+I296</f>
        <v>538657</v>
      </c>
      <c r="K296" s="19">
        <f>+EOMONTH(B296,0)</f>
        <v>46112</v>
      </c>
      <c r="L296" s="3" t="inlineStr">
        <is>
          <t>Checking – Operating</t>
        </is>
      </c>
      <c r="M296" s="3" t="inlineStr">
        <is>
          <t>Balance Sheet</t>
        </is>
      </c>
    </row>
    <row r="297">
      <c r="B297" s="39" t="n">
        <v>46087</v>
      </c>
      <c r="C297" s="3" t="inlineStr">
        <is>
          <t>Journal Entry</t>
        </is>
      </c>
      <c r="D297" s="3" t="inlineStr"/>
      <c r="E297" s="3" t="inlineStr"/>
      <c r="F297" s="3" t="inlineStr">
        <is>
          <t>Property tax installment</t>
        </is>
      </c>
      <c r="G297" s="3" t="inlineStr">
        <is>
          <t>Property tax</t>
        </is>
      </c>
      <c r="H297" s="3" t="inlineStr">
        <is>
          <t>Checking – Operating</t>
        </is>
      </c>
      <c r="I297" s="33" t="n">
        <v>-1360.45</v>
      </c>
      <c r="J297" s="13">
        <f>+J296+I297</f>
        <v>537296.55</v>
      </c>
      <c r="K297" s="19">
        <f>+EOMONTH(B297,0)</f>
        <v>46112</v>
      </c>
      <c r="L297" s="3" t="inlineStr">
        <is>
          <t>Checking – Operating</t>
        </is>
      </c>
      <c r="M297" s="3" t="inlineStr">
        <is>
          <t>Balance Sheet</t>
        </is>
      </c>
    </row>
    <row r="298">
      <c r="B298" s="39" t="n">
        <v>46088</v>
      </c>
      <c r="C298" s="3" t="inlineStr">
        <is>
          <t>Credit Card Expense</t>
        </is>
      </c>
      <c r="D298" s="3" t="inlineStr"/>
      <c r="E298" s="3" t="inlineStr">
        <is>
          <t>Ledgerquill Billing SaaS</t>
        </is>
      </c>
      <c r="F298" s="3" t="inlineStr">
        <is>
          <t>Lab EMR Service – March</t>
        </is>
      </c>
      <c r="G298" s="3" t="inlineStr">
        <is>
          <t>Lab EMR Service</t>
        </is>
      </c>
      <c r="H298" s="3" t="inlineStr">
        <is>
          <t>Checking – Operating</t>
        </is>
      </c>
      <c r="I298" s="33" t="n">
        <v>-3346.33</v>
      </c>
      <c r="J298" s="13">
        <f>+J297+I298</f>
        <v>533950.22</v>
      </c>
      <c r="K298" s="19">
        <f>+EOMONTH(B298,0)</f>
        <v>46112</v>
      </c>
      <c r="L298" s="3" t="inlineStr">
        <is>
          <t>Checking – Operating</t>
        </is>
      </c>
      <c r="M298" s="3" t="inlineStr">
        <is>
          <t>Balance Sheet</t>
        </is>
      </c>
    </row>
    <row r="299">
      <c r="B299" s="39" t="n">
        <v>46089</v>
      </c>
      <c r="C299" s="3" t="inlineStr">
        <is>
          <t>Bill Payment (Check)</t>
        </is>
      </c>
      <c r="D299" s="3" t="inlineStr"/>
      <c r="E299" s="3" t="inlineStr">
        <is>
          <t>Reference Lab A</t>
        </is>
      </c>
      <c r="F299" s="3" t="inlineStr">
        <is>
          <t>Send-out testing – February</t>
        </is>
      </c>
      <c r="G299" s="3" t="inlineStr">
        <is>
          <t>Accounts Payable</t>
        </is>
      </c>
      <c r="H299" s="3" t="inlineStr">
        <is>
          <t>Checking – Operating</t>
        </is>
      </c>
      <c r="I299" s="33" t="n">
        <v>-15235.33</v>
      </c>
      <c r="J299" s="13">
        <f>+J298+I299</f>
        <v>518714.89</v>
      </c>
      <c r="K299" s="19">
        <f>+EOMONTH(B299,0)</f>
        <v>46112</v>
      </c>
      <c r="L299" s="3" t="inlineStr">
        <is>
          <t>Checking – Operating</t>
        </is>
      </c>
      <c r="M299" s="3" t="inlineStr">
        <is>
          <t>Balance Sheet</t>
        </is>
      </c>
    </row>
    <row r="300">
      <c r="B300" s="39" t="n">
        <v>46089</v>
      </c>
      <c r="C300" s="3" t="inlineStr">
        <is>
          <t>Expense</t>
        </is>
      </c>
      <c r="D300" s="3" t="inlineStr"/>
      <c r="E300" s="3" t="inlineStr"/>
      <c r="F300" s="3" t="inlineStr">
        <is>
          <t>Travel Expense – March</t>
        </is>
      </c>
      <c r="G300" s="3" t="inlineStr">
        <is>
          <t>Travel Expense</t>
        </is>
      </c>
      <c r="H300" s="3" t="inlineStr">
        <is>
          <t>Checking – Operating</t>
        </is>
      </c>
      <c r="I300" s="33" t="n">
        <v>-1413.58</v>
      </c>
      <c r="J300" s="13">
        <f>+J299+I300</f>
        <v>517301.31</v>
      </c>
      <c r="K300" s="19">
        <f>+EOMONTH(B300,0)</f>
        <v>46112</v>
      </c>
      <c r="L300" s="3" t="inlineStr">
        <is>
          <t>Checking – Operating</t>
        </is>
      </c>
      <c r="M300" s="3" t="inlineStr">
        <is>
          <t>Balance Sheet</t>
        </is>
      </c>
    </row>
    <row r="301">
      <c r="B301" s="39" t="n">
        <v>46090</v>
      </c>
      <c r="C301" s="3" t="inlineStr">
        <is>
          <t>Deposit</t>
        </is>
      </c>
      <c r="D301" s="3" t="inlineStr"/>
      <c r="E301" s="3" t="inlineStr">
        <is>
          <t>Silvermoss Senior Living</t>
        </is>
      </c>
      <c r="F301" s="3" t="inlineStr">
        <is>
          <t>ORIG CO NAME:SILVERMOSS SL ORIG ID:XXXXXX7391 DESC DATE:260309 CO ENTRY DESCR:HCCLAIMPMT SEC:CCD TRACE#:XXXXXXXX7639108 EED:260309 IND ID:</t>
        </is>
      </c>
      <c r="G301" s="3" t="inlineStr">
        <is>
          <t>Service Income</t>
        </is>
      </c>
      <c r="H301" s="3" t="inlineStr">
        <is>
          <t>Checking – Operating</t>
        </is>
      </c>
      <c r="I301" s="33" t="n">
        <v>50589.99</v>
      </c>
      <c r="J301" s="13">
        <f>+J300+I301</f>
        <v>567891.3</v>
      </c>
      <c r="K301" s="19">
        <f>+EOMONTH(B301,0)</f>
        <v>46112</v>
      </c>
      <c r="L301" s="3" t="inlineStr">
        <is>
          <t>Checking – Operating</t>
        </is>
      </c>
      <c r="M301" s="3" t="inlineStr">
        <is>
          <t>Balance Sheet</t>
        </is>
      </c>
    </row>
    <row r="302">
      <c r="B302" s="39" t="n">
        <v>46090</v>
      </c>
      <c r="C302" s="3" t="inlineStr">
        <is>
          <t>Expense</t>
        </is>
      </c>
      <c r="D302" s="3" t="inlineStr"/>
      <c r="E302" s="3" t="inlineStr"/>
      <c r="F302" s="3" t="inlineStr">
        <is>
          <t>Interest – equipment note</t>
        </is>
      </c>
      <c r="G302" s="3" t="inlineStr">
        <is>
          <t>Interest Expense</t>
        </is>
      </c>
      <c r="H302" s="3" t="inlineStr">
        <is>
          <t>Checking – Operating</t>
        </is>
      </c>
      <c r="I302" s="33" t="n">
        <v>-844.5599999999999</v>
      </c>
      <c r="J302" s="13">
        <f>+J301+I302</f>
        <v>567046.74</v>
      </c>
      <c r="K302" s="19">
        <f>+EOMONTH(B302,0)</f>
        <v>46112</v>
      </c>
      <c r="L302" s="3" t="inlineStr">
        <is>
          <t>Checking – Operating</t>
        </is>
      </c>
      <c r="M302" s="3" t="inlineStr">
        <is>
          <t>Balance Sheet</t>
        </is>
      </c>
    </row>
    <row r="303">
      <c r="B303" s="39" t="n">
        <v>46091</v>
      </c>
      <c r="C303" s="3" t="inlineStr">
        <is>
          <t>Bill Payment (Check)</t>
        </is>
      </c>
      <c r="D303" s="3" t="inlineStr"/>
      <c r="E303" s="3" t="inlineStr">
        <is>
          <t>Tarrowmere Mutual Insurance</t>
        </is>
      </c>
      <c r="F303" s="3" t="inlineStr">
        <is>
          <t>Premium installment</t>
        </is>
      </c>
      <c r="G303" s="3" t="inlineStr">
        <is>
          <t>Accounts Payable</t>
        </is>
      </c>
      <c r="H303" s="3" t="inlineStr">
        <is>
          <t>Checking – Operating</t>
        </is>
      </c>
      <c r="I303" s="33" t="n">
        <v>-4451.08</v>
      </c>
      <c r="J303" s="13">
        <f>+J302+I303</f>
        <v>562595.66</v>
      </c>
      <c r="K303" s="19">
        <f>+EOMONTH(B303,0)</f>
        <v>46112</v>
      </c>
      <c r="L303" s="3" t="inlineStr">
        <is>
          <t>Checking – Operating</t>
        </is>
      </c>
      <c r="M303" s="3" t="inlineStr">
        <is>
          <t>Balance Sheet</t>
        </is>
      </c>
    </row>
    <row r="304">
      <c r="B304" s="39" t="n">
        <v>46091</v>
      </c>
      <c r="C304" s="3" t="inlineStr">
        <is>
          <t>Bill Payment (Check)</t>
        </is>
      </c>
      <c r="D304" s="3" t="inlineStr"/>
      <c r="E304" s="3" t="inlineStr">
        <is>
          <t>Lumenlease Equipment</t>
        </is>
      </c>
      <c r="F304" s="3" t="inlineStr">
        <is>
          <t>Equipment Lease – February</t>
        </is>
      </c>
      <c r="G304" s="3" t="inlineStr">
        <is>
          <t>Accounts Payable</t>
        </is>
      </c>
      <c r="H304" s="3" t="inlineStr">
        <is>
          <t>Checking – Operating</t>
        </is>
      </c>
      <c r="I304" s="33" t="n">
        <v>-3552.41</v>
      </c>
      <c r="J304" s="13">
        <f>+J303+I304</f>
        <v>559043.25</v>
      </c>
      <c r="K304" s="19">
        <f>+EOMONTH(B304,0)</f>
        <v>46112</v>
      </c>
      <c r="L304" s="3" t="inlineStr">
        <is>
          <t>Checking – Operating</t>
        </is>
      </c>
      <c r="M304" s="3" t="inlineStr">
        <is>
          <t>Balance Sheet</t>
        </is>
      </c>
    </row>
    <row r="305">
      <c r="B305" s="39" t="n">
        <v>46091</v>
      </c>
      <c r="C305" s="3" t="inlineStr">
        <is>
          <t>Bill Payment (Check)</t>
        </is>
      </c>
      <c r="D305" s="3" t="inlineStr"/>
      <c r="E305" s="3" t="inlineStr">
        <is>
          <t>Northmoor Waste Services</t>
        </is>
      </c>
      <c r="F305" s="3" t="inlineStr">
        <is>
          <t>Waste Removal – February</t>
        </is>
      </c>
      <c r="G305" s="3" t="inlineStr">
        <is>
          <t>Accounts Payable</t>
        </is>
      </c>
      <c r="H305" s="3" t="inlineStr">
        <is>
          <t>Checking – Operating</t>
        </is>
      </c>
      <c r="I305" s="33" t="n">
        <v>-554.9299999999999</v>
      </c>
      <c r="J305" s="13">
        <f>+J304+I305</f>
        <v>558488.32</v>
      </c>
      <c r="K305" s="19">
        <f>+EOMONTH(B305,0)</f>
        <v>46112</v>
      </c>
      <c r="L305" s="3" t="inlineStr">
        <is>
          <t>Checking – Operating</t>
        </is>
      </c>
      <c r="M305" s="3" t="inlineStr">
        <is>
          <t>Balance Sheet</t>
        </is>
      </c>
    </row>
    <row r="306">
      <c r="B306" s="39" t="n">
        <v>46091</v>
      </c>
      <c r="C306" s="3" t="inlineStr">
        <is>
          <t>Bill Payment (Check)</t>
        </is>
      </c>
      <c r="D306" s="3" t="inlineStr"/>
      <c r="E306" s="3" t="inlineStr">
        <is>
          <t>Ledgerquill Billing SaaS</t>
        </is>
      </c>
      <c r="F306" s="3" t="inlineStr">
        <is>
          <t>Billing Software as a Service – February</t>
        </is>
      </c>
      <c r="G306" s="3" t="inlineStr">
        <is>
          <t>Accounts Payable</t>
        </is>
      </c>
      <c r="H306" s="3" t="inlineStr">
        <is>
          <t>Checking – Operating</t>
        </is>
      </c>
      <c r="I306" s="33" t="n">
        <v>-23065.49</v>
      </c>
      <c r="J306" s="13">
        <f>+J305+I306</f>
        <v>535422.83</v>
      </c>
      <c r="K306" s="19">
        <f>+EOMONTH(B306,0)</f>
        <v>46112</v>
      </c>
      <c r="L306" s="3" t="inlineStr">
        <is>
          <t>Checking – Operating</t>
        </is>
      </c>
      <c r="M306" s="3" t="inlineStr">
        <is>
          <t>Balance Sheet</t>
        </is>
      </c>
    </row>
    <row r="307">
      <c r="B307" s="39" t="n">
        <v>46091</v>
      </c>
      <c r="C307" s="3" t="inlineStr">
        <is>
          <t>Bill Payment (Check)</t>
        </is>
      </c>
      <c r="D307" s="3" t="inlineStr"/>
      <c r="E307" s="3" t="inlineStr">
        <is>
          <t>Union Utilities</t>
        </is>
      </c>
      <c r="F307" s="3" t="inlineStr">
        <is>
          <t>Utilities – February</t>
        </is>
      </c>
      <c r="G307" s="3" t="inlineStr">
        <is>
          <t>Accounts Payable</t>
        </is>
      </c>
      <c r="H307" s="3" t="inlineStr">
        <is>
          <t>Checking – Operating</t>
        </is>
      </c>
      <c r="I307" s="33" t="n">
        <v>-4039.57</v>
      </c>
      <c r="J307" s="13">
        <f>+J306+I307</f>
        <v>531383.26</v>
      </c>
      <c r="K307" s="19">
        <f>+EOMONTH(B307,0)</f>
        <v>46112</v>
      </c>
      <c r="L307" s="3" t="inlineStr">
        <is>
          <t>Checking – Operating</t>
        </is>
      </c>
      <c r="M307" s="3" t="inlineStr">
        <is>
          <t>Balance Sheet</t>
        </is>
      </c>
    </row>
    <row r="308">
      <c r="B308" s="39" t="n">
        <v>46091</v>
      </c>
      <c r="C308" s="3" t="inlineStr">
        <is>
          <t>Credit Card Expense</t>
        </is>
      </c>
      <c r="D308" s="3" t="inlineStr"/>
      <c r="E308" s="3" t="inlineStr"/>
      <c r="F308" s="3" t="inlineStr">
        <is>
          <t>Interest – equipment note</t>
        </is>
      </c>
      <c r="G308" s="3" t="inlineStr">
        <is>
          <t>Interest Expense</t>
        </is>
      </c>
      <c r="H308" s="3" t="inlineStr">
        <is>
          <t>Checking – Operating</t>
        </is>
      </c>
      <c r="I308" s="33" t="n">
        <v>-1555.44</v>
      </c>
      <c r="J308" s="13">
        <f>+J307+I308</f>
        <v>529827.82</v>
      </c>
      <c r="K308" s="19">
        <f>+EOMONTH(B308,0)</f>
        <v>46112</v>
      </c>
      <c r="L308" s="3" t="inlineStr">
        <is>
          <t>Checking – Operating</t>
        </is>
      </c>
      <c r="M308" s="3" t="inlineStr">
        <is>
          <t>Balance Sheet</t>
        </is>
      </c>
    </row>
    <row r="309">
      <c r="B309" s="39" t="n">
        <v>46091</v>
      </c>
      <c r="C309" s="3" t="inlineStr">
        <is>
          <t>Credit Card Expense</t>
        </is>
      </c>
      <c r="D309" s="3" t="inlineStr"/>
      <c r="E309" s="3" t="inlineStr"/>
      <c r="F309" s="3" t="inlineStr">
        <is>
          <t>Patient refund</t>
        </is>
      </c>
      <c r="G309" s="3" t="inlineStr">
        <is>
          <t>Refunds</t>
        </is>
      </c>
      <c r="H309" s="3" t="inlineStr">
        <is>
          <t>Checking – Operating</t>
        </is>
      </c>
      <c r="I309" s="33" t="n">
        <v>-4030.28</v>
      </c>
      <c r="J309" s="13">
        <f>+J308+I309</f>
        <v>525797.54</v>
      </c>
      <c r="K309" s="19">
        <f>+EOMONTH(B309,0)</f>
        <v>46112</v>
      </c>
      <c r="L309" s="3" t="inlineStr">
        <is>
          <t>Checking – Operating</t>
        </is>
      </c>
      <c r="M309" s="3" t="inlineStr">
        <is>
          <t>Balance Sheet</t>
        </is>
      </c>
    </row>
    <row r="310">
      <c r="B310" s="39" t="n">
        <v>46091</v>
      </c>
      <c r="C310" s="3" t="inlineStr">
        <is>
          <t>Payroll Check</t>
        </is>
      </c>
      <c r="D310" s="3" t="inlineStr"/>
      <c r="E310" s="3" t="inlineStr">
        <is>
          <t>Tessarand Payroll Services</t>
        </is>
      </c>
      <c r="F310" s="3" t="inlineStr">
        <is>
          <t>Payroll taxes – biweekly</t>
        </is>
      </c>
      <c r="G310" s="3" t="inlineStr">
        <is>
          <t>Payroll Taxes</t>
        </is>
      </c>
      <c r="H310" s="3" t="inlineStr">
        <is>
          <t>Checking – Operating</t>
        </is>
      </c>
      <c r="I310" s="33" t="n">
        <v>-1259.14</v>
      </c>
      <c r="J310" s="13">
        <f>+J309+I310</f>
        <v>524538.4</v>
      </c>
      <c r="K310" s="19">
        <f>+EOMONTH(B310,0)</f>
        <v>46112</v>
      </c>
      <c r="L310" s="3" t="inlineStr">
        <is>
          <t>Checking – Operating</t>
        </is>
      </c>
      <c r="M310" s="3" t="inlineStr">
        <is>
          <t>Balance Sheet</t>
        </is>
      </c>
    </row>
    <row r="311">
      <c r="B311" s="39" t="n">
        <v>46092</v>
      </c>
      <c r="C311" s="3" t="inlineStr">
        <is>
          <t>Bill Payment (Check)</t>
        </is>
      </c>
      <c r="D311" s="3" t="inlineStr"/>
      <c r="E311" s="3" t="inlineStr">
        <is>
          <t>Vialtrace Lab Supplies Inc</t>
        </is>
      </c>
      <c r="F311" s="3" t="inlineStr">
        <is>
          <t>Lab Expenses – February</t>
        </is>
      </c>
      <c r="G311" s="3" t="inlineStr">
        <is>
          <t>Accounts Payable</t>
        </is>
      </c>
      <c r="H311" s="3" t="inlineStr">
        <is>
          <t>Checking – Operating</t>
        </is>
      </c>
      <c r="I311" s="33" t="n">
        <v>-5780.13</v>
      </c>
      <c r="J311" s="13">
        <f>+J310+I311</f>
        <v>518758.27</v>
      </c>
      <c r="K311" s="19">
        <f>+EOMONTH(B311,0)</f>
        <v>46112</v>
      </c>
      <c r="L311" s="3" t="inlineStr">
        <is>
          <t>Checking – Operating</t>
        </is>
      </c>
      <c r="M311" s="3" t="inlineStr">
        <is>
          <t>Balance Sheet</t>
        </is>
      </c>
    </row>
    <row r="312">
      <c r="B312" s="39" t="n">
        <v>46092</v>
      </c>
      <c r="C312" s="3" t="inlineStr">
        <is>
          <t>Bill Payment (Check)</t>
        </is>
      </c>
      <c r="D312" s="3" t="inlineStr"/>
      <c r="E312" s="3" t="inlineStr">
        <is>
          <t>Vialtrace Lab Supplies Inc</t>
        </is>
      </c>
      <c r="F312" s="3" t="inlineStr">
        <is>
          <t>Lab Expenses – February</t>
        </is>
      </c>
      <c r="G312" s="3" t="inlineStr">
        <is>
          <t>Accounts Payable</t>
        </is>
      </c>
      <c r="H312" s="3" t="inlineStr">
        <is>
          <t>Checking – Operating</t>
        </is>
      </c>
      <c r="I312" s="33" t="n">
        <v>-3506.29</v>
      </c>
      <c r="J312" s="13">
        <f>+J311+I312</f>
        <v>515251.98</v>
      </c>
      <c r="K312" s="19">
        <f>+EOMONTH(B312,0)</f>
        <v>46112</v>
      </c>
      <c r="L312" s="3" t="inlineStr">
        <is>
          <t>Checking – Operating</t>
        </is>
      </c>
      <c r="M312" s="3" t="inlineStr">
        <is>
          <t>Balance Sheet</t>
        </is>
      </c>
    </row>
    <row r="313">
      <c r="B313" s="39" t="n">
        <v>46092</v>
      </c>
      <c r="C313" s="3" t="inlineStr">
        <is>
          <t>Bill Payment (Check)</t>
        </is>
      </c>
      <c r="D313" s="3" t="inlineStr"/>
      <c r="E313" s="3" t="inlineStr">
        <is>
          <t>Halloway Ridge Realty (rent)</t>
        </is>
      </c>
      <c r="F313" s="3" t="inlineStr">
        <is>
          <t>Rent – February</t>
        </is>
      </c>
      <c r="G313" s="3" t="inlineStr">
        <is>
          <t>Accounts Payable</t>
        </is>
      </c>
      <c r="H313" s="3" t="inlineStr">
        <is>
          <t>Checking – Operating</t>
        </is>
      </c>
      <c r="I313" s="33" t="n">
        <v>-11384.59</v>
      </c>
      <c r="J313" s="13">
        <f>+J312+I313</f>
        <v>503867.39</v>
      </c>
      <c r="K313" s="19">
        <f>+EOMONTH(B313,0)</f>
        <v>46112</v>
      </c>
      <c r="L313" s="3" t="inlineStr">
        <is>
          <t>Checking – Operating</t>
        </is>
      </c>
      <c r="M313" s="3" t="inlineStr">
        <is>
          <t>Balance Sheet</t>
        </is>
      </c>
    </row>
    <row r="314">
      <c r="B314" s="39" t="n">
        <v>46092</v>
      </c>
      <c r="C314" s="3" t="inlineStr">
        <is>
          <t>Bill Payment (Check)</t>
        </is>
      </c>
      <c r="D314" s="3" t="inlineStr"/>
      <c r="E314" s="3" t="inlineStr">
        <is>
          <t>Halloway Ridge Realty (rent)</t>
        </is>
      </c>
      <c r="F314" s="3" t="inlineStr">
        <is>
          <t>Rent – February</t>
        </is>
      </c>
      <c r="G314" s="3" t="inlineStr">
        <is>
          <t>Accounts Payable</t>
        </is>
      </c>
      <c r="H314" s="3" t="inlineStr">
        <is>
          <t>Checking – Operating</t>
        </is>
      </c>
      <c r="I314" s="33" t="n">
        <v>-13307.11</v>
      </c>
      <c r="J314" s="13">
        <f>+J313+I314</f>
        <v>490560.28</v>
      </c>
      <c r="K314" s="19">
        <f>+EOMONTH(B314,0)</f>
        <v>46112</v>
      </c>
      <c r="L314" s="3" t="inlineStr">
        <is>
          <t>Checking – Operating</t>
        </is>
      </c>
      <c r="M314" s="3" t="inlineStr">
        <is>
          <t>Balance Sheet</t>
        </is>
      </c>
    </row>
    <row r="315">
      <c r="B315" s="39" t="n">
        <v>46092</v>
      </c>
      <c r="C315" s="3" t="inlineStr">
        <is>
          <t>Expense</t>
        </is>
      </c>
      <c r="D315" s="3" t="inlineStr"/>
      <c r="E315" s="3" t="inlineStr"/>
      <c r="F315" s="3" t="inlineStr">
        <is>
          <t>Gas – March</t>
        </is>
      </c>
      <c r="G315" s="3" t="inlineStr">
        <is>
          <t>Gas</t>
        </is>
      </c>
      <c r="H315" s="3" t="inlineStr">
        <is>
          <t>Checking – Operating</t>
        </is>
      </c>
      <c r="I315" s="33" t="n">
        <v>-1310.67</v>
      </c>
      <c r="J315" s="13">
        <f>+J314+I315</f>
        <v>489249.61</v>
      </c>
      <c r="K315" s="19">
        <f>+EOMONTH(B315,0)</f>
        <v>46112</v>
      </c>
      <c r="L315" s="3" t="inlineStr">
        <is>
          <t>Checking – Operating</t>
        </is>
      </c>
      <c r="M315" s="3" t="inlineStr">
        <is>
          <t>Balance Sheet</t>
        </is>
      </c>
    </row>
    <row r="316">
      <c r="B316" s="39" t="n">
        <v>46092</v>
      </c>
      <c r="C316" s="3" t="inlineStr">
        <is>
          <t>Journal Entry</t>
        </is>
      </c>
      <c r="D316" s="3" t="inlineStr"/>
      <c r="E316" s="3" t="inlineStr"/>
      <c r="F316" s="3" t="inlineStr">
        <is>
          <t>Meals and Entertainment – March</t>
        </is>
      </c>
      <c r="G316" s="3" t="inlineStr">
        <is>
          <t>Meals and Entertainment</t>
        </is>
      </c>
      <c r="H316" s="3" t="inlineStr">
        <is>
          <t>Checking – Operating</t>
        </is>
      </c>
      <c r="I316" s="33" t="n">
        <v>-584.73</v>
      </c>
      <c r="J316" s="13">
        <f>+J315+I316</f>
        <v>488664.88</v>
      </c>
      <c r="K316" s="19">
        <f>+EOMONTH(B316,0)</f>
        <v>46112</v>
      </c>
      <c r="L316" s="3" t="inlineStr">
        <is>
          <t>Checking – Operating</t>
        </is>
      </c>
      <c r="M316" s="3" t="inlineStr">
        <is>
          <t>Balance Sheet</t>
        </is>
      </c>
    </row>
    <row r="317">
      <c r="B317" s="39" t="n">
        <v>46093</v>
      </c>
      <c r="C317" s="3" t="inlineStr">
        <is>
          <t>Bill Payment (Check)</t>
        </is>
      </c>
      <c r="D317" s="3" t="inlineStr"/>
      <c r="E317" s="3" t="inlineStr">
        <is>
          <t>Lumenlease Equipment</t>
        </is>
      </c>
      <c r="F317" s="3" t="inlineStr">
        <is>
          <t>Lab Equipment – March</t>
        </is>
      </c>
      <c r="G317" s="3" t="inlineStr">
        <is>
          <t>Accounts Payable</t>
        </is>
      </c>
      <c r="H317" s="3" t="inlineStr">
        <is>
          <t>Checking – Operating</t>
        </is>
      </c>
      <c r="I317" s="33" t="n">
        <v>-2551.52</v>
      </c>
      <c r="J317" s="13">
        <f>+J316+I317</f>
        <v>486113.36</v>
      </c>
      <c r="K317" s="19">
        <f>+EOMONTH(B317,0)</f>
        <v>46112</v>
      </c>
      <c r="L317" s="3" t="inlineStr">
        <is>
          <t>Checking – Operating</t>
        </is>
      </c>
      <c r="M317" s="3" t="inlineStr">
        <is>
          <t>Balance Sheet</t>
        </is>
      </c>
    </row>
    <row r="318">
      <c r="B318" s="39" t="n">
        <v>46093</v>
      </c>
      <c r="C318" s="3" t="inlineStr">
        <is>
          <t>Bill Payment (Check)</t>
        </is>
      </c>
      <c r="D318" s="3" t="inlineStr"/>
      <c r="E318" s="3" t="inlineStr">
        <is>
          <t>Tarrowmere Mutual Insurance</t>
        </is>
      </c>
      <c r="F318" s="3" t="inlineStr">
        <is>
          <t>Premium installment</t>
        </is>
      </c>
      <c r="G318" s="3" t="inlineStr">
        <is>
          <t>Accounts Payable</t>
        </is>
      </c>
      <c r="H318" s="3" t="inlineStr">
        <is>
          <t>Checking – Operating</t>
        </is>
      </c>
      <c r="I318" s="33" t="n">
        <v>-3241.47</v>
      </c>
      <c r="J318" s="13">
        <f>+J317+I318</f>
        <v>482871.89</v>
      </c>
      <c r="K318" s="19">
        <f>+EOMONTH(B318,0)</f>
        <v>46112</v>
      </c>
      <c r="L318" s="3" t="inlineStr">
        <is>
          <t>Checking – Operating</t>
        </is>
      </c>
      <c r="M318" s="3" t="inlineStr">
        <is>
          <t>Balance Sheet</t>
        </is>
      </c>
    </row>
    <row r="319">
      <c r="B319" s="39" t="n">
        <v>46093</v>
      </c>
      <c r="C319" s="3" t="inlineStr">
        <is>
          <t>Credit Card Expense</t>
        </is>
      </c>
      <c r="D319" s="3" t="inlineStr"/>
      <c r="E319" s="3" t="inlineStr"/>
      <c r="F319" s="3" t="inlineStr">
        <is>
          <t>Lab Credentialing – March</t>
        </is>
      </c>
      <c r="G319" s="3" t="inlineStr">
        <is>
          <t>Lab Credentialing</t>
        </is>
      </c>
      <c r="H319" s="3" t="inlineStr">
        <is>
          <t>Checking – Operating</t>
        </is>
      </c>
      <c r="I319" s="33" t="n">
        <v>-668.4</v>
      </c>
      <c r="J319" s="13">
        <f>+J318+I319</f>
        <v>482203.49</v>
      </c>
      <c r="K319" s="19">
        <f>+EOMONTH(B319,0)</f>
        <v>46112</v>
      </c>
      <c r="L319" s="3" t="inlineStr">
        <is>
          <t>Checking – Operating</t>
        </is>
      </c>
      <c r="M319" s="3" t="inlineStr">
        <is>
          <t>Balance Sheet</t>
        </is>
      </c>
    </row>
    <row r="320">
      <c r="B320" s="39" t="n">
        <v>46093</v>
      </c>
      <c r="C320" s="3" t="inlineStr">
        <is>
          <t>Credit Card Expense</t>
        </is>
      </c>
      <c r="D320" s="3" t="inlineStr"/>
      <c r="E320" s="3" t="inlineStr">
        <is>
          <t>Ledgerquill Billing SaaS</t>
        </is>
      </c>
      <c r="F320" s="3" t="inlineStr">
        <is>
          <t>Interface Service – March</t>
        </is>
      </c>
      <c r="G320" s="3" t="inlineStr">
        <is>
          <t>Interface Service</t>
        </is>
      </c>
      <c r="H320" s="3" t="inlineStr">
        <is>
          <t>Checking – Operating</t>
        </is>
      </c>
      <c r="I320" s="33" t="n">
        <v>-2104.36</v>
      </c>
      <c r="J320" s="13">
        <f>+J319+I320</f>
        <v>480099.13</v>
      </c>
      <c r="K320" s="19">
        <f>+EOMONTH(B320,0)</f>
        <v>46112</v>
      </c>
      <c r="L320" s="3" t="inlineStr">
        <is>
          <t>Checking – Operating</t>
        </is>
      </c>
      <c r="M320" s="3" t="inlineStr">
        <is>
          <t>Balance Sheet</t>
        </is>
      </c>
    </row>
    <row r="321">
      <c r="B321" s="39" t="n">
        <v>46093</v>
      </c>
      <c r="C321" s="3" t="inlineStr">
        <is>
          <t>Credit Card Expense</t>
        </is>
      </c>
      <c r="D321" s="3" t="inlineStr"/>
      <c r="E321" s="3" t="inlineStr">
        <is>
          <t>Union Utilities</t>
        </is>
      </c>
      <c r="F321" s="3" t="inlineStr">
        <is>
          <t>Fax Service – March</t>
        </is>
      </c>
      <c r="G321" s="3" t="inlineStr">
        <is>
          <t>Fax Service</t>
        </is>
      </c>
      <c r="H321" s="3" t="inlineStr">
        <is>
          <t>Checking – Operating</t>
        </is>
      </c>
      <c r="I321" s="33" t="n">
        <v>-568.42</v>
      </c>
      <c r="J321" s="13">
        <f>+J320+I321</f>
        <v>479530.71</v>
      </c>
      <c r="K321" s="19">
        <f>+EOMONTH(B321,0)</f>
        <v>46112</v>
      </c>
      <c r="L321" s="3" t="inlineStr">
        <is>
          <t>Checking – Operating</t>
        </is>
      </c>
      <c r="M321" s="3" t="inlineStr">
        <is>
          <t>Balance Sheet</t>
        </is>
      </c>
    </row>
    <row r="322">
      <c r="B322" s="39" t="n">
        <v>46093</v>
      </c>
      <c r="C322" s="3" t="inlineStr">
        <is>
          <t>Deposit</t>
        </is>
      </c>
      <c r="D322" s="3" t="inlineStr"/>
      <c r="E322" s="3" t="inlineStr">
        <is>
          <t>Quayside Choice Senior Plan</t>
        </is>
      </c>
      <c r="F322" s="3" t="inlineStr">
        <is>
          <t>ORIG CO NAME:QUAYSIDE CHOICE SP ORIG ID:XXXXXX8014 DESC DATE:260312 CO ENTRY DESCR:HCCLAIMPMT SEC:CCD TRACE#:XXXXXXXX6002314 EED:260312 IND ID:</t>
        </is>
      </c>
      <c r="G322" s="3" t="inlineStr">
        <is>
          <t>Service Income</t>
        </is>
      </c>
      <c r="H322" s="3" t="inlineStr">
        <is>
          <t>Checking – Operating</t>
        </is>
      </c>
      <c r="I322" s="33" t="n">
        <v>53595.34</v>
      </c>
      <c r="J322" s="13">
        <f>+J321+I322</f>
        <v>533126.05</v>
      </c>
      <c r="K322" s="19">
        <f>+EOMONTH(B322,0)</f>
        <v>46112</v>
      </c>
      <c r="L322" s="3" t="inlineStr">
        <is>
          <t>Checking – Operating</t>
        </is>
      </c>
      <c r="M322" s="3" t="inlineStr">
        <is>
          <t>Balance Sheet</t>
        </is>
      </c>
    </row>
    <row r="323">
      <c r="B323" s="39" t="n">
        <v>46094</v>
      </c>
      <c r="C323" s="3" t="inlineStr">
        <is>
          <t>Bill Payment (Check)</t>
        </is>
      </c>
      <c r="D323" s="3" t="inlineStr"/>
      <c r="E323" s="3" t="inlineStr">
        <is>
          <t>Reagentix Corp</t>
        </is>
      </c>
      <c r="F323" s="3" t="inlineStr">
        <is>
          <t>Lab supplies PO# F2946</t>
        </is>
      </c>
      <c r="G323" s="3" t="inlineStr">
        <is>
          <t>Accounts Payable</t>
        </is>
      </c>
      <c r="H323" s="3" t="inlineStr">
        <is>
          <t>Checking – Operating</t>
        </is>
      </c>
      <c r="I323" s="33" t="n">
        <v>-11604.15</v>
      </c>
      <c r="J323" s="13">
        <f>+J322+I323</f>
        <v>521521.9</v>
      </c>
      <c r="K323" s="19">
        <f>+EOMONTH(B323,0)</f>
        <v>46112</v>
      </c>
      <c r="L323" s="3" t="inlineStr">
        <is>
          <t>Checking – Operating</t>
        </is>
      </c>
      <c r="M323" s="3" t="inlineStr">
        <is>
          <t>Balance Sheet</t>
        </is>
      </c>
    </row>
    <row r="324">
      <c r="B324" s="39" t="n">
        <v>46094</v>
      </c>
      <c r="C324" s="3" t="inlineStr">
        <is>
          <t>Bill Payment (Check)</t>
        </is>
      </c>
      <c r="D324" s="3" t="inlineStr"/>
      <c r="E324" s="3" t="inlineStr">
        <is>
          <t>Reagentix Corp</t>
        </is>
      </c>
      <c r="F324" s="3" t="inlineStr">
        <is>
          <t>Lab supplies PO# F2227</t>
        </is>
      </c>
      <c r="G324" s="3" t="inlineStr">
        <is>
          <t>Accounts Payable</t>
        </is>
      </c>
      <c r="H324" s="3" t="inlineStr">
        <is>
          <t>Checking – Operating</t>
        </is>
      </c>
      <c r="I324" s="33" t="n">
        <v>-15321.17</v>
      </c>
      <c r="J324" s="13">
        <f>+J323+I324</f>
        <v>506200.73</v>
      </c>
      <c r="K324" s="19">
        <f>+EOMONTH(B324,0)</f>
        <v>46112</v>
      </c>
      <c r="L324" s="3" t="inlineStr">
        <is>
          <t>Checking – Operating</t>
        </is>
      </c>
      <c r="M324" s="3" t="inlineStr">
        <is>
          <t>Balance Sheet</t>
        </is>
      </c>
    </row>
    <row r="325">
      <c r="B325" s="39" t="n">
        <v>46094</v>
      </c>
      <c r="C325" s="3" t="inlineStr">
        <is>
          <t>Bill Payment (Check)</t>
        </is>
      </c>
      <c r="D325" s="3" t="inlineStr"/>
      <c r="E325" s="3" t="inlineStr">
        <is>
          <t>Ledgerquill Billing SaaS</t>
        </is>
      </c>
      <c r="F325" s="3" t="inlineStr">
        <is>
          <t>Billing Software as a Service – February</t>
        </is>
      </c>
      <c r="G325" s="3" t="inlineStr">
        <is>
          <t>Accounts Payable</t>
        </is>
      </c>
      <c r="H325" s="3" t="inlineStr">
        <is>
          <t>Checking – Operating</t>
        </is>
      </c>
      <c r="I325" s="33" t="n">
        <v>-20435.67</v>
      </c>
      <c r="J325" s="13">
        <f>+J324+I325</f>
        <v>485765.06</v>
      </c>
      <c r="K325" s="19">
        <f>+EOMONTH(B325,0)</f>
        <v>46112</v>
      </c>
      <c r="L325" s="3" t="inlineStr">
        <is>
          <t>Checking – Operating</t>
        </is>
      </c>
      <c r="M325" s="3" t="inlineStr">
        <is>
          <t>Balance Sheet</t>
        </is>
      </c>
    </row>
    <row r="326">
      <c r="B326" s="39" t="n">
        <v>46094</v>
      </c>
      <c r="C326" s="3" t="inlineStr">
        <is>
          <t>Expense</t>
        </is>
      </c>
      <c r="D326" s="3" t="inlineStr"/>
      <c r="E326" s="3" t="inlineStr">
        <is>
          <t>Tessarand Payroll Services</t>
        </is>
      </c>
      <c r="F326" s="3" t="inlineStr">
        <is>
          <t>Contractors – March</t>
        </is>
      </c>
      <c r="G326" s="3" t="inlineStr">
        <is>
          <t>Contractors</t>
        </is>
      </c>
      <c r="H326" s="3" t="inlineStr">
        <is>
          <t>Checking – Operating</t>
        </is>
      </c>
      <c r="I326" s="33" t="n">
        <v>-4321.84</v>
      </c>
      <c r="J326" s="13">
        <f>+J325+I326</f>
        <v>481443.22</v>
      </c>
      <c r="K326" s="19">
        <f>+EOMONTH(B326,0)</f>
        <v>46112</v>
      </c>
      <c r="L326" s="3" t="inlineStr">
        <is>
          <t>Checking – Operating</t>
        </is>
      </c>
      <c r="M326" s="3" t="inlineStr">
        <is>
          <t>Balance Sheet</t>
        </is>
      </c>
    </row>
    <row r="327">
      <c r="B327" s="39" t="n">
        <v>46094</v>
      </c>
      <c r="C327" s="3" t="inlineStr">
        <is>
          <t>Payroll Check</t>
        </is>
      </c>
      <c r="D327" s="3" t="inlineStr"/>
      <c r="E327" s="3" t="inlineStr">
        <is>
          <t>Tessarand Payroll Services</t>
        </is>
      </c>
      <c r="F327" s="3" t="inlineStr">
        <is>
          <t>Payroll processing fee</t>
        </is>
      </c>
      <c r="G327" s="3" t="inlineStr">
        <is>
          <t>Payroll Processing Fee</t>
        </is>
      </c>
      <c r="H327" s="3" t="inlineStr">
        <is>
          <t>Checking – Operating</t>
        </is>
      </c>
      <c r="I327" s="33" t="n">
        <v>-109.41</v>
      </c>
      <c r="J327" s="13">
        <f>+J326+I327</f>
        <v>481333.81</v>
      </c>
      <c r="K327" s="19">
        <f>+EOMONTH(B327,0)</f>
        <v>46112</v>
      </c>
      <c r="L327" s="3" t="inlineStr">
        <is>
          <t>Checking – Operating</t>
        </is>
      </c>
      <c r="M327" s="3" t="inlineStr">
        <is>
          <t>Balance Sheet</t>
        </is>
      </c>
    </row>
    <row r="328">
      <c r="B328" s="39" t="n">
        <v>46095</v>
      </c>
      <c r="C328" s="3" t="inlineStr">
        <is>
          <t>Bill Payment (Check)</t>
        </is>
      </c>
      <c r="D328" s="3" t="inlineStr"/>
      <c r="E328" s="3" t="inlineStr">
        <is>
          <t>Reagentix Corp</t>
        </is>
      </c>
      <c r="F328" s="3" t="inlineStr">
        <is>
          <t>Lab Expenses – March</t>
        </is>
      </c>
      <c r="G328" s="3" t="inlineStr">
        <is>
          <t>Accounts Payable</t>
        </is>
      </c>
      <c r="H328" s="3" t="inlineStr">
        <is>
          <t>Checking – Operating</t>
        </is>
      </c>
      <c r="I328" s="33" t="n">
        <v>-4130.99</v>
      </c>
      <c r="J328" s="13">
        <f>+J327+I328</f>
        <v>477202.82</v>
      </c>
      <c r="K328" s="19">
        <f>+EOMONTH(B328,0)</f>
        <v>46112</v>
      </c>
      <c r="L328" s="3" t="inlineStr">
        <is>
          <t>Checking – Operating</t>
        </is>
      </c>
      <c r="M328" s="3" t="inlineStr">
        <is>
          <t>Balance Sheet</t>
        </is>
      </c>
    </row>
    <row r="329">
      <c r="B329" s="39" t="n">
        <v>46095</v>
      </c>
      <c r="C329" s="3" t="inlineStr">
        <is>
          <t>Bill Payment (Check)</t>
        </is>
      </c>
      <c r="D329" s="3" t="inlineStr"/>
      <c r="E329" s="3" t="inlineStr">
        <is>
          <t>Reagentix Corp</t>
        </is>
      </c>
      <c r="F329" s="3" t="inlineStr">
        <is>
          <t>Lab supplies PO# F2573</t>
        </is>
      </c>
      <c r="G329" s="3" t="inlineStr">
        <is>
          <t>Accounts Payable</t>
        </is>
      </c>
      <c r="H329" s="3" t="inlineStr">
        <is>
          <t>Checking – Operating</t>
        </is>
      </c>
      <c r="I329" s="33" t="n">
        <v>-15904.31</v>
      </c>
      <c r="J329" s="13">
        <f>+J328+I329</f>
        <v>461298.51</v>
      </c>
      <c r="K329" s="19">
        <f>+EOMONTH(B329,0)</f>
        <v>46112</v>
      </c>
      <c r="L329" s="3" t="inlineStr">
        <is>
          <t>Checking – Operating</t>
        </is>
      </c>
      <c r="M329" s="3" t="inlineStr">
        <is>
          <t>Balance Sheet</t>
        </is>
      </c>
    </row>
    <row r="330">
      <c r="B330" s="39" t="n">
        <v>46095</v>
      </c>
      <c r="C330" s="3" t="inlineStr">
        <is>
          <t>Bill Payment (Check)</t>
        </is>
      </c>
      <c r="D330" s="3" t="inlineStr"/>
      <c r="E330" s="3" t="inlineStr">
        <is>
          <t>Lumenlease Equipment</t>
        </is>
      </c>
      <c r="F330" s="3" t="inlineStr">
        <is>
          <t>Lab Equipment – February</t>
        </is>
      </c>
      <c r="G330" s="3" t="inlineStr">
        <is>
          <t>Accounts Payable</t>
        </is>
      </c>
      <c r="H330" s="3" t="inlineStr">
        <is>
          <t>Checking – Operating</t>
        </is>
      </c>
      <c r="I330" s="33" t="n">
        <v>-2403.2</v>
      </c>
      <c r="J330" s="13">
        <f>+J329+I330</f>
        <v>458895.31</v>
      </c>
      <c r="K330" s="19">
        <f>+EOMONTH(B330,0)</f>
        <v>46112</v>
      </c>
      <c r="L330" s="3" t="inlineStr">
        <is>
          <t>Checking – Operating</t>
        </is>
      </c>
      <c r="M330" s="3" t="inlineStr">
        <is>
          <t>Balance Sheet</t>
        </is>
      </c>
    </row>
    <row r="331">
      <c r="B331" s="39" t="n">
        <v>46095</v>
      </c>
      <c r="C331" s="3" t="inlineStr">
        <is>
          <t>Deposit</t>
        </is>
      </c>
      <c r="D331" s="3" t="inlineStr"/>
      <c r="E331" s="3" t="inlineStr">
        <is>
          <t>State Program B</t>
        </is>
      </c>
      <c r="F331" s="3" t="inlineStr">
        <is>
          <t>ORIG CO NAME:STATE PROG B ORIG ID:XXXXXX7521 DESC DATE:260314 CO ENTRY DESCR:HCCLAIMPMT SEC:CCD TRACE#:XXXXXXXX1186445 EED:260314 IND ID:</t>
        </is>
      </c>
      <c r="G331" s="3" t="inlineStr">
        <is>
          <t>Service Income</t>
        </is>
      </c>
      <c r="H331" s="3" t="inlineStr">
        <is>
          <t>Checking – Operating</t>
        </is>
      </c>
      <c r="I331" s="33" t="n">
        <v>58249.86</v>
      </c>
      <c r="J331" s="13">
        <f>+J330+I331</f>
        <v>517145.17</v>
      </c>
      <c r="K331" s="19">
        <f>+EOMONTH(B331,0)</f>
        <v>46112</v>
      </c>
      <c r="L331" s="3" t="inlineStr">
        <is>
          <t>Checking – Operating</t>
        </is>
      </c>
      <c r="M331" s="3" t="inlineStr">
        <is>
          <t>Balance Sheet</t>
        </is>
      </c>
    </row>
    <row r="332">
      <c r="B332" s="39" t="n">
        <v>46095</v>
      </c>
      <c r="C332" s="3" t="inlineStr">
        <is>
          <t>Expense</t>
        </is>
      </c>
      <c r="D332" s="3" t="inlineStr"/>
      <c r="E332" s="3" t="inlineStr"/>
      <c r="F332" s="3" t="inlineStr">
        <is>
          <t>Bank service charges – March</t>
        </is>
      </c>
      <c r="G332" s="3" t="inlineStr">
        <is>
          <t>Bank Fees</t>
        </is>
      </c>
      <c r="H332" s="3" t="inlineStr">
        <is>
          <t>Checking – Operating</t>
        </is>
      </c>
      <c r="I332" s="33" t="n">
        <v>-1532.23</v>
      </c>
      <c r="J332" s="13">
        <f>+J331+I332</f>
        <v>515612.94</v>
      </c>
      <c r="K332" s="19">
        <f>+EOMONTH(B332,0)</f>
        <v>46112</v>
      </c>
      <c r="L332" s="3" t="inlineStr">
        <is>
          <t>Checking – Operating</t>
        </is>
      </c>
      <c r="M332" s="3" t="inlineStr">
        <is>
          <t>Balance Sheet</t>
        </is>
      </c>
    </row>
    <row r="333">
      <c r="B333" s="39" t="n">
        <v>46096</v>
      </c>
      <c r="C333" s="3" t="inlineStr">
        <is>
          <t>Bill Payment (Check)</t>
        </is>
      </c>
      <c r="D333" s="3" t="inlineStr"/>
      <c r="E333" s="3" t="inlineStr">
        <is>
          <t>Reference Lab A</t>
        </is>
      </c>
      <c r="F333" s="3" t="inlineStr">
        <is>
          <t>Send-out testing – February</t>
        </is>
      </c>
      <c r="G333" s="3" t="inlineStr">
        <is>
          <t>Accounts Payable</t>
        </is>
      </c>
      <c r="H333" s="3" t="inlineStr">
        <is>
          <t>Checking – Operating</t>
        </is>
      </c>
      <c r="I333" s="33" t="n">
        <v>-10503.16</v>
      </c>
      <c r="J333" s="13">
        <f>+J332+I333</f>
        <v>505109.78</v>
      </c>
      <c r="K333" s="19">
        <f>+EOMONTH(B333,0)</f>
        <v>46112</v>
      </c>
      <c r="L333" s="3" t="inlineStr">
        <is>
          <t>Checking – Operating</t>
        </is>
      </c>
      <c r="M333" s="3" t="inlineStr">
        <is>
          <t>Balance Sheet</t>
        </is>
      </c>
    </row>
    <row r="334">
      <c r="B334" s="39" t="n">
        <v>46096</v>
      </c>
      <c r="C334" s="3" t="inlineStr">
        <is>
          <t>Credit Card Expense</t>
        </is>
      </c>
      <c r="D334" s="3" t="inlineStr"/>
      <c r="E334" s="3" t="inlineStr">
        <is>
          <t>Vialtrace Lab Supplies Inc</t>
        </is>
      </c>
      <c r="F334" s="3" t="inlineStr">
        <is>
          <t>Office Supplies – March</t>
        </is>
      </c>
      <c r="G334" s="3" t="inlineStr">
        <is>
          <t>Office Supplies</t>
        </is>
      </c>
      <c r="H334" s="3" t="inlineStr">
        <is>
          <t>Checking – Operating</t>
        </is>
      </c>
      <c r="I334" s="33" t="n">
        <v>-1208.08</v>
      </c>
      <c r="J334" s="13">
        <f>+J333+I334</f>
        <v>503901.7</v>
      </c>
      <c r="K334" s="19">
        <f>+EOMONTH(B334,0)</f>
        <v>46112</v>
      </c>
      <c r="L334" s="3" t="inlineStr">
        <is>
          <t>Checking – Operating</t>
        </is>
      </c>
      <c r="M334" s="3" t="inlineStr">
        <is>
          <t>Balance Sheet</t>
        </is>
      </c>
    </row>
    <row r="335">
      <c r="B335" s="39" t="n">
        <v>46096</v>
      </c>
      <c r="C335" s="3" t="inlineStr">
        <is>
          <t>Expense</t>
        </is>
      </c>
      <c r="D335" s="3" t="inlineStr"/>
      <c r="E335" s="3" t="inlineStr">
        <is>
          <t>Ledgerquill Billing SaaS</t>
        </is>
      </c>
      <c r="F335" s="3" t="inlineStr">
        <is>
          <t>Dues &amp; Subscriptions – March</t>
        </is>
      </c>
      <c r="G335" s="3" t="inlineStr">
        <is>
          <t>Dues &amp; Subscriptions</t>
        </is>
      </c>
      <c r="H335" s="3" t="inlineStr">
        <is>
          <t>Checking – Operating</t>
        </is>
      </c>
      <c r="I335" s="33" t="n">
        <v>-786.01</v>
      </c>
      <c r="J335" s="13">
        <f>+J334+I335</f>
        <v>503115.69</v>
      </c>
      <c r="K335" s="19">
        <f>+EOMONTH(B335,0)</f>
        <v>46112</v>
      </c>
      <c r="L335" s="3" t="inlineStr">
        <is>
          <t>Checking – Operating</t>
        </is>
      </c>
      <c r="M335" s="3" t="inlineStr">
        <is>
          <t>Balance Sheet</t>
        </is>
      </c>
    </row>
    <row r="336">
      <c r="B336" s="39" t="n">
        <v>46096</v>
      </c>
      <c r="C336" s="3" t="inlineStr">
        <is>
          <t>Journal Entry</t>
        </is>
      </c>
      <c r="D336" s="3" t="inlineStr"/>
      <c r="E336" s="3" t="inlineStr">
        <is>
          <t>Tessarand Payroll Services</t>
        </is>
      </c>
      <c r="F336" s="3" t="inlineStr">
        <is>
          <t>Contractors – March</t>
        </is>
      </c>
      <c r="G336" s="3" t="inlineStr">
        <is>
          <t>Contractors</t>
        </is>
      </c>
      <c r="H336" s="3" t="inlineStr">
        <is>
          <t>Checking – Operating</t>
        </is>
      </c>
      <c r="I336" s="33" t="n">
        <v>-5368.54</v>
      </c>
      <c r="J336" s="13">
        <f>+J335+I336</f>
        <v>497747.15</v>
      </c>
      <c r="K336" s="19">
        <f>+EOMONTH(B336,0)</f>
        <v>46112</v>
      </c>
      <c r="L336" s="3" t="inlineStr">
        <is>
          <t>Checking – Operating</t>
        </is>
      </c>
      <c r="M336" s="3" t="inlineStr">
        <is>
          <t>Balance Sheet</t>
        </is>
      </c>
    </row>
    <row r="337">
      <c r="B337" s="39" t="n">
        <v>46097</v>
      </c>
      <c r="C337" s="3" t="inlineStr">
        <is>
          <t>Credit Card Expense</t>
        </is>
      </c>
      <c r="D337" s="3" t="inlineStr"/>
      <c r="E337" s="3" t="inlineStr"/>
      <c r="F337" s="3" t="inlineStr">
        <is>
          <t>Patient refund</t>
        </is>
      </c>
      <c r="G337" s="3" t="inlineStr">
        <is>
          <t>Refunds</t>
        </is>
      </c>
      <c r="H337" s="3" t="inlineStr">
        <is>
          <t>Checking – Operating</t>
        </is>
      </c>
      <c r="I337" s="33" t="n">
        <v>-2574.29</v>
      </c>
      <c r="J337" s="13">
        <f>+J336+I337</f>
        <v>495172.86</v>
      </c>
      <c r="K337" s="19">
        <f>+EOMONTH(B337,0)</f>
        <v>46112</v>
      </c>
      <c r="L337" s="3" t="inlineStr">
        <is>
          <t>Checking – Operating</t>
        </is>
      </c>
      <c r="M337" s="3" t="inlineStr">
        <is>
          <t>Balance Sheet</t>
        </is>
      </c>
    </row>
    <row r="338">
      <c r="B338" s="39" t="n">
        <v>46097</v>
      </c>
      <c r="C338" s="3" t="inlineStr">
        <is>
          <t>Deposit</t>
        </is>
      </c>
      <c r="D338" s="3" t="inlineStr"/>
      <c r="E338" s="3" t="inlineStr">
        <is>
          <t>Cobaltmere Health</t>
        </is>
      </c>
      <c r="F338" s="3" t="inlineStr">
        <is>
          <t>ORIG CO NAME:COBALTMERE HEALTH ORIG ID:XXXXXX2663 DESC DATE:260316 CO ENTRY DESCR:HCCLAIMPMT SEC:CCD TRACE#:XXXXXXXX8480936 EED:260316 IND ID:</t>
        </is>
      </c>
      <c r="G338" s="3" t="inlineStr">
        <is>
          <t>Service Income</t>
        </is>
      </c>
      <c r="H338" s="3" t="inlineStr">
        <is>
          <t>Checking – Operating</t>
        </is>
      </c>
      <c r="I338" s="33" t="n">
        <v>19160.3</v>
      </c>
      <c r="J338" s="13">
        <f>+J337+I338</f>
        <v>514333.16</v>
      </c>
      <c r="K338" s="19">
        <f>+EOMONTH(B338,0)</f>
        <v>46112</v>
      </c>
      <c r="L338" s="3" t="inlineStr">
        <is>
          <t>Checking – Operating</t>
        </is>
      </c>
      <c r="M338" s="3" t="inlineStr">
        <is>
          <t>Balance Sheet</t>
        </is>
      </c>
    </row>
    <row r="339">
      <c r="B339" s="39" t="n">
        <v>46097</v>
      </c>
      <c r="C339" s="3" t="inlineStr">
        <is>
          <t>Expense</t>
        </is>
      </c>
      <c r="D339" s="3" t="inlineStr"/>
      <c r="E339" s="3" t="inlineStr"/>
      <c r="F339" s="3" t="inlineStr">
        <is>
          <t>Gas – March</t>
        </is>
      </c>
      <c r="G339" s="3" t="inlineStr">
        <is>
          <t>Gas</t>
        </is>
      </c>
      <c r="H339" s="3" t="inlineStr">
        <is>
          <t>Checking – Operating</t>
        </is>
      </c>
      <c r="I339" s="33" t="n">
        <v>-589.33</v>
      </c>
      <c r="J339" s="13">
        <f>+J338+I339</f>
        <v>513743.83</v>
      </c>
      <c r="K339" s="19">
        <f>+EOMONTH(B339,0)</f>
        <v>46112</v>
      </c>
      <c r="L339" s="3" t="inlineStr">
        <is>
          <t>Checking – Operating</t>
        </is>
      </c>
      <c r="M339" s="3" t="inlineStr">
        <is>
          <t>Balance Sheet</t>
        </is>
      </c>
    </row>
    <row r="340">
      <c r="B340" s="39" t="n">
        <v>46097</v>
      </c>
      <c r="C340" s="3" t="inlineStr">
        <is>
          <t>Expense</t>
        </is>
      </c>
      <c r="D340" s="3" t="inlineStr"/>
      <c r="E340" s="3" t="inlineStr">
        <is>
          <t>Ledgerquill Billing SaaS</t>
        </is>
      </c>
      <c r="F340" s="3" t="inlineStr">
        <is>
          <t>Interface Service – March</t>
        </is>
      </c>
      <c r="G340" s="3" t="inlineStr">
        <is>
          <t>Interface Service</t>
        </is>
      </c>
      <c r="H340" s="3" t="inlineStr">
        <is>
          <t>Checking – Operating</t>
        </is>
      </c>
      <c r="I340" s="33" t="n">
        <v>-1715.64</v>
      </c>
      <c r="J340" s="13">
        <f>+J339+I340</f>
        <v>512028.19</v>
      </c>
      <c r="K340" s="19">
        <f>+EOMONTH(B340,0)</f>
        <v>46112</v>
      </c>
      <c r="L340" s="3" t="inlineStr">
        <is>
          <t>Checking – Operating</t>
        </is>
      </c>
      <c r="M340" s="3" t="inlineStr">
        <is>
          <t>Balance Sheet</t>
        </is>
      </c>
    </row>
    <row r="341">
      <c r="B341" s="39" t="n">
        <v>46097</v>
      </c>
      <c r="C341" s="3" t="inlineStr">
        <is>
          <t>Journal Entry</t>
        </is>
      </c>
      <c r="D341" s="3" t="inlineStr"/>
      <c r="E341" s="3" t="inlineStr"/>
      <c r="F341" s="3" t="inlineStr">
        <is>
          <t>Patient refund</t>
        </is>
      </c>
      <c r="G341" s="3" t="inlineStr">
        <is>
          <t>Refunds</t>
        </is>
      </c>
      <c r="H341" s="3" t="inlineStr">
        <is>
          <t>Checking – Operating</t>
        </is>
      </c>
      <c r="I341" s="33" t="n">
        <v>-3995.32</v>
      </c>
      <c r="J341" s="13">
        <f>+J340+I341</f>
        <v>508032.87</v>
      </c>
      <c r="K341" s="19">
        <f>+EOMONTH(B341,0)</f>
        <v>46112</v>
      </c>
      <c r="L341" s="3" t="inlineStr">
        <is>
          <t>Checking – Operating</t>
        </is>
      </c>
      <c r="M341" s="3" t="inlineStr">
        <is>
          <t>Balance Sheet</t>
        </is>
      </c>
    </row>
    <row r="342">
      <c r="B342" s="39" t="n">
        <v>46097</v>
      </c>
      <c r="C342" s="3" t="inlineStr">
        <is>
          <t>Payroll Check</t>
        </is>
      </c>
      <c r="D342" s="3" t="inlineStr"/>
      <c r="E342" s="3" t="inlineStr">
        <is>
          <t>Tessarand Payroll Services</t>
        </is>
      </c>
      <c r="F342" s="3" t="inlineStr">
        <is>
          <t>Payroll processing fee</t>
        </is>
      </c>
      <c r="G342" s="3" t="inlineStr">
        <is>
          <t>Payroll Processing Fee</t>
        </is>
      </c>
      <c r="H342" s="3" t="inlineStr">
        <is>
          <t>Checking – Operating</t>
        </is>
      </c>
      <c r="I342" s="33" t="n">
        <v>-130.59</v>
      </c>
      <c r="J342" s="13">
        <f>+J341+I342</f>
        <v>507902.28</v>
      </c>
      <c r="K342" s="19">
        <f>+EOMONTH(B342,0)</f>
        <v>46112</v>
      </c>
      <c r="L342" s="3" t="inlineStr">
        <is>
          <t>Checking – Operating</t>
        </is>
      </c>
      <c r="M342" s="3" t="inlineStr">
        <is>
          <t>Balance Sheet</t>
        </is>
      </c>
    </row>
    <row r="343">
      <c r="B343" s="39" t="n">
        <v>46098</v>
      </c>
      <c r="C343" s="3" t="inlineStr">
        <is>
          <t>Bill Payment (Check)</t>
        </is>
      </c>
      <c r="D343" s="3" t="inlineStr"/>
      <c r="E343" s="3" t="inlineStr">
        <is>
          <t>Tarrowmere Mutual Insurance</t>
        </is>
      </c>
      <c r="F343" s="3" t="inlineStr">
        <is>
          <t>Benefits – February</t>
        </is>
      </c>
      <c r="G343" s="3" t="inlineStr">
        <is>
          <t>Accounts Payable</t>
        </is>
      </c>
      <c r="H343" s="3" t="inlineStr">
        <is>
          <t>Checking – Operating</t>
        </is>
      </c>
      <c r="I343" s="33" t="n">
        <v>-4930.75</v>
      </c>
      <c r="J343" s="13">
        <f>+J342+I343</f>
        <v>502971.53</v>
      </c>
      <c r="K343" s="19">
        <f>+EOMONTH(B343,0)</f>
        <v>46112</v>
      </c>
      <c r="L343" s="3" t="inlineStr">
        <is>
          <t>Checking – Operating</t>
        </is>
      </c>
      <c r="M343" s="3" t="inlineStr">
        <is>
          <t>Balance Sheet</t>
        </is>
      </c>
    </row>
    <row r="344">
      <c r="B344" s="39" t="n">
        <v>46098</v>
      </c>
      <c r="C344" s="3" t="inlineStr">
        <is>
          <t>Expense</t>
        </is>
      </c>
      <c r="D344" s="3" t="inlineStr"/>
      <c r="E344" s="3" t="inlineStr"/>
      <c r="F344" s="3" t="inlineStr">
        <is>
          <t>Property tax installment</t>
        </is>
      </c>
      <c r="G344" s="3" t="inlineStr">
        <is>
          <t>Property tax</t>
        </is>
      </c>
      <c r="H344" s="3" t="inlineStr">
        <is>
          <t>Checking – Operating</t>
        </is>
      </c>
      <c r="I344" s="33" t="n">
        <v>-839.55</v>
      </c>
      <c r="J344" s="13">
        <f>+J343+I344</f>
        <v>502131.98</v>
      </c>
      <c r="K344" s="19">
        <f>+EOMONTH(B344,0)</f>
        <v>46112</v>
      </c>
      <c r="L344" s="3" t="inlineStr">
        <is>
          <t>Checking – Operating</t>
        </is>
      </c>
      <c r="M344" s="3" t="inlineStr">
        <is>
          <t>Balance Sheet</t>
        </is>
      </c>
    </row>
    <row r="345">
      <c r="B345" s="39" t="n">
        <v>46098</v>
      </c>
      <c r="C345" s="3" t="inlineStr">
        <is>
          <t>Expense</t>
        </is>
      </c>
      <c r="D345" s="3" t="inlineStr"/>
      <c r="E345" s="3" t="inlineStr">
        <is>
          <t>Vialtrace Lab Supplies Inc</t>
        </is>
      </c>
      <c r="F345" s="3" t="inlineStr">
        <is>
          <t>QAQC – March</t>
        </is>
      </c>
      <c r="G345" s="3" t="inlineStr">
        <is>
          <t>QAQC</t>
        </is>
      </c>
      <c r="H345" s="3" t="inlineStr">
        <is>
          <t>Checking – Operating</t>
        </is>
      </c>
      <c r="I345" s="33" t="n">
        <v>-1844.75</v>
      </c>
      <c r="J345" s="13">
        <f>+J344+I345</f>
        <v>500287.23</v>
      </c>
      <c r="K345" s="19">
        <f>+EOMONTH(B345,0)</f>
        <v>46112</v>
      </c>
      <c r="L345" s="3" t="inlineStr">
        <is>
          <t>Checking – Operating</t>
        </is>
      </c>
      <c r="M345" s="3" t="inlineStr">
        <is>
          <t>Balance Sheet</t>
        </is>
      </c>
    </row>
    <row r="346">
      <c r="B346" s="39" t="n">
        <v>46098</v>
      </c>
      <c r="C346" s="3" t="inlineStr">
        <is>
          <t>Journal Entry</t>
        </is>
      </c>
      <c r="D346" s="3" t="inlineStr"/>
      <c r="E346" s="3" t="inlineStr">
        <is>
          <t>Lumenlease Equipment</t>
        </is>
      </c>
      <c r="F346" s="3" t="inlineStr">
        <is>
          <t>Repairs and Maintenance – March</t>
        </is>
      </c>
      <c r="G346" s="3" t="inlineStr">
        <is>
          <t>Repairs and Maintenance</t>
        </is>
      </c>
      <c r="H346" s="3" t="inlineStr">
        <is>
          <t>Checking – Operating</t>
        </is>
      </c>
      <c r="I346" s="33" t="n">
        <v>-2172.79</v>
      </c>
      <c r="J346" s="13">
        <f>+J345+I346</f>
        <v>498114.44</v>
      </c>
      <c r="K346" s="19">
        <f>+EOMONTH(B346,0)</f>
        <v>46112</v>
      </c>
      <c r="L346" s="3" t="inlineStr">
        <is>
          <t>Checking – Operating</t>
        </is>
      </c>
      <c r="M346" s="3" t="inlineStr">
        <is>
          <t>Balance Sheet</t>
        </is>
      </c>
    </row>
    <row r="347">
      <c r="B347" s="39" t="n">
        <v>46099</v>
      </c>
      <c r="C347" s="3" t="inlineStr">
        <is>
          <t>Bill Payment (Check)</t>
        </is>
      </c>
      <c r="D347" s="3" t="inlineStr"/>
      <c r="E347" s="3" t="inlineStr">
        <is>
          <t>Reagentix Corp</t>
        </is>
      </c>
      <c r="F347" s="3" t="inlineStr">
        <is>
          <t>Lab supplies PO# F2253</t>
        </is>
      </c>
      <c r="G347" s="3" t="inlineStr">
        <is>
          <t>Accounts Payable</t>
        </is>
      </c>
      <c r="H347" s="3" t="inlineStr">
        <is>
          <t>Checking – Operating</t>
        </is>
      </c>
      <c r="I347" s="33" t="n">
        <v>-16814.32</v>
      </c>
      <c r="J347" s="13">
        <f>+J346+I347</f>
        <v>481300.12</v>
      </c>
      <c r="K347" s="19">
        <f>+EOMONTH(B347,0)</f>
        <v>46112</v>
      </c>
      <c r="L347" s="3" t="inlineStr">
        <is>
          <t>Checking – Operating</t>
        </is>
      </c>
      <c r="M347" s="3" t="inlineStr">
        <is>
          <t>Balance Sheet</t>
        </is>
      </c>
    </row>
    <row r="348">
      <c r="B348" s="39" t="n">
        <v>46099</v>
      </c>
      <c r="C348" s="3" t="inlineStr">
        <is>
          <t>Credit Card Expense</t>
        </is>
      </c>
      <c r="D348" s="3" t="inlineStr"/>
      <c r="E348" s="3" t="inlineStr">
        <is>
          <t>Vialtrace Lab Supplies Inc</t>
        </is>
      </c>
      <c r="F348" s="3" t="inlineStr">
        <is>
          <t>Office Supplies – March</t>
        </is>
      </c>
      <c r="G348" s="3" t="inlineStr">
        <is>
          <t>Office Supplies</t>
        </is>
      </c>
      <c r="H348" s="3" t="inlineStr">
        <is>
          <t>Checking – Operating</t>
        </is>
      </c>
      <c r="I348" s="33" t="n">
        <v>-2151.92</v>
      </c>
      <c r="J348" s="13">
        <f>+J347+I348</f>
        <v>479148.2</v>
      </c>
      <c r="K348" s="19">
        <f>+EOMONTH(B348,0)</f>
        <v>46112</v>
      </c>
      <c r="L348" s="3" t="inlineStr">
        <is>
          <t>Checking – Operating</t>
        </is>
      </c>
      <c r="M348" s="3" t="inlineStr">
        <is>
          <t>Balance Sheet</t>
        </is>
      </c>
    </row>
    <row r="349">
      <c r="B349" s="39" t="n">
        <v>46099</v>
      </c>
      <c r="C349" s="3" t="inlineStr">
        <is>
          <t>Credit Card Expense</t>
        </is>
      </c>
      <c r="D349" s="3" t="inlineStr"/>
      <c r="E349" s="3" t="inlineStr">
        <is>
          <t>Tessarand Payroll Services</t>
        </is>
      </c>
      <c r="F349" s="3" t="inlineStr">
        <is>
          <t>Sales and Marketing Expenses – March</t>
        </is>
      </c>
      <c r="G349" s="3" t="inlineStr">
        <is>
          <t>Sales and Marketing Expenses</t>
        </is>
      </c>
      <c r="H349" s="3" t="inlineStr">
        <is>
          <t>Checking – Operating</t>
        </is>
      </c>
      <c r="I349" s="33" t="n">
        <v>-14858.45</v>
      </c>
      <c r="J349" s="13">
        <f>+J348+I349</f>
        <v>464289.75</v>
      </c>
      <c r="K349" s="19">
        <f>+EOMONTH(B349,0)</f>
        <v>46112</v>
      </c>
      <c r="L349" s="3" t="inlineStr">
        <is>
          <t>Checking – Operating</t>
        </is>
      </c>
      <c r="M349" s="3" t="inlineStr">
        <is>
          <t>Balance Sheet</t>
        </is>
      </c>
    </row>
    <row r="350">
      <c r="B350" s="39" t="n">
        <v>46099</v>
      </c>
      <c r="C350" s="3" t="inlineStr">
        <is>
          <t>Expense</t>
        </is>
      </c>
      <c r="D350" s="3" t="inlineStr"/>
      <c r="E350" s="3" t="inlineStr">
        <is>
          <t>Union Utilities</t>
        </is>
      </c>
      <c r="F350" s="3" t="inlineStr">
        <is>
          <t>Telecom and Internet – March</t>
        </is>
      </c>
      <c r="G350" s="3" t="inlineStr">
        <is>
          <t>Telecom and Internet</t>
        </is>
      </c>
      <c r="H350" s="3" t="inlineStr">
        <is>
          <t>Checking – Operating</t>
        </is>
      </c>
      <c r="I350" s="33" t="n">
        <v>-2273.17</v>
      </c>
      <c r="J350" s="13">
        <f>+J349+I350</f>
        <v>462016.58</v>
      </c>
      <c r="K350" s="19">
        <f>+EOMONTH(B350,0)</f>
        <v>46112</v>
      </c>
      <c r="L350" s="3" t="inlineStr">
        <is>
          <t>Checking – Operating</t>
        </is>
      </c>
      <c r="M350" s="3" t="inlineStr">
        <is>
          <t>Balance Sheet</t>
        </is>
      </c>
    </row>
    <row r="351">
      <c r="B351" s="39" t="n">
        <v>46100</v>
      </c>
      <c r="C351" s="3" t="inlineStr">
        <is>
          <t>Bill Payment (Check)</t>
        </is>
      </c>
      <c r="D351" s="3" t="inlineStr"/>
      <c r="E351" s="3" t="inlineStr">
        <is>
          <t>Tarrowmere Mutual Insurance</t>
        </is>
      </c>
      <c r="F351" s="3" t="inlineStr">
        <is>
          <t>Premium installment</t>
        </is>
      </c>
      <c r="G351" s="3" t="inlineStr">
        <is>
          <t>Accounts Payable</t>
        </is>
      </c>
      <c r="H351" s="3" t="inlineStr">
        <is>
          <t>Checking – Operating</t>
        </is>
      </c>
      <c r="I351" s="33" t="n">
        <v>-8175.09</v>
      </c>
      <c r="J351" s="13">
        <f>+J350+I351</f>
        <v>453841.49</v>
      </c>
      <c r="K351" s="19">
        <f>+EOMONTH(B351,0)</f>
        <v>46112</v>
      </c>
      <c r="L351" s="3" t="inlineStr">
        <is>
          <t>Checking – Operating</t>
        </is>
      </c>
      <c r="M351" s="3" t="inlineStr">
        <is>
          <t>Balance Sheet</t>
        </is>
      </c>
    </row>
    <row r="352">
      <c r="B352" s="39" t="n">
        <v>46100</v>
      </c>
      <c r="C352" s="3" t="inlineStr">
        <is>
          <t>Deposit</t>
        </is>
      </c>
      <c r="D352" s="3" t="inlineStr"/>
      <c r="E352" s="3" t="inlineStr">
        <is>
          <t>Lanternway Benefits</t>
        </is>
      </c>
      <c r="F352" s="3" t="inlineStr">
        <is>
          <t>ORIG CO NAME:LANTERNWAY BEN ORIG ID:XXXXXX7977 DESC DATE:260319 CO ENTRY DESCR:HCCLAIMPMT SEC:CCD TRACE#:XXXXXXXX1271175 EED:260319 IND ID:</t>
        </is>
      </c>
      <c r="G352" s="3" t="inlineStr">
        <is>
          <t>Service Income</t>
        </is>
      </c>
      <c r="H352" s="3" t="inlineStr">
        <is>
          <t>Checking – Operating</t>
        </is>
      </c>
      <c r="I352" s="33" t="n">
        <v>29344.02</v>
      </c>
      <c r="J352" s="13">
        <f>+J351+I352</f>
        <v>483185.51</v>
      </c>
      <c r="K352" s="19">
        <f>+EOMONTH(B352,0)</f>
        <v>46112</v>
      </c>
      <c r="L352" s="3" t="inlineStr">
        <is>
          <t>Checking – Operating</t>
        </is>
      </c>
      <c r="M352" s="3" t="inlineStr">
        <is>
          <t>Balance Sheet</t>
        </is>
      </c>
    </row>
    <row r="353">
      <c r="B353" s="39" t="n">
        <v>46100</v>
      </c>
      <c r="C353" s="3" t="inlineStr">
        <is>
          <t>Deposit</t>
        </is>
      </c>
      <c r="D353" s="3" t="inlineStr"/>
      <c r="E353" s="3" t="inlineStr">
        <is>
          <t>Cobaltmere Health</t>
        </is>
      </c>
      <c r="F353" s="3" t="inlineStr">
        <is>
          <t>ORIG CO NAME:COBALTMERE HEALTH ORIG ID:XXXXXX1223 DESC DATE:260319 CO ENTRY DESCR:HCCLAIMPMT SEC:CCD TRACE#:XXXXXXXX3609371 EED:260319 IND ID:</t>
        </is>
      </c>
      <c r="G353" s="3" t="inlineStr">
        <is>
          <t>Service Income</t>
        </is>
      </c>
      <c r="H353" s="3" t="inlineStr">
        <is>
          <t>Checking – Operating</t>
        </is>
      </c>
      <c r="I353" s="33" t="n">
        <v>34884.22</v>
      </c>
      <c r="J353" s="13">
        <f>+J352+I353</f>
        <v>518069.73</v>
      </c>
      <c r="K353" s="19">
        <f>+EOMONTH(B353,0)</f>
        <v>46112</v>
      </c>
      <c r="L353" s="3" t="inlineStr">
        <is>
          <t>Checking – Operating</t>
        </is>
      </c>
      <c r="M353" s="3" t="inlineStr">
        <is>
          <t>Balance Sheet</t>
        </is>
      </c>
    </row>
    <row r="354">
      <c r="B354" s="39" t="n">
        <v>46100</v>
      </c>
      <c r="C354" s="3" t="inlineStr">
        <is>
          <t>Expense</t>
        </is>
      </c>
      <c r="D354" s="3" t="inlineStr"/>
      <c r="E354" s="3" t="inlineStr">
        <is>
          <t>Halloway Ridge Realty (rent)</t>
        </is>
      </c>
      <c r="F354" s="3" t="inlineStr">
        <is>
          <t>Landscaping – March</t>
        </is>
      </c>
      <c r="G354" s="3" t="inlineStr">
        <is>
          <t>Landscaping</t>
        </is>
      </c>
      <c r="H354" s="3" t="inlineStr">
        <is>
          <t>Checking – Operating</t>
        </is>
      </c>
      <c r="I354" s="33" t="n">
        <v>-1128.82</v>
      </c>
      <c r="J354" s="13">
        <f>+J353+I354</f>
        <v>516940.91</v>
      </c>
      <c r="K354" s="19">
        <f>+EOMONTH(B354,0)</f>
        <v>46112</v>
      </c>
      <c r="L354" s="3" t="inlineStr">
        <is>
          <t>Checking – Operating</t>
        </is>
      </c>
      <c r="M354" s="3" t="inlineStr">
        <is>
          <t>Balance Sheet</t>
        </is>
      </c>
    </row>
    <row r="355">
      <c r="B355" s="39" t="n">
        <v>46101</v>
      </c>
      <c r="C355" s="3" t="inlineStr">
        <is>
          <t>Expense</t>
        </is>
      </c>
      <c r="D355" s="3" t="inlineStr"/>
      <c r="E355" s="3" t="inlineStr"/>
      <c r="F355" s="3" t="inlineStr">
        <is>
          <t>Taxes and Licenses – March</t>
        </is>
      </c>
      <c r="G355" s="3" t="inlineStr">
        <is>
          <t>Taxes and Licenses</t>
        </is>
      </c>
      <c r="H355" s="3" t="inlineStr">
        <is>
          <t>Checking – Operating</t>
        </is>
      </c>
      <c r="I355" s="33" t="n">
        <v>-380.05</v>
      </c>
      <c r="J355" s="13">
        <f>+J354+I355</f>
        <v>516560.86</v>
      </c>
      <c r="K355" s="19">
        <f>+EOMONTH(B355,0)</f>
        <v>46112</v>
      </c>
      <c r="L355" s="3" t="inlineStr">
        <is>
          <t>Checking – Operating</t>
        </is>
      </c>
      <c r="M355" s="3" t="inlineStr">
        <is>
          <t>Balance Sheet</t>
        </is>
      </c>
    </row>
    <row r="356">
      <c r="B356" s="39" t="n">
        <v>46101</v>
      </c>
      <c r="C356" s="3" t="inlineStr">
        <is>
          <t>Payroll Check</t>
        </is>
      </c>
      <c r="D356" s="3" t="inlineStr"/>
      <c r="E356" s="3" t="inlineStr">
        <is>
          <t>Tessarand Payroll Services</t>
        </is>
      </c>
      <c r="F356" s="3" t="inlineStr">
        <is>
          <t>Payroll – biweekly</t>
        </is>
      </c>
      <c r="G356" s="3" t="inlineStr">
        <is>
          <t>Salaries and Wages</t>
        </is>
      </c>
      <c r="H356" s="3" t="inlineStr">
        <is>
          <t>Checking – Operating</t>
        </is>
      </c>
      <c r="I356" s="33" t="n">
        <v>-159507.5</v>
      </c>
      <c r="J356" s="13">
        <f>+J355+I356</f>
        <v>357053.36</v>
      </c>
      <c r="K356" s="19">
        <f>+EOMONTH(B356,0)</f>
        <v>46112</v>
      </c>
      <c r="L356" s="3" t="inlineStr">
        <is>
          <t>Checking – Operating</t>
        </is>
      </c>
      <c r="M356" s="3" t="inlineStr">
        <is>
          <t>Balance Sheet</t>
        </is>
      </c>
    </row>
    <row r="357">
      <c r="B357" s="39" t="n">
        <v>46102</v>
      </c>
      <c r="C357" s="3" t="inlineStr">
        <is>
          <t>Expense</t>
        </is>
      </c>
      <c r="D357" s="3" t="inlineStr"/>
      <c r="E357" s="3" t="inlineStr">
        <is>
          <t>Ledgerquill Billing SaaS</t>
        </is>
      </c>
      <c r="F357" s="3" t="inlineStr">
        <is>
          <t>Dues &amp; Subscriptions – March</t>
        </is>
      </c>
      <c r="G357" s="3" t="inlineStr">
        <is>
          <t>Dues &amp; Subscriptions</t>
        </is>
      </c>
      <c r="H357" s="3" t="inlineStr">
        <is>
          <t>Checking – Operating</t>
        </is>
      </c>
      <c r="I357" s="33" t="n">
        <v>-913.99</v>
      </c>
      <c r="J357" s="13">
        <f>+J356+I357</f>
        <v>356139.37</v>
      </c>
      <c r="K357" s="19">
        <f>+EOMONTH(B357,0)</f>
        <v>46112</v>
      </c>
      <c r="L357" s="3" t="inlineStr">
        <is>
          <t>Checking – Operating</t>
        </is>
      </c>
      <c r="M357" s="3" t="inlineStr">
        <is>
          <t>Balance Sheet</t>
        </is>
      </c>
    </row>
    <row r="358">
      <c r="B358" s="39" t="n">
        <v>46102</v>
      </c>
      <c r="C358" s="3" t="inlineStr">
        <is>
          <t>Expense</t>
        </is>
      </c>
      <c r="D358" s="3" t="inlineStr"/>
      <c r="E358" s="3" t="inlineStr"/>
      <c r="F358" s="3" t="inlineStr">
        <is>
          <t>Car expense – March</t>
        </is>
      </c>
      <c r="G358" s="3" t="inlineStr">
        <is>
          <t>Car expense</t>
        </is>
      </c>
      <c r="H358" s="3" t="inlineStr">
        <is>
          <t>Checking – Operating</t>
        </is>
      </c>
      <c r="I358" s="33" t="n">
        <v>-597.09</v>
      </c>
      <c r="J358" s="13">
        <f>+J357+I358</f>
        <v>355542.28</v>
      </c>
      <c r="K358" s="19">
        <f>+EOMONTH(B358,0)</f>
        <v>46112</v>
      </c>
      <c r="L358" s="3" t="inlineStr">
        <is>
          <t>Checking – Operating</t>
        </is>
      </c>
      <c r="M358" s="3" t="inlineStr">
        <is>
          <t>Balance Sheet</t>
        </is>
      </c>
    </row>
    <row r="359">
      <c r="B359" s="39" t="n">
        <v>46103</v>
      </c>
      <c r="C359" s="3" t="inlineStr">
        <is>
          <t>Bill Payment (Check)</t>
        </is>
      </c>
      <c r="D359" s="3" t="inlineStr"/>
      <c r="E359" s="3" t="inlineStr">
        <is>
          <t>Tarrowmere Mutual Insurance</t>
        </is>
      </c>
      <c r="F359" s="3" t="inlineStr">
        <is>
          <t>Premium installment</t>
        </is>
      </c>
      <c r="G359" s="3" t="inlineStr">
        <is>
          <t>Accounts Payable</t>
        </is>
      </c>
      <c r="H359" s="3" t="inlineStr">
        <is>
          <t>Checking – Operating</t>
        </is>
      </c>
      <c r="I359" s="33" t="n">
        <v>-5608.13</v>
      </c>
      <c r="J359" s="13">
        <f>+J358+I359</f>
        <v>349934.15</v>
      </c>
      <c r="K359" s="19">
        <f>+EOMONTH(B359,0)</f>
        <v>46112</v>
      </c>
      <c r="L359" s="3" t="inlineStr">
        <is>
          <t>Checking – Operating</t>
        </is>
      </c>
      <c r="M359" s="3" t="inlineStr">
        <is>
          <t>Balance Sheet</t>
        </is>
      </c>
    </row>
    <row r="360">
      <c r="B360" s="39" t="n">
        <v>46103</v>
      </c>
      <c r="C360" s="3" t="inlineStr">
        <is>
          <t>Credit Card Expense</t>
        </is>
      </c>
      <c r="D360" s="3" t="inlineStr"/>
      <c r="E360" s="3" t="inlineStr">
        <is>
          <t>Tessarand Payroll Services</t>
        </is>
      </c>
      <c r="F360" s="3" t="inlineStr">
        <is>
          <t>Recruitment – March</t>
        </is>
      </c>
      <c r="G360" s="3" t="inlineStr">
        <is>
          <t>Recruitment</t>
        </is>
      </c>
      <c r="H360" s="3" t="inlineStr">
        <is>
          <t>Checking – Operating</t>
        </is>
      </c>
      <c r="I360" s="33" t="n">
        <v>-1376.91</v>
      </c>
      <c r="J360" s="13">
        <f>+J359+I360</f>
        <v>348557.24</v>
      </c>
      <c r="K360" s="19">
        <f>+EOMONTH(B360,0)</f>
        <v>46112</v>
      </c>
      <c r="L360" s="3" t="inlineStr">
        <is>
          <t>Checking – Operating</t>
        </is>
      </c>
      <c r="M360" s="3" t="inlineStr">
        <is>
          <t>Balance Sheet</t>
        </is>
      </c>
    </row>
    <row r="361">
      <c r="B361" s="39" t="n">
        <v>46103</v>
      </c>
      <c r="C361" s="3" t="inlineStr">
        <is>
          <t>Deposit</t>
        </is>
      </c>
      <c r="D361" s="3" t="inlineStr"/>
      <c r="E361" s="3" t="inlineStr">
        <is>
          <t>Silvermoss Senior Living</t>
        </is>
      </c>
      <c r="F361" s="3" t="inlineStr">
        <is>
          <t>ORIG CO NAME:SILVERMOSS SL ORIG ID:XXXXXX9696 DESC DATE:260322 CO ENTRY DESCR:HCCLAIMPMT SEC:CCD TRACE#:XXXXXXXX5945567 EED:260322 IND ID:</t>
        </is>
      </c>
      <c r="G361" s="3" t="inlineStr">
        <is>
          <t>Service Income</t>
        </is>
      </c>
      <c r="H361" s="3" t="inlineStr">
        <is>
          <t>Checking – Operating</t>
        </is>
      </c>
      <c r="I361" s="33" t="n">
        <v>47342.16</v>
      </c>
      <c r="J361" s="13">
        <f>+J360+I361</f>
        <v>395899.4</v>
      </c>
      <c r="K361" s="19">
        <f>+EOMONTH(B361,0)</f>
        <v>46112</v>
      </c>
      <c r="L361" s="3" t="inlineStr">
        <is>
          <t>Checking – Operating</t>
        </is>
      </c>
      <c r="M361" s="3" t="inlineStr">
        <is>
          <t>Balance Sheet</t>
        </is>
      </c>
    </row>
    <row r="362">
      <c r="B362" s="39" t="n">
        <v>46103</v>
      </c>
      <c r="C362" s="3" t="inlineStr">
        <is>
          <t>Deposit</t>
        </is>
      </c>
      <c r="D362" s="3" t="inlineStr"/>
      <c r="E362" s="3" t="inlineStr">
        <is>
          <t>Lanternway Benefits</t>
        </is>
      </c>
      <c r="F362" s="3" t="inlineStr">
        <is>
          <t>ORIG CO NAME:LANTERNWAY BEN ORIG ID:XXXXXX2164 DESC DATE:260322 CO ENTRY DESCR:HCCLAIMPMT SEC:CCD TRACE#:XXXXXXXX4652944 EED:260322 IND ID:</t>
        </is>
      </c>
      <c r="G362" s="3" t="inlineStr">
        <is>
          <t>Service Income</t>
        </is>
      </c>
      <c r="H362" s="3" t="inlineStr">
        <is>
          <t>Checking – Operating</t>
        </is>
      </c>
      <c r="I362" s="33" t="n">
        <v>38074.97</v>
      </c>
      <c r="J362" s="13">
        <f>+J361+I362</f>
        <v>433974.37</v>
      </c>
      <c r="K362" s="19">
        <f>+EOMONTH(B362,0)</f>
        <v>46112</v>
      </c>
      <c r="L362" s="3" t="inlineStr">
        <is>
          <t>Checking – Operating</t>
        </is>
      </c>
      <c r="M362" s="3" t="inlineStr">
        <is>
          <t>Balance Sheet</t>
        </is>
      </c>
    </row>
    <row r="363">
      <c r="B363" s="39" t="n">
        <v>46103</v>
      </c>
      <c r="C363" s="3" t="inlineStr">
        <is>
          <t>Expense</t>
        </is>
      </c>
      <c r="D363" s="3" t="inlineStr"/>
      <c r="E363" s="3" t="inlineStr">
        <is>
          <t>Consultant A</t>
        </is>
      </c>
      <c r="F363" s="3" t="inlineStr">
        <is>
          <t>Consulting – March</t>
        </is>
      </c>
      <c r="G363" s="3" t="inlineStr">
        <is>
          <t>Consulting</t>
        </is>
      </c>
      <c r="H363" s="3" t="inlineStr">
        <is>
          <t>Checking – Operating</t>
        </is>
      </c>
      <c r="I363" s="33" t="n">
        <v>-2583.35</v>
      </c>
      <c r="J363" s="13">
        <f>+J362+I363</f>
        <v>431391.02</v>
      </c>
      <c r="K363" s="19">
        <f>+EOMONTH(B363,0)</f>
        <v>46112</v>
      </c>
      <c r="L363" s="3" t="inlineStr">
        <is>
          <t>Checking – Operating</t>
        </is>
      </c>
      <c r="M363" s="3" t="inlineStr">
        <is>
          <t>Balance Sheet</t>
        </is>
      </c>
    </row>
    <row r="364">
      <c r="B364" s="39" t="n">
        <v>46103</v>
      </c>
      <c r="C364" s="3" t="inlineStr">
        <is>
          <t>Journal Entry</t>
        </is>
      </c>
      <c r="D364" s="3" t="inlineStr"/>
      <c r="E364" s="3" t="inlineStr">
        <is>
          <t>Consultant A</t>
        </is>
      </c>
      <c r="F364" s="3" t="inlineStr">
        <is>
          <t>Professional Fees – March</t>
        </is>
      </c>
      <c r="G364" s="3" t="inlineStr">
        <is>
          <t>Professional Fees</t>
        </is>
      </c>
      <c r="H364" s="3" t="inlineStr">
        <is>
          <t>Checking – Operating</t>
        </is>
      </c>
      <c r="I364" s="33" t="n">
        <v>-4769.75</v>
      </c>
      <c r="J364" s="13">
        <f>+J363+I364</f>
        <v>426621.27</v>
      </c>
      <c r="K364" s="19">
        <f>+EOMONTH(B364,0)</f>
        <v>46112</v>
      </c>
      <c r="L364" s="3" t="inlineStr">
        <is>
          <t>Checking – Operating</t>
        </is>
      </c>
      <c r="M364" s="3" t="inlineStr">
        <is>
          <t>Balance Sheet</t>
        </is>
      </c>
    </row>
    <row r="365">
      <c r="B365" s="39" t="n">
        <v>46104</v>
      </c>
      <c r="C365" s="3" t="inlineStr">
        <is>
          <t>Bill Payment (Check)</t>
        </is>
      </c>
      <c r="D365" s="3" t="inlineStr"/>
      <c r="E365" s="3" t="inlineStr">
        <is>
          <t>Halloway Ridge Realty (rent)</t>
        </is>
      </c>
      <c r="F365" s="3" t="inlineStr">
        <is>
          <t>Rent – March</t>
        </is>
      </c>
      <c r="G365" s="3" t="inlineStr">
        <is>
          <t>Accounts Payable</t>
        </is>
      </c>
      <c r="H365" s="3" t="inlineStr">
        <is>
          <t>Checking – Operating</t>
        </is>
      </c>
      <c r="I365" s="33" t="n">
        <v>-8793.969999999999</v>
      </c>
      <c r="J365" s="13">
        <f>+J364+I365</f>
        <v>417827.3</v>
      </c>
      <c r="K365" s="19">
        <f>+EOMONTH(B365,0)</f>
        <v>46112</v>
      </c>
      <c r="L365" s="3" t="inlineStr">
        <is>
          <t>Checking – Operating</t>
        </is>
      </c>
      <c r="M365" s="3" t="inlineStr">
        <is>
          <t>Balance Sheet</t>
        </is>
      </c>
    </row>
    <row r="366">
      <c r="B366" s="39" t="n">
        <v>46104</v>
      </c>
      <c r="C366" s="3" t="inlineStr">
        <is>
          <t>Bill Payment (Check)</t>
        </is>
      </c>
      <c r="D366" s="3" t="inlineStr"/>
      <c r="E366" s="3" t="inlineStr">
        <is>
          <t>Halloway Ridge Realty (rent)</t>
        </is>
      </c>
      <c r="F366" s="3" t="inlineStr">
        <is>
          <t>Rent – March</t>
        </is>
      </c>
      <c r="G366" s="3" t="inlineStr">
        <is>
          <t>Accounts Payable</t>
        </is>
      </c>
      <c r="H366" s="3" t="inlineStr">
        <is>
          <t>Checking – Operating</t>
        </is>
      </c>
      <c r="I366" s="33" t="n">
        <v>-11243.15</v>
      </c>
      <c r="J366" s="13">
        <f>+J365+I366</f>
        <v>406584.15</v>
      </c>
      <c r="K366" s="19">
        <f>+EOMONTH(B366,0)</f>
        <v>46112</v>
      </c>
      <c r="L366" s="3" t="inlineStr">
        <is>
          <t>Checking – Operating</t>
        </is>
      </c>
      <c r="M366" s="3" t="inlineStr">
        <is>
          <t>Balance Sheet</t>
        </is>
      </c>
    </row>
    <row r="367">
      <c r="B367" s="39" t="n">
        <v>46104</v>
      </c>
      <c r="C367" s="3" t="inlineStr">
        <is>
          <t>Bill Payment (Check)</t>
        </is>
      </c>
      <c r="D367" s="3" t="inlineStr"/>
      <c r="E367" s="3" t="inlineStr">
        <is>
          <t>Ledgerquill Billing SaaS</t>
        </is>
      </c>
      <c r="F367" s="3" t="inlineStr">
        <is>
          <t>Billing Software as a Service – February</t>
        </is>
      </c>
      <c r="G367" s="3" t="inlineStr">
        <is>
          <t>Accounts Payable</t>
        </is>
      </c>
      <c r="H367" s="3" t="inlineStr">
        <is>
          <t>Checking – Operating</t>
        </is>
      </c>
      <c r="I367" s="33" t="n">
        <v>-10798.84</v>
      </c>
      <c r="J367" s="13">
        <f>+J366+I367</f>
        <v>395785.31</v>
      </c>
      <c r="K367" s="19">
        <f>+EOMONTH(B367,0)</f>
        <v>46112</v>
      </c>
      <c r="L367" s="3" t="inlineStr">
        <is>
          <t>Checking – Operating</t>
        </is>
      </c>
      <c r="M367" s="3" t="inlineStr">
        <is>
          <t>Balance Sheet</t>
        </is>
      </c>
    </row>
    <row r="368">
      <c r="B368" s="39" t="n">
        <v>46104</v>
      </c>
      <c r="C368" s="3" t="inlineStr">
        <is>
          <t>Credit Card Expense</t>
        </is>
      </c>
      <c r="D368" s="3" t="inlineStr"/>
      <c r="E368" s="3" t="inlineStr"/>
      <c r="F368" s="3" t="inlineStr">
        <is>
          <t>Bank service charges – March</t>
        </is>
      </c>
      <c r="G368" s="3" t="inlineStr">
        <is>
          <t>Cash</t>
        </is>
      </c>
      <c r="H368" s="3" t="inlineStr">
        <is>
          <t>Checking – Operating</t>
        </is>
      </c>
      <c r="I368" s="33" t="n">
        <v>-620.65</v>
      </c>
      <c r="J368" s="13">
        <f>+J367+I368</f>
        <v>395164.66</v>
      </c>
      <c r="K368" s="19">
        <f>+EOMONTH(B368,0)</f>
        <v>46112</v>
      </c>
      <c r="L368" s="3" t="inlineStr">
        <is>
          <t>Checking – Operating</t>
        </is>
      </c>
      <c r="M368" s="3" t="inlineStr">
        <is>
          <t>Balance Sheet</t>
        </is>
      </c>
    </row>
    <row r="369">
      <c r="B369" s="39" t="n">
        <v>46104</v>
      </c>
      <c r="C369" s="3" t="inlineStr">
        <is>
          <t>Deposit</t>
        </is>
      </c>
      <c r="D369" s="3" t="inlineStr"/>
      <c r="E369" s="3" t="inlineStr">
        <is>
          <t>Vantrelle Health Plan</t>
        </is>
      </c>
      <c r="F369" s="3" t="inlineStr">
        <is>
          <t>ORIG CO NAME:VANTRELLE HP ORIG ID:XXXXXX9798 DESC DATE:260323 CO ENTRY DESCR:HCCLAIMPMT SEC:CCD TRACE#:XXXXXXXX1607400 EED:260323 IND ID:</t>
        </is>
      </c>
      <c r="G369" s="3" t="inlineStr">
        <is>
          <t>Service Income</t>
        </is>
      </c>
      <c r="H369" s="3" t="inlineStr">
        <is>
          <t>Checking – Operating</t>
        </is>
      </c>
      <c r="I369" s="33" t="n">
        <v>151667.9</v>
      </c>
      <c r="J369" s="13">
        <f>+J368+I369</f>
        <v>546832.56</v>
      </c>
      <c r="K369" s="19">
        <f>+EOMONTH(B369,0)</f>
        <v>46112</v>
      </c>
      <c r="L369" s="3" t="inlineStr">
        <is>
          <t>Checking – Operating</t>
        </is>
      </c>
      <c r="M369" s="3" t="inlineStr">
        <is>
          <t>Balance Sheet</t>
        </is>
      </c>
    </row>
    <row r="370">
      <c r="B370" s="39" t="n">
        <v>46104</v>
      </c>
      <c r="C370" s="3" t="inlineStr">
        <is>
          <t>Deposit</t>
        </is>
      </c>
      <c r="D370" s="3" t="inlineStr"/>
      <c r="E370" s="3" t="inlineStr">
        <is>
          <t>Lanternway Benefits</t>
        </is>
      </c>
      <c r="F370" s="3" t="inlineStr">
        <is>
          <t>ORIG CO NAME:LANTERNWAY BEN ORIG ID:XXXXXX2017 DESC DATE:260323 CO ENTRY DESCR:HCCLAIMPMT SEC:CCD TRACE#:XXXXXXXX8820961 EED:260323 IND ID:</t>
        </is>
      </c>
      <c r="G370" s="3" t="inlineStr">
        <is>
          <t>Service Income</t>
        </is>
      </c>
      <c r="H370" s="3" t="inlineStr">
        <is>
          <t>Checking – Operating</t>
        </is>
      </c>
      <c r="I370" s="33" t="n">
        <v>54996.2</v>
      </c>
      <c r="J370" s="13">
        <f>+J369+I370</f>
        <v>601828.76</v>
      </c>
      <c r="K370" s="19">
        <f>+EOMONTH(B370,0)</f>
        <v>46112</v>
      </c>
      <c r="L370" s="3" t="inlineStr">
        <is>
          <t>Checking – Operating</t>
        </is>
      </c>
      <c r="M370" s="3" t="inlineStr">
        <is>
          <t>Balance Sheet</t>
        </is>
      </c>
    </row>
    <row r="371">
      <c r="B371" s="39" t="n">
        <v>46104</v>
      </c>
      <c r="C371" s="3" t="inlineStr">
        <is>
          <t>Deposit</t>
        </is>
      </c>
      <c r="D371" s="3" t="inlineStr"/>
      <c r="E371" s="3" t="inlineStr">
        <is>
          <t>Quayside Choice Senior Plan</t>
        </is>
      </c>
      <c r="F371" s="3" t="inlineStr">
        <is>
          <t>ORIG CO NAME:QUAYSIDE CHOICE SP ORIG ID:XXXXXX5878 DESC DATE:260323 CO ENTRY DESCR:HCCLAIMPMT SEC:CCD TRACE#:XXXXXXXX8270136 EED:260323 IND ID:</t>
        </is>
      </c>
      <c r="G371" s="3" t="inlineStr">
        <is>
          <t>Service Income</t>
        </is>
      </c>
      <c r="H371" s="3" t="inlineStr">
        <is>
          <t>Checking – Operating</t>
        </is>
      </c>
      <c r="I371" s="33" t="n">
        <v>81061.37</v>
      </c>
      <c r="J371" s="13">
        <f>+J370+I371</f>
        <v>682890.13</v>
      </c>
      <c r="K371" s="19">
        <f>+EOMONTH(B371,0)</f>
        <v>46112</v>
      </c>
      <c r="L371" s="3" t="inlineStr">
        <is>
          <t>Checking – Operating</t>
        </is>
      </c>
      <c r="M371" s="3" t="inlineStr">
        <is>
          <t>Balance Sheet</t>
        </is>
      </c>
    </row>
    <row r="372">
      <c r="B372" s="39" t="n">
        <v>46104</v>
      </c>
      <c r="C372" s="3" t="inlineStr">
        <is>
          <t>Deposit</t>
        </is>
      </c>
      <c r="D372" s="3" t="inlineStr"/>
      <c r="E372" s="3" t="inlineStr">
        <is>
          <t>Cobaltmere Health</t>
        </is>
      </c>
      <c r="F372" s="3" t="inlineStr">
        <is>
          <t>ORIG CO NAME:COBALTMERE HEALTH ORIG ID:XXXXXX9950 DESC DATE:260323 CO ENTRY DESCR:HCCLAIMPMT SEC:CCD TRACE#:XXXXXXXX3766974 EED:260323 IND ID:</t>
        </is>
      </c>
      <c r="G372" s="3" t="inlineStr">
        <is>
          <t>Service Income</t>
        </is>
      </c>
      <c r="H372" s="3" t="inlineStr">
        <is>
          <t>Checking – Operating</t>
        </is>
      </c>
      <c r="I372" s="33" t="n">
        <v>19404.6</v>
      </c>
      <c r="J372" s="13">
        <f>+J371+I372</f>
        <v>702294.73</v>
      </c>
      <c r="K372" s="19">
        <f>+EOMONTH(B372,0)</f>
        <v>46112</v>
      </c>
      <c r="L372" s="3" t="inlineStr">
        <is>
          <t>Checking – Operating</t>
        </is>
      </c>
      <c r="M372" s="3" t="inlineStr">
        <is>
          <t>Balance Sheet</t>
        </is>
      </c>
    </row>
    <row r="373">
      <c r="B373" s="39" t="n">
        <v>46104</v>
      </c>
      <c r="C373" s="3" t="inlineStr">
        <is>
          <t>Expense</t>
        </is>
      </c>
      <c r="D373" s="3" t="inlineStr"/>
      <c r="E373" s="3" t="inlineStr">
        <is>
          <t>Consultant A</t>
        </is>
      </c>
      <c r="F373" s="3" t="inlineStr">
        <is>
          <t>Legal &amp; Professional Fees – March</t>
        </is>
      </c>
      <c r="G373" s="3" t="inlineStr">
        <is>
          <t>Legal &amp; Professional Fees</t>
        </is>
      </c>
      <c r="H373" s="3" t="inlineStr">
        <is>
          <t>Checking – Operating</t>
        </is>
      </c>
      <c r="I373" s="33" t="n">
        <v>-889.65</v>
      </c>
      <c r="J373" s="13">
        <f>+J372+I373</f>
        <v>701405.08</v>
      </c>
      <c r="K373" s="19">
        <f>+EOMONTH(B373,0)</f>
        <v>46112</v>
      </c>
      <c r="L373" s="3" t="inlineStr">
        <is>
          <t>Checking – Operating</t>
        </is>
      </c>
      <c r="M373" s="3" t="inlineStr">
        <is>
          <t>Balance Sheet</t>
        </is>
      </c>
    </row>
    <row r="374">
      <c r="B374" s="39" t="n">
        <v>46104</v>
      </c>
      <c r="C374" s="3" t="inlineStr">
        <is>
          <t>Expense</t>
        </is>
      </c>
      <c r="D374" s="3" t="inlineStr"/>
      <c r="E374" s="3" t="inlineStr">
        <is>
          <t>Consultant A</t>
        </is>
      </c>
      <c r="F374" s="3" t="inlineStr">
        <is>
          <t>Legal &amp; Professional Fees – March</t>
        </is>
      </c>
      <c r="G374" s="3" t="inlineStr">
        <is>
          <t>Legal &amp; Professional Fees</t>
        </is>
      </c>
      <c r="H374" s="3" t="inlineStr">
        <is>
          <t>Checking – Operating</t>
        </is>
      </c>
      <c r="I374" s="33" t="n">
        <v>-1550.35</v>
      </c>
      <c r="J374" s="13">
        <f>+J373+I374</f>
        <v>699854.73</v>
      </c>
      <c r="K374" s="19">
        <f>+EOMONTH(B374,0)</f>
        <v>46112</v>
      </c>
      <c r="L374" s="3" t="inlineStr">
        <is>
          <t>Checking – Operating</t>
        </is>
      </c>
      <c r="M374" s="3" t="inlineStr">
        <is>
          <t>Balance Sheet</t>
        </is>
      </c>
    </row>
    <row r="375">
      <c r="B375" s="39" t="n">
        <v>46104</v>
      </c>
      <c r="C375" s="3" t="inlineStr">
        <is>
          <t>Payroll Check</t>
        </is>
      </c>
      <c r="D375" s="3" t="inlineStr"/>
      <c r="E375" s="3" t="inlineStr">
        <is>
          <t>Tessarand Payroll Services</t>
        </is>
      </c>
      <c r="F375" s="3" t="inlineStr">
        <is>
          <t>Payroll taxes – biweekly</t>
        </is>
      </c>
      <c r="G375" s="3" t="inlineStr">
        <is>
          <t>Payroll Taxes</t>
        </is>
      </c>
      <c r="H375" s="3" t="inlineStr">
        <is>
          <t>Checking – Operating</t>
        </is>
      </c>
      <c r="I375" s="33" t="n">
        <v>-1150.86</v>
      </c>
      <c r="J375" s="13">
        <f>+J374+I375</f>
        <v>698703.87</v>
      </c>
      <c r="K375" s="19">
        <f>+EOMONTH(B375,0)</f>
        <v>46112</v>
      </c>
      <c r="L375" s="3" t="inlineStr">
        <is>
          <t>Checking – Operating</t>
        </is>
      </c>
      <c r="M375" s="3" t="inlineStr">
        <is>
          <t>Balance Sheet</t>
        </is>
      </c>
    </row>
    <row r="376">
      <c r="B376" s="39" t="n">
        <v>46105</v>
      </c>
      <c r="C376" s="3" t="inlineStr">
        <is>
          <t>Bill Payment (Check)</t>
        </is>
      </c>
      <c r="D376" s="3" t="inlineStr"/>
      <c r="E376" s="3" t="inlineStr">
        <is>
          <t>Lumenlease Equipment</t>
        </is>
      </c>
      <c r="F376" s="3" t="inlineStr">
        <is>
          <t>Equipment Lease – March</t>
        </is>
      </c>
      <c r="G376" s="3" t="inlineStr">
        <is>
          <t>Accounts Payable</t>
        </is>
      </c>
      <c r="H376" s="3" t="inlineStr">
        <is>
          <t>Checking – Operating</t>
        </is>
      </c>
      <c r="I376" s="33" t="n">
        <v>-3159.04</v>
      </c>
      <c r="J376" s="13">
        <f>+J375+I376</f>
        <v>695544.83</v>
      </c>
      <c r="K376" s="19">
        <f>+EOMONTH(B376,0)</f>
        <v>46112</v>
      </c>
      <c r="L376" s="3" t="inlineStr">
        <is>
          <t>Checking – Operating</t>
        </is>
      </c>
      <c r="M376" s="3" t="inlineStr">
        <is>
          <t>Balance Sheet</t>
        </is>
      </c>
    </row>
    <row r="377">
      <c r="B377" s="39" t="n">
        <v>46105</v>
      </c>
      <c r="C377" s="3" t="inlineStr">
        <is>
          <t>Bill Payment (Check)</t>
        </is>
      </c>
      <c r="D377" s="3" t="inlineStr"/>
      <c r="E377" s="3" t="inlineStr">
        <is>
          <t>Tarrowmere Mutual Insurance</t>
        </is>
      </c>
      <c r="F377" s="3" t="inlineStr">
        <is>
          <t>Benefits – February</t>
        </is>
      </c>
      <c r="G377" s="3" t="inlineStr">
        <is>
          <t>Accounts Payable</t>
        </is>
      </c>
      <c r="H377" s="3" t="inlineStr">
        <is>
          <t>Checking – Operating</t>
        </is>
      </c>
      <c r="I377" s="33" t="n">
        <v>-3246.1</v>
      </c>
      <c r="J377" s="13">
        <f>+J376+I377</f>
        <v>692298.73</v>
      </c>
      <c r="K377" s="19">
        <f>+EOMONTH(B377,0)</f>
        <v>46112</v>
      </c>
      <c r="L377" s="3" t="inlineStr">
        <is>
          <t>Checking – Operating</t>
        </is>
      </c>
      <c r="M377" s="3" t="inlineStr">
        <is>
          <t>Balance Sheet</t>
        </is>
      </c>
    </row>
    <row r="378">
      <c r="B378" s="39" t="n">
        <v>46105</v>
      </c>
      <c r="C378" s="3" t="inlineStr">
        <is>
          <t>Bill Payment (Check)</t>
        </is>
      </c>
      <c r="D378" s="3" t="inlineStr"/>
      <c r="E378" s="3" t="inlineStr">
        <is>
          <t>Tarrowmere Mutual Insurance</t>
        </is>
      </c>
      <c r="F378" s="3" t="inlineStr">
        <is>
          <t>Benefits – March</t>
        </is>
      </c>
      <c r="G378" s="3" t="inlineStr">
        <is>
          <t>Accounts Payable</t>
        </is>
      </c>
      <c r="H378" s="3" t="inlineStr">
        <is>
          <t>Checking – Operating</t>
        </is>
      </c>
      <c r="I378" s="33" t="n">
        <v>-5125.61</v>
      </c>
      <c r="J378" s="13">
        <f>+J377+I378</f>
        <v>687173.12</v>
      </c>
      <c r="K378" s="19">
        <f>+EOMONTH(B378,0)</f>
        <v>46112</v>
      </c>
      <c r="L378" s="3" t="inlineStr">
        <is>
          <t>Checking – Operating</t>
        </is>
      </c>
      <c r="M378" s="3" t="inlineStr">
        <is>
          <t>Balance Sheet</t>
        </is>
      </c>
    </row>
    <row r="379">
      <c r="B379" s="39" t="n">
        <v>46105</v>
      </c>
      <c r="C379" s="3" t="inlineStr">
        <is>
          <t>Credit Card Expense</t>
        </is>
      </c>
      <c r="D379" s="3" t="inlineStr"/>
      <c r="E379" s="3" t="inlineStr">
        <is>
          <t>Tessarand Payroll Services</t>
        </is>
      </c>
      <c r="F379" s="3" t="inlineStr">
        <is>
          <t>Contractors – March</t>
        </is>
      </c>
      <c r="G379" s="3" t="inlineStr">
        <is>
          <t>Contractors</t>
        </is>
      </c>
      <c r="H379" s="3" t="inlineStr">
        <is>
          <t>Checking – Operating</t>
        </is>
      </c>
      <c r="I379" s="33" t="n">
        <v>-5241.71</v>
      </c>
      <c r="J379" s="13">
        <f>+J378+I379</f>
        <v>681931.41</v>
      </c>
      <c r="K379" s="19">
        <f>+EOMONTH(B379,0)</f>
        <v>46112</v>
      </c>
      <c r="L379" s="3" t="inlineStr">
        <is>
          <t>Checking – Operating</t>
        </is>
      </c>
      <c r="M379" s="3" t="inlineStr">
        <is>
          <t>Balance Sheet</t>
        </is>
      </c>
    </row>
    <row r="380">
      <c r="B380" s="39" t="n">
        <v>46105</v>
      </c>
      <c r="C380" s="3" t="inlineStr">
        <is>
          <t>Credit Card Expense</t>
        </is>
      </c>
      <c r="D380" s="3" t="inlineStr"/>
      <c r="E380" s="3" t="inlineStr">
        <is>
          <t>Consultant A</t>
        </is>
      </c>
      <c r="F380" s="3" t="inlineStr">
        <is>
          <t>Professional Fees – March</t>
        </is>
      </c>
      <c r="G380" s="3" t="inlineStr">
        <is>
          <t>Professional Fees</t>
        </is>
      </c>
      <c r="H380" s="3" t="inlineStr">
        <is>
          <t>Checking – Operating</t>
        </is>
      </c>
      <c r="I380" s="33" t="n">
        <v>-5690.25</v>
      </c>
      <c r="J380" s="13">
        <f>+J379+I380</f>
        <v>676241.16</v>
      </c>
      <c r="K380" s="19">
        <f>+EOMONTH(B380,0)</f>
        <v>46112</v>
      </c>
      <c r="L380" s="3" t="inlineStr">
        <is>
          <t>Checking – Operating</t>
        </is>
      </c>
      <c r="M380" s="3" t="inlineStr">
        <is>
          <t>Balance Sheet</t>
        </is>
      </c>
    </row>
    <row r="381">
      <c r="B381" s="39" t="n">
        <v>46105</v>
      </c>
      <c r="C381" s="3" t="inlineStr">
        <is>
          <t>Credit Card Expense</t>
        </is>
      </c>
      <c r="D381" s="3" t="inlineStr"/>
      <c r="E381" s="3" t="inlineStr">
        <is>
          <t>Vialtrace Lab Supplies Inc</t>
        </is>
      </c>
      <c r="F381" s="3" t="inlineStr">
        <is>
          <t>QAQC – March</t>
        </is>
      </c>
      <c r="G381" s="3" t="inlineStr">
        <is>
          <t>QAQC</t>
        </is>
      </c>
      <c r="H381" s="3" t="inlineStr">
        <is>
          <t>Checking – Operating</t>
        </is>
      </c>
      <c r="I381" s="33" t="n">
        <v>-1555.25</v>
      </c>
      <c r="J381" s="13">
        <f>+J380+I381</f>
        <v>674685.91</v>
      </c>
      <c r="K381" s="19">
        <f>+EOMONTH(B381,0)</f>
        <v>46112</v>
      </c>
      <c r="L381" s="3" t="inlineStr">
        <is>
          <t>Checking – Operating</t>
        </is>
      </c>
      <c r="M381" s="3" t="inlineStr">
        <is>
          <t>Balance Sheet</t>
        </is>
      </c>
    </row>
    <row r="382">
      <c r="B382" s="39" t="n">
        <v>46105</v>
      </c>
      <c r="C382" s="3" t="inlineStr">
        <is>
          <t>Deposit</t>
        </is>
      </c>
      <c r="D382" s="3" t="inlineStr"/>
      <c r="E382" s="3" t="inlineStr">
        <is>
          <t>Federal Program A</t>
        </is>
      </c>
      <c r="F382" s="3" t="inlineStr">
        <is>
          <t>ORIG CO NAME:FEDERAL PROG A ORIG ID:XXXXXX9759 DESC DATE:260324 CO ENTRY DESCR:HCCLAIMPMT SEC:CCD TRACE#:XXXXXXXX2717572 EED:260324 IND ID:</t>
        </is>
      </c>
      <c r="G382" s="3" t="inlineStr">
        <is>
          <t>Service Income</t>
        </is>
      </c>
      <c r="H382" s="3" t="inlineStr">
        <is>
          <t>Checking – Operating</t>
        </is>
      </c>
      <c r="I382" s="33" t="n">
        <v>72499.92</v>
      </c>
      <c r="J382" s="13">
        <f>+J381+I382</f>
        <v>747185.83</v>
      </c>
      <c r="K382" s="19">
        <f>+EOMONTH(B382,0)</f>
        <v>46112</v>
      </c>
      <c r="L382" s="3" t="inlineStr">
        <is>
          <t>Checking – Operating</t>
        </is>
      </c>
      <c r="M382" s="3" t="inlineStr">
        <is>
          <t>Balance Sheet</t>
        </is>
      </c>
    </row>
    <row r="383">
      <c r="B383" s="39" t="n">
        <v>46105</v>
      </c>
      <c r="C383" s="3" t="inlineStr">
        <is>
          <t>Expense</t>
        </is>
      </c>
      <c r="D383" s="3" t="inlineStr"/>
      <c r="E383" s="3" t="inlineStr">
        <is>
          <t>Consultant A</t>
        </is>
      </c>
      <c r="F383" s="3" t="inlineStr">
        <is>
          <t>Accounting Service – March</t>
        </is>
      </c>
      <c r="G383" s="3" t="inlineStr">
        <is>
          <t>Accounting Service</t>
        </is>
      </c>
      <c r="H383" s="3" t="inlineStr">
        <is>
          <t>Checking – Operating</t>
        </is>
      </c>
      <c r="I383" s="33" t="n">
        <v>-2557.99</v>
      </c>
      <c r="J383" s="13">
        <f>+J382+I383</f>
        <v>744627.84</v>
      </c>
      <c r="K383" s="19">
        <f>+EOMONTH(B383,0)</f>
        <v>46112</v>
      </c>
      <c r="L383" s="3" t="inlineStr">
        <is>
          <t>Checking – Operating</t>
        </is>
      </c>
      <c r="M383" s="3" t="inlineStr">
        <is>
          <t>Balance Sheet</t>
        </is>
      </c>
    </row>
    <row r="384">
      <c r="B384" s="39" t="n">
        <v>46105</v>
      </c>
      <c r="C384" s="3" t="inlineStr">
        <is>
          <t>Expense</t>
        </is>
      </c>
      <c r="D384" s="3" t="inlineStr"/>
      <c r="E384" s="3" t="inlineStr">
        <is>
          <t>Tessarand Payroll Services</t>
        </is>
      </c>
      <c r="F384" s="3" t="inlineStr">
        <is>
          <t>Recruitment – March</t>
        </is>
      </c>
      <c r="G384" s="3" t="inlineStr">
        <is>
          <t>Recruitment</t>
        </is>
      </c>
      <c r="H384" s="3" t="inlineStr">
        <is>
          <t>Checking – Operating</t>
        </is>
      </c>
      <c r="I384" s="33" t="n">
        <v>-1123.09</v>
      </c>
      <c r="J384" s="13">
        <f>+J383+I384</f>
        <v>743504.75</v>
      </c>
      <c r="K384" s="19">
        <f>+EOMONTH(B384,0)</f>
        <v>46112</v>
      </c>
      <c r="L384" s="3" t="inlineStr">
        <is>
          <t>Checking – Operating</t>
        </is>
      </c>
      <c r="M384" s="3" t="inlineStr">
        <is>
          <t>Balance Sheet</t>
        </is>
      </c>
    </row>
    <row r="385">
      <c r="B385" s="39" t="n">
        <v>46106</v>
      </c>
      <c r="C385" s="3" t="inlineStr">
        <is>
          <t>Bill Payment (Check)</t>
        </is>
      </c>
      <c r="D385" s="3" t="inlineStr"/>
      <c r="E385" s="3" t="inlineStr">
        <is>
          <t>Halloway Ridge Realty (rent)</t>
        </is>
      </c>
      <c r="F385" s="3" t="inlineStr">
        <is>
          <t>Rent – March</t>
        </is>
      </c>
      <c r="G385" s="3" t="inlineStr">
        <is>
          <t>Accounts Payable</t>
        </is>
      </c>
      <c r="H385" s="3" t="inlineStr">
        <is>
          <t>Checking – Operating</t>
        </is>
      </c>
      <c r="I385" s="33" t="n">
        <v>-10492.81</v>
      </c>
      <c r="J385" s="13">
        <f>+J384+I385</f>
        <v>733011.94</v>
      </c>
      <c r="K385" s="19">
        <f>+EOMONTH(B385,0)</f>
        <v>46112</v>
      </c>
      <c r="L385" s="3" t="inlineStr">
        <is>
          <t>Checking – Operating</t>
        </is>
      </c>
      <c r="M385" s="3" t="inlineStr">
        <is>
          <t>Balance Sheet</t>
        </is>
      </c>
    </row>
    <row r="386">
      <c r="B386" s="39" t="n">
        <v>46106</v>
      </c>
      <c r="C386" s="3" t="inlineStr">
        <is>
          <t>Credit Card Expense</t>
        </is>
      </c>
      <c r="D386" s="3" t="inlineStr"/>
      <c r="E386" s="3" t="inlineStr"/>
      <c r="F386" s="3" t="inlineStr">
        <is>
          <t>Lab Credentialing – March</t>
        </is>
      </c>
      <c r="G386" s="3" t="inlineStr">
        <is>
          <t>Lab Credentialing</t>
        </is>
      </c>
      <c r="H386" s="3" t="inlineStr">
        <is>
          <t>Checking – Operating</t>
        </is>
      </c>
      <c r="I386" s="33" t="n">
        <v>-1231.6</v>
      </c>
      <c r="J386" s="13">
        <f>+J385+I386</f>
        <v>731780.34</v>
      </c>
      <c r="K386" s="19">
        <f>+EOMONTH(B386,0)</f>
        <v>46112</v>
      </c>
      <c r="L386" s="3" t="inlineStr">
        <is>
          <t>Checking – Operating</t>
        </is>
      </c>
      <c r="M386" s="3" t="inlineStr">
        <is>
          <t>Balance Sheet</t>
        </is>
      </c>
    </row>
    <row r="387">
      <c r="B387" s="39" t="n">
        <v>46106</v>
      </c>
      <c r="C387" s="3" t="inlineStr">
        <is>
          <t>Journal Entry</t>
        </is>
      </c>
      <c r="D387" s="3" t="inlineStr"/>
      <c r="E387" s="3" t="inlineStr"/>
      <c r="F387" s="3" t="inlineStr">
        <is>
          <t>Business Licenses and Permits – March</t>
        </is>
      </c>
      <c r="G387" s="3" t="inlineStr">
        <is>
          <t>Business Licenses and Permits</t>
        </is>
      </c>
      <c r="H387" s="3" t="inlineStr">
        <is>
          <t>Checking – Operating</t>
        </is>
      </c>
      <c r="I387" s="33" t="n">
        <v>-705.71</v>
      </c>
      <c r="J387" s="13">
        <f>+J386+I387</f>
        <v>731074.63</v>
      </c>
      <c r="K387" s="19">
        <f>+EOMONTH(B387,0)</f>
        <v>46112</v>
      </c>
      <c r="L387" s="3" t="inlineStr">
        <is>
          <t>Checking – Operating</t>
        </is>
      </c>
      <c r="M387" s="3" t="inlineStr">
        <is>
          <t>Balance Sheet</t>
        </is>
      </c>
    </row>
    <row r="388">
      <c r="B388" s="39" t="n">
        <v>46107</v>
      </c>
      <c r="C388" s="3" t="inlineStr">
        <is>
          <t>Bill Payment (Check)</t>
        </is>
      </c>
      <c r="D388" s="3" t="inlineStr"/>
      <c r="E388" s="3" t="inlineStr">
        <is>
          <t>Tarrowmere Mutual Insurance</t>
        </is>
      </c>
      <c r="F388" s="3" t="inlineStr">
        <is>
          <t>Benefits – March</t>
        </is>
      </c>
      <c r="G388" s="3" t="inlineStr">
        <is>
          <t>Accounts Payable</t>
        </is>
      </c>
      <c r="H388" s="3" t="inlineStr">
        <is>
          <t>Checking – Operating</t>
        </is>
      </c>
      <c r="I388" s="33" t="n">
        <v>-4481.53</v>
      </c>
      <c r="J388" s="13">
        <f>+J387+I388</f>
        <v>726593.1</v>
      </c>
      <c r="K388" s="19">
        <f>+EOMONTH(B388,0)</f>
        <v>46112</v>
      </c>
      <c r="L388" s="3" t="inlineStr">
        <is>
          <t>Checking – Operating</t>
        </is>
      </c>
      <c r="M388" s="3" t="inlineStr">
        <is>
          <t>Balance Sheet</t>
        </is>
      </c>
    </row>
    <row r="389">
      <c r="B389" s="39" t="n">
        <v>46107</v>
      </c>
      <c r="C389" s="3" t="inlineStr">
        <is>
          <t>Credit Card Expense</t>
        </is>
      </c>
      <c r="D389" s="3" t="inlineStr"/>
      <c r="E389" s="3" t="inlineStr"/>
      <c r="F389" s="3" t="inlineStr">
        <is>
          <t>Meals and Entertainment – March</t>
        </is>
      </c>
      <c r="G389" s="3" t="inlineStr">
        <is>
          <t>Meals and Entertainment</t>
        </is>
      </c>
      <c r="H389" s="3" t="inlineStr">
        <is>
          <t>Checking – Operating</t>
        </is>
      </c>
      <c r="I389" s="33" t="n">
        <v>-895.27</v>
      </c>
      <c r="J389" s="13">
        <f>+J388+I389</f>
        <v>725697.83</v>
      </c>
      <c r="K389" s="19">
        <f>+EOMONTH(B389,0)</f>
        <v>46112</v>
      </c>
      <c r="L389" s="3" t="inlineStr">
        <is>
          <t>Checking – Operating</t>
        </is>
      </c>
      <c r="M389" s="3" t="inlineStr">
        <is>
          <t>Balance Sheet</t>
        </is>
      </c>
    </row>
    <row r="390">
      <c r="B390" s="39" t="n">
        <v>46107</v>
      </c>
      <c r="C390" s="3" t="inlineStr">
        <is>
          <t>Credit Card Expense</t>
        </is>
      </c>
      <c r="D390" s="3" t="inlineStr"/>
      <c r="E390" s="3" t="inlineStr"/>
      <c r="F390" s="3" t="inlineStr">
        <is>
          <t>Parking – March</t>
        </is>
      </c>
      <c r="G390" s="3" t="inlineStr">
        <is>
          <t>Parking</t>
        </is>
      </c>
      <c r="H390" s="3" t="inlineStr">
        <is>
          <t>Checking – Operating</t>
        </is>
      </c>
      <c r="I390" s="33" t="n">
        <v>-770.13</v>
      </c>
      <c r="J390" s="13">
        <f>+J389+I390</f>
        <v>724927.7</v>
      </c>
      <c r="K390" s="19">
        <f>+EOMONTH(B390,0)</f>
        <v>46112</v>
      </c>
      <c r="L390" s="3" t="inlineStr">
        <is>
          <t>Checking – Operating</t>
        </is>
      </c>
      <c r="M390" s="3" t="inlineStr">
        <is>
          <t>Balance Sheet</t>
        </is>
      </c>
    </row>
    <row r="391">
      <c r="B391" s="39" t="n">
        <v>46107</v>
      </c>
      <c r="C391" s="3" t="inlineStr">
        <is>
          <t>Journal Entry</t>
        </is>
      </c>
      <c r="D391" s="3" t="inlineStr"/>
      <c r="E391" s="3" t="inlineStr">
        <is>
          <t>Tessarand Payroll Services</t>
        </is>
      </c>
      <c r="F391" s="3" t="inlineStr">
        <is>
          <t>Contractors – March</t>
        </is>
      </c>
      <c r="G391" s="3" t="inlineStr">
        <is>
          <t>Contractors</t>
        </is>
      </c>
      <c r="H391" s="3" t="inlineStr">
        <is>
          <t>Checking – Operating</t>
        </is>
      </c>
      <c r="I391" s="33" t="n">
        <v>-7532.01</v>
      </c>
      <c r="J391" s="13">
        <f>+J390+I391</f>
        <v>717395.69</v>
      </c>
      <c r="K391" s="19">
        <f>+EOMONTH(B391,0)</f>
        <v>46112</v>
      </c>
      <c r="L391" s="3" t="inlineStr">
        <is>
          <t>Checking – Operating</t>
        </is>
      </c>
      <c r="M391" s="3" t="inlineStr">
        <is>
          <t>Balance Sheet</t>
        </is>
      </c>
    </row>
    <row r="392">
      <c r="B392" s="39" t="n">
        <v>46108</v>
      </c>
      <c r="C392" s="3" t="inlineStr">
        <is>
          <t>Bill Payment (Check)</t>
        </is>
      </c>
      <c r="D392" s="3" t="inlineStr"/>
      <c r="E392" s="3" t="inlineStr">
        <is>
          <t>Vialtrace Lab Supplies Inc</t>
        </is>
      </c>
      <c r="F392" s="3" t="inlineStr">
        <is>
          <t>Lab supplies PO# F2514</t>
        </is>
      </c>
      <c r="G392" s="3" t="inlineStr">
        <is>
          <t>Accounts Payable</t>
        </is>
      </c>
      <c r="H392" s="3" t="inlineStr">
        <is>
          <t>Checking – Operating</t>
        </is>
      </c>
      <c r="I392" s="33" t="n">
        <v>-15350.89</v>
      </c>
      <c r="J392" s="13">
        <f>+J391+I392</f>
        <v>702044.8</v>
      </c>
      <c r="K392" s="19">
        <f>+EOMONTH(B392,0)</f>
        <v>46112</v>
      </c>
      <c r="L392" s="3" t="inlineStr">
        <is>
          <t>Checking – Operating</t>
        </is>
      </c>
      <c r="M392" s="3" t="inlineStr">
        <is>
          <t>Balance Sheet</t>
        </is>
      </c>
    </row>
    <row r="393">
      <c r="B393" s="39" t="n">
        <v>46108</v>
      </c>
      <c r="C393" s="3" t="inlineStr">
        <is>
          <t>Bill Payment (Check)</t>
        </is>
      </c>
      <c r="D393" s="3" t="inlineStr"/>
      <c r="E393" s="3" t="inlineStr">
        <is>
          <t>Reagentix Corp</t>
        </is>
      </c>
      <c r="F393" s="3" t="inlineStr">
        <is>
          <t>Lab supplies PO# F2882</t>
        </is>
      </c>
      <c r="G393" s="3" t="inlineStr">
        <is>
          <t>Accounts Payable</t>
        </is>
      </c>
      <c r="H393" s="3" t="inlineStr">
        <is>
          <t>Checking – Operating</t>
        </is>
      </c>
      <c r="I393" s="33" t="n">
        <v>-10975.39</v>
      </c>
      <c r="J393" s="13">
        <f>+J392+I393</f>
        <v>691069.41</v>
      </c>
      <c r="K393" s="19">
        <f>+EOMONTH(B393,0)</f>
        <v>46112</v>
      </c>
      <c r="L393" s="3" t="inlineStr">
        <is>
          <t>Checking – Operating</t>
        </is>
      </c>
      <c r="M393" s="3" t="inlineStr">
        <is>
          <t>Balance Sheet</t>
        </is>
      </c>
    </row>
    <row r="394">
      <c r="B394" s="39" t="n">
        <v>46108</v>
      </c>
      <c r="C394" s="3" t="inlineStr">
        <is>
          <t>Bill Payment (Check)</t>
        </is>
      </c>
      <c r="D394" s="3" t="inlineStr"/>
      <c r="E394" s="3" t="inlineStr">
        <is>
          <t>Tarrowmere Mutual Insurance</t>
        </is>
      </c>
      <c r="F394" s="3" t="inlineStr">
        <is>
          <t>Benefits – February</t>
        </is>
      </c>
      <c r="G394" s="3" t="inlineStr">
        <is>
          <t>Accounts Payable</t>
        </is>
      </c>
      <c r="H394" s="3" t="inlineStr">
        <is>
          <t>Checking – Operating</t>
        </is>
      </c>
      <c r="I394" s="33" t="n">
        <v>-3391.27</v>
      </c>
      <c r="J394" s="13">
        <f>+J393+I394</f>
        <v>687678.14</v>
      </c>
      <c r="K394" s="19">
        <f>+EOMONTH(B394,0)</f>
        <v>46112</v>
      </c>
      <c r="L394" s="3" t="inlineStr">
        <is>
          <t>Checking – Operating</t>
        </is>
      </c>
      <c r="M394" s="3" t="inlineStr">
        <is>
          <t>Balance Sheet</t>
        </is>
      </c>
    </row>
    <row r="395">
      <c r="B395" s="39" t="n">
        <v>46108</v>
      </c>
      <c r="C395" s="3" t="inlineStr">
        <is>
          <t>Expense</t>
        </is>
      </c>
      <c r="D395" s="3" t="inlineStr"/>
      <c r="E395" s="3" t="inlineStr">
        <is>
          <t>Tessarand Payroll Services</t>
        </is>
      </c>
      <c r="F395" s="3" t="inlineStr">
        <is>
          <t>Sales and Marketing Expenses – March</t>
        </is>
      </c>
      <c r="G395" s="3" t="inlineStr">
        <is>
          <t>Sales and Marketing Expenses</t>
        </is>
      </c>
      <c r="H395" s="3" t="inlineStr">
        <is>
          <t>Checking – Operating</t>
        </is>
      </c>
      <c r="I395" s="33" t="n">
        <v>-12202.22</v>
      </c>
      <c r="J395" s="13">
        <f>+J394+I395</f>
        <v>675475.92</v>
      </c>
      <c r="K395" s="19">
        <f>+EOMONTH(B395,0)</f>
        <v>46112</v>
      </c>
      <c r="L395" s="3" t="inlineStr">
        <is>
          <t>Checking – Operating</t>
        </is>
      </c>
      <c r="M395" s="3" t="inlineStr">
        <is>
          <t>Balance Sheet</t>
        </is>
      </c>
    </row>
    <row r="396">
      <c r="B396" s="39" t="n">
        <v>46109</v>
      </c>
      <c r="C396" s="3" t="inlineStr">
        <is>
          <t>Bill Payment (Check)</t>
        </is>
      </c>
      <c r="D396" s="3" t="inlineStr"/>
      <c r="E396" s="3" t="inlineStr">
        <is>
          <t>Ledgerquill Billing SaaS</t>
        </is>
      </c>
      <c r="F396" s="3" t="inlineStr">
        <is>
          <t>Billing Software as a Service – March</t>
        </is>
      </c>
      <c r="G396" s="3" t="inlineStr">
        <is>
          <t>Accounts Payable</t>
        </is>
      </c>
      <c r="H396" s="3" t="inlineStr">
        <is>
          <t>Checking – Operating</t>
        </is>
      </c>
      <c r="I396" s="33" t="n">
        <v>-9465.32</v>
      </c>
      <c r="J396" s="13">
        <f>+J395+I396</f>
        <v>666010.6</v>
      </c>
      <c r="K396" s="19">
        <f>+EOMONTH(B396,0)</f>
        <v>46112</v>
      </c>
      <c r="L396" s="3" t="inlineStr">
        <is>
          <t>Checking – Operating</t>
        </is>
      </c>
      <c r="M396" s="3" t="inlineStr">
        <is>
          <t>Balance Sheet</t>
        </is>
      </c>
    </row>
    <row r="397">
      <c r="B397" s="39" t="n">
        <v>46109</v>
      </c>
      <c r="C397" s="3" t="inlineStr">
        <is>
          <t>Deposit</t>
        </is>
      </c>
      <c r="D397" s="3" t="inlineStr"/>
      <c r="E397" s="3" t="inlineStr">
        <is>
          <t>Marrowby Mutual</t>
        </is>
      </c>
      <c r="F397" s="3" t="inlineStr">
        <is>
          <t>ORIG CO NAME:MARROWBY MUTUAL ORIG ID:XXXXXX5377 DESC DATE:260328 CO ENTRY DESCR:HCCLAIMPMT SEC:CCD TRACE#:XXXXXXXX9357915 EED:260328 IND ID:</t>
        </is>
      </c>
      <c r="G397" s="3" t="inlineStr">
        <is>
          <t>Service Income</t>
        </is>
      </c>
      <c r="H397" s="3" t="inlineStr">
        <is>
          <t>Checking – Operating</t>
        </is>
      </c>
      <c r="I397" s="33" t="n">
        <v>80917.11</v>
      </c>
      <c r="J397" s="13">
        <f>+J396+I397</f>
        <v>746927.71</v>
      </c>
      <c r="K397" s="19">
        <f>+EOMONTH(B397,0)</f>
        <v>46112</v>
      </c>
      <c r="L397" s="3" t="inlineStr">
        <is>
          <t>Checking – Operating</t>
        </is>
      </c>
      <c r="M397" s="3" t="inlineStr">
        <is>
          <t>Balance Sheet</t>
        </is>
      </c>
    </row>
    <row r="398">
      <c r="B398" s="39" t="n">
        <v>46109</v>
      </c>
      <c r="C398" s="3" t="inlineStr">
        <is>
          <t>Journal Entry</t>
        </is>
      </c>
      <c r="D398" s="3" t="inlineStr"/>
      <c r="E398" s="3" t="inlineStr">
        <is>
          <t>Halloway Ridge Realty (rent)</t>
        </is>
      </c>
      <c r="F398" s="3" t="inlineStr">
        <is>
          <t>Landscaping – March</t>
        </is>
      </c>
      <c r="G398" s="3" t="inlineStr">
        <is>
          <t>Landscaping</t>
        </is>
      </c>
      <c r="H398" s="3" t="inlineStr">
        <is>
          <t>Checking – Operating</t>
        </is>
      </c>
      <c r="I398" s="33" t="n">
        <v>-1171.18</v>
      </c>
      <c r="J398" s="13">
        <f>+J397+I398</f>
        <v>745756.53</v>
      </c>
      <c r="K398" s="19">
        <f>+EOMONTH(B398,0)</f>
        <v>46112</v>
      </c>
      <c r="L398" s="3" t="inlineStr">
        <is>
          <t>Checking – Operating</t>
        </is>
      </c>
      <c r="M398" s="3" t="inlineStr">
        <is>
          <t>Balance Sheet</t>
        </is>
      </c>
    </row>
    <row r="399">
      <c r="B399" s="39" t="n">
        <v>46110</v>
      </c>
      <c r="C399" s="3" t="inlineStr">
        <is>
          <t>Bill Payment (Check)</t>
        </is>
      </c>
      <c r="D399" s="3" t="inlineStr"/>
      <c r="E399" s="3" t="inlineStr">
        <is>
          <t>Reference Lab A</t>
        </is>
      </c>
      <c r="F399" s="3" t="inlineStr">
        <is>
          <t>Send-out testing – March</t>
        </is>
      </c>
      <c r="G399" s="3" t="inlineStr">
        <is>
          <t>Accounts Payable</t>
        </is>
      </c>
      <c r="H399" s="3" t="inlineStr">
        <is>
          <t>Checking – Operating</t>
        </is>
      </c>
      <c r="I399" s="33" t="n">
        <v>-33005.86</v>
      </c>
      <c r="J399" s="13">
        <f>+J398+I399</f>
        <v>712750.67</v>
      </c>
      <c r="K399" s="19">
        <f>+EOMONTH(B399,0)</f>
        <v>46112</v>
      </c>
      <c r="L399" s="3" t="inlineStr">
        <is>
          <t>Checking – Operating</t>
        </is>
      </c>
      <c r="M399" s="3" t="inlineStr">
        <is>
          <t>Balance Sheet</t>
        </is>
      </c>
    </row>
    <row r="400">
      <c r="B400" s="39" t="n">
        <v>46110</v>
      </c>
      <c r="C400" s="3" t="inlineStr">
        <is>
          <t>Bill Payment (Check)</t>
        </is>
      </c>
      <c r="D400" s="3" t="inlineStr"/>
      <c r="E400" s="3" t="inlineStr">
        <is>
          <t>Reagentix Corp</t>
        </is>
      </c>
      <c r="F400" s="3" t="inlineStr">
        <is>
          <t>Lab supplies PO# F2949</t>
        </is>
      </c>
      <c r="G400" s="3" t="inlineStr">
        <is>
          <t>Accounts Payable</t>
        </is>
      </c>
      <c r="H400" s="3" t="inlineStr">
        <is>
          <t>Checking – Operating</t>
        </is>
      </c>
      <c r="I400" s="33" t="n">
        <v>-12831.77</v>
      </c>
      <c r="J400" s="13">
        <f>+J399+I400</f>
        <v>699918.9</v>
      </c>
      <c r="K400" s="19">
        <f>+EOMONTH(B400,0)</f>
        <v>46112</v>
      </c>
      <c r="L400" s="3" t="inlineStr">
        <is>
          <t>Checking – Operating</t>
        </is>
      </c>
      <c r="M400" s="3" t="inlineStr">
        <is>
          <t>Balance Sheet</t>
        </is>
      </c>
    </row>
    <row r="401">
      <c r="B401" s="39" t="n">
        <v>46110</v>
      </c>
      <c r="C401" s="3" t="inlineStr">
        <is>
          <t>Bill Payment (Check)</t>
        </is>
      </c>
      <c r="D401" s="3" t="inlineStr"/>
      <c r="E401" s="3" t="inlineStr">
        <is>
          <t>Northmoor Waste Services</t>
        </is>
      </c>
      <c r="F401" s="3" t="inlineStr">
        <is>
          <t>Hazard Waste – March</t>
        </is>
      </c>
      <c r="G401" s="3" t="inlineStr">
        <is>
          <t>Accounts Payable</t>
        </is>
      </c>
      <c r="H401" s="3" t="inlineStr">
        <is>
          <t>Checking – Operating</t>
        </is>
      </c>
      <c r="I401" s="33" t="n">
        <v>-891.87</v>
      </c>
      <c r="J401" s="13">
        <f>+J400+I401</f>
        <v>699027.03</v>
      </c>
      <c r="K401" s="19">
        <f>+EOMONTH(B401,0)</f>
        <v>46112</v>
      </c>
      <c r="L401" s="3" t="inlineStr">
        <is>
          <t>Checking – Operating</t>
        </is>
      </c>
      <c r="M401" s="3" t="inlineStr">
        <is>
          <t>Balance Sheet</t>
        </is>
      </c>
    </row>
    <row r="402">
      <c r="B402" s="39" t="n">
        <v>46110</v>
      </c>
      <c r="C402" s="3" t="inlineStr">
        <is>
          <t>Credit Card Expense</t>
        </is>
      </c>
      <c r="D402" s="3" t="inlineStr"/>
      <c r="E402" s="3" t="inlineStr">
        <is>
          <t>Union Utilities</t>
        </is>
      </c>
      <c r="F402" s="3" t="inlineStr">
        <is>
          <t>Telecom and Internet – March</t>
        </is>
      </c>
      <c r="G402" s="3" t="inlineStr">
        <is>
          <t>Telecom and Internet</t>
        </is>
      </c>
      <c r="H402" s="3" t="inlineStr">
        <is>
          <t>Checking – Operating</t>
        </is>
      </c>
      <c r="I402" s="33" t="n">
        <v>-2786.83</v>
      </c>
      <c r="J402" s="13">
        <f>+J401+I402</f>
        <v>696240.2</v>
      </c>
      <c r="K402" s="19">
        <f>+EOMONTH(B402,0)</f>
        <v>46112</v>
      </c>
      <c r="L402" s="3" t="inlineStr">
        <is>
          <t>Checking – Operating</t>
        </is>
      </c>
      <c r="M402" s="3" t="inlineStr">
        <is>
          <t>Balance Sheet</t>
        </is>
      </c>
    </row>
    <row r="403">
      <c r="B403" s="39" t="n">
        <v>46110</v>
      </c>
      <c r="C403" s="3" t="inlineStr">
        <is>
          <t>Deposit</t>
        </is>
      </c>
      <c r="D403" s="3" t="inlineStr"/>
      <c r="E403" s="3" t="inlineStr">
        <is>
          <t>Federal Program A</t>
        </is>
      </c>
      <c r="F403" s="3" t="inlineStr">
        <is>
          <t>ORIG CO NAME:FEDERAL PROG A ORIG ID:XXXXXX7064 DESC DATE:260329 CO ENTRY DESCR:HCCLAIMPMT SEC:CCD TRACE#:XXXXXXXX1542704 EED:260329 IND ID:</t>
        </is>
      </c>
      <c r="G403" s="3" t="inlineStr">
        <is>
          <t>Service Income</t>
        </is>
      </c>
      <c r="H403" s="3" t="inlineStr">
        <is>
          <t>Checking – Operating</t>
        </is>
      </c>
      <c r="I403" s="33" t="n">
        <v>87201.96000000001</v>
      </c>
      <c r="J403" s="13">
        <f>+J402+I403</f>
        <v>783442.16</v>
      </c>
      <c r="K403" s="19">
        <f>+EOMONTH(B403,0)</f>
        <v>46112</v>
      </c>
      <c r="L403" s="3" t="inlineStr">
        <is>
          <t>Checking – Operating</t>
        </is>
      </c>
      <c r="M403" s="3" t="inlineStr">
        <is>
          <t>Balance Sheet</t>
        </is>
      </c>
    </row>
    <row r="404">
      <c r="B404" s="39" t="n">
        <v>46110</v>
      </c>
      <c r="C404" s="3" t="inlineStr">
        <is>
          <t>Expense</t>
        </is>
      </c>
      <c r="D404" s="3" t="inlineStr"/>
      <c r="E404" s="3" t="inlineStr">
        <is>
          <t>Ledgerquill Billing SaaS</t>
        </is>
      </c>
      <c r="F404" s="3" t="inlineStr">
        <is>
          <t>Software – March</t>
        </is>
      </c>
      <c r="G404" s="3" t="inlineStr">
        <is>
          <t>Software</t>
        </is>
      </c>
      <c r="H404" s="3" t="inlineStr">
        <is>
          <t>Checking – Operating</t>
        </is>
      </c>
      <c r="I404" s="33" t="n">
        <v>-3747.45</v>
      </c>
      <c r="J404" s="13">
        <f>+J403+I404</f>
        <v>779694.71</v>
      </c>
      <c r="K404" s="19">
        <f>+EOMONTH(B404,0)</f>
        <v>46112</v>
      </c>
      <c r="L404" s="3" t="inlineStr">
        <is>
          <t>Checking – Operating</t>
        </is>
      </c>
      <c r="M404" s="3" t="inlineStr">
        <is>
          <t>Balance Sheet</t>
        </is>
      </c>
    </row>
    <row r="405">
      <c r="B405" s="39" t="n">
        <v>46110</v>
      </c>
      <c r="C405" s="3" t="inlineStr">
        <is>
          <t>Journal Entry</t>
        </is>
      </c>
      <c r="D405" s="3" t="inlineStr"/>
      <c r="E405" s="3" t="inlineStr"/>
      <c r="F405" s="3" t="inlineStr">
        <is>
          <t>Car expense – March</t>
        </is>
      </c>
      <c r="G405" s="3" t="inlineStr">
        <is>
          <t>Car expense</t>
        </is>
      </c>
      <c r="H405" s="3" t="inlineStr">
        <is>
          <t>Checking – Operating</t>
        </is>
      </c>
      <c r="I405" s="33" t="n">
        <v>-662.91</v>
      </c>
      <c r="J405" s="13">
        <f>+J404+I405</f>
        <v>779031.8</v>
      </c>
      <c r="K405" s="19">
        <f>+EOMONTH(B405,0)</f>
        <v>46112</v>
      </c>
      <c r="L405" s="3" t="inlineStr">
        <is>
          <t>Checking – Operating</t>
        </is>
      </c>
      <c r="M405" s="3" t="inlineStr">
        <is>
          <t>Balance Sheet</t>
        </is>
      </c>
    </row>
    <row r="406">
      <c r="B406" s="39" t="n">
        <v>46111</v>
      </c>
      <c r="C406" s="3" t="inlineStr">
        <is>
          <t>Credit Card Expense</t>
        </is>
      </c>
      <c r="D406" s="3" t="inlineStr"/>
      <c r="E406" s="3" t="inlineStr"/>
      <c r="F406" s="3" t="inlineStr">
        <is>
          <t>Patient refund</t>
        </is>
      </c>
      <c r="G406" s="3" t="inlineStr">
        <is>
          <t>Refunds</t>
        </is>
      </c>
      <c r="H406" s="3" t="inlineStr">
        <is>
          <t>Checking – Operating</t>
        </is>
      </c>
      <c r="I406" s="33" t="n">
        <v>-3155.91</v>
      </c>
      <c r="J406" s="13">
        <f>+J405+I406</f>
        <v>775875.89</v>
      </c>
      <c r="K406" s="19">
        <f>+EOMONTH(B406,0)</f>
        <v>46112</v>
      </c>
      <c r="L406" s="3" t="inlineStr">
        <is>
          <t>Checking – Operating</t>
        </is>
      </c>
      <c r="M406" s="3" t="inlineStr">
        <is>
          <t>Balance Sheet</t>
        </is>
      </c>
    </row>
    <row r="407">
      <c r="B407" s="39" t="n">
        <v>46111</v>
      </c>
      <c r="C407" s="3" t="inlineStr">
        <is>
          <t>Credit Card Expense</t>
        </is>
      </c>
      <c r="D407" s="3" t="inlineStr"/>
      <c r="E407" s="3" t="inlineStr">
        <is>
          <t>Ledgerquill Billing SaaS</t>
        </is>
      </c>
      <c r="F407" s="3" t="inlineStr">
        <is>
          <t>Lab EMR Service – March</t>
        </is>
      </c>
      <c r="G407" s="3" t="inlineStr">
        <is>
          <t>Lab EMR Service</t>
        </is>
      </c>
      <c r="H407" s="3" t="inlineStr">
        <is>
          <t>Checking – Operating</t>
        </is>
      </c>
      <c r="I407" s="33" t="n">
        <v>-4293.67</v>
      </c>
      <c r="J407" s="13">
        <f>+J406+I407</f>
        <v>771582.22</v>
      </c>
      <c r="K407" s="19">
        <f>+EOMONTH(B407,0)</f>
        <v>46112</v>
      </c>
      <c r="L407" s="3" t="inlineStr">
        <is>
          <t>Checking – Operating</t>
        </is>
      </c>
      <c r="M407" s="3" t="inlineStr">
        <is>
          <t>Balance Sheet</t>
        </is>
      </c>
    </row>
    <row r="408">
      <c r="B408" s="39" t="n">
        <v>46111</v>
      </c>
      <c r="C408" s="3" t="inlineStr">
        <is>
          <t>Credit Card Expense</t>
        </is>
      </c>
      <c r="D408" s="3" t="inlineStr"/>
      <c r="E408" s="3" t="inlineStr">
        <is>
          <t>Union Utilities</t>
        </is>
      </c>
      <c r="F408" s="3" t="inlineStr">
        <is>
          <t>Fax Service – March</t>
        </is>
      </c>
      <c r="G408" s="3" t="inlineStr">
        <is>
          <t>Fax Service</t>
        </is>
      </c>
      <c r="H408" s="3" t="inlineStr">
        <is>
          <t>Checking – Operating</t>
        </is>
      </c>
      <c r="I408" s="33" t="n">
        <v>-781.58</v>
      </c>
      <c r="J408" s="13">
        <f>+J407+I408</f>
        <v>770800.64</v>
      </c>
      <c r="K408" s="19">
        <f>+EOMONTH(B408,0)</f>
        <v>46112</v>
      </c>
      <c r="L408" s="3" t="inlineStr">
        <is>
          <t>Checking – Operating</t>
        </is>
      </c>
      <c r="M408" s="3" t="inlineStr">
        <is>
          <t>Balance Sheet</t>
        </is>
      </c>
    </row>
    <row r="409">
      <c r="B409" s="39" t="n">
        <v>46111</v>
      </c>
      <c r="C409" s="3" t="inlineStr">
        <is>
          <t>Deposit</t>
        </is>
      </c>
      <c r="D409" s="3" t="inlineStr"/>
      <c r="E409" s="3" t="inlineStr">
        <is>
          <t>Marrowby Mutual</t>
        </is>
      </c>
      <c r="F409" s="3" t="inlineStr">
        <is>
          <t>ORIG CO NAME:MARROWBY MUTUAL ORIG ID:XXXXXX3001 DESC DATE:260330 CO ENTRY DESCR:HCCLAIMPMT SEC:CCD TRACE#:XXXXXXXX1935236 EED:260330 IND ID:</t>
        </is>
      </c>
      <c r="G409" s="3" t="inlineStr">
        <is>
          <t>Service Income</t>
        </is>
      </c>
      <c r="H409" s="3" t="inlineStr">
        <is>
          <t>Checking – Operating</t>
        </is>
      </c>
      <c r="I409" s="33" t="n">
        <v>90464.16</v>
      </c>
      <c r="J409" s="13">
        <f>+J408+I409</f>
        <v>861264.8</v>
      </c>
      <c r="K409" s="19">
        <f>+EOMONTH(B409,0)</f>
        <v>46112</v>
      </c>
      <c r="L409" s="3" t="inlineStr">
        <is>
          <t>Checking – Operating</t>
        </is>
      </c>
      <c r="M409" s="3" t="inlineStr">
        <is>
          <t>Balance Sheet</t>
        </is>
      </c>
    </row>
    <row r="410">
      <c r="B410" s="39" t="n">
        <v>46111</v>
      </c>
      <c r="C410" s="3" t="inlineStr">
        <is>
          <t>Expense</t>
        </is>
      </c>
      <c r="D410" s="3" t="inlineStr"/>
      <c r="E410" s="3" t="inlineStr">
        <is>
          <t>Lumenlease Equipment</t>
        </is>
      </c>
      <c r="F410" s="3" t="inlineStr">
        <is>
          <t>Repairs and Maintenance – March</t>
        </is>
      </c>
      <c r="G410" s="3" t="inlineStr">
        <is>
          <t>Repairs and Maintenance</t>
        </is>
      </c>
      <c r="H410" s="3" t="inlineStr">
        <is>
          <t>Checking – Operating</t>
        </is>
      </c>
      <c r="I410" s="33" t="n">
        <v>-3704.19</v>
      </c>
      <c r="J410" s="13">
        <f>+J409+I410</f>
        <v>857560.61</v>
      </c>
      <c r="K410" s="19">
        <f>+EOMONTH(B410,0)</f>
        <v>46112</v>
      </c>
      <c r="L410" s="3" t="inlineStr">
        <is>
          <t>Checking – Operating</t>
        </is>
      </c>
      <c r="M410" s="3" t="inlineStr">
        <is>
          <t>Balance Sheet</t>
        </is>
      </c>
    </row>
    <row r="411">
      <c r="B411" s="39" t="n">
        <v>46111</v>
      </c>
      <c r="C411" s="3" t="inlineStr">
        <is>
          <t>Journal Entry</t>
        </is>
      </c>
      <c r="D411" s="3" t="inlineStr"/>
      <c r="E411" s="3" t="inlineStr"/>
      <c r="F411" s="3" t="inlineStr">
        <is>
          <t>Automobile Expense – March</t>
        </is>
      </c>
      <c r="G411" s="3" t="inlineStr">
        <is>
          <t>Automobile Expense</t>
        </is>
      </c>
      <c r="H411" s="3" t="inlineStr">
        <is>
          <t>Checking – Operating</t>
        </is>
      </c>
      <c r="I411" s="33" t="n">
        <v>-668.24</v>
      </c>
      <c r="J411" s="13">
        <f>+J410+I411</f>
        <v>856892.37</v>
      </c>
      <c r="K411" s="19">
        <f>+EOMONTH(B411,0)</f>
        <v>46112</v>
      </c>
      <c r="L411" s="3" t="inlineStr">
        <is>
          <t>Checking – Operating</t>
        </is>
      </c>
      <c r="M411" s="3" t="inlineStr">
        <is>
          <t>Balance Sheet</t>
        </is>
      </c>
    </row>
    <row r="412">
      <c r="B412" s="39" t="n">
        <v>46111</v>
      </c>
      <c r="C412" s="3" t="inlineStr">
        <is>
          <t>Journal Entry</t>
        </is>
      </c>
      <c r="D412" s="3" t="inlineStr"/>
      <c r="E412" s="3" t="inlineStr"/>
      <c r="F412" s="3" t="inlineStr">
        <is>
          <t>Automobile Expense – March</t>
        </is>
      </c>
      <c r="G412" s="3" t="inlineStr">
        <is>
          <t>Automobile Expense</t>
        </is>
      </c>
      <c r="H412" s="3" t="inlineStr">
        <is>
          <t>Checking – Operating</t>
        </is>
      </c>
      <c r="I412" s="33" t="n">
        <v>-1011.76</v>
      </c>
      <c r="J412" s="13">
        <f>+J411+I412</f>
        <v>855880.61</v>
      </c>
      <c r="K412" s="19">
        <f>+EOMONTH(B412,0)</f>
        <v>46112</v>
      </c>
      <c r="L412" s="3" t="inlineStr">
        <is>
          <t>Checking – Operating</t>
        </is>
      </c>
      <c r="M412" s="3" t="inlineStr">
        <is>
          <t>Balance Sheet</t>
        </is>
      </c>
    </row>
    <row r="413">
      <c r="B413" s="39" t="n">
        <v>46112</v>
      </c>
      <c r="C413" s="3" t="inlineStr">
        <is>
          <t>Bill Payment (Check)</t>
        </is>
      </c>
      <c r="D413" s="3" t="inlineStr"/>
      <c r="E413" s="3" t="inlineStr">
        <is>
          <t>Swiftmere Courier</t>
        </is>
      </c>
      <c r="F413" s="3" t="inlineStr">
        <is>
          <t>Delivery and Transportation – March</t>
        </is>
      </c>
      <c r="G413" s="3" t="inlineStr">
        <is>
          <t>Accounts Payable</t>
        </is>
      </c>
      <c r="H413" s="3" t="inlineStr">
        <is>
          <t>Checking – Operating</t>
        </is>
      </c>
      <c r="I413" s="33" t="n">
        <v>-3103.94</v>
      </c>
      <c r="J413" s="13">
        <f>+J412+I413</f>
        <v>852776.67</v>
      </c>
      <c r="K413" s="19">
        <f>+EOMONTH(B413,0)</f>
        <v>46112</v>
      </c>
      <c r="L413" s="3" t="inlineStr">
        <is>
          <t>Checking – Operating</t>
        </is>
      </c>
      <c r="M413" s="3" t="inlineStr">
        <is>
          <t>Balance Sheet</t>
        </is>
      </c>
    </row>
    <row r="414">
      <c r="B414" s="39" t="n">
        <v>46112</v>
      </c>
      <c r="C414" s="3" t="inlineStr">
        <is>
          <t>Deposit</t>
        </is>
      </c>
      <c r="D414" s="3" t="inlineStr"/>
      <c r="E414" s="3" t="inlineStr">
        <is>
          <t>Federal Program A</t>
        </is>
      </c>
      <c r="F414" s="3" t="inlineStr">
        <is>
          <t>ORIG CO NAME:FEDERAL PROG A ORIG ID:XXXXXX6223 DESC DATE:260331 CO ENTRY DESCR:HCCLAIMPMT SEC:CCD TRACE#:XXXXXXXX5989124 EED:260331 IND ID:</t>
        </is>
      </c>
      <c r="G414" s="3" t="inlineStr">
        <is>
          <t>Service Income</t>
        </is>
      </c>
      <c r="H414" s="3" t="inlineStr">
        <is>
          <t>Checking – Operating</t>
        </is>
      </c>
      <c r="I414" s="33" t="n">
        <v>60645.47</v>
      </c>
      <c r="J414" s="13">
        <f>+J413+I414</f>
        <v>913422.14</v>
      </c>
      <c r="K414" s="19">
        <f>+EOMONTH(B414,0)</f>
        <v>46112</v>
      </c>
      <c r="L414" s="3" t="inlineStr">
        <is>
          <t>Checking – Operating</t>
        </is>
      </c>
      <c r="M414" s="3" t="inlineStr">
        <is>
          <t>Balance Sheet</t>
        </is>
      </c>
    </row>
    <row r="415">
      <c r="B415" s="39" t="n">
        <v>46112</v>
      </c>
      <c r="C415" s="3" t="inlineStr">
        <is>
          <t>Journal Entry</t>
        </is>
      </c>
      <c r="D415" s="3" t="inlineStr"/>
      <c r="E415" s="3" t="inlineStr"/>
      <c r="F415" s="3" t="inlineStr">
        <is>
          <t>Business Meetings &amp; Development – March</t>
        </is>
      </c>
      <c r="G415" s="3" t="inlineStr">
        <is>
          <t>Business Meetings &amp; Development</t>
        </is>
      </c>
      <c r="H415" s="3" t="inlineStr">
        <is>
          <t>Checking – Operating</t>
        </is>
      </c>
      <c r="I415" s="33" t="n">
        <v>-3223.38</v>
      </c>
      <c r="J415" s="13">
        <f>+J414+I415</f>
        <v>910198.76</v>
      </c>
      <c r="K415" s="19">
        <f>+EOMONTH(B415,0)</f>
        <v>46112</v>
      </c>
      <c r="L415" s="3" t="inlineStr">
        <is>
          <t>Checking – Operating</t>
        </is>
      </c>
      <c r="M415" s="3" t="inlineStr">
        <is>
          <t>Balance Sheet</t>
        </is>
      </c>
    </row>
    <row r="416">
      <c r="B416" s="39" t="n">
        <v>46113</v>
      </c>
      <c r="C416" s="3" t="inlineStr">
        <is>
          <t>Bill Payment (Check)</t>
        </is>
      </c>
      <c r="D416" s="3" t="inlineStr"/>
      <c r="E416" s="3" t="inlineStr">
        <is>
          <t>Swiftmere Courier</t>
        </is>
      </c>
      <c r="F416" s="3" t="inlineStr">
        <is>
          <t>Delivery and Transportation – March</t>
        </is>
      </c>
      <c r="G416" s="3" t="inlineStr">
        <is>
          <t>Accounts Payable</t>
        </is>
      </c>
      <c r="H416" s="3" t="inlineStr">
        <is>
          <t>Checking – Operating</t>
        </is>
      </c>
      <c r="I416" s="33" t="n">
        <v>-4496.06</v>
      </c>
      <c r="J416" s="13">
        <f>+J415+I416</f>
        <v>905702.7</v>
      </c>
      <c r="K416" s="19">
        <f>+EOMONTH(B416,0)</f>
        <v>46142</v>
      </c>
      <c r="L416" s="3" t="inlineStr">
        <is>
          <t>Checking – Operating</t>
        </is>
      </c>
      <c r="M416" s="3" t="inlineStr">
        <is>
          <t>Balance Sheet</t>
        </is>
      </c>
    </row>
    <row r="417">
      <c r="B417" s="39" t="n">
        <v>46113</v>
      </c>
      <c r="C417" s="3" t="inlineStr">
        <is>
          <t>Deposit</t>
        </is>
      </c>
      <c r="D417" s="3" t="inlineStr"/>
      <c r="E417" s="3" t="inlineStr">
        <is>
          <t>Cobaltmere Health</t>
        </is>
      </c>
      <c r="F417" s="3" t="inlineStr">
        <is>
          <t>ORIG CO NAME:COBALTMERE HEALTH ORIG ID:XXXXXX7041 DESC DATE:260401 CO ENTRY DESCR:HCCLAIMPMT SEC:CCD TRACE#:XXXXXXXX7216152 EED:260401 IND ID:</t>
        </is>
      </c>
      <c r="G417" s="3" t="inlineStr">
        <is>
          <t>Service Income</t>
        </is>
      </c>
      <c r="H417" s="3" t="inlineStr">
        <is>
          <t>Checking – Operating</t>
        </is>
      </c>
      <c r="I417" s="33" t="n">
        <v>37434.17</v>
      </c>
      <c r="J417" s="13">
        <f>+J416+I417</f>
        <v>943136.87</v>
      </c>
      <c r="K417" s="19">
        <f>+EOMONTH(B417,0)</f>
        <v>46142</v>
      </c>
      <c r="L417" s="3" t="inlineStr">
        <is>
          <t>Checking – Operating</t>
        </is>
      </c>
      <c r="M417" s="3" t="inlineStr">
        <is>
          <t>Balance Sheet</t>
        </is>
      </c>
    </row>
    <row r="418">
      <c r="B418" s="39" t="n">
        <v>46113</v>
      </c>
      <c r="C418" s="3" t="inlineStr">
        <is>
          <t>Payroll Check</t>
        </is>
      </c>
      <c r="D418" s="3" t="inlineStr"/>
      <c r="E418" s="3" t="inlineStr">
        <is>
          <t>Tessarand Payroll Services</t>
        </is>
      </c>
      <c r="F418" s="3" t="inlineStr">
        <is>
          <t>Payroll – biweekly</t>
        </is>
      </c>
      <c r="G418" s="3" t="inlineStr">
        <is>
          <t>Salaries and Wages</t>
        </is>
      </c>
      <c r="H418" s="3" t="inlineStr">
        <is>
          <t>Checking – Operating</t>
        </is>
      </c>
      <c r="I418" s="33" t="n">
        <v>-177258.54</v>
      </c>
      <c r="J418" s="13">
        <f>+J417+I418</f>
        <v>765878.33</v>
      </c>
      <c r="K418" s="19">
        <f>+EOMONTH(B418,0)</f>
        <v>46142</v>
      </c>
      <c r="L418" s="3" t="inlineStr">
        <is>
          <t>Checking – Operating</t>
        </is>
      </c>
      <c r="M418" s="3" t="inlineStr">
        <is>
          <t>Balance Sheet</t>
        </is>
      </c>
    </row>
    <row r="419">
      <c r="B419" s="39" t="n">
        <v>46114</v>
      </c>
      <c r="C419" s="3" t="inlineStr">
        <is>
          <t>Bill Payment (Check)</t>
        </is>
      </c>
      <c r="D419" s="3" t="inlineStr"/>
      <c r="E419" s="3" t="inlineStr">
        <is>
          <t>Ledgerquill Billing SaaS</t>
        </is>
      </c>
      <c r="F419" s="3" t="inlineStr">
        <is>
          <t>Billing Software as a Service – March</t>
        </is>
      </c>
      <c r="G419" s="3" t="inlineStr">
        <is>
          <t>Accounts Payable</t>
        </is>
      </c>
      <c r="H419" s="3" t="inlineStr">
        <is>
          <t>Checking – Operating</t>
        </is>
      </c>
      <c r="I419" s="33" t="n">
        <v>-15462.2</v>
      </c>
      <c r="J419" s="13">
        <f>+J418+I419</f>
        <v>750416.13</v>
      </c>
      <c r="K419" s="19">
        <f>+EOMONTH(B419,0)</f>
        <v>46142</v>
      </c>
      <c r="L419" s="3" t="inlineStr">
        <is>
          <t>Checking – Operating</t>
        </is>
      </c>
      <c r="M419" s="3" t="inlineStr">
        <is>
          <t>Balance Sheet</t>
        </is>
      </c>
    </row>
    <row r="420">
      <c r="B420" s="39" t="n">
        <v>46114</v>
      </c>
      <c r="C420" s="3" t="inlineStr">
        <is>
          <t>Credit Card Expense</t>
        </is>
      </c>
      <c r="D420" s="3" t="inlineStr"/>
      <c r="E420" s="3" t="inlineStr">
        <is>
          <t>Consultant A</t>
        </is>
      </c>
      <c r="F420" s="3" t="inlineStr">
        <is>
          <t>Legal &amp; Professional Fees – April</t>
        </is>
      </c>
      <c r="G420" s="3" t="inlineStr">
        <is>
          <t>Legal &amp; Professional Fees</t>
        </is>
      </c>
      <c r="H420" s="3" t="inlineStr">
        <is>
          <t>Checking – Operating</t>
        </is>
      </c>
      <c r="I420" s="33" t="n">
        <v>-1375.45</v>
      </c>
      <c r="J420" s="13">
        <f>+J419+I420</f>
        <v>749040.68</v>
      </c>
      <c r="K420" s="19">
        <f>+EOMONTH(B420,0)</f>
        <v>46142</v>
      </c>
      <c r="L420" s="3" t="inlineStr">
        <is>
          <t>Checking – Operating</t>
        </is>
      </c>
      <c r="M420" s="3" t="inlineStr">
        <is>
          <t>Balance Sheet</t>
        </is>
      </c>
    </row>
    <row r="421">
      <c r="B421" s="39" t="n">
        <v>46114</v>
      </c>
      <c r="C421" s="3" t="inlineStr">
        <is>
          <t>Deposit</t>
        </is>
      </c>
      <c r="D421" s="3" t="inlineStr"/>
      <c r="E421" s="3" t="inlineStr">
        <is>
          <t>Federal Program A</t>
        </is>
      </c>
      <c r="F421" s="3" t="inlineStr">
        <is>
          <t>ORIG CO NAME:FEDERAL PROG A ORIG ID:XXXXXX7995 DESC DATE:260402 CO ENTRY DESCR:HCCLAIMPMT SEC:CCD TRACE#:XXXXXXXX4491256 EED:260402 IND ID:</t>
        </is>
      </c>
      <c r="G421" s="3" t="inlineStr">
        <is>
          <t>Service Income</t>
        </is>
      </c>
      <c r="H421" s="3" t="inlineStr">
        <is>
          <t>Checking – Operating</t>
        </is>
      </c>
      <c r="I421" s="33" t="n">
        <v>113998.32</v>
      </c>
      <c r="J421" s="13">
        <f>+J420+I421</f>
        <v>863039</v>
      </c>
      <c r="K421" s="19">
        <f>+EOMONTH(B421,0)</f>
        <v>46142</v>
      </c>
      <c r="L421" s="3" t="inlineStr">
        <is>
          <t>Checking – Operating</t>
        </is>
      </c>
      <c r="M421" s="3" t="inlineStr">
        <is>
          <t>Balance Sheet</t>
        </is>
      </c>
    </row>
    <row r="422">
      <c r="B422" s="39" t="n">
        <v>46114</v>
      </c>
      <c r="C422" s="3" t="inlineStr">
        <is>
          <t>Expense</t>
        </is>
      </c>
      <c r="D422" s="3" t="inlineStr"/>
      <c r="E422" s="3" t="inlineStr">
        <is>
          <t>Consultant A</t>
        </is>
      </c>
      <c r="F422" s="3" t="inlineStr">
        <is>
          <t>Accounting Service – April</t>
        </is>
      </c>
      <c r="G422" s="3" t="inlineStr">
        <is>
          <t>Accounting Service</t>
        </is>
      </c>
      <c r="H422" s="3" t="inlineStr">
        <is>
          <t>Checking – Operating</t>
        </is>
      </c>
      <c r="I422" s="33" t="n">
        <v>-2835.87</v>
      </c>
      <c r="J422" s="13">
        <f>+J421+I422</f>
        <v>860203.13</v>
      </c>
      <c r="K422" s="19">
        <f>+EOMONTH(B422,0)</f>
        <v>46142</v>
      </c>
      <c r="L422" s="3" t="inlineStr">
        <is>
          <t>Checking – Operating</t>
        </is>
      </c>
      <c r="M422" s="3" t="inlineStr">
        <is>
          <t>Balance Sheet</t>
        </is>
      </c>
    </row>
    <row r="423">
      <c r="B423" s="39" t="n">
        <v>46115</v>
      </c>
      <c r="C423" s="3" t="inlineStr">
        <is>
          <t>Credit Card Expense</t>
        </is>
      </c>
      <c r="D423" s="3" t="inlineStr"/>
      <c r="E423" s="3" t="inlineStr">
        <is>
          <t>Swiftmere Courier</t>
        </is>
      </c>
      <c r="F423" s="3" t="inlineStr">
        <is>
          <t>Postage and Delivery – April</t>
        </is>
      </c>
      <c r="G423" s="3" t="inlineStr">
        <is>
          <t>Postage and Delivery</t>
        </is>
      </c>
      <c r="H423" s="3" t="inlineStr">
        <is>
          <t>Checking – Operating</t>
        </is>
      </c>
      <c r="I423" s="33" t="n">
        <v>-367.81</v>
      </c>
      <c r="J423" s="13">
        <f>+J422+I423</f>
        <v>859835.32</v>
      </c>
      <c r="K423" s="19">
        <f>+EOMONTH(B423,0)</f>
        <v>46142</v>
      </c>
      <c r="L423" s="3" t="inlineStr">
        <is>
          <t>Checking – Operating</t>
        </is>
      </c>
      <c r="M423" s="3" t="inlineStr">
        <is>
          <t>Balance Sheet</t>
        </is>
      </c>
    </row>
    <row r="424">
      <c r="B424" s="39" t="n">
        <v>46115</v>
      </c>
      <c r="C424" s="3" t="inlineStr">
        <is>
          <t>Credit Card Expense</t>
        </is>
      </c>
      <c r="D424" s="3" t="inlineStr"/>
      <c r="E424" s="3" t="inlineStr"/>
      <c r="F424" s="3" t="inlineStr">
        <is>
          <t>Taxes and Licenses – April</t>
        </is>
      </c>
      <c r="G424" s="3" t="inlineStr">
        <is>
          <t>Taxes and Licenses</t>
        </is>
      </c>
      <c r="H424" s="3" t="inlineStr">
        <is>
          <t>Checking – Operating</t>
        </is>
      </c>
      <c r="I424" s="33" t="n">
        <v>-900</v>
      </c>
      <c r="J424" s="13">
        <f>+J423+I424</f>
        <v>858935.32</v>
      </c>
      <c r="K424" s="19">
        <f>+EOMONTH(B424,0)</f>
        <v>46142</v>
      </c>
      <c r="L424" s="3" t="inlineStr">
        <is>
          <t>Checking – Operating</t>
        </is>
      </c>
      <c r="M424" s="3" t="inlineStr">
        <is>
          <t>Balance Sheet</t>
        </is>
      </c>
    </row>
    <row r="425">
      <c r="B425" s="39" t="n">
        <v>46115</v>
      </c>
      <c r="C425" s="3" t="inlineStr">
        <is>
          <t>Deposit</t>
        </is>
      </c>
      <c r="D425" s="3" t="inlineStr"/>
      <c r="E425" s="3" t="inlineStr">
        <is>
          <t>Marrowby Mutual</t>
        </is>
      </c>
      <c r="F425" s="3" t="inlineStr">
        <is>
          <t>ORIG CO NAME:MARROWBY MUTUAL ORIG ID:XXXXXX8902 DESC DATE:260403 CO ENTRY DESCR:HCCLAIMPMT SEC:CCD TRACE#:XXXXXXXX3883921 EED:260403 IND ID:</t>
        </is>
      </c>
      <c r="G425" s="3" t="inlineStr">
        <is>
          <t>Service Income</t>
        </is>
      </c>
      <c r="H425" s="3" t="inlineStr">
        <is>
          <t>Checking – Operating</t>
        </is>
      </c>
      <c r="I425" s="33" t="n">
        <v>70809.64999999999</v>
      </c>
      <c r="J425" s="13">
        <f>+J424+I425</f>
        <v>929744.97</v>
      </c>
      <c r="K425" s="19">
        <f>+EOMONTH(B425,0)</f>
        <v>46142</v>
      </c>
      <c r="L425" s="3" t="inlineStr">
        <is>
          <t>Checking – Operating</t>
        </is>
      </c>
      <c r="M425" s="3" t="inlineStr">
        <is>
          <t>Balance Sheet</t>
        </is>
      </c>
    </row>
    <row r="426">
      <c r="B426" s="39" t="n">
        <v>46115</v>
      </c>
      <c r="C426" s="3" t="inlineStr">
        <is>
          <t>Expense</t>
        </is>
      </c>
      <c r="D426" s="3" t="inlineStr"/>
      <c r="E426" s="3" t="inlineStr"/>
      <c r="F426" s="3" t="inlineStr">
        <is>
          <t>Bank service charges – April</t>
        </is>
      </c>
      <c r="G426" s="3" t="inlineStr">
        <is>
          <t>Bank Fees</t>
        </is>
      </c>
      <c r="H426" s="3" t="inlineStr">
        <is>
          <t>Checking – Operating</t>
        </is>
      </c>
      <c r="I426" s="33" t="n">
        <v>-1929.23</v>
      </c>
      <c r="J426" s="13">
        <f>+J425+I426</f>
        <v>927815.74</v>
      </c>
      <c r="K426" s="19">
        <f>+EOMONTH(B426,0)</f>
        <v>46142</v>
      </c>
      <c r="L426" s="3" t="inlineStr">
        <is>
          <t>Checking – Operating</t>
        </is>
      </c>
      <c r="M426" s="3" t="inlineStr">
        <is>
          <t>Balance Sheet</t>
        </is>
      </c>
    </row>
    <row r="427">
      <c r="B427" s="39" t="n">
        <v>46115</v>
      </c>
      <c r="C427" s="3" t="inlineStr">
        <is>
          <t>Expense</t>
        </is>
      </c>
      <c r="D427" s="3" t="inlineStr"/>
      <c r="E427" s="3" t="inlineStr"/>
      <c r="F427" s="3" t="inlineStr">
        <is>
          <t>Property tax installment</t>
        </is>
      </c>
      <c r="G427" s="3" t="inlineStr">
        <is>
          <t>Property tax</t>
        </is>
      </c>
      <c r="H427" s="3" t="inlineStr">
        <is>
          <t>Checking – Operating</t>
        </is>
      </c>
      <c r="I427" s="33" t="n">
        <v>-1234.57</v>
      </c>
      <c r="J427" s="13">
        <f>+J426+I427</f>
        <v>926581.17</v>
      </c>
      <c r="K427" s="19">
        <f>+EOMONTH(B427,0)</f>
        <v>46142</v>
      </c>
      <c r="L427" s="3" t="inlineStr">
        <is>
          <t>Checking – Operating</t>
        </is>
      </c>
      <c r="M427" s="3" t="inlineStr">
        <is>
          <t>Balance Sheet</t>
        </is>
      </c>
    </row>
    <row r="428">
      <c r="B428" s="39" t="n">
        <v>46115</v>
      </c>
      <c r="C428" s="3" t="inlineStr">
        <is>
          <t>Expense</t>
        </is>
      </c>
      <c r="D428" s="3" t="inlineStr"/>
      <c r="E428" s="3" t="inlineStr">
        <is>
          <t>Union Utilities</t>
        </is>
      </c>
      <c r="F428" s="3" t="inlineStr">
        <is>
          <t>Telecom and Internet – April</t>
        </is>
      </c>
      <c r="G428" s="3" t="inlineStr">
        <is>
          <t>Telecom and Internet</t>
        </is>
      </c>
      <c r="H428" s="3" t="inlineStr">
        <is>
          <t>Checking – Operating</t>
        </is>
      </c>
      <c r="I428" s="33" t="n">
        <v>-1717.69</v>
      </c>
      <c r="J428" s="13">
        <f>+J427+I428</f>
        <v>924863.48</v>
      </c>
      <c r="K428" s="19">
        <f>+EOMONTH(B428,0)</f>
        <v>46142</v>
      </c>
      <c r="L428" s="3" t="inlineStr">
        <is>
          <t>Checking – Operating</t>
        </is>
      </c>
      <c r="M428" s="3" t="inlineStr">
        <is>
          <t>Balance Sheet</t>
        </is>
      </c>
    </row>
    <row r="429">
      <c r="B429" s="39" t="n">
        <v>46116</v>
      </c>
      <c r="C429" s="3" t="inlineStr">
        <is>
          <t>Credit Card Expense</t>
        </is>
      </c>
      <c r="D429" s="3" t="inlineStr"/>
      <c r="E429" s="3" t="inlineStr"/>
      <c r="F429" s="3" t="inlineStr">
        <is>
          <t>Reimbursement – April</t>
        </is>
      </c>
      <c r="G429" s="3" t="inlineStr">
        <is>
          <t>Reimbursement</t>
        </is>
      </c>
      <c r="H429" s="3" t="inlineStr">
        <is>
          <t>Checking – Operating</t>
        </is>
      </c>
      <c r="I429" s="33" t="n">
        <v>-1391.62</v>
      </c>
      <c r="J429" s="13">
        <f>+J428+I429</f>
        <v>923471.86</v>
      </c>
      <c r="K429" s="19">
        <f>+EOMONTH(B429,0)</f>
        <v>46142</v>
      </c>
      <c r="L429" s="3" t="inlineStr">
        <is>
          <t>Checking – Operating</t>
        </is>
      </c>
      <c r="M429" s="3" t="inlineStr">
        <is>
          <t>Balance Sheet</t>
        </is>
      </c>
    </row>
    <row r="430">
      <c r="B430" s="39" t="n">
        <v>46116</v>
      </c>
      <c r="C430" s="3" t="inlineStr">
        <is>
          <t>Deposit</t>
        </is>
      </c>
      <c r="D430" s="3" t="inlineStr"/>
      <c r="E430" s="3" t="inlineStr">
        <is>
          <t>Vantrelle Health Plan</t>
        </is>
      </c>
      <c r="F430" s="3" t="inlineStr">
        <is>
          <t>ORIG CO NAME:VANTRELLE HP ORIG ID:XXXXXX4286 DESC DATE:260404 CO ENTRY DESCR:HCCLAIMPMT SEC:CCD TRACE#:XXXXXXXX5462195 EED:260404 IND ID:</t>
        </is>
      </c>
      <c r="G430" s="3" t="inlineStr">
        <is>
          <t>Service Income</t>
        </is>
      </c>
      <c r="H430" s="3" t="inlineStr">
        <is>
          <t>Checking – Operating</t>
        </is>
      </c>
      <c r="I430" s="33" t="n">
        <v>129407.29</v>
      </c>
      <c r="J430" s="13">
        <f>+J429+I430</f>
        <v>1052879.15</v>
      </c>
      <c r="K430" s="19">
        <f>+EOMONTH(B430,0)</f>
        <v>46142</v>
      </c>
      <c r="L430" s="3" t="inlineStr">
        <is>
          <t>Checking – Operating</t>
        </is>
      </c>
      <c r="M430" s="3" t="inlineStr">
        <is>
          <t>Balance Sheet</t>
        </is>
      </c>
    </row>
    <row r="431">
      <c r="B431" s="39" t="n">
        <v>46117</v>
      </c>
      <c r="C431" s="3" t="inlineStr">
        <is>
          <t>Bill Payment (Check)</t>
        </is>
      </c>
      <c r="D431" s="3" t="inlineStr"/>
      <c r="E431" s="3" t="inlineStr">
        <is>
          <t>Lumenlease Equipment</t>
        </is>
      </c>
      <c r="F431" s="3" t="inlineStr">
        <is>
          <t>Equipment Lease – March</t>
        </is>
      </c>
      <c r="G431" s="3" t="inlineStr">
        <is>
          <t>Accounts Payable</t>
        </is>
      </c>
      <c r="H431" s="3" t="inlineStr">
        <is>
          <t>Checking – Operating</t>
        </is>
      </c>
      <c r="I431" s="33" t="n">
        <v>-3740.96</v>
      </c>
      <c r="J431" s="13">
        <f>+J430+I431</f>
        <v>1049138.19</v>
      </c>
      <c r="K431" s="19">
        <f>+EOMONTH(B431,0)</f>
        <v>46142</v>
      </c>
      <c r="L431" s="3" t="inlineStr">
        <is>
          <t>Checking – Operating</t>
        </is>
      </c>
      <c r="M431" s="3" t="inlineStr">
        <is>
          <t>Balance Sheet</t>
        </is>
      </c>
    </row>
    <row r="432">
      <c r="B432" s="39" t="n">
        <v>46117</v>
      </c>
      <c r="C432" s="3" t="inlineStr">
        <is>
          <t>Credit Card Expense</t>
        </is>
      </c>
      <c r="D432" s="3" t="inlineStr"/>
      <c r="E432" s="3" t="inlineStr"/>
      <c r="F432" s="3" t="inlineStr">
        <is>
          <t>Business Meetings &amp; Development – April</t>
        </is>
      </c>
      <c r="G432" s="3" t="inlineStr">
        <is>
          <t>Business Meetings &amp; Development</t>
        </is>
      </c>
      <c r="H432" s="3" t="inlineStr">
        <is>
          <t>Checking – Operating</t>
        </is>
      </c>
      <c r="I432" s="33" t="n">
        <v>-4358.03</v>
      </c>
      <c r="J432" s="13">
        <f>+J431+I432</f>
        <v>1044780.16</v>
      </c>
      <c r="K432" s="19">
        <f>+EOMONTH(B432,0)</f>
        <v>46142</v>
      </c>
      <c r="L432" s="3" t="inlineStr">
        <is>
          <t>Checking – Operating</t>
        </is>
      </c>
      <c r="M432" s="3" t="inlineStr">
        <is>
          <t>Balance Sheet</t>
        </is>
      </c>
    </row>
    <row r="433">
      <c r="B433" s="39" t="n">
        <v>46117</v>
      </c>
      <c r="C433" s="3" t="inlineStr">
        <is>
          <t>Deposit</t>
        </is>
      </c>
      <c r="D433" s="3" t="inlineStr"/>
      <c r="E433" s="3" t="inlineStr">
        <is>
          <t>Quayside Choice Senior Plan</t>
        </is>
      </c>
      <c r="F433" s="3" t="inlineStr">
        <is>
          <t>ORIG CO NAME:QUAYSIDE CHOICE SP ORIG ID:XXXXXX7008 DESC DATE:260405 CO ENTRY DESCR:HCCLAIMPMT SEC:CCD TRACE#:XXXXXXXX6588153 EED:260405 IND ID:</t>
        </is>
      </c>
      <c r="G433" s="3" t="inlineStr">
        <is>
          <t>Service Income</t>
        </is>
      </c>
      <c r="H433" s="3" t="inlineStr">
        <is>
          <t>Checking – Operating</t>
        </is>
      </c>
      <c r="I433" s="33" t="n">
        <v>61510.33</v>
      </c>
      <c r="J433" s="13">
        <f>+J432+I433</f>
        <v>1106290.49</v>
      </c>
      <c r="K433" s="19">
        <f>+EOMONTH(B433,0)</f>
        <v>46142</v>
      </c>
      <c r="L433" s="3" t="inlineStr">
        <is>
          <t>Checking – Operating</t>
        </is>
      </c>
      <c r="M433" s="3" t="inlineStr">
        <is>
          <t>Balance Sheet</t>
        </is>
      </c>
    </row>
    <row r="434">
      <c r="B434" s="39" t="n">
        <v>46117</v>
      </c>
      <c r="C434" s="3" t="inlineStr">
        <is>
          <t>Journal Entry</t>
        </is>
      </c>
      <c r="D434" s="3" t="inlineStr"/>
      <c r="E434" s="3" t="inlineStr"/>
      <c r="F434" s="3" t="inlineStr">
        <is>
          <t>Patient refund</t>
        </is>
      </c>
      <c r="G434" s="3" t="inlineStr">
        <is>
          <t>Refunds</t>
        </is>
      </c>
      <c r="H434" s="3" t="inlineStr">
        <is>
          <t>Checking – Operating</t>
        </is>
      </c>
      <c r="I434" s="33" t="n">
        <v>-3975.31</v>
      </c>
      <c r="J434" s="13">
        <f>+J433+I434</f>
        <v>1102315.18</v>
      </c>
      <c r="K434" s="19">
        <f>+EOMONTH(B434,0)</f>
        <v>46142</v>
      </c>
      <c r="L434" s="3" t="inlineStr">
        <is>
          <t>Checking – Operating</t>
        </is>
      </c>
      <c r="M434" s="3" t="inlineStr">
        <is>
          <t>Balance Sheet</t>
        </is>
      </c>
    </row>
    <row r="435">
      <c r="B435" s="39" t="n">
        <v>46117</v>
      </c>
      <c r="C435" s="3" t="inlineStr">
        <is>
          <t>Journal Entry</t>
        </is>
      </c>
      <c r="D435" s="3" t="inlineStr"/>
      <c r="E435" s="3" t="inlineStr"/>
      <c r="F435" s="3" t="inlineStr">
        <is>
          <t>Automobile Expense – April</t>
        </is>
      </c>
      <c r="G435" s="3" t="inlineStr">
        <is>
          <t>Automobile Expense</t>
        </is>
      </c>
      <c r="H435" s="3" t="inlineStr">
        <is>
          <t>Checking – Operating</t>
        </is>
      </c>
      <c r="I435" s="33" t="n">
        <v>-875.63</v>
      </c>
      <c r="J435" s="13">
        <f>+J434+I435</f>
        <v>1101439.55</v>
      </c>
      <c r="K435" s="19">
        <f>+EOMONTH(B435,0)</f>
        <v>46142</v>
      </c>
      <c r="L435" s="3" t="inlineStr">
        <is>
          <t>Checking – Operating</t>
        </is>
      </c>
      <c r="M435" s="3" t="inlineStr">
        <is>
          <t>Balance Sheet</t>
        </is>
      </c>
    </row>
    <row r="436">
      <c r="B436" s="39" t="n">
        <v>46117</v>
      </c>
      <c r="C436" s="3" t="inlineStr">
        <is>
          <t>Journal Entry</t>
        </is>
      </c>
      <c r="D436" s="3" t="inlineStr"/>
      <c r="E436" s="3" t="inlineStr"/>
      <c r="F436" s="3" t="inlineStr">
        <is>
          <t>Business Licenses and Permits – April</t>
        </is>
      </c>
      <c r="G436" s="3" t="inlineStr">
        <is>
          <t>Business Licenses and Permits</t>
        </is>
      </c>
      <c r="H436" s="3" t="inlineStr">
        <is>
          <t>Checking – Operating</t>
        </is>
      </c>
      <c r="I436" s="33" t="n">
        <v>-788.62</v>
      </c>
      <c r="J436" s="13">
        <f>+J435+I436</f>
        <v>1100650.93</v>
      </c>
      <c r="K436" s="19">
        <f>+EOMONTH(B436,0)</f>
        <v>46142</v>
      </c>
      <c r="L436" s="3" t="inlineStr">
        <is>
          <t>Checking – Operating</t>
        </is>
      </c>
      <c r="M436" s="3" t="inlineStr">
        <is>
          <t>Balance Sheet</t>
        </is>
      </c>
    </row>
    <row r="437">
      <c r="B437" s="39" t="n">
        <v>46118</v>
      </c>
      <c r="C437" s="3" t="inlineStr">
        <is>
          <t>Bill Payment (Check)</t>
        </is>
      </c>
      <c r="D437" s="3" t="inlineStr"/>
      <c r="E437" s="3" t="inlineStr">
        <is>
          <t>Vialtrace Lab Supplies Inc</t>
        </is>
      </c>
      <c r="F437" s="3" t="inlineStr">
        <is>
          <t>Lab supplies PO# F2245</t>
        </is>
      </c>
      <c r="G437" s="3" t="inlineStr">
        <is>
          <t>Accounts Payable</t>
        </is>
      </c>
      <c r="H437" s="3" t="inlineStr">
        <is>
          <t>Checking – Operating</t>
        </is>
      </c>
      <c r="I437" s="33" t="n">
        <v>-38892.2</v>
      </c>
      <c r="J437" s="13">
        <f>+J436+I437</f>
        <v>1061758.73</v>
      </c>
      <c r="K437" s="19">
        <f>+EOMONTH(B437,0)</f>
        <v>46142</v>
      </c>
      <c r="L437" s="3" t="inlineStr">
        <is>
          <t>Checking – Operating</t>
        </is>
      </c>
      <c r="M437" s="3" t="inlineStr">
        <is>
          <t>Balance Sheet</t>
        </is>
      </c>
    </row>
    <row r="438">
      <c r="B438" s="39" t="n">
        <v>46118</v>
      </c>
      <c r="C438" s="3" t="inlineStr">
        <is>
          <t>Bill Payment (Check)</t>
        </is>
      </c>
      <c r="D438" s="3" t="inlineStr"/>
      <c r="E438" s="3" t="inlineStr">
        <is>
          <t>Reagentix Corp</t>
        </is>
      </c>
      <c r="F438" s="3" t="inlineStr">
        <is>
          <t>Lab supplies PO# F2993</t>
        </is>
      </c>
      <c r="G438" s="3" t="inlineStr">
        <is>
          <t>Accounts Payable</t>
        </is>
      </c>
      <c r="H438" s="3" t="inlineStr">
        <is>
          <t>Checking – Operating</t>
        </is>
      </c>
      <c r="I438" s="33" t="n">
        <v>-11539.13</v>
      </c>
      <c r="J438" s="13">
        <f>+J437+I438</f>
        <v>1050219.6</v>
      </c>
      <c r="K438" s="19">
        <f>+EOMONTH(B438,0)</f>
        <v>46142</v>
      </c>
      <c r="L438" s="3" t="inlineStr">
        <is>
          <t>Checking – Operating</t>
        </is>
      </c>
      <c r="M438" s="3" t="inlineStr">
        <is>
          <t>Balance Sheet</t>
        </is>
      </c>
    </row>
    <row r="439">
      <c r="B439" s="39" t="n">
        <v>46118</v>
      </c>
      <c r="C439" s="3" t="inlineStr">
        <is>
          <t>Bill Payment (Check)</t>
        </is>
      </c>
      <c r="D439" s="3" t="inlineStr"/>
      <c r="E439" s="3" t="inlineStr">
        <is>
          <t>Tarrowmere Mutual Insurance</t>
        </is>
      </c>
      <c r="F439" s="3" t="inlineStr">
        <is>
          <t>Benefits – March</t>
        </is>
      </c>
      <c r="G439" s="3" t="inlineStr">
        <is>
          <t>Accounts Payable</t>
        </is>
      </c>
      <c r="H439" s="3" t="inlineStr">
        <is>
          <t>Checking – Operating</t>
        </is>
      </c>
      <c r="I439" s="33" t="n">
        <v>-5651.73</v>
      </c>
      <c r="J439" s="13">
        <f>+J438+I439</f>
        <v>1044567.87</v>
      </c>
      <c r="K439" s="19">
        <f>+EOMONTH(B439,0)</f>
        <v>46142</v>
      </c>
      <c r="L439" s="3" t="inlineStr">
        <is>
          <t>Checking – Operating</t>
        </is>
      </c>
      <c r="M439" s="3" t="inlineStr">
        <is>
          <t>Balance Sheet</t>
        </is>
      </c>
    </row>
    <row r="440">
      <c r="B440" s="39" t="n">
        <v>46118</v>
      </c>
      <c r="C440" s="3" t="inlineStr">
        <is>
          <t>Expense</t>
        </is>
      </c>
      <c r="D440" s="3" t="inlineStr"/>
      <c r="E440" s="3" t="inlineStr">
        <is>
          <t>Ledgerquill Billing SaaS</t>
        </is>
      </c>
      <c r="F440" s="3" t="inlineStr">
        <is>
          <t>Lab EMR Service – April</t>
        </is>
      </c>
      <c r="G440" s="3" t="inlineStr">
        <is>
          <t>Lab EMR Service</t>
        </is>
      </c>
      <c r="H440" s="3" t="inlineStr">
        <is>
          <t>Checking – Operating</t>
        </is>
      </c>
      <c r="I440" s="33" t="n">
        <v>-3478.8</v>
      </c>
      <c r="J440" s="13">
        <f>+J439+I440</f>
        <v>1041089.07</v>
      </c>
      <c r="K440" s="19">
        <f>+EOMONTH(B440,0)</f>
        <v>46142</v>
      </c>
      <c r="L440" s="3" t="inlineStr">
        <is>
          <t>Checking – Operating</t>
        </is>
      </c>
      <c r="M440" s="3" t="inlineStr">
        <is>
          <t>Balance Sheet</t>
        </is>
      </c>
    </row>
    <row r="441">
      <c r="B441" s="39" t="n">
        <v>46118</v>
      </c>
      <c r="C441" s="3" t="inlineStr">
        <is>
          <t>Journal Entry</t>
        </is>
      </c>
      <c r="D441" s="3" t="inlineStr"/>
      <c r="E441" s="3" t="inlineStr"/>
      <c r="F441" s="3" t="inlineStr">
        <is>
          <t>Gas – April</t>
        </is>
      </c>
      <c r="G441" s="3" t="inlineStr">
        <is>
          <t>Gas</t>
        </is>
      </c>
      <c r="H441" s="3" t="inlineStr">
        <is>
          <t>Checking – Operating</t>
        </is>
      </c>
      <c r="I441" s="33" t="n">
        <v>-862.85</v>
      </c>
      <c r="J441" s="13">
        <f>+J440+I441</f>
        <v>1040226.22</v>
      </c>
      <c r="K441" s="19">
        <f>+EOMONTH(B441,0)</f>
        <v>46142</v>
      </c>
      <c r="L441" s="3" t="inlineStr">
        <is>
          <t>Checking – Operating</t>
        </is>
      </c>
      <c r="M441" s="3" t="inlineStr">
        <is>
          <t>Balance Sheet</t>
        </is>
      </c>
    </row>
    <row r="442">
      <c r="B442" s="39" t="n">
        <v>46119</v>
      </c>
      <c r="C442" s="3" t="inlineStr">
        <is>
          <t>Bill Payment (Check)</t>
        </is>
      </c>
      <c r="D442" s="3" t="inlineStr"/>
      <c r="E442" s="3" t="inlineStr">
        <is>
          <t>Tarrowmere Mutual Insurance</t>
        </is>
      </c>
      <c r="F442" s="3" t="inlineStr">
        <is>
          <t>Premium installment</t>
        </is>
      </c>
      <c r="G442" s="3" t="inlineStr">
        <is>
          <t>Accounts Payable</t>
        </is>
      </c>
      <c r="H442" s="3" t="inlineStr">
        <is>
          <t>Checking – Operating</t>
        </is>
      </c>
      <c r="I442" s="33" t="n">
        <v>-7016.78</v>
      </c>
      <c r="J442" s="13">
        <f>+J441+I442</f>
        <v>1033209.44</v>
      </c>
      <c r="K442" s="19">
        <f>+EOMONTH(B442,0)</f>
        <v>46142</v>
      </c>
      <c r="L442" s="3" t="inlineStr">
        <is>
          <t>Checking – Operating</t>
        </is>
      </c>
      <c r="M442" s="3" t="inlineStr">
        <is>
          <t>Balance Sheet</t>
        </is>
      </c>
    </row>
    <row r="443">
      <c r="B443" s="39" t="n">
        <v>46119</v>
      </c>
      <c r="C443" s="3" t="inlineStr">
        <is>
          <t>Bill Payment (Check)</t>
        </is>
      </c>
      <c r="D443" s="3" t="inlineStr"/>
      <c r="E443" s="3" t="inlineStr">
        <is>
          <t>Ledgerquill Billing SaaS</t>
        </is>
      </c>
      <c r="F443" s="3" t="inlineStr">
        <is>
          <t>Billing Software as a Service – March</t>
        </is>
      </c>
      <c r="G443" s="3" t="inlineStr">
        <is>
          <t>Accounts Payable</t>
        </is>
      </c>
      <c r="H443" s="3" t="inlineStr">
        <is>
          <t>Checking – Operating</t>
        </is>
      </c>
      <c r="I443" s="33" t="n">
        <v>-9372.870000000001</v>
      </c>
      <c r="J443" s="13">
        <f>+J442+I443</f>
        <v>1023836.57</v>
      </c>
      <c r="K443" s="19">
        <f>+EOMONTH(B443,0)</f>
        <v>46142</v>
      </c>
      <c r="L443" s="3" t="inlineStr">
        <is>
          <t>Checking – Operating</t>
        </is>
      </c>
      <c r="M443" s="3" t="inlineStr">
        <is>
          <t>Balance Sheet</t>
        </is>
      </c>
    </row>
    <row r="444">
      <c r="B444" s="39" t="n">
        <v>46119</v>
      </c>
      <c r="C444" s="3" t="inlineStr">
        <is>
          <t>Expense</t>
        </is>
      </c>
      <c r="D444" s="3" t="inlineStr"/>
      <c r="E444" s="3" t="inlineStr">
        <is>
          <t>Tessarand Payroll Services</t>
        </is>
      </c>
      <c r="F444" s="3" t="inlineStr">
        <is>
          <t>Contractors – April</t>
        </is>
      </c>
      <c r="G444" s="3" t="inlineStr">
        <is>
          <t>Contractors</t>
        </is>
      </c>
      <c r="H444" s="3" t="inlineStr">
        <is>
          <t>Checking – Operating</t>
        </is>
      </c>
      <c r="I444" s="33" t="n">
        <v>-7634.62</v>
      </c>
      <c r="J444" s="13">
        <f>+J443+I444</f>
        <v>1016201.95</v>
      </c>
      <c r="K444" s="19">
        <f>+EOMONTH(B444,0)</f>
        <v>46142</v>
      </c>
      <c r="L444" s="3" t="inlineStr">
        <is>
          <t>Checking – Operating</t>
        </is>
      </c>
      <c r="M444" s="3" t="inlineStr">
        <is>
          <t>Balance Sheet</t>
        </is>
      </c>
    </row>
    <row r="445">
      <c r="B445" s="39" t="n">
        <v>46119</v>
      </c>
      <c r="C445" s="3" t="inlineStr">
        <is>
          <t>Expense</t>
        </is>
      </c>
      <c r="D445" s="3" t="inlineStr"/>
      <c r="E445" s="3" t="inlineStr"/>
      <c r="F445" s="3" t="inlineStr">
        <is>
          <t>Lab Credentialing – April</t>
        </is>
      </c>
      <c r="G445" s="3" t="inlineStr">
        <is>
          <t>Lab Credentialing</t>
        </is>
      </c>
      <c r="H445" s="3" t="inlineStr">
        <is>
          <t>Checking – Operating</t>
        </is>
      </c>
      <c r="I445" s="33" t="n">
        <v>-743.84</v>
      </c>
      <c r="J445" s="13">
        <f>+J444+I445</f>
        <v>1015458.11</v>
      </c>
      <c r="K445" s="19">
        <f>+EOMONTH(B445,0)</f>
        <v>46142</v>
      </c>
      <c r="L445" s="3" t="inlineStr">
        <is>
          <t>Checking – Operating</t>
        </is>
      </c>
      <c r="M445" s="3" t="inlineStr">
        <is>
          <t>Balance Sheet</t>
        </is>
      </c>
    </row>
    <row r="446">
      <c r="B446" s="39" t="n">
        <v>46119</v>
      </c>
      <c r="C446" s="3" t="inlineStr">
        <is>
          <t>Expense</t>
        </is>
      </c>
      <c r="D446" s="3" t="inlineStr"/>
      <c r="E446" s="3" t="inlineStr"/>
      <c r="F446" s="3" t="inlineStr">
        <is>
          <t>Gas – April</t>
        </is>
      </c>
      <c r="G446" s="3" t="inlineStr">
        <is>
          <t>Gas</t>
        </is>
      </c>
      <c r="H446" s="3" t="inlineStr">
        <is>
          <t>Checking – Operating</t>
        </is>
      </c>
      <c r="I446" s="33" t="n">
        <v>-937.15</v>
      </c>
      <c r="J446" s="13">
        <f>+J445+I446</f>
        <v>1014520.96</v>
      </c>
      <c r="K446" s="19">
        <f>+EOMONTH(B446,0)</f>
        <v>46142</v>
      </c>
      <c r="L446" s="3" t="inlineStr">
        <is>
          <t>Checking – Operating</t>
        </is>
      </c>
      <c r="M446" s="3" t="inlineStr">
        <is>
          <t>Balance Sheet</t>
        </is>
      </c>
    </row>
    <row r="447">
      <c r="B447" s="39" t="n">
        <v>46119</v>
      </c>
      <c r="C447" s="3" t="inlineStr">
        <is>
          <t>Expense</t>
        </is>
      </c>
      <c r="D447" s="3" t="inlineStr"/>
      <c r="E447" s="3" t="inlineStr">
        <is>
          <t>Halloway Ridge Realty (rent)</t>
        </is>
      </c>
      <c r="F447" s="3" t="inlineStr">
        <is>
          <t>Landscaping – April</t>
        </is>
      </c>
      <c r="G447" s="3" t="inlineStr">
        <is>
          <t>Landscaping</t>
        </is>
      </c>
      <c r="H447" s="3" t="inlineStr">
        <is>
          <t>Checking – Operating</t>
        </is>
      </c>
      <c r="I447" s="33" t="n">
        <v>-1374.11</v>
      </c>
      <c r="J447" s="13">
        <f>+J446+I447</f>
        <v>1013146.85</v>
      </c>
      <c r="K447" s="19">
        <f>+EOMONTH(B447,0)</f>
        <v>46142</v>
      </c>
      <c r="L447" s="3" t="inlineStr">
        <is>
          <t>Checking – Operating</t>
        </is>
      </c>
      <c r="M447" s="3" t="inlineStr">
        <is>
          <t>Balance Sheet</t>
        </is>
      </c>
    </row>
    <row r="448">
      <c r="B448" s="39" t="n">
        <v>46119</v>
      </c>
      <c r="C448" s="3" t="inlineStr">
        <is>
          <t>Expense</t>
        </is>
      </c>
      <c r="D448" s="3" t="inlineStr"/>
      <c r="E448" s="3" t="inlineStr">
        <is>
          <t>Tessarand Payroll Services</t>
        </is>
      </c>
      <c r="F448" s="3" t="inlineStr">
        <is>
          <t>Sales and Marketing Expenses – April</t>
        </is>
      </c>
      <c r="G448" s="3" t="inlineStr">
        <is>
          <t>Sales and Marketing Expenses</t>
        </is>
      </c>
      <c r="H448" s="3" t="inlineStr">
        <is>
          <t>Checking – Operating</t>
        </is>
      </c>
      <c r="I448" s="33" t="n">
        <v>-11716.13</v>
      </c>
      <c r="J448" s="13">
        <f>+J447+I448</f>
        <v>1001430.72</v>
      </c>
      <c r="K448" s="19">
        <f>+EOMONTH(B448,0)</f>
        <v>46142</v>
      </c>
      <c r="L448" s="3" t="inlineStr">
        <is>
          <t>Checking – Operating</t>
        </is>
      </c>
      <c r="M448" s="3" t="inlineStr">
        <is>
          <t>Balance Sheet</t>
        </is>
      </c>
    </row>
    <row r="449">
      <c r="B449" s="39" t="n">
        <v>46119</v>
      </c>
      <c r="C449" s="3" t="inlineStr">
        <is>
          <t>Journal Entry</t>
        </is>
      </c>
      <c r="D449" s="3" t="inlineStr"/>
      <c r="E449" s="3" t="inlineStr">
        <is>
          <t>Vialtrace Lab Supplies Inc</t>
        </is>
      </c>
      <c r="F449" s="3" t="inlineStr">
        <is>
          <t>Office Supplies – April</t>
        </is>
      </c>
      <c r="G449" s="3" t="inlineStr">
        <is>
          <t>Office Supplies</t>
        </is>
      </c>
      <c r="H449" s="3" t="inlineStr">
        <is>
          <t>Checking – Operating</t>
        </is>
      </c>
      <c r="I449" s="33" t="n">
        <v>-1678.07</v>
      </c>
      <c r="J449" s="13">
        <f>+J448+I449</f>
        <v>999752.650000001</v>
      </c>
      <c r="K449" s="19">
        <f>+EOMONTH(B449,0)</f>
        <v>46142</v>
      </c>
      <c r="L449" s="3" t="inlineStr">
        <is>
          <t>Checking – Operating</t>
        </is>
      </c>
      <c r="M449" s="3" t="inlineStr">
        <is>
          <t>Balance Sheet</t>
        </is>
      </c>
    </row>
    <row r="450">
      <c r="B450" s="39" t="n">
        <v>46120</v>
      </c>
      <c r="C450" s="3" t="inlineStr">
        <is>
          <t>Bill Payment (Check)</t>
        </is>
      </c>
      <c r="D450" s="3" t="inlineStr"/>
      <c r="E450" s="3" t="inlineStr">
        <is>
          <t>Northmoor Waste Services</t>
        </is>
      </c>
      <c r="F450" s="3" t="inlineStr">
        <is>
          <t>Waste Removal – March</t>
        </is>
      </c>
      <c r="G450" s="3" t="inlineStr">
        <is>
          <t>Accounts Payable</t>
        </is>
      </c>
      <c r="H450" s="3" t="inlineStr">
        <is>
          <t>Checking – Operating</t>
        </is>
      </c>
      <c r="I450" s="33" t="n">
        <v>-732.74</v>
      </c>
      <c r="J450" s="13">
        <f>+J449+I450</f>
        <v>999019.910000001</v>
      </c>
      <c r="K450" s="19">
        <f>+EOMONTH(B450,0)</f>
        <v>46142</v>
      </c>
      <c r="L450" s="3" t="inlineStr">
        <is>
          <t>Checking – Operating</t>
        </is>
      </c>
      <c r="M450" s="3" t="inlineStr">
        <is>
          <t>Balance Sheet</t>
        </is>
      </c>
    </row>
    <row r="451">
      <c r="B451" s="39" t="n">
        <v>46120</v>
      </c>
      <c r="C451" s="3" t="inlineStr">
        <is>
          <t>Bill Payment (Check)</t>
        </is>
      </c>
      <c r="D451" s="3" t="inlineStr"/>
      <c r="E451" s="3" t="inlineStr">
        <is>
          <t>Tarrowmere Mutual Insurance</t>
        </is>
      </c>
      <c r="F451" s="3" t="inlineStr">
        <is>
          <t>Benefits – March</t>
        </is>
      </c>
      <c r="G451" s="3" t="inlineStr">
        <is>
          <t>Accounts Payable</t>
        </is>
      </c>
      <c r="H451" s="3" t="inlineStr">
        <is>
          <t>Checking – Operating</t>
        </is>
      </c>
      <c r="I451" s="33" t="n">
        <v>-3385.35</v>
      </c>
      <c r="J451" s="13">
        <f>+J450+I451</f>
        <v>995634.560000001</v>
      </c>
      <c r="K451" s="19">
        <f>+EOMONTH(B451,0)</f>
        <v>46142</v>
      </c>
      <c r="L451" s="3" t="inlineStr">
        <is>
          <t>Checking – Operating</t>
        </is>
      </c>
      <c r="M451" s="3" t="inlineStr">
        <is>
          <t>Balance Sheet</t>
        </is>
      </c>
    </row>
    <row r="452">
      <c r="B452" s="39" t="n">
        <v>46120</v>
      </c>
      <c r="C452" s="3" t="inlineStr">
        <is>
          <t>Expense</t>
        </is>
      </c>
      <c r="D452" s="3" t="inlineStr"/>
      <c r="E452" s="3" t="inlineStr"/>
      <c r="F452" s="3" t="inlineStr">
        <is>
          <t>Car expense – April</t>
        </is>
      </c>
      <c r="G452" s="3" t="inlineStr">
        <is>
          <t>Car expense</t>
        </is>
      </c>
      <c r="H452" s="3" t="inlineStr">
        <is>
          <t>Checking – Operating</t>
        </is>
      </c>
      <c r="I452" s="33" t="n">
        <v>-585.36</v>
      </c>
      <c r="J452" s="13">
        <f>+J451+I452</f>
        <v>995049.200000001</v>
      </c>
      <c r="K452" s="19">
        <f>+EOMONTH(B452,0)</f>
        <v>46142</v>
      </c>
      <c r="L452" s="3" t="inlineStr">
        <is>
          <t>Checking – Operating</t>
        </is>
      </c>
      <c r="M452" s="3" t="inlineStr">
        <is>
          <t>Balance Sheet</t>
        </is>
      </c>
    </row>
    <row r="453">
      <c r="B453" s="39" t="n">
        <v>46120</v>
      </c>
      <c r="C453" s="3" t="inlineStr">
        <is>
          <t>Journal Entry</t>
        </is>
      </c>
      <c r="D453" s="3" t="inlineStr"/>
      <c r="E453" s="3" t="inlineStr">
        <is>
          <t>Tessarand Payroll Services</t>
        </is>
      </c>
      <c r="F453" s="3" t="inlineStr">
        <is>
          <t>Sales and Marketing Expenses – April</t>
        </is>
      </c>
      <c r="G453" s="3" t="inlineStr">
        <is>
          <t>Sales and Marketing Expenses</t>
        </is>
      </c>
      <c r="H453" s="3" t="inlineStr">
        <is>
          <t>Checking – Operating</t>
        </is>
      </c>
      <c r="I453" s="33" t="n">
        <v>-11807.87</v>
      </c>
      <c r="J453" s="13">
        <f>+J452+I453</f>
        <v>983241.330000001</v>
      </c>
      <c r="K453" s="19">
        <f>+EOMONTH(B453,0)</f>
        <v>46142</v>
      </c>
      <c r="L453" s="3" t="inlineStr">
        <is>
          <t>Checking – Operating</t>
        </is>
      </c>
      <c r="M453" s="3" t="inlineStr">
        <is>
          <t>Balance Sheet</t>
        </is>
      </c>
    </row>
    <row r="454">
      <c r="B454" s="39" t="n">
        <v>46120</v>
      </c>
      <c r="C454" s="3" t="inlineStr">
        <is>
          <t>Payroll Check</t>
        </is>
      </c>
      <c r="D454" s="3" t="inlineStr"/>
      <c r="E454" s="3" t="inlineStr">
        <is>
          <t>Tessarand Payroll Services</t>
        </is>
      </c>
      <c r="F454" s="3" t="inlineStr">
        <is>
          <t>Payroll processing fee</t>
        </is>
      </c>
      <c r="G454" s="3" t="inlineStr">
        <is>
          <t>Payroll Processing Fee</t>
        </is>
      </c>
      <c r="H454" s="3" t="inlineStr">
        <is>
          <t>Checking – Operating</t>
        </is>
      </c>
      <c r="I454" s="33" t="n">
        <v>-125.59</v>
      </c>
      <c r="J454" s="13">
        <f>+J453+I454</f>
        <v>983115.740000001</v>
      </c>
      <c r="K454" s="19">
        <f>+EOMONTH(B454,0)</f>
        <v>46142</v>
      </c>
      <c r="L454" s="3" t="inlineStr">
        <is>
          <t>Checking – Operating</t>
        </is>
      </c>
      <c r="M454" s="3" t="inlineStr">
        <is>
          <t>Balance Sheet</t>
        </is>
      </c>
    </row>
    <row r="455">
      <c r="B455" s="39" t="n">
        <v>46121</v>
      </c>
      <c r="C455" s="3" t="inlineStr">
        <is>
          <t>Bill Payment (Check)</t>
        </is>
      </c>
      <c r="D455" s="3" t="inlineStr"/>
      <c r="E455" s="3" t="inlineStr">
        <is>
          <t>Vialtrace Lab Supplies Inc</t>
        </is>
      </c>
      <c r="F455" s="3" t="inlineStr">
        <is>
          <t>Lab supplies PO# F2428</t>
        </is>
      </c>
      <c r="G455" s="3" t="inlineStr">
        <is>
          <t>Accounts Payable</t>
        </is>
      </c>
      <c r="H455" s="3" t="inlineStr">
        <is>
          <t>Checking – Operating</t>
        </is>
      </c>
      <c r="I455" s="33" t="n">
        <v>-35431.81</v>
      </c>
      <c r="J455" s="13">
        <f>+J454+I455</f>
        <v>947683.930000001</v>
      </c>
      <c r="K455" s="19">
        <f>+EOMONTH(B455,0)</f>
        <v>46142</v>
      </c>
      <c r="L455" s="3" t="inlineStr">
        <is>
          <t>Checking – Operating</t>
        </is>
      </c>
      <c r="M455" s="3" t="inlineStr">
        <is>
          <t>Balance Sheet</t>
        </is>
      </c>
    </row>
    <row r="456">
      <c r="B456" s="39" t="n">
        <v>46121</v>
      </c>
      <c r="C456" s="3" t="inlineStr">
        <is>
          <t>Bill Payment (Check)</t>
        </is>
      </c>
      <c r="D456" s="3" t="inlineStr"/>
      <c r="E456" s="3" t="inlineStr">
        <is>
          <t>Northmoor Waste Services</t>
        </is>
      </c>
      <c r="F456" s="3" t="inlineStr">
        <is>
          <t>Hazard Waste – March</t>
        </is>
      </c>
      <c r="G456" s="3" t="inlineStr">
        <is>
          <t>Accounts Payable</t>
        </is>
      </c>
      <c r="H456" s="3" t="inlineStr">
        <is>
          <t>Checking – Operating</t>
        </is>
      </c>
      <c r="I456" s="33" t="n">
        <v>-1028.13</v>
      </c>
      <c r="J456" s="13">
        <f>+J455+I456</f>
        <v>946655.800000001</v>
      </c>
      <c r="K456" s="19">
        <f>+EOMONTH(B456,0)</f>
        <v>46142</v>
      </c>
      <c r="L456" s="3" t="inlineStr">
        <is>
          <t>Checking – Operating</t>
        </is>
      </c>
      <c r="M456" s="3" t="inlineStr">
        <is>
          <t>Balance Sheet</t>
        </is>
      </c>
    </row>
    <row r="457">
      <c r="B457" s="39" t="n">
        <v>46121</v>
      </c>
      <c r="C457" s="3" t="inlineStr">
        <is>
          <t>Deposit</t>
        </is>
      </c>
      <c r="D457" s="3" t="inlineStr"/>
      <c r="E457" s="3" t="inlineStr">
        <is>
          <t>Vantrelle Health Plan</t>
        </is>
      </c>
      <c r="F457" s="3" t="inlineStr">
        <is>
          <t>ORIG CO NAME:VANTRELLE HP ORIG ID:XXXXXX4736 DESC DATE:260409 CO ENTRY DESCR:HCCLAIMPMT SEC:CCD TRACE#:XXXXXXXX3530600 EED:260409 IND ID:</t>
        </is>
      </c>
      <c r="G457" s="3" t="inlineStr">
        <is>
          <t>Service Income</t>
        </is>
      </c>
      <c r="H457" s="3" t="inlineStr">
        <is>
          <t>Checking – Operating</t>
        </is>
      </c>
      <c r="I457" s="33" t="n">
        <v>82910.39999999999</v>
      </c>
      <c r="J457" s="13">
        <f>+J456+I457</f>
        <v>1029566.2</v>
      </c>
      <c r="K457" s="19">
        <f>+EOMONTH(B457,0)</f>
        <v>46142</v>
      </c>
      <c r="L457" s="3" t="inlineStr">
        <is>
          <t>Checking – Operating</t>
        </is>
      </c>
      <c r="M457" s="3" t="inlineStr">
        <is>
          <t>Balance Sheet</t>
        </is>
      </c>
    </row>
    <row r="458">
      <c r="B458" s="39" t="n">
        <v>46121</v>
      </c>
      <c r="C458" s="3" t="inlineStr">
        <is>
          <t>Deposit</t>
        </is>
      </c>
      <c r="D458" s="3" t="inlineStr"/>
      <c r="E458" s="3" t="inlineStr">
        <is>
          <t>Vantrelle Health Plan</t>
        </is>
      </c>
      <c r="F458" s="3" t="inlineStr">
        <is>
          <t>ORIG CO NAME:VANTRELLE HP ORIG ID:XXXXXX7611 DESC DATE:260409 CO ENTRY DESCR:HCCLAIMPMT SEC:CCD TRACE#:XXXXXXXX7697173 EED:260409 IND ID:</t>
        </is>
      </c>
      <c r="G458" s="3" t="inlineStr">
        <is>
          <t>Service Income</t>
        </is>
      </c>
      <c r="H458" s="3" t="inlineStr">
        <is>
          <t>Checking – Operating</t>
        </is>
      </c>
      <c r="I458" s="33" t="n">
        <v>93042.06</v>
      </c>
      <c r="J458" s="13">
        <f>+J457+I458</f>
        <v>1122608.26</v>
      </c>
      <c r="K458" s="19">
        <f>+EOMONTH(B458,0)</f>
        <v>46142</v>
      </c>
      <c r="L458" s="3" t="inlineStr">
        <is>
          <t>Checking – Operating</t>
        </is>
      </c>
      <c r="M458" s="3" t="inlineStr">
        <is>
          <t>Balance Sheet</t>
        </is>
      </c>
    </row>
    <row r="459">
      <c r="B459" s="39" t="n">
        <v>46121</v>
      </c>
      <c r="C459" s="3" t="inlineStr">
        <is>
          <t>Expense</t>
        </is>
      </c>
      <c r="D459" s="3" t="inlineStr"/>
      <c r="E459" s="3" t="inlineStr">
        <is>
          <t>Union Utilities</t>
        </is>
      </c>
      <c r="F459" s="3" t="inlineStr">
        <is>
          <t>Telecom and Internet – April</t>
        </is>
      </c>
      <c r="G459" s="3" t="inlineStr">
        <is>
          <t>Telecom and Internet</t>
        </is>
      </c>
      <c r="H459" s="3" t="inlineStr">
        <is>
          <t>Checking – Operating</t>
        </is>
      </c>
      <c r="I459" s="33" t="n">
        <v>-3452.31</v>
      </c>
      <c r="J459" s="13">
        <f>+J458+I459</f>
        <v>1119155.95</v>
      </c>
      <c r="K459" s="19">
        <f>+EOMONTH(B459,0)</f>
        <v>46142</v>
      </c>
      <c r="L459" s="3" t="inlineStr">
        <is>
          <t>Checking – Operating</t>
        </is>
      </c>
      <c r="M459" s="3" t="inlineStr">
        <is>
          <t>Balance Sheet</t>
        </is>
      </c>
    </row>
    <row r="460">
      <c r="B460" s="39" t="n">
        <v>46121</v>
      </c>
      <c r="C460" s="3" t="inlineStr">
        <is>
          <t>Journal Entry</t>
        </is>
      </c>
      <c r="D460" s="3" t="inlineStr"/>
      <c r="E460" s="3" t="inlineStr"/>
      <c r="F460" s="3" t="inlineStr">
        <is>
          <t>Bank service charges – April</t>
        </is>
      </c>
      <c r="G460" s="3" t="inlineStr">
        <is>
          <t>Bank Fees</t>
        </is>
      </c>
      <c r="H460" s="3" t="inlineStr">
        <is>
          <t>Checking – Operating</t>
        </is>
      </c>
      <c r="I460" s="33" t="n">
        <v>-1570.77</v>
      </c>
      <c r="J460" s="13">
        <f>+J459+I460</f>
        <v>1117585.18</v>
      </c>
      <c r="K460" s="19">
        <f>+EOMONTH(B460,0)</f>
        <v>46142</v>
      </c>
      <c r="L460" s="3" t="inlineStr">
        <is>
          <t>Checking – Operating</t>
        </is>
      </c>
      <c r="M460" s="3" t="inlineStr">
        <is>
          <t>Balance Sheet</t>
        </is>
      </c>
    </row>
    <row r="461">
      <c r="B461" s="39" t="n">
        <v>46122</v>
      </c>
      <c r="C461" s="3" t="inlineStr">
        <is>
          <t>Bill Payment (Check)</t>
        </is>
      </c>
      <c r="D461" s="3" t="inlineStr"/>
      <c r="E461" s="3" t="inlineStr">
        <is>
          <t>Northmoor Waste Services</t>
        </is>
      </c>
      <c r="F461" s="3" t="inlineStr">
        <is>
          <t>Waste Removal – March</t>
        </is>
      </c>
      <c r="G461" s="3" t="inlineStr">
        <is>
          <t>Accounts Payable</t>
        </is>
      </c>
      <c r="H461" s="3" t="inlineStr">
        <is>
          <t>Checking – Operating</t>
        </is>
      </c>
      <c r="I461" s="33" t="n">
        <v>-547.26</v>
      </c>
      <c r="J461" s="13">
        <f>+J460+I461</f>
        <v>1117037.92</v>
      </c>
      <c r="K461" s="19">
        <f>+EOMONTH(B461,0)</f>
        <v>46142</v>
      </c>
      <c r="L461" s="3" t="inlineStr">
        <is>
          <t>Checking – Operating</t>
        </is>
      </c>
      <c r="M461" s="3" t="inlineStr">
        <is>
          <t>Balance Sheet</t>
        </is>
      </c>
    </row>
    <row r="462">
      <c r="B462" s="39" t="n">
        <v>46122</v>
      </c>
      <c r="C462" s="3" t="inlineStr">
        <is>
          <t>Bill Payment (Check)</t>
        </is>
      </c>
      <c r="D462" s="3" t="inlineStr"/>
      <c r="E462" s="3" t="inlineStr">
        <is>
          <t>Ledgerquill Billing SaaS</t>
        </is>
      </c>
      <c r="F462" s="3" t="inlineStr">
        <is>
          <t>Billing Software as a Service – March</t>
        </is>
      </c>
      <c r="G462" s="3" t="inlineStr">
        <is>
          <t>Accounts Payable</t>
        </is>
      </c>
      <c r="H462" s="3" t="inlineStr">
        <is>
          <t>Checking – Operating</t>
        </is>
      </c>
      <c r="I462" s="33" t="n">
        <v>-17857.99</v>
      </c>
      <c r="J462" s="13">
        <f>+J461+I462</f>
        <v>1099179.93</v>
      </c>
      <c r="K462" s="19">
        <f>+EOMONTH(B462,0)</f>
        <v>46142</v>
      </c>
      <c r="L462" s="3" t="inlineStr">
        <is>
          <t>Checking – Operating</t>
        </is>
      </c>
      <c r="M462" s="3" t="inlineStr">
        <is>
          <t>Balance Sheet</t>
        </is>
      </c>
    </row>
    <row r="463">
      <c r="B463" s="39" t="n">
        <v>46122</v>
      </c>
      <c r="C463" s="3" t="inlineStr">
        <is>
          <t>Bill Payment (Check)</t>
        </is>
      </c>
      <c r="D463" s="3" t="inlineStr"/>
      <c r="E463" s="3" t="inlineStr">
        <is>
          <t>Ledgerquill Billing SaaS</t>
        </is>
      </c>
      <c r="F463" s="3" t="inlineStr">
        <is>
          <t>Billing Software as a Service – March</t>
        </is>
      </c>
      <c r="G463" s="3" t="inlineStr">
        <is>
          <t>Accounts Payable</t>
        </is>
      </c>
      <c r="H463" s="3" t="inlineStr">
        <is>
          <t>Checking – Operating</t>
        </is>
      </c>
      <c r="I463" s="33" t="n">
        <v>-9041.620000000001</v>
      </c>
      <c r="J463" s="13">
        <f>+J462+I463</f>
        <v>1090138.31</v>
      </c>
      <c r="K463" s="19">
        <f>+EOMONTH(B463,0)</f>
        <v>46142</v>
      </c>
      <c r="L463" s="3" t="inlineStr">
        <is>
          <t>Checking – Operating</t>
        </is>
      </c>
      <c r="M463" s="3" t="inlineStr">
        <is>
          <t>Balance Sheet</t>
        </is>
      </c>
    </row>
    <row r="464">
      <c r="B464" s="39" t="n">
        <v>46122</v>
      </c>
      <c r="C464" s="3" t="inlineStr">
        <is>
          <t>Bill Payment (Check)</t>
        </is>
      </c>
      <c r="D464" s="3" t="inlineStr"/>
      <c r="E464" s="3" t="inlineStr">
        <is>
          <t>Union Utilities</t>
        </is>
      </c>
      <c r="F464" s="3" t="inlineStr">
        <is>
          <t>Utilities – March</t>
        </is>
      </c>
      <c r="G464" s="3" t="inlineStr">
        <is>
          <t>Accounts Payable</t>
        </is>
      </c>
      <c r="H464" s="3" t="inlineStr">
        <is>
          <t>Checking – Operating</t>
        </is>
      </c>
      <c r="I464" s="33" t="n">
        <v>-3642.13</v>
      </c>
      <c r="J464" s="13">
        <f>+J463+I464</f>
        <v>1086496.18</v>
      </c>
      <c r="K464" s="19">
        <f>+EOMONTH(B464,0)</f>
        <v>46142</v>
      </c>
      <c r="L464" s="3" t="inlineStr">
        <is>
          <t>Checking – Operating</t>
        </is>
      </c>
      <c r="M464" s="3" t="inlineStr">
        <is>
          <t>Balance Sheet</t>
        </is>
      </c>
    </row>
    <row r="465">
      <c r="B465" s="39" t="n">
        <v>46122</v>
      </c>
      <c r="C465" s="3" t="inlineStr">
        <is>
          <t>Credit Card Expense</t>
        </is>
      </c>
      <c r="D465" s="3" t="inlineStr"/>
      <c r="E465" s="3" t="inlineStr">
        <is>
          <t>Tessarand Payroll Services</t>
        </is>
      </c>
      <c r="F465" s="3" t="inlineStr">
        <is>
          <t>Recruitment – April</t>
        </is>
      </c>
      <c r="G465" s="3" t="inlineStr">
        <is>
          <t>Recruitment</t>
        </is>
      </c>
      <c r="H465" s="3" t="inlineStr">
        <is>
          <t>Checking – Operating</t>
        </is>
      </c>
      <c r="I465" s="33" t="n">
        <v>-1044.87</v>
      </c>
      <c r="J465" s="13">
        <f>+J464+I465</f>
        <v>1085451.31</v>
      </c>
      <c r="K465" s="19">
        <f>+EOMONTH(B465,0)</f>
        <v>46142</v>
      </c>
      <c r="L465" s="3" t="inlineStr">
        <is>
          <t>Checking – Operating</t>
        </is>
      </c>
      <c r="M465" s="3" t="inlineStr">
        <is>
          <t>Balance Sheet</t>
        </is>
      </c>
    </row>
    <row r="466">
      <c r="B466" s="39" t="n">
        <v>46122</v>
      </c>
      <c r="C466" s="3" t="inlineStr">
        <is>
          <t>Deposit</t>
        </is>
      </c>
      <c r="D466" s="3" t="inlineStr"/>
      <c r="E466" s="3" t="inlineStr">
        <is>
          <t>State Program B</t>
        </is>
      </c>
      <c r="F466" s="3" t="inlineStr">
        <is>
          <t>ORIG CO NAME:STATE PROG B ORIG ID:XXXXXX3352 DESC DATE:260410 CO ENTRY DESCR:HCCLAIMPMT SEC:CCD TRACE#:XXXXXXXX6768039 EED:260410 IND ID:</t>
        </is>
      </c>
      <c r="G466" s="3" t="inlineStr">
        <is>
          <t>Service Income</t>
        </is>
      </c>
      <c r="H466" s="3" t="inlineStr">
        <is>
          <t>Checking – Operating</t>
        </is>
      </c>
      <c r="I466" s="33" t="n">
        <v>38731.49</v>
      </c>
      <c r="J466" s="13">
        <f>+J465+I466</f>
        <v>1124182.8</v>
      </c>
      <c r="K466" s="19">
        <f>+EOMONTH(B466,0)</f>
        <v>46142</v>
      </c>
      <c r="L466" s="3" t="inlineStr">
        <is>
          <t>Checking – Operating</t>
        </is>
      </c>
      <c r="M466" s="3" t="inlineStr">
        <is>
          <t>Balance Sheet</t>
        </is>
      </c>
    </row>
    <row r="467">
      <c r="B467" s="39" t="n">
        <v>46122</v>
      </c>
      <c r="C467" s="3" t="inlineStr">
        <is>
          <t>Deposit</t>
        </is>
      </c>
      <c r="D467" s="3" t="inlineStr"/>
      <c r="E467" s="3" t="inlineStr">
        <is>
          <t>Silvermoss Senior Living</t>
        </is>
      </c>
      <c r="F467" s="3" t="inlineStr">
        <is>
          <t>ORIG CO NAME:SILVERMOSS SL ORIG ID:XXXXXX9969 DESC DATE:260410 CO ENTRY DESCR:HCCLAIMPMT SEC:CCD TRACE#:XXXXXXXX7377336 EED:260410 IND ID:</t>
        </is>
      </c>
      <c r="G467" s="3" t="inlineStr">
        <is>
          <t>Service Income</t>
        </is>
      </c>
      <c r="H467" s="3" t="inlineStr">
        <is>
          <t>Checking – Operating</t>
        </is>
      </c>
      <c r="I467" s="33" t="n">
        <v>28779.14</v>
      </c>
      <c r="J467" s="13">
        <f>+J466+I467</f>
        <v>1152961.94</v>
      </c>
      <c r="K467" s="19">
        <f>+EOMONTH(B467,0)</f>
        <v>46142</v>
      </c>
      <c r="L467" s="3" t="inlineStr">
        <is>
          <t>Checking – Operating</t>
        </is>
      </c>
      <c r="M467" s="3" t="inlineStr">
        <is>
          <t>Balance Sheet</t>
        </is>
      </c>
    </row>
    <row r="468">
      <c r="B468" s="39" t="n">
        <v>46122</v>
      </c>
      <c r="C468" s="3" t="inlineStr">
        <is>
          <t>Expense</t>
        </is>
      </c>
      <c r="D468" s="3" t="inlineStr"/>
      <c r="E468" s="3" t="inlineStr">
        <is>
          <t>Consultant A</t>
        </is>
      </c>
      <c r="F468" s="3" t="inlineStr">
        <is>
          <t>Legal &amp; Professional Fees – April</t>
        </is>
      </c>
      <c r="G468" s="3" t="inlineStr">
        <is>
          <t>Legal &amp; Professional Fees</t>
        </is>
      </c>
      <c r="H468" s="3" t="inlineStr">
        <is>
          <t>Checking – Operating</t>
        </is>
      </c>
      <c r="I468" s="33" t="n">
        <v>-944.55</v>
      </c>
      <c r="J468" s="13">
        <f>+J467+I468</f>
        <v>1152017.39</v>
      </c>
      <c r="K468" s="19">
        <f>+EOMONTH(B468,0)</f>
        <v>46142</v>
      </c>
      <c r="L468" s="3" t="inlineStr">
        <is>
          <t>Checking – Operating</t>
        </is>
      </c>
      <c r="M468" s="3" t="inlineStr">
        <is>
          <t>Balance Sheet</t>
        </is>
      </c>
    </row>
    <row r="469">
      <c r="B469" s="39" t="n">
        <v>46122</v>
      </c>
      <c r="C469" s="3" t="inlineStr">
        <is>
          <t>Expense</t>
        </is>
      </c>
      <c r="D469" s="3" t="inlineStr"/>
      <c r="E469" s="3" t="inlineStr">
        <is>
          <t>Consultant A</t>
        </is>
      </c>
      <c r="F469" s="3" t="inlineStr">
        <is>
          <t>Professional Fees – April</t>
        </is>
      </c>
      <c r="G469" s="3" t="inlineStr">
        <is>
          <t>Professional Fees</t>
        </is>
      </c>
      <c r="H469" s="3" t="inlineStr">
        <is>
          <t>Checking – Operating</t>
        </is>
      </c>
      <c r="I469" s="33" t="n">
        <v>-5873.2</v>
      </c>
      <c r="J469" s="13">
        <f>+J468+I469</f>
        <v>1146144.19</v>
      </c>
      <c r="K469" s="19">
        <f>+EOMONTH(B469,0)</f>
        <v>46142</v>
      </c>
      <c r="L469" s="3" t="inlineStr">
        <is>
          <t>Checking – Operating</t>
        </is>
      </c>
      <c r="M469" s="3" t="inlineStr">
        <is>
          <t>Balance Sheet</t>
        </is>
      </c>
    </row>
    <row r="470">
      <c r="B470" s="39" t="n">
        <v>46122</v>
      </c>
      <c r="C470" s="3" t="inlineStr">
        <is>
          <t>Expense</t>
        </is>
      </c>
      <c r="D470" s="3" t="inlineStr"/>
      <c r="E470" s="3" t="inlineStr"/>
      <c r="F470" s="3" t="inlineStr">
        <is>
          <t>Car expense – April</t>
        </is>
      </c>
      <c r="G470" s="3" t="inlineStr">
        <is>
          <t>Car expense</t>
        </is>
      </c>
      <c r="H470" s="3" t="inlineStr">
        <is>
          <t>Checking – Operating</t>
        </is>
      </c>
      <c r="I470" s="33" t="n">
        <v>-734.64</v>
      </c>
      <c r="J470" s="13">
        <f>+J469+I470</f>
        <v>1145409.55</v>
      </c>
      <c r="K470" s="19">
        <f>+EOMONTH(B470,0)</f>
        <v>46142</v>
      </c>
      <c r="L470" s="3" t="inlineStr">
        <is>
          <t>Checking – Operating</t>
        </is>
      </c>
      <c r="M470" s="3" t="inlineStr">
        <is>
          <t>Balance Sheet</t>
        </is>
      </c>
    </row>
    <row r="471">
      <c r="B471" s="39" t="n">
        <v>46122</v>
      </c>
      <c r="C471" s="3" t="inlineStr">
        <is>
          <t>Expense</t>
        </is>
      </c>
      <c r="D471" s="3" t="inlineStr"/>
      <c r="E471" s="3" t="inlineStr">
        <is>
          <t>Ledgerquill Billing SaaS</t>
        </is>
      </c>
      <c r="F471" s="3" t="inlineStr">
        <is>
          <t>Software – April</t>
        </is>
      </c>
      <c r="G471" s="3" t="inlineStr">
        <is>
          <t>Software</t>
        </is>
      </c>
      <c r="H471" s="3" t="inlineStr">
        <is>
          <t>Checking – Operating</t>
        </is>
      </c>
      <c r="I471" s="33" t="n">
        <v>-3176.19</v>
      </c>
      <c r="J471" s="13">
        <f>+J470+I471</f>
        <v>1142233.36</v>
      </c>
      <c r="K471" s="19">
        <f>+EOMONTH(B471,0)</f>
        <v>46142</v>
      </c>
      <c r="L471" s="3" t="inlineStr">
        <is>
          <t>Checking – Operating</t>
        </is>
      </c>
      <c r="M471" s="3" t="inlineStr">
        <is>
          <t>Balance Sheet</t>
        </is>
      </c>
    </row>
    <row r="472">
      <c r="B472" s="39" t="n">
        <v>46122</v>
      </c>
      <c r="C472" s="3" t="inlineStr">
        <is>
          <t>Expense</t>
        </is>
      </c>
      <c r="D472" s="3" t="inlineStr"/>
      <c r="E472" s="3" t="inlineStr">
        <is>
          <t>Ledgerquill Billing SaaS</t>
        </is>
      </c>
      <c r="F472" s="3" t="inlineStr">
        <is>
          <t>Interface Service – April</t>
        </is>
      </c>
      <c r="G472" s="3" t="inlineStr">
        <is>
          <t>Interface Service</t>
        </is>
      </c>
      <c r="H472" s="3" t="inlineStr">
        <is>
          <t>Checking – Operating</t>
        </is>
      </c>
      <c r="I472" s="33" t="n">
        <v>-2083.34</v>
      </c>
      <c r="J472" s="13">
        <f>+J471+I472</f>
        <v>1140150.02</v>
      </c>
      <c r="K472" s="19">
        <f>+EOMONTH(B472,0)</f>
        <v>46142</v>
      </c>
      <c r="L472" s="3" t="inlineStr">
        <is>
          <t>Checking – Operating</t>
        </is>
      </c>
      <c r="M472" s="3" t="inlineStr">
        <is>
          <t>Balance Sheet</t>
        </is>
      </c>
    </row>
    <row r="473">
      <c r="B473" s="39" t="n">
        <v>46123</v>
      </c>
      <c r="C473" s="3" t="inlineStr">
        <is>
          <t>Deposit</t>
        </is>
      </c>
      <c r="D473" s="3" t="inlineStr"/>
      <c r="E473" s="3" t="inlineStr">
        <is>
          <t>State Program B</t>
        </is>
      </c>
      <c r="F473" s="3" t="inlineStr">
        <is>
          <t>ORIG CO NAME:STATE PROG B ORIG ID:XXXXXX1912 DESC DATE:260411 CO ENTRY DESCR:HCCLAIMPMT SEC:CCD TRACE#:XXXXXXXX7313942 EED:260411 IND ID:</t>
        </is>
      </c>
      <c r="G473" s="3" t="inlineStr">
        <is>
          <t>Service Income</t>
        </is>
      </c>
      <c r="H473" s="3" t="inlineStr">
        <is>
          <t>Checking – Operating</t>
        </is>
      </c>
      <c r="I473" s="33" t="n">
        <v>36576.17</v>
      </c>
      <c r="J473" s="13">
        <f>+J472+I473</f>
        <v>1176726.19</v>
      </c>
      <c r="K473" s="19">
        <f>+EOMONTH(B473,0)</f>
        <v>46142</v>
      </c>
      <c r="L473" s="3" t="inlineStr">
        <is>
          <t>Checking – Operating</t>
        </is>
      </c>
      <c r="M473" s="3" t="inlineStr">
        <is>
          <t>Balance Sheet</t>
        </is>
      </c>
    </row>
    <row r="474">
      <c r="B474" s="39" t="n">
        <v>46123</v>
      </c>
      <c r="C474" s="3" t="inlineStr">
        <is>
          <t>Deposit</t>
        </is>
      </c>
      <c r="D474" s="3" t="inlineStr"/>
      <c r="E474" s="3" t="inlineStr">
        <is>
          <t>Quayside Choice Senior Plan</t>
        </is>
      </c>
      <c r="F474" s="3" t="inlineStr">
        <is>
          <t>ORIG CO NAME:QUAYSIDE CHOICE SP ORIG ID:XXXXXX6905 DESC DATE:260411 CO ENTRY DESCR:HCCLAIMPMT SEC:CCD TRACE#:XXXXXXXX7898096 EED:260411 IND ID:</t>
        </is>
      </c>
      <c r="G474" s="3" t="inlineStr">
        <is>
          <t>Service Income</t>
        </is>
      </c>
      <c r="H474" s="3" t="inlineStr">
        <is>
          <t>Checking – Operating</t>
        </is>
      </c>
      <c r="I474" s="33" t="n">
        <v>50629.97</v>
      </c>
      <c r="J474" s="13">
        <f>+J473+I474</f>
        <v>1227356.16</v>
      </c>
      <c r="K474" s="19">
        <f>+EOMONTH(B474,0)</f>
        <v>46142</v>
      </c>
      <c r="L474" s="3" t="inlineStr">
        <is>
          <t>Checking – Operating</t>
        </is>
      </c>
      <c r="M474" s="3" t="inlineStr">
        <is>
          <t>Balance Sheet</t>
        </is>
      </c>
    </row>
    <row r="475">
      <c r="B475" s="39" t="n">
        <v>46123</v>
      </c>
      <c r="C475" s="3" t="inlineStr">
        <is>
          <t>Journal Entry</t>
        </is>
      </c>
      <c r="D475" s="3" t="inlineStr"/>
      <c r="E475" s="3" t="inlineStr"/>
      <c r="F475" s="3" t="inlineStr">
        <is>
          <t>Interest – equipment note</t>
        </is>
      </c>
      <c r="G475" s="3" t="inlineStr">
        <is>
          <t>Interest Expense</t>
        </is>
      </c>
      <c r="H475" s="3" t="inlineStr">
        <is>
          <t>Checking – Operating</t>
        </is>
      </c>
      <c r="I475" s="33" t="n">
        <v>-1113.81</v>
      </c>
      <c r="J475" s="13">
        <f>+J474+I475</f>
        <v>1226242.35</v>
      </c>
      <c r="K475" s="19">
        <f>+EOMONTH(B475,0)</f>
        <v>46142</v>
      </c>
      <c r="L475" s="3" t="inlineStr">
        <is>
          <t>Checking – Operating</t>
        </is>
      </c>
      <c r="M475" s="3" t="inlineStr">
        <is>
          <t>Balance Sheet</t>
        </is>
      </c>
    </row>
    <row r="476">
      <c r="B476" s="39" t="n">
        <v>46123</v>
      </c>
      <c r="C476" s="3" t="inlineStr">
        <is>
          <t>Payroll Check</t>
        </is>
      </c>
      <c r="D476" s="3" t="inlineStr"/>
      <c r="E476" s="3" t="inlineStr">
        <is>
          <t>Tessarand Payroll Services</t>
        </is>
      </c>
      <c r="F476" s="3" t="inlineStr">
        <is>
          <t>Payroll taxes – biweekly</t>
        </is>
      </c>
      <c r="G476" s="3" t="inlineStr">
        <is>
          <t>Payroll Taxes</t>
        </is>
      </c>
      <c r="H476" s="3" t="inlineStr">
        <is>
          <t>Checking – Operating</t>
        </is>
      </c>
      <c r="I476" s="33" t="n">
        <v>-1039.54</v>
      </c>
      <c r="J476" s="13">
        <f>+J475+I476</f>
        <v>1225202.81</v>
      </c>
      <c r="K476" s="19">
        <f>+EOMONTH(B476,0)</f>
        <v>46142</v>
      </c>
      <c r="L476" s="3" t="inlineStr">
        <is>
          <t>Checking – Operating</t>
        </is>
      </c>
      <c r="M476" s="3" t="inlineStr">
        <is>
          <t>Balance Sheet</t>
        </is>
      </c>
    </row>
    <row r="477">
      <c r="B477" s="39" t="n">
        <v>46124</v>
      </c>
      <c r="C477" s="3" t="inlineStr">
        <is>
          <t>Credit Card Expense</t>
        </is>
      </c>
      <c r="D477" s="3" t="inlineStr"/>
      <c r="E477" s="3" t="inlineStr">
        <is>
          <t>Lumenlease Equipment</t>
        </is>
      </c>
      <c r="F477" s="3" t="inlineStr">
        <is>
          <t>Repairs and Maintenance – April</t>
        </is>
      </c>
      <c r="G477" s="3" t="inlineStr">
        <is>
          <t>Repairs and Maintenance</t>
        </is>
      </c>
      <c r="H477" s="3" t="inlineStr">
        <is>
          <t>Checking – Operating</t>
        </is>
      </c>
      <c r="I477" s="33" t="n">
        <v>-1390.1</v>
      </c>
      <c r="J477" s="13">
        <f>+J476+I477</f>
        <v>1223812.71</v>
      </c>
      <c r="K477" s="19">
        <f>+EOMONTH(B477,0)</f>
        <v>46142</v>
      </c>
      <c r="L477" s="3" t="inlineStr">
        <is>
          <t>Checking – Operating</t>
        </is>
      </c>
      <c r="M477" s="3" t="inlineStr">
        <is>
          <t>Balance Sheet</t>
        </is>
      </c>
    </row>
    <row r="478">
      <c r="B478" s="39" t="n">
        <v>46125</v>
      </c>
      <c r="C478" s="3" t="inlineStr">
        <is>
          <t>Bill Payment (Check)</t>
        </is>
      </c>
      <c r="D478" s="3" t="inlineStr"/>
      <c r="E478" s="3" t="inlineStr">
        <is>
          <t>Tarrowmere Mutual Insurance</t>
        </is>
      </c>
      <c r="F478" s="3" t="inlineStr">
        <is>
          <t>Benefits – March</t>
        </is>
      </c>
      <c r="G478" s="3" t="inlineStr">
        <is>
          <t>Accounts Payable</t>
        </is>
      </c>
      <c r="H478" s="3" t="inlineStr">
        <is>
          <t>Checking – Operating</t>
        </is>
      </c>
      <c r="I478" s="33" t="n">
        <v>-3855.78</v>
      </c>
      <c r="J478" s="13">
        <f>+J477+I478</f>
        <v>1219956.93</v>
      </c>
      <c r="K478" s="19">
        <f>+EOMONTH(B478,0)</f>
        <v>46142</v>
      </c>
      <c r="L478" s="3" t="inlineStr">
        <is>
          <t>Checking – Operating</t>
        </is>
      </c>
      <c r="M478" s="3" t="inlineStr">
        <is>
          <t>Balance Sheet</t>
        </is>
      </c>
    </row>
    <row r="479">
      <c r="B479" s="39" t="n">
        <v>46125</v>
      </c>
      <c r="C479" s="3" t="inlineStr">
        <is>
          <t>Credit Card Expense</t>
        </is>
      </c>
      <c r="D479" s="3" t="inlineStr"/>
      <c r="E479" s="3" t="inlineStr"/>
      <c r="F479" s="3" t="inlineStr">
        <is>
          <t>Bank service charges – April</t>
        </is>
      </c>
      <c r="G479" s="3" t="inlineStr">
        <is>
          <t>Cash</t>
        </is>
      </c>
      <c r="H479" s="3" t="inlineStr">
        <is>
          <t>Checking – Operating</t>
        </is>
      </c>
      <c r="I479" s="33" t="n">
        <v>-855.45</v>
      </c>
      <c r="J479" s="13">
        <f>+J478+I479</f>
        <v>1219101.48</v>
      </c>
      <c r="K479" s="19">
        <f>+EOMONTH(B479,0)</f>
        <v>46142</v>
      </c>
      <c r="L479" s="3" t="inlineStr">
        <is>
          <t>Checking – Operating</t>
        </is>
      </c>
      <c r="M479" s="3" t="inlineStr">
        <is>
          <t>Balance Sheet</t>
        </is>
      </c>
    </row>
    <row r="480">
      <c r="B480" s="39" t="n">
        <v>46125</v>
      </c>
      <c r="C480" s="3" t="inlineStr">
        <is>
          <t>Credit Card Expense</t>
        </is>
      </c>
      <c r="D480" s="3" t="inlineStr"/>
      <c r="E480" s="3" t="inlineStr"/>
      <c r="F480" s="3" t="inlineStr">
        <is>
          <t>Bank service charges – April</t>
        </is>
      </c>
      <c r="G480" s="3" t="inlineStr">
        <is>
          <t>Cash</t>
        </is>
      </c>
      <c r="H480" s="3" t="inlineStr">
        <is>
          <t>Checking – Operating</t>
        </is>
      </c>
      <c r="I480" s="33" t="n">
        <v>-644.55</v>
      </c>
      <c r="J480" s="13">
        <f>+J479+I480</f>
        <v>1218456.93</v>
      </c>
      <c r="K480" s="19">
        <f>+EOMONTH(B480,0)</f>
        <v>46142</v>
      </c>
      <c r="L480" s="3" t="inlineStr">
        <is>
          <t>Checking – Operating</t>
        </is>
      </c>
      <c r="M480" s="3" t="inlineStr">
        <is>
          <t>Balance Sheet</t>
        </is>
      </c>
    </row>
    <row r="481">
      <c r="B481" s="39" t="n">
        <v>46125</v>
      </c>
      <c r="C481" s="3" t="inlineStr">
        <is>
          <t>Credit Card Expense</t>
        </is>
      </c>
      <c r="D481" s="3" t="inlineStr"/>
      <c r="E481" s="3" t="inlineStr"/>
      <c r="F481" s="3" t="inlineStr">
        <is>
          <t>Parking – April</t>
        </is>
      </c>
      <c r="G481" s="3" t="inlineStr">
        <is>
          <t>Parking</t>
        </is>
      </c>
      <c r="H481" s="3" t="inlineStr">
        <is>
          <t>Checking – Operating</t>
        </is>
      </c>
      <c r="I481" s="33" t="n">
        <v>-646.02</v>
      </c>
      <c r="J481" s="13">
        <f>+J480+I481</f>
        <v>1217810.91</v>
      </c>
      <c r="K481" s="19">
        <f>+EOMONTH(B481,0)</f>
        <v>46142</v>
      </c>
      <c r="L481" s="3" t="inlineStr">
        <is>
          <t>Checking – Operating</t>
        </is>
      </c>
      <c r="M481" s="3" t="inlineStr">
        <is>
          <t>Balance Sheet</t>
        </is>
      </c>
    </row>
    <row r="482">
      <c r="B482" s="39" t="n">
        <v>46125</v>
      </c>
      <c r="C482" s="3" t="inlineStr">
        <is>
          <t>Credit Card Expense</t>
        </is>
      </c>
      <c r="D482" s="3" t="inlineStr"/>
      <c r="E482" s="3" t="inlineStr"/>
      <c r="F482" s="3" t="inlineStr">
        <is>
          <t>Patient refund</t>
        </is>
      </c>
      <c r="G482" s="3" t="inlineStr">
        <is>
          <t>Refunds</t>
        </is>
      </c>
      <c r="H482" s="3" t="inlineStr">
        <is>
          <t>Checking – Operating</t>
        </is>
      </c>
      <c r="I482" s="33" t="n">
        <v>-2496.37</v>
      </c>
      <c r="J482" s="13">
        <f>+J481+I482</f>
        <v>1215314.54</v>
      </c>
      <c r="K482" s="19">
        <f>+EOMONTH(B482,0)</f>
        <v>46142</v>
      </c>
      <c r="L482" s="3" t="inlineStr">
        <is>
          <t>Checking – Operating</t>
        </is>
      </c>
      <c r="M482" s="3" t="inlineStr">
        <is>
          <t>Balance Sheet</t>
        </is>
      </c>
    </row>
    <row r="483">
      <c r="B483" s="39" t="n">
        <v>46125</v>
      </c>
      <c r="C483" s="3" t="inlineStr">
        <is>
          <t>Deposit</t>
        </is>
      </c>
      <c r="D483" s="3" t="inlineStr"/>
      <c r="E483" s="3" t="inlineStr">
        <is>
          <t>Marrowby Mutual</t>
        </is>
      </c>
      <c r="F483" s="3" t="inlineStr">
        <is>
          <t>ORIG CO NAME:MARROWBY MUTUAL ORIG ID:XXXXXX4350 DESC DATE:260413 CO ENTRY DESCR:HCCLAIMPMT SEC:CCD TRACE#:XXXXXXXX9265466 EED:260413 IND ID:</t>
        </is>
      </c>
      <c r="G483" s="3" t="inlineStr">
        <is>
          <t>Service Income</t>
        </is>
      </c>
      <c r="H483" s="3" t="inlineStr">
        <is>
          <t>Checking – Operating</t>
        </is>
      </c>
      <c r="I483" s="33" t="n">
        <v>43537.53</v>
      </c>
      <c r="J483" s="13">
        <f>+J482+I483</f>
        <v>1258852.07</v>
      </c>
      <c r="K483" s="19">
        <f>+EOMONTH(B483,0)</f>
        <v>46142</v>
      </c>
      <c r="L483" s="3" t="inlineStr">
        <is>
          <t>Checking – Operating</t>
        </is>
      </c>
      <c r="M483" s="3" t="inlineStr">
        <is>
          <t>Balance Sheet</t>
        </is>
      </c>
    </row>
    <row r="484">
      <c r="B484" s="39" t="n">
        <v>46125</v>
      </c>
      <c r="C484" s="3" t="inlineStr">
        <is>
          <t>Deposit</t>
        </is>
      </c>
      <c r="D484" s="3" t="inlineStr"/>
      <c r="E484" s="3" t="inlineStr">
        <is>
          <t>State Program B</t>
        </is>
      </c>
      <c r="F484" s="3" t="inlineStr">
        <is>
          <t>ORIG CO NAME:STATE PROG B ORIG ID:XXXXXX1778 DESC DATE:260413 CO ENTRY DESCR:HCCLAIMPMT SEC:CCD TRACE#:XXXXXXXX7872591 EED:260413 IND ID:</t>
        </is>
      </c>
      <c r="G484" s="3" t="inlineStr">
        <is>
          <t>Service Income</t>
        </is>
      </c>
      <c r="H484" s="3" t="inlineStr">
        <is>
          <t>Checking – Operating</t>
        </is>
      </c>
      <c r="I484" s="33" t="n">
        <v>39202.25</v>
      </c>
      <c r="J484" s="13">
        <f>+J483+I484</f>
        <v>1298054.32</v>
      </c>
      <c r="K484" s="19">
        <f>+EOMONTH(B484,0)</f>
        <v>46142</v>
      </c>
      <c r="L484" s="3" t="inlineStr">
        <is>
          <t>Checking – Operating</t>
        </is>
      </c>
      <c r="M484" s="3" t="inlineStr">
        <is>
          <t>Balance Sheet</t>
        </is>
      </c>
    </row>
    <row r="485">
      <c r="B485" s="39" t="n">
        <v>46125</v>
      </c>
      <c r="C485" s="3" t="inlineStr">
        <is>
          <t>Expense</t>
        </is>
      </c>
      <c r="D485" s="3" t="inlineStr"/>
      <c r="E485" s="3" t="inlineStr"/>
      <c r="F485" s="3" t="inlineStr">
        <is>
          <t>Patient refund</t>
        </is>
      </c>
      <c r="G485" s="3" t="inlineStr">
        <is>
          <t>Refunds</t>
        </is>
      </c>
      <c r="H485" s="3" t="inlineStr">
        <is>
          <t>Checking – Operating</t>
        </is>
      </c>
      <c r="I485" s="33" t="n">
        <v>-3891.72</v>
      </c>
      <c r="J485" s="13">
        <f>+J484+I485</f>
        <v>1294162.6</v>
      </c>
      <c r="K485" s="19">
        <f>+EOMONTH(B485,0)</f>
        <v>46142</v>
      </c>
      <c r="L485" s="3" t="inlineStr">
        <is>
          <t>Checking – Operating</t>
        </is>
      </c>
      <c r="M485" s="3" t="inlineStr">
        <is>
          <t>Balance Sheet</t>
        </is>
      </c>
    </row>
    <row r="486">
      <c r="B486" s="39" t="n">
        <v>46126</v>
      </c>
      <c r="C486" s="3" t="inlineStr">
        <is>
          <t>Bill Payment (Check)</t>
        </is>
      </c>
      <c r="D486" s="3" t="inlineStr"/>
      <c r="E486" s="3" t="inlineStr">
        <is>
          <t>Reagentix Corp</t>
        </is>
      </c>
      <c r="F486" s="3" t="inlineStr">
        <is>
          <t>Lab supplies PO# F2401</t>
        </is>
      </c>
      <c r="G486" s="3" t="inlineStr">
        <is>
          <t>Accounts Payable</t>
        </is>
      </c>
      <c r="H486" s="3" t="inlineStr">
        <is>
          <t>Checking – Operating</t>
        </is>
      </c>
      <c r="I486" s="33" t="n">
        <v>-31075.99</v>
      </c>
      <c r="J486" s="13">
        <f>+J485+I486</f>
        <v>1263086.61</v>
      </c>
      <c r="K486" s="19">
        <f>+EOMONTH(B486,0)</f>
        <v>46142</v>
      </c>
      <c r="L486" s="3" t="inlineStr">
        <is>
          <t>Checking – Operating</t>
        </is>
      </c>
      <c r="M486" s="3" t="inlineStr">
        <is>
          <t>Balance Sheet</t>
        </is>
      </c>
    </row>
    <row r="487">
      <c r="B487" s="39" t="n">
        <v>46126</v>
      </c>
      <c r="C487" s="3" t="inlineStr">
        <is>
          <t>Bill Payment (Check)</t>
        </is>
      </c>
      <c r="D487" s="3" t="inlineStr"/>
      <c r="E487" s="3" t="inlineStr">
        <is>
          <t>Swiftmere Courier</t>
        </is>
      </c>
      <c r="F487" s="3" t="inlineStr">
        <is>
          <t>Delivery and Transportation – April</t>
        </is>
      </c>
      <c r="G487" s="3" t="inlineStr">
        <is>
          <t>Accounts Payable</t>
        </is>
      </c>
      <c r="H487" s="3" t="inlineStr">
        <is>
          <t>Checking – Operating</t>
        </is>
      </c>
      <c r="I487" s="33" t="n">
        <v>-4344.1</v>
      </c>
      <c r="J487" s="13">
        <f>+J486+I487</f>
        <v>1258742.51</v>
      </c>
      <c r="K487" s="19">
        <f>+EOMONTH(B487,0)</f>
        <v>46142</v>
      </c>
      <c r="L487" s="3" t="inlineStr">
        <is>
          <t>Checking – Operating</t>
        </is>
      </c>
      <c r="M487" s="3" t="inlineStr">
        <is>
          <t>Balance Sheet</t>
        </is>
      </c>
    </row>
    <row r="488">
      <c r="B488" s="39" t="n">
        <v>46126</v>
      </c>
      <c r="C488" s="3" t="inlineStr">
        <is>
          <t>Credit Card Expense</t>
        </is>
      </c>
      <c r="D488" s="3" t="inlineStr"/>
      <c r="E488" s="3" t="inlineStr">
        <is>
          <t>Tessarand Payroll Services</t>
        </is>
      </c>
      <c r="F488" s="3" t="inlineStr">
        <is>
          <t>Contractors – April</t>
        </is>
      </c>
      <c r="G488" s="3" t="inlineStr">
        <is>
          <t>Contractors</t>
        </is>
      </c>
      <c r="H488" s="3" t="inlineStr">
        <is>
          <t>Checking – Operating</t>
        </is>
      </c>
      <c r="I488" s="33" t="n">
        <v>-6484.12</v>
      </c>
      <c r="J488" s="13">
        <f>+J487+I488</f>
        <v>1252258.39</v>
      </c>
      <c r="K488" s="19">
        <f>+EOMONTH(B488,0)</f>
        <v>46142</v>
      </c>
      <c r="L488" s="3" t="inlineStr">
        <is>
          <t>Checking – Operating</t>
        </is>
      </c>
      <c r="M488" s="3" t="inlineStr">
        <is>
          <t>Balance Sheet</t>
        </is>
      </c>
    </row>
    <row r="489">
      <c r="B489" s="39" t="n">
        <v>46126</v>
      </c>
      <c r="C489" s="3" t="inlineStr">
        <is>
          <t>Credit Card Expense</t>
        </is>
      </c>
      <c r="D489" s="3" t="inlineStr"/>
      <c r="E489" s="3" t="inlineStr"/>
      <c r="F489" s="3" t="inlineStr">
        <is>
          <t>Reimbursement – April</t>
        </is>
      </c>
      <c r="G489" s="3" t="inlineStr">
        <is>
          <t>Reimbursement</t>
        </is>
      </c>
      <c r="H489" s="3" t="inlineStr">
        <is>
          <t>Checking – Operating</t>
        </is>
      </c>
      <c r="I489" s="33" t="n">
        <v>-1428.38</v>
      </c>
      <c r="J489" s="13">
        <f>+J488+I489</f>
        <v>1250830.01</v>
      </c>
      <c r="K489" s="19">
        <f>+EOMONTH(B489,0)</f>
        <v>46142</v>
      </c>
      <c r="L489" s="3" t="inlineStr">
        <is>
          <t>Checking – Operating</t>
        </is>
      </c>
      <c r="M489" s="3" t="inlineStr">
        <is>
          <t>Balance Sheet</t>
        </is>
      </c>
    </row>
    <row r="490">
      <c r="B490" s="39" t="n">
        <v>46126</v>
      </c>
      <c r="C490" s="3" t="inlineStr">
        <is>
          <t>Deposit</t>
        </is>
      </c>
      <c r="D490" s="3" t="inlineStr"/>
      <c r="E490" s="3" t="inlineStr">
        <is>
          <t>Cobaltmere Health</t>
        </is>
      </c>
      <c r="F490" s="3" t="inlineStr">
        <is>
          <t>ORIG CO NAME:COBALTMERE HEALTH ORIG ID:XXXXXX5963 DESC DATE:260414 CO ENTRY DESCR:HCCLAIMPMT SEC:CCD TRACE#:XXXXXXXX7056268 EED:260414 IND ID:</t>
        </is>
      </c>
      <c r="G490" s="3" t="inlineStr">
        <is>
          <t>Service Income</t>
        </is>
      </c>
      <c r="H490" s="3" t="inlineStr">
        <is>
          <t>Checking – Operating</t>
        </is>
      </c>
      <c r="I490" s="33" t="n">
        <v>21419.78</v>
      </c>
      <c r="J490" s="13">
        <f>+J489+I490</f>
        <v>1272249.79</v>
      </c>
      <c r="K490" s="19">
        <f>+EOMONTH(B490,0)</f>
        <v>46142</v>
      </c>
      <c r="L490" s="3" t="inlineStr">
        <is>
          <t>Checking – Operating</t>
        </is>
      </c>
      <c r="M490" s="3" t="inlineStr">
        <is>
          <t>Balance Sheet</t>
        </is>
      </c>
    </row>
    <row r="491">
      <c r="B491" s="39" t="n">
        <v>46126</v>
      </c>
      <c r="C491" s="3" t="inlineStr">
        <is>
          <t>Expense</t>
        </is>
      </c>
      <c r="D491" s="3" t="inlineStr"/>
      <c r="E491" s="3" t="inlineStr"/>
      <c r="F491" s="3" t="inlineStr">
        <is>
          <t>Parking – April</t>
        </is>
      </c>
      <c r="G491" s="3" t="inlineStr">
        <is>
          <t>Parking</t>
        </is>
      </c>
      <c r="H491" s="3" t="inlineStr">
        <is>
          <t>Checking – Operating</t>
        </is>
      </c>
      <c r="I491" s="33" t="n">
        <v>-673.98</v>
      </c>
      <c r="J491" s="13">
        <f>+J490+I491</f>
        <v>1271575.81</v>
      </c>
      <c r="K491" s="19">
        <f>+EOMONTH(B491,0)</f>
        <v>46142</v>
      </c>
      <c r="L491" s="3" t="inlineStr">
        <is>
          <t>Checking – Operating</t>
        </is>
      </c>
      <c r="M491" s="3" t="inlineStr">
        <is>
          <t>Balance Sheet</t>
        </is>
      </c>
    </row>
    <row r="492">
      <c r="B492" s="39" t="n">
        <v>46127</v>
      </c>
      <c r="C492" s="3" t="inlineStr">
        <is>
          <t>Bill Payment (Check)</t>
        </is>
      </c>
      <c r="D492" s="3" t="inlineStr"/>
      <c r="E492" s="3" t="inlineStr">
        <is>
          <t>Halloway Ridge Realty (rent)</t>
        </is>
      </c>
      <c r="F492" s="3" t="inlineStr">
        <is>
          <t>Rent – March</t>
        </is>
      </c>
      <c r="G492" s="3" t="inlineStr">
        <is>
          <t>Accounts Payable</t>
        </is>
      </c>
      <c r="H492" s="3" t="inlineStr">
        <is>
          <t>Checking – Operating</t>
        </is>
      </c>
      <c r="I492" s="33" t="n">
        <v>-17170.07</v>
      </c>
      <c r="J492" s="13">
        <f>+J491+I492</f>
        <v>1254405.74</v>
      </c>
      <c r="K492" s="19">
        <f>+EOMONTH(B492,0)</f>
        <v>46142</v>
      </c>
      <c r="L492" s="3" t="inlineStr">
        <is>
          <t>Checking – Operating</t>
        </is>
      </c>
      <c r="M492" s="3" t="inlineStr">
        <is>
          <t>Balance Sheet</t>
        </is>
      </c>
    </row>
    <row r="493">
      <c r="B493" s="39" t="n">
        <v>46127</v>
      </c>
      <c r="C493" s="3" t="inlineStr">
        <is>
          <t>Credit Card Expense</t>
        </is>
      </c>
      <c r="D493" s="3" t="inlineStr"/>
      <c r="E493" s="3" t="inlineStr"/>
      <c r="F493" s="3" t="inlineStr">
        <is>
          <t>Property tax installment</t>
        </is>
      </c>
      <c r="G493" s="3" t="inlineStr">
        <is>
          <t>Property tax</t>
        </is>
      </c>
      <c r="H493" s="3" t="inlineStr">
        <is>
          <t>Checking – Operating</t>
        </is>
      </c>
      <c r="I493" s="33" t="n">
        <v>-1015.43</v>
      </c>
      <c r="J493" s="13">
        <f>+J492+I493</f>
        <v>1253390.31</v>
      </c>
      <c r="K493" s="19">
        <f>+EOMONTH(B493,0)</f>
        <v>46142</v>
      </c>
      <c r="L493" s="3" t="inlineStr">
        <is>
          <t>Checking – Operating</t>
        </is>
      </c>
      <c r="M493" s="3" t="inlineStr">
        <is>
          <t>Balance Sheet</t>
        </is>
      </c>
    </row>
    <row r="494">
      <c r="B494" s="39" t="n">
        <v>46127</v>
      </c>
      <c r="C494" s="3" t="inlineStr">
        <is>
          <t>Credit Card Expense</t>
        </is>
      </c>
      <c r="D494" s="3" t="inlineStr"/>
      <c r="E494" s="3" t="inlineStr">
        <is>
          <t>Ledgerquill Billing SaaS</t>
        </is>
      </c>
      <c r="F494" s="3" t="inlineStr">
        <is>
          <t>Interface Service – April</t>
        </is>
      </c>
      <c r="G494" s="3" t="inlineStr">
        <is>
          <t>Interface Service</t>
        </is>
      </c>
      <c r="H494" s="3" t="inlineStr">
        <is>
          <t>Checking – Operating</t>
        </is>
      </c>
      <c r="I494" s="33" t="n">
        <v>-1816.66</v>
      </c>
      <c r="J494" s="13">
        <f>+J493+I494</f>
        <v>1251573.65</v>
      </c>
      <c r="K494" s="19">
        <f>+EOMONTH(B494,0)</f>
        <v>46142</v>
      </c>
      <c r="L494" s="3" t="inlineStr">
        <is>
          <t>Checking – Operating</t>
        </is>
      </c>
      <c r="M494" s="3" t="inlineStr">
        <is>
          <t>Balance Sheet</t>
        </is>
      </c>
    </row>
    <row r="495">
      <c r="B495" s="39" t="n">
        <v>46127</v>
      </c>
      <c r="C495" s="3" t="inlineStr">
        <is>
          <t>Expense</t>
        </is>
      </c>
      <c r="D495" s="3" t="inlineStr"/>
      <c r="E495" s="3" t="inlineStr"/>
      <c r="F495" s="3" t="inlineStr">
        <is>
          <t>Patient refund</t>
        </is>
      </c>
      <c r="G495" s="3" t="inlineStr">
        <is>
          <t>Refunds</t>
        </is>
      </c>
      <c r="H495" s="3" t="inlineStr">
        <is>
          <t>Checking – Operating</t>
        </is>
      </c>
      <c r="I495" s="33" t="n">
        <v>-2312.34</v>
      </c>
      <c r="J495" s="13">
        <f>+J494+I495</f>
        <v>1249261.31</v>
      </c>
      <c r="K495" s="19">
        <f>+EOMONTH(B495,0)</f>
        <v>46142</v>
      </c>
      <c r="L495" s="3" t="inlineStr">
        <is>
          <t>Checking – Operating</t>
        </is>
      </c>
      <c r="M495" s="3" t="inlineStr">
        <is>
          <t>Balance Sheet</t>
        </is>
      </c>
    </row>
    <row r="496">
      <c r="B496" s="39" t="n">
        <v>46127</v>
      </c>
      <c r="C496" s="3" t="inlineStr">
        <is>
          <t>Expense</t>
        </is>
      </c>
      <c r="D496" s="3" t="inlineStr"/>
      <c r="E496" s="3" t="inlineStr"/>
      <c r="F496" s="3" t="inlineStr">
        <is>
          <t>Automobile Expense – April</t>
        </is>
      </c>
      <c r="G496" s="3" t="inlineStr">
        <is>
          <t>Automobile Expense</t>
        </is>
      </c>
      <c r="H496" s="3" t="inlineStr">
        <is>
          <t>Checking – Operating</t>
        </is>
      </c>
      <c r="I496" s="33" t="n">
        <v>-884.37</v>
      </c>
      <c r="J496" s="13">
        <f>+J495+I496</f>
        <v>1248376.94</v>
      </c>
      <c r="K496" s="19">
        <f>+EOMONTH(B496,0)</f>
        <v>46142</v>
      </c>
      <c r="L496" s="3" t="inlineStr">
        <is>
          <t>Checking – Operating</t>
        </is>
      </c>
      <c r="M496" s="3" t="inlineStr">
        <is>
          <t>Balance Sheet</t>
        </is>
      </c>
    </row>
    <row r="497">
      <c r="B497" s="39" t="n">
        <v>46128</v>
      </c>
      <c r="C497" s="3" t="inlineStr">
        <is>
          <t>Deposit</t>
        </is>
      </c>
      <c r="D497" s="3" t="inlineStr"/>
      <c r="E497" s="3" t="inlineStr">
        <is>
          <t>Federal Program A</t>
        </is>
      </c>
      <c r="F497" s="3" t="inlineStr">
        <is>
          <t>ORIG CO NAME:FEDERAL PROG A ORIG ID:XXXXXX2261 DESC DATE:260416 CO ENTRY DESCR:HCCLAIMPMT SEC:CCD TRACE#:XXXXXXXX7941653 EED:260416 IND ID:</t>
        </is>
      </c>
      <c r="G497" s="3" t="inlineStr">
        <is>
          <t>Service Income</t>
        </is>
      </c>
      <c r="H497" s="3" t="inlineStr">
        <is>
          <t>Checking – Operating</t>
        </is>
      </c>
      <c r="I497" s="33" t="n">
        <v>115021.49</v>
      </c>
      <c r="J497" s="13">
        <f>+J496+I497</f>
        <v>1363398.43</v>
      </c>
      <c r="K497" s="19">
        <f>+EOMONTH(B497,0)</f>
        <v>46142</v>
      </c>
      <c r="L497" s="3" t="inlineStr">
        <is>
          <t>Checking – Operating</t>
        </is>
      </c>
      <c r="M497" s="3" t="inlineStr">
        <is>
          <t>Balance Sheet</t>
        </is>
      </c>
    </row>
    <row r="498">
      <c r="B498" s="39" t="n">
        <v>46128</v>
      </c>
      <c r="C498" s="3" t="inlineStr">
        <is>
          <t>Expense</t>
        </is>
      </c>
      <c r="D498" s="3" t="inlineStr"/>
      <c r="E498" s="3" t="inlineStr">
        <is>
          <t>Halloway Ridge Realty (rent)</t>
        </is>
      </c>
      <c r="F498" s="3" t="inlineStr">
        <is>
          <t>Landscaping – April</t>
        </is>
      </c>
      <c r="G498" s="3" t="inlineStr">
        <is>
          <t>Landscaping</t>
        </is>
      </c>
      <c r="H498" s="3" t="inlineStr">
        <is>
          <t>Checking – Operating</t>
        </is>
      </c>
      <c r="I498" s="33" t="n">
        <v>-1025.89</v>
      </c>
      <c r="J498" s="13">
        <f>+J497+I498</f>
        <v>1362372.54</v>
      </c>
      <c r="K498" s="19">
        <f>+EOMONTH(B498,0)</f>
        <v>46142</v>
      </c>
      <c r="L498" s="3" t="inlineStr">
        <is>
          <t>Checking – Operating</t>
        </is>
      </c>
      <c r="M498" s="3" t="inlineStr">
        <is>
          <t>Balance Sheet</t>
        </is>
      </c>
    </row>
    <row r="499">
      <c r="B499" s="39" t="n">
        <v>46128</v>
      </c>
      <c r="C499" s="3" t="inlineStr">
        <is>
          <t>Expense</t>
        </is>
      </c>
      <c r="D499" s="3" t="inlineStr"/>
      <c r="E499" s="3" t="inlineStr">
        <is>
          <t>Tessarand Payroll Services</t>
        </is>
      </c>
      <c r="F499" s="3" t="inlineStr">
        <is>
          <t>Sales and Marketing Expenses – April</t>
        </is>
      </c>
      <c r="G499" s="3" t="inlineStr">
        <is>
          <t>Sales and Marketing Expenses</t>
        </is>
      </c>
      <c r="H499" s="3" t="inlineStr">
        <is>
          <t>Checking – Operating</t>
        </is>
      </c>
      <c r="I499" s="33" t="n">
        <v>-13496.73</v>
      </c>
      <c r="J499" s="13">
        <f>+J498+I499</f>
        <v>1348875.81</v>
      </c>
      <c r="K499" s="19">
        <f>+EOMONTH(B499,0)</f>
        <v>46142</v>
      </c>
      <c r="L499" s="3" t="inlineStr">
        <is>
          <t>Checking – Operating</t>
        </is>
      </c>
      <c r="M499" s="3" t="inlineStr">
        <is>
          <t>Balance Sheet</t>
        </is>
      </c>
    </row>
    <row r="500">
      <c r="B500" s="39" t="n">
        <v>46128</v>
      </c>
      <c r="C500" s="3" t="inlineStr">
        <is>
          <t>Expense</t>
        </is>
      </c>
      <c r="D500" s="3" t="inlineStr"/>
      <c r="E500" s="3" t="inlineStr">
        <is>
          <t>Ledgerquill Billing SaaS</t>
        </is>
      </c>
      <c r="F500" s="3" t="inlineStr">
        <is>
          <t>Software – April</t>
        </is>
      </c>
      <c r="G500" s="3" t="inlineStr">
        <is>
          <t>Software</t>
        </is>
      </c>
      <c r="H500" s="3" t="inlineStr">
        <is>
          <t>Checking – Operating</t>
        </is>
      </c>
      <c r="I500" s="33" t="n">
        <v>-2673.81</v>
      </c>
      <c r="J500" s="13">
        <f>+J499+I500</f>
        <v>1346202</v>
      </c>
      <c r="K500" s="19">
        <f>+EOMONTH(B500,0)</f>
        <v>46142</v>
      </c>
      <c r="L500" s="3" t="inlineStr">
        <is>
          <t>Checking – Operating</t>
        </is>
      </c>
      <c r="M500" s="3" t="inlineStr">
        <is>
          <t>Balance Sheet</t>
        </is>
      </c>
    </row>
    <row r="501">
      <c r="B501" s="39" t="n">
        <v>46129</v>
      </c>
      <c r="C501" s="3" t="inlineStr">
        <is>
          <t>Bill Payment (Check)</t>
        </is>
      </c>
      <c r="D501" s="3" t="inlineStr"/>
      <c r="E501" s="3" t="inlineStr">
        <is>
          <t>Swiftmere Courier</t>
        </is>
      </c>
      <c r="F501" s="3" t="inlineStr">
        <is>
          <t>Delivery and Transportation – April</t>
        </is>
      </c>
      <c r="G501" s="3" t="inlineStr">
        <is>
          <t>Accounts Payable</t>
        </is>
      </c>
      <c r="H501" s="3" t="inlineStr">
        <is>
          <t>Checking – Operating</t>
        </is>
      </c>
      <c r="I501" s="33" t="n">
        <v>-3755.9</v>
      </c>
      <c r="J501" s="13">
        <f>+J500+I501</f>
        <v>1342446.1</v>
      </c>
      <c r="K501" s="19">
        <f>+EOMONTH(B501,0)</f>
        <v>46142</v>
      </c>
      <c r="L501" s="3" t="inlineStr">
        <is>
          <t>Checking – Operating</t>
        </is>
      </c>
      <c r="M501" s="3" t="inlineStr">
        <is>
          <t>Balance Sheet</t>
        </is>
      </c>
    </row>
    <row r="502">
      <c r="B502" s="39" t="n">
        <v>46129</v>
      </c>
      <c r="C502" s="3" t="inlineStr">
        <is>
          <t>Credit Card Expense</t>
        </is>
      </c>
      <c r="D502" s="3" t="inlineStr"/>
      <c r="E502" s="3" t="inlineStr">
        <is>
          <t>Lumenlease Equipment</t>
        </is>
      </c>
      <c r="F502" s="3" t="inlineStr">
        <is>
          <t>Repairs and Maintenance – April</t>
        </is>
      </c>
      <c r="G502" s="3" t="inlineStr">
        <is>
          <t>Repairs and Maintenance</t>
        </is>
      </c>
      <c r="H502" s="3" t="inlineStr">
        <is>
          <t>Checking – Operating</t>
        </is>
      </c>
      <c r="I502" s="33" t="n">
        <v>-2109.9</v>
      </c>
      <c r="J502" s="13">
        <f>+J501+I502</f>
        <v>1340336.2</v>
      </c>
      <c r="K502" s="19">
        <f>+EOMONTH(B502,0)</f>
        <v>46142</v>
      </c>
      <c r="L502" s="3" t="inlineStr">
        <is>
          <t>Checking – Operating</t>
        </is>
      </c>
      <c r="M502" s="3" t="inlineStr">
        <is>
          <t>Balance Sheet</t>
        </is>
      </c>
    </row>
    <row r="503">
      <c r="B503" s="39" t="n">
        <v>46129</v>
      </c>
      <c r="C503" s="3" t="inlineStr">
        <is>
          <t>Expense</t>
        </is>
      </c>
      <c r="D503" s="3" t="inlineStr"/>
      <c r="E503" s="3" t="inlineStr"/>
      <c r="F503" s="3" t="inlineStr">
        <is>
          <t>Patient refund</t>
        </is>
      </c>
      <c r="G503" s="3" t="inlineStr">
        <is>
          <t>Refunds</t>
        </is>
      </c>
      <c r="H503" s="3" t="inlineStr">
        <is>
          <t>Checking – Operating</t>
        </is>
      </c>
      <c r="I503" s="33" t="n">
        <v>-3804.26</v>
      </c>
      <c r="J503" s="13">
        <f>+J502+I503</f>
        <v>1336531.94</v>
      </c>
      <c r="K503" s="19">
        <f>+EOMONTH(B503,0)</f>
        <v>46142</v>
      </c>
      <c r="L503" s="3" t="inlineStr">
        <is>
          <t>Checking – Operating</t>
        </is>
      </c>
      <c r="M503" s="3" t="inlineStr">
        <is>
          <t>Balance Sheet</t>
        </is>
      </c>
    </row>
    <row r="504">
      <c r="B504" s="39" t="n">
        <v>46129</v>
      </c>
      <c r="C504" s="3" t="inlineStr">
        <is>
          <t>Expense</t>
        </is>
      </c>
      <c r="D504" s="3" t="inlineStr"/>
      <c r="E504" s="3" t="inlineStr"/>
      <c r="F504" s="3" t="inlineStr">
        <is>
          <t>Business Meetings &amp; Development – April</t>
        </is>
      </c>
      <c r="G504" s="3" t="inlineStr">
        <is>
          <t>Business Meetings &amp; Development</t>
        </is>
      </c>
      <c r="H504" s="3" t="inlineStr">
        <is>
          <t>Checking – Operating</t>
        </is>
      </c>
      <c r="I504" s="33" t="n">
        <v>-2541.97</v>
      </c>
      <c r="J504" s="13">
        <f>+J503+I504</f>
        <v>1333989.97</v>
      </c>
      <c r="K504" s="19">
        <f>+EOMONTH(B504,0)</f>
        <v>46142</v>
      </c>
      <c r="L504" s="3" t="inlineStr">
        <is>
          <t>Checking – Operating</t>
        </is>
      </c>
      <c r="M504" s="3" t="inlineStr">
        <is>
          <t>Balance Sheet</t>
        </is>
      </c>
    </row>
    <row r="505">
      <c r="B505" s="39" t="n">
        <v>46129</v>
      </c>
      <c r="C505" s="3" t="inlineStr">
        <is>
          <t>Journal Entry</t>
        </is>
      </c>
      <c r="D505" s="3" t="inlineStr"/>
      <c r="E505" s="3" t="inlineStr">
        <is>
          <t>Consultant A</t>
        </is>
      </c>
      <c r="F505" s="3" t="inlineStr">
        <is>
          <t>Professional Fees – April</t>
        </is>
      </c>
      <c r="G505" s="3" t="inlineStr">
        <is>
          <t>Professional Fees</t>
        </is>
      </c>
      <c r="H505" s="3" t="inlineStr">
        <is>
          <t>Checking – Operating</t>
        </is>
      </c>
      <c r="I505" s="33" t="n">
        <v>-4406.8</v>
      </c>
      <c r="J505" s="13">
        <f>+J504+I505</f>
        <v>1329583.17</v>
      </c>
      <c r="K505" s="19">
        <f>+EOMONTH(B505,0)</f>
        <v>46142</v>
      </c>
      <c r="L505" s="3" t="inlineStr">
        <is>
          <t>Checking – Operating</t>
        </is>
      </c>
      <c r="M505" s="3" t="inlineStr">
        <is>
          <t>Balance Sheet</t>
        </is>
      </c>
    </row>
    <row r="506">
      <c r="B506" s="39" t="n">
        <v>46130</v>
      </c>
      <c r="C506" s="3" t="inlineStr">
        <is>
          <t>Bill Payment (Check)</t>
        </is>
      </c>
      <c r="D506" s="3" t="inlineStr"/>
      <c r="E506" s="3" t="inlineStr">
        <is>
          <t>Northmoor Waste Services</t>
        </is>
      </c>
      <c r="F506" s="3" t="inlineStr">
        <is>
          <t>Hazard Waste – April</t>
        </is>
      </c>
      <c r="G506" s="3" t="inlineStr">
        <is>
          <t>Accounts Payable</t>
        </is>
      </c>
      <c r="H506" s="3" t="inlineStr">
        <is>
          <t>Checking – Operating</t>
        </is>
      </c>
      <c r="I506" s="33" t="n">
        <v>-1096.85</v>
      </c>
      <c r="J506" s="13">
        <f>+J505+I506</f>
        <v>1328486.32</v>
      </c>
      <c r="K506" s="19">
        <f>+EOMONTH(B506,0)</f>
        <v>46142</v>
      </c>
      <c r="L506" s="3" t="inlineStr">
        <is>
          <t>Checking – Operating</t>
        </is>
      </c>
      <c r="M506" s="3" t="inlineStr">
        <is>
          <t>Balance Sheet</t>
        </is>
      </c>
    </row>
    <row r="507">
      <c r="B507" s="39" t="n">
        <v>46130</v>
      </c>
      <c r="C507" s="3" t="inlineStr">
        <is>
          <t>Bill Payment (Check)</t>
        </is>
      </c>
      <c r="D507" s="3" t="inlineStr"/>
      <c r="E507" s="3" t="inlineStr">
        <is>
          <t>Tarrowmere Mutual Insurance</t>
        </is>
      </c>
      <c r="F507" s="3" t="inlineStr">
        <is>
          <t>Benefits – April</t>
        </is>
      </c>
      <c r="G507" s="3" t="inlineStr">
        <is>
          <t>Accounts Payable</t>
        </is>
      </c>
      <c r="H507" s="3" t="inlineStr">
        <is>
          <t>Checking – Operating</t>
        </is>
      </c>
      <c r="I507" s="33" t="n">
        <v>-5103.61</v>
      </c>
      <c r="J507" s="13">
        <f>+J506+I507</f>
        <v>1323382.71</v>
      </c>
      <c r="K507" s="19">
        <f>+EOMONTH(B507,0)</f>
        <v>46142</v>
      </c>
      <c r="L507" s="3" t="inlineStr">
        <is>
          <t>Checking – Operating</t>
        </is>
      </c>
      <c r="M507" s="3" t="inlineStr">
        <is>
          <t>Balance Sheet</t>
        </is>
      </c>
    </row>
    <row r="508">
      <c r="B508" s="39" t="n">
        <v>46131</v>
      </c>
      <c r="C508" s="3" t="inlineStr">
        <is>
          <t>Bill Payment (Check)</t>
        </is>
      </c>
      <c r="D508" s="3" t="inlineStr"/>
      <c r="E508" s="3" t="inlineStr">
        <is>
          <t>Union Utilities</t>
        </is>
      </c>
      <c r="F508" s="3" t="inlineStr">
        <is>
          <t>Utilities – March</t>
        </is>
      </c>
      <c r="G508" s="3" t="inlineStr">
        <is>
          <t>Accounts Payable</t>
        </is>
      </c>
      <c r="H508" s="3" t="inlineStr">
        <is>
          <t>Checking – Operating</t>
        </is>
      </c>
      <c r="I508" s="33" t="n">
        <v>-3157.87</v>
      </c>
      <c r="J508" s="13">
        <f>+J507+I508</f>
        <v>1320224.84</v>
      </c>
      <c r="K508" s="19">
        <f>+EOMONTH(B508,0)</f>
        <v>46142</v>
      </c>
      <c r="L508" s="3" t="inlineStr">
        <is>
          <t>Checking – Operating</t>
        </is>
      </c>
      <c r="M508" s="3" t="inlineStr">
        <is>
          <t>Balance Sheet</t>
        </is>
      </c>
    </row>
    <row r="509">
      <c r="B509" s="39" t="n">
        <v>46131</v>
      </c>
      <c r="C509" s="3" t="inlineStr">
        <is>
          <t>Deposit</t>
        </is>
      </c>
      <c r="D509" s="3" t="inlineStr"/>
      <c r="E509" s="3" t="inlineStr">
        <is>
          <t>Silvermoss Senior Living</t>
        </is>
      </c>
      <c r="F509" s="3" t="inlineStr">
        <is>
          <t>ORIG CO NAME:SILVERMOSS SL ORIG ID:XXXXXX5474 DESC DATE:260419 CO ENTRY DESCR:HCCLAIMPMT SEC:CCD TRACE#:XXXXXXXX2732515 EED:260419 IND ID:</t>
        </is>
      </c>
      <c r="G509" s="3" t="inlineStr">
        <is>
          <t>Service Income</t>
        </is>
      </c>
      <c r="H509" s="3" t="inlineStr">
        <is>
          <t>Checking – Operating</t>
        </is>
      </c>
      <c r="I509" s="33" t="n">
        <v>38059.27</v>
      </c>
      <c r="J509" s="13">
        <f>+J508+I509</f>
        <v>1358284.11</v>
      </c>
      <c r="K509" s="19">
        <f>+EOMONTH(B509,0)</f>
        <v>46142</v>
      </c>
      <c r="L509" s="3" t="inlineStr">
        <is>
          <t>Checking – Operating</t>
        </is>
      </c>
      <c r="M509" s="3" t="inlineStr">
        <is>
          <t>Balance Sheet</t>
        </is>
      </c>
    </row>
    <row r="510">
      <c r="B510" s="39" t="n">
        <v>46131</v>
      </c>
      <c r="C510" s="3" t="inlineStr">
        <is>
          <t>Expense</t>
        </is>
      </c>
      <c r="D510" s="3" t="inlineStr"/>
      <c r="E510" s="3" t="inlineStr">
        <is>
          <t>Consultant A</t>
        </is>
      </c>
      <c r="F510" s="3" t="inlineStr">
        <is>
          <t>Consulting – April</t>
        </is>
      </c>
      <c r="G510" s="3" t="inlineStr">
        <is>
          <t>Consulting</t>
        </is>
      </c>
      <c r="H510" s="3" t="inlineStr">
        <is>
          <t>Checking – Operating</t>
        </is>
      </c>
      <c r="I510" s="33" t="n">
        <v>-2660.81</v>
      </c>
      <c r="J510" s="13">
        <f>+J509+I510</f>
        <v>1355623.3</v>
      </c>
      <c r="K510" s="19">
        <f>+EOMONTH(B510,0)</f>
        <v>46142</v>
      </c>
      <c r="L510" s="3" t="inlineStr">
        <is>
          <t>Checking – Operating</t>
        </is>
      </c>
      <c r="M510" s="3" t="inlineStr">
        <is>
          <t>Balance Sheet</t>
        </is>
      </c>
    </row>
    <row r="511">
      <c r="B511" s="39" t="n">
        <v>46131</v>
      </c>
      <c r="C511" s="3" t="inlineStr">
        <is>
          <t>Expense</t>
        </is>
      </c>
      <c r="D511" s="3" t="inlineStr"/>
      <c r="E511" s="3" t="inlineStr">
        <is>
          <t>Lumenlease Equipment</t>
        </is>
      </c>
      <c r="F511" s="3" t="inlineStr">
        <is>
          <t>Repairs and Maintenance – April</t>
        </is>
      </c>
      <c r="G511" s="3" t="inlineStr">
        <is>
          <t>Repairs and Maintenance</t>
        </is>
      </c>
      <c r="H511" s="3" t="inlineStr">
        <is>
          <t>Checking – Operating</t>
        </is>
      </c>
      <c r="I511" s="33" t="n">
        <v>-3851.4</v>
      </c>
      <c r="J511" s="13">
        <f>+J510+I511</f>
        <v>1351771.9</v>
      </c>
      <c r="K511" s="19">
        <f>+EOMONTH(B511,0)</f>
        <v>46142</v>
      </c>
      <c r="L511" s="3" t="inlineStr">
        <is>
          <t>Checking – Operating</t>
        </is>
      </c>
      <c r="M511" s="3" t="inlineStr">
        <is>
          <t>Balance Sheet</t>
        </is>
      </c>
    </row>
    <row r="512">
      <c r="B512" s="39" t="n">
        <v>46131</v>
      </c>
      <c r="C512" s="3" t="inlineStr">
        <is>
          <t>Payroll Check</t>
        </is>
      </c>
      <c r="D512" s="3" t="inlineStr"/>
      <c r="E512" s="3" t="inlineStr">
        <is>
          <t>Tessarand Payroll Services</t>
        </is>
      </c>
      <c r="F512" s="3" t="inlineStr">
        <is>
          <t>Payroll processing fee</t>
        </is>
      </c>
      <c r="G512" s="3" t="inlineStr">
        <is>
          <t>Payroll Processing Fee</t>
        </is>
      </c>
      <c r="H512" s="3" t="inlineStr">
        <is>
          <t>Checking – Operating</t>
        </is>
      </c>
      <c r="I512" s="33" t="n">
        <v>-114.41</v>
      </c>
      <c r="J512" s="13">
        <f>+J511+I512</f>
        <v>1351657.49</v>
      </c>
      <c r="K512" s="19">
        <f>+EOMONTH(B512,0)</f>
        <v>46142</v>
      </c>
      <c r="L512" s="3" t="inlineStr">
        <is>
          <t>Checking – Operating</t>
        </is>
      </c>
      <c r="M512" s="3" t="inlineStr">
        <is>
          <t>Balance Sheet</t>
        </is>
      </c>
    </row>
    <row r="513">
      <c r="B513" s="39" t="n">
        <v>46132</v>
      </c>
      <c r="C513" s="3" t="inlineStr">
        <is>
          <t>Credit Card Expense</t>
        </is>
      </c>
      <c r="D513" s="3" t="inlineStr"/>
      <c r="E513" s="3" t="inlineStr"/>
      <c r="F513" s="3" t="inlineStr">
        <is>
          <t>Meals and Entertainment – April</t>
        </is>
      </c>
      <c r="G513" s="3" t="inlineStr">
        <is>
          <t>Meals and Entertainment</t>
        </is>
      </c>
      <c r="H513" s="3" t="inlineStr">
        <is>
          <t>Checking – Operating</t>
        </is>
      </c>
      <c r="I513" s="33" t="n">
        <v>-727.39</v>
      </c>
      <c r="J513" s="13">
        <f>+J512+I513</f>
        <v>1350930.1</v>
      </c>
      <c r="K513" s="19">
        <f>+EOMONTH(B513,0)</f>
        <v>46142</v>
      </c>
      <c r="L513" s="3" t="inlineStr">
        <is>
          <t>Checking – Operating</t>
        </is>
      </c>
      <c r="M513" s="3" t="inlineStr">
        <is>
          <t>Balance Sheet</t>
        </is>
      </c>
    </row>
    <row r="514">
      <c r="B514" s="39" t="n">
        <v>46132</v>
      </c>
      <c r="C514" s="3" t="inlineStr">
        <is>
          <t>Deposit</t>
        </is>
      </c>
      <c r="D514" s="3" t="inlineStr"/>
      <c r="E514" s="3" t="inlineStr">
        <is>
          <t>Lanternway Benefits</t>
        </is>
      </c>
      <c r="F514" s="3" t="inlineStr">
        <is>
          <t>ORIG CO NAME:LANTERNWAY BEN ORIG ID:XXXXXX3753 DESC DATE:260420 CO ENTRY DESCR:HCCLAIMPMT SEC:CCD TRACE#:XXXXXXXX9006863 EED:260420 IND ID:</t>
        </is>
      </c>
      <c r="G514" s="3" t="inlineStr">
        <is>
          <t>Service Income</t>
        </is>
      </c>
      <c r="H514" s="3" t="inlineStr">
        <is>
          <t>Checking – Operating</t>
        </is>
      </c>
      <c r="I514" s="33" t="n">
        <v>58836.3</v>
      </c>
      <c r="J514" s="13">
        <f>+J513+I514</f>
        <v>1409766.4</v>
      </c>
      <c r="K514" s="19">
        <f>+EOMONTH(B514,0)</f>
        <v>46142</v>
      </c>
      <c r="L514" s="3" t="inlineStr">
        <is>
          <t>Checking – Operating</t>
        </is>
      </c>
      <c r="M514" s="3" t="inlineStr">
        <is>
          <t>Balance Sheet</t>
        </is>
      </c>
    </row>
    <row r="515">
      <c r="B515" s="39" t="n">
        <v>46132</v>
      </c>
      <c r="C515" s="3" t="inlineStr">
        <is>
          <t>Deposit</t>
        </is>
      </c>
      <c r="D515" s="3" t="inlineStr"/>
      <c r="E515" s="3" t="inlineStr">
        <is>
          <t>Quayside Choice Senior Plan</t>
        </is>
      </c>
      <c r="F515" s="3" t="inlineStr">
        <is>
          <t>ORIG CO NAME:QUAYSIDE CHOICE SP ORIG ID:XXXXXX8234 DESC DATE:260420 CO ENTRY DESCR:HCCLAIMPMT SEC:CCD TRACE#:XXXXXXXX6646991 EED:260420 IND ID:</t>
        </is>
      </c>
      <c r="G515" s="3" t="inlineStr">
        <is>
          <t>Service Income</t>
        </is>
      </c>
      <c r="H515" s="3" t="inlineStr">
        <is>
          <t>Checking – Operating</t>
        </is>
      </c>
      <c r="I515" s="33" t="n">
        <v>27816.25</v>
      </c>
      <c r="J515" s="13">
        <f>+J514+I515</f>
        <v>1437582.65</v>
      </c>
      <c r="K515" s="19">
        <f>+EOMONTH(B515,0)</f>
        <v>46142</v>
      </c>
      <c r="L515" s="3" t="inlineStr">
        <is>
          <t>Checking – Operating</t>
        </is>
      </c>
      <c r="M515" s="3" t="inlineStr">
        <is>
          <t>Balance Sheet</t>
        </is>
      </c>
    </row>
    <row r="516">
      <c r="B516" s="39" t="n">
        <v>46132</v>
      </c>
      <c r="C516" s="3" t="inlineStr">
        <is>
          <t>Expense</t>
        </is>
      </c>
      <c r="D516" s="3" t="inlineStr"/>
      <c r="E516" s="3" t="inlineStr">
        <is>
          <t>Ledgerquill Billing SaaS</t>
        </is>
      </c>
      <c r="F516" s="3" t="inlineStr">
        <is>
          <t>Dues &amp; Subscriptions – April</t>
        </is>
      </c>
      <c r="G516" s="3" t="inlineStr">
        <is>
          <t>Dues &amp; Subscriptions</t>
        </is>
      </c>
      <c r="H516" s="3" t="inlineStr">
        <is>
          <t>Checking – Operating</t>
        </is>
      </c>
      <c r="I516" s="33" t="n">
        <v>-858.39</v>
      </c>
      <c r="J516" s="13">
        <f>+J515+I516</f>
        <v>1436724.26</v>
      </c>
      <c r="K516" s="19">
        <f>+EOMONTH(B516,0)</f>
        <v>46142</v>
      </c>
      <c r="L516" s="3" t="inlineStr">
        <is>
          <t>Checking – Operating</t>
        </is>
      </c>
      <c r="M516" s="3" t="inlineStr">
        <is>
          <t>Balance Sheet</t>
        </is>
      </c>
    </row>
    <row r="517">
      <c r="B517" s="39" t="n">
        <v>46132</v>
      </c>
      <c r="C517" s="3" t="inlineStr">
        <is>
          <t>Expense</t>
        </is>
      </c>
      <c r="D517" s="3" t="inlineStr"/>
      <c r="E517" s="3" t="inlineStr">
        <is>
          <t>Tessarand Payroll Services</t>
        </is>
      </c>
      <c r="F517" s="3" t="inlineStr">
        <is>
          <t>Recruitment – April</t>
        </is>
      </c>
      <c r="G517" s="3" t="inlineStr">
        <is>
          <t>Recruitment</t>
        </is>
      </c>
      <c r="H517" s="3" t="inlineStr">
        <is>
          <t>Checking – Operating</t>
        </is>
      </c>
      <c r="I517" s="33" t="n">
        <v>-1355.13</v>
      </c>
      <c r="J517" s="13">
        <f>+J516+I517</f>
        <v>1435369.13</v>
      </c>
      <c r="K517" s="19">
        <f>+EOMONTH(B517,0)</f>
        <v>46142</v>
      </c>
      <c r="L517" s="3" t="inlineStr">
        <is>
          <t>Checking – Operating</t>
        </is>
      </c>
      <c r="M517" s="3" t="inlineStr">
        <is>
          <t>Balance Sheet</t>
        </is>
      </c>
    </row>
    <row r="518">
      <c r="B518" s="39" t="n">
        <v>46133</v>
      </c>
      <c r="C518" s="3" t="inlineStr">
        <is>
          <t>Bill Payment (Check)</t>
        </is>
      </c>
      <c r="D518" s="3" t="inlineStr"/>
      <c r="E518" s="3" t="inlineStr">
        <is>
          <t>Lumenlease Equipment</t>
        </is>
      </c>
      <c r="F518" s="3" t="inlineStr">
        <is>
          <t>Lab Equipment – March</t>
        </is>
      </c>
      <c r="G518" s="3" t="inlineStr">
        <is>
          <t>Accounts Payable</t>
        </is>
      </c>
      <c r="H518" s="3" t="inlineStr">
        <is>
          <t>Checking – Operating</t>
        </is>
      </c>
      <c r="I518" s="33" t="n">
        <v>-3048.48</v>
      </c>
      <c r="J518" s="13">
        <f>+J517+I518</f>
        <v>1432320.65</v>
      </c>
      <c r="K518" s="19">
        <f>+EOMONTH(B518,0)</f>
        <v>46142</v>
      </c>
      <c r="L518" s="3" t="inlineStr">
        <is>
          <t>Checking – Operating</t>
        </is>
      </c>
      <c r="M518" s="3" t="inlineStr">
        <is>
          <t>Balance Sheet</t>
        </is>
      </c>
    </row>
    <row r="519">
      <c r="B519" s="39" t="n">
        <v>46133</v>
      </c>
      <c r="C519" s="3" t="inlineStr">
        <is>
          <t>Journal Entry</t>
        </is>
      </c>
      <c r="D519" s="3" t="inlineStr"/>
      <c r="E519" s="3" t="inlineStr">
        <is>
          <t>Tessarand Payroll Services</t>
        </is>
      </c>
      <c r="F519" s="3" t="inlineStr">
        <is>
          <t>Contractors – April</t>
        </is>
      </c>
      <c r="G519" s="3" t="inlineStr">
        <is>
          <t>Contractors</t>
        </is>
      </c>
      <c r="H519" s="3" t="inlineStr">
        <is>
          <t>Checking – Operating</t>
        </is>
      </c>
      <c r="I519" s="33" t="n">
        <v>-6600.99</v>
      </c>
      <c r="J519" s="13">
        <f>+J518+I519</f>
        <v>1425719.66</v>
      </c>
      <c r="K519" s="19">
        <f>+EOMONTH(B519,0)</f>
        <v>46142</v>
      </c>
      <c r="L519" s="3" t="inlineStr">
        <is>
          <t>Checking – Operating</t>
        </is>
      </c>
      <c r="M519" s="3" t="inlineStr">
        <is>
          <t>Balance Sheet</t>
        </is>
      </c>
    </row>
    <row r="520">
      <c r="B520" s="39" t="n">
        <v>46134</v>
      </c>
      <c r="C520" s="3" t="inlineStr">
        <is>
          <t>Expense</t>
        </is>
      </c>
      <c r="D520" s="3" t="inlineStr"/>
      <c r="E520" s="3" t="inlineStr">
        <is>
          <t>Consultant A</t>
        </is>
      </c>
      <c r="F520" s="3" t="inlineStr">
        <is>
          <t>Accounting Service – April</t>
        </is>
      </c>
      <c r="G520" s="3" t="inlineStr">
        <is>
          <t>Accounting Service</t>
        </is>
      </c>
      <c r="H520" s="3" t="inlineStr">
        <is>
          <t>Checking – Operating</t>
        </is>
      </c>
      <c r="I520" s="33" t="n">
        <v>-2964.13</v>
      </c>
      <c r="J520" s="13">
        <f>+J519+I520</f>
        <v>1422755.53</v>
      </c>
      <c r="K520" s="19">
        <f>+EOMONTH(B520,0)</f>
        <v>46142</v>
      </c>
      <c r="L520" s="3" t="inlineStr">
        <is>
          <t>Checking – Operating</t>
        </is>
      </c>
      <c r="M520" s="3" t="inlineStr">
        <is>
          <t>Balance Sheet</t>
        </is>
      </c>
    </row>
    <row r="521">
      <c r="B521" s="39" t="n">
        <v>46134</v>
      </c>
      <c r="C521" s="3" t="inlineStr">
        <is>
          <t>Expense</t>
        </is>
      </c>
      <c r="D521" s="3" t="inlineStr"/>
      <c r="E521" s="3" t="inlineStr"/>
      <c r="F521" s="3" t="inlineStr">
        <is>
          <t>Lab Credentialing – April</t>
        </is>
      </c>
      <c r="G521" s="3" t="inlineStr">
        <is>
          <t>Lab Credentialing</t>
        </is>
      </c>
      <c r="H521" s="3" t="inlineStr">
        <is>
          <t>Checking – Operating</t>
        </is>
      </c>
      <c r="I521" s="33" t="n">
        <v>-956.16</v>
      </c>
      <c r="J521" s="13">
        <f>+J520+I521</f>
        <v>1421799.37</v>
      </c>
      <c r="K521" s="19">
        <f>+EOMONTH(B521,0)</f>
        <v>46142</v>
      </c>
      <c r="L521" s="3" t="inlineStr">
        <is>
          <t>Checking – Operating</t>
        </is>
      </c>
      <c r="M521" s="3" t="inlineStr">
        <is>
          <t>Balance Sheet</t>
        </is>
      </c>
    </row>
    <row r="522">
      <c r="B522" s="39" t="n">
        <v>46134</v>
      </c>
      <c r="C522" s="3" t="inlineStr">
        <is>
          <t>Expense</t>
        </is>
      </c>
      <c r="D522" s="3" t="inlineStr"/>
      <c r="E522" s="3" t="inlineStr">
        <is>
          <t>Tessarand Payroll Services</t>
        </is>
      </c>
      <c r="F522" s="3" t="inlineStr">
        <is>
          <t>Sales and Marketing Expenses – April</t>
        </is>
      </c>
      <c r="G522" s="3" t="inlineStr">
        <is>
          <t>Sales and Marketing Expenses</t>
        </is>
      </c>
      <c r="H522" s="3" t="inlineStr">
        <is>
          <t>Checking – Operating</t>
        </is>
      </c>
      <c r="I522" s="33" t="n">
        <v>-11052.86</v>
      </c>
      <c r="J522" s="13">
        <f>+J521+I522</f>
        <v>1410746.51</v>
      </c>
      <c r="K522" s="19">
        <f>+EOMONTH(B522,0)</f>
        <v>46142</v>
      </c>
      <c r="L522" s="3" t="inlineStr">
        <is>
          <t>Checking – Operating</t>
        </is>
      </c>
      <c r="M522" s="3" t="inlineStr">
        <is>
          <t>Balance Sheet</t>
        </is>
      </c>
    </row>
    <row r="523">
      <c r="B523" s="39" t="n">
        <v>46134</v>
      </c>
      <c r="C523" s="3" t="inlineStr">
        <is>
          <t>Journal Entry</t>
        </is>
      </c>
      <c r="D523" s="3" t="inlineStr"/>
      <c r="E523" s="3" t="inlineStr">
        <is>
          <t>Vialtrace Lab Supplies Inc</t>
        </is>
      </c>
      <c r="F523" s="3" t="inlineStr">
        <is>
          <t>Office Supplies – April</t>
        </is>
      </c>
      <c r="G523" s="3" t="inlineStr">
        <is>
          <t>Office Supplies</t>
        </is>
      </c>
      <c r="H523" s="3" t="inlineStr">
        <is>
          <t>Checking – Operating</t>
        </is>
      </c>
      <c r="I523" s="33" t="n">
        <v>-1921.93</v>
      </c>
      <c r="J523" s="13">
        <f>+J522+I523</f>
        <v>1408824.58</v>
      </c>
      <c r="K523" s="19">
        <f>+EOMONTH(B523,0)</f>
        <v>46142</v>
      </c>
      <c r="L523" s="3" t="inlineStr">
        <is>
          <t>Checking – Operating</t>
        </is>
      </c>
      <c r="M523" s="3" t="inlineStr">
        <is>
          <t>Balance Sheet</t>
        </is>
      </c>
    </row>
    <row r="524">
      <c r="B524" s="39" t="n">
        <v>46134</v>
      </c>
      <c r="C524" s="3" t="inlineStr">
        <is>
          <t>Journal Entry</t>
        </is>
      </c>
      <c r="D524" s="3" t="inlineStr"/>
      <c r="E524" s="3" t="inlineStr"/>
      <c r="F524" s="3" t="inlineStr">
        <is>
          <t>Business Licenses and Permits – April</t>
        </is>
      </c>
      <c r="G524" s="3" t="inlineStr">
        <is>
          <t>Business Licenses and Permits</t>
        </is>
      </c>
      <c r="H524" s="3" t="inlineStr">
        <is>
          <t>Checking – Operating</t>
        </is>
      </c>
      <c r="I524" s="33" t="n">
        <v>-561.38</v>
      </c>
      <c r="J524" s="13">
        <f>+J523+I524</f>
        <v>1408263.2</v>
      </c>
      <c r="K524" s="19">
        <f>+EOMONTH(B524,0)</f>
        <v>46142</v>
      </c>
      <c r="L524" s="3" t="inlineStr">
        <is>
          <t>Checking – Operating</t>
        </is>
      </c>
      <c r="M524" s="3" t="inlineStr">
        <is>
          <t>Balance Sheet</t>
        </is>
      </c>
    </row>
    <row r="525">
      <c r="B525" s="39" t="n">
        <v>46134</v>
      </c>
      <c r="C525" s="3" t="inlineStr">
        <is>
          <t>Journal Entry</t>
        </is>
      </c>
      <c r="D525" s="3" t="inlineStr"/>
      <c r="E525" s="3" t="inlineStr"/>
      <c r="F525" s="3" t="inlineStr">
        <is>
          <t>Travel Expense – April</t>
        </is>
      </c>
      <c r="G525" s="3" t="inlineStr">
        <is>
          <t>Travel Expense</t>
        </is>
      </c>
      <c r="H525" s="3" t="inlineStr">
        <is>
          <t>Checking – Operating</t>
        </is>
      </c>
      <c r="I525" s="33" t="n">
        <v>-1120.41</v>
      </c>
      <c r="J525" s="13">
        <f>+J524+I525</f>
        <v>1407142.79</v>
      </c>
      <c r="K525" s="19">
        <f>+EOMONTH(B525,0)</f>
        <v>46142</v>
      </c>
      <c r="L525" s="3" t="inlineStr">
        <is>
          <t>Checking – Operating</t>
        </is>
      </c>
      <c r="M525" s="3" t="inlineStr">
        <is>
          <t>Balance Sheet</t>
        </is>
      </c>
    </row>
    <row r="526">
      <c r="B526" s="39" t="n">
        <v>46135</v>
      </c>
      <c r="C526" s="3" t="inlineStr">
        <is>
          <t>Bill Payment (Check)</t>
        </is>
      </c>
      <c r="D526" s="3" t="inlineStr"/>
      <c r="E526" s="3" t="inlineStr">
        <is>
          <t>Lumenlease Equipment</t>
        </is>
      </c>
      <c r="F526" s="3" t="inlineStr">
        <is>
          <t>Equipment Lease – April</t>
        </is>
      </c>
      <c r="G526" s="3" t="inlineStr">
        <is>
          <t>Accounts Payable</t>
        </is>
      </c>
      <c r="H526" s="3" t="inlineStr">
        <is>
          <t>Checking – Operating</t>
        </is>
      </c>
      <c r="I526" s="33" t="n">
        <v>-2899.75</v>
      </c>
      <c r="J526" s="13">
        <f>+J525+I526</f>
        <v>1404243.04</v>
      </c>
      <c r="K526" s="19">
        <f>+EOMONTH(B526,0)</f>
        <v>46142</v>
      </c>
      <c r="L526" s="3" t="inlineStr">
        <is>
          <t>Checking – Operating</t>
        </is>
      </c>
      <c r="M526" s="3" t="inlineStr">
        <is>
          <t>Balance Sheet</t>
        </is>
      </c>
    </row>
    <row r="527">
      <c r="B527" s="39" t="n">
        <v>46135</v>
      </c>
      <c r="C527" s="3" t="inlineStr">
        <is>
          <t>Expense</t>
        </is>
      </c>
      <c r="D527" s="3" t="inlineStr"/>
      <c r="E527" s="3" t="inlineStr">
        <is>
          <t>Reagentix Corp</t>
        </is>
      </c>
      <c r="F527" s="3" t="inlineStr">
        <is>
          <t>QAQC – April</t>
        </is>
      </c>
      <c r="G527" s="3" t="inlineStr">
        <is>
          <t>QAQC</t>
        </is>
      </c>
      <c r="H527" s="3" t="inlineStr">
        <is>
          <t>Checking – Operating</t>
        </is>
      </c>
      <c r="I527" s="33" t="n">
        <v>-1548.28</v>
      </c>
      <c r="J527" s="13">
        <f>+J526+I527</f>
        <v>1402694.76</v>
      </c>
      <c r="K527" s="19">
        <f>+EOMONTH(B527,0)</f>
        <v>46142</v>
      </c>
      <c r="L527" s="3" t="inlineStr">
        <is>
          <t>Checking – Operating</t>
        </is>
      </c>
      <c r="M527" s="3" t="inlineStr">
        <is>
          <t>Balance Sheet</t>
        </is>
      </c>
    </row>
    <row r="528">
      <c r="B528" s="39" t="n">
        <v>46135</v>
      </c>
      <c r="C528" s="3" t="inlineStr">
        <is>
          <t>Expense</t>
        </is>
      </c>
      <c r="D528" s="3" t="inlineStr"/>
      <c r="E528" s="3" t="inlineStr">
        <is>
          <t>Vialtrace Lab Supplies Inc</t>
        </is>
      </c>
      <c r="F528" s="3" t="inlineStr">
        <is>
          <t>QAQC – April</t>
        </is>
      </c>
      <c r="G528" s="3" t="inlineStr">
        <is>
          <t>QAQC</t>
        </is>
      </c>
      <c r="H528" s="3" t="inlineStr">
        <is>
          <t>Checking – Operating</t>
        </is>
      </c>
      <c r="I528" s="33" t="n">
        <v>-1951.72</v>
      </c>
      <c r="J528" s="13">
        <f>+J527+I528</f>
        <v>1400743.04</v>
      </c>
      <c r="K528" s="19">
        <f>+EOMONTH(B528,0)</f>
        <v>46142</v>
      </c>
      <c r="L528" s="3" t="inlineStr">
        <is>
          <t>Checking – Operating</t>
        </is>
      </c>
      <c r="M528" s="3" t="inlineStr">
        <is>
          <t>Balance Sheet</t>
        </is>
      </c>
    </row>
    <row r="529">
      <c r="B529" s="39" t="n">
        <v>46136</v>
      </c>
      <c r="C529" s="3" t="inlineStr">
        <is>
          <t>Bill Payment (Check)</t>
        </is>
      </c>
      <c r="D529" s="3" t="inlineStr"/>
      <c r="E529" s="3" t="inlineStr">
        <is>
          <t>Reference Lab A</t>
        </is>
      </c>
      <c r="F529" s="3" t="inlineStr">
        <is>
          <t>Send-out testing – April</t>
        </is>
      </c>
      <c r="G529" s="3" t="inlineStr">
        <is>
          <t>Accounts Payable</t>
        </is>
      </c>
      <c r="H529" s="3" t="inlineStr">
        <is>
          <t>Checking – Operating</t>
        </is>
      </c>
      <c r="I529" s="33" t="n">
        <v>-32507.15</v>
      </c>
      <c r="J529" s="13">
        <f>+J528+I529</f>
        <v>1368235.89</v>
      </c>
      <c r="K529" s="19">
        <f>+EOMONTH(B529,0)</f>
        <v>46142</v>
      </c>
      <c r="L529" s="3" t="inlineStr">
        <is>
          <t>Checking – Operating</t>
        </is>
      </c>
      <c r="M529" s="3" t="inlineStr">
        <is>
          <t>Balance Sheet</t>
        </is>
      </c>
    </row>
    <row r="530">
      <c r="B530" s="39" t="n">
        <v>46136</v>
      </c>
      <c r="C530" s="3" t="inlineStr">
        <is>
          <t>Deposit</t>
        </is>
      </c>
      <c r="D530" s="3" t="inlineStr"/>
      <c r="E530" s="3" t="inlineStr">
        <is>
          <t>Silvermoss Senior Living</t>
        </is>
      </c>
      <c r="F530" s="3" t="inlineStr">
        <is>
          <t>ORIG CO NAME:SILVERMOSS SL ORIG ID:XXXXXX2515 DESC DATE:260424 CO ENTRY DESCR:HCCLAIMPMT SEC:CCD TRACE#:XXXXXXXX3950990 EED:260424 IND ID:</t>
        </is>
      </c>
      <c r="G530" s="3" t="inlineStr">
        <is>
          <t>Service Income</t>
        </is>
      </c>
      <c r="H530" s="3" t="inlineStr">
        <is>
          <t>Checking – Operating</t>
        </is>
      </c>
      <c r="I530" s="33" t="n">
        <v>34948.17</v>
      </c>
      <c r="J530" s="13">
        <f>+J529+I530</f>
        <v>1403184.06</v>
      </c>
      <c r="K530" s="19">
        <f>+EOMONTH(B530,0)</f>
        <v>46142</v>
      </c>
      <c r="L530" s="3" t="inlineStr">
        <is>
          <t>Checking – Operating</t>
        </is>
      </c>
      <c r="M530" s="3" t="inlineStr">
        <is>
          <t>Balance Sheet</t>
        </is>
      </c>
    </row>
    <row r="531">
      <c r="B531" s="39" t="n">
        <v>46136</v>
      </c>
      <c r="C531" s="3" t="inlineStr">
        <is>
          <t>Expense</t>
        </is>
      </c>
      <c r="D531" s="3" t="inlineStr"/>
      <c r="E531" s="3" t="inlineStr"/>
      <c r="F531" s="3" t="inlineStr">
        <is>
          <t>Meals and Entertainment – April</t>
        </is>
      </c>
      <c r="G531" s="3" t="inlineStr">
        <is>
          <t>Meals and Entertainment</t>
        </is>
      </c>
      <c r="H531" s="3" t="inlineStr">
        <is>
          <t>Checking – Operating</t>
        </is>
      </c>
      <c r="I531" s="33" t="n">
        <v>-752.61</v>
      </c>
      <c r="J531" s="13">
        <f>+J530+I531</f>
        <v>1402431.45</v>
      </c>
      <c r="K531" s="19">
        <f>+EOMONTH(B531,0)</f>
        <v>46142</v>
      </c>
      <c r="L531" s="3" t="inlineStr">
        <is>
          <t>Checking – Operating</t>
        </is>
      </c>
      <c r="M531" s="3" t="inlineStr">
        <is>
          <t>Balance Sheet</t>
        </is>
      </c>
    </row>
    <row r="532">
      <c r="B532" s="39" t="n">
        <v>46136</v>
      </c>
      <c r="C532" s="3" t="inlineStr">
        <is>
          <t>Payroll Check</t>
        </is>
      </c>
      <c r="D532" s="3" t="inlineStr"/>
      <c r="E532" s="3" t="inlineStr">
        <is>
          <t>Tessarand Payroll Services</t>
        </is>
      </c>
      <c r="F532" s="3" t="inlineStr">
        <is>
          <t>Payroll taxes – biweekly</t>
        </is>
      </c>
      <c r="G532" s="3" t="inlineStr">
        <is>
          <t>Payroll Taxes</t>
        </is>
      </c>
      <c r="H532" s="3" t="inlineStr">
        <is>
          <t>Checking – Operating</t>
        </is>
      </c>
      <c r="I532" s="33" t="n">
        <v>-1350.46</v>
      </c>
      <c r="J532" s="13">
        <f>+J531+I532</f>
        <v>1401080.99</v>
      </c>
      <c r="K532" s="19">
        <f>+EOMONTH(B532,0)</f>
        <v>46142</v>
      </c>
      <c r="L532" s="3" t="inlineStr">
        <is>
          <t>Checking – Operating</t>
        </is>
      </c>
      <c r="M532" s="3" t="inlineStr">
        <is>
          <t>Balance Sheet</t>
        </is>
      </c>
    </row>
    <row r="533">
      <c r="B533" s="39" t="n">
        <v>46137</v>
      </c>
      <c r="C533" s="3" t="inlineStr">
        <is>
          <t>Bill Payment (Check)</t>
        </is>
      </c>
      <c r="D533" s="3" t="inlineStr"/>
      <c r="E533" s="3" t="inlineStr">
        <is>
          <t>Vialtrace Lab Supplies Inc</t>
        </is>
      </c>
      <c r="F533" s="3" t="inlineStr">
        <is>
          <t>Lab Expenses – March</t>
        </is>
      </c>
      <c r="G533" s="3" t="inlineStr">
        <is>
          <t>Accounts Payable</t>
        </is>
      </c>
      <c r="H533" s="3" t="inlineStr">
        <is>
          <t>Checking – Operating</t>
        </is>
      </c>
      <c r="I533" s="33" t="n">
        <v>-7995.25</v>
      </c>
      <c r="J533" s="13">
        <f>+J532+I533</f>
        <v>1393085.74</v>
      </c>
      <c r="K533" s="19">
        <f>+EOMONTH(B533,0)</f>
        <v>46142</v>
      </c>
      <c r="L533" s="3" t="inlineStr">
        <is>
          <t>Checking – Operating</t>
        </is>
      </c>
      <c r="M533" s="3" t="inlineStr">
        <is>
          <t>Balance Sheet</t>
        </is>
      </c>
    </row>
    <row r="534">
      <c r="B534" s="39" t="n">
        <v>46137</v>
      </c>
      <c r="C534" s="3" t="inlineStr">
        <is>
          <t>Bill Payment (Check)</t>
        </is>
      </c>
      <c r="D534" s="3" t="inlineStr"/>
      <c r="E534" s="3" t="inlineStr">
        <is>
          <t>Vialtrace Lab Supplies Inc</t>
        </is>
      </c>
      <c r="F534" s="3" t="inlineStr">
        <is>
          <t>Lab Expenses – March</t>
        </is>
      </c>
      <c r="G534" s="3" t="inlineStr">
        <is>
          <t>Accounts Payable</t>
        </is>
      </c>
      <c r="H534" s="3" t="inlineStr">
        <is>
          <t>Checking – Operating</t>
        </is>
      </c>
      <c r="I534" s="33" t="n">
        <v>-8073.76</v>
      </c>
      <c r="J534" s="13">
        <f>+J533+I534</f>
        <v>1385011.98</v>
      </c>
      <c r="K534" s="19">
        <f>+EOMONTH(B534,0)</f>
        <v>46142</v>
      </c>
      <c r="L534" s="3" t="inlineStr">
        <is>
          <t>Checking – Operating</t>
        </is>
      </c>
      <c r="M534" s="3" t="inlineStr">
        <is>
          <t>Balance Sheet</t>
        </is>
      </c>
    </row>
    <row r="535">
      <c r="B535" s="39" t="n">
        <v>46137</v>
      </c>
      <c r="C535" s="3" t="inlineStr">
        <is>
          <t>Bill Payment (Check)</t>
        </is>
      </c>
      <c r="D535" s="3" t="inlineStr"/>
      <c r="E535" s="3" t="inlineStr">
        <is>
          <t>Reference Lab A</t>
        </is>
      </c>
      <c r="F535" s="3" t="inlineStr">
        <is>
          <t>Send-out testing – March</t>
        </is>
      </c>
      <c r="G535" s="3" t="inlineStr">
        <is>
          <t>Accounts Payable</t>
        </is>
      </c>
      <c r="H535" s="3" t="inlineStr">
        <is>
          <t>Checking – Operating</t>
        </is>
      </c>
      <c r="I535" s="33" t="n">
        <v>-22756.97</v>
      </c>
      <c r="J535" s="13">
        <f>+J534+I535</f>
        <v>1362255.01</v>
      </c>
      <c r="K535" s="19">
        <f>+EOMONTH(B535,0)</f>
        <v>46142</v>
      </c>
      <c r="L535" s="3" t="inlineStr">
        <is>
          <t>Checking – Operating</t>
        </is>
      </c>
      <c r="M535" s="3" t="inlineStr">
        <is>
          <t>Balance Sheet</t>
        </is>
      </c>
    </row>
    <row r="536">
      <c r="B536" s="39" t="n">
        <v>46137</v>
      </c>
      <c r="C536" s="3" t="inlineStr">
        <is>
          <t>Bill Payment (Check)</t>
        </is>
      </c>
      <c r="D536" s="3" t="inlineStr"/>
      <c r="E536" s="3" t="inlineStr">
        <is>
          <t>Northmoor Waste Services</t>
        </is>
      </c>
      <c r="F536" s="3" t="inlineStr">
        <is>
          <t>Waste Removal – April</t>
        </is>
      </c>
      <c r="G536" s="3" t="inlineStr">
        <is>
          <t>Accounts Payable</t>
        </is>
      </c>
      <c r="H536" s="3" t="inlineStr">
        <is>
          <t>Checking – Operating</t>
        </is>
      </c>
      <c r="I536" s="33" t="n">
        <v>-491.56</v>
      </c>
      <c r="J536" s="13">
        <f>+J535+I536</f>
        <v>1361763.45</v>
      </c>
      <c r="K536" s="19">
        <f>+EOMONTH(B536,0)</f>
        <v>46142</v>
      </c>
      <c r="L536" s="3" t="inlineStr">
        <is>
          <t>Checking – Operating</t>
        </is>
      </c>
      <c r="M536" s="3" t="inlineStr">
        <is>
          <t>Balance Sheet</t>
        </is>
      </c>
    </row>
    <row r="537">
      <c r="B537" s="39" t="n">
        <v>46137</v>
      </c>
      <c r="C537" s="3" t="inlineStr">
        <is>
          <t>Credit Card Expense</t>
        </is>
      </c>
      <c r="D537" s="3" t="inlineStr"/>
      <c r="E537" s="3" t="inlineStr"/>
      <c r="F537" s="3" t="inlineStr">
        <is>
          <t>Interest – equipment note</t>
        </is>
      </c>
      <c r="G537" s="3" t="inlineStr">
        <is>
          <t>Interest Expense</t>
        </is>
      </c>
      <c r="H537" s="3" t="inlineStr">
        <is>
          <t>Checking – Operating</t>
        </is>
      </c>
      <c r="I537" s="33" t="n">
        <v>-1886.19</v>
      </c>
      <c r="J537" s="13">
        <f>+J536+I537</f>
        <v>1359877.26</v>
      </c>
      <c r="K537" s="19">
        <f>+EOMONTH(B537,0)</f>
        <v>46142</v>
      </c>
      <c r="L537" s="3" t="inlineStr">
        <is>
          <t>Checking – Operating</t>
        </is>
      </c>
      <c r="M537" s="3" t="inlineStr">
        <is>
          <t>Balance Sheet</t>
        </is>
      </c>
    </row>
    <row r="538">
      <c r="B538" s="39" t="n">
        <v>46137</v>
      </c>
      <c r="C538" s="3" t="inlineStr">
        <is>
          <t>Credit Card Expense</t>
        </is>
      </c>
      <c r="D538" s="3" t="inlineStr"/>
      <c r="E538" s="3" t="inlineStr">
        <is>
          <t>Lumenlease Equipment</t>
        </is>
      </c>
      <c r="F538" s="3" t="inlineStr">
        <is>
          <t>Repairs and Maintenance – April</t>
        </is>
      </c>
      <c r="G538" s="3" t="inlineStr">
        <is>
          <t>Repairs and Maintenance</t>
        </is>
      </c>
      <c r="H538" s="3" t="inlineStr">
        <is>
          <t>Checking – Operating</t>
        </is>
      </c>
      <c r="I538" s="33" t="n">
        <v>-5748.6</v>
      </c>
      <c r="J538" s="13">
        <f>+J537+I538</f>
        <v>1354128.66</v>
      </c>
      <c r="K538" s="19">
        <f>+EOMONTH(B538,0)</f>
        <v>46142</v>
      </c>
      <c r="L538" s="3" t="inlineStr">
        <is>
          <t>Checking – Operating</t>
        </is>
      </c>
      <c r="M538" s="3" t="inlineStr">
        <is>
          <t>Balance Sheet</t>
        </is>
      </c>
    </row>
    <row r="539">
      <c r="B539" s="39" t="n">
        <v>46137</v>
      </c>
      <c r="C539" s="3" t="inlineStr">
        <is>
          <t>Deposit</t>
        </is>
      </c>
      <c r="D539" s="3" t="inlineStr"/>
      <c r="E539" s="3" t="inlineStr">
        <is>
          <t>Cobaltmere Health</t>
        </is>
      </c>
      <c r="F539" s="3" t="inlineStr">
        <is>
          <t>ORIG CO NAME:COBALTMERE HEALTH ORIG ID:XXXXXX4023 DESC DATE:260425 CO ENTRY DESCR:HCCLAIMPMT SEC:CCD TRACE#:XXXXXXXX3507830 EED:260425 IND ID:</t>
        </is>
      </c>
      <c r="G539" s="3" t="inlineStr">
        <is>
          <t>Service Income</t>
        </is>
      </c>
      <c r="H539" s="3" t="inlineStr">
        <is>
          <t>Checking – Operating</t>
        </is>
      </c>
      <c r="I539" s="33" t="n">
        <v>17485.99</v>
      </c>
      <c r="J539" s="13">
        <f>+J538+I539</f>
        <v>1371614.65</v>
      </c>
      <c r="K539" s="19">
        <f>+EOMONTH(B539,0)</f>
        <v>46142</v>
      </c>
      <c r="L539" s="3" t="inlineStr">
        <is>
          <t>Checking – Operating</t>
        </is>
      </c>
      <c r="M539" s="3" t="inlineStr">
        <is>
          <t>Balance Sheet</t>
        </is>
      </c>
    </row>
    <row r="540">
      <c r="B540" s="39" t="n">
        <v>46137</v>
      </c>
      <c r="C540" s="3" t="inlineStr">
        <is>
          <t>Expense</t>
        </is>
      </c>
      <c r="D540" s="3" t="inlineStr"/>
      <c r="E540" s="3" t="inlineStr">
        <is>
          <t>Tessarand Payroll Services</t>
        </is>
      </c>
      <c r="F540" s="3" t="inlineStr">
        <is>
          <t>Sales and Marketing Expenses – April</t>
        </is>
      </c>
      <c r="G540" s="3" t="inlineStr">
        <is>
          <t>Sales and Marketing Expenses</t>
        </is>
      </c>
      <c r="H540" s="3" t="inlineStr">
        <is>
          <t>Checking – Operating</t>
        </is>
      </c>
      <c r="I540" s="33" t="n">
        <v>-16926.41</v>
      </c>
      <c r="J540" s="13">
        <f>+J539+I540</f>
        <v>1354688.24</v>
      </c>
      <c r="K540" s="19">
        <f>+EOMONTH(B540,0)</f>
        <v>46142</v>
      </c>
      <c r="L540" s="3" t="inlineStr">
        <is>
          <t>Checking – Operating</t>
        </is>
      </c>
      <c r="M540" s="3" t="inlineStr">
        <is>
          <t>Balance Sheet</t>
        </is>
      </c>
    </row>
    <row r="541">
      <c r="B541" s="39" t="n">
        <v>46137</v>
      </c>
      <c r="C541" s="3" t="inlineStr">
        <is>
          <t>Payroll Check</t>
        </is>
      </c>
      <c r="D541" s="3" t="inlineStr"/>
      <c r="E541" s="3" t="inlineStr">
        <is>
          <t>Tessarand Payroll Services</t>
        </is>
      </c>
      <c r="F541" s="3" t="inlineStr">
        <is>
          <t>Payroll – biweekly</t>
        </is>
      </c>
      <c r="G541" s="3" t="inlineStr">
        <is>
          <t>Salaries and Wages</t>
        </is>
      </c>
      <c r="H541" s="3" t="inlineStr">
        <is>
          <t>Checking – Operating</t>
        </is>
      </c>
      <c r="I541" s="33" t="n">
        <v>-149911.46</v>
      </c>
      <c r="J541" s="13">
        <f>+J540+I541</f>
        <v>1204776.78</v>
      </c>
      <c r="K541" s="19">
        <f>+EOMONTH(B541,0)</f>
        <v>46142</v>
      </c>
      <c r="L541" s="3" t="inlineStr">
        <is>
          <t>Checking – Operating</t>
        </is>
      </c>
      <c r="M541" s="3" t="inlineStr">
        <is>
          <t>Balance Sheet</t>
        </is>
      </c>
    </row>
    <row r="542">
      <c r="B542" s="39" t="n">
        <v>46138</v>
      </c>
      <c r="C542" s="3" t="inlineStr">
        <is>
          <t>Credit Card Expense</t>
        </is>
      </c>
      <c r="D542" s="3" t="inlineStr"/>
      <c r="E542" s="3" t="inlineStr">
        <is>
          <t>Swiftmere Courier</t>
        </is>
      </c>
      <c r="F542" s="3" t="inlineStr">
        <is>
          <t>Postage and Delivery – April</t>
        </is>
      </c>
      <c r="G542" s="3" t="inlineStr">
        <is>
          <t>Postage and Delivery</t>
        </is>
      </c>
      <c r="H542" s="3" t="inlineStr">
        <is>
          <t>Checking – Operating</t>
        </is>
      </c>
      <c r="I542" s="33" t="n">
        <v>-532.1900000000001</v>
      </c>
      <c r="J542" s="13">
        <f>+J541+I542</f>
        <v>1204244.59</v>
      </c>
      <c r="K542" s="19">
        <f>+EOMONTH(B542,0)</f>
        <v>46142</v>
      </c>
      <c r="L542" s="3" t="inlineStr">
        <is>
          <t>Checking – Operating</t>
        </is>
      </c>
      <c r="M542" s="3" t="inlineStr">
        <is>
          <t>Balance Sheet</t>
        </is>
      </c>
    </row>
    <row r="543">
      <c r="B543" s="39" t="n">
        <v>46139</v>
      </c>
      <c r="C543" s="3" t="inlineStr">
        <is>
          <t>Bill Payment (Check)</t>
        </is>
      </c>
      <c r="D543" s="3" t="inlineStr"/>
      <c r="E543" s="3" t="inlineStr">
        <is>
          <t>Reference Lab A</t>
        </is>
      </c>
      <c r="F543" s="3" t="inlineStr">
        <is>
          <t>Send-out testing – March</t>
        </is>
      </c>
      <c r="G543" s="3" t="inlineStr">
        <is>
          <t>Accounts Payable</t>
        </is>
      </c>
      <c r="H543" s="3" t="inlineStr">
        <is>
          <t>Checking – Operating</t>
        </is>
      </c>
      <c r="I543" s="33" t="n">
        <v>-16837.17</v>
      </c>
      <c r="J543" s="13">
        <f>+J542+I543</f>
        <v>1187407.42</v>
      </c>
      <c r="K543" s="19">
        <f>+EOMONTH(B543,0)</f>
        <v>46142</v>
      </c>
      <c r="L543" s="3" t="inlineStr">
        <is>
          <t>Checking – Operating</t>
        </is>
      </c>
      <c r="M543" s="3" t="inlineStr">
        <is>
          <t>Balance Sheet</t>
        </is>
      </c>
    </row>
    <row r="544">
      <c r="B544" s="39" t="n">
        <v>46139</v>
      </c>
      <c r="C544" s="3" t="inlineStr">
        <is>
          <t>Bill Payment (Check)</t>
        </is>
      </c>
      <c r="D544" s="3" t="inlineStr"/>
      <c r="E544" s="3" t="inlineStr">
        <is>
          <t>Reagentix Corp</t>
        </is>
      </c>
      <c r="F544" s="3" t="inlineStr">
        <is>
          <t>Lab supplies PO# F2116</t>
        </is>
      </c>
      <c r="G544" s="3" t="inlineStr">
        <is>
          <t>Accounts Payable</t>
        </is>
      </c>
      <c r="H544" s="3" t="inlineStr">
        <is>
          <t>Checking – Operating</t>
        </is>
      </c>
      <c r="I544" s="33" t="n">
        <v>-13053.71</v>
      </c>
      <c r="J544" s="13">
        <f>+J543+I544</f>
        <v>1174353.71</v>
      </c>
      <c r="K544" s="19">
        <f>+EOMONTH(B544,0)</f>
        <v>46142</v>
      </c>
      <c r="L544" s="3" t="inlineStr">
        <is>
          <t>Checking – Operating</t>
        </is>
      </c>
      <c r="M544" s="3" t="inlineStr">
        <is>
          <t>Balance Sheet</t>
        </is>
      </c>
    </row>
    <row r="545">
      <c r="B545" s="39" t="n">
        <v>46139</v>
      </c>
      <c r="C545" s="3" t="inlineStr">
        <is>
          <t>Expense</t>
        </is>
      </c>
      <c r="D545" s="3" t="inlineStr"/>
      <c r="E545" s="3" t="inlineStr"/>
      <c r="F545" s="3" t="inlineStr">
        <is>
          <t>Travel Expense – April</t>
        </is>
      </c>
      <c r="G545" s="3" t="inlineStr">
        <is>
          <t>Travel Expense</t>
        </is>
      </c>
      <c r="H545" s="3" t="inlineStr">
        <is>
          <t>Checking – Operating</t>
        </is>
      </c>
      <c r="I545" s="33" t="n">
        <v>-1099.59</v>
      </c>
      <c r="J545" s="13">
        <f>+J544+I545</f>
        <v>1173254.12</v>
      </c>
      <c r="K545" s="19">
        <f>+EOMONTH(B545,0)</f>
        <v>46142</v>
      </c>
      <c r="L545" s="3" t="inlineStr">
        <is>
          <t>Checking – Operating</t>
        </is>
      </c>
      <c r="M545" s="3" t="inlineStr">
        <is>
          <t>Balance Sheet</t>
        </is>
      </c>
    </row>
    <row r="546">
      <c r="B546" s="39" t="n">
        <v>46140</v>
      </c>
      <c r="C546" s="3" t="inlineStr">
        <is>
          <t>Bill Payment (Check)</t>
        </is>
      </c>
      <c r="D546" s="3" t="inlineStr"/>
      <c r="E546" s="3" t="inlineStr">
        <is>
          <t>Vialtrace Lab Supplies Inc</t>
        </is>
      </c>
      <c r="F546" s="3" t="inlineStr">
        <is>
          <t>Lab supplies PO# F2267</t>
        </is>
      </c>
      <c r="G546" s="3" t="inlineStr">
        <is>
          <t>Accounts Payable</t>
        </is>
      </c>
      <c r="H546" s="3" t="inlineStr">
        <is>
          <t>Checking – Operating</t>
        </is>
      </c>
      <c r="I546" s="33" t="n">
        <v>-30112.16</v>
      </c>
      <c r="J546" s="13">
        <f>+J545+I546</f>
        <v>1143141.96</v>
      </c>
      <c r="K546" s="19">
        <f>+EOMONTH(B546,0)</f>
        <v>46142</v>
      </c>
      <c r="L546" s="3" t="inlineStr">
        <is>
          <t>Checking – Operating</t>
        </is>
      </c>
      <c r="M546" s="3" t="inlineStr">
        <is>
          <t>Balance Sheet</t>
        </is>
      </c>
    </row>
    <row r="547">
      <c r="B547" s="39" t="n">
        <v>46140</v>
      </c>
      <c r="C547" s="3" t="inlineStr">
        <is>
          <t>Bill Payment (Check)</t>
        </is>
      </c>
      <c r="D547" s="3" t="inlineStr"/>
      <c r="E547" s="3" t="inlineStr">
        <is>
          <t>Tarrowmere Mutual Insurance</t>
        </is>
      </c>
      <c r="F547" s="3" t="inlineStr">
        <is>
          <t>Premium installment</t>
        </is>
      </c>
      <c r="G547" s="3" t="inlineStr">
        <is>
          <t>Accounts Payable</t>
        </is>
      </c>
      <c r="H547" s="3" t="inlineStr">
        <is>
          <t>Checking – Operating</t>
        </is>
      </c>
      <c r="I547" s="33" t="n">
        <v>-8570.07</v>
      </c>
      <c r="J547" s="13">
        <f>+J546+I547</f>
        <v>1134571.89</v>
      </c>
      <c r="K547" s="19">
        <f>+EOMONTH(B547,0)</f>
        <v>46142</v>
      </c>
      <c r="L547" s="3" t="inlineStr">
        <is>
          <t>Checking – Operating</t>
        </is>
      </c>
      <c r="M547" s="3" t="inlineStr">
        <is>
          <t>Balance Sheet</t>
        </is>
      </c>
    </row>
    <row r="548">
      <c r="B548" s="39" t="n">
        <v>46140</v>
      </c>
      <c r="C548" s="3" t="inlineStr">
        <is>
          <t>Deposit</t>
        </is>
      </c>
      <c r="D548" s="3" t="inlineStr"/>
      <c r="E548" s="3" t="inlineStr">
        <is>
          <t>Marrowby Mutual</t>
        </is>
      </c>
      <c r="F548" s="3" t="inlineStr">
        <is>
          <t>ORIG CO NAME:MARROWBY MUTUAL ORIG ID:XXXXXX8012 DESC DATE:260428 CO ENTRY DESCR:HCCLAIMPMT SEC:CCD TRACE#:XXXXXXXX8624597 EED:260428 IND ID:</t>
        </is>
      </c>
      <c r="G548" s="3" t="inlineStr">
        <is>
          <t>Service Income</t>
        </is>
      </c>
      <c r="H548" s="3" t="inlineStr">
        <is>
          <t>Checking – Operating</t>
        </is>
      </c>
      <c r="I548" s="33" t="n">
        <v>63779.34</v>
      </c>
      <c r="J548" s="13">
        <f>+J547+I548</f>
        <v>1198351.23</v>
      </c>
      <c r="K548" s="19">
        <f>+EOMONTH(B548,0)</f>
        <v>46142</v>
      </c>
      <c r="L548" s="3" t="inlineStr">
        <is>
          <t>Checking – Operating</t>
        </is>
      </c>
      <c r="M548" s="3" t="inlineStr">
        <is>
          <t>Balance Sheet</t>
        </is>
      </c>
    </row>
    <row r="549">
      <c r="B549" s="39" t="n">
        <v>46140</v>
      </c>
      <c r="C549" s="3" t="inlineStr">
        <is>
          <t>Deposit</t>
        </is>
      </c>
      <c r="D549" s="3" t="inlineStr"/>
      <c r="E549" s="3" t="inlineStr">
        <is>
          <t>Lanternway Benefits</t>
        </is>
      </c>
      <c r="F549" s="3" t="inlineStr">
        <is>
          <t>ORIG CO NAME:LANTERNWAY BEN ORIG ID:XXXXXX1467 DESC DATE:260428 CO ENTRY DESCR:HCCLAIMPMT SEC:CCD TRACE#:XXXXXXXX7058175 EED:260428 IND ID:</t>
        </is>
      </c>
      <c r="G549" s="3" t="inlineStr">
        <is>
          <t>Service Income</t>
        </is>
      </c>
      <c r="H549" s="3" t="inlineStr">
        <is>
          <t>Checking – Operating</t>
        </is>
      </c>
      <c r="I549" s="33" t="n">
        <v>68396.92999999999</v>
      </c>
      <c r="J549" s="13">
        <f>+J548+I549</f>
        <v>1266748.16</v>
      </c>
      <c r="K549" s="19">
        <f>+EOMONTH(B549,0)</f>
        <v>46142</v>
      </c>
      <c r="L549" s="3" t="inlineStr">
        <is>
          <t>Checking – Operating</t>
        </is>
      </c>
      <c r="M549" s="3" t="inlineStr">
        <is>
          <t>Balance Sheet</t>
        </is>
      </c>
    </row>
    <row r="550">
      <c r="B550" s="39" t="n">
        <v>46140</v>
      </c>
      <c r="C550" s="3" t="inlineStr">
        <is>
          <t>Expense</t>
        </is>
      </c>
      <c r="D550" s="3" t="inlineStr"/>
      <c r="E550" s="3" t="inlineStr">
        <is>
          <t>Ledgerquill Billing SaaS</t>
        </is>
      </c>
      <c r="F550" s="3" t="inlineStr">
        <is>
          <t>Dues &amp; Subscriptions – April</t>
        </is>
      </c>
      <c r="G550" s="3" t="inlineStr">
        <is>
          <t>Dues &amp; Subscriptions</t>
        </is>
      </c>
      <c r="H550" s="3" t="inlineStr">
        <is>
          <t>Checking – Operating</t>
        </is>
      </c>
      <c r="I550" s="33" t="n">
        <v>-841.61</v>
      </c>
      <c r="J550" s="13">
        <f>+J549+I550</f>
        <v>1265906.55</v>
      </c>
      <c r="K550" s="19">
        <f>+EOMONTH(B550,0)</f>
        <v>46142</v>
      </c>
      <c r="L550" s="3" t="inlineStr">
        <is>
          <t>Checking – Operating</t>
        </is>
      </c>
      <c r="M550" s="3" t="inlineStr">
        <is>
          <t>Balance Sheet</t>
        </is>
      </c>
    </row>
    <row r="551">
      <c r="B551" s="39" t="n">
        <v>46141</v>
      </c>
      <c r="C551" s="3" t="inlineStr">
        <is>
          <t>Bill Payment (Check)</t>
        </is>
      </c>
      <c r="D551" s="3" t="inlineStr"/>
      <c r="E551" s="3" t="inlineStr">
        <is>
          <t>Reagentix Corp</t>
        </is>
      </c>
      <c r="F551" s="3" t="inlineStr">
        <is>
          <t>Lab Expenses – April</t>
        </is>
      </c>
      <c r="G551" s="3" t="inlineStr">
        <is>
          <t>Accounts Payable</t>
        </is>
      </c>
      <c r="H551" s="3" t="inlineStr">
        <is>
          <t>Checking – Operating</t>
        </is>
      </c>
      <c r="I551" s="33" t="n">
        <v>-5353.45</v>
      </c>
      <c r="J551" s="13">
        <f>+J550+I551</f>
        <v>1260553.1</v>
      </c>
      <c r="K551" s="19">
        <f>+EOMONTH(B551,0)</f>
        <v>46142</v>
      </c>
      <c r="L551" s="3" t="inlineStr">
        <is>
          <t>Checking – Operating</t>
        </is>
      </c>
      <c r="M551" s="3" t="inlineStr">
        <is>
          <t>Balance Sheet</t>
        </is>
      </c>
    </row>
    <row r="552">
      <c r="B552" s="39" t="n">
        <v>46141</v>
      </c>
      <c r="C552" s="3" t="inlineStr">
        <is>
          <t>Bill Payment (Check)</t>
        </is>
      </c>
      <c r="D552" s="3" t="inlineStr"/>
      <c r="E552" s="3" t="inlineStr">
        <is>
          <t>Halloway Ridge Realty (rent)</t>
        </is>
      </c>
      <c r="F552" s="3" t="inlineStr">
        <is>
          <t>Rent – April</t>
        </is>
      </c>
      <c r="G552" s="3" t="inlineStr">
        <is>
          <t>Accounts Payable</t>
        </is>
      </c>
      <c r="H552" s="3" t="inlineStr">
        <is>
          <t>Checking – Operating</t>
        </is>
      </c>
      <c r="I552" s="33" t="n">
        <v>-7884.66</v>
      </c>
      <c r="J552" s="13">
        <f>+J551+I552</f>
        <v>1252668.44</v>
      </c>
      <c r="K552" s="19">
        <f>+EOMONTH(B552,0)</f>
        <v>46142</v>
      </c>
      <c r="L552" s="3" t="inlineStr">
        <is>
          <t>Checking – Operating</t>
        </is>
      </c>
      <c r="M552" s="3" t="inlineStr">
        <is>
          <t>Balance Sheet</t>
        </is>
      </c>
    </row>
    <row r="553">
      <c r="B553" s="39" t="n">
        <v>46141</v>
      </c>
      <c r="C553" s="3" t="inlineStr">
        <is>
          <t>Expense</t>
        </is>
      </c>
      <c r="D553" s="3" t="inlineStr"/>
      <c r="E553" s="3" t="inlineStr">
        <is>
          <t>Consultant A</t>
        </is>
      </c>
      <c r="F553" s="3" t="inlineStr">
        <is>
          <t>Consulting – April</t>
        </is>
      </c>
      <c r="G553" s="3" t="inlineStr">
        <is>
          <t>Consulting</t>
        </is>
      </c>
      <c r="H553" s="3" t="inlineStr">
        <is>
          <t>Checking – Operating</t>
        </is>
      </c>
      <c r="I553" s="33" t="n">
        <v>-3739.19</v>
      </c>
      <c r="J553" s="13">
        <f>+J552+I553</f>
        <v>1248929.25</v>
      </c>
      <c r="K553" s="19">
        <f>+EOMONTH(B553,0)</f>
        <v>46142</v>
      </c>
      <c r="L553" s="3" t="inlineStr">
        <is>
          <t>Checking – Operating</t>
        </is>
      </c>
      <c r="M553" s="3" t="inlineStr">
        <is>
          <t>Balance Sheet</t>
        </is>
      </c>
    </row>
    <row r="554">
      <c r="B554" s="39" t="n">
        <v>46141</v>
      </c>
      <c r="C554" s="3" t="inlineStr">
        <is>
          <t>Expense</t>
        </is>
      </c>
      <c r="D554" s="3" t="inlineStr"/>
      <c r="E554" s="3" t="inlineStr">
        <is>
          <t>Tessarand Payroll Services</t>
        </is>
      </c>
      <c r="F554" s="3" t="inlineStr">
        <is>
          <t>Contractors – April</t>
        </is>
      </c>
      <c r="G554" s="3" t="inlineStr">
        <is>
          <t>Contractors</t>
        </is>
      </c>
      <c r="H554" s="3" t="inlineStr">
        <is>
          <t>Checking – Operating</t>
        </is>
      </c>
      <c r="I554" s="33" t="n">
        <v>-6480.27</v>
      </c>
      <c r="J554" s="13">
        <f>+J553+I554</f>
        <v>1242448.98</v>
      </c>
      <c r="K554" s="19">
        <f>+EOMONTH(B554,0)</f>
        <v>46142</v>
      </c>
      <c r="L554" s="3" t="inlineStr">
        <is>
          <t>Checking – Operating</t>
        </is>
      </c>
      <c r="M554" s="3" t="inlineStr">
        <is>
          <t>Balance Sheet</t>
        </is>
      </c>
    </row>
    <row r="555">
      <c r="B555" s="39" t="n">
        <v>46141</v>
      </c>
      <c r="C555" s="3" t="inlineStr">
        <is>
          <t>Expense</t>
        </is>
      </c>
      <c r="D555" s="3" t="inlineStr"/>
      <c r="E555" s="3" t="inlineStr">
        <is>
          <t>Union Utilities</t>
        </is>
      </c>
      <c r="F555" s="3" t="inlineStr">
        <is>
          <t>Fax Service – April</t>
        </is>
      </c>
      <c r="G555" s="3" t="inlineStr">
        <is>
          <t>Fax Service</t>
        </is>
      </c>
      <c r="H555" s="3" t="inlineStr">
        <is>
          <t>Checking – Operating</t>
        </is>
      </c>
      <c r="I555" s="33" t="n">
        <v>-730.97</v>
      </c>
      <c r="J555" s="13">
        <f>+J554+I555</f>
        <v>1241718.01</v>
      </c>
      <c r="K555" s="19">
        <f>+EOMONTH(B555,0)</f>
        <v>46142</v>
      </c>
      <c r="L555" s="3" t="inlineStr">
        <is>
          <t>Checking – Operating</t>
        </is>
      </c>
      <c r="M555" s="3" t="inlineStr">
        <is>
          <t>Balance Sheet</t>
        </is>
      </c>
    </row>
    <row r="556">
      <c r="B556" s="39" t="n">
        <v>46142</v>
      </c>
      <c r="C556" s="3" t="inlineStr">
        <is>
          <t>Credit Card Expense</t>
        </is>
      </c>
      <c r="D556" s="3" t="inlineStr"/>
      <c r="E556" s="3" t="inlineStr">
        <is>
          <t>Ledgerquill Billing SaaS</t>
        </is>
      </c>
      <c r="F556" s="3" t="inlineStr">
        <is>
          <t>Lab EMR Service – April</t>
        </is>
      </c>
      <c r="G556" s="3" t="inlineStr">
        <is>
          <t>Lab EMR Service</t>
        </is>
      </c>
      <c r="H556" s="3" t="inlineStr">
        <is>
          <t>Checking – Operating</t>
        </is>
      </c>
      <c r="I556" s="33" t="n">
        <v>-4321.2</v>
      </c>
      <c r="J556" s="13">
        <f>+J555+I556</f>
        <v>1237396.81</v>
      </c>
      <c r="K556" s="19">
        <f>+EOMONTH(B556,0)</f>
        <v>46142</v>
      </c>
      <c r="L556" s="3" t="inlineStr">
        <is>
          <t>Checking – Operating</t>
        </is>
      </c>
      <c r="M556" s="3" t="inlineStr">
        <is>
          <t>Balance Sheet</t>
        </is>
      </c>
    </row>
    <row r="557">
      <c r="B557" s="39" t="n">
        <v>46142</v>
      </c>
      <c r="C557" s="3" t="inlineStr">
        <is>
          <t>Expense</t>
        </is>
      </c>
      <c r="D557" s="3" t="inlineStr"/>
      <c r="E557" s="3" t="inlineStr">
        <is>
          <t>Union Utilities</t>
        </is>
      </c>
      <c r="F557" s="3" t="inlineStr">
        <is>
          <t>Fax Service – April</t>
        </is>
      </c>
      <c r="G557" s="3" t="inlineStr">
        <is>
          <t>Fax Service</t>
        </is>
      </c>
      <c r="H557" s="3" t="inlineStr">
        <is>
          <t>Checking – Operating</t>
        </is>
      </c>
      <c r="I557" s="33" t="n">
        <v>-649.03</v>
      </c>
      <c r="J557" s="13">
        <f>+J556+I557</f>
        <v>1236747.78</v>
      </c>
      <c r="K557" s="19">
        <f>+EOMONTH(B557,0)</f>
        <v>46142</v>
      </c>
      <c r="L557" s="3" t="inlineStr">
        <is>
          <t>Checking – Operating</t>
        </is>
      </c>
      <c r="M557" s="3" t="inlineStr">
        <is>
          <t>Balance Sheet</t>
        </is>
      </c>
    </row>
    <row r="558">
      <c r="B558" s="39" t="n">
        <v>46143</v>
      </c>
      <c r="C558" s="3" t="inlineStr">
        <is>
          <t>Credit Card Expense</t>
        </is>
      </c>
      <c r="D558" s="3" t="inlineStr"/>
      <c r="E558" s="3" t="inlineStr">
        <is>
          <t>Tessarand Payroll Services</t>
        </is>
      </c>
      <c r="F558" s="3" t="inlineStr">
        <is>
          <t>Contractors – May</t>
        </is>
      </c>
      <c r="G558" s="3" t="inlineStr">
        <is>
          <t>Contractors</t>
        </is>
      </c>
      <c r="H558" s="3" t="inlineStr">
        <is>
          <t>Checking – Operating</t>
        </is>
      </c>
      <c r="I558" s="33" t="n">
        <v>-4802.66</v>
      </c>
      <c r="J558" s="13">
        <f>+J557+I558</f>
        <v>1231945.12</v>
      </c>
      <c r="K558" s="19">
        <f>+EOMONTH(B558,0)</f>
        <v>46173</v>
      </c>
      <c r="L558" s="3" t="inlineStr">
        <is>
          <t>Checking – Operating</t>
        </is>
      </c>
      <c r="M558" s="3" t="inlineStr">
        <is>
          <t>Balance Sheet</t>
        </is>
      </c>
    </row>
    <row r="559">
      <c r="B559" s="39" t="n">
        <v>46143</v>
      </c>
      <c r="C559" s="3" t="inlineStr">
        <is>
          <t>Expense</t>
        </is>
      </c>
      <c r="D559" s="3" t="inlineStr"/>
      <c r="E559" s="3" t="inlineStr"/>
      <c r="F559" s="3" t="inlineStr">
        <is>
          <t>Business Licenses and Permits – May</t>
        </is>
      </c>
      <c r="G559" s="3" t="inlineStr">
        <is>
          <t>Business Licenses and Permits</t>
        </is>
      </c>
      <c r="H559" s="3" t="inlineStr">
        <is>
          <t>Checking – Operating</t>
        </is>
      </c>
      <c r="I559" s="33" t="n">
        <v>-719.79</v>
      </c>
      <c r="J559" s="13">
        <f>+J558+I559</f>
        <v>1231225.33</v>
      </c>
      <c r="K559" s="19">
        <f>+EOMONTH(B559,0)</f>
        <v>46173</v>
      </c>
      <c r="L559" s="3" t="inlineStr">
        <is>
          <t>Checking – Operating</t>
        </is>
      </c>
      <c r="M559" s="3" t="inlineStr">
        <is>
          <t>Balance Sheet</t>
        </is>
      </c>
    </row>
    <row r="560">
      <c r="B560" s="39" t="n">
        <v>46144</v>
      </c>
      <c r="C560" s="3" t="inlineStr">
        <is>
          <t>Bill Payment (Check)</t>
        </is>
      </c>
      <c r="D560" s="3" t="inlineStr"/>
      <c r="E560" s="3" t="inlineStr">
        <is>
          <t>Ledgerquill Billing SaaS</t>
        </is>
      </c>
      <c r="F560" s="3" t="inlineStr">
        <is>
          <t>Billing Software as a Service – April</t>
        </is>
      </c>
      <c r="G560" s="3" t="inlineStr">
        <is>
          <t>Accounts Payable</t>
        </is>
      </c>
      <c r="H560" s="3" t="inlineStr">
        <is>
          <t>Checking – Operating</t>
        </is>
      </c>
      <c r="I560" s="33" t="n">
        <v>-20357.83</v>
      </c>
      <c r="J560" s="13">
        <f>+J559+I560</f>
        <v>1210867.5</v>
      </c>
      <c r="K560" s="19">
        <f>+EOMONTH(B560,0)</f>
        <v>46173</v>
      </c>
      <c r="L560" s="3" t="inlineStr">
        <is>
          <t>Checking – Operating</t>
        </is>
      </c>
      <c r="M560" s="3" t="inlineStr">
        <is>
          <t>Balance Sheet</t>
        </is>
      </c>
    </row>
    <row r="561">
      <c r="B561" s="39" t="n">
        <v>46144</v>
      </c>
      <c r="C561" s="3" t="inlineStr">
        <is>
          <t>Credit Card Expense</t>
        </is>
      </c>
      <c r="D561" s="3" t="inlineStr"/>
      <c r="E561" s="3" t="inlineStr">
        <is>
          <t>Vialtrace Lab Supplies Inc</t>
        </is>
      </c>
      <c r="F561" s="3" t="inlineStr">
        <is>
          <t>Office Supplies – May</t>
        </is>
      </c>
      <c r="G561" s="3" t="inlineStr">
        <is>
          <t>Office Supplies</t>
        </is>
      </c>
      <c r="H561" s="3" t="inlineStr">
        <is>
          <t>Checking – Operating</t>
        </is>
      </c>
      <c r="I561" s="33" t="n">
        <v>-2100.46</v>
      </c>
      <c r="J561" s="13">
        <f>+J560+I561</f>
        <v>1208767.04</v>
      </c>
      <c r="K561" s="19">
        <f>+EOMONTH(B561,0)</f>
        <v>46173</v>
      </c>
      <c r="L561" s="3" t="inlineStr">
        <is>
          <t>Checking – Operating</t>
        </is>
      </c>
      <c r="M561" s="3" t="inlineStr">
        <is>
          <t>Balance Sheet</t>
        </is>
      </c>
    </row>
    <row r="562">
      <c r="B562" s="39" t="n">
        <v>46144</v>
      </c>
      <c r="C562" s="3" t="inlineStr">
        <is>
          <t>Credit Card Expense</t>
        </is>
      </c>
      <c r="D562" s="3" t="inlineStr"/>
      <c r="E562" s="3" t="inlineStr"/>
      <c r="F562" s="3" t="inlineStr">
        <is>
          <t>Patient refund</t>
        </is>
      </c>
      <c r="G562" s="3" t="inlineStr">
        <is>
          <t>Refunds</t>
        </is>
      </c>
      <c r="H562" s="3" t="inlineStr">
        <is>
          <t>Checking – Operating</t>
        </is>
      </c>
      <c r="I562" s="33" t="n">
        <v>-5398.26</v>
      </c>
      <c r="J562" s="13">
        <f>+J561+I562</f>
        <v>1203368.78</v>
      </c>
      <c r="K562" s="19">
        <f>+EOMONTH(B562,0)</f>
        <v>46173</v>
      </c>
      <c r="L562" s="3" t="inlineStr">
        <is>
          <t>Checking – Operating</t>
        </is>
      </c>
      <c r="M562" s="3" t="inlineStr">
        <is>
          <t>Balance Sheet</t>
        </is>
      </c>
    </row>
    <row r="563">
      <c r="B563" s="39" t="n">
        <v>46144</v>
      </c>
      <c r="C563" s="3" t="inlineStr">
        <is>
          <t>Deposit</t>
        </is>
      </c>
      <c r="D563" s="3" t="inlineStr"/>
      <c r="E563" s="3" t="inlineStr">
        <is>
          <t>State Program B</t>
        </is>
      </c>
      <c r="F563" s="3" t="inlineStr">
        <is>
          <t>ORIG CO NAME:STATE PROG B ORIG ID:XXXXXX8181 DESC DATE:260502 CO ENTRY DESCR:HCCLAIMPMT SEC:CCD TRACE#:XXXXXXXX4809394 EED:260502 IND ID:</t>
        </is>
      </c>
      <c r="G563" s="3" t="inlineStr">
        <is>
          <t>Service Income</t>
        </is>
      </c>
      <c r="H563" s="3" t="inlineStr">
        <is>
          <t>Checking – Operating</t>
        </is>
      </c>
      <c r="I563" s="33" t="n">
        <v>34184.07</v>
      </c>
      <c r="J563" s="13">
        <f>+J562+I563</f>
        <v>1237552.85</v>
      </c>
      <c r="K563" s="19">
        <f>+EOMONTH(B563,0)</f>
        <v>46173</v>
      </c>
      <c r="L563" s="3" t="inlineStr">
        <is>
          <t>Checking – Operating</t>
        </is>
      </c>
      <c r="M563" s="3" t="inlineStr">
        <is>
          <t>Balance Sheet</t>
        </is>
      </c>
    </row>
    <row r="564">
      <c r="B564" s="39" t="n">
        <v>46144</v>
      </c>
      <c r="C564" s="3" t="inlineStr">
        <is>
          <t>Expense</t>
        </is>
      </c>
      <c r="D564" s="3" t="inlineStr"/>
      <c r="E564" s="3" t="inlineStr"/>
      <c r="F564" s="3" t="inlineStr">
        <is>
          <t>Business Meetings &amp; Development – May</t>
        </is>
      </c>
      <c r="G564" s="3" t="inlineStr">
        <is>
          <t>Business Meetings &amp; Development</t>
        </is>
      </c>
      <c r="H564" s="3" t="inlineStr">
        <is>
          <t>Checking – Operating</t>
        </is>
      </c>
      <c r="I564" s="33" t="n">
        <v>-3097.73</v>
      </c>
      <c r="J564" s="13">
        <f>+J563+I564</f>
        <v>1234455.12</v>
      </c>
      <c r="K564" s="19">
        <f>+EOMONTH(B564,0)</f>
        <v>46173</v>
      </c>
      <c r="L564" s="3" t="inlineStr">
        <is>
          <t>Checking – Operating</t>
        </is>
      </c>
      <c r="M564" s="3" t="inlineStr">
        <is>
          <t>Balance Sheet</t>
        </is>
      </c>
    </row>
    <row r="565">
      <c r="B565" s="39" t="n">
        <v>46145</v>
      </c>
      <c r="C565" s="3" t="inlineStr">
        <is>
          <t>Bill Payment (Check)</t>
        </is>
      </c>
      <c r="D565" s="3" t="inlineStr"/>
      <c r="E565" s="3" t="inlineStr">
        <is>
          <t>Vialtrace Lab Supplies Inc</t>
        </is>
      </c>
      <c r="F565" s="3" t="inlineStr">
        <is>
          <t>Lab supplies PO# F2110</t>
        </is>
      </c>
      <c r="G565" s="3" t="inlineStr">
        <is>
          <t>Accounts Payable</t>
        </is>
      </c>
      <c r="H565" s="3" t="inlineStr">
        <is>
          <t>Checking – Operating</t>
        </is>
      </c>
      <c r="I565" s="33" t="n">
        <v>-21200.79</v>
      </c>
      <c r="J565" s="13">
        <f>+J564+I565</f>
        <v>1213254.33</v>
      </c>
      <c r="K565" s="19">
        <f>+EOMONTH(B565,0)</f>
        <v>46173</v>
      </c>
      <c r="L565" s="3" t="inlineStr">
        <is>
          <t>Checking – Operating</t>
        </is>
      </c>
      <c r="M565" s="3" t="inlineStr">
        <is>
          <t>Balance Sheet</t>
        </is>
      </c>
    </row>
    <row r="566">
      <c r="B566" s="39" t="n">
        <v>46145</v>
      </c>
      <c r="C566" s="3" t="inlineStr">
        <is>
          <t>Deposit</t>
        </is>
      </c>
      <c r="D566" s="3" t="inlineStr"/>
      <c r="E566" s="3" t="inlineStr">
        <is>
          <t>Lanternway Benefits</t>
        </is>
      </c>
      <c r="F566" s="3" t="inlineStr">
        <is>
          <t>ORIG CO NAME:LANTERNWAY BEN ORIG ID:XXXXXX8710 DESC DATE:260503 CO ENTRY DESCR:HCCLAIMPMT SEC:CCD TRACE#:XXXXXXXX1719196 EED:260503 IND ID:</t>
        </is>
      </c>
      <c r="G566" s="3" t="inlineStr">
        <is>
          <t>Service Income</t>
        </is>
      </c>
      <c r="H566" s="3" t="inlineStr">
        <is>
          <t>Checking – Operating</t>
        </is>
      </c>
      <c r="I566" s="33" t="n">
        <v>48262.55</v>
      </c>
      <c r="J566" s="13">
        <f>+J565+I566</f>
        <v>1261516.88</v>
      </c>
      <c r="K566" s="19">
        <f>+EOMONTH(B566,0)</f>
        <v>46173</v>
      </c>
      <c r="L566" s="3" t="inlineStr">
        <is>
          <t>Checking – Operating</t>
        </is>
      </c>
      <c r="M566" s="3" t="inlineStr">
        <is>
          <t>Balance Sheet</t>
        </is>
      </c>
    </row>
    <row r="567">
      <c r="B567" s="39" t="n">
        <v>46145</v>
      </c>
      <c r="C567" s="3" t="inlineStr">
        <is>
          <t>Deposit</t>
        </is>
      </c>
      <c r="D567" s="3" t="inlineStr"/>
      <c r="E567" s="3" t="inlineStr">
        <is>
          <t>Cobaltmere Health</t>
        </is>
      </c>
      <c r="F567" s="3" t="inlineStr">
        <is>
          <t>ORIG CO NAME:COBALTMERE HEALTH ORIG ID:XXXXXX9299 DESC DATE:260503 CO ENTRY DESCR:HCCLAIMPMT SEC:CCD TRACE#:XXXXXXXX4509357 EED:260503 IND ID:</t>
        </is>
      </c>
      <c r="G567" s="3" t="inlineStr">
        <is>
          <t>Service Income</t>
        </is>
      </c>
      <c r="H567" s="3" t="inlineStr">
        <is>
          <t>Checking – Operating</t>
        </is>
      </c>
      <c r="I567" s="33" t="n">
        <v>28942.46</v>
      </c>
      <c r="J567" s="13">
        <f>+J566+I567</f>
        <v>1290459.34</v>
      </c>
      <c r="K567" s="19">
        <f>+EOMONTH(B567,0)</f>
        <v>46173</v>
      </c>
      <c r="L567" s="3" t="inlineStr">
        <is>
          <t>Checking – Operating</t>
        </is>
      </c>
      <c r="M567" s="3" t="inlineStr">
        <is>
          <t>Balance Sheet</t>
        </is>
      </c>
    </row>
    <row r="568">
      <c r="B568" s="39" t="n">
        <v>46145</v>
      </c>
      <c r="C568" s="3" t="inlineStr">
        <is>
          <t>Journal Entry</t>
        </is>
      </c>
      <c r="D568" s="3" t="inlineStr"/>
      <c r="E568" s="3" t="inlineStr">
        <is>
          <t>Tessarand Payroll Services</t>
        </is>
      </c>
      <c r="F568" s="3" t="inlineStr">
        <is>
          <t>Recruitment – May</t>
        </is>
      </c>
      <c r="G568" s="3" t="inlineStr">
        <is>
          <t>Recruitment</t>
        </is>
      </c>
      <c r="H568" s="3" t="inlineStr">
        <is>
          <t>Checking – Operating</t>
        </is>
      </c>
      <c r="I568" s="33" t="n">
        <v>-1319.98</v>
      </c>
      <c r="J568" s="13">
        <f>+J567+I568</f>
        <v>1289139.36</v>
      </c>
      <c r="K568" s="19">
        <f>+EOMONTH(B568,0)</f>
        <v>46173</v>
      </c>
      <c r="L568" s="3" t="inlineStr">
        <is>
          <t>Checking – Operating</t>
        </is>
      </c>
      <c r="M568" s="3" t="inlineStr">
        <is>
          <t>Balance Sheet</t>
        </is>
      </c>
    </row>
    <row r="569">
      <c r="B569" s="39" t="n">
        <v>46146</v>
      </c>
      <c r="C569" s="3" t="inlineStr">
        <is>
          <t>Bill Payment (Check)</t>
        </is>
      </c>
      <c r="D569" s="3" t="inlineStr"/>
      <c r="E569" s="3" t="inlineStr">
        <is>
          <t>Lumenlease Equipment</t>
        </is>
      </c>
      <c r="F569" s="3" t="inlineStr">
        <is>
          <t>Equipment Lease – April</t>
        </is>
      </c>
      <c r="G569" s="3" t="inlineStr">
        <is>
          <t>Accounts Payable</t>
        </is>
      </c>
      <c r="H569" s="3" t="inlineStr">
        <is>
          <t>Checking – Operating</t>
        </is>
      </c>
      <c r="I569" s="33" t="n">
        <v>-4100.25</v>
      </c>
      <c r="J569" s="13">
        <f>+J568+I569</f>
        <v>1285039.11</v>
      </c>
      <c r="K569" s="19">
        <f>+EOMONTH(B569,0)</f>
        <v>46173</v>
      </c>
      <c r="L569" s="3" t="inlineStr">
        <is>
          <t>Checking – Operating</t>
        </is>
      </c>
      <c r="M569" s="3" t="inlineStr">
        <is>
          <t>Balance Sheet</t>
        </is>
      </c>
    </row>
    <row r="570">
      <c r="B570" s="39" t="n">
        <v>46146</v>
      </c>
      <c r="C570" s="3" t="inlineStr">
        <is>
          <t>Bill Payment (Check)</t>
        </is>
      </c>
      <c r="D570" s="3" t="inlineStr"/>
      <c r="E570" s="3" t="inlineStr">
        <is>
          <t>Northmoor Waste Services</t>
        </is>
      </c>
      <c r="F570" s="3" t="inlineStr">
        <is>
          <t>Hazard Waste – April</t>
        </is>
      </c>
      <c r="G570" s="3" t="inlineStr">
        <is>
          <t>Accounts Payable</t>
        </is>
      </c>
      <c r="H570" s="3" t="inlineStr">
        <is>
          <t>Checking – Operating</t>
        </is>
      </c>
      <c r="I570" s="33" t="n">
        <v>-643.15</v>
      </c>
      <c r="J570" s="13">
        <f>+J569+I570</f>
        <v>1284395.96</v>
      </c>
      <c r="K570" s="19">
        <f>+EOMONTH(B570,0)</f>
        <v>46173</v>
      </c>
      <c r="L570" s="3" t="inlineStr">
        <is>
          <t>Checking – Operating</t>
        </is>
      </c>
      <c r="M570" s="3" t="inlineStr">
        <is>
          <t>Balance Sheet</t>
        </is>
      </c>
    </row>
    <row r="571">
      <c r="B571" s="39" t="n">
        <v>46146</v>
      </c>
      <c r="C571" s="3" t="inlineStr">
        <is>
          <t>Expense</t>
        </is>
      </c>
      <c r="D571" s="3" t="inlineStr"/>
      <c r="E571" s="3" t="inlineStr">
        <is>
          <t>Consultant A</t>
        </is>
      </c>
      <c r="F571" s="3" t="inlineStr">
        <is>
          <t>Accounting Service – May</t>
        </is>
      </c>
      <c r="G571" s="3" t="inlineStr">
        <is>
          <t>Accounting Service</t>
        </is>
      </c>
      <c r="H571" s="3" t="inlineStr">
        <is>
          <t>Checking – Operating</t>
        </is>
      </c>
      <c r="I571" s="33" t="n">
        <v>-2787.62</v>
      </c>
      <c r="J571" s="13">
        <f>+J570+I571</f>
        <v>1281608.34</v>
      </c>
      <c r="K571" s="19">
        <f>+EOMONTH(B571,0)</f>
        <v>46173</v>
      </c>
      <c r="L571" s="3" t="inlineStr">
        <is>
          <t>Checking – Operating</t>
        </is>
      </c>
      <c r="M571" s="3" t="inlineStr">
        <is>
          <t>Balance Sheet</t>
        </is>
      </c>
    </row>
    <row r="572">
      <c r="B572" s="39" t="n">
        <v>46146</v>
      </c>
      <c r="C572" s="3" t="inlineStr">
        <is>
          <t>Journal Entry</t>
        </is>
      </c>
      <c r="D572" s="3" t="inlineStr"/>
      <c r="E572" s="3" t="inlineStr"/>
      <c r="F572" s="3" t="inlineStr">
        <is>
          <t>Reimbursement – May</t>
        </is>
      </c>
      <c r="G572" s="3" t="inlineStr">
        <is>
          <t>Reimbursement</t>
        </is>
      </c>
      <c r="H572" s="3" t="inlineStr">
        <is>
          <t>Checking – Operating</t>
        </is>
      </c>
      <c r="I572" s="33" t="n">
        <v>-1287.79</v>
      </c>
      <c r="J572" s="13">
        <f>+J571+I572</f>
        <v>1280320.55</v>
      </c>
      <c r="K572" s="19">
        <f>+EOMONTH(B572,0)</f>
        <v>46173</v>
      </c>
      <c r="L572" s="3" t="inlineStr">
        <is>
          <t>Checking – Operating</t>
        </is>
      </c>
      <c r="M572" s="3" t="inlineStr">
        <is>
          <t>Balance Sheet</t>
        </is>
      </c>
    </row>
    <row r="573">
      <c r="B573" s="39" t="n">
        <v>46146</v>
      </c>
      <c r="C573" s="3" t="inlineStr">
        <is>
          <t>Journal Entry</t>
        </is>
      </c>
      <c r="D573" s="3" t="inlineStr"/>
      <c r="E573" s="3" t="inlineStr">
        <is>
          <t>Tessarand Payroll Services</t>
        </is>
      </c>
      <c r="F573" s="3" t="inlineStr">
        <is>
          <t>Sales and Marketing Expenses – May</t>
        </is>
      </c>
      <c r="G573" s="3" t="inlineStr">
        <is>
          <t>Sales and Marketing Expenses</t>
        </is>
      </c>
      <c r="H573" s="3" t="inlineStr">
        <is>
          <t>Checking – Operating</t>
        </is>
      </c>
      <c r="I573" s="33" t="n">
        <v>-13013.3</v>
      </c>
      <c r="J573" s="13">
        <f>+J572+I573</f>
        <v>1267307.25</v>
      </c>
      <c r="K573" s="19">
        <f>+EOMONTH(B573,0)</f>
        <v>46173</v>
      </c>
      <c r="L573" s="3" t="inlineStr">
        <is>
          <t>Checking – Operating</t>
        </is>
      </c>
      <c r="M573" s="3" t="inlineStr">
        <is>
          <t>Balance Sheet</t>
        </is>
      </c>
    </row>
    <row r="574">
      <c r="B574" s="39" t="n">
        <v>46146</v>
      </c>
      <c r="C574" s="3" t="inlineStr">
        <is>
          <t>Journal Entry</t>
        </is>
      </c>
      <c r="D574" s="3" t="inlineStr"/>
      <c r="E574" s="3" t="inlineStr">
        <is>
          <t>Ledgerquill Billing SaaS</t>
        </is>
      </c>
      <c r="F574" s="3" t="inlineStr">
        <is>
          <t>Lab EMR Service – May</t>
        </is>
      </c>
      <c r="G574" s="3" t="inlineStr">
        <is>
          <t>Lab EMR Service</t>
        </is>
      </c>
      <c r="H574" s="3" t="inlineStr">
        <is>
          <t>Checking – Operating</t>
        </is>
      </c>
      <c r="I574" s="33" t="n">
        <v>-2451.87</v>
      </c>
      <c r="J574" s="13">
        <f>+J573+I574</f>
        <v>1264855.38</v>
      </c>
      <c r="K574" s="19">
        <f>+EOMONTH(B574,0)</f>
        <v>46173</v>
      </c>
      <c r="L574" s="3" t="inlineStr">
        <is>
          <t>Checking – Operating</t>
        </is>
      </c>
      <c r="M574" s="3" t="inlineStr">
        <is>
          <t>Balance Sheet</t>
        </is>
      </c>
    </row>
    <row r="575">
      <c r="B575" s="39" t="n">
        <v>46146</v>
      </c>
      <c r="C575" s="3" t="inlineStr">
        <is>
          <t>Payroll Check</t>
        </is>
      </c>
      <c r="D575" s="3" t="inlineStr"/>
      <c r="E575" s="3" t="inlineStr">
        <is>
          <t>Tessarand Payroll Services</t>
        </is>
      </c>
      <c r="F575" s="3" t="inlineStr">
        <is>
          <t>Payroll – biweekly</t>
        </is>
      </c>
      <c r="G575" s="3" t="inlineStr">
        <is>
          <t>Salaries and Wages</t>
        </is>
      </c>
      <c r="H575" s="3" t="inlineStr">
        <is>
          <t>Checking – Operating</t>
        </is>
      </c>
      <c r="I575" s="33" t="n">
        <v>-164780.02</v>
      </c>
      <c r="J575" s="13">
        <f>+J574+I575</f>
        <v>1100075.36</v>
      </c>
      <c r="K575" s="19">
        <f>+EOMONTH(B575,0)</f>
        <v>46173</v>
      </c>
      <c r="L575" s="3" t="inlineStr">
        <is>
          <t>Checking – Operating</t>
        </is>
      </c>
      <c r="M575" s="3" t="inlineStr">
        <is>
          <t>Balance Sheet</t>
        </is>
      </c>
    </row>
    <row r="576">
      <c r="B576" s="39" t="n">
        <v>46146</v>
      </c>
      <c r="C576" s="3" t="inlineStr">
        <is>
          <t>Payroll Check</t>
        </is>
      </c>
      <c r="D576" s="3" t="inlineStr"/>
      <c r="E576" s="3" t="inlineStr">
        <is>
          <t>Tessarand Payroll Services</t>
        </is>
      </c>
      <c r="F576" s="3" t="inlineStr">
        <is>
          <t>Payroll taxes – biweekly</t>
        </is>
      </c>
      <c r="G576" s="3" t="inlineStr">
        <is>
          <t>Payroll Taxes</t>
        </is>
      </c>
      <c r="H576" s="3" t="inlineStr">
        <is>
          <t>Checking – Operating</t>
        </is>
      </c>
      <c r="I576" s="33" t="n">
        <v>-1670.98</v>
      </c>
      <c r="J576" s="13">
        <f>+J575+I576</f>
        <v>1098404.38</v>
      </c>
      <c r="K576" s="19">
        <f>+EOMONTH(B576,0)</f>
        <v>46173</v>
      </c>
      <c r="L576" s="3" t="inlineStr">
        <is>
          <t>Checking – Operating</t>
        </is>
      </c>
      <c r="M576" s="3" t="inlineStr">
        <is>
          <t>Balance Sheet</t>
        </is>
      </c>
    </row>
    <row r="577">
      <c r="B577" s="39" t="n">
        <v>46146</v>
      </c>
      <c r="C577" s="3" t="inlineStr">
        <is>
          <t>Payroll Check</t>
        </is>
      </c>
      <c r="D577" s="3" t="inlineStr"/>
      <c r="E577" s="3" t="inlineStr">
        <is>
          <t>Tessarand Payroll Services</t>
        </is>
      </c>
      <c r="F577" s="3" t="inlineStr">
        <is>
          <t>Payroll processing fee</t>
        </is>
      </c>
      <c r="G577" s="3" t="inlineStr">
        <is>
          <t>Payroll Processing Fee</t>
        </is>
      </c>
      <c r="H577" s="3" t="inlineStr">
        <is>
          <t>Checking – Operating</t>
        </is>
      </c>
      <c r="I577" s="33" t="n">
        <v>-151.07</v>
      </c>
      <c r="J577" s="13">
        <f>+J576+I577</f>
        <v>1098253.31</v>
      </c>
      <c r="K577" s="19">
        <f>+EOMONTH(B577,0)</f>
        <v>46173</v>
      </c>
      <c r="L577" s="3" t="inlineStr">
        <is>
          <t>Checking – Operating</t>
        </is>
      </c>
      <c r="M577" s="3" t="inlineStr">
        <is>
          <t>Balance Sheet</t>
        </is>
      </c>
    </row>
    <row r="578">
      <c r="B578" s="39" t="n">
        <v>46147</v>
      </c>
      <c r="C578" s="3" t="inlineStr">
        <is>
          <t>Bill Payment (Check)</t>
        </is>
      </c>
      <c r="D578" s="3" t="inlineStr"/>
      <c r="E578" s="3" t="inlineStr">
        <is>
          <t>Tarrowmere Mutual Insurance</t>
        </is>
      </c>
      <c r="F578" s="3" t="inlineStr">
        <is>
          <t>Premium installment</t>
        </is>
      </c>
      <c r="G578" s="3" t="inlineStr">
        <is>
          <t>Accounts Payable</t>
        </is>
      </c>
      <c r="H578" s="3" t="inlineStr">
        <is>
          <t>Checking – Operating</t>
        </is>
      </c>
      <c r="I578" s="33" t="n">
        <v>-5556.46</v>
      </c>
      <c r="J578" s="13">
        <f>+J577+I578</f>
        <v>1092696.85</v>
      </c>
      <c r="K578" s="19">
        <f>+EOMONTH(B578,0)</f>
        <v>46173</v>
      </c>
      <c r="L578" s="3" t="inlineStr">
        <is>
          <t>Checking – Operating</t>
        </is>
      </c>
      <c r="M578" s="3" t="inlineStr">
        <is>
          <t>Balance Sheet</t>
        </is>
      </c>
    </row>
    <row r="579">
      <c r="B579" s="39" t="n">
        <v>46147</v>
      </c>
      <c r="C579" s="3" t="inlineStr">
        <is>
          <t>Bill Payment (Check)</t>
        </is>
      </c>
      <c r="D579" s="3" t="inlineStr"/>
      <c r="E579" s="3" t="inlineStr">
        <is>
          <t>Tarrowmere Mutual Insurance</t>
        </is>
      </c>
      <c r="F579" s="3" t="inlineStr">
        <is>
          <t>Benefits – April</t>
        </is>
      </c>
      <c r="G579" s="3" t="inlineStr">
        <is>
          <t>Accounts Payable</t>
        </is>
      </c>
      <c r="H579" s="3" t="inlineStr">
        <is>
          <t>Checking – Operating</t>
        </is>
      </c>
      <c r="I579" s="33" t="n">
        <v>-6169.19</v>
      </c>
      <c r="J579" s="13">
        <f>+J578+I579</f>
        <v>1086527.66</v>
      </c>
      <c r="K579" s="19">
        <f>+EOMONTH(B579,0)</f>
        <v>46173</v>
      </c>
      <c r="L579" s="3" t="inlineStr">
        <is>
          <t>Checking – Operating</t>
        </is>
      </c>
      <c r="M579" s="3" t="inlineStr">
        <is>
          <t>Balance Sheet</t>
        </is>
      </c>
    </row>
    <row r="580">
      <c r="B580" s="39" t="n">
        <v>46147</v>
      </c>
      <c r="C580" s="3" t="inlineStr">
        <is>
          <t>Deposit</t>
        </is>
      </c>
      <c r="D580" s="3" t="inlineStr"/>
      <c r="E580" s="3" t="inlineStr">
        <is>
          <t>State Program B</t>
        </is>
      </c>
      <c r="F580" s="3" t="inlineStr">
        <is>
          <t>ORIG CO NAME:STATE PROG B ORIG ID:XXXXXX1879 DESC DATE:260505 CO ENTRY DESCR:HCCLAIMPMT SEC:CCD TRACE#:XXXXXXXX6476410 EED:260505 IND ID:</t>
        </is>
      </c>
      <c r="G580" s="3" t="inlineStr">
        <is>
          <t>Service Income</t>
        </is>
      </c>
      <c r="H580" s="3" t="inlineStr">
        <is>
          <t>Checking – Operating</t>
        </is>
      </c>
      <c r="I580" s="33" t="n">
        <v>44314.16</v>
      </c>
      <c r="J580" s="13">
        <f>+J579+I580</f>
        <v>1130841.82</v>
      </c>
      <c r="K580" s="19">
        <f>+EOMONTH(B580,0)</f>
        <v>46173</v>
      </c>
      <c r="L580" s="3" t="inlineStr">
        <is>
          <t>Checking – Operating</t>
        </is>
      </c>
      <c r="M580" s="3" t="inlineStr">
        <is>
          <t>Balance Sheet</t>
        </is>
      </c>
    </row>
    <row r="581">
      <c r="B581" s="39" t="n">
        <v>46147</v>
      </c>
      <c r="C581" s="3" t="inlineStr">
        <is>
          <t>Expense</t>
        </is>
      </c>
      <c r="D581" s="3" t="inlineStr"/>
      <c r="E581" s="3" t="inlineStr"/>
      <c r="F581" s="3" t="inlineStr">
        <is>
          <t>Automobile Expense – May</t>
        </is>
      </c>
      <c r="G581" s="3" t="inlineStr">
        <is>
          <t>Automobile Expense</t>
        </is>
      </c>
      <c r="H581" s="3" t="inlineStr">
        <is>
          <t>Checking – Operating</t>
        </is>
      </c>
      <c r="I581" s="33" t="n">
        <v>-1033.44</v>
      </c>
      <c r="J581" s="13">
        <f>+J580+I581</f>
        <v>1129808.38</v>
      </c>
      <c r="K581" s="19">
        <f>+EOMONTH(B581,0)</f>
        <v>46173</v>
      </c>
      <c r="L581" s="3" t="inlineStr">
        <is>
          <t>Checking – Operating</t>
        </is>
      </c>
      <c r="M581" s="3" t="inlineStr">
        <is>
          <t>Balance Sheet</t>
        </is>
      </c>
    </row>
    <row r="582">
      <c r="B582" s="39" t="n">
        <v>46147</v>
      </c>
      <c r="C582" s="3" t="inlineStr">
        <is>
          <t>Expense</t>
        </is>
      </c>
      <c r="D582" s="3" t="inlineStr"/>
      <c r="E582" s="3" t="inlineStr"/>
      <c r="F582" s="3" t="inlineStr">
        <is>
          <t>Gas – May</t>
        </is>
      </c>
      <c r="G582" s="3" t="inlineStr">
        <is>
          <t>Gas</t>
        </is>
      </c>
      <c r="H582" s="3" t="inlineStr">
        <is>
          <t>Checking – Operating</t>
        </is>
      </c>
      <c r="I582" s="33" t="n">
        <v>-1202.97</v>
      </c>
      <c r="J582" s="13">
        <f>+J581+I582</f>
        <v>1128605.41</v>
      </c>
      <c r="K582" s="19">
        <f>+EOMONTH(B582,0)</f>
        <v>46173</v>
      </c>
      <c r="L582" s="3" t="inlineStr">
        <is>
          <t>Checking – Operating</t>
        </is>
      </c>
      <c r="M582" s="3" t="inlineStr">
        <is>
          <t>Balance Sheet</t>
        </is>
      </c>
    </row>
    <row r="583">
      <c r="B583" s="39" t="n">
        <v>46147</v>
      </c>
      <c r="C583" s="3" t="inlineStr">
        <is>
          <t>Journal Entry</t>
        </is>
      </c>
      <c r="D583" s="3" t="inlineStr"/>
      <c r="E583" s="3" t="inlineStr">
        <is>
          <t>Tessarand Payroll Services</t>
        </is>
      </c>
      <c r="F583" s="3" t="inlineStr">
        <is>
          <t>Contractors – May</t>
        </is>
      </c>
      <c r="G583" s="3" t="inlineStr">
        <is>
          <t>Contractors</t>
        </is>
      </c>
      <c r="H583" s="3" t="inlineStr">
        <is>
          <t>Checking – Operating</t>
        </is>
      </c>
      <c r="I583" s="33" t="n">
        <v>-4096.54</v>
      </c>
      <c r="J583" s="13">
        <f>+J582+I583</f>
        <v>1124508.87</v>
      </c>
      <c r="K583" s="19">
        <f>+EOMONTH(B583,0)</f>
        <v>46173</v>
      </c>
      <c r="L583" s="3" t="inlineStr">
        <is>
          <t>Checking – Operating</t>
        </is>
      </c>
      <c r="M583" s="3" t="inlineStr">
        <is>
          <t>Balance Sheet</t>
        </is>
      </c>
    </row>
    <row r="584">
      <c r="B584" s="39" t="n">
        <v>46148</v>
      </c>
      <c r="C584" s="3" t="inlineStr">
        <is>
          <t>Credit Card Expense</t>
        </is>
      </c>
      <c r="D584" s="3" t="inlineStr"/>
      <c r="E584" s="3" t="inlineStr"/>
      <c r="F584" s="3" t="inlineStr">
        <is>
          <t>Bank service charges – May</t>
        </is>
      </c>
      <c r="G584" s="3" t="inlineStr">
        <is>
          <t>Cash</t>
        </is>
      </c>
      <c r="H584" s="3" t="inlineStr">
        <is>
          <t>Checking – Operating</t>
        </is>
      </c>
      <c r="I584" s="33" t="n">
        <v>-771.47</v>
      </c>
      <c r="J584" s="13">
        <f>+J583+I584</f>
        <v>1123737.4</v>
      </c>
      <c r="K584" s="19">
        <f>+EOMONTH(B584,0)</f>
        <v>46173</v>
      </c>
      <c r="L584" s="3" t="inlineStr">
        <is>
          <t>Checking – Operating</t>
        </is>
      </c>
      <c r="M584" s="3" t="inlineStr">
        <is>
          <t>Balance Sheet</t>
        </is>
      </c>
    </row>
    <row r="585">
      <c r="B585" s="39" t="n">
        <v>46148</v>
      </c>
      <c r="C585" s="3" t="inlineStr">
        <is>
          <t>Credit Card Expense</t>
        </is>
      </c>
      <c r="D585" s="3" t="inlineStr"/>
      <c r="E585" s="3" t="inlineStr"/>
      <c r="F585" s="3" t="inlineStr">
        <is>
          <t>Automobile Expense – May</t>
        </is>
      </c>
      <c r="G585" s="3" t="inlineStr">
        <is>
          <t>Automobile Expense</t>
        </is>
      </c>
      <c r="H585" s="3" t="inlineStr">
        <is>
          <t>Checking – Operating</t>
        </is>
      </c>
      <c r="I585" s="33" t="n">
        <v>-566.5599999999999</v>
      </c>
      <c r="J585" s="13">
        <f>+J584+I585</f>
        <v>1123170.84</v>
      </c>
      <c r="K585" s="19">
        <f>+EOMONTH(B585,0)</f>
        <v>46173</v>
      </c>
      <c r="L585" s="3" t="inlineStr">
        <is>
          <t>Checking – Operating</t>
        </is>
      </c>
      <c r="M585" s="3" t="inlineStr">
        <is>
          <t>Balance Sheet</t>
        </is>
      </c>
    </row>
    <row r="586">
      <c r="B586" s="39" t="n">
        <v>46148</v>
      </c>
      <c r="C586" s="3" t="inlineStr">
        <is>
          <t>Expense</t>
        </is>
      </c>
      <c r="D586" s="3" t="inlineStr"/>
      <c r="E586" s="3" t="inlineStr">
        <is>
          <t>Ledgerquill Billing SaaS</t>
        </is>
      </c>
      <c r="F586" s="3" t="inlineStr">
        <is>
          <t>Interface Service – May</t>
        </is>
      </c>
      <c r="G586" s="3" t="inlineStr">
        <is>
          <t>Interface Service</t>
        </is>
      </c>
      <c r="H586" s="3" t="inlineStr">
        <is>
          <t>Checking – Operating</t>
        </is>
      </c>
      <c r="I586" s="33" t="n">
        <v>-1702.48</v>
      </c>
      <c r="J586" s="13">
        <f>+J585+I586</f>
        <v>1121468.36</v>
      </c>
      <c r="K586" s="19">
        <f>+EOMONTH(B586,0)</f>
        <v>46173</v>
      </c>
      <c r="L586" s="3" t="inlineStr">
        <is>
          <t>Checking – Operating</t>
        </is>
      </c>
      <c r="M586" s="3" t="inlineStr">
        <is>
          <t>Balance Sheet</t>
        </is>
      </c>
    </row>
    <row r="587">
      <c r="B587" s="39" t="n">
        <v>46148</v>
      </c>
      <c r="C587" s="3" t="inlineStr">
        <is>
          <t>Journal Entry</t>
        </is>
      </c>
      <c r="D587" s="3" t="inlineStr"/>
      <c r="E587" s="3" t="inlineStr">
        <is>
          <t>Union Utilities</t>
        </is>
      </c>
      <c r="F587" s="3" t="inlineStr">
        <is>
          <t>Telecom and Internet – May</t>
        </is>
      </c>
      <c r="G587" s="3" t="inlineStr">
        <is>
          <t>Telecom and Internet</t>
        </is>
      </c>
      <c r="H587" s="3" t="inlineStr">
        <is>
          <t>Checking – Operating</t>
        </is>
      </c>
      <c r="I587" s="33" t="n">
        <v>-2603.59</v>
      </c>
      <c r="J587" s="13">
        <f>+J586+I587</f>
        <v>1118864.77</v>
      </c>
      <c r="K587" s="19">
        <f>+EOMONTH(B587,0)</f>
        <v>46173</v>
      </c>
      <c r="L587" s="3" t="inlineStr">
        <is>
          <t>Checking – Operating</t>
        </is>
      </c>
      <c r="M587" s="3" t="inlineStr">
        <is>
          <t>Balance Sheet</t>
        </is>
      </c>
    </row>
    <row r="588">
      <c r="B588" s="39" t="n">
        <v>46149</v>
      </c>
      <c r="C588" s="3" t="inlineStr">
        <is>
          <t>Bill Payment (Check)</t>
        </is>
      </c>
      <c r="D588" s="3" t="inlineStr"/>
      <c r="E588" s="3" t="inlineStr">
        <is>
          <t>Lumenlease Equipment</t>
        </is>
      </c>
      <c r="F588" s="3" t="inlineStr">
        <is>
          <t>Lab Equipment – April</t>
        </is>
      </c>
      <c r="G588" s="3" t="inlineStr">
        <is>
          <t>Accounts Payable</t>
        </is>
      </c>
      <c r="H588" s="3" t="inlineStr">
        <is>
          <t>Checking – Operating</t>
        </is>
      </c>
      <c r="I588" s="33" t="n">
        <v>-2982.89</v>
      </c>
      <c r="J588" s="13">
        <f>+J587+I588</f>
        <v>1115881.88</v>
      </c>
      <c r="K588" s="19">
        <f>+EOMONTH(B588,0)</f>
        <v>46173</v>
      </c>
      <c r="L588" s="3" t="inlineStr">
        <is>
          <t>Checking – Operating</t>
        </is>
      </c>
      <c r="M588" s="3" t="inlineStr">
        <is>
          <t>Balance Sheet</t>
        </is>
      </c>
    </row>
    <row r="589">
      <c r="B589" s="39" t="n">
        <v>46149</v>
      </c>
      <c r="C589" s="3" t="inlineStr">
        <is>
          <t>Credit Card Expense</t>
        </is>
      </c>
      <c r="D589" s="3" t="inlineStr"/>
      <c r="E589" s="3" t="inlineStr">
        <is>
          <t>Lumenlease Equipment</t>
        </is>
      </c>
      <c r="F589" s="3" t="inlineStr">
        <is>
          <t>Repairs and Maintenance – May</t>
        </is>
      </c>
      <c r="G589" s="3" t="inlineStr">
        <is>
          <t>Repairs and Maintenance</t>
        </is>
      </c>
      <c r="H589" s="3" t="inlineStr">
        <is>
          <t>Checking – Operating</t>
        </is>
      </c>
      <c r="I589" s="33" t="n">
        <v>-2105.78</v>
      </c>
      <c r="J589" s="13">
        <f>+J588+I589</f>
        <v>1113776.1</v>
      </c>
      <c r="K589" s="19">
        <f>+EOMONTH(B589,0)</f>
        <v>46173</v>
      </c>
      <c r="L589" s="3" t="inlineStr">
        <is>
          <t>Checking – Operating</t>
        </is>
      </c>
      <c r="M589" s="3" t="inlineStr">
        <is>
          <t>Balance Sheet</t>
        </is>
      </c>
    </row>
    <row r="590">
      <c r="B590" s="39" t="n">
        <v>46149</v>
      </c>
      <c r="C590" s="3" t="inlineStr">
        <is>
          <t>Expense</t>
        </is>
      </c>
      <c r="D590" s="3" t="inlineStr"/>
      <c r="E590" s="3" t="inlineStr"/>
      <c r="F590" s="3" t="inlineStr">
        <is>
          <t>Bank service charges – May</t>
        </is>
      </c>
      <c r="G590" s="3" t="inlineStr">
        <is>
          <t>Cash</t>
        </is>
      </c>
      <c r="H590" s="3" t="inlineStr">
        <is>
          <t>Checking – Operating</t>
        </is>
      </c>
      <c r="I590" s="33" t="n">
        <v>-668.53</v>
      </c>
      <c r="J590" s="13">
        <f>+J589+I590</f>
        <v>1113107.57</v>
      </c>
      <c r="K590" s="19">
        <f>+EOMONTH(B590,0)</f>
        <v>46173</v>
      </c>
      <c r="L590" s="3" t="inlineStr">
        <is>
          <t>Checking – Operating</t>
        </is>
      </c>
      <c r="M590" s="3" t="inlineStr">
        <is>
          <t>Balance Sheet</t>
        </is>
      </c>
    </row>
    <row r="591">
      <c r="B591" s="39" t="n">
        <v>46149</v>
      </c>
      <c r="C591" s="3" t="inlineStr">
        <is>
          <t>Expense</t>
        </is>
      </c>
      <c r="D591" s="3" t="inlineStr"/>
      <c r="E591" s="3" t="inlineStr">
        <is>
          <t>Tessarand Payroll Services</t>
        </is>
      </c>
      <c r="F591" s="3" t="inlineStr">
        <is>
          <t>Contractors – May</t>
        </is>
      </c>
      <c r="G591" s="3" t="inlineStr">
        <is>
          <t>Contractors</t>
        </is>
      </c>
      <c r="H591" s="3" t="inlineStr">
        <is>
          <t>Checking – Operating</t>
        </is>
      </c>
      <c r="I591" s="33" t="n">
        <v>-5206.73</v>
      </c>
      <c r="J591" s="13">
        <f>+J590+I591</f>
        <v>1107900.84</v>
      </c>
      <c r="K591" s="19">
        <f>+EOMONTH(B591,0)</f>
        <v>46173</v>
      </c>
      <c r="L591" s="3" t="inlineStr">
        <is>
          <t>Checking – Operating</t>
        </is>
      </c>
      <c r="M591" s="3" t="inlineStr">
        <is>
          <t>Balance Sheet</t>
        </is>
      </c>
    </row>
    <row r="592">
      <c r="B592" s="39" t="n">
        <v>46149</v>
      </c>
      <c r="C592" s="3" t="inlineStr">
        <is>
          <t>Expense</t>
        </is>
      </c>
      <c r="D592" s="3" t="inlineStr"/>
      <c r="E592" s="3" t="inlineStr">
        <is>
          <t>Consultant A</t>
        </is>
      </c>
      <c r="F592" s="3" t="inlineStr">
        <is>
          <t>Legal &amp; Professional Fees – May</t>
        </is>
      </c>
      <c r="G592" s="3" t="inlineStr">
        <is>
          <t>Legal &amp; Professional Fees</t>
        </is>
      </c>
      <c r="H592" s="3" t="inlineStr">
        <is>
          <t>Checking – Operating</t>
        </is>
      </c>
      <c r="I592" s="33" t="n">
        <v>-1121.45</v>
      </c>
      <c r="J592" s="13">
        <f>+J591+I592</f>
        <v>1106779.39</v>
      </c>
      <c r="K592" s="19">
        <f>+EOMONTH(B592,0)</f>
        <v>46173</v>
      </c>
      <c r="L592" s="3" t="inlineStr">
        <is>
          <t>Checking – Operating</t>
        </is>
      </c>
      <c r="M592" s="3" t="inlineStr">
        <is>
          <t>Balance Sheet</t>
        </is>
      </c>
    </row>
    <row r="593">
      <c r="B593" s="39" t="n">
        <v>46149</v>
      </c>
      <c r="C593" s="3" t="inlineStr">
        <is>
          <t>Journal Entry</t>
        </is>
      </c>
      <c r="D593" s="3" t="inlineStr"/>
      <c r="E593" s="3" t="inlineStr">
        <is>
          <t>Tessarand Payroll Services</t>
        </is>
      </c>
      <c r="F593" s="3" t="inlineStr">
        <is>
          <t>Sales and Marketing Expenses – May</t>
        </is>
      </c>
      <c r="G593" s="3" t="inlineStr">
        <is>
          <t>Sales and Marketing Expenses</t>
        </is>
      </c>
      <c r="H593" s="3" t="inlineStr">
        <is>
          <t>Checking – Operating</t>
        </is>
      </c>
      <c r="I593" s="33" t="n">
        <v>-17118.36</v>
      </c>
      <c r="J593" s="13">
        <f>+J592+I593</f>
        <v>1089661.03</v>
      </c>
      <c r="K593" s="19">
        <f>+EOMONTH(B593,0)</f>
        <v>46173</v>
      </c>
      <c r="L593" s="3" t="inlineStr">
        <is>
          <t>Checking – Operating</t>
        </is>
      </c>
      <c r="M593" s="3" t="inlineStr">
        <is>
          <t>Balance Sheet</t>
        </is>
      </c>
    </row>
    <row r="594">
      <c r="B594" s="39" t="n">
        <v>46150</v>
      </c>
      <c r="C594" s="3" t="inlineStr">
        <is>
          <t>Bill Payment (Check)</t>
        </is>
      </c>
      <c r="D594" s="3" t="inlineStr"/>
      <c r="E594" s="3" t="inlineStr">
        <is>
          <t>Reagentix Corp</t>
        </is>
      </c>
      <c r="F594" s="3" t="inlineStr">
        <is>
          <t>Lab supplies PO# F2455</t>
        </is>
      </c>
      <c r="G594" s="3" t="inlineStr">
        <is>
          <t>Accounts Payable</t>
        </is>
      </c>
      <c r="H594" s="3" t="inlineStr">
        <is>
          <t>Checking – Operating</t>
        </is>
      </c>
      <c r="I594" s="33" t="n">
        <v>-15312.03</v>
      </c>
      <c r="J594" s="13">
        <f>+J593+I594</f>
        <v>1074349</v>
      </c>
      <c r="K594" s="19">
        <f>+EOMONTH(B594,0)</f>
        <v>46173</v>
      </c>
      <c r="L594" s="3" t="inlineStr">
        <is>
          <t>Checking – Operating</t>
        </is>
      </c>
      <c r="M594" s="3" t="inlineStr">
        <is>
          <t>Balance Sheet</t>
        </is>
      </c>
    </row>
    <row r="595">
      <c r="B595" s="39" t="n">
        <v>46150</v>
      </c>
      <c r="C595" s="3" t="inlineStr">
        <is>
          <t>Bill Payment (Check)</t>
        </is>
      </c>
      <c r="D595" s="3" t="inlineStr"/>
      <c r="E595" s="3" t="inlineStr">
        <is>
          <t>Reagentix Corp</t>
        </is>
      </c>
      <c r="F595" s="3" t="inlineStr">
        <is>
          <t>Lab supplies PO# F2745</t>
        </is>
      </c>
      <c r="G595" s="3" t="inlineStr">
        <is>
          <t>Accounts Payable</t>
        </is>
      </c>
      <c r="H595" s="3" t="inlineStr">
        <is>
          <t>Checking – Operating</t>
        </is>
      </c>
      <c r="I595" s="33" t="n">
        <v>-16231.9</v>
      </c>
      <c r="J595" s="13">
        <f>+J594+I595</f>
        <v>1058117.1</v>
      </c>
      <c r="K595" s="19">
        <f>+EOMONTH(B595,0)</f>
        <v>46173</v>
      </c>
      <c r="L595" s="3" t="inlineStr">
        <is>
          <t>Checking – Operating</t>
        </is>
      </c>
      <c r="M595" s="3" t="inlineStr">
        <is>
          <t>Balance Sheet</t>
        </is>
      </c>
    </row>
    <row r="596">
      <c r="B596" s="39" t="n">
        <v>46150</v>
      </c>
      <c r="C596" s="3" t="inlineStr">
        <is>
          <t>Bill Payment (Check)</t>
        </is>
      </c>
      <c r="D596" s="3" t="inlineStr"/>
      <c r="E596" s="3" t="inlineStr">
        <is>
          <t>Halloway Ridge Realty (rent)</t>
        </is>
      </c>
      <c r="F596" s="3" t="inlineStr">
        <is>
          <t>Rent – April</t>
        </is>
      </c>
      <c r="G596" s="3" t="inlineStr">
        <is>
          <t>Accounts Payable</t>
        </is>
      </c>
      <c r="H596" s="3" t="inlineStr">
        <is>
          <t>Checking – Operating</t>
        </is>
      </c>
      <c r="I596" s="33" t="n">
        <v>-10223.17</v>
      </c>
      <c r="J596" s="13">
        <f>+J595+I596</f>
        <v>1047893.93</v>
      </c>
      <c r="K596" s="19">
        <f>+EOMONTH(B596,0)</f>
        <v>46173</v>
      </c>
      <c r="L596" s="3" t="inlineStr">
        <is>
          <t>Checking – Operating</t>
        </is>
      </c>
      <c r="M596" s="3" t="inlineStr">
        <is>
          <t>Balance Sheet</t>
        </is>
      </c>
    </row>
    <row r="597">
      <c r="B597" s="39" t="n">
        <v>46150</v>
      </c>
      <c r="C597" s="3" t="inlineStr">
        <is>
          <t>Bill Payment (Check)</t>
        </is>
      </c>
      <c r="D597" s="3" t="inlineStr"/>
      <c r="E597" s="3" t="inlineStr">
        <is>
          <t>Tarrowmere Mutual Insurance</t>
        </is>
      </c>
      <c r="F597" s="3" t="inlineStr">
        <is>
          <t>Benefits – April</t>
        </is>
      </c>
      <c r="G597" s="3" t="inlineStr">
        <is>
          <t>Accounts Payable</t>
        </is>
      </c>
      <c r="H597" s="3" t="inlineStr">
        <is>
          <t>Checking – Operating</t>
        </is>
      </c>
      <c r="I597" s="33" t="n">
        <v>-6559.15</v>
      </c>
      <c r="J597" s="13">
        <f>+J596+I597</f>
        <v>1041334.78</v>
      </c>
      <c r="K597" s="19">
        <f>+EOMONTH(B597,0)</f>
        <v>46173</v>
      </c>
      <c r="L597" s="3" t="inlineStr">
        <is>
          <t>Checking – Operating</t>
        </is>
      </c>
      <c r="M597" s="3" t="inlineStr">
        <is>
          <t>Balance Sheet</t>
        </is>
      </c>
    </row>
    <row r="598">
      <c r="B598" s="39" t="n">
        <v>46150</v>
      </c>
      <c r="C598" s="3" t="inlineStr">
        <is>
          <t>Credit Card Expense</t>
        </is>
      </c>
      <c r="D598" s="3" t="inlineStr"/>
      <c r="E598" s="3" t="inlineStr">
        <is>
          <t>Tessarand Payroll Services</t>
        </is>
      </c>
      <c r="F598" s="3" t="inlineStr">
        <is>
          <t>Recruitment – May</t>
        </is>
      </c>
      <c r="G598" s="3" t="inlineStr">
        <is>
          <t>Recruitment</t>
        </is>
      </c>
      <c r="H598" s="3" t="inlineStr">
        <is>
          <t>Checking – Operating</t>
        </is>
      </c>
      <c r="I598" s="33" t="n">
        <v>-980.02</v>
      </c>
      <c r="J598" s="13">
        <f>+J597+I598</f>
        <v>1040354.76</v>
      </c>
      <c r="K598" s="19">
        <f>+EOMONTH(B598,0)</f>
        <v>46173</v>
      </c>
      <c r="L598" s="3" t="inlineStr">
        <is>
          <t>Checking – Operating</t>
        </is>
      </c>
      <c r="M598" s="3" t="inlineStr">
        <is>
          <t>Balance Sheet</t>
        </is>
      </c>
    </row>
    <row r="599">
      <c r="B599" s="39" t="n">
        <v>46150</v>
      </c>
      <c r="C599" s="3" t="inlineStr">
        <is>
          <t>Journal Entry</t>
        </is>
      </c>
      <c r="D599" s="3" t="inlineStr"/>
      <c r="E599" s="3" t="inlineStr">
        <is>
          <t>Consultant A</t>
        </is>
      </c>
      <c r="F599" s="3" t="inlineStr">
        <is>
          <t>Professional Fees – May</t>
        </is>
      </c>
      <c r="G599" s="3" t="inlineStr">
        <is>
          <t>Professional Fees</t>
        </is>
      </c>
      <c r="H599" s="3" t="inlineStr">
        <is>
          <t>Checking – Operating</t>
        </is>
      </c>
      <c r="I599" s="33" t="n">
        <v>-5926.39</v>
      </c>
      <c r="J599" s="13">
        <f>+J598+I599</f>
        <v>1034428.37</v>
      </c>
      <c r="K599" s="19">
        <f>+EOMONTH(B599,0)</f>
        <v>46173</v>
      </c>
      <c r="L599" s="3" t="inlineStr">
        <is>
          <t>Checking – Operating</t>
        </is>
      </c>
      <c r="M599" s="3" t="inlineStr">
        <is>
          <t>Balance Sheet</t>
        </is>
      </c>
    </row>
    <row r="600">
      <c r="B600" s="39" t="n">
        <v>46151</v>
      </c>
      <c r="C600" s="3" t="inlineStr">
        <is>
          <t>Bill Payment (Check)</t>
        </is>
      </c>
      <c r="D600" s="3" t="inlineStr"/>
      <c r="E600" s="3" t="inlineStr">
        <is>
          <t>Reagentix Corp</t>
        </is>
      </c>
      <c r="F600" s="3" t="inlineStr">
        <is>
          <t>Lab Expenses – April</t>
        </is>
      </c>
      <c r="G600" s="3" t="inlineStr">
        <is>
          <t>Accounts Payable</t>
        </is>
      </c>
      <c r="H600" s="3" t="inlineStr">
        <is>
          <t>Checking – Operating</t>
        </is>
      </c>
      <c r="I600" s="33" t="n">
        <v>-4758.66</v>
      </c>
      <c r="J600" s="13">
        <f>+J599+I600</f>
        <v>1029669.71</v>
      </c>
      <c r="K600" s="19">
        <f>+EOMONTH(B600,0)</f>
        <v>46173</v>
      </c>
      <c r="L600" s="3" t="inlineStr">
        <is>
          <t>Checking – Operating</t>
        </is>
      </c>
      <c r="M600" s="3" t="inlineStr">
        <is>
          <t>Balance Sheet</t>
        </is>
      </c>
    </row>
    <row r="601">
      <c r="B601" s="39" t="n">
        <v>46151</v>
      </c>
      <c r="C601" s="3" t="inlineStr">
        <is>
          <t>Bill Payment (Check)</t>
        </is>
      </c>
      <c r="D601" s="3" t="inlineStr"/>
      <c r="E601" s="3" t="inlineStr">
        <is>
          <t>Northmoor Waste Services</t>
        </is>
      </c>
      <c r="F601" s="3" t="inlineStr">
        <is>
          <t>Waste Removal – April</t>
        </is>
      </c>
      <c r="G601" s="3" t="inlineStr">
        <is>
          <t>Accounts Payable</t>
        </is>
      </c>
      <c r="H601" s="3" t="inlineStr">
        <is>
          <t>Checking – Operating</t>
        </is>
      </c>
      <c r="I601" s="33" t="n">
        <v>-668.4400000000001</v>
      </c>
      <c r="J601" s="13">
        <f>+J600+I601</f>
        <v>1029001.27</v>
      </c>
      <c r="K601" s="19">
        <f>+EOMONTH(B601,0)</f>
        <v>46173</v>
      </c>
      <c r="L601" s="3" t="inlineStr">
        <is>
          <t>Checking – Operating</t>
        </is>
      </c>
      <c r="M601" s="3" t="inlineStr">
        <is>
          <t>Balance Sheet</t>
        </is>
      </c>
    </row>
    <row r="602">
      <c r="B602" s="39" t="n">
        <v>46151</v>
      </c>
      <c r="C602" s="3" t="inlineStr">
        <is>
          <t>Bill Payment (Check)</t>
        </is>
      </c>
      <c r="D602" s="3" t="inlineStr"/>
      <c r="E602" s="3" t="inlineStr">
        <is>
          <t>Union Utilities</t>
        </is>
      </c>
      <c r="F602" s="3" t="inlineStr">
        <is>
          <t>Utilities – April</t>
        </is>
      </c>
      <c r="G602" s="3" t="inlineStr">
        <is>
          <t>Accounts Payable</t>
        </is>
      </c>
      <c r="H602" s="3" t="inlineStr">
        <is>
          <t>Checking – Operating</t>
        </is>
      </c>
      <c r="I602" s="33" t="n">
        <v>-4783.63</v>
      </c>
      <c r="J602" s="13">
        <f>+J601+I602</f>
        <v>1024217.64</v>
      </c>
      <c r="K602" s="19">
        <f>+EOMONTH(B602,0)</f>
        <v>46173</v>
      </c>
      <c r="L602" s="3" t="inlineStr">
        <is>
          <t>Checking – Operating</t>
        </is>
      </c>
      <c r="M602" s="3" t="inlineStr">
        <is>
          <t>Balance Sheet</t>
        </is>
      </c>
    </row>
    <row r="603">
      <c r="B603" s="39" t="n">
        <v>46151</v>
      </c>
      <c r="C603" s="3" t="inlineStr">
        <is>
          <t>Deposit</t>
        </is>
      </c>
      <c r="D603" s="3" t="inlineStr"/>
      <c r="E603" s="3" t="inlineStr">
        <is>
          <t>Federal Program A</t>
        </is>
      </c>
      <c r="F603" s="3" t="inlineStr">
        <is>
          <t>ORIG CO NAME:FEDERAL PROG A ORIG ID:XXXXXX2712 DESC DATE:260509 CO ENTRY DESCR:HCCLAIMPMT SEC:CCD TRACE#:XXXXXXXX6541150 EED:260509 IND ID:</t>
        </is>
      </c>
      <c r="G603" s="3" t="inlineStr">
        <is>
          <t>Service Income</t>
        </is>
      </c>
      <c r="H603" s="3" t="inlineStr">
        <is>
          <t>Checking – Operating</t>
        </is>
      </c>
      <c r="I603" s="33" t="n">
        <v>48905.76</v>
      </c>
      <c r="J603" s="13">
        <f>+J602+I603</f>
        <v>1073123.4</v>
      </c>
      <c r="K603" s="19">
        <f>+EOMONTH(B603,0)</f>
        <v>46173</v>
      </c>
      <c r="L603" s="3" t="inlineStr">
        <is>
          <t>Checking – Operating</t>
        </is>
      </c>
      <c r="M603" s="3" t="inlineStr">
        <is>
          <t>Balance Sheet</t>
        </is>
      </c>
    </row>
    <row r="604">
      <c r="B604" s="39" t="n">
        <v>46151</v>
      </c>
      <c r="C604" s="3" t="inlineStr">
        <is>
          <t>Expense</t>
        </is>
      </c>
      <c r="D604" s="3" t="inlineStr"/>
      <c r="E604" s="3" t="inlineStr">
        <is>
          <t>Halloway Ridge Realty (rent)</t>
        </is>
      </c>
      <c r="F604" s="3" t="inlineStr">
        <is>
          <t>Landscaping – May</t>
        </is>
      </c>
      <c r="G604" s="3" t="inlineStr">
        <is>
          <t>Landscaping</t>
        </is>
      </c>
      <c r="H604" s="3" t="inlineStr">
        <is>
          <t>Checking – Operating</t>
        </is>
      </c>
      <c r="I604" s="33" t="n">
        <v>-1331.34</v>
      </c>
      <c r="J604" s="13">
        <f>+J603+I604</f>
        <v>1071792.06</v>
      </c>
      <c r="K604" s="19">
        <f>+EOMONTH(B604,0)</f>
        <v>46173</v>
      </c>
      <c r="L604" s="3" t="inlineStr">
        <is>
          <t>Checking – Operating</t>
        </is>
      </c>
      <c r="M604" s="3" t="inlineStr">
        <is>
          <t>Balance Sheet</t>
        </is>
      </c>
    </row>
    <row r="605">
      <c r="B605" s="39" t="n">
        <v>46152</v>
      </c>
      <c r="C605" s="3" t="inlineStr">
        <is>
          <t>Credit Card Expense</t>
        </is>
      </c>
      <c r="D605" s="3" t="inlineStr"/>
      <c r="E605" s="3" t="inlineStr"/>
      <c r="F605" s="3" t="inlineStr">
        <is>
          <t>Meals and Entertainment – May</t>
        </is>
      </c>
      <c r="G605" s="3" t="inlineStr">
        <is>
          <t>Meals and Entertainment</t>
        </is>
      </c>
      <c r="H605" s="3" t="inlineStr">
        <is>
          <t>Checking – Operating</t>
        </is>
      </c>
      <c r="I605" s="33" t="n">
        <v>-706.33</v>
      </c>
      <c r="J605" s="13">
        <f>+J604+I605</f>
        <v>1071085.73</v>
      </c>
      <c r="K605" s="19">
        <f>+EOMONTH(B605,0)</f>
        <v>46173</v>
      </c>
      <c r="L605" s="3" t="inlineStr">
        <is>
          <t>Checking – Operating</t>
        </is>
      </c>
      <c r="M605" s="3" t="inlineStr">
        <is>
          <t>Balance Sheet</t>
        </is>
      </c>
    </row>
    <row r="606">
      <c r="B606" s="39" t="n">
        <v>46152</v>
      </c>
      <c r="C606" s="3" t="inlineStr">
        <is>
          <t>Credit Card Expense</t>
        </is>
      </c>
      <c r="D606" s="3" t="inlineStr"/>
      <c r="E606" s="3" t="inlineStr">
        <is>
          <t>Union Utilities</t>
        </is>
      </c>
      <c r="F606" s="3" t="inlineStr">
        <is>
          <t>Fax Service – May</t>
        </is>
      </c>
      <c r="G606" s="3" t="inlineStr">
        <is>
          <t>Fax Service</t>
        </is>
      </c>
      <c r="H606" s="3" t="inlineStr">
        <is>
          <t>Checking – Operating</t>
        </is>
      </c>
      <c r="I606" s="33" t="n">
        <v>-790.99</v>
      </c>
      <c r="J606" s="13">
        <f>+J605+I606</f>
        <v>1070294.74</v>
      </c>
      <c r="K606" s="19">
        <f>+EOMONTH(B606,0)</f>
        <v>46173</v>
      </c>
      <c r="L606" s="3" t="inlineStr">
        <is>
          <t>Checking – Operating</t>
        </is>
      </c>
      <c r="M606" s="3" t="inlineStr">
        <is>
          <t>Balance Sheet</t>
        </is>
      </c>
    </row>
    <row r="607">
      <c r="B607" s="39" t="n">
        <v>46152</v>
      </c>
      <c r="C607" s="3" t="inlineStr">
        <is>
          <t>Expense</t>
        </is>
      </c>
      <c r="D607" s="3" t="inlineStr"/>
      <c r="E607" s="3" t="inlineStr"/>
      <c r="F607" s="3" t="inlineStr">
        <is>
          <t>Patient refund</t>
        </is>
      </c>
      <c r="G607" s="3" t="inlineStr">
        <is>
          <t>Refunds</t>
        </is>
      </c>
      <c r="H607" s="3" t="inlineStr">
        <is>
          <t>Checking – Operating</t>
        </is>
      </c>
      <c r="I607" s="33" t="n">
        <v>-5193.22</v>
      </c>
      <c r="J607" s="13">
        <f>+J606+I607</f>
        <v>1065101.52</v>
      </c>
      <c r="K607" s="19">
        <f>+EOMONTH(B607,0)</f>
        <v>46173</v>
      </c>
      <c r="L607" s="3" t="inlineStr">
        <is>
          <t>Checking – Operating</t>
        </is>
      </c>
      <c r="M607" s="3" t="inlineStr">
        <is>
          <t>Balance Sheet</t>
        </is>
      </c>
    </row>
    <row r="608">
      <c r="B608" s="39" t="n">
        <v>46152</v>
      </c>
      <c r="C608" s="3" t="inlineStr">
        <is>
          <t>Expense</t>
        </is>
      </c>
      <c r="D608" s="3" t="inlineStr"/>
      <c r="E608" s="3" t="inlineStr">
        <is>
          <t>Tessarand Payroll Services</t>
        </is>
      </c>
      <c r="F608" s="3" t="inlineStr">
        <is>
          <t>Sales and Marketing Expenses – May</t>
        </is>
      </c>
      <c r="G608" s="3" t="inlineStr">
        <is>
          <t>Sales and Marketing Expenses</t>
        </is>
      </c>
      <c r="H608" s="3" t="inlineStr">
        <is>
          <t>Checking – Operating</t>
        </is>
      </c>
      <c r="I608" s="33" t="n">
        <v>-17960.5</v>
      </c>
      <c r="J608" s="13">
        <f>+J607+I608</f>
        <v>1047141.02</v>
      </c>
      <c r="K608" s="19">
        <f>+EOMONTH(B608,0)</f>
        <v>46173</v>
      </c>
      <c r="L608" s="3" t="inlineStr">
        <is>
          <t>Checking – Operating</t>
        </is>
      </c>
      <c r="M608" s="3" t="inlineStr">
        <is>
          <t>Balance Sheet</t>
        </is>
      </c>
    </row>
    <row r="609">
      <c r="B609" s="39" t="n">
        <v>46152</v>
      </c>
      <c r="C609" s="3" t="inlineStr">
        <is>
          <t>Expense</t>
        </is>
      </c>
      <c r="D609" s="3" t="inlineStr"/>
      <c r="E609" s="3" t="inlineStr"/>
      <c r="F609" s="3" t="inlineStr">
        <is>
          <t>Business Licenses and Permits – May</t>
        </is>
      </c>
      <c r="G609" s="3" t="inlineStr">
        <is>
          <t>Business Licenses and Permits</t>
        </is>
      </c>
      <c r="H609" s="3" t="inlineStr">
        <is>
          <t>Checking – Operating</t>
        </is>
      </c>
      <c r="I609" s="33" t="n">
        <v>-630.21</v>
      </c>
      <c r="J609" s="13">
        <f>+J608+I609</f>
        <v>1046510.81</v>
      </c>
      <c r="K609" s="19">
        <f>+EOMONTH(B609,0)</f>
        <v>46173</v>
      </c>
      <c r="L609" s="3" t="inlineStr">
        <is>
          <t>Checking – Operating</t>
        </is>
      </c>
      <c r="M609" s="3" t="inlineStr">
        <is>
          <t>Balance Sheet</t>
        </is>
      </c>
    </row>
    <row r="610">
      <c r="B610" s="39" t="n">
        <v>46152</v>
      </c>
      <c r="C610" s="3" t="inlineStr">
        <is>
          <t>Journal Entry</t>
        </is>
      </c>
      <c r="D610" s="3" t="inlineStr"/>
      <c r="E610" s="3" t="inlineStr"/>
      <c r="F610" s="3" t="inlineStr">
        <is>
          <t>Gas – May</t>
        </is>
      </c>
      <c r="G610" s="3" t="inlineStr">
        <is>
          <t>Gas</t>
        </is>
      </c>
      <c r="H610" s="3" t="inlineStr">
        <is>
          <t>Checking – Operating</t>
        </is>
      </c>
      <c r="I610" s="33" t="n">
        <v>-697.03</v>
      </c>
      <c r="J610" s="13">
        <f>+J609+I610</f>
        <v>1045813.78</v>
      </c>
      <c r="K610" s="19">
        <f>+EOMONTH(B610,0)</f>
        <v>46173</v>
      </c>
      <c r="L610" s="3" t="inlineStr">
        <is>
          <t>Checking – Operating</t>
        </is>
      </c>
      <c r="M610" s="3" t="inlineStr">
        <is>
          <t>Balance Sheet</t>
        </is>
      </c>
    </row>
    <row r="611">
      <c r="B611" s="39" t="n">
        <v>46153</v>
      </c>
      <c r="C611" s="3" t="inlineStr">
        <is>
          <t>Deposit</t>
        </is>
      </c>
      <c r="D611" s="3" t="inlineStr"/>
      <c r="E611" s="3" t="inlineStr">
        <is>
          <t>Silvermoss Senior Living</t>
        </is>
      </c>
      <c r="F611" s="3" t="inlineStr">
        <is>
          <t>ORIG CO NAME:SILVERMOSS SL ORIG ID:XXXXXX7728 DESC DATE:260511 CO ENTRY DESCR:HCCLAIMPMT SEC:CCD TRACE#:XXXXXXXX1755127 EED:260511 IND ID:</t>
        </is>
      </c>
      <c r="G611" s="3" t="inlineStr">
        <is>
          <t>Service Income</t>
        </is>
      </c>
      <c r="H611" s="3" t="inlineStr">
        <is>
          <t>Checking – Operating</t>
        </is>
      </c>
      <c r="I611" s="33" t="n">
        <v>32380.84</v>
      </c>
      <c r="J611" s="13">
        <f>+J610+I611</f>
        <v>1078194.62</v>
      </c>
      <c r="K611" s="19">
        <f>+EOMONTH(B611,0)</f>
        <v>46173</v>
      </c>
      <c r="L611" s="3" t="inlineStr">
        <is>
          <t>Checking – Operating</t>
        </is>
      </c>
      <c r="M611" s="3" t="inlineStr">
        <is>
          <t>Balance Sheet</t>
        </is>
      </c>
    </row>
    <row r="612">
      <c r="B612" s="39" t="n">
        <v>46153</v>
      </c>
      <c r="C612" s="3" t="inlineStr">
        <is>
          <t>Expense</t>
        </is>
      </c>
      <c r="D612" s="3" t="inlineStr"/>
      <c r="E612" s="3" t="inlineStr"/>
      <c r="F612" s="3" t="inlineStr">
        <is>
          <t>Bank service charges – May</t>
        </is>
      </c>
      <c r="G612" s="3" t="inlineStr">
        <is>
          <t>Bank Fees</t>
        </is>
      </c>
      <c r="H612" s="3" t="inlineStr">
        <is>
          <t>Checking – Operating</t>
        </is>
      </c>
      <c r="I612" s="33" t="n">
        <v>-1891.91</v>
      </c>
      <c r="J612" s="13">
        <f>+J611+I612</f>
        <v>1076302.71</v>
      </c>
      <c r="K612" s="19">
        <f>+EOMONTH(B612,0)</f>
        <v>46173</v>
      </c>
      <c r="L612" s="3" t="inlineStr">
        <is>
          <t>Checking – Operating</t>
        </is>
      </c>
      <c r="M612" s="3" t="inlineStr">
        <is>
          <t>Balance Sheet</t>
        </is>
      </c>
    </row>
    <row r="613">
      <c r="B613" s="39" t="n">
        <v>46153</v>
      </c>
      <c r="C613" s="3" t="inlineStr">
        <is>
          <t>Journal Entry</t>
        </is>
      </c>
      <c r="D613" s="3" t="inlineStr"/>
      <c r="E613" s="3" t="inlineStr">
        <is>
          <t>Swiftmere Courier</t>
        </is>
      </c>
      <c r="F613" s="3" t="inlineStr">
        <is>
          <t>Postage and Delivery – May</t>
        </is>
      </c>
      <c r="G613" s="3" t="inlineStr">
        <is>
          <t>Postage and Delivery</t>
        </is>
      </c>
      <c r="H613" s="3" t="inlineStr">
        <is>
          <t>Checking – Operating</t>
        </is>
      </c>
      <c r="I613" s="33" t="n">
        <v>-840</v>
      </c>
      <c r="J613" s="13">
        <f>+J612+I613</f>
        <v>1075462.71</v>
      </c>
      <c r="K613" s="19">
        <f>+EOMONTH(B613,0)</f>
        <v>46173</v>
      </c>
      <c r="L613" s="3" t="inlineStr">
        <is>
          <t>Checking – Operating</t>
        </is>
      </c>
      <c r="M613" s="3" t="inlineStr">
        <is>
          <t>Balance Sheet</t>
        </is>
      </c>
    </row>
    <row r="614">
      <c r="B614" s="39" t="n">
        <v>46154</v>
      </c>
      <c r="C614" s="3" t="inlineStr">
        <is>
          <t>Bill Payment (Check)</t>
        </is>
      </c>
      <c r="D614" s="3" t="inlineStr"/>
      <c r="E614" s="3" t="inlineStr">
        <is>
          <t>Reagentix Corp</t>
        </is>
      </c>
      <c r="F614" s="3" t="inlineStr">
        <is>
          <t>Lab supplies PO# F2955</t>
        </is>
      </c>
      <c r="G614" s="3" t="inlineStr">
        <is>
          <t>Accounts Payable</t>
        </is>
      </c>
      <c r="H614" s="3" t="inlineStr">
        <is>
          <t>Checking – Operating</t>
        </is>
      </c>
      <c r="I614" s="33" t="n">
        <v>-31572.52</v>
      </c>
      <c r="J614" s="13">
        <f>+J613+I614</f>
        <v>1043890.19</v>
      </c>
      <c r="K614" s="19">
        <f>+EOMONTH(B614,0)</f>
        <v>46173</v>
      </c>
      <c r="L614" s="3" t="inlineStr">
        <is>
          <t>Checking – Operating</t>
        </is>
      </c>
      <c r="M614" s="3" t="inlineStr">
        <is>
          <t>Balance Sheet</t>
        </is>
      </c>
    </row>
    <row r="615">
      <c r="B615" s="39" t="n">
        <v>46154</v>
      </c>
      <c r="C615" s="3" t="inlineStr">
        <is>
          <t>Expense</t>
        </is>
      </c>
      <c r="D615" s="3" t="inlineStr"/>
      <c r="E615" s="3" t="inlineStr"/>
      <c r="F615" s="3" t="inlineStr">
        <is>
          <t>Parking – May</t>
        </is>
      </c>
      <c r="G615" s="3" t="inlineStr">
        <is>
          <t>Parking</t>
        </is>
      </c>
      <c r="H615" s="3" t="inlineStr">
        <is>
          <t>Checking – Operating</t>
        </is>
      </c>
      <c r="I615" s="33" t="n">
        <v>-599.48</v>
      </c>
      <c r="J615" s="13">
        <f>+J614+I615</f>
        <v>1043290.71</v>
      </c>
      <c r="K615" s="19">
        <f>+EOMONTH(B615,0)</f>
        <v>46173</v>
      </c>
      <c r="L615" s="3" t="inlineStr">
        <is>
          <t>Checking – Operating</t>
        </is>
      </c>
      <c r="M615" s="3" t="inlineStr">
        <is>
          <t>Balance Sheet</t>
        </is>
      </c>
    </row>
    <row r="616">
      <c r="B616" s="39" t="n">
        <v>46154</v>
      </c>
      <c r="C616" s="3" t="inlineStr">
        <is>
          <t>Journal Entry</t>
        </is>
      </c>
      <c r="D616" s="3" t="inlineStr"/>
      <c r="E616" s="3" t="inlineStr">
        <is>
          <t>Ledgerquill Billing SaaS</t>
        </is>
      </c>
      <c r="F616" s="3" t="inlineStr">
        <is>
          <t>Dues &amp; Subscriptions – May</t>
        </is>
      </c>
      <c r="G616" s="3" t="inlineStr">
        <is>
          <t>Dues &amp; Subscriptions</t>
        </is>
      </c>
      <c r="H616" s="3" t="inlineStr">
        <is>
          <t>Checking – Operating</t>
        </is>
      </c>
      <c r="I616" s="33" t="n">
        <v>-1236.41</v>
      </c>
      <c r="J616" s="13">
        <f>+J615+I616</f>
        <v>1042054.3</v>
      </c>
      <c r="K616" s="19">
        <f>+EOMONTH(B616,0)</f>
        <v>46173</v>
      </c>
      <c r="L616" s="3" t="inlineStr">
        <is>
          <t>Checking – Operating</t>
        </is>
      </c>
      <c r="M616" s="3" t="inlineStr">
        <is>
          <t>Balance Sheet</t>
        </is>
      </c>
    </row>
    <row r="617">
      <c r="B617" s="39" t="n">
        <v>46154</v>
      </c>
      <c r="C617" s="3" t="inlineStr">
        <is>
          <t>Journal Entry</t>
        </is>
      </c>
      <c r="D617" s="3" t="inlineStr"/>
      <c r="E617" s="3" t="inlineStr"/>
      <c r="F617" s="3" t="inlineStr">
        <is>
          <t>Car expense – May</t>
        </is>
      </c>
      <c r="G617" s="3" t="inlineStr">
        <is>
          <t>Car expense</t>
        </is>
      </c>
      <c r="H617" s="3" t="inlineStr">
        <is>
          <t>Checking – Operating</t>
        </is>
      </c>
      <c r="I617" s="33" t="n">
        <v>-475.79</v>
      </c>
      <c r="J617" s="13">
        <f>+J616+I617</f>
        <v>1041578.51</v>
      </c>
      <c r="K617" s="19">
        <f>+EOMONTH(B617,0)</f>
        <v>46173</v>
      </c>
      <c r="L617" s="3" t="inlineStr">
        <is>
          <t>Checking – Operating</t>
        </is>
      </c>
      <c r="M617" s="3" t="inlineStr">
        <is>
          <t>Balance Sheet</t>
        </is>
      </c>
    </row>
    <row r="618">
      <c r="B618" s="39" t="n">
        <v>46155</v>
      </c>
      <c r="C618" s="3" t="inlineStr">
        <is>
          <t>Credit Card Expense</t>
        </is>
      </c>
      <c r="D618" s="3" t="inlineStr"/>
      <c r="E618" s="3" t="inlineStr"/>
      <c r="F618" s="3" t="inlineStr">
        <is>
          <t>Parking – May</t>
        </is>
      </c>
      <c r="G618" s="3" t="inlineStr">
        <is>
          <t>Parking</t>
        </is>
      </c>
      <c r="H618" s="3" t="inlineStr">
        <is>
          <t>Checking – Operating</t>
        </is>
      </c>
      <c r="I618" s="33" t="n">
        <v>-600.52</v>
      </c>
      <c r="J618" s="13">
        <f>+J617+I618</f>
        <v>1040977.99</v>
      </c>
      <c r="K618" s="19">
        <f>+EOMONTH(B618,0)</f>
        <v>46173</v>
      </c>
      <c r="L618" s="3" t="inlineStr">
        <is>
          <t>Checking – Operating</t>
        </is>
      </c>
      <c r="M618" s="3" t="inlineStr">
        <is>
          <t>Balance Sheet</t>
        </is>
      </c>
    </row>
    <row r="619">
      <c r="B619" s="39" t="n">
        <v>46155</v>
      </c>
      <c r="C619" s="3" t="inlineStr">
        <is>
          <t>Deposit</t>
        </is>
      </c>
      <c r="D619" s="3" t="inlineStr"/>
      <c r="E619" s="3" t="inlineStr">
        <is>
          <t>Marrowby Mutual</t>
        </is>
      </c>
      <c r="F619" s="3" t="inlineStr">
        <is>
          <t>ORIG CO NAME:MARROWBY MUTUAL ORIG ID:XXXXXX1727 DESC DATE:260513 CO ENTRY DESCR:HCCLAIMPMT SEC:CCD TRACE#:XXXXXXXX8278679 EED:260513 IND ID:</t>
        </is>
      </c>
      <c r="G619" s="3" t="inlineStr">
        <is>
          <t>Service Income</t>
        </is>
      </c>
      <c r="H619" s="3" t="inlineStr">
        <is>
          <t>Checking – Operating</t>
        </is>
      </c>
      <c r="I619" s="33" t="n">
        <v>72881.60000000001</v>
      </c>
      <c r="J619" s="13">
        <f>+J618+I619</f>
        <v>1113859.59</v>
      </c>
      <c r="K619" s="19">
        <f>+EOMONTH(B619,0)</f>
        <v>46173</v>
      </c>
      <c r="L619" s="3" t="inlineStr">
        <is>
          <t>Checking – Operating</t>
        </is>
      </c>
      <c r="M619" s="3" t="inlineStr">
        <is>
          <t>Balance Sheet</t>
        </is>
      </c>
    </row>
    <row r="620">
      <c r="B620" s="39" t="n">
        <v>46155</v>
      </c>
      <c r="C620" s="3" t="inlineStr">
        <is>
          <t>Deposit</t>
        </is>
      </c>
      <c r="D620" s="3" t="inlineStr"/>
      <c r="E620" s="3" t="inlineStr">
        <is>
          <t>Quayside Choice Senior Plan</t>
        </is>
      </c>
      <c r="F620" s="3" t="inlineStr">
        <is>
          <t>ORIG CO NAME:QUAYSIDE CHOICE SP ORIG ID:XXXXXX2641 DESC DATE:260513 CO ENTRY DESCR:HCCLAIMPMT SEC:CCD TRACE#:XXXXXXXX5946740 EED:260513 IND ID:</t>
        </is>
      </c>
      <c r="G620" s="3" t="inlineStr">
        <is>
          <t>Service Income</t>
        </is>
      </c>
      <c r="H620" s="3" t="inlineStr">
        <is>
          <t>Checking – Operating</t>
        </is>
      </c>
      <c r="I620" s="33" t="n">
        <v>53580.53</v>
      </c>
      <c r="J620" s="13">
        <f>+J619+I620</f>
        <v>1167440.12</v>
      </c>
      <c r="K620" s="19">
        <f>+EOMONTH(B620,0)</f>
        <v>46173</v>
      </c>
      <c r="L620" s="3" t="inlineStr">
        <is>
          <t>Checking – Operating</t>
        </is>
      </c>
      <c r="M620" s="3" t="inlineStr">
        <is>
          <t>Balance Sheet</t>
        </is>
      </c>
    </row>
    <row r="621">
      <c r="B621" s="39" t="n">
        <v>46155</v>
      </c>
      <c r="C621" s="3" t="inlineStr">
        <is>
          <t>Journal Entry</t>
        </is>
      </c>
      <c r="D621" s="3" t="inlineStr"/>
      <c r="E621" s="3" t="inlineStr"/>
      <c r="F621" s="3" t="inlineStr">
        <is>
          <t>Property tax installment</t>
        </is>
      </c>
      <c r="G621" s="3" t="inlineStr">
        <is>
          <t>Property tax</t>
        </is>
      </c>
      <c r="H621" s="3" t="inlineStr">
        <is>
          <t>Checking – Operating</t>
        </is>
      </c>
      <c r="I621" s="33" t="n">
        <v>-1064.25</v>
      </c>
      <c r="J621" s="13">
        <f>+J620+I621</f>
        <v>1166375.87</v>
      </c>
      <c r="K621" s="19">
        <f>+EOMONTH(B621,0)</f>
        <v>46173</v>
      </c>
      <c r="L621" s="3" t="inlineStr">
        <is>
          <t>Checking – Operating</t>
        </is>
      </c>
      <c r="M621" s="3" t="inlineStr">
        <is>
          <t>Balance Sheet</t>
        </is>
      </c>
    </row>
    <row r="622">
      <c r="B622" s="39" t="n">
        <v>46155</v>
      </c>
      <c r="C622" s="3" t="inlineStr">
        <is>
          <t>Journal Entry</t>
        </is>
      </c>
      <c r="D622" s="3" t="inlineStr"/>
      <c r="E622" s="3" t="inlineStr">
        <is>
          <t>Union Utilities</t>
        </is>
      </c>
      <c r="F622" s="3" t="inlineStr">
        <is>
          <t>Telecom and Internet – May</t>
        </is>
      </c>
      <c r="G622" s="3" t="inlineStr">
        <is>
          <t>Telecom and Internet</t>
        </is>
      </c>
      <c r="H622" s="3" t="inlineStr">
        <is>
          <t>Checking – Operating</t>
        </is>
      </c>
      <c r="I622" s="33" t="n">
        <v>-2766.41</v>
      </c>
      <c r="J622" s="13">
        <f>+J621+I622</f>
        <v>1163609.46</v>
      </c>
      <c r="K622" s="19">
        <f>+EOMONTH(B622,0)</f>
        <v>46173</v>
      </c>
      <c r="L622" s="3" t="inlineStr">
        <is>
          <t>Checking – Operating</t>
        </is>
      </c>
      <c r="M622" s="3" t="inlineStr">
        <is>
          <t>Balance Sheet</t>
        </is>
      </c>
    </row>
    <row r="623">
      <c r="B623" s="39" t="n">
        <v>46156</v>
      </c>
      <c r="C623" s="3" t="inlineStr">
        <is>
          <t>Bill Payment (Check)</t>
        </is>
      </c>
      <c r="D623" s="3" t="inlineStr"/>
      <c r="E623" s="3" t="inlineStr">
        <is>
          <t>Halloway Ridge Realty (rent)</t>
        </is>
      </c>
      <c r="F623" s="3" t="inlineStr">
        <is>
          <t>Rent – April</t>
        </is>
      </c>
      <c r="G623" s="3" t="inlineStr">
        <is>
          <t>Accounts Payable</t>
        </is>
      </c>
      <c r="H623" s="3" t="inlineStr">
        <is>
          <t>Checking – Operating</t>
        </is>
      </c>
      <c r="I623" s="33" t="n">
        <v>-11629.32</v>
      </c>
      <c r="J623" s="13">
        <f>+J622+I623</f>
        <v>1151980.14</v>
      </c>
      <c r="K623" s="19">
        <f>+EOMONTH(B623,0)</f>
        <v>46173</v>
      </c>
      <c r="L623" s="3" t="inlineStr">
        <is>
          <t>Checking – Operating</t>
        </is>
      </c>
      <c r="M623" s="3" t="inlineStr">
        <is>
          <t>Balance Sheet</t>
        </is>
      </c>
    </row>
    <row r="624">
      <c r="B624" s="39" t="n">
        <v>46156</v>
      </c>
      <c r="C624" s="3" t="inlineStr">
        <is>
          <t>Credit Card Expense</t>
        </is>
      </c>
      <c r="D624" s="3" t="inlineStr"/>
      <c r="E624" s="3" t="inlineStr">
        <is>
          <t>Lumenlease Equipment</t>
        </is>
      </c>
      <c r="F624" s="3" t="inlineStr">
        <is>
          <t>Repairs and Maintenance – May</t>
        </is>
      </c>
      <c r="G624" s="3" t="inlineStr">
        <is>
          <t>Repairs and Maintenance</t>
        </is>
      </c>
      <c r="H624" s="3" t="inlineStr">
        <is>
          <t>Checking – Operating</t>
        </is>
      </c>
      <c r="I624" s="33" t="n">
        <v>-5463.41</v>
      </c>
      <c r="J624" s="13">
        <f>+J623+I624</f>
        <v>1146516.73</v>
      </c>
      <c r="K624" s="19">
        <f>+EOMONTH(B624,0)</f>
        <v>46173</v>
      </c>
      <c r="L624" s="3" t="inlineStr">
        <is>
          <t>Checking – Operating</t>
        </is>
      </c>
      <c r="M624" s="3" t="inlineStr">
        <is>
          <t>Balance Sheet</t>
        </is>
      </c>
    </row>
    <row r="625">
      <c r="B625" s="39" t="n">
        <v>46156</v>
      </c>
      <c r="C625" s="3" t="inlineStr">
        <is>
          <t>Deposit</t>
        </is>
      </c>
      <c r="D625" s="3" t="inlineStr"/>
      <c r="E625" s="3" t="inlineStr">
        <is>
          <t>Federal Program A</t>
        </is>
      </c>
      <c r="F625" s="3" t="inlineStr">
        <is>
          <t>ORIG CO NAME:FEDERAL PROG A ORIG ID:XXXXXX6873 DESC DATE:260514 CO ENTRY DESCR:HCCLAIMPMT SEC:CCD TRACE#:XXXXXXXX7251035 EED:260514 IND ID:</t>
        </is>
      </c>
      <c r="G625" s="3" t="inlineStr">
        <is>
          <t>Service Income</t>
        </is>
      </c>
      <c r="H625" s="3" t="inlineStr">
        <is>
          <t>Checking – Operating</t>
        </is>
      </c>
      <c r="I625" s="33" t="n">
        <v>75769.64999999999</v>
      </c>
      <c r="J625" s="13">
        <f>+J624+I625</f>
        <v>1222286.38</v>
      </c>
      <c r="K625" s="19">
        <f>+EOMONTH(B625,0)</f>
        <v>46173</v>
      </c>
      <c r="L625" s="3" t="inlineStr">
        <is>
          <t>Checking – Operating</t>
        </is>
      </c>
      <c r="M625" s="3" t="inlineStr">
        <is>
          <t>Balance Sheet</t>
        </is>
      </c>
    </row>
    <row r="626">
      <c r="B626" s="39" t="n">
        <v>46156</v>
      </c>
      <c r="C626" s="3" t="inlineStr">
        <is>
          <t>Expense</t>
        </is>
      </c>
      <c r="D626" s="3" t="inlineStr"/>
      <c r="E626" s="3" t="inlineStr">
        <is>
          <t>Lumenlease Equipment</t>
        </is>
      </c>
      <c r="F626" s="3" t="inlineStr">
        <is>
          <t>Repairs and Maintenance – May</t>
        </is>
      </c>
      <c r="G626" s="3" t="inlineStr">
        <is>
          <t>Repairs and Maintenance</t>
        </is>
      </c>
      <c r="H626" s="3" t="inlineStr">
        <is>
          <t>Checking – Operating</t>
        </is>
      </c>
      <c r="I626" s="33" t="n">
        <v>-4036.59</v>
      </c>
      <c r="J626" s="13">
        <f>+J625+I626</f>
        <v>1218249.79</v>
      </c>
      <c r="K626" s="19">
        <f>+EOMONTH(B626,0)</f>
        <v>46173</v>
      </c>
      <c r="L626" s="3" t="inlineStr">
        <is>
          <t>Checking – Operating</t>
        </is>
      </c>
      <c r="M626" s="3" t="inlineStr">
        <is>
          <t>Balance Sheet</t>
        </is>
      </c>
    </row>
    <row r="627">
      <c r="B627" s="39" t="n">
        <v>46156</v>
      </c>
      <c r="C627" s="3" t="inlineStr">
        <is>
          <t>Payroll Check</t>
        </is>
      </c>
      <c r="D627" s="3" t="inlineStr"/>
      <c r="E627" s="3" t="inlineStr">
        <is>
          <t>Tessarand Payroll Services</t>
        </is>
      </c>
      <c r="F627" s="3" t="inlineStr">
        <is>
          <t>Payroll – biweekly</t>
        </is>
      </c>
      <c r="G627" s="3" t="inlineStr">
        <is>
          <t>Salaries and Wages</t>
        </is>
      </c>
      <c r="H627" s="3" t="inlineStr">
        <is>
          <t>Checking – Operating</t>
        </is>
      </c>
      <c r="I627" s="33" t="n">
        <v>-171319.98</v>
      </c>
      <c r="J627" s="13">
        <f>+J626+I627</f>
        <v>1046929.81</v>
      </c>
      <c r="K627" s="19">
        <f>+EOMONTH(B627,0)</f>
        <v>46173</v>
      </c>
      <c r="L627" s="3" t="inlineStr">
        <is>
          <t>Checking – Operating</t>
        </is>
      </c>
      <c r="M627" s="3" t="inlineStr">
        <is>
          <t>Balance Sheet</t>
        </is>
      </c>
    </row>
    <row r="628">
      <c r="B628" s="39" t="n">
        <v>46157</v>
      </c>
      <c r="C628" s="3" t="inlineStr">
        <is>
          <t>Deposit</t>
        </is>
      </c>
      <c r="D628" s="3" t="inlineStr"/>
      <c r="E628" s="3" t="inlineStr">
        <is>
          <t>Quayside Choice Senior Plan</t>
        </is>
      </c>
      <c r="F628" s="3" t="inlineStr">
        <is>
          <t>ORIG CO NAME:QUAYSIDE CHOICE SP ORIG ID:XXXXXX3999 DESC DATE:260515 CO ENTRY DESCR:HCCLAIMPMT SEC:CCD TRACE#:XXXXXXXX2984819 EED:260515 IND ID:</t>
        </is>
      </c>
      <c r="G628" s="3" t="inlineStr">
        <is>
          <t>Service Income</t>
        </is>
      </c>
      <c r="H628" s="3" t="inlineStr">
        <is>
          <t>Checking – Operating</t>
        </is>
      </c>
      <c r="I628" s="33" t="n">
        <v>32907.23</v>
      </c>
      <c r="J628" s="13">
        <f>+J627+I628</f>
        <v>1079837.04</v>
      </c>
      <c r="K628" s="19">
        <f>+EOMONTH(B628,0)</f>
        <v>46173</v>
      </c>
      <c r="L628" s="3" t="inlineStr">
        <is>
          <t>Checking – Operating</t>
        </is>
      </c>
      <c r="M628" s="3" t="inlineStr">
        <is>
          <t>Balance Sheet</t>
        </is>
      </c>
    </row>
    <row r="629">
      <c r="B629" s="39" t="n">
        <v>46157</v>
      </c>
      <c r="C629" s="3" t="inlineStr">
        <is>
          <t>Expense</t>
        </is>
      </c>
      <c r="D629" s="3" t="inlineStr"/>
      <c r="E629" s="3" t="inlineStr">
        <is>
          <t>Consultant A</t>
        </is>
      </c>
      <c r="F629" s="3" t="inlineStr">
        <is>
          <t>Consulting – May</t>
        </is>
      </c>
      <c r="G629" s="3" t="inlineStr">
        <is>
          <t>Consulting</t>
        </is>
      </c>
      <c r="H629" s="3" t="inlineStr">
        <is>
          <t>Checking – Operating</t>
        </is>
      </c>
      <c r="I629" s="33" t="n">
        <v>-3408.43</v>
      </c>
      <c r="J629" s="13">
        <f>+J628+I629</f>
        <v>1076428.61</v>
      </c>
      <c r="K629" s="19">
        <f>+EOMONTH(B629,0)</f>
        <v>46173</v>
      </c>
      <c r="L629" s="3" t="inlineStr">
        <is>
          <t>Checking – Operating</t>
        </is>
      </c>
      <c r="M629" s="3" t="inlineStr">
        <is>
          <t>Balance Sheet</t>
        </is>
      </c>
    </row>
    <row r="630">
      <c r="B630" s="39" t="n">
        <v>46158</v>
      </c>
      <c r="C630" s="3" t="inlineStr">
        <is>
          <t>Bill Payment (Check)</t>
        </is>
      </c>
      <c r="D630" s="3" t="inlineStr"/>
      <c r="E630" s="3" t="inlineStr">
        <is>
          <t>Ledgerquill Billing SaaS</t>
        </is>
      </c>
      <c r="F630" s="3" t="inlineStr">
        <is>
          <t>Billing Software as a Service – April</t>
        </is>
      </c>
      <c r="G630" s="3" t="inlineStr">
        <is>
          <t>Accounts Payable</t>
        </is>
      </c>
      <c r="H630" s="3" t="inlineStr">
        <is>
          <t>Checking – Operating</t>
        </is>
      </c>
      <c r="I630" s="33" t="n">
        <v>-15731.77</v>
      </c>
      <c r="J630" s="13">
        <f>+J629+I630</f>
        <v>1060696.84</v>
      </c>
      <c r="K630" s="19">
        <f>+EOMONTH(B630,0)</f>
        <v>46173</v>
      </c>
      <c r="L630" s="3" t="inlineStr">
        <is>
          <t>Checking – Operating</t>
        </is>
      </c>
      <c r="M630" s="3" t="inlineStr">
        <is>
          <t>Balance Sheet</t>
        </is>
      </c>
    </row>
    <row r="631">
      <c r="B631" s="39" t="n">
        <v>46158</v>
      </c>
      <c r="C631" s="3" t="inlineStr">
        <is>
          <t>Deposit</t>
        </is>
      </c>
      <c r="D631" s="3" t="inlineStr"/>
      <c r="E631" s="3" t="inlineStr">
        <is>
          <t>Silvermoss Senior Living</t>
        </is>
      </c>
      <c r="F631" s="3" t="inlineStr">
        <is>
          <t>ORIG CO NAME:SILVERMOSS SL ORIG ID:XXXXXX4336 DESC DATE:260516 CO ENTRY DESCR:HCCLAIMPMT SEC:CCD TRACE#:XXXXXXXX4716414 EED:260516 IND ID:</t>
        </is>
      </c>
      <c r="G631" s="3" t="inlineStr">
        <is>
          <t>Service Income</t>
        </is>
      </c>
      <c r="H631" s="3" t="inlineStr">
        <is>
          <t>Checking – Operating</t>
        </is>
      </c>
      <c r="I631" s="33" t="n">
        <v>31944.29</v>
      </c>
      <c r="J631" s="13">
        <f>+J630+I631</f>
        <v>1092641.13</v>
      </c>
      <c r="K631" s="19">
        <f>+EOMONTH(B631,0)</f>
        <v>46173</v>
      </c>
      <c r="L631" s="3" t="inlineStr">
        <is>
          <t>Checking – Operating</t>
        </is>
      </c>
      <c r="M631" s="3" t="inlineStr">
        <is>
          <t>Balance Sheet</t>
        </is>
      </c>
    </row>
    <row r="632">
      <c r="B632" s="39" t="n">
        <v>46159</v>
      </c>
      <c r="C632" s="3" t="inlineStr">
        <is>
          <t>Bill Payment (Check)</t>
        </is>
      </c>
      <c r="D632" s="3" t="inlineStr"/>
      <c r="E632" s="3" t="inlineStr">
        <is>
          <t>Vialtrace Lab Supplies Inc</t>
        </is>
      </c>
      <c r="F632" s="3" t="inlineStr">
        <is>
          <t>Lab Expenses – April</t>
        </is>
      </c>
      <c r="G632" s="3" t="inlineStr">
        <is>
          <t>Accounts Payable</t>
        </is>
      </c>
      <c r="H632" s="3" t="inlineStr">
        <is>
          <t>Checking – Operating</t>
        </is>
      </c>
      <c r="I632" s="33" t="n">
        <v>-5379.32</v>
      </c>
      <c r="J632" s="13">
        <f>+J631+I632</f>
        <v>1087261.81</v>
      </c>
      <c r="K632" s="19">
        <f>+EOMONTH(B632,0)</f>
        <v>46173</v>
      </c>
      <c r="L632" s="3" t="inlineStr">
        <is>
          <t>Checking – Operating</t>
        </is>
      </c>
      <c r="M632" s="3" t="inlineStr">
        <is>
          <t>Balance Sheet</t>
        </is>
      </c>
    </row>
    <row r="633">
      <c r="B633" s="39" t="n">
        <v>46159</v>
      </c>
      <c r="C633" s="3" t="inlineStr">
        <is>
          <t>Deposit</t>
        </is>
      </c>
      <c r="D633" s="3" t="inlineStr"/>
      <c r="E633" s="3" t="inlineStr">
        <is>
          <t>Vantrelle Health Plan</t>
        </is>
      </c>
      <c r="F633" s="3" t="inlineStr">
        <is>
          <t>ORIG CO NAME:VANTRELLE HP ORIG ID:XXXXXX2508 DESC DATE:260517 CO ENTRY DESCR:HCCLAIMPMT SEC:CCD TRACE#:XXXXXXXX5743621 EED:260517 IND ID:</t>
        </is>
      </c>
      <c r="G633" s="3" t="inlineStr">
        <is>
          <t>Service Income</t>
        </is>
      </c>
      <c r="H633" s="3" t="inlineStr">
        <is>
          <t>Checking – Operating</t>
        </is>
      </c>
      <c r="I633" s="33" t="n">
        <v>83056.92</v>
      </c>
      <c r="J633" s="13">
        <f>+J632+I633</f>
        <v>1170318.73</v>
      </c>
      <c r="K633" s="19">
        <f>+EOMONTH(B633,0)</f>
        <v>46173</v>
      </c>
      <c r="L633" s="3" t="inlineStr">
        <is>
          <t>Checking – Operating</t>
        </is>
      </c>
      <c r="M633" s="3" t="inlineStr">
        <is>
          <t>Balance Sheet</t>
        </is>
      </c>
    </row>
    <row r="634">
      <c r="B634" s="39" t="n">
        <v>46159</v>
      </c>
      <c r="C634" s="3" t="inlineStr">
        <is>
          <t>Expense</t>
        </is>
      </c>
      <c r="D634" s="3" t="inlineStr"/>
      <c r="E634" s="3" t="inlineStr">
        <is>
          <t>Consultant A</t>
        </is>
      </c>
      <c r="F634" s="3" t="inlineStr">
        <is>
          <t>Accounting Service – May</t>
        </is>
      </c>
      <c r="G634" s="3" t="inlineStr">
        <is>
          <t>Accounting Service</t>
        </is>
      </c>
      <c r="H634" s="3" t="inlineStr">
        <is>
          <t>Checking – Operating</t>
        </is>
      </c>
      <c r="I634" s="33" t="n">
        <v>-3212.38</v>
      </c>
      <c r="J634" s="13">
        <f>+J633+I634</f>
        <v>1167106.35</v>
      </c>
      <c r="K634" s="19">
        <f>+EOMONTH(B634,0)</f>
        <v>46173</v>
      </c>
      <c r="L634" s="3" t="inlineStr">
        <is>
          <t>Checking – Operating</t>
        </is>
      </c>
      <c r="M634" s="3" t="inlineStr">
        <is>
          <t>Balance Sheet</t>
        </is>
      </c>
    </row>
    <row r="635">
      <c r="B635" s="39" t="n">
        <v>46159</v>
      </c>
      <c r="C635" s="3" t="inlineStr">
        <is>
          <t>Expense</t>
        </is>
      </c>
      <c r="D635" s="3" t="inlineStr"/>
      <c r="E635" s="3" t="inlineStr">
        <is>
          <t>Vialtrace Lab Supplies Inc</t>
        </is>
      </c>
      <c r="F635" s="3" t="inlineStr">
        <is>
          <t>Office Supplies – May</t>
        </is>
      </c>
      <c r="G635" s="3" t="inlineStr">
        <is>
          <t>Office Supplies</t>
        </is>
      </c>
      <c r="H635" s="3" t="inlineStr">
        <is>
          <t>Checking – Operating</t>
        </is>
      </c>
      <c r="I635" s="33" t="n">
        <v>-1259.54</v>
      </c>
      <c r="J635" s="13">
        <f>+J634+I635</f>
        <v>1165846.81</v>
      </c>
      <c r="K635" s="19">
        <f>+EOMONTH(B635,0)</f>
        <v>46173</v>
      </c>
      <c r="L635" s="3" t="inlineStr">
        <is>
          <t>Checking – Operating</t>
        </is>
      </c>
      <c r="M635" s="3" t="inlineStr">
        <is>
          <t>Balance Sheet</t>
        </is>
      </c>
    </row>
    <row r="636">
      <c r="B636" s="39" t="n">
        <v>46159</v>
      </c>
      <c r="C636" s="3" t="inlineStr">
        <is>
          <t>Expense</t>
        </is>
      </c>
      <c r="D636" s="3" t="inlineStr"/>
      <c r="E636" s="3" t="inlineStr"/>
      <c r="F636" s="3" t="inlineStr">
        <is>
          <t>Meals and Entertainment – May</t>
        </is>
      </c>
      <c r="G636" s="3" t="inlineStr">
        <is>
          <t>Meals and Entertainment</t>
        </is>
      </c>
      <c r="H636" s="3" t="inlineStr">
        <is>
          <t>Checking – Operating</t>
        </is>
      </c>
      <c r="I636" s="33" t="n">
        <v>-653.67</v>
      </c>
      <c r="J636" s="13">
        <f>+J635+I636</f>
        <v>1165193.14</v>
      </c>
      <c r="K636" s="19">
        <f>+EOMONTH(B636,0)</f>
        <v>46173</v>
      </c>
      <c r="L636" s="3" t="inlineStr">
        <is>
          <t>Checking – Operating</t>
        </is>
      </c>
      <c r="M636" s="3" t="inlineStr">
        <is>
          <t>Balance Sheet</t>
        </is>
      </c>
    </row>
    <row r="637">
      <c r="B637" s="39" t="n">
        <v>46159</v>
      </c>
      <c r="C637" s="3" t="inlineStr">
        <is>
          <t>Payroll Check</t>
        </is>
      </c>
      <c r="D637" s="3" t="inlineStr"/>
      <c r="E637" s="3" t="inlineStr">
        <is>
          <t>Tessarand Payroll Services</t>
        </is>
      </c>
      <c r="F637" s="3" t="inlineStr">
        <is>
          <t>Payroll processing fee</t>
        </is>
      </c>
      <c r="G637" s="3" t="inlineStr">
        <is>
          <t>Payroll Processing Fee</t>
        </is>
      </c>
      <c r="H637" s="3" t="inlineStr">
        <is>
          <t>Checking – Operating</t>
        </is>
      </c>
      <c r="I637" s="33" t="n">
        <v>-88.93000000000001</v>
      </c>
      <c r="J637" s="13">
        <f>+J636+I637</f>
        <v>1165104.21</v>
      </c>
      <c r="K637" s="19">
        <f>+EOMONTH(B637,0)</f>
        <v>46173</v>
      </c>
      <c r="L637" s="3" t="inlineStr">
        <is>
          <t>Checking – Operating</t>
        </is>
      </c>
      <c r="M637" s="3" t="inlineStr">
        <is>
          <t>Balance Sheet</t>
        </is>
      </c>
    </row>
    <row r="638">
      <c r="B638" s="39" t="n">
        <v>46160</v>
      </c>
      <c r="C638" s="3" t="inlineStr">
        <is>
          <t>Bill Payment (Check)</t>
        </is>
      </c>
      <c r="D638" s="3" t="inlineStr"/>
      <c r="E638" s="3" t="inlineStr">
        <is>
          <t>Reference Lab A</t>
        </is>
      </c>
      <c r="F638" s="3" t="inlineStr">
        <is>
          <t>Send-out testing – April</t>
        </is>
      </c>
      <c r="G638" s="3" t="inlineStr">
        <is>
          <t>Accounts Payable</t>
        </is>
      </c>
      <c r="H638" s="3" t="inlineStr">
        <is>
          <t>Checking – Operating</t>
        </is>
      </c>
      <c r="I638" s="33" t="n">
        <v>-17683.71</v>
      </c>
      <c r="J638" s="13">
        <f>+J637+I638</f>
        <v>1147420.5</v>
      </c>
      <c r="K638" s="19">
        <f>+EOMONTH(B638,0)</f>
        <v>46173</v>
      </c>
      <c r="L638" s="3" t="inlineStr">
        <is>
          <t>Checking – Operating</t>
        </is>
      </c>
      <c r="M638" s="3" t="inlineStr">
        <is>
          <t>Balance Sheet</t>
        </is>
      </c>
    </row>
    <row r="639">
      <c r="B639" s="39" t="n">
        <v>46160</v>
      </c>
      <c r="C639" s="3" t="inlineStr">
        <is>
          <t>Bill Payment (Check)</t>
        </is>
      </c>
      <c r="D639" s="3" t="inlineStr"/>
      <c r="E639" s="3" t="inlineStr">
        <is>
          <t>Reference Lab A</t>
        </is>
      </c>
      <c r="F639" s="3" t="inlineStr">
        <is>
          <t>Send-out testing – May</t>
        </is>
      </c>
      <c r="G639" s="3" t="inlineStr">
        <is>
          <t>Accounts Payable</t>
        </is>
      </c>
      <c r="H639" s="3" t="inlineStr">
        <is>
          <t>Checking – Operating</t>
        </is>
      </c>
      <c r="I639" s="33" t="n">
        <v>-17160.58</v>
      </c>
      <c r="J639" s="13">
        <f>+J638+I639</f>
        <v>1130259.92</v>
      </c>
      <c r="K639" s="19">
        <f>+EOMONTH(B639,0)</f>
        <v>46173</v>
      </c>
      <c r="L639" s="3" t="inlineStr">
        <is>
          <t>Checking – Operating</t>
        </is>
      </c>
      <c r="M639" s="3" t="inlineStr">
        <is>
          <t>Balance Sheet</t>
        </is>
      </c>
    </row>
    <row r="640">
      <c r="B640" s="39" t="n">
        <v>46160</v>
      </c>
      <c r="C640" s="3" t="inlineStr">
        <is>
          <t>Expense</t>
        </is>
      </c>
      <c r="D640" s="3" t="inlineStr"/>
      <c r="E640" s="3" t="inlineStr">
        <is>
          <t>Consultant A</t>
        </is>
      </c>
      <c r="F640" s="3" t="inlineStr">
        <is>
          <t>Consulting – May</t>
        </is>
      </c>
      <c r="G640" s="3" t="inlineStr">
        <is>
          <t>Consulting</t>
        </is>
      </c>
      <c r="H640" s="3" t="inlineStr">
        <is>
          <t>Checking – Operating</t>
        </is>
      </c>
      <c r="I640" s="33" t="n">
        <v>-2591.57</v>
      </c>
      <c r="J640" s="13">
        <f>+J639+I640</f>
        <v>1127668.35</v>
      </c>
      <c r="K640" s="19">
        <f>+EOMONTH(B640,0)</f>
        <v>46173</v>
      </c>
      <c r="L640" s="3" t="inlineStr">
        <is>
          <t>Checking – Operating</t>
        </is>
      </c>
      <c r="M640" s="3" t="inlineStr">
        <is>
          <t>Balance Sheet</t>
        </is>
      </c>
    </row>
    <row r="641">
      <c r="B641" s="39" t="n">
        <v>46161</v>
      </c>
      <c r="C641" s="3" t="inlineStr">
        <is>
          <t>Bill Payment (Check)</t>
        </is>
      </c>
      <c r="D641" s="3" t="inlineStr"/>
      <c r="E641" s="3" t="inlineStr">
        <is>
          <t>Reagentix Corp</t>
        </is>
      </c>
      <c r="F641" s="3" t="inlineStr">
        <is>
          <t>Lab Expenses – April</t>
        </is>
      </c>
      <c r="G641" s="3" t="inlineStr">
        <is>
          <t>Accounts Payable</t>
        </is>
      </c>
      <c r="H641" s="3" t="inlineStr">
        <is>
          <t>Checking – Operating</t>
        </is>
      </c>
      <c r="I641" s="33" t="n">
        <v>-4608.57</v>
      </c>
      <c r="J641" s="13">
        <f>+J640+I641</f>
        <v>1123059.78</v>
      </c>
      <c r="K641" s="19">
        <f>+EOMONTH(B641,0)</f>
        <v>46173</v>
      </c>
      <c r="L641" s="3" t="inlineStr">
        <is>
          <t>Checking – Operating</t>
        </is>
      </c>
      <c r="M641" s="3" t="inlineStr">
        <is>
          <t>Balance Sheet</t>
        </is>
      </c>
    </row>
    <row r="642">
      <c r="B642" s="39" t="n">
        <v>46161</v>
      </c>
      <c r="C642" s="3" t="inlineStr">
        <is>
          <t>Bill Payment (Check)</t>
        </is>
      </c>
      <c r="D642" s="3" t="inlineStr"/>
      <c r="E642" s="3" t="inlineStr">
        <is>
          <t>Reagentix Corp</t>
        </is>
      </c>
      <c r="F642" s="3" t="inlineStr">
        <is>
          <t>Lab supplies PO# F2203</t>
        </is>
      </c>
      <c r="G642" s="3" t="inlineStr">
        <is>
          <t>Accounts Payable</t>
        </is>
      </c>
      <c r="H642" s="3" t="inlineStr">
        <is>
          <t>Checking – Operating</t>
        </is>
      </c>
      <c r="I642" s="33" t="n">
        <v>-31014.53</v>
      </c>
      <c r="J642" s="13">
        <f>+J641+I642</f>
        <v>1092045.25</v>
      </c>
      <c r="K642" s="19">
        <f>+EOMONTH(B642,0)</f>
        <v>46173</v>
      </c>
      <c r="L642" s="3" t="inlineStr">
        <is>
          <t>Checking – Operating</t>
        </is>
      </c>
      <c r="M642" s="3" t="inlineStr">
        <is>
          <t>Balance Sheet</t>
        </is>
      </c>
    </row>
    <row r="643">
      <c r="B643" s="39" t="n">
        <v>46161</v>
      </c>
      <c r="C643" s="3" t="inlineStr">
        <is>
          <t>Bill Payment (Check)</t>
        </is>
      </c>
      <c r="D643" s="3" t="inlineStr"/>
      <c r="E643" s="3" t="inlineStr">
        <is>
          <t>Halloway Ridge Realty (rent)</t>
        </is>
      </c>
      <c r="F643" s="3" t="inlineStr">
        <is>
          <t>Rent – April</t>
        </is>
      </c>
      <c r="G643" s="3" t="inlineStr">
        <is>
          <t>Accounts Payable</t>
        </is>
      </c>
      <c r="H643" s="3" t="inlineStr">
        <is>
          <t>Checking – Operating</t>
        </is>
      </c>
      <c r="I643" s="33" t="n">
        <v>-9232.469999999999</v>
      </c>
      <c r="J643" s="13">
        <f>+J642+I643</f>
        <v>1082812.78</v>
      </c>
      <c r="K643" s="19">
        <f>+EOMONTH(B643,0)</f>
        <v>46173</v>
      </c>
      <c r="L643" s="3" t="inlineStr">
        <is>
          <t>Checking – Operating</t>
        </is>
      </c>
      <c r="M643" s="3" t="inlineStr">
        <is>
          <t>Balance Sheet</t>
        </is>
      </c>
    </row>
    <row r="644">
      <c r="B644" s="39" t="n">
        <v>46161</v>
      </c>
      <c r="C644" s="3" t="inlineStr">
        <is>
          <t>Credit Card Expense</t>
        </is>
      </c>
      <c r="D644" s="3" t="inlineStr"/>
      <c r="E644" s="3" t="inlineStr">
        <is>
          <t>Tessarand Payroll Services</t>
        </is>
      </c>
      <c r="F644" s="3" t="inlineStr">
        <is>
          <t>Contractors – May</t>
        </is>
      </c>
      <c r="G644" s="3" t="inlineStr">
        <is>
          <t>Contractors</t>
        </is>
      </c>
      <c r="H644" s="3" t="inlineStr">
        <is>
          <t>Checking – Operating</t>
        </is>
      </c>
      <c r="I644" s="33" t="n">
        <v>-4650.95</v>
      </c>
      <c r="J644" s="13">
        <f>+J643+I644</f>
        <v>1078161.83</v>
      </c>
      <c r="K644" s="19">
        <f>+EOMONTH(B644,0)</f>
        <v>46173</v>
      </c>
      <c r="L644" s="3" t="inlineStr">
        <is>
          <t>Checking – Operating</t>
        </is>
      </c>
      <c r="M644" s="3" t="inlineStr">
        <is>
          <t>Balance Sheet</t>
        </is>
      </c>
    </row>
    <row r="645">
      <c r="B645" s="39" t="n">
        <v>46161</v>
      </c>
      <c r="C645" s="3" t="inlineStr">
        <is>
          <t>Deposit</t>
        </is>
      </c>
      <c r="D645" s="3" t="inlineStr"/>
      <c r="E645" s="3" t="inlineStr">
        <is>
          <t>Marrowby Mutual</t>
        </is>
      </c>
      <c r="F645" s="3" t="inlineStr">
        <is>
          <t>ORIG CO NAME:MARROWBY MUTUAL ORIG ID:XXXXXX8384 DESC DATE:260519 CO ENTRY DESCR:HCCLAIMPMT SEC:CCD TRACE#:XXXXXXXX3213520 EED:260519 IND ID:</t>
        </is>
      </c>
      <c r="G645" s="3" t="inlineStr">
        <is>
          <t>Service Income</t>
        </is>
      </c>
      <c r="H645" s="3" t="inlineStr">
        <is>
          <t>Checking – Operating</t>
        </is>
      </c>
      <c r="I645" s="33" t="n">
        <v>99845.67999999999</v>
      </c>
      <c r="J645" s="13">
        <f>+J644+I645</f>
        <v>1178007.51</v>
      </c>
      <c r="K645" s="19">
        <f>+EOMONTH(B645,0)</f>
        <v>46173</v>
      </c>
      <c r="L645" s="3" t="inlineStr">
        <is>
          <t>Checking – Operating</t>
        </is>
      </c>
      <c r="M645" s="3" t="inlineStr">
        <is>
          <t>Balance Sheet</t>
        </is>
      </c>
    </row>
    <row r="646">
      <c r="B646" s="39" t="n">
        <v>46161</v>
      </c>
      <c r="C646" s="3" t="inlineStr">
        <is>
          <t>Expense</t>
        </is>
      </c>
      <c r="D646" s="3" t="inlineStr"/>
      <c r="E646" s="3" t="inlineStr">
        <is>
          <t>Tessarand Payroll Services</t>
        </is>
      </c>
      <c r="F646" s="3" t="inlineStr">
        <is>
          <t>Sales and Marketing Expenses – May</t>
        </is>
      </c>
      <c r="G646" s="3" t="inlineStr">
        <is>
          <t>Sales and Marketing Expenses</t>
        </is>
      </c>
      <c r="H646" s="3" t="inlineStr">
        <is>
          <t>Checking – Operating</t>
        </is>
      </c>
      <c r="I646" s="33" t="n">
        <v>-12807.84</v>
      </c>
      <c r="J646" s="13">
        <f>+J645+I646</f>
        <v>1165199.67</v>
      </c>
      <c r="K646" s="19">
        <f>+EOMONTH(B646,0)</f>
        <v>46173</v>
      </c>
      <c r="L646" s="3" t="inlineStr">
        <is>
          <t>Checking – Operating</t>
        </is>
      </c>
      <c r="M646" s="3" t="inlineStr">
        <is>
          <t>Balance Sheet</t>
        </is>
      </c>
    </row>
    <row r="647">
      <c r="B647" s="39" t="n">
        <v>46161</v>
      </c>
      <c r="C647" s="3" t="inlineStr">
        <is>
          <t>Payroll Check</t>
        </is>
      </c>
      <c r="D647" s="3" t="inlineStr"/>
      <c r="E647" s="3" t="inlineStr">
        <is>
          <t>Tessarand Payroll Services</t>
        </is>
      </c>
      <c r="F647" s="3" t="inlineStr">
        <is>
          <t>Payroll taxes – biweekly</t>
        </is>
      </c>
      <c r="G647" s="3" t="inlineStr">
        <is>
          <t>Payroll Taxes</t>
        </is>
      </c>
      <c r="H647" s="3" t="inlineStr">
        <is>
          <t>Checking – Operating</t>
        </is>
      </c>
      <c r="I647" s="33" t="n">
        <v>-889.02</v>
      </c>
      <c r="J647" s="13">
        <f>+J646+I647</f>
        <v>1164310.65</v>
      </c>
      <c r="K647" s="19">
        <f>+EOMONTH(B647,0)</f>
        <v>46173</v>
      </c>
      <c r="L647" s="3" t="inlineStr">
        <is>
          <t>Checking – Operating</t>
        </is>
      </c>
      <c r="M647" s="3" t="inlineStr">
        <is>
          <t>Balance Sheet</t>
        </is>
      </c>
    </row>
    <row r="648">
      <c r="B648" s="39" t="n">
        <v>46162</v>
      </c>
      <c r="C648" s="3" t="inlineStr">
        <is>
          <t>Bill Payment (Check)</t>
        </is>
      </c>
      <c r="D648" s="3" t="inlineStr"/>
      <c r="E648" s="3" t="inlineStr">
        <is>
          <t>Reagentix Corp</t>
        </is>
      </c>
      <c r="F648" s="3" t="inlineStr">
        <is>
          <t>Lab Expenses – May</t>
        </is>
      </c>
      <c r="G648" s="3" t="inlineStr">
        <is>
          <t>Accounts Payable</t>
        </is>
      </c>
      <c r="H648" s="3" t="inlineStr">
        <is>
          <t>Checking – Operating</t>
        </is>
      </c>
      <c r="I648" s="33" t="n">
        <v>-3247.85</v>
      </c>
      <c r="J648" s="13">
        <f>+J647+I648</f>
        <v>1161062.8</v>
      </c>
      <c r="K648" s="19">
        <f>+EOMONTH(B648,0)</f>
        <v>46173</v>
      </c>
      <c r="L648" s="3" t="inlineStr">
        <is>
          <t>Checking – Operating</t>
        </is>
      </c>
      <c r="M648" s="3" t="inlineStr">
        <is>
          <t>Balance Sheet</t>
        </is>
      </c>
    </row>
    <row r="649">
      <c r="B649" s="39" t="n">
        <v>46162</v>
      </c>
      <c r="C649" s="3" t="inlineStr">
        <is>
          <t>Bill Payment (Check)</t>
        </is>
      </c>
      <c r="D649" s="3" t="inlineStr"/>
      <c r="E649" s="3" t="inlineStr">
        <is>
          <t>Swiftmere Courier</t>
        </is>
      </c>
      <c r="F649" s="3" t="inlineStr">
        <is>
          <t>Delivery and Transportation – May</t>
        </is>
      </c>
      <c r="G649" s="3" t="inlineStr">
        <is>
          <t>Accounts Payable</t>
        </is>
      </c>
      <c r="H649" s="3" t="inlineStr">
        <is>
          <t>Checking – Operating</t>
        </is>
      </c>
      <c r="I649" s="33" t="n">
        <v>-4738.12</v>
      </c>
      <c r="J649" s="13">
        <f>+J648+I649</f>
        <v>1156324.68</v>
      </c>
      <c r="K649" s="19">
        <f>+EOMONTH(B649,0)</f>
        <v>46173</v>
      </c>
      <c r="L649" s="3" t="inlineStr">
        <is>
          <t>Checking – Operating</t>
        </is>
      </c>
      <c r="M649" s="3" t="inlineStr">
        <is>
          <t>Balance Sheet</t>
        </is>
      </c>
    </row>
    <row r="650">
      <c r="B650" s="39" t="n">
        <v>46162</v>
      </c>
      <c r="C650" s="3" t="inlineStr">
        <is>
          <t>Bill Payment (Check)</t>
        </is>
      </c>
      <c r="D650" s="3" t="inlineStr"/>
      <c r="E650" s="3" t="inlineStr">
        <is>
          <t>Ledgerquill Billing SaaS</t>
        </is>
      </c>
      <c r="F650" s="3" t="inlineStr">
        <is>
          <t>Billing Software as a Service – May</t>
        </is>
      </c>
      <c r="G650" s="3" t="inlineStr">
        <is>
          <t>Accounts Payable</t>
        </is>
      </c>
      <c r="H650" s="3" t="inlineStr">
        <is>
          <t>Checking – Operating</t>
        </is>
      </c>
      <c r="I650" s="33" t="n">
        <v>-16834.62</v>
      </c>
      <c r="J650" s="13">
        <f>+J649+I650</f>
        <v>1139490.06</v>
      </c>
      <c r="K650" s="19">
        <f>+EOMONTH(B650,0)</f>
        <v>46173</v>
      </c>
      <c r="L650" s="3" t="inlineStr">
        <is>
          <t>Checking – Operating</t>
        </is>
      </c>
      <c r="M650" s="3" t="inlineStr">
        <is>
          <t>Balance Sheet</t>
        </is>
      </c>
    </row>
    <row r="651">
      <c r="B651" s="39" t="n">
        <v>46162</v>
      </c>
      <c r="C651" s="3" t="inlineStr">
        <is>
          <t>Credit Card Expense</t>
        </is>
      </c>
      <c r="D651" s="3" t="inlineStr"/>
      <c r="E651" s="3" t="inlineStr"/>
      <c r="F651" s="3" t="inlineStr">
        <is>
          <t>Business Meetings &amp; Development – May</t>
        </is>
      </c>
      <c r="G651" s="3" t="inlineStr">
        <is>
          <t>Business Meetings &amp; Development</t>
        </is>
      </c>
      <c r="H651" s="3" t="inlineStr">
        <is>
          <t>Checking – Operating</t>
        </is>
      </c>
      <c r="I651" s="33" t="n">
        <v>-4402.27</v>
      </c>
      <c r="J651" s="13">
        <f>+J650+I651</f>
        <v>1135087.79</v>
      </c>
      <c r="K651" s="19">
        <f>+EOMONTH(B651,0)</f>
        <v>46173</v>
      </c>
      <c r="L651" s="3" t="inlineStr">
        <is>
          <t>Checking – Operating</t>
        </is>
      </c>
      <c r="M651" s="3" t="inlineStr">
        <is>
          <t>Balance Sheet</t>
        </is>
      </c>
    </row>
    <row r="652">
      <c r="B652" s="39" t="n">
        <v>46163</v>
      </c>
      <c r="C652" s="3" t="inlineStr">
        <is>
          <t>Bill Payment (Check)</t>
        </is>
      </c>
      <c r="D652" s="3" t="inlineStr"/>
      <c r="E652" s="3" t="inlineStr">
        <is>
          <t>Reagentix Corp</t>
        </is>
      </c>
      <c r="F652" s="3" t="inlineStr">
        <is>
          <t>Lab supplies PO# F2230</t>
        </is>
      </c>
      <c r="G652" s="3" t="inlineStr">
        <is>
          <t>Accounts Payable</t>
        </is>
      </c>
      <c r="H652" s="3" t="inlineStr">
        <is>
          <t>Checking – Operating</t>
        </is>
      </c>
      <c r="I652" s="33" t="n">
        <v>-11078.33</v>
      </c>
      <c r="J652" s="13">
        <f>+J651+I652</f>
        <v>1124009.46</v>
      </c>
      <c r="K652" s="19">
        <f>+EOMONTH(B652,0)</f>
        <v>46173</v>
      </c>
      <c r="L652" s="3" t="inlineStr">
        <is>
          <t>Checking – Operating</t>
        </is>
      </c>
      <c r="M652" s="3" t="inlineStr">
        <is>
          <t>Balance Sheet</t>
        </is>
      </c>
    </row>
    <row r="653">
      <c r="B653" s="39" t="n">
        <v>46163</v>
      </c>
      <c r="C653" s="3" t="inlineStr">
        <is>
          <t>Bill Payment (Check)</t>
        </is>
      </c>
      <c r="D653" s="3" t="inlineStr"/>
      <c r="E653" s="3" t="inlineStr">
        <is>
          <t>Tarrowmere Mutual Insurance</t>
        </is>
      </c>
      <c r="F653" s="3" t="inlineStr">
        <is>
          <t>Premium installment</t>
        </is>
      </c>
      <c r="G653" s="3" t="inlineStr">
        <is>
          <t>Accounts Payable</t>
        </is>
      </c>
      <c r="H653" s="3" t="inlineStr">
        <is>
          <t>Checking – Operating</t>
        </is>
      </c>
      <c r="I653" s="33" t="n">
        <v>-6373.47</v>
      </c>
      <c r="J653" s="13">
        <f>+J652+I653</f>
        <v>1117635.99</v>
      </c>
      <c r="K653" s="19">
        <f>+EOMONTH(B653,0)</f>
        <v>46173</v>
      </c>
      <c r="L653" s="3" t="inlineStr">
        <is>
          <t>Checking – Operating</t>
        </is>
      </c>
      <c r="M653" s="3" t="inlineStr">
        <is>
          <t>Balance Sheet</t>
        </is>
      </c>
    </row>
    <row r="654">
      <c r="B654" s="39" t="n">
        <v>46163</v>
      </c>
      <c r="C654" s="3" t="inlineStr">
        <is>
          <t>Bill Payment (Check)</t>
        </is>
      </c>
      <c r="D654" s="3" t="inlineStr"/>
      <c r="E654" s="3" t="inlineStr">
        <is>
          <t>Northmoor Waste Services</t>
        </is>
      </c>
      <c r="F654" s="3" t="inlineStr">
        <is>
          <t>Waste Removal – May</t>
        </is>
      </c>
      <c r="G654" s="3" t="inlineStr">
        <is>
          <t>Accounts Payable</t>
        </is>
      </c>
      <c r="H654" s="3" t="inlineStr">
        <is>
          <t>Checking – Operating</t>
        </is>
      </c>
      <c r="I654" s="33" t="n">
        <v>-648.4400000000001</v>
      </c>
      <c r="J654" s="13">
        <f>+J653+I654</f>
        <v>1116987.55</v>
      </c>
      <c r="K654" s="19">
        <f>+EOMONTH(B654,0)</f>
        <v>46173</v>
      </c>
      <c r="L654" s="3" t="inlineStr">
        <is>
          <t>Checking – Operating</t>
        </is>
      </c>
      <c r="M654" s="3" t="inlineStr">
        <is>
          <t>Balance Sheet</t>
        </is>
      </c>
    </row>
    <row r="655">
      <c r="B655" s="39" t="n">
        <v>46163</v>
      </c>
      <c r="C655" s="3" t="inlineStr">
        <is>
          <t>Credit Card Expense</t>
        </is>
      </c>
      <c r="D655" s="3" t="inlineStr"/>
      <c r="E655" s="3" t="inlineStr">
        <is>
          <t>Union Utilities</t>
        </is>
      </c>
      <c r="F655" s="3" t="inlineStr">
        <is>
          <t>Fax Service – May</t>
        </is>
      </c>
      <c r="G655" s="3" t="inlineStr">
        <is>
          <t>Fax Service</t>
        </is>
      </c>
      <c r="H655" s="3" t="inlineStr">
        <is>
          <t>Checking – Operating</t>
        </is>
      </c>
      <c r="I655" s="33" t="n">
        <v>-709.01</v>
      </c>
      <c r="J655" s="13">
        <f>+J654+I655</f>
        <v>1116278.54</v>
      </c>
      <c r="K655" s="19">
        <f>+EOMONTH(B655,0)</f>
        <v>46173</v>
      </c>
      <c r="L655" s="3" t="inlineStr">
        <is>
          <t>Checking – Operating</t>
        </is>
      </c>
      <c r="M655" s="3" t="inlineStr">
        <is>
          <t>Balance Sheet</t>
        </is>
      </c>
    </row>
    <row r="656">
      <c r="B656" s="39" t="n">
        <v>46163</v>
      </c>
      <c r="C656" s="3" t="inlineStr">
        <is>
          <t>Expense</t>
        </is>
      </c>
      <c r="D656" s="3" t="inlineStr"/>
      <c r="E656" s="3" t="inlineStr">
        <is>
          <t>Ledgerquill Billing SaaS</t>
        </is>
      </c>
      <c r="F656" s="3" t="inlineStr">
        <is>
          <t>Interface Service – May</t>
        </is>
      </c>
      <c r="G656" s="3" t="inlineStr">
        <is>
          <t>Interface Service</t>
        </is>
      </c>
      <c r="H656" s="3" t="inlineStr">
        <is>
          <t>Checking – Operating</t>
        </is>
      </c>
      <c r="I656" s="33" t="n">
        <v>-2037.52</v>
      </c>
      <c r="J656" s="13">
        <f>+J655+I656</f>
        <v>1114241.02</v>
      </c>
      <c r="K656" s="19">
        <f>+EOMONTH(B656,0)</f>
        <v>46173</v>
      </c>
      <c r="L656" s="3" t="inlineStr">
        <is>
          <t>Checking – Operating</t>
        </is>
      </c>
      <c r="M656" s="3" t="inlineStr">
        <is>
          <t>Balance Sheet</t>
        </is>
      </c>
    </row>
    <row r="657">
      <c r="B657" s="39" t="n">
        <v>46163</v>
      </c>
      <c r="C657" s="3" t="inlineStr">
        <is>
          <t>Journal Entry</t>
        </is>
      </c>
      <c r="D657" s="3" t="inlineStr"/>
      <c r="E657" s="3" t="inlineStr">
        <is>
          <t>Ledgerquill Billing SaaS</t>
        </is>
      </c>
      <c r="F657" s="3" t="inlineStr">
        <is>
          <t>Dues &amp; Subscriptions – May</t>
        </is>
      </c>
      <c r="G657" s="3" t="inlineStr">
        <is>
          <t>Dues &amp; Subscriptions</t>
        </is>
      </c>
      <c r="H657" s="3" t="inlineStr">
        <is>
          <t>Checking – Operating</t>
        </is>
      </c>
      <c r="I657" s="33" t="n">
        <v>-663.59</v>
      </c>
      <c r="J657" s="13">
        <f>+J656+I657</f>
        <v>1113577.43</v>
      </c>
      <c r="K657" s="19">
        <f>+EOMONTH(B657,0)</f>
        <v>46173</v>
      </c>
      <c r="L657" s="3" t="inlineStr">
        <is>
          <t>Checking – Operating</t>
        </is>
      </c>
      <c r="M657" s="3" t="inlineStr">
        <is>
          <t>Balance Sheet</t>
        </is>
      </c>
    </row>
    <row r="658">
      <c r="B658" s="39" t="n">
        <v>46164</v>
      </c>
      <c r="C658" s="3" t="inlineStr">
        <is>
          <t>Bill Payment (Check)</t>
        </is>
      </c>
      <c r="D658" s="3" t="inlineStr"/>
      <c r="E658" s="3" t="inlineStr">
        <is>
          <t>Tarrowmere Mutual Insurance</t>
        </is>
      </c>
      <c r="F658" s="3" t="inlineStr">
        <is>
          <t>Benefits – April</t>
        </is>
      </c>
      <c r="G658" s="3" t="inlineStr">
        <is>
          <t>Accounts Payable</t>
        </is>
      </c>
      <c r="H658" s="3" t="inlineStr">
        <is>
          <t>Checking – Operating</t>
        </is>
      </c>
      <c r="I658" s="33" t="n">
        <v>-4868.05</v>
      </c>
      <c r="J658" s="13">
        <f>+J657+I658</f>
        <v>1108709.38</v>
      </c>
      <c r="K658" s="19">
        <f>+EOMONTH(B658,0)</f>
        <v>46173</v>
      </c>
      <c r="L658" s="3" t="inlineStr">
        <is>
          <t>Checking – Operating</t>
        </is>
      </c>
      <c r="M658" s="3" t="inlineStr">
        <is>
          <t>Balance Sheet</t>
        </is>
      </c>
    </row>
    <row r="659">
      <c r="B659" s="39" t="n">
        <v>46164</v>
      </c>
      <c r="C659" s="3" t="inlineStr">
        <is>
          <t>Credit Card Expense</t>
        </is>
      </c>
      <c r="D659" s="3" t="inlineStr"/>
      <c r="E659" s="3" t="inlineStr"/>
      <c r="F659" s="3" t="inlineStr">
        <is>
          <t>Reimbursement – May</t>
        </is>
      </c>
      <c r="G659" s="3" t="inlineStr">
        <is>
          <t>Reimbursement</t>
        </is>
      </c>
      <c r="H659" s="3" t="inlineStr">
        <is>
          <t>Checking – Operating</t>
        </is>
      </c>
      <c r="I659" s="33" t="n">
        <v>-1412.21</v>
      </c>
      <c r="J659" s="13">
        <f>+J658+I659</f>
        <v>1107297.17</v>
      </c>
      <c r="K659" s="19">
        <f>+EOMONTH(B659,0)</f>
        <v>46173</v>
      </c>
      <c r="L659" s="3" t="inlineStr">
        <is>
          <t>Checking – Operating</t>
        </is>
      </c>
      <c r="M659" s="3" t="inlineStr">
        <is>
          <t>Balance Sheet</t>
        </is>
      </c>
    </row>
    <row r="660">
      <c r="B660" s="39" t="n">
        <v>46164</v>
      </c>
      <c r="C660" s="3" t="inlineStr">
        <is>
          <t>Deposit</t>
        </is>
      </c>
      <c r="D660" s="3" t="inlineStr"/>
      <c r="E660" s="3" t="inlineStr">
        <is>
          <t>Federal Program A</t>
        </is>
      </c>
      <c r="F660" s="3" t="inlineStr">
        <is>
          <t>ORIG CO NAME:FEDERAL PROG A ORIG ID:XXXXXX8072 DESC DATE:260522 CO ENTRY DESCR:HCCLAIMPMT SEC:CCD TRACE#:XXXXXXXX7683275 EED:260522 IND ID:</t>
        </is>
      </c>
      <c r="G660" s="3" t="inlineStr">
        <is>
          <t>Service Income</t>
        </is>
      </c>
      <c r="H660" s="3" t="inlineStr">
        <is>
          <t>Checking – Operating</t>
        </is>
      </c>
      <c r="I660" s="33" t="n">
        <v>97402.52</v>
      </c>
      <c r="J660" s="13">
        <f>+J659+I660</f>
        <v>1204699.69</v>
      </c>
      <c r="K660" s="19">
        <f>+EOMONTH(B660,0)</f>
        <v>46173</v>
      </c>
      <c r="L660" s="3" t="inlineStr">
        <is>
          <t>Checking – Operating</t>
        </is>
      </c>
      <c r="M660" s="3" t="inlineStr">
        <is>
          <t>Balance Sheet</t>
        </is>
      </c>
    </row>
    <row r="661">
      <c r="B661" s="39" t="n">
        <v>46165</v>
      </c>
      <c r="C661" s="3" t="inlineStr">
        <is>
          <t>Bill Payment (Check)</t>
        </is>
      </c>
      <c r="D661" s="3" t="inlineStr"/>
      <c r="E661" s="3" t="inlineStr">
        <is>
          <t>Halloway Ridge Realty (rent)</t>
        </is>
      </c>
      <c r="F661" s="3" t="inlineStr">
        <is>
          <t>Rent – April</t>
        </is>
      </c>
      <c r="G661" s="3" t="inlineStr">
        <is>
          <t>Accounts Payable</t>
        </is>
      </c>
      <c r="H661" s="3" t="inlineStr">
        <is>
          <t>Checking – Operating</t>
        </is>
      </c>
      <c r="I661" s="33" t="n">
        <v>-7930.38</v>
      </c>
      <c r="J661" s="13">
        <f>+J660+I661</f>
        <v>1196769.31</v>
      </c>
      <c r="K661" s="19">
        <f>+EOMONTH(B661,0)</f>
        <v>46173</v>
      </c>
      <c r="L661" s="3" t="inlineStr">
        <is>
          <t>Checking – Operating</t>
        </is>
      </c>
      <c r="M661" s="3" t="inlineStr">
        <is>
          <t>Balance Sheet</t>
        </is>
      </c>
    </row>
    <row r="662">
      <c r="B662" s="39" t="n">
        <v>46165</v>
      </c>
      <c r="C662" s="3" t="inlineStr">
        <is>
          <t>Bill Payment (Check)</t>
        </is>
      </c>
      <c r="D662" s="3" t="inlineStr"/>
      <c r="E662" s="3" t="inlineStr">
        <is>
          <t>Ledgerquill Billing SaaS</t>
        </is>
      </c>
      <c r="F662" s="3" t="inlineStr">
        <is>
          <t>Billing Software as a Service – May</t>
        </is>
      </c>
      <c r="G662" s="3" t="inlineStr">
        <is>
          <t>Accounts Payable</t>
        </is>
      </c>
      <c r="H662" s="3" t="inlineStr">
        <is>
          <t>Checking – Operating</t>
        </is>
      </c>
      <c r="I662" s="33" t="n">
        <v>-10938.26</v>
      </c>
      <c r="J662" s="13">
        <f>+J661+I662</f>
        <v>1185831.05</v>
      </c>
      <c r="K662" s="19">
        <f>+EOMONTH(B662,0)</f>
        <v>46173</v>
      </c>
      <c r="L662" s="3" t="inlineStr">
        <is>
          <t>Checking – Operating</t>
        </is>
      </c>
      <c r="M662" s="3" t="inlineStr">
        <is>
          <t>Balance Sheet</t>
        </is>
      </c>
    </row>
    <row r="663">
      <c r="B663" s="39" t="n">
        <v>46165</v>
      </c>
      <c r="C663" s="3" t="inlineStr">
        <is>
          <t>Credit Card Expense</t>
        </is>
      </c>
      <c r="D663" s="3" t="inlineStr"/>
      <c r="E663" s="3" t="inlineStr"/>
      <c r="F663" s="3" t="inlineStr">
        <is>
          <t>Lab Credentialing – May</t>
        </is>
      </c>
      <c r="G663" s="3" t="inlineStr">
        <is>
          <t>Lab Credentialing</t>
        </is>
      </c>
      <c r="H663" s="3" t="inlineStr">
        <is>
          <t>Checking – Operating</t>
        </is>
      </c>
      <c r="I663" s="33" t="n">
        <v>-1061.4</v>
      </c>
      <c r="J663" s="13">
        <f>+J662+I663</f>
        <v>1184769.65</v>
      </c>
      <c r="K663" s="19">
        <f>+EOMONTH(B663,0)</f>
        <v>46173</v>
      </c>
      <c r="L663" s="3" t="inlineStr">
        <is>
          <t>Checking – Operating</t>
        </is>
      </c>
      <c r="M663" s="3" t="inlineStr">
        <is>
          <t>Balance Sheet</t>
        </is>
      </c>
    </row>
    <row r="664">
      <c r="B664" s="39" t="n">
        <v>46165</v>
      </c>
      <c r="C664" s="3" t="inlineStr">
        <is>
          <t>Deposit</t>
        </is>
      </c>
      <c r="D664" s="3" t="inlineStr"/>
      <c r="E664" s="3" t="inlineStr">
        <is>
          <t>Vantrelle Health Plan</t>
        </is>
      </c>
      <c r="F664" s="3" t="inlineStr">
        <is>
          <t>ORIG CO NAME:VANTRELLE HP ORIG ID:XXXXXX2527 DESC DATE:260523 CO ENTRY DESCR:HCCLAIMPMT SEC:CCD TRACE#:XXXXXXXX8958895 EED:260523 IND ID:</t>
        </is>
      </c>
      <c r="G664" s="3" t="inlineStr">
        <is>
          <t>Service Income</t>
        </is>
      </c>
      <c r="H664" s="3" t="inlineStr">
        <is>
          <t>Checking – Operating</t>
        </is>
      </c>
      <c r="I664" s="33" t="n">
        <v>87709.35000000001</v>
      </c>
      <c r="J664" s="13">
        <f>+J663+I664</f>
        <v>1272479</v>
      </c>
      <c r="K664" s="19">
        <f>+EOMONTH(B664,0)</f>
        <v>46173</v>
      </c>
      <c r="L664" s="3" t="inlineStr">
        <is>
          <t>Checking – Operating</t>
        </is>
      </c>
      <c r="M664" s="3" t="inlineStr">
        <is>
          <t>Balance Sheet</t>
        </is>
      </c>
    </row>
    <row r="665">
      <c r="B665" s="39" t="n">
        <v>46165</v>
      </c>
      <c r="C665" s="3" t="inlineStr">
        <is>
          <t>Deposit</t>
        </is>
      </c>
      <c r="D665" s="3" t="inlineStr"/>
      <c r="E665" s="3" t="inlineStr">
        <is>
          <t>Lanternway Benefits</t>
        </is>
      </c>
      <c r="F665" s="3" t="inlineStr">
        <is>
          <t>ORIG CO NAME:LANTERNWAY BEN ORIG ID:XXXXXX7746 DESC DATE:260523 CO ENTRY DESCR:HCCLAIMPMT SEC:CCD TRACE#:XXXXXXXX2575373 EED:260523 IND ID:</t>
        </is>
      </c>
      <c r="G665" s="3" t="inlineStr">
        <is>
          <t>Service Income</t>
        </is>
      </c>
      <c r="H665" s="3" t="inlineStr">
        <is>
          <t>Checking – Operating</t>
        </is>
      </c>
      <c r="I665" s="33" t="n">
        <v>40272.11</v>
      </c>
      <c r="J665" s="13">
        <f>+J664+I665</f>
        <v>1312751.11</v>
      </c>
      <c r="K665" s="19">
        <f>+EOMONTH(B665,0)</f>
        <v>46173</v>
      </c>
      <c r="L665" s="3" t="inlineStr">
        <is>
          <t>Checking – Operating</t>
        </is>
      </c>
      <c r="M665" s="3" t="inlineStr">
        <is>
          <t>Balance Sheet</t>
        </is>
      </c>
    </row>
    <row r="666">
      <c r="B666" s="39" t="n">
        <v>46165</v>
      </c>
      <c r="C666" s="3" t="inlineStr">
        <is>
          <t>Journal Entry</t>
        </is>
      </c>
      <c r="D666" s="3" t="inlineStr"/>
      <c r="E666" s="3" t="inlineStr">
        <is>
          <t>Halloway Ridge Realty (rent)</t>
        </is>
      </c>
      <c r="F666" s="3" t="inlineStr">
        <is>
          <t>Landscaping – May</t>
        </is>
      </c>
      <c r="G666" s="3" t="inlineStr">
        <is>
          <t>Landscaping</t>
        </is>
      </c>
      <c r="H666" s="3" t="inlineStr">
        <is>
          <t>Checking – Operating</t>
        </is>
      </c>
      <c r="I666" s="33" t="n">
        <v>-1168.66</v>
      </c>
      <c r="J666" s="13">
        <f>+J665+I666</f>
        <v>1311582.45</v>
      </c>
      <c r="K666" s="19">
        <f>+EOMONTH(B666,0)</f>
        <v>46173</v>
      </c>
      <c r="L666" s="3" t="inlineStr">
        <is>
          <t>Checking – Operating</t>
        </is>
      </c>
      <c r="M666" s="3" t="inlineStr">
        <is>
          <t>Balance Sheet</t>
        </is>
      </c>
    </row>
    <row r="667">
      <c r="B667" s="39" t="n">
        <v>46166</v>
      </c>
      <c r="C667" s="3" t="inlineStr">
        <is>
          <t>Credit Card Expense</t>
        </is>
      </c>
      <c r="D667" s="3" t="inlineStr"/>
      <c r="E667" s="3" t="inlineStr"/>
      <c r="F667" s="3" t="inlineStr">
        <is>
          <t>Taxes and Licenses – May</t>
        </is>
      </c>
      <c r="G667" s="3" t="inlineStr">
        <is>
          <t>Taxes and Licenses</t>
        </is>
      </c>
      <c r="H667" s="3" t="inlineStr">
        <is>
          <t>Checking – Operating</t>
        </is>
      </c>
      <c r="I667" s="33" t="n">
        <v>-391.54</v>
      </c>
      <c r="J667" s="13">
        <f>+J666+I667</f>
        <v>1311190.91</v>
      </c>
      <c r="K667" s="19">
        <f>+EOMONTH(B667,0)</f>
        <v>46173</v>
      </c>
      <c r="L667" s="3" t="inlineStr">
        <is>
          <t>Checking – Operating</t>
        </is>
      </c>
      <c r="M667" s="3" t="inlineStr">
        <is>
          <t>Balance Sheet</t>
        </is>
      </c>
    </row>
    <row r="668">
      <c r="B668" s="39" t="n">
        <v>46166</v>
      </c>
      <c r="C668" s="3" t="inlineStr">
        <is>
          <t>Expense</t>
        </is>
      </c>
      <c r="D668" s="3" t="inlineStr"/>
      <c r="E668" s="3" t="inlineStr"/>
      <c r="F668" s="3" t="inlineStr">
        <is>
          <t>Interest – equipment note</t>
        </is>
      </c>
      <c r="G668" s="3" t="inlineStr">
        <is>
          <t>Interest Expense</t>
        </is>
      </c>
      <c r="H668" s="3" t="inlineStr">
        <is>
          <t>Checking – Operating</t>
        </is>
      </c>
      <c r="I668" s="33" t="n">
        <v>-1835.2</v>
      </c>
      <c r="J668" s="13">
        <f>+J667+I668</f>
        <v>1309355.71</v>
      </c>
      <c r="K668" s="19">
        <f>+EOMONTH(B668,0)</f>
        <v>46173</v>
      </c>
      <c r="L668" s="3" t="inlineStr">
        <is>
          <t>Checking – Operating</t>
        </is>
      </c>
      <c r="M668" s="3" t="inlineStr">
        <is>
          <t>Balance Sheet</t>
        </is>
      </c>
    </row>
    <row r="669">
      <c r="B669" s="39" t="n">
        <v>46167</v>
      </c>
      <c r="C669" s="3" t="inlineStr">
        <is>
          <t>Bill Payment (Check)</t>
        </is>
      </c>
      <c r="D669" s="3" t="inlineStr"/>
      <c r="E669" s="3" t="inlineStr">
        <is>
          <t>Tarrowmere Mutual Insurance</t>
        </is>
      </c>
      <c r="F669" s="3" t="inlineStr">
        <is>
          <t>Premium installment</t>
        </is>
      </c>
      <c r="G669" s="3" t="inlineStr">
        <is>
          <t>Accounts Payable</t>
        </is>
      </c>
      <c r="H669" s="3" t="inlineStr">
        <is>
          <t>Checking – Operating</t>
        </is>
      </c>
      <c r="I669" s="33" t="n">
        <v>-5842.75</v>
      </c>
      <c r="J669" s="13">
        <f>+J668+I669</f>
        <v>1303512.96</v>
      </c>
      <c r="K669" s="19">
        <f>+EOMONTH(B669,0)</f>
        <v>46173</v>
      </c>
      <c r="L669" s="3" t="inlineStr">
        <is>
          <t>Checking – Operating</t>
        </is>
      </c>
      <c r="M669" s="3" t="inlineStr">
        <is>
          <t>Balance Sheet</t>
        </is>
      </c>
    </row>
    <row r="670">
      <c r="B670" s="39" t="n">
        <v>46167</v>
      </c>
      <c r="C670" s="3" t="inlineStr">
        <is>
          <t>Expense</t>
        </is>
      </c>
      <c r="D670" s="3" t="inlineStr"/>
      <c r="E670" s="3" t="inlineStr"/>
      <c r="F670" s="3" t="inlineStr">
        <is>
          <t>Travel Expense – May</t>
        </is>
      </c>
      <c r="G670" s="3" t="inlineStr">
        <is>
          <t>Travel Expense</t>
        </is>
      </c>
      <c r="H670" s="3" t="inlineStr">
        <is>
          <t>Checking – Operating</t>
        </is>
      </c>
      <c r="I670" s="33" t="n">
        <v>-1044.27</v>
      </c>
      <c r="J670" s="13">
        <f>+J669+I670</f>
        <v>1302468.69</v>
      </c>
      <c r="K670" s="19">
        <f>+EOMONTH(B670,0)</f>
        <v>46173</v>
      </c>
      <c r="L670" s="3" t="inlineStr">
        <is>
          <t>Checking – Operating</t>
        </is>
      </c>
      <c r="M670" s="3" t="inlineStr">
        <is>
          <t>Balance Sheet</t>
        </is>
      </c>
    </row>
    <row r="671">
      <c r="B671" s="39" t="n">
        <v>46167</v>
      </c>
      <c r="C671" s="3" t="inlineStr">
        <is>
          <t>Journal Entry</t>
        </is>
      </c>
      <c r="D671" s="3" t="inlineStr"/>
      <c r="E671" s="3" t="inlineStr"/>
      <c r="F671" s="3" t="inlineStr">
        <is>
          <t>Lab Credentialing – May</t>
        </is>
      </c>
      <c r="G671" s="3" t="inlineStr">
        <is>
          <t>Lab Credentialing</t>
        </is>
      </c>
      <c r="H671" s="3" t="inlineStr">
        <is>
          <t>Checking – Operating</t>
        </is>
      </c>
      <c r="I671" s="33" t="n">
        <v>-738.6</v>
      </c>
      <c r="J671" s="13">
        <f>+J670+I671</f>
        <v>1301730.09</v>
      </c>
      <c r="K671" s="19">
        <f>+EOMONTH(B671,0)</f>
        <v>46173</v>
      </c>
      <c r="L671" s="3" t="inlineStr">
        <is>
          <t>Checking – Operating</t>
        </is>
      </c>
      <c r="M671" s="3" t="inlineStr">
        <is>
          <t>Balance Sheet</t>
        </is>
      </c>
    </row>
    <row r="672">
      <c r="B672" s="39" t="n">
        <v>46168</v>
      </c>
      <c r="C672" s="3" t="inlineStr">
        <is>
          <t>Bill Payment (Check)</t>
        </is>
      </c>
      <c r="D672" s="3" t="inlineStr"/>
      <c r="E672" s="3" t="inlineStr">
        <is>
          <t>Lumenlease Equipment</t>
        </is>
      </c>
      <c r="F672" s="3" t="inlineStr">
        <is>
          <t>Lab Equipment – May</t>
        </is>
      </c>
      <c r="G672" s="3" t="inlineStr">
        <is>
          <t>Accounts Payable</t>
        </is>
      </c>
      <c r="H672" s="3" t="inlineStr">
        <is>
          <t>Checking – Operating</t>
        </is>
      </c>
      <c r="I672" s="33" t="n">
        <v>-2505.64</v>
      </c>
      <c r="J672" s="13">
        <f>+J671+I672</f>
        <v>1299224.45</v>
      </c>
      <c r="K672" s="19">
        <f>+EOMONTH(B672,0)</f>
        <v>46173</v>
      </c>
      <c r="L672" s="3" t="inlineStr">
        <is>
          <t>Checking – Operating</t>
        </is>
      </c>
      <c r="M672" s="3" t="inlineStr">
        <is>
          <t>Balance Sheet</t>
        </is>
      </c>
    </row>
    <row r="673">
      <c r="B673" s="39" t="n">
        <v>46168</v>
      </c>
      <c r="C673" s="3" t="inlineStr">
        <is>
          <t>Credit Card Expense</t>
        </is>
      </c>
      <c r="D673" s="3" t="inlineStr"/>
      <c r="E673" s="3" t="inlineStr"/>
      <c r="F673" s="3" t="inlineStr">
        <is>
          <t>Patient refund</t>
        </is>
      </c>
      <c r="G673" s="3" t="inlineStr">
        <is>
          <t>Refunds</t>
        </is>
      </c>
      <c r="H673" s="3" t="inlineStr">
        <is>
          <t>Checking – Operating</t>
        </is>
      </c>
      <c r="I673" s="33" t="n">
        <v>-5208.52</v>
      </c>
      <c r="J673" s="13">
        <f>+J672+I673</f>
        <v>1294015.93</v>
      </c>
      <c r="K673" s="19">
        <f>+EOMONTH(B673,0)</f>
        <v>46173</v>
      </c>
      <c r="L673" s="3" t="inlineStr">
        <is>
          <t>Checking – Operating</t>
        </is>
      </c>
      <c r="M673" s="3" t="inlineStr">
        <is>
          <t>Balance Sheet</t>
        </is>
      </c>
    </row>
    <row r="674">
      <c r="B674" s="39" t="n">
        <v>46168</v>
      </c>
      <c r="C674" s="3" t="inlineStr">
        <is>
          <t>Credit Card Expense</t>
        </is>
      </c>
      <c r="D674" s="3" t="inlineStr"/>
      <c r="E674" s="3" t="inlineStr">
        <is>
          <t>Ledgerquill Billing SaaS</t>
        </is>
      </c>
      <c r="F674" s="3" t="inlineStr">
        <is>
          <t>Software – May</t>
        </is>
      </c>
      <c r="G674" s="3" t="inlineStr">
        <is>
          <t>Software</t>
        </is>
      </c>
      <c r="H674" s="3" t="inlineStr">
        <is>
          <t>Checking – Operating</t>
        </is>
      </c>
      <c r="I674" s="33" t="n">
        <v>-2524.78</v>
      </c>
      <c r="J674" s="13">
        <f>+J673+I674</f>
        <v>1291491.15</v>
      </c>
      <c r="K674" s="19">
        <f>+EOMONTH(B674,0)</f>
        <v>46173</v>
      </c>
      <c r="L674" s="3" t="inlineStr">
        <is>
          <t>Checking – Operating</t>
        </is>
      </c>
      <c r="M674" s="3" t="inlineStr">
        <is>
          <t>Balance Sheet</t>
        </is>
      </c>
    </row>
    <row r="675">
      <c r="B675" s="39" t="n">
        <v>46168</v>
      </c>
      <c r="C675" s="3" t="inlineStr">
        <is>
          <t>Deposit</t>
        </is>
      </c>
      <c r="D675" s="3" t="inlineStr"/>
      <c r="E675" s="3" t="inlineStr">
        <is>
          <t>Silvermoss Senior Living</t>
        </is>
      </c>
      <c r="F675" s="3" t="inlineStr">
        <is>
          <t>ORIG CO NAME:SILVERMOSS SL ORIG ID:XXXXXX3083 DESC DATE:260526 CO ENTRY DESCR:HCCLAIMPMT SEC:CCD TRACE#:XXXXXXXX4151714 EED:260526 IND ID:</t>
        </is>
      </c>
      <c r="G675" s="3" t="inlineStr">
        <is>
          <t>Service Income</t>
        </is>
      </c>
      <c r="H675" s="3" t="inlineStr">
        <is>
          <t>Checking – Operating</t>
        </is>
      </c>
      <c r="I675" s="33" t="n">
        <v>34376.17</v>
      </c>
      <c r="J675" s="13">
        <f>+J674+I675</f>
        <v>1325867.32</v>
      </c>
      <c r="K675" s="19">
        <f>+EOMONTH(B675,0)</f>
        <v>46173</v>
      </c>
      <c r="L675" s="3" t="inlineStr">
        <is>
          <t>Checking – Operating</t>
        </is>
      </c>
      <c r="M675" s="3" t="inlineStr">
        <is>
          <t>Balance Sheet</t>
        </is>
      </c>
    </row>
    <row r="676">
      <c r="B676" s="39" t="n">
        <v>46168</v>
      </c>
      <c r="C676" s="3" t="inlineStr">
        <is>
          <t>Deposit</t>
        </is>
      </c>
      <c r="D676" s="3" t="inlineStr"/>
      <c r="E676" s="3" t="inlineStr">
        <is>
          <t>Quayside Choice Senior Plan</t>
        </is>
      </c>
      <c r="F676" s="3" t="inlineStr">
        <is>
          <t>ORIG CO NAME:QUAYSIDE CHOICE SP ORIG ID:XXXXXX3079 DESC DATE:260526 CO ENTRY DESCR:HCCLAIMPMT SEC:CCD TRACE#:XXXXXXXX3659884 EED:260526 IND ID:</t>
        </is>
      </c>
      <c r="G676" s="3" t="inlineStr">
        <is>
          <t>Service Income</t>
        </is>
      </c>
      <c r="H676" s="3" t="inlineStr">
        <is>
          <t>Checking – Operating</t>
        </is>
      </c>
      <c r="I676" s="33" t="n">
        <v>49226.53</v>
      </c>
      <c r="J676" s="13">
        <f>+J675+I676</f>
        <v>1375093.85</v>
      </c>
      <c r="K676" s="19">
        <f>+EOMONTH(B676,0)</f>
        <v>46173</v>
      </c>
      <c r="L676" s="3" t="inlineStr">
        <is>
          <t>Checking – Operating</t>
        </is>
      </c>
      <c r="M676" s="3" t="inlineStr">
        <is>
          <t>Balance Sheet</t>
        </is>
      </c>
    </row>
    <row r="677">
      <c r="B677" s="39" t="n">
        <v>46168</v>
      </c>
      <c r="C677" s="3" t="inlineStr">
        <is>
          <t>Expense</t>
        </is>
      </c>
      <c r="D677" s="3" t="inlineStr"/>
      <c r="E677" s="3" t="inlineStr">
        <is>
          <t>Vialtrace Lab Supplies Inc</t>
        </is>
      </c>
      <c r="F677" s="3" t="inlineStr">
        <is>
          <t>QAQC – May</t>
        </is>
      </c>
      <c r="G677" s="3" t="inlineStr">
        <is>
          <t>QAQC</t>
        </is>
      </c>
      <c r="H677" s="3" t="inlineStr">
        <is>
          <t>Checking – Operating</t>
        </is>
      </c>
      <c r="I677" s="33" t="n">
        <v>-2220.3</v>
      </c>
      <c r="J677" s="13">
        <f>+J676+I677</f>
        <v>1372873.55</v>
      </c>
      <c r="K677" s="19">
        <f>+EOMONTH(B677,0)</f>
        <v>46173</v>
      </c>
      <c r="L677" s="3" t="inlineStr">
        <is>
          <t>Checking – Operating</t>
        </is>
      </c>
      <c r="M677" s="3" t="inlineStr">
        <is>
          <t>Balance Sheet</t>
        </is>
      </c>
    </row>
    <row r="678">
      <c r="B678" s="39" t="n">
        <v>46168</v>
      </c>
      <c r="C678" s="3" t="inlineStr">
        <is>
          <t>Journal Entry</t>
        </is>
      </c>
      <c r="D678" s="3" t="inlineStr"/>
      <c r="E678" s="3" t="inlineStr">
        <is>
          <t>Reagentix Corp</t>
        </is>
      </c>
      <c r="F678" s="3" t="inlineStr">
        <is>
          <t>QAQC – May</t>
        </is>
      </c>
      <c r="G678" s="3" t="inlineStr">
        <is>
          <t>QAQC</t>
        </is>
      </c>
      <c r="H678" s="3" t="inlineStr">
        <is>
          <t>Checking – Operating</t>
        </is>
      </c>
      <c r="I678" s="33" t="n">
        <v>-1479.7</v>
      </c>
      <c r="J678" s="13">
        <f>+J677+I678</f>
        <v>1371393.85</v>
      </c>
      <c r="K678" s="19">
        <f>+EOMONTH(B678,0)</f>
        <v>46173</v>
      </c>
      <c r="L678" s="3" t="inlineStr">
        <is>
          <t>Checking – Operating</t>
        </is>
      </c>
      <c r="M678" s="3" t="inlineStr">
        <is>
          <t>Balance Sheet</t>
        </is>
      </c>
    </row>
    <row r="679">
      <c r="B679" s="39" t="n">
        <v>46169</v>
      </c>
      <c r="C679" s="3" t="inlineStr">
        <is>
          <t>Bill Payment (Check)</t>
        </is>
      </c>
      <c r="D679" s="3" t="inlineStr"/>
      <c r="E679" s="3" t="inlineStr">
        <is>
          <t>Reagentix Corp</t>
        </is>
      </c>
      <c r="F679" s="3" t="inlineStr">
        <is>
          <t>Lab supplies PO# F2496</t>
        </is>
      </c>
      <c r="G679" s="3" t="inlineStr">
        <is>
          <t>Accounts Payable</t>
        </is>
      </c>
      <c r="H679" s="3" t="inlineStr">
        <is>
          <t>Checking – Operating</t>
        </is>
      </c>
      <c r="I679" s="33" t="n">
        <v>-10141.05</v>
      </c>
      <c r="J679" s="13">
        <f>+J678+I679</f>
        <v>1361252.8</v>
      </c>
      <c r="K679" s="19">
        <f>+EOMONTH(B679,0)</f>
        <v>46173</v>
      </c>
      <c r="L679" s="3" t="inlineStr">
        <is>
          <t>Checking – Operating</t>
        </is>
      </c>
      <c r="M679" s="3" t="inlineStr">
        <is>
          <t>Balance Sheet</t>
        </is>
      </c>
    </row>
    <row r="680">
      <c r="B680" s="39" t="n">
        <v>46169</v>
      </c>
      <c r="C680" s="3" t="inlineStr">
        <is>
          <t>Bill Payment (Check)</t>
        </is>
      </c>
      <c r="D680" s="3" t="inlineStr"/>
      <c r="E680" s="3" t="inlineStr">
        <is>
          <t>Tarrowmere Mutual Insurance</t>
        </is>
      </c>
      <c r="F680" s="3" t="inlineStr">
        <is>
          <t>Benefits – May</t>
        </is>
      </c>
      <c r="G680" s="3" t="inlineStr">
        <is>
          <t>Accounts Payable</t>
        </is>
      </c>
      <c r="H680" s="3" t="inlineStr">
        <is>
          <t>Checking – Operating</t>
        </is>
      </c>
      <c r="I680" s="33" t="n">
        <v>-7033.45</v>
      </c>
      <c r="J680" s="13">
        <f>+J679+I680</f>
        <v>1354219.35</v>
      </c>
      <c r="K680" s="19">
        <f>+EOMONTH(B680,0)</f>
        <v>46173</v>
      </c>
      <c r="L680" s="3" t="inlineStr">
        <is>
          <t>Checking – Operating</t>
        </is>
      </c>
      <c r="M680" s="3" t="inlineStr">
        <is>
          <t>Balance Sheet</t>
        </is>
      </c>
    </row>
    <row r="681">
      <c r="B681" s="39" t="n">
        <v>46169</v>
      </c>
      <c r="C681" s="3" t="inlineStr">
        <is>
          <t>Bill Payment (Check)</t>
        </is>
      </c>
      <c r="D681" s="3" t="inlineStr"/>
      <c r="E681" s="3" t="inlineStr">
        <is>
          <t>Ledgerquill Billing SaaS</t>
        </is>
      </c>
      <c r="F681" s="3" t="inlineStr">
        <is>
          <t>Billing Software as a Service – May</t>
        </is>
      </c>
      <c r="G681" s="3" t="inlineStr">
        <is>
          <t>Accounts Payable</t>
        </is>
      </c>
      <c r="H681" s="3" t="inlineStr">
        <is>
          <t>Checking – Operating</t>
        </is>
      </c>
      <c r="I681" s="33" t="n">
        <v>-13941.2</v>
      </c>
      <c r="J681" s="13">
        <f>+J680+I681</f>
        <v>1340278.15</v>
      </c>
      <c r="K681" s="19">
        <f>+EOMONTH(B681,0)</f>
        <v>46173</v>
      </c>
      <c r="L681" s="3" t="inlineStr">
        <is>
          <t>Checking – Operating</t>
        </is>
      </c>
      <c r="M681" s="3" t="inlineStr">
        <is>
          <t>Balance Sheet</t>
        </is>
      </c>
    </row>
    <row r="682">
      <c r="B682" s="39" t="n">
        <v>46169</v>
      </c>
      <c r="C682" s="3" t="inlineStr">
        <is>
          <t>Bill Payment (Check)</t>
        </is>
      </c>
      <c r="D682" s="3" t="inlineStr"/>
      <c r="E682" s="3" t="inlineStr">
        <is>
          <t>Union Utilities</t>
        </is>
      </c>
      <c r="F682" s="3" t="inlineStr">
        <is>
          <t>Utilities – May</t>
        </is>
      </c>
      <c r="G682" s="3" t="inlineStr">
        <is>
          <t>Accounts Payable</t>
        </is>
      </c>
      <c r="H682" s="3" t="inlineStr">
        <is>
          <t>Checking – Operating</t>
        </is>
      </c>
      <c r="I682" s="33" t="n">
        <v>-3018.32</v>
      </c>
      <c r="J682" s="13">
        <f>+J681+I682</f>
        <v>1337259.83</v>
      </c>
      <c r="K682" s="19">
        <f>+EOMONTH(B682,0)</f>
        <v>46173</v>
      </c>
      <c r="L682" s="3" t="inlineStr">
        <is>
          <t>Checking – Operating</t>
        </is>
      </c>
      <c r="M682" s="3" t="inlineStr">
        <is>
          <t>Balance Sheet</t>
        </is>
      </c>
    </row>
    <row r="683">
      <c r="B683" s="39" t="n">
        <v>46169</v>
      </c>
      <c r="C683" s="3" t="inlineStr">
        <is>
          <t>Expense</t>
        </is>
      </c>
      <c r="D683" s="3" t="inlineStr"/>
      <c r="E683" s="3" t="inlineStr"/>
      <c r="F683" s="3" t="inlineStr">
        <is>
          <t>Bank service charges – May</t>
        </is>
      </c>
      <c r="G683" s="3" t="inlineStr">
        <is>
          <t>Bank Fees</t>
        </is>
      </c>
      <c r="H683" s="3" t="inlineStr">
        <is>
          <t>Checking – Operating</t>
        </is>
      </c>
      <c r="I683" s="33" t="n">
        <v>-1468.09</v>
      </c>
      <c r="J683" s="13">
        <f>+J682+I683</f>
        <v>1335791.74</v>
      </c>
      <c r="K683" s="19">
        <f>+EOMONTH(B683,0)</f>
        <v>46173</v>
      </c>
      <c r="L683" s="3" t="inlineStr">
        <is>
          <t>Checking – Operating</t>
        </is>
      </c>
      <c r="M683" s="3" t="inlineStr">
        <is>
          <t>Balance Sheet</t>
        </is>
      </c>
    </row>
    <row r="684">
      <c r="B684" s="39" t="n">
        <v>46169</v>
      </c>
      <c r="C684" s="3" t="inlineStr">
        <is>
          <t>Expense</t>
        </is>
      </c>
      <c r="D684" s="3" t="inlineStr"/>
      <c r="E684" s="3" t="inlineStr"/>
      <c r="F684" s="3" t="inlineStr">
        <is>
          <t>Taxes and Licenses – May</t>
        </is>
      </c>
      <c r="G684" s="3" t="inlineStr">
        <is>
          <t>Taxes and Licenses</t>
        </is>
      </c>
      <c r="H684" s="3" t="inlineStr">
        <is>
          <t>Checking – Operating</t>
        </is>
      </c>
      <c r="I684" s="33" t="n">
        <v>-508.46</v>
      </c>
      <c r="J684" s="13">
        <f>+J683+I684</f>
        <v>1335283.28</v>
      </c>
      <c r="K684" s="19">
        <f>+EOMONTH(B684,0)</f>
        <v>46173</v>
      </c>
      <c r="L684" s="3" t="inlineStr">
        <is>
          <t>Checking – Operating</t>
        </is>
      </c>
      <c r="M684" s="3" t="inlineStr">
        <is>
          <t>Balance Sheet</t>
        </is>
      </c>
    </row>
    <row r="685">
      <c r="B685" s="39" t="n">
        <v>46170</v>
      </c>
      <c r="C685" s="3" t="inlineStr">
        <is>
          <t>Bill Payment (Check)</t>
        </is>
      </c>
      <c r="D685" s="3" t="inlineStr"/>
      <c r="E685" s="3" t="inlineStr">
        <is>
          <t>Lumenlease Equipment</t>
        </is>
      </c>
      <c r="F685" s="3" t="inlineStr">
        <is>
          <t>Lab Equipment – April</t>
        </is>
      </c>
      <c r="G685" s="3" t="inlineStr">
        <is>
          <t>Accounts Payable</t>
        </is>
      </c>
      <c r="H685" s="3" t="inlineStr">
        <is>
          <t>Checking – Operating</t>
        </is>
      </c>
      <c r="I685" s="33" t="n">
        <v>-2717.11</v>
      </c>
      <c r="J685" s="13">
        <f>+J684+I685</f>
        <v>1332566.17</v>
      </c>
      <c r="K685" s="19">
        <f>+EOMONTH(B685,0)</f>
        <v>46173</v>
      </c>
      <c r="L685" s="3" t="inlineStr">
        <is>
          <t>Checking – Operating</t>
        </is>
      </c>
      <c r="M685" s="3" t="inlineStr">
        <is>
          <t>Balance Sheet</t>
        </is>
      </c>
    </row>
    <row r="686">
      <c r="B686" s="39" t="n">
        <v>46170</v>
      </c>
      <c r="C686" s="3" t="inlineStr">
        <is>
          <t>Bill Payment (Check)</t>
        </is>
      </c>
      <c r="D686" s="3" t="inlineStr"/>
      <c r="E686" s="3" t="inlineStr">
        <is>
          <t>Union Utilities</t>
        </is>
      </c>
      <c r="F686" s="3" t="inlineStr">
        <is>
          <t>Utilities – April</t>
        </is>
      </c>
      <c r="G686" s="3" t="inlineStr">
        <is>
          <t>Accounts Payable</t>
        </is>
      </c>
      <c r="H686" s="3" t="inlineStr">
        <is>
          <t>Checking – Operating</t>
        </is>
      </c>
      <c r="I686" s="33" t="n">
        <v>-2416.37</v>
      </c>
      <c r="J686" s="13">
        <f>+J685+I686</f>
        <v>1330149.8</v>
      </c>
      <c r="K686" s="19">
        <f>+EOMONTH(B686,0)</f>
        <v>46173</v>
      </c>
      <c r="L686" s="3" t="inlineStr">
        <is>
          <t>Checking – Operating</t>
        </is>
      </c>
      <c r="M686" s="3" t="inlineStr">
        <is>
          <t>Balance Sheet</t>
        </is>
      </c>
    </row>
    <row r="687">
      <c r="B687" s="39" t="n">
        <v>46170</v>
      </c>
      <c r="C687" s="3" t="inlineStr">
        <is>
          <t>Deposit</t>
        </is>
      </c>
      <c r="D687" s="3" t="inlineStr"/>
      <c r="E687" s="3" t="inlineStr">
        <is>
          <t>State Program B</t>
        </is>
      </c>
      <c r="F687" s="3" t="inlineStr">
        <is>
          <t>ORIG CO NAME:STATE PROG B ORIG ID:XXXXXX3671 DESC DATE:260528 CO ENTRY DESCR:HCCLAIMPMT SEC:CCD TRACE#:XXXXXXXX6994041 EED:260528 IND ID:</t>
        </is>
      </c>
      <c r="G687" s="3" t="inlineStr">
        <is>
          <t>Service Income</t>
        </is>
      </c>
      <c r="H687" s="3" t="inlineStr">
        <is>
          <t>Checking – Operating</t>
        </is>
      </c>
      <c r="I687" s="33" t="n">
        <v>32540.74</v>
      </c>
      <c r="J687" s="13">
        <f>+J686+I687</f>
        <v>1362690.54</v>
      </c>
      <c r="K687" s="19">
        <f>+EOMONTH(B687,0)</f>
        <v>46173</v>
      </c>
      <c r="L687" s="3" t="inlineStr">
        <is>
          <t>Checking – Operating</t>
        </is>
      </c>
      <c r="M687" s="3" t="inlineStr">
        <is>
          <t>Balance Sheet</t>
        </is>
      </c>
    </row>
    <row r="688">
      <c r="B688" s="39" t="n">
        <v>46170</v>
      </c>
      <c r="C688" s="3" t="inlineStr">
        <is>
          <t>Deposit</t>
        </is>
      </c>
      <c r="D688" s="3" t="inlineStr"/>
      <c r="E688" s="3" t="inlineStr">
        <is>
          <t>Lanternway Benefits</t>
        </is>
      </c>
      <c r="F688" s="3" t="inlineStr">
        <is>
          <t>ORIG CO NAME:LANTERNWAY BEN ORIG ID:XXXXXX6677 DESC DATE:260528 CO ENTRY DESCR:HCCLAIMPMT SEC:CCD TRACE#:XXXXXXXX3423464 EED:260528 IND ID:</t>
        </is>
      </c>
      <c r="G688" s="3" t="inlineStr">
        <is>
          <t>Service Income</t>
        </is>
      </c>
      <c r="H688" s="3" t="inlineStr">
        <is>
          <t>Checking – Operating</t>
        </is>
      </c>
      <c r="I688" s="33" t="n">
        <v>34841.97</v>
      </c>
      <c r="J688" s="13">
        <f>+J687+I688</f>
        <v>1397532.51</v>
      </c>
      <c r="K688" s="19">
        <f>+EOMONTH(B688,0)</f>
        <v>46173</v>
      </c>
      <c r="L688" s="3" t="inlineStr">
        <is>
          <t>Checking – Operating</t>
        </is>
      </c>
      <c r="M688" s="3" t="inlineStr">
        <is>
          <t>Balance Sheet</t>
        </is>
      </c>
    </row>
    <row r="689">
      <c r="B689" s="39" t="n">
        <v>46171</v>
      </c>
      <c r="C689" s="3" t="inlineStr">
        <is>
          <t>Bill Payment (Check)</t>
        </is>
      </c>
      <c r="D689" s="3" t="inlineStr"/>
      <c r="E689" s="3" t="inlineStr">
        <is>
          <t>Reagentix Corp</t>
        </is>
      </c>
      <c r="F689" s="3" t="inlineStr">
        <is>
          <t>Lab supplies PO# F2076</t>
        </is>
      </c>
      <c r="G689" s="3" t="inlineStr">
        <is>
          <t>Accounts Payable</t>
        </is>
      </c>
      <c r="H689" s="3" t="inlineStr">
        <is>
          <t>Checking – Operating</t>
        </is>
      </c>
      <c r="I689" s="33" t="n">
        <v>-9915.02</v>
      </c>
      <c r="J689" s="13">
        <f>+J688+I689</f>
        <v>1387617.49</v>
      </c>
      <c r="K689" s="19">
        <f>+EOMONTH(B689,0)</f>
        <v>46173</v>
      </c>
      <c r="L689" s="3" t="inlineStr">
        <is>
          <t>Checking – Operating</t>
        </is>
      </c>
      <c r="M689" s="3" t="inlineStr">
        <is>
          <t>Balance Sheet</t>
        </is>
      </c>
    </row>
    <row r="690">
      <c r="B690" s="39" t="n">
        <v>46171</v>
      </c>
      <c r="C690" s="3" t="inlineStr">
        <is>
          <t>Bill Payment (Check)</t>
        </is>
      </c>
      <c r="D690" s="3" t="inlineStr"/>
      <c r="E690" s="3" t="inlineStr">
        <is>
          <t>Lumenlease Equipment</t>
        </is>
      </c>
      <c r="F690" s="3" t="inlineStr">
        <is>
          <t>Equipment Lease – May</t>
        </is>
      </c>
      <c r="G690" s="3" t="inlineStr">
        <is>
          <t>Accounts Payable</t>
        </is>
      </c>
      <c r="H690" s="3" t="inlineStr">
        <is>
          <t>Checking – Operating</t>
        </is>
      </c>
      <c r="I690" s="33" t="n">
        <v>-5225.76</v>
      </c>
      <c r="J690" s="13">
        <f>+J689+I690</f>
        <v>1382391.73</v>
      </c>
      <c r="K690" s="19">
        <f>+EOMONTH(B690,0)</f>
        <v>46173</v>
      </c>
      <c r="L690" s="3" t="inlineStr">
        <is>
          <t>Checking – Operating</t>
        </is>
      </c>
      <c r="M690" s="3" t="inlineStr">
        <is>
          <t>Balance Sheet</t>
        </is>
      </c>
    </row>
    <row r="691">
      <c r="B691" s="39" t="n">
        <v>46171</v>
      </c>
      <c r="C691" s="3" t="inlineStr">
        <is>
          <t>Bill Payment (Check)</t>
        </is>
      </c>
      <c r="D691" s="3" t="inlineStr"/>
      <c r="E691" s="3" t="inlineStr">
        <is>
          <t>Northmoor Waste Services</t>
        </is>
      </c>
      <c r="F691" s="3" t="inlineStr">
        <is>
          <t>Hazard Waste – May</t>
        </is>
      </c>
      <c r="G691" s="3" t="inlineStr">
        <is>
          <t>Accounts Payable</t>
        </is>
      </c>
      <c r="H691" s="3" t="inlineStr">
        <is>
          <t>Checking – Operating</t>
        </is>
      </c>
      <c r="I691" s="33" t="n">
        <v>-663.26</v>
      </c>
      <c r="J691" s="13">
        <f>+J690+I691</f>
        <v>1381728.47</v>
      </c>
      <c r="K691" s="19">
        <f>+EOMONTH(B691,0)</f>
        <v>46173</v>
      </c>
      <c r="L691" s="3" t="inlineStr">
        <is>
          <t>Checking – Operating</t>
        </is>
      </c>
      <c r="M691" s="3" t="inlineStr">
        <is>
          <t>Balance Sheet</t>
        </is>
      </c>
    </row>
    <row r="692">
      <c r="B692" s="39" t="n">
        <v>46171</v>
      </c>
      <c r="C692" s="3" t="inlineStr">
        <is>
          <t>Bill Payment (Check)</t>
        </is>
      </c>
      <c r="D692" s="3" t="inlineStr"/>
      <c r="E692" s="3" t="inlineStr">
        <is>
          <t>Tarrowmere Mutual Insurance</t>
        </is>
      </c>
      <c r="F692" s="3" t="inlineStr">
        <is>
          <t>Benefits – May</t>
        </is>
      </c>
      <c r="G692" s="3" t="inlineStr">
        <is>
          <t>Accounts Payable</t>
        </is>
      </c>
      <c r="H692" s="3" t="inlineStr">
        <is>
          <t>Checking – Operating</t>
        </is>
      </c>
      <c r="I692" s="33" t="n">
        <v>-8052.91</v>
      </c>
      <c r="J692" s="13">
        <f>+J691+I692</f>
        <v>1373675.56</v>
      </c>
      <c r="K692" s="19">
        <f>+EOMONTH(B692,0)</f>
        <v>46173</v>
      </c>
      <c r="L692" s="3" t="inlineStr">
        <is>
          <t>Checking – Operating</t>
        </is>
      </c>
      <c r="M692" s="3" t="inlineStr">
        <is>
          <t>Balance Sheet</t>
        </is>
      </c>
    </row>
    <row r="693">
      <c r="B693" s="39" t="n">
        <v>46171</v>
      </c>
      <c r="C693" s="3" t="inlineStr">
        <is>
          <t>Credit Card Expense</t>
        </is>
      </c>
      <c r="D693" s="3" t="inlineStr"/>
      <c r="E693" s="3" t="inlineStr">
        <is>
          <t>Ledgerquill Billing SaaS</t>
        </is>
      </c>
      <c r="F693" s="3" t="inlineStr">
        <is>
          <t>Software – May</t>
        </is>
      </c>
      <c r="G693" s="3" t="inlineStr">
        <is>
          <t>Software</t>
        </is>
      </c>
      <c r="H693" s="3" t="inlineStr">
        <is>
          <t>Checking – Operating</t>
        </is>
      </c>
      <c r="I693" s="33" t="n">
        <v>-3085.22</v>
      </c>
      <c r="J693" s="13">
        <f>+J692+I693</f>
        <v>1370590.34</v>
      </c>
      <c r="K693" s="19">
        <f>+EOMONTH(B693,0)</f>
        <v>46173</v>
      </c>
      <c r="L693" s="3" t="inlineStr">
        <is>
          <t>Checking – Operating</t>
        </is>
      </c>
      <c r="M693" s="3" t="inlineStr">
        <is>
          <t>Balance Sheet</t>
        </is>
      </c>
    </row>
    <row r="694">
      <c r="B694" s="39" t="n">
        <v>46171</v>
      </c>
      <c r="C694" s="3" t="inlineStr">
        <is>
          <t>Expense</t>
        </is>
      </c>
      <c r="D694" s="3" t="inlineStr"/>
      <c r="E694" s="3" t="inlineStr">
        <is>
          <t>Consultant A</t>
        </is>
      </c>
      <c r="F694" s="3" t="inlineStr">
        <is>
          <t>Legal &amp; Professional Fees – May</t>
        </is>
      </c>
      <c r="G694" s="3" t="inlineStr">
        <is>
          <t>Legal &amp; Professional Fees</t>
        </is>
      </c>
      <c r="H694" s="3" t="inlineStr">
        <is>
          <t>Checking – Operating</t>
        </is>
      </c>
      <c r="I694" s="33" t="n">
        <v>-1278.55</v>
      </c>
      <c r="J694" s="13">
        <f>+J693+I694</f>
        <v>1369311.79</v>
      </c>
      <c r="K694" s="19">
        <f>+EOMONTH(B694,0)</f>
        <v>46173</v>
      </c>
      <c r="L694" s="3" t="inlineStr">
        <is>
          <t>Checking – Operating</t>
        </is>
      </c>
      <c r="M694" s="3" t="inlineStr">
        <is>
          <t>Balance Sheet</t>
        </is>
      </c>
    </row>
    <row r="695">
      <c r="B695" s="39" t="n">
        <v>46171</v>
      </c>
      <c r="C695" s="3" t="inlineStr">
        <is>
          <t>Expense</t>
        </is>
      </c>
      <c r="D695" s="3" t="inlineStr"/>
      <c r="E695" s="3" t="inlineStr">
        <is>
          <t>Consultant A</t>
        </is>
      </c>
      <c r="F695" s="3" t="inlineStr">
        <is>
          <t>Professional Fees – May</t>
        </is>
      </c>
      <c r="G695" s="3" t="inlineStr">
        <is>
          <t>Professional Fees</t>
        </is>
      </c>
      <c r="H695" s="3" t="inlineStr">
        <is>
          <t>Checking – Operating</t>
        </is>
      </c>
      <c r="I695" s="33" t="n">
        <v>-4573.61</v>
      </c>
      <c r="J695" s="13">
        <f>+J694+I695</f>
        <v>1364738.18</v>
      </c>
      <c r="K695" s="19">
        <f>+EOMONTH(B695,0)</f>
        <v>46173</v>
      </c>
      <c r="L695" s="3" t="inlineStr">
        <is>
          <t>Checking – Operating</t>
        </is>
      </c>
      <c r="M695" s="3" t="inlineStr">
        <is>
          <t>Balance Sheet</t>
        </is>
      </c>
    </row>
    <row r="696">
      <c r="B696" s="39" t="n">
        <v>46171</v>
      </c>
      <c r="C696" s="3" t="inlineStr">
        <is>
          <t>Expense</t>
        </is>
      </c>
      <c r="D696" s="3" t="inlineStr"/>
      <c r="E696" s="3" t="inlineStr">
        <is>
          <t>Ledgerquill Billing SaaS</t>
        </is>
      </c>
      <c r="F696" s="3" t="inlineStr">
        <is>
          <t>Lab EMR Service – May</t>
        </is>
      </c>
      <c r="G696" s="3" t="inlineStr">
        <is>
          <t>Lab EMR Service</t>
        </is>
      </c>
      <c r="H696" s="3" t="inlineStr">
        <is>
          <t>Checking – Operating</t>
        </is>
      </c>
      <c r="I696" s="33" t="n">
        <v>-5028.13</v>
      </c>
      <c r="J696" s="13">
        <f>+J695+I696</f>
        <v>1359710.05</v>
      </c>
      <c r="K696" s="19">
        <f>+EOMONTH(B696,0)</f>
        <v>46173</v>
      </c>
      <c r="L696" s="3" t="inlineStr">
        <is>
          <t>Checking – Operating</t>
        </is>
      </c>
      <c r="M696" s="3" t="inlineStr">
        <is>
          <t>Balance Sheet</t>
        </is>
      </c>
    </row>
    <row r="697">
      <c r="B697" s="39" t="n">
        <v>46172</v>
      </c>
      <c r="C697" s="3" t="inlineStr">
        <is>
          <t>Bill Payment (Check)</t>
        </is>
      </c>
      <c r="D697" s="3" t="inlineStr"/>
      <c r="E697" s="3" t="inlineStr">
        <is>
          <t>Reference Lab A</t>
        </is>
      </c>
      <c r="F697" s="3" t="inlineStr">
        <is>
          <t>Send-out testing – April</t>
        </is>
      </c>
      <c r="G697" s="3" t="inlineStr">
        <is>
          <t>Accounts Payable</t>
        </is>
      </c>
      <c r="H697" s="3" t="inlineStr">
        <is>
          <t>Checking – Operating</t>
        </is>
      </c>
      <c r="I697" s="33" t="n">
        <v>-26609.14</v>
      </c>
      <c r="J697" s="13">
        <f>+J696+I697</f>
        <v>1333100.91</v>
      </c>
      <c r="K697" s="19">
        <f>+EOMONTH(B697,0)</f>
        <v>46173</v>
      </c>
      <c r="L697" s="3" t="inlineStr">
        <is>
          <t>Checking – Operating</t>
        </is>
      </c>
      <c r="M697" s="3" t="inlineStr">
        <is>
          <t>Balance Sheet</t>
        </is>
      </c>
    </row>
    <row r="698">
      <c r="B698" s="39" t="n">
        <v>46172</v>
      </c>
      <c r="C698" s="3" t="inlineStr">
        <is>
          <t>Bill Payment (Check)</t>
        </is>
      </c>
      <c r="D698" s="3" t="inlineStr"/>
      <c r="E698" s="3" t="inlineStr">
        <is>
          <t>Tarrowmere Mutual Insurance</t>
        </is>
      </c>
      <c r="F698" s="3" t="inlineStr">
        <is>
          <t>Premium installment</t>
        </is>
      </c>
      <c r="G698" s="3" t="inlineStr">
        <is>
          <t>Accounts Payable</t>
        </is>
      </c>
      <c r="H698" s="3" t="inlineStr">
        <is>
          <t>Checking – Operating</t>
        </is>
      </c>
      <c r="I698" s="33" t="n">
        <v>-5142.28</v>
      </c>
      <c r="J698" s="13">
        <f>+J697+I698</f>
        <v>1327958.63</v>
      </c>
      <c r="K698" s="19">
        <f>+EOMONTH(B698,0)</f>
        <v>46173</v>
      </c>
      <c r="L698" s="3" t="inlineStr">
        <is>
          <t>Checking – Operating</t>
        </is>
      </c>
      <c r="M698" s="3" t="inlineStr">
        <is>
          <t>Balance Sheet</t>
        </is>
      </c>
    </row>
    <row r="699">
      <c r="B699" s="39" t="n">
        <v>46172</v>
      </c>
      <c r="C699" s="3" t="inlineStr">
        <is>
          <t>Bill Payment (Check)</t>
        </is>
      </c>
      <c r="D699" s="3" t="inlineStr"/>
      <c r="E699" s="3" t="inlineStr">
        <is>
          <t>Lumenlease Equipment</t>
        </is>
      </c>
      <c r="F699" s="3" t="inlineStr">
        <is>
          <t>Equipment Lease – May</t>
        </is>
      </c>
      <c r="G699" s="3" t="inlineStr">
        <is>
          <t>Accounts Payable</t>
        </is>
      </c>
      <c r="H699" s="3" t="inlineStr">
        <is>
          <t>Checking – Operating</t>
        </is>
      </c>
      <c r="I699" s="33" t="n">
        <v>-2574.24</v>
      </c>
      <c r="J699" s="13">
        <f>+J698+I699</f>
        <v>1325384.39</v>
      </c>
      <c r="K699" s="19">
        <f>+EOMONTH(B699,0)</f>
        <v>46173</v>
      </c>
      <c r="L699" s="3" t="inlineStr">
        <is>
          <t>Checking – Operating</t>
        </is>
      </c>
      <c r="M699" s="3" t="inlineStr">
        <is>
          <t>Balance Sheet</t>
        </is>
      </c>
    </row>
    <row r="700">
      <c r="B700" s="39" t="n">
        <v>46172</v>
      </c>
      <c r="C700" s="3" t="inlineStr">
        <is>
          <t>Deposit</t>
        </is>
      </c>
      <c r="D700" s="3" t="inlineStr"/>
      <c r="E700" s="3" t="inlineStr">
        <is>
          <t>Vantrelle Health Plan</t>
        </is>
      </c>
      <c r="F700" s="3" t="inlineStr">
        <is>
          <t>ORIG CO NAME:VANTRELLE HP ORIG ID:XXXXXX6061 DESC DATE:260530 CO ENTRY DESCR:HCCLAIMPMT SEC:CCD TRACE#:XXXXXXXX4181423 EED:260530 IND ID:</t>
        </is>
      </c>
      <c r="G700" s="3" t="inlineStr">
        <is>
          <t>Service Income</t>
        </is>
      </c>
      <c r="H700" s="3" t="inlineStr">
        <is>
          <t>Checking – Operating</t>
        </is>
      </c>
      <c r="I700" s="33" t="n">
        <v>125337.64</v>
      </c>
      <c r="J700" s="13">
        <f>+J699+I700</f>
        <v>1450722.03</v>
      </c>
      <c r="K700" s="19">
        <f>+EOMONTH(B700,0)</f>
        <v>46173</v>
      </c>
      <c r="L700" s="3" t="inlineStr">
        <is>
          <t>Checking – Operating</t>
        </is>
      </c>
      <c r="M700" s="3" t="inlineStr">
        <is>
          <t>Balance Sheet</t>
        </is>
      </c>
    </row>
    <row r="701">
      <c r="B701" s="39" t="n">
        <v>46172</v>
      </c>
      <c r="C701" s="3" t="inlineStr">
        <is>
          <t>Deposit</t>
        </is>
      </c>
      <c r="D701" s="3" t="inlineStr"/>
      <c r="E701" s="3" t="inlineStr">
        <is>
          <t>Cobaltmere Health</t>
        </is>
      </c>
      <c r="F701" s="3" t="inlineStr">
        <is>
          <t>ORIG CO NAME:COBALTMERE HEALTH ORIG ID:XXXXXX6666 DESC DATE:260530 CO ENTRY DESCR:HCCLAIMPMT SEC:CCD TRACE#:XXXXXXXX7465935 EED:260530 IND ID:</t>
        </is>
      </c>
      <c r="G701" s="3" t="inlineStr">
        <is>
          <t>Service Income</t>
        </is>
      </c>
      <c r="H701" s="3" t="inlineStr">
        <is>
          <t>Checking – Operating</t>
        </is>
      </c>
      <c r="I701" s="33" t="n">
        <v>14282.99</v>
      </c>
      <c r="J701" s="13">
        <f>+J700+I701</f>
        <v>1465005.02</v>
      </c>
      <c r="K701" s="19">
        <f>+EOMONTH(B701,0)</f>
        <v>46173</v>
      </c>
      <c r="L701" s="3" t="inlineStr">
        <is>
          <t>Checking – Operating</t>
        </is>
      </c>
      <c r="M701" s="3" t="inlineStr">
        <is>
          <t>Balance Sheet</t>
        </is>
      </c>
    </row>
    <row r="702">
      <c r="B702" s="39" t="n">
        <v>46172</v>
      </c>
      <c r="C702" s="3" t="inlineStr">
        <is>
          <t>Expense</t>
        </is>
      </c>
      <c r="D702" s="3" t="inlineStr"/>
      <c r="E702" s="3" t="inlineStr">
        <is>
          <t>Tessarand Payroll Services</t>
        </is>
      </c>
      <c r="F702" s="3" t="inlineStr">
        <is>
          <t>Contractors – May</t>
        </is>
      </c>
      <c r="G702" s="3" t="inlineStr">
        <is>
          <t>Contractors</t>
        </is>
      </c>
      <c r="H702" s="3" t="inlineStr">
        <is>
          <t>Checking – Operating</t>
        </is>
      </c>
      <c r="I702" s="33" t="n">
        <v>-7443.12</v>
      </c>
      <c r="J702" s="13">
        <f>+J701+I702</f>
        <v>1457561.9</v>
      </c>
      <c r="K702" s="19">
        <f>+EOMONTH(B702,0)</f>
        <v>46173</v>
      </c>
      <c r="L702" s="3" t="inlineStr">
        <is>
          <t>Checking – Operating</t>
        </is>
      </c>
      <c r="M702" s="3" t="inlineStr">
        <is>
          <t>Balance Sheet</t>
        </is>
      </c>
    </row>
    <row r="703">
      <c r="B703" s="39" t="n">
        <v>46172</v>
      </c>
      <c r="C703" s="3" t="inlineStr">
        <is>
          <t>Expense</t>
        </is>
      </c>
      <c r="D703" s="3" t="inlineStr"/>
      <c r="E703" s="3" t="inlineStr"/>
      <c r="F703" s="3" t="inlineStr">
        <is>
          <t>Property tax installment</t>
        </is>
      </c>
      <c r="G703" s="3" t="inlineStr">
        <is>
          <t>Property tax</t>
        </is>
      </c>
      <c r="H703" s="3" t="inlineStr">
        <is>
          <t>Checking – Operating</t>
        </is>
      </c>
      <c r="I703" s="33" t="n">
        <v>-1185.75</v>
      </c>
      <c r="J703" s="13">
        <f>+J702+I703</f>
        <v>1456376.15</v>
      </c>
      <c r="K703" s="19">
        <f>+EOMONTH(B703,0)</f>
        <v>46173</v>
      </c>
      <c r="L703" s="3" t="inlineStr">
        <is>
          <t>Checking – Operating</t>
        </is>
      </c>
      <c r="M703" s="3" t="inlineStr">
        <is>
          <t>Balance Sheet</t>
        </is>
      </c>
    </row>
    <row r="704">
      <c r="B704" s="39" t="n">
        <v>46172</v>
      </c>
      <c r="C704" s="3" t="inlineStr">
        <is>
          <t>Expense</t>
        </is>
      </c>
      <c r="D704" s="3" t="inlineStr"/>
      <c r="E704" s="3" t="inlineStr">
        <is>
          <t>Lumenlease Equipment</t>
        </is>
      </c>
      <c r="F704" s="3" t="inlineStr">
        <is>
          <t>Repairs and Maintenance – May</t>
        </is>
      </c>
      <c r="G704" s="3" t="inlineStr">
        <is>
          <t>Repairs and Maintenance</t>
        </is>
      </c>
      <c r="H704" s="3" t="inlineStr">
        <is>
          <t>Checking – Operating</t>
        </is>
      </c>
      <c r="I704" s="33" t="n">
        <v>-1594.22</v>
      </c>
      <c r="J704" s="13">
        <f>+J703+I704</f>
        <v>1454781.93</v>
      </c>
      <c r="K704" s="19">
        <f>+EOMONTH(B704,0)</f>
        <v>46173</v>
      </c>
      <c r="L704" s="3" t="inlineStr">
        <is>
          <t>Checking – Operating</t>
        </is>
      </c>
      <c r="M704" s="3" t="inlineStr">
        <is>
          <t>Balance Sheet</t>
        </is>
      </c>
    </row>
    <row r="705">
      <c r="B705" s="39" t="n">
        <v>46172</v>
      </c>
      <c r="C705" s="3" t="inlineStr">
        <is>
          <t>Journal Entry</t>
        </is>
      </c>
      <c r="D705" s="3" t="inlineStr"/>
      <c r="E705" s="3" t="inlineStr"/>
      <c r="F705" s="3" t="inlineStr">
        <is>
          <t>Travel Expense – May</t>
        </is>
      </c>
      <c r="G705" s="3" t="inlineStr">
        <is>
          <t>Travel Expense</t>
        </is>
      </c>
      <c r="H705" s="3" t="inlineStr">
        <is>
          <t>Checking – Operating</t>
        </is>
      </c>
      <c r="I705" s="33" t="n">
        <v>-995.73</v>
      </c>
      <c r="J705" s="13">
        <f>+J704+I705</f>
        <v>1453786.2</v>
      </c>
      <c r="K705" s="19">
        <f>+EOMONTH(B705,0)</f>
        <v>46173</v>
      </c>
      <c r="L705" s="3" t="inlineStr">
        <is>
          <t>Checking – Operating</t>
        </is>
      </c>
      <c r="M705" s="3" t="inlineStr">
        <is>
          <t>Balance Sheet</t>
        </is>
      </c>
    </row>
    <row r="706">
      <c r="B706" s="39" t="n">
        <v>46173</v>
      </c>
      <c r="C706" s="3" t="inlineStr">
        <is>
          <t>Bill Payment (Check)</t>
        </is>
      </c>
      <c r="D706" s="3" t="inlineStr"/>
      <c r="E706" s="3" t="inlineStr">
        <is>
          <t>Ledgerquill Billing SaaS</t>
        </is>
      </c>
      <c r="F706" s="3" t="inlineStr">
        <is>
          <t>Billing Software as a Service – April</t>
        </is>
      </c>
      <c r="G706" s="3" t="inlineStr">
        <is>
          <t>Accounts Payable</t>
        </is>
      </c>
      <c r="H706" s="3" t="inlineStr">
        <is>
          <t>Checking – Operating</t>
        </is>
      </c>
      <c r="I706" s="33" t="n">
        <v>-29110.4</v>
      </c>
      <c r="J706" s="13">
        <f>+J705+I706</f>
        <v>1424675.8</v>
      </c>
      <c r="K706" s="19">
        <f>+EOMONTH(B706,0)</f>
        <v>46173</v>
      </c>
      <c r="L706" s="3" t="inlineStr">
        <is>
          <t>Checking – Operating</t>
        </is>
      </c>
      <c r="M706" s="3" t="inlineStr">
        <is>
          <t>Balance Sheet</t>
        </is>
      </c>
    </row>
    <row r="707">
      <c r="B707" s="39" t="n">
        <v>46173</v>
      </c>
      <c r="C707" s="3" t="inlineStr">
        <is>
          <t>Deposit</t>
        </is>
      </c>
      <c r="D707" s="3" t="inlineStr"/>
      <c r="E707" s="3" t="inlineStr">
        <is>
          <t>Cobaltmere Health</t>
        </is>
      </c>
      <c r="F707" s="3" t="inlineStr">
        <is>
          <t>ORIG CO NAME:COBALTMERE HEALTH ORIG ID:XXXXXX2251 DESC DATE:260531 CO ENTRY DESCR:HCCLAIMPMT SEC:CCD TRACE#:XXXXXXXX4602838 EED:260531 IND ID:</t>
        </is>
      </c>
      <c r="G707" s="3" t="inlineStr">
        <is>
          <t>Service Income</t>
        </is>
      </c>
      <c r="H707" s="3" t="inlineStr">
        <is>
          <t>Checking – Operating</t>
        </is>
      </c>
      <c r="I707" s="33" t="n">
        <v>30800.53</v>
      </c>
      <c r="J707" s="13">
        <f>+J706+I707</f>
        <v>1455476.33</v>
      </c>
      <c r="K707" s="19">
        <f>+EOMONTH(B707,0)</f>
        <v>46173</v>
      </c>
      <c r="L707" s="3" t="inlineStr">
        <is>
          <t>Checking – Operating</t>
        </is>
      </c>
      <c r="M707" s="3" t="inlineStr">
        <is>
          <t>Balance Sheet</t>
        </is>
      </c>
    </row>
    <row r="708">
      <c r="B708" s="39" t="n">
        <v>46173</v>
      </c>
      <c r="C708" s="3" t="inlineStr">
        <is>
          <t>Expense</t>
        </is>
      </c>
      <c r="D708" s="3" t="inlineStr"/>
      <c r="E708" s="3" t="inlineStr"/>
      <c r="F708" s="3" t="inlineStr">
        <is>
          <t>Car expense – May</t>
        </is>
      </c>
      <c r="G708" s="3" t="inlineStr">
        <is>
          <t>Car expense</t>
        </is>
      </c>
      <c r="H708" s="3" t="inlineStr">
        <is>
          <t>Checking – Operating</t>
        </is>
      </c>
      <c r="I708" s="33" t="n">
        <v>-724.21</v>
      </c>
      <c r="J708" s="13">
        <f>+J707+I708</f>
        <v>1454752.12</v>
      </c>
      <c r="K708" s="19">
        <f>+EOMONTH(B708,0)</f>
        <v>46173</v>
      </c>
      <c r="L708" s="3" t="inlineStr">
        <is>
          <t>Checking – Operating</t>
        </is>
      </c>
      <c r="M708" s="3" t="inlineStr">
        <is>
          <t>Balance Sheet</t>
        </is>
      </c>
    </row>
    <row r="709">
      <c r="B709" s="39" t="n">
        <v>46173</v>
      </c>
      <c r="C709" s="3" t="inlineStr">
        <is>
          <t>Journal Entry</t>
        </is>
      </c>
      <c r="D709" s="3" t="inlineStr"/>
      <c r="E709" s="3" t="inlineStr"/>
      <c r="F709" s="3" t="inlineStr">
        <is>
          <t>Interest – equipment note</t>
        </is>
      </c>
      <c r="G709" s="3" t="inlineStr">
        <is>
          <t>Interest Expense</t>
        </is>
      </c>
      <c r="H709" s="3" t="inlineStr">
        <is>
          <t>Checking – Operating</t>
        </is>
      </c>
      <c r="I709" s="33" t="n">
        <v>-1364.8</v>
      </c>
      <c r="J709" s="13">
        <f>+J708+I709</f>
        <v>1453387.32</v>
      </c>
      <c r="K709" s="19">
        <f>+EOMONTH(B709,0)</f>
        <v>46173</v>
      </c>
      <c r="L709" s="3" t="inlineStr">
        <is>
          <t>Checking – Operating</t>
        </is>
      </c>
      <c r="M709" s="3" t="inlineStr">
        <is>
          <t>Balance Sheet</t>
        </is>
      </c>
    </row>
    <row r="710">
      <c r="B710" s="39" t="n">
        <v>46174</v>
      </c>
      <c r="C710" s="3" t="inlineStr">
        <is>
          <t>Bill Payment (Check)</t>
        </is>
      </c>
      <c r="D710" s="3" t="inlineStr"/>
      <c r="E710" s="3" t="inlineStr">
        <is>
          <t>Reagentix Corp</t>
        </is>
      </c>
      <c r="F710" s="3" t="inlineStr">
        <is>
          <t>Lab supplies PO# F2144</t>
        </is>
      </c>
      <c r="G710" s="3" t="inlineStr">
        <is>
          <t>Accounts Payable</t>
        </is>
      </c>
      <c r="H710" s="3" t="inlineStr">
        <is>
          <t>Checking – Operating</t>
        </is>
      </c>
      <c r="I710" s="33" t="n">
        <v>-27432.62</v>
      </c>
      <c r="J710" s="13">
        <f>+J709+I710</f>
        <v>1425954.7</v>
      </c>
      <c r="K710" s="19">
        <f>+EOMONTH(B710,0)</f>
        <v>46203</v>
      </c>
      <c r="L710" s="3" t="inlineStr">
        <is>
          <t>Checking – Operating</t>
        </is>
      </c>
      <c r="M710" s="3" t="inlineStr">
        <is>
          <t>Balance Sheet</t>
        </is>
      </c>
    </row>
    <row r="711">
      <c r="B711" s="39" t="n">
        <v>46174</v>
      </c>
      <c r="C711" s="3" t="inlineStr">
        <is>
          <t>Credit Card Expense</t>
        </is>
      </c>
      <c r="D711" s="3" t="inlineStr"/>
      <c r="E711" s="3" t="inlineStr">
        <is>
          <t>Halloway Ridge Realty (rent)</t>
        </is>
      </c>
      <c r="F711" s="3" t="inlineStr">
        <is>
          <t>Landscaping – June</t>
        </is>
      </c>
      <c r="G711" s="3" t="inlineStr">
        <is>
          <t>Landscaping</t>
        </is>
      </c>
      <c r="H711" s="3" t="inlineStr">
        <is>
          <t>Checking – Operating</t>
        </is>
      </c>
      <c r="I711" s="33" t="n">
        <v>-1334.45</v>
      </c>
      <c r="J711" s="13">
        <f>+J710+I711</f>
        <v>1424620.25</v>
      </c>
      <c r="K711" s="19">
        <f>+EOMONTH(B711,0)</f>
        <v>46203</v>
      </c>
      <c r="L711" s="3" t="inlineStr">
        <is>
          <t>Checking – Operating</t>
        </is>
      </c>
      <c r="M711" s="3" t="inlineStr">
        <is>
          <t>Balance Sheet</t>
        </is>
      </c>
    </row>
    <row r="712">
      <c r="B712" s="39" t="n">
        <v>46175</v>
      </c>
      <c r="C712" s="3" t="inlineStr">
        <is>
          <t>Bill Payment (Check)</t>
        </is>
      </c>
      <c r="D712" s="3" t="inlineStr"/>
      <c r="E712" s="3" t="inlineStr">
        <is>
          <t>Reagentix Corp</t>
        </is>
      </c>
      <c r="F712" s="3" t="inlineStr">
        <is>
          <t>Lab supplies PO# F2071</t>
        </is>
      </c>
      <c r="G712" s="3" t="inlineStr">
        <is>
          <t>Accounts Payable</t>
        </is>
      </c>
      <c r="H712" s="3" t="inlineStr">
        <is>
          <t>Checking – Operating</t>
        </is>
      </c>
      <c r="I712" s="33" t="n">
        <v>-32675.49</v>
      </c>
      <c r="J712" s="13">
        <f>+J711+I712</f>
        <v>1391944.76</v>
      </c>
      <c r="K712" s="19">
        <f>+EOMONTH(B712,0)</f>
        <v>46203</v>
      </c>
      <c r="L712" s="3" t="inlineStr">
        <is>
          <t>Checking – Operating</t>
        </is>
      </c>
      <c r="M712" s="3" t="inlineStr">
        <is>
          <t>Balance Sheet</t>
        </is>
      </c>
    </row>
    <row r="713">
      <c r="B713" s="39" t="n">
        <v>46175</v>
      </c>
      <c r="C713" s="3" t="inlineStr">
        <is>
          <t>Expense</t>
        </is>
      </c>
      <c r="D713" s="3" t="inlineStr"/>
      <c r="E713" s="3" t="inlineStr">
        <is>
          <t>Consultant A</t>
        </is>
      </c>
      <c r="F713" s="3" t="inlineStr">
        <is>
          <t>Consulting – June</t>
        </is>
      </c>
      <c r="G713" s="3" t="inlineStr">
        <is>
          <t>Consulting</t>
        </is>
      </c>
      <c r="H713" s="3" t="inlineStr">
        <is>
          <t>Checking – Operating</t>
        </is>
      </c>
      <c r="I713" s="33" t="n">
        <v>-4204.54</v>
      </c>
      <c r="J713" s="13">
        <f>+J712+I713</f>
        <v>1387740.22</v>
      </c>
      <c r="K713" s="19">
        <f>+EOMONTH(B713,0)</f>
        <v>46203</v>
      </c>
      <c r="L713" s="3" t="inlineStr">
        <is>
          <t>Checking – Operating</t>
        </is>
      </c>
      <c r="M713" s="3" t="inlineStr">
        <is>
          <t>Balance Sheet</t>
        </is>
      </c>
    </row>
    <row r="714">
      <c r="B714" s="39" t="n">
        <v>46175</v>
      </c>
      <c r="C714" s="3" t="inlineStr">
        <is>
          <t>Expense</t>
        </is>
      </c>
      <c r="D714" s="3" t="inlineStr"/>
      <c r="E714" s="3" t="inlineStr">
        <is>
          <t>Consultant A</t>
        </is>
      </c>
      <c r="F714" s="3" t="inlineStr">
        <is>
          <t>Professional Fees – June</t>
        </is>
      </c>
      <c r="G714" s="3" t="inlineStr">
        <is>
          <t>Professional Fees</t>
        </is>
      </c>
      <c r="H714" s="3" t="inlineStr">
        <is>
          <t>Checking – Operating</t>
        </is>
      </c>
      <c r="I714" s="33" t="n">
        <v>-4793.41</v>
      </c>
      <c r="J714" s="13">
        <f>+J713+I714</f>
        <v>1382946.81</v>
      </c>
      <c r="K714" s="19">
        <f>+EOMONTH(B714,0)</f>
        <v>46203</v>
      </c>
      <c r="L714" s="3" t="inlineStr">
        <is>
          <t>Checking – Operating</t>
        </is>
      </c>
      <c r="M714" s="3" t="inlineStr">
        <is>
          <t>Balance Sheet</t>
        </is>
      </c>
    </row>
    <row r="715">
      <c r="B715" s="39" t="n">
        <v>46175</v>
      </c>
      <c r="C715" s="3" t="inlineStr">
        <is>
          <t>Expense</t>
        </is>
      </c>
      <c r="D715" s="3" t="inlineStr"/>
      <c r="E715" s="3" t="inlineStr">
        <is>
          <t>Union Utilities</t>
        </is>
      </c>
      <c r="F715" s="3" t="inlineStr">
        <is>
          <t>Fax Service – June</t>
        </is>
      </c>
      <c r="G715" s="3" t="inlineStr">
        <is>
          <t>Fax Service</t>
        </is>
      </c>
      <c r="H715" s="3" t="inlineStr">
        <is>
          <t>Checking – Operating</t>
        </is>
      </c>
      <c r="I715" s="33" t="n">
        <v>-805.61</v>
      </c>
      <c r="J715" s="13">
        <f>+J714+I715</f>
        <v>1382141.2</v>
      </c>
      <c r="K715" s="19">
        <f>+EOMONTH(B715,0)</f>
        <v>46203</v>
      </c>
      <c r="L715" s="3" t="inlineStr">
        <is>
          <t>Checking – Operating</t>
        </is>
      </c>
      <c r="M715" s="3" t="inlineStr">
        <is>
          <t>Balance Sheet</t>
        </is>
      </c>
    </row>
    <row r="716">
      <c r="B716" s="39" t="n">
        <v>46175</v>
      </c>
      <c r="C716" s="3" t="inlineStr">
        <is>
          <t>Journal Entry</t>
        </is>
      </c>
      <c r="D716" s="3" t="inlineStr"/>
      <c r="E716" s="3" t="inlineStr">
        <is>
          <t>Vialtrace Lab Supplies Inc</t>
        </is>
      </c>
      <c r="F716" s="3" t="inlineStr">
        <is>
          <t>QAQC – June</t>
        </is>
      </c>
      <c r="G716" s="3" t="inlineStr">
        <is>
          <t>QAQC</t>
        </is>
      </c>
      <c r="H716" s="3" t="inlineStr">
        <is>
          <t>Checking – Operating</t>
        </is>
      </c>
      <c r="I716" s="33" t="n">
        <v>-1641.91</v>
      </c>
      <c r="J716" s="13">
        <f>+J715+I716</f>
        <v>1380499.29</v>
      </c>
      <c r="K716" s="19">
        <f>+EOMONTH(B716,0)</f>
        <v>46203</v>
      </c>
      <c r="L716" s="3" t="inlineStr">
        <is>
          <t>Checking – Operating</t>
        </is>
      </c>
      <c r="M716" s="3" t="inlineStr">
        <is>
          <t>Balance Sheet</t>
        </is>
      </c>
    </row>
    <row r="717">
      <c r="B717" s="39" t="n">
        <v>46176</v>
      </c>
      <c r="C717" s="3" t="inlineStr">
        <is>
          <t>Credit Card Expense</t>
        </is>
      </c>
      <c r="D717" s="3" t="inlineStr"/>
      <c r="E717" s="3" t="inlineStr">
        <is>
          <t>Ledgerquill Billing SaaS</t>
        </is>
      </c>
      <c r="F717" s="3" t="inlineStr">
        <is>
          <t>Dues &amp; Subscriptions – June</t>
        </is>
      </c>
      <c r="G717" s="3" t="inlineStr">
        <is>
          <t>Dues &amp; Subscriptions</t>
        </is>
      </c>
      <c r="H717" s="3" t="inlineStr">
        <is>
          <t>Checking – Operating</t>
        </is>
      </c>
      <c r="I717" s="33" t="n">
        <v>-916.3200000000001</v>
      </c>
      <c r="J717" s="13">
        <f>+J716+I717</f>
        <v>1379582.97</v>
      </c>
      <c r="K717" s="19">
        <f>+EOMONTH(B717,0)</f>
        <v>46203</v>
      </c>
      <c r="L717" s="3" t="inlineStr">
        <is>
          <t>Checking – Operating</t>
        </is>
      </c>
      <c r="M717" s="3" t="inlineStr">
        <is>
          <t>Balance Sheet</t>
        </is>
      </c>
    </row>
    <row r="718">
      <c r="B718" s="39" t="n">
        <v>46176</v>
      </c>
      <c r="C718" s="3" t="inlineStr">
        <is>
          <t>Deposit</t>
        </is>
      </c>
      <c r="D718" s="3" t="inlineStr"/>
      <c r="E718" s="3" t="inlineStr">
        <is>
          <t>Marrowby Mutual</t>
        </is>
      </c>
      <c r="F718" s="3" t="inlineStr">
        <is>
          <t>ORIG CO NAME:MARROWBY MUTUAL ORIG ID:XXXXXX7449 DESC DATE:260603 CO ENTRY DESCR:HCCLAIMPMT SEC:CCD TRACE#:XXXXXXXX3172023 EED:260603 IND ID:</t>
        </is>
      </c>
      <c r="G718" s="3" t="inlineStr">
        <is>
          <t>Service Income</t>
        </is>
      </c>
      <c r="H718" s="3" t="inlineStr">
        <is>
          <t>Checking – Operating</t>
        </is>
      </c>
      <c r="I718" s="33" t="n">
        <v>57665.89</v>
      </c>
      <c r="J718" s="13">
        <f>+J717+I718</f>
        <v>1437248.86</v>
      </c>
      <c r="K718" s="19">
        <f>+EOMONTH(B718,0)</f>
        <v>46203</v>
      </c>
      <c r="L718" s="3" t="inlineStr">
        <is>
          <t>Checking – Operating</t>
        </is>
      </c>
      <c r="M718" s="3" t="inlineStr">
        <is>
          <t>Balance Sheet</t>
        </is>
      </c>
    </row>
    <row r="719">
      <c r="B719" s="39" t="n">
        <v>46176</v>
      </c>
      <c r="C719" s="3" t="inlineStr">
        <is>
          <t>Payroll Check</t>
        </is>
      </c>
      <c r="D719" s="3" t="inlineStr"/>
      <c r="E719" s="3" t="inlineStr">
        <is>
          <t>Tessarand Payroll Services</t>
        </is>
      </c>
      <c r="F719" s="3" t="inlineStr">
        <is>
          <t>Payroll – biweekly</t>
        </is>
      </c>
      <c r="G719" s="3" t="inlineStr">
        <is>
          <t>Salaries and Wages</t>
        </is>
      </c>
      <c r="H719" s="3" t="inlineStr">
        <is>
          <t>Checking – Operating</t>
        </is>
      </c>
      <c r="I719" s="33" t="n">
        <v>-153776.27</v>
      </c>
      <c r="J719" s="13">
        <f>+J718+I719</f>
        <v>1283472.59</v>
      </c>
      <c r="K719" s="19">
        <f>+EOMONTH(B719,0)</f>
        <v>46203</v>
      </c>
      <c r="L719" s="3" t="inlineStr">
        <is>
          <t>Checking – Operating</t>
        </is>
      </c>
      <c r="M719" s="3" t="inlineStr">
        <is>
          <t>Balance Sheet</t>
        </is>
      </c>
    </row>
    <row r="720">
      <c r="B720" s="39" t="n">
        <v>46177</v>
      </c>
      <c r="C720" s="3" t="inlineStr">
        <is>
          <t>Bill Payment (Check)</t>
        </is>
      </c>
      <c r="D720" s="3" t="inlineStr"/>
      <c r="E720" s="3" t="inlineStr">
        <is>
          <t>Vialtrace Lab Supplies Inc</t>
        </is>
      </c>
      <c r="F720" s="3" t="inlineStr">
        <is>
          <t>Lab Expenses – May</t>
        </is>
      </c>
      <c r="G720" s="3" t="inlineStr">
        <is>
          <t>Accounts Payable</t>
        </is>
      </c>
      <c r="H720" s="3" t="inlineStr">
        <is>
          <t>Checking – Operating</t>
        </is>
      </c>
      <c r="I720" s="33" t="n">
        <v>-5626.85</v>
      </c>
      <c r="J720" s="13">
        <f>+J719+I720</f>
        <v>1277845.74</v>
      </c>
      <c r="K720" s="19">
        <f>+EOMONTH(B720,0)</f>
        <v>46203</v>
      </c>
      <c r="L720" s="3" t="inlineStr">
        <is>
          <t>Checking – Operating</t>
        </is>
      </c>
      <c r="M720" s="3" t="inlineStr">
        <is>
          <t>Balance Sheet</t>
        </is>
      </c>
    </row>
    <row r="721">
      <c r="B721" s="39" t="n">
        <v>46177</v>
      </c>
      <c r="C721" s="3" t="inlineStr">
        <is>
          <t>Bill Payment (Check)</t>
        </is>
      </c>
      <c r="D721" s="3" t="inlineStr"/>
      <c r="E721" s="3" t="inlineStr">
        <is>
          <t>Swiftmere Courier</t>
        </is>
      </c>
      <c r="F721" s="3" t="inlineStr">
        <is>
          <t>Delivery and Transportation – May</t>
        </is>
      </c>
      <c r="G721" s="3" t="inlineStr">
        <is>
          <t>Accounts Payable</t>
        </is>
      </c>
      <c r="H721" s="3" t="inlineStr">
        <is>
          <t>Checking – Operating</t>
        </is>
      </c>
      <c r="I721" s="33" t="n">
        <v>-2661.88</v>
      </c>
      <c r="J721" s="13">
        <f>+J720+I721</f>
        <v>1275183.86</v>
      </c>
      <c r="K721" s="19">
        <f>+EOMONTH(B721,0)</f>
        <v>46203</v>
      </c>
      <c r="L721" s="3" t="inlineStr">
        <is>
          <t>Checking – Operating</t>
        </is>
      </c>
      <c r="M721" s="3" t="inlineStr">
        <is>
          <t>Balance Sheet</t>
        </is>
      </c>
    </row>
    <row r="722">
      <c r="B722" s="39" t="n">
        <v>46177</v>
      </c>
      <c r="C722" s="3" t="inlineStr">
        <is>
          <t>Bill Payment (Check)</t>
        </is>
      </c>
      <c r="D722" s="3" t="inlineStr"/>
      <c r="E722" s="3" t="inlineStr">
        <is>
          <t>Halloway Ridge Realty (rent)</t>
        </is>
      </c>
      <c r="F722" s="3" t="inlineStr">
        <is>
          <t>Rent – May</t>
        </is>
      </c>
      <c r="G722" s="3" t="inlineStr">
        <is>
          <t>Accounts Payable</t>
        </is>
      </c>
      <c r="H722" s="3" t="inlineStr">
        <is>
          <t>Checking – Operating</t>
        </is>
      </c>
      <c r="I722" s="33" t="n">
        <v>-12645.14</v>
      </c>
      <c r="J722" s="13">
        <f>+J721+I722</f>
        <v>1262538.72</v>
      </c>
      <c r="K722" s="19">
        <f>+EOMONTH(B722,0)</f>
        <v>46203</v>
      </c>
      <c r="L722" s="3" t="inlineStr">
        <is>
          <t>Checking – Operating</t>
        </is>
      </c>
      <c r="M722" s="3" t="inlineStr">
        <is>
          <t>Balance Sheet</t>
        </is>
      </c>
    </row>
    <row r="723">
      <c r="B723" s="39" t="n">
        <v>46177</v>
      </c>
      <c r="C723" s="3" t="inlineStr">
        <is>
          <t>Deposit</t>
        </is>
      </c>
      <c r="D723" s="3" t="inlineStr"/>
      <c r="E723" s="3" t="inlineStr">
        <is>
          <t>Lanternway Benefits</t>
        </is>
      </c>
      <c r="F723" s="3" t="inlineStr">
        <is>
          <t>ORIG CO NAME:LANTERNWAY BEN ORIG ID:XXXXXX1082 DESC DATE:260604 CO ENTRY DESCR:HCCLAIMPMT SEC:CCD TRACE#:XXXXXXXX5090016 EED:260604 IND ID:</t>
        </is>
      </c>
      <c r="G723" s="3" t="inlineStr">
        <is>
          <t>Service Income</t>
        </is>
      </c>
      <c r="H723" s="3" t="inlineStr">
        <is>
          <t>Checking – Operating</t>
        </is>
      </c>
      <c r="I723" s="33" t="n">
        <v>34554.1</v>
      </c>
      <c r="J723" s="13">
        <f>+J722+I723</f>
        <v>1297092.82</v>
      </c>
      <c r="K723" s="19">
        <f>+EOMONTH(B723,0)</f>
        <v>46203</v>
      </c>
      <c r="L723" s="3" t="inlineStr">
        <is>
          <t>Checking – Operating</t>
        </is>
      </c>
      <c r="M723" s="3" t="inlineStr">
        <is>
          <t>Balance Sheet</t>
        </is>
      </c>
    </row>
    <row r="724">
      <c r="B724" s="39" t="n">
        <v>46178</v>
      </c>
      <c r="C724" s="3" t="inlineStr">
        <is>
          <t>Bill Payment (Check)</t>
        </is>
      </c>
      <c r="D724" s="3" t="inlineStr"/>
      <c r="E724" s="3" t="inlineStr">
        <is>
          <t>Ledgerquill Billing SaaS</t>
        </is>
      </c>
      <c r="F724" s="3" t="inlineStr">
        <is>
          <t>Billing Software as a Service – May</t>
        </is>
      </c>
      <c r="G724" s="3" t="inlineStr">
        <is>
          <t>Accounts Payable</t>
        </is>
      </c>
      <c r="H724" s="3" t="inlineStr">
        <is>
          <t>Checking – Operating</t>
        </is>
      </c>
      <c r="I724" s="33" t="n">
        <v>-20485.92</v>
      </c>
      <c r="J724" s="13">
        <f>+J723+I724</f>
        <v>1276606.9</v>
      </c>
      <c r="K724" s="19">
        <f>+EOMONTH(B724,0)</f>
        <v>46203</v>
      </c>
      <c r="L724" s="3" t="inlineStr">
        <is>
          <t>Checking – Operating</t>
        </is>
      </c>
      <c r="M724" s="3" t="inlineStr">
        <is>
          <t>Balance Sheet</t>
        </is>
      </c>
    </row>
    <row r="725">
      <c r="B725" s="39" t="n">
        <v>46178</v>
      </c>
      <c r="C725" s="3" t="inlineStr">
        <is>
          <t>Deposit</t>
        </is>
      </c>
      <c r="D725" s="3" t="inlineStr"/>
      <c r="E725" s="3" t="inlineStr">
        <is>
          <t>Lanternway Benefits</t>
        </is>
      </c>
      <c r="F725" s="3" t="inlineStr">
        <is>
          <t>ORIG CO NAME:LANTERNWAY BEN ORIG ID:XXXXXX3702 DESC DATE:260605 CO ENTRY DESCR:HCCLAIMPMT SEC:CCD TRACE#:XXXXXXXX8281369 EED:260605 IND ID:</t>
        </is>
      </c>
      <c r="G725" s="3" t="inlineStr">
        <is>
          <t>Service Income</t>
        </is>
      </c>
      <c r="H725" s="3" t="inlineStr">
        <is>
          <t>Checking – Operating</t>
        </is>
      </c>
      <c r="I725" s="33" t="n">
        <v>33300.12</v>
      </c>
      <c r="J725" s="13">
        <f>+J724+I725</f>
        <v>1309907.02</v>
      </c>
      <c r="K725" s="19">
        <f>+EOMONTH(B725,0)</f>
        <v>46203</v>
      </c>
      <c r="L725" s="3" t="inlineStr">
        <is>
          <t>Checking – Operating</t>
        </is>
      </c>
      <c r="M725" s="3" t="inlineStr">
        <is>
          <t>Balance Sheet</t>
        </is>
      </c>
    </row>
    <row r="726">
      <c r="B726" s="39" t="n">
        <v>46178</v>
      </c>
      <c r="C726" s="3" t="inlineStr">
        <is>
          <t>Deposit</t>
        </is>
      </c>
      <c r="D726" s="3" t="inlineStr"/>
      <c r="E726" s="3" t="inlineStr">
        <is>
          <t>Quayside Choice Senior Plan</t>
        </is>
      </c>
      <c r="F726" s="3" t="inlineStr">
        <is>
          <t>ORIG CO NAME:QUAYSIDE CHOICE SP ORIG ID:XXXXXX8516 DESC DATE:260605 CO ENTRY DESCR:HCCLAIMPMT SEC:CCD TRACE#:XXXXXXXX1097311 EED:260605 IND ID:</t>
        </is>
      </c>
      <c r="G726" s="3" t="inlineStr">
        <is>
          <t>Service Income</t>
        </is>
      </c>
      <c r="H726" s="3" t="inlineStr">
        <is>
          <t>Checking – Operating</t>
        </is>
      </c>
      <c r="I726" s="33" t="n">
        <v>45596.35</v>
      </c>
      <c r="J726" s="13">
        <f>+J725+I726</f>
        <v>1355503.37</v>
      </c>
      <c r="K726" s="19">
        <f>+EOMONTH(B726,0)</f>
        <v>46203</v>
      </c>
      <c r="L726" s="3" t="inlineStr">
        <is>
          <t>Checking – Operating</t>
        </is>
      </c>
      <c r="M726" s="3" t="inlineStr">
        <is>
          <t>Balance Sheet</t>
        </is>
      </c>
    </row>
    <row r="727">
      <c r="B727" s="39" t="n">
        <v>46178</v>
      </c>
      <c r="C727" s="3" t="inlineStr">
        <is>
          <t>Deposit</t>
        </is>
      </c>
      <c r="D727" s="3" t="inlineStr"/>
      <c r="E727" s="3" t="inlineStr">
        <is>
          <t>Cobaltmere Health</t>
        </is>
      </c>
      <c r="F727" s="3" t="inlineStr">
        <is>
          <t>ORIG CO NAME:COBALTMERE HEALTH ORIG ID:XXXXXX4087 DESC DATE:260605 CO ENTRY DESCR:HCCLAIMPMT SEC:CCD TRACE#:XXXXXXXX7018477 EED:260605 IND ID:</t>
        </is>
      </c>
      <c r="G727" s="3" t="inlineStr">
        <is>
          <t>Service Income</t>
        </is>
      </c>
      <c r="H727" s="3" t="inlineStr">
        <is>
          <t>Checking – Operating</t>
        </is>
      </c>
      <c r="I727" s="33" t="n">
        <v>30368.87</v>
      </c>
      <c r="J727" s="13">
        <f>+J726+I727</f>
        <v>1385872.24</v>
      </c>
      <c r="K727" s="19">
        <f>+EOMONTH(B727,0)</f>
        <v>46203</v>
      </c>
      <c r="L727" s="3" t="inlineStr">
        <is>
          <t>Checking – Operating</t>
        </is>
      </c>
      <c r="M727" s="3" t="inlineStr">
        <is>
          <t>Balance Sheet</t>
        </is>
      </c>
    </row>
    <row r="728">
      <c r="B728" s="39" t="n">
        <v>46178</v>
      </c>
      <c r="C728" s="3" t="inlineStr">
        <is>
          <t>Expense</t>
        </is>
      </c>
      <c r="D728" s="3" t="inlineStr"/>
      <c r="E728" s="3" t="inlineStr"/>
      <c r="F728" s="3" t="inlineStr">
        <is>
          <t>Parking – June</t>
        </is>
      </c>
      <c r="G728" s="3" t="inlineStr">
        <is>
          <t>Parking</t>
        </is>
      </c>
      <c r="H728" s="3" t="inlineStr">
        <is>
          <t>Checking – Operating</t>
        </is>
      </c>
      <c r="I728" s="33" t="n">
        <v>-514.46</v>
      </c>
      <c r="J728" s="13">
        <f>+J727+I728</f>
        <v>1385357.78</v>
      </c>
      <c r="K728" s="19">
        <f>+EOMONTH(B728,0)</f>
        <v>46203</v>
      </c>
      <c r="L728" s="3" t="inlineStr">
        <is>
          <t>Checking – Operating</t>
        </is>
      </c>
      <c r="M728" s="3" t="inlineStr">
        <is>
          <t>Balance Sheet</t>
        </is>
      </c>
    </row>
    <row r="729">
      <c r="B729" s="39" t="n">
        <v>46179</v>
      </c>
      <c r="C729" s="3" t="inlineStr">
        <is>
          <t>Expense</t>
        </is>
      </c>
      <c r="D729" s="3" t="inlineStr"/>
      <c r="E729" s="3" t="inlineStr">
        <is>
          <t>Consultant A</t>
        </is>
      </c>
      <c r="F729" s="3" t="inlineStr">
        <is>
          <t>Consulting – June</t>
        </is>
      </c>
      <c r="G729" s="3" t="inlineStr">
        <is>
          <t>Consulting</t>
        </is>
      </c>
      <c r="H729" s="3" t="inlineStr">
        <is>
          <t>Checking – Operating</t>
        </is>
      </c>
      <c r="I729" s="33" t="n">
        <v>-1895.46</v>
      </c>
      <c r="J729" s="13">
        <f>+J728+I729</f>
        <v>1383462.32</v>
      </c>
      <c r="K729" s="19">
        <f>+EOMONTH(B729,0)</f>
        <v>46203</v>
      </c>
      <c r="L729" s="3" t="inlineStr">
        <is>
          <t>Checking – Operating</t>
        </is>
      </c>
      <c r="M729" s="3" t="inlineStr">
        <is>
          <t>Balance Sheet</t>
        </is>
      </c>
    </row>
    <row r="730">
      <c r="B730" s="39" t="n">
        <v>46179</v>
      </c>
      <c r="C730" s="3" t="inlineStr">
        <is>
          <t>Expense</t>
        </is>
      </c>
      <c r="D730" s="3" t="inlineStr"/>
      <c r="E730" s="3" t="inlineStr"/>
      <c r="F730" s="3" t="inlineStr">
        <is>
          <t>Travel Expense – June</t>
        </is>
      </c>
      <c r="G730" s="3" t="inlineStr">
        <is>
          <t>Travel Expense</t>
        </is>
      </c>
      <c r="H730" s="3" t="inlineStr">
        <is>
          <t>Checking – Operating</t>
        </is>
      </c>
      <c r="I730" s="33" t="n">
        <v>-994.62</v>
      </c>
      <c r="J730" s="13">
        <f>+J729+I730</f>
        <v>1382467.7</v>
      </c>
      <c r="K730" s="19">
        <f>+EOMONTH(B730,0)</f>
        <v>46203</v>
      </c>
      <c r="L730" s="3" t="inlineStr">
        <is>
          <t>Checking – Operating</t>
        </is>
      </c>
      <c r="M730" s="3" t="inlineStr">
        <is>
          <t>Balance Sheet</t>
        </is>
      </c>
    </row>
    <row r="731">
      <c r="B731" s="39" t="n">
        <v>46179</v>
      </c>
      <c r="C731" s="3" t="inlineStr">
        <is>
          <t>Journal Entry</t>
        </is>
      </c>
      <c r="D731" s="3" t="inlineStr"/>
      <c r="E731" s="3" t="inlineStr">
        <is>
          <t>Consultant A</t>
        </is>
      </c>
      <c r="F731" s="3" t="inlineStr">
        <is>
          <t>Legal &amp; Professional Fees – June</t>
        </is>
      </c>
      <c r="G731" s="3" t="inlineStr">
        <is>
          <t>Legal &amp; Professional Fees</t>
        </is>
      </c>
      <c r="H731" s="3" t="inlineStr">
        <is>
          <t>Checking – Operating</t>
        </is>
      </c>
      <c r="I731" s="33" t="n">
        <v>-974.89</v>
      </c>
      <c r="J731" s="13">
        <f>+J730+I731</f>
        <v>1381492.81</v>
      </c>
      <c r="K731" s="19">
        <f>+EOMONTH(B731,0)</f>
        <v>46203</v>
      </c>
      <c r="L731" s="3" t="inlineStr">
        <is>
          <t>Checking – Operating</t>
        </is>
      </c>
      <c r="M731" s="3" t="inlineStr">
        <is>
          <t>Balance Sheet</t>
        </is>
      </c>
    </row>
    <row r="732">
      <c r="B732" s="39" t="n">
        <v>46179</v>
      </c>
      <c r="C732" s="3" t="inlineStr">
        <is>
          <t>Payroll Check</t>
        </is>
      </c>
      <c r="D732" s="3" t="inlineStr"/>
      <c r="E732" s="3" t="inlineStr">
        <is>
          <t>Tessarand Payroll Services</t>
        </is>
      </c>
      <c r="F732" s="3" t="inlineStr">
        <is>
          <t>Payroll taxes – biweekly</t>
        </is>
      </c>
      <c r="G732" s="3" t="inlineStr">
        <is>
          <t>Payroll Taxes</t>
        </is>
      </c>
      <c r="H732" s="3" t="inlineStr">
        <is>
          <t>Checking – Operating</t>
        </is>
      </c>
      <c r="I732" s="33" t="n">
        <v>-1322.78</v>
      </c>
      <c r="J732" s="13">
        <f>+J731+I732</f>
        <v>1380170.03</v>
      </c>
      <c r="K732" s="19">
        <f>+EOMONTH(B732,0)</f>
        <v>46203</v>
      </c>
      <c r="L732" s="3" t="inlineStr">
        <is>
          <t>Checking – Operating</t>
        </is>
      </c>
      <c r="M732" s="3" t="inlineStr">
        <is>
          <t>Balance Sheet</t>
        </is>
      </c>
    </row>
    <row r="733">
      <c r="B733" s="39" t="n">
        <v>46179</v>
      </c>
      <c r="C733" s="3" t="inlineStr">
        <is>
          <t>Payroll Check</t>
        </is>
      </c>
      <c r="D733" s="3" t="inlineStr"/>
      <c r="E733" s="3" t="inlineStr">
        <is>
          <t>Tessarand Payroll Services</t>
        </is>
      </c>
      <c r="F733" s="3" t="inlineStr">
        <is>
          <t>Payroll processing fee</t>
        </is>
      </c>
      <c r="G733" s="3" t="inlineStr">
        <is>
          <t>Payroll Processing Fee</t>
        </is>
      </c>
      <c r="H733" s="3" t="inlineStr">
        <is>
          <t>Checking – Operating</t>
        </is>
      </c>
      <c r="I733" s="33" t="n">
        <v>-82.8</v>
      </c>
      <c r="J733" s="13">
        <f>+J732+I733</f>
        <v>1380087.23</v>
      </c>
      <c r="K733" s="19">
        <f>+EOMONTH(B733,0)</f>
        <v>46203</v>
      </c>
      <c r="L733" s="3" t="inlineStr">
        <is>
          <t>Checking – Operating</t>
        </is>
      </c>
      <c r="M733" s="3" t="inlineStr">
        <is>
          <t>Balance Sheet</t>
        </is>
      </c>
    </row>
    <row r="734">
      <c r="B734" s="39" t="n">
        <v>46180</v>
      </c>
      <c r="C734" s="3" t="inlineStr">
        <is>
          <t>Bill Payment (Check)</t>
        </is>
      </c>
      <c r="D734" s="3" t="inlineStr"/>
      <c r="E734" s="3" t="inlineStr">
        <is>
          <t>Tarrowmere Mutual Insurance</t>
        </is>
      </c>
      <c r="F734" s="3" t="inlineStr">
        <is>
          <t>Premium installment</t>
        </is>
      </c>
      <c r="G734" s="3" t="inlineStr">
        <is>
          <t>Accounts Payable</t>
        </is>
      </c>
      <c r="H734" s="3" t="inlineStr">
        <is>
          <t>Checking – Operating</t>
        </is>
      </c>
      <c r="I734" s="33" t="n">
        <v>-4891.52</v>
      </c>
      <c r="J734" s="13">
        <f>+J733+I734</f>
        <v>1375195.71</v>
      </c>
      <c r="K734" s="19">
        <f>+EOMONTH(B734,0)</f>
        <v>46203</v>
      </c>
      <c r="L734" s="3" t="inlineStr">
        <is>
          <t>Checking – Operating</t>
        </is>
      </c>
      <c r="M734" s="3" t="inlineStr">
        <is>
          <t>Balance Sheet</t>
        </is>
      </c>
    </row>
    <row r="735">
      <c r="B735" s="39" t="n">
        <v>46180</v>
      </c>
      <c r="C735" s="3" t="inlineStr">
        <is>
          <t>Bill Payment (Check)</t>
        </is>
      </c>
      <c r="D735" s="3" t="inlineStr"/>
      <c r="E735" s="3" t="inlineStr">
        <is>
          <t>Halloway Ridge Realty (rent)</t>
        </is>
      </c>
      <c r="F735" s="3" t="inlineStr">
        <is>
          <t>Rent – May</t>
        </is>
      </c>
      <c r="G735" s="3" t="inlineStr">
        <is>
          <t>Accounts Payable</t>
        </is>
      </c>
      <c r="H735" s="3" t="inlineStr">
        <is>
          <t>Checking – Operating</t>
        </is>
      </c>
      <c r="I735" s="33" t="n">
        <v>-10490.58</v>
      </c>
      <c r="J735" s="13">
        <f>+J734+I735</f>
        <v>1364705.13</v>
      </c>
      <c r="K735" s="19">
        <f>+EOMONTH(B735,0)</f>
        <v>46203</v>
      </c>
      <c r="L735" s="3" t="inlineStr">
        <is>
          <t>Checking – Operating</t>
        </is>
      </c>
      <c r="M735" s="3" t="inlineStr">
        <is>
          <t>Balance Sheet</t>
        </is>
      </c>
    </row>
    <row r="736">
      <c r="B736" s="39" t="n">
        <v>46180</v>
      </c>
      <c r="C736" s="3" t="inlineStr">
        <is>
          <t>Credit Card Expense</t>
        </is>
      </c>
      <c r="D736" s="3" t="inlineStr"/>
      <c r="E736" s="3" t="inlineStr">
        <is>
          <t>Lumenlease Equipment</t>
        </is>
      </c>
      <c r="F736" s="3" t="inlineStr">
        <is>
          <t>Repairs and Maintenance – June</t>
        </is>
      </c>
      <c r="G736" s="3" t="inlineStr">
        <is>
          <t>Repairs and Maintenance</t>
        </is>
      </c>
      <c r="H736" s="3" t="inlineStr">
        <is>
          <t>Checking – Operating</t>
        </is>
      </c>
      <c r="I736" s="33" t="n">
        <v>-5165.07</v>
      </c>
      <c r="J736" s="13">
        <f>+J735+I736</f>
        <v>1359540.06</v>
      </c>
      <c r="K736" s="19">
        <f>+EOMONTH(B736,0)</f>
        <v>46203</v>
      </c>
      <c r="L736" s="3" t="inlineStr">
        <is>
          <t>Checking – Operating</t>
        </is>
      </c>
      <c r="M736" s="3" t="inlineStr">
        <is>
          <t>Balance Sheet</t>
        </is>
      </c>
    </row>
    <row r="737">
      <c r="B737" s="39" t="n">
        <v>46180</v>
      </c>
      <c r="C737" s="3" t="inlineStr">
        <is>
          <t>Deposit</t>
        </is>
      </c>
      <c r="D737" s="3" t="inlineStr"/>
      <c r="E737" s="3" t="inlineStr">
        <is>
          <t>Federal Program A</t>
        </is>
      </c>
      <c r="F737" s="3" t="inlineStr">
        <is>
          <t>ORIG CO NAME:FEDERAL PROG A ORIG ID:XXXXXX3086 DESC DATE:260607 CO ENTRY DESCR:HCCLAIMPMT SEC:CCD TRACE#:XXXXXXXX2567927 EED:260607 IND ID:</t>
        </is>
      </c>
      <c r="G737" s="3" t="inlineStr">
        <is>
          <t>Service Income</t>
        </is>
      </c>
      <c r="H737" s="3" t="inlineStr">
        <is>
          <t>Checking – Operating</t>
        </is>
      </c>
      <c r="I737" s="33" t="n">
        <v>120779.11</v>
      </c>
      <c r="J737" s="13">
        <f>+J736+I737</f>
        <v>1480319.17</v>
      </c>
      <c r="K737" s="19">
        <f>+EOMONTH(B737,0)</f>
        <v>46203</v>
      </c>
      <c r="L737" s="3" t="inlineStr">
        <is>
          <t>Checking – Operating</t>
        </is>
      </c>
      <c r="M737" s="3" t="inlineStr">
        <is>
          <t>Balance Sheet</t>
        </is>
      </c>
    </row>
    <row r="738">
      <c r="B738" s="39" t="n">
        <v>46180</v>
      </c>
      <c r="C738" s="3" t="inlineStr">
        <is>
          <t>Deposit</t>
        </is>
      </c>
      <c r="D738" s="3" t="inlineStr"/>
      <c r="E738" s="3" t="inlineStr">
        <is>
          <t>Lanternway Benefits</t>
        </is>
      </c>
      <c r="F738" s="3" t="inlineStr">
        <is>
          <t>ORIG CO NAME:LANTERNWAY BEN ORIG ID:XXXXXX3907 DESC DATE:260607 CO ENTRY DESCR:HCCLAIMPMT SEC:CCD TRACE#:XXXXXXXX4641550 EED:260607 IND ID:</t>
        </is>
      </c>
      <c r="G738" s="3" t="inlineStr">
        <is>
          <t>Service Income</t>
        </is>
      </c>
      <c r="H738" s="3" t="inlineStr">
        <is>
          <t>Checking – Operating</t>
        </is>
      </c>
      <c r="I738" s="33" t="n">
        <v>49525.34</v>
      </c>
      <c r="J738" s="13">
        <f>+J737+I738</f>
        <v>1529844.51</v>
      </c>
      <c r="K738" s="19">
        <f>+EOMONTH(B738,0)</f>
        <v>46203</v>
      </c>
      <c r="L738" s="3" t="inlineStr">
        <is>
          <t>Checking – Operating</t>
        </is>
      </c>
      <c r="M738" s="3" t="inlineStr">
        <is>
          <t>Balance Sheet</t>
        </is>
      </c>
    </row>
    <row r="739">
      <c r="B739" s="39" t="n">
        <v>46181</v>
      </c>
      <c r="C739" s="3" t="inlineStr">
        <is>
          <t>Bill Payment (Check)</t>
        </is>
      </c>
      <c r="D739" s="3" t="inlineStr"/>
      <c r="E739" s="3" t="inlineStr">
        <is>
          <t>Lumenlease Equipment</t>
        </is>
      </c>
      <c r="F739" s="3" t="inlineStr">
        <is>
          <t>Lab Equipment – May</t>
        </is>
      </c>
      <c r="G739" s="3" t="inlineStr">
        <is>
          <t>Accounts Payable</t>
        </is>
      </c>
      <c r="H739" s="3" t="inlineStr">
        <is>
          <t>Checking – Operating</t>
        </is>
      </c>
      <c r="I739" s="33" t="n">
        <v>-3094.36</v>
      </c>
      <c r="J739" s="13">
        <f>+J738+I739</f>
        <v>1526750.15</v>
      </c>
      <c r="K739" s="19">
        <f>+EOMONTH(B739,0)</f>
        <v>46203</v>
      </c>
      <c r="L739" s="3" t="inlineStr">
        <is>
          <t>Checking – Operating</t>
        </is>
      </c>
      <c r="M739" s="3" t="inlineStr">
        <is>
          <t>Balance Sheet</t>
        </is>
      </c>
    </row>
    <row r="740">
      <c r="B740" s="39" t="n">
        <v>46181</v>
      </c>
      <c r="C740" s="3" t="inlineStr">
        <is>
          <t>Expense</t>
        </is>
      </c>
      <c r="D740" s="3" t="inlineStr"/>
      <c r="E740" s="3" t="inlineStr">
        <is>
          <t>Lumenlease Equipment</t>
        </is>
      </c>
      <c r="F740" s="3" t="inlineStr">
        <is>
          <t>Repairs and Maintenance – June</t>
        </is>
      </c>
      <c r="G740" s="3" t="inlineStr">
        <is>
          <t>Repairs and Maintenance</t>
        </is>
      </c>
      <c r="H740" s="3" t="inlineStr">
        <is>
          <t>Checking – Operating</t>
        </is>
      </c>
      <c r="I740" s="33" t="n">
        <v>-4434.93</v>
      </c>
      <c r="J740" s="13">
        <f>+J739+I740</f>
        <v>1522315.22</v>
      </c>
      <c r="K740" s="19">
        <f>+EOMONTH(B740,0)</f>
        <v>46203</v>
      </c>
      <c r="L740" s="3" t="inlineStr">
        <is>
          <t>Checking – Operating</t>
        </is>
      </c>
      <c r="M740" s="3" t="inlineStr">
        <is>
          <t>Balance Sheet</t>
        </is>
      </c>
    </row>
    <row r="741">
      <c r="B741" s="39" t="n">
        <v>46182</v>
      </c>
      <c r="C741" s="3" t="inlineStr">
        <is>
          <t>Bill Payment (Check)</t>
        </is>
      </c>
      <c r="D741" s="3" t="inlineStr"/>
      <c r="E741" s="3" t="inlineStr">
        <is>
          <t>Reagentix Corp</t>
        </is>
      </c>
      <c r="F741" s="3" t="inlineStr">
        <is>
          <t>Lab supplies PO# F2969</t>
        </is>
      </c>
      <c r="G741" s="3" t="inlineStr">
        <is>
          <t>Accounts Payable</t>
        </is>
      </c>
      <c r="H741" s="3" t="inlineStr">
        <is>
          <t>Checking – Operating</t>
        </is>
      </c>
      <c r="I741" s="33" t="n">
        <v>-6752.91</v>
      </c>
      <c r="J741" s="13">
        <f>+J740+I741</f>
        <v>1515562.31</v>
      </c>
      <c r="K741" s="19">
        <f>+EOMONTH(B741,0)</f>
        <v>46203</v>
      </c>
      <c r="L741" s="3" t="inlineStr">
        <is>
          <t>Checking – Operating</t>
        </is>
      </c>
      <c r="M741" s="3" t="inlineStr">
        <is>
          <t>Balance Sheet</t>
        </is>
      </c>
    </row>
    <row r="742">
      <c r="B742" s="39" t="n">
        <v>46182</v>
      </c>
      <c r="C742" s="3" t="inlineStr">
        <is>
          <t>Expense</t>
        </is>
      </c>
      <c r="D742" s="3" t="inlineStr"/>
      <c r="E742" s="3" t="inlineStr"/>
      <c r="F742" s="3" t="inlineStr">
        <is>
          <t>Lab Credentialing – June</t>
        </is>
      </c>
      <c r="G742" s="3" t="inlineStr">
        <is>
          <t>Lab Credentialing</t>
        </is>
      </c>
      <c r="H742" s="3" t="inlineStr">
        <is>
          <t>Checking – Operating</t>
        </is>
      </c>
      <c r="I742" s="33" t="n">
        <v>-1054.34</v>
      </c>
      <c r="J742" s="13">
        <f>+J741+I742</f>
        <v>1514507.97</v>
      </c>
      <c r="K742" s="19">
        <f>+EOMONTH(B742,0)</f>
        <v>46203</v>
      </c>
      <c r="L742" s="3" t="inlineStr">
        <is>
          <t>Checking – Operating</t>
        </is>
      </c>
      <c r="M742" s="3" t="inlineStr">
        <is>
          <t>Balance Sheet</t>
        </is>
      </c>
    </row>
    <row r="743">
      <c r="B743" s="39" t="n">
        <v>46182</v>
      </c>
      <c r="C743" s="3" t="inlineStr">
        <is>
          <t>Expense</t>
        </is>
      </c>
      <c r="D743" s="3" t="inlineStr"/>
      <c r="E743" s="3" t="inlineStr">
        <is>
          <t>Ledgerquill Billing SaaS</t>
        </is>
      </c>
      <c r="F743" s="3" t="inlineStr">
        <is>
          <t>Software – June</t>
        </is>
      </c>
      <c r="G743" s="3" t="inlineStr">
        <is>
          <t>Software</t>
        </is>
      </c>
      <c r="H743" s="3" t="inlineStr">
        <is>
          <t>Checking – Operating</t>
        </is>
      </c>
      <c r="I743" s="33" t="n">
        <v>-2957.36</v>
      </c>
      <c r="J743" s="13">
        <f>+J742+I743</f>
        <v>1511550.61</v>
      </c>
      <c r="K743" s="19">
        <f>+EOMONTH(B743,0)</f>
        <v>46203</v>
      </c>
      <c r="L743" s="3" t="inlineStr">
        <is>
          <t>Checking – Operating</t>
        </is>
      </c>
      <c r="M743" s="3" t="inlineStr">
        <is>
          <t>Balance Sheet</t>
        </is>
      </c>
    </row>
    <row r="744">
      <c r="B744" s="39" t="n">
        <v>46183</v>
      </c>
      <c r="C744" s="3" t="inlineStr">
        <is>
          <t>Bill Payment (Check)</t>
        </is>
      </c>
      <c r="D744" s="3" t="inlineStr"/>
      <c r="E744" s="3" t="inlineStr">
        <is>
          <t>Reference Lab A</t>
        </is>
      </c>
      <c r="F744" s="3" t="inlineStr">
        <is>
          <t>Send-out testing – May</t>
        </is>
      </c>
      <c r="G744" s="3" t="inlineStr">
        <is>
          <t>Accounts Payable</t>
        </is>
      </c>
      <c r="H744" s="3" t="inlineStr">
        <is>
          <t>Checking – Operating</t>
        </is>
      </c>
      <c r="I744" s="33" t="n">
        <v>-22358.71</v>
      </c>
      <c r="J744" s="13">
        <f>+J743+I744</f>
        <v>1489191.9</v>
      </c>
      <c r="K744" s="19">
        <f>+EOMONTH(B744,0)</f>
        <v>46203</v>
      </c>
      <c r="L744" s="3" t="inlineStr">
        <is>
          <t>Checking – Operating</t>
        </is>
      </c>
      <c r="M744" s="3" t="inlineStr">
        <is>
          <t>Balance Sheet</t>
        </is>
      </c>
    </row>
    <row r="745">
      <c r="B745" s="39" t="n">
        <v>46183</v>
      </c>
      <c r="C745" s="3" t="inlineStr">
        <is>
          <t>Credit Card Expense</t>
        </is>
      </c>
      <c r="D745" s="3" t="inlineStr"/>
      <c r="E745" s="3" t="inlineStr">
        <is>
          <t>Tessarand Payroll Services</t>
        </is>
      </c>
      <c r="F745" s="3" t="inlineStr">
        <is>
          <t>Sales and Marketing Expenses – June</t>
        </is>
      </c>
      <c r="G745" s="3" t="inlineStr">
        <is>
          <t>Sales and Marketing Expenses</t>
        </is>
      </c>
      <c r="H745" s="3" t="inlineStr">
        <is>
          <t>Checking – Operating</t>
        </is>
      </c>
      <c r="I745" s="33" t="n">
        <v>-14173.14</v>
      </c>
      <c r="J745" s="13">
        <f>+J744+I745</f>
        <v>1475018.76</v>
      </c>
      <c r="K745" s="19">
        <f>+EOMONTH(B745,0)</f>
        <v>46203</v>
      </c>
      <c r="L745" s="3" t="inlineStr">
        <is>
          <t>Checking – Operating</t>
        </is>
      </c>
      <c r="M745" s="3" t="inlineStr">
        <is>
          <t>Balance Sheet</t>
        </is>
      </c>
    </row>
    <row r="746">
      <c r="B746" s="39" t="n">
        <v>46183</v>
      </c>
      <c r="C746" s="3" t="inlineStr">
        <is>
          <t>Expense</t>
        </is>
      </c>
      <c r="D746" s="3" t="inlineStr"/>
      <c r="E746" s="3" t="inlineStr">
        <is>
          <t>Tessarand Payroll Services</t>
        </is>
      </c>
      <c r="F746" s="3" t="inlineStr">
        <is>
          <t>Contractors – June</t>
        </is>
      </c>
      <c r="G746" s="3" t="inlineStr">
        <is>
          <t>Contractors</t>
        </is>
      </c>
      <c r="H746" s="3" t="inlineStr">
        <is>
          <t>Checking – Operating</t>
        </is>
      </c>
      <c r="I746" s="33" t="n">
        <v>-8388.969999999999</v>
      </c>
      <c r="J746" s="13">
        <f>+J745+I746</f>
        <v>1466629.79</v>
      </c>
      <c r="K746" s="19">
        <f>+EOMONTH(B746,0)</f>
        <v>46203</v>
      </c>
      <c r="L746" s="3" t="inlineStr">
        <is>
          <t>Checking – Operating</t>
        </is>
      </c>
      <c r="M746" s="3" t="inlineStr">
        <is>
          <t>Balance Sheet</t>
        </is>
      </c>
    </row>
    <row r="747">
      <c r="B747" s="39" t="n">
        <v>46183</v>
      </c>
      <c r="C747" s="3" t="inlineStr">
        <is>
          <t>Expense</t>
        </is>
      </c>
      <c r="D747" s="3" t="inlineStr"/>
      <c r="E747" s="3" t="inlineStr"/>
      <c r="F747" s="3" t="inlineStr">
        <is>
          <t>Meals and Entertainment – June</t>
        </is>
      </c>
      <c r="G747" s="3" t="inlineStr">
        <is>
          <t>Meals and Entertainment</t>
        </is>
      </c>
      <c r="H747" s="3" t="inlineStr">
        <is>
          <t>Checking – Operating</t>
        </is>
      </c>
      <c r="I747" s="33" t="n">
        <v>-754.36</v>
      </c>
      <c r="J747" s="13">
        <f>+J746+I747</f>
        <v>1465875.43</v>
      </c>
      <c r="K747" s="19">
        <f>+EOMONTH(B747,0)</f>
        <v>46203</v>
      </c>
      <c r="L747" s="3" t="inlineStr">
        <is>
          <t>Checking – Operating</t>
        </is>
      </c>
      <c r="M747" s="3" t="inlineStr">
        <is>
          <t>Balance Sheet</t>
        </is>
      </c>
    </row>
    <row r="748">
      <c r="B748" s="39" t="n">
        <v>46183</v>
      </c>
      <c r="C748" s="3" t="inlineStr">
        <is>
          <t>Journal Entry</t>
        </is>
      </c>
      <c r="D748" s="3" t="inlineStr"/>
      <c r="E748" s="3" t="inlineStr"/>
      <c r="F748" s="3" t="inlineStr">
        <is>
          <t>Bank service charges – June</t>
        </is>
      </c>
      <c r="G748" s="3" t="inlineStr">
        <is>
          <t>Cash</t>
        </is>
      </c>
      <c r="H748" s="3" t="inlineStr">
        <is>
          <t>Checking – Operating</t>
        </is>
      </c>
      <c r="I748" s="33" t="n">
        <v>-643.95</v>
      </c>
      <c r="J748" s="13">
        <f>+J747+I748</f>
        <v>1465231.48</v>
      </c>
      <c r="K748" s="19">
        <f>+EOMONTH(B748,0)</f>
        <v>46203</v>
      </c>
      <c r="L748" s="3" t="inlineStr">
        <is>
          <t>Checking – Operating</t>
        </is>
      </c>
      <c r="M748" s="3" t="inlineStr">
        <is>
          <t>Balance Sheet</t>
        </is>
      </c>
    </row>
    <row r="749">
      <c r="B749" s="39" t="n">
        <v>46184</v>
      </c>
      <c r="C749" s="3" t="inlineStr">
        <is>
          <t>Bill Payment (Check)</t>
        </is>
      </c>
      <c r="D749" s="3" t="inlineStr"/>
      <c r="E749" s="3" t="inlineStr">
        <is>
          <t>Vialtrace Lab Supplies Inc</t>
        </is>
      </c>
      <c r="F749" s="3" t="inlineStr">
        <is>
          <t>Lab supplies PO# F2322</t>
        </is>
      </c>
      <c r="G749" s="3" t="inlineStr">
        <is>
          <t>Accounts Payable</t>
        </is>
      </c>
      <c r="H749" s="3" t="inlineStr">
        <is>
          <t>Checking – Operating</t>
        </is>
      </c>
      <c r="I749" s="33" t="n">
        <v>-48091.89</v>
      </c>
      <c r="J749" s="13">
        <f>+J748+I749</f>
        <v>1417139.59</v>
      </c>
      <c r="K749" s="19">
        <f>+EOMONTH(B749,0)</f>
        <v>46203</v>
      </c>
      <c r="L749" s="3" t="inlineStr">
        <is>
          <t>Checking – Operating</t>
        </is>
      </c>
      <c r="M749" s="3" t="inlineStr">
        <is>
          <t>Balance Sheet</t>
        </is>
      </c>
    </row>
    <row r="750">
      <c r="B750" s="39" t="n">
        <v>46184</v>
      </c>
      <c r="C750" s="3" t="inlineStr">
        <is>
          <t>Credit Card Expense</t>
        </is>
      </c>
      <c r="D750" s="3" t="inlineStr"/>
      <c r="E750" s="3" t="inlineStr">
        <is>
          <t>Tessarand Payroll Services</t>
        </is>
      </c>
      <c r="F750" s="3" t="inlineStr">
        <is>
          <t>Contractors – June</t>
        </is>
      </c>
      <c r="G750" s="3" t="inlineStr">
        <is>
          <t>Contractors</t>
        </is>
      </c>
      <c r="H750" s="3" t="inlineStr">
        <is>
          <t>Checking – Operating</t>
        </is>
      </c>
      <c r="I750" s="33" t="n">
        <v>-4483.47</v>
      </c>
      <c r="J750" s="13">
        <f>+J749+I750</f>
        <v>1412656.12</v>
      </c>
      <c r="K750" s="19">
        <f>+EOMONTH(B750,0)</f>
        <v>46203</v>
      </c>
      <c r="L750" s="3" t="inlineStr">
        <is>
          <t>Checking – Operating</t>
        </is>
      </c>
      <c r="M750" s="3" t="inlineStr">
        <is>
          <t>Balance Sheet</t>
        </is>
      </c>
    </row>
    <row r="751">
      <c r="B751" s="39" t="n">
        <v>46184</v>
      </c>
      <c r="C751" s="3" t="inlineStr">
        <is>
          <t>Deposit</t>
        </is>
      </c>
      <c r="D751" s="3" t="inlineStr"/>
      <c r="E751" s="3" t="inlineStr">
        <is>
          <t>Vantrelle Health Plan</t>
        </is>
      </c>
      <c r="F751" s="3" t="inlineStr">
        <is>
          <t>ORIG CO NAME:VANTRELLE HP ORIG ID:XXXXXX6725 DESC DATE:260611 CO ENTRY DESCR:HCCLAIMPMT SEC:CCD TRACE#:XXXXXXXX4429076 EED:260611 IND ID:</t>
        </is>
      </c>
      <c r="G751" s="3" t="inlineStr">
        <is>
          <t>Service Income</t>
        </is>
      </c>
      <c r="H751" s="3" t="inlineStr">
        <is>
          <t>Checking – Operating</t>
        </is>
      </c>
      <c r="I751" s="33" t="n">
        <v>147074.87</v>
      </c>
      <c r="J751" s="13">
        <f>+J750+I751</f>
        <v>1559730.99</v>
      </c>
      <c r="K751" s="19">
        <f>+EOMONTH(B751,0)</f>
        <v>46203</v>
      </c>
      <c r="L751" s="3" t="inlineStr">
        <is>
          <t>Checking – Operating</t>
        </is>
      </c>
      <c r="M751" s="3" t="inlineStr">
        <is>
          <t>Balance Sheet</t>
        </is>
      </c>
    </row>
    <row r="752">
      <c r="B752" s="39" t="n">
        <v>46184</v>
      </c>
      <c r="C752" s="3" t="inlineStr">
        <is>
          <t>Expense</t>
        </is>
      </c>
      <c r="D752" s="3" t="inlineStr"/>
      <c r="E752" s="3" t="inlineStr"/>
      <c r="F752" s="3" t="inlineStr">
        <is>
          <t>Property tax installment</t>
        </is>
      </c>
      <c r="G752" s="3" t="inlineStr">
        <is>
          <t>Property tax</t>
        </is>
      </c>
      <c r="H752" s="3" t="inlineStr">
        <is>
          <t>Checking – Operating</t>
        </is>
      </c>
      <c r="I752" s="33" t="n">
        <v>-1196.02</v>
      </c>
      <c r="J752" s="13">
        <f>+J751+I752</f>
        <v>1558534.97</v>
      </c>
      <c r="K752" s="19">
        <f>+EOMONTH(B752,0)</f>
        <v>46203</v>
      </c>
      <c r="L752" s="3" t="inlineStr">
        <is>
          <t>Checking – Operating</t>
        </is>
      </c>
      <c r="M752" s="3" t="inlineStr">
        <is>
          <t>Balance Sheet</t>
        </is>
      </c>
    </row>
    <row r="753">
      <c r="B753" s="39" t="n">
        <v>46184</v>
      </c>
      <c r="C753" s="3" t="inlineStr">
        <is>
          <t>Expense</t>
        </is>
      </c>
      <c r="D753" s="3" t="inlineStr"/>
      <c r="E753" s="3" t="inlineStr">
        <is>
          <t>Union Utilities</t>
        </is>
      </c>
      <c r="F753" s="3" t="inlineStr">
        <is>
          <t>Telecom and Internet – June</t>
        </is>
      </c>
      <c r="G753" s="3" t="inlineStr">
        <is>
          <t>Telecom and Internet</t>
        </is>
      </c>
      <c r="H753" s="3" t="inlineStr">
        <is>
          <t>Checking – Operating</t>
        </is>
      </c>
      <c r="I753" s="33" t="n">
        <v>-3281.86</v>
      </c>
      <c r="J753" s="13">
        <f>+J752+I753</f>
        <v>1555253.11</v>
      </c>
      <c r="K753" s="19">
        <f>+EOMONTH(B753,0)</f>
        <v>46203</v>
      </c>
      <c r="L753" s="3" t="inlineStr">
        <is>
          <t>Checking – Operating</t>
        </is>
      </c>
      <c r="M753" s="3" t="inlineStr">
        <is>
          <t>Balance Sheet</t>
        </is>
      </c>
    </row>
    <row r="754">
      <c r="B754" s="39" t="n">
        <v>46185</v>
      </c>
      <c r="C754" s="3" t="inlineStr">
        <is>
          <t>Bill Payment (Check)</t>
        </is>
      </c>
      <c r="D754" s="3" t="inlineStr"/>
      <c r="E754" s="3" t="inlineStr">
        <is>
          <t>Reagentix Corp</t>
        </is>
      </c>
      <c r="F754" s="3" t="inlineStr">
        <is>
          <t>Lab supplies PO# F2624</t>
        </is>
      </c>
      <c r="G754" s="3" t="inlineStr">
        <is>
          <t>Accounts Payable</t>
        </is>
      </c>
      <c r="H754" s="3" t="inlineStr">
        <is>
          <t>Checking – Operating</t>
        </is>
      </c>
      <c r="I754" s="33" t="n">
        <v>-18896.17</v>
      </c>
      <c r="J754" s="13">
        <f>+J753+I754</f>
        <v>1536356.94</v>
      </c>
      <c r="K754" s="19">
        <f>+EOMONTH(B754,0)</f>
        <v>46203</v>
      </c>
      <c r="L754" s="3" t="inlineStr">
        <is>
          <t>Checking – Operating</t>
        </is>
      </c>
      <c r="M754" s="3" t="inlineStr">
        <is>
          <t>Balance Sheet</t>
        </is>
      </c>
    </row>
    <row r="755">
      <c r="B755" s="39" t="n">
        <v>46185</v>
      </c>
      <c r="C755" s="3" t="inlineStr">
        <is>
          <t>Bill Payment (Check)</t>
        </is>
      </c>
      <c r="D755" s="3" t="inlineStr"/>
      <c r="E755" s="3" t="inlineStr">
        <is>
          <t>Union Utilities</t>
        </is>
      </c>
      <c r="F755" s="3" t="inlineStr">
        <is>
          <t>Utilities – May</t>
        </is>
      </c>
      <c r="G755" s="3" t="inlineStr">
        <is>
          <t>Accounts Payable</t>
        </is>
      </c>
      <c r="H755" s="3" t="inlineStr">
        <is>
          <t>Checking – Operating</t>
        </is>
      </c>
      <c r="I755" s="33" t="n">
        <v>-4581.68</v>
      </c>
      <c r="J755" s="13">
        <f>+J754+I755</f>
        <v>1531775.26</v>
      </c>
      <c r="K755" s="19">
        <f>+EOMONTH(B755,0)</f>
        <v>46203</v>
      </c>
      <c r="L755" s="3" t="inlineStr">
        <is>
          <t>Checking – Operating</t>
        </is>
      </c>
      <c r="M755" s="3" t="inlineStr">
        <is>
          <t>Balance Sheet</t>
        </is>
      </c>
    </row>
    <row r="756">
      <c r="B756" s="39" t="n">
        <v>46185</v>
      </c>
      <c r="C756" s="3" t="inlineStr">
        <is>
          <t>Credit Card Expense</t>
        </is>
      </c>
      <c r="D756" s="3" t="inlineStr"/>
      <c r="E756" s="3" t="inlineStr">
        <is>
          <t>Vialtrace Lab Supplies Inc</t>
        </is>
      </c>
      <c r="F756" s="3" t="inlineStr">
        <is>
          <t>Office Supplies – June</t>
        </is>
      </c>
      <c r="G756" s="3" t="inlineStr">
        <is>
          <t>Office Supplies</t>
        </is>
      </c>
      <c r="H756" s="3" t="inlineStr">
        <is>
          <t>Checking – Operating</t>
        </is>
      </c>
      <c r="I756" s="33" t="n">
        <v>-1530.93</v>
      </c>
      <c r="J756" s="13">
        <f>+J755+I756</f>
        <v>1530244.33</v>
      </c>
      <c r="K756" s="19">
        <f>+EOMONTH(B756,0)</f>
        <v>46203</v>
      </c>
      <c r="L756" s="3" t="inlineStr">
        <is>
          <t>Checking – Operating</t>
        </is>
      </c>
      <c r="M756" s="3" t="inlineStr">
        <is>
          <t>Balance Sheet</t>
        </is>
      </c>
    </row>
    <row r="757">
      <c r="B757" s="39" t="n">
        <v>46185</v>
      </c>
      <c r="C757" s="3" t="inlineStr">
        <is>
          <t>Credit Card Expense</t>
        </is>
      </c>
      <c r="D757" s="3" t="inlineStr"/>
      <c r="E757" s="3" t="inlineStr">
        <is>
          <t>Lumenlease Equipment</t>
        </is>
      </c>
      <c r="F757" s="3" t="inlineStr">
        <is>
          <t>Repairs and Maintenance – June</t>
        </is>
      </c>
      <c r="G757" s="3" t="inlineStr">
        <is>
          <t>Repairs and Maintenance</t>
        </is>
      </c>
      <c r="H757" s="3" t="inlineStr">
        <is>
          <t>Checking – Operating</t>
        </is>
      </c>
      <c r="I757" s="33" t="n">
        <v>-1681.29</v>
      </c>
      <c r="J757" s="13">
        <f>+J756+I757</f>
        <v>1528563.04</v>
      </c>
      <c r="K757" s="19">
        <f>+EOMONTH(B757,0)</f>
        <v>46203</v>
      </c>
      <c r="L757" s="3" t="inlineStr">
        <is>
          <t>Checking – Operating</t>
        </is>
      </c>
      <c r="M757" s="3" t="inlineStr">
        <is>
          <t>Balance Sheet</t>
        </is>
      </c>
    </row>
    <row r="758">
      <c r="B758" s="39" t="n">
        <v>46185</v>
      </c>
      <c r="C758" s="3" t="inlineStr">
        <is>
          <t>Credit Card Expense</t>
        </is>
      </c>
      <c r="D758" s="3" t="inlineStr"/>
      <c r="E758" s="3" t="inlineStr"/>
      <c r="F758" s="3" t="inlineStr">
        <is>
          <t>Business Licenses and Permits – June</t>
        </is>
      </c>
      <c r="G758" s="3" t="inlineStr">
        <is>
          <t>Business Licenses and Permits</t>
        </is>
      </c>
      <c r="H758" s="3" t="inlineStr">
        <is>
          <t>Checking – Operating</t>
        </is>
      </c>
      <c r="I758" s="33" t="n">
        <v>-675.4400000000001</v>
      </c>
      <c r="J758" s="13">
        <f>+J757+I758</f>
        <v>1527887.6</v>
      </c>
      <c r="K758" s="19">
        <f>+EOMONTH(B758,0)</f>
        <v>46203</v>
      </c>
      <c r="L758" s="3" t="inlineStr">
        <is>
          <t>Checking – Operating</t>
        </is>
      </c>
      <c r="M758" s="3" t="inlineStr">
        <is>
          <t>Balance Sheet</t>
        </is>
      </c>
    </row>
    <row r="759">
      <c r="B759" s="39" t="n">
        <v>46185</v>
      </c>
      <c r="C759" s="3" t="inlineStr">
        <is>
          <t>Deposit</t>
        </is>
      </c>
      <c r="D759" s="3" t="inlineStr"/>
      <c r="E759" s="3" t="inlineStr">
        <is>
          <t>Federal Program A</t>
        </is>
      </c>
      <c r="F759" s="3" t="inlineStr">
        <is>
          <t>ORIG CO NAME:FEDERAL PROG A ORIG ID:XXXXXX8357 DESC DATE:260612 CO ENTRY DESCR:HCCLAIMPMT SEC:CCD TRACE#:XXXXXXXX5667614 EED:260612 IND ID:</t>
        </is>
      </c>
      <c r="G759" s="3" t="inlineStr">
        <is>
          <t>Service Income</t>
        </is>
      </c>
      <c r="H759" s="3" t="inlineStr">
        <is>
          <t>Checking – Operating</t>
        </is>
      </c>
      <c r="I759" s="33" t="n">
        <v>90504.09</v>
      </c>
      <c r="J759" s="13">
        <f>+J758+I759</f>
        <v>1618391.69</v>
      </c>
      <c r="K759" s="19">
        <f>+EOMONTH(B759,0)</f>
        <v>46203</v>
      </c>
      <c r="L759" s="3" t="inlineStr">
        <is>
          <t>Checking – Operating</t>
        </is>
      </c>
      <c r="M759" s="3" t="inlineStr">
        <is>
          <t>Balance Sheet</t>
        </is>
      </c>
    </row>
    <row r="760">
      <c r="B760" s="39" t="n">
        <v>46185</v>
      </c>
      <c r="C760" s="3" t="inlineStr">
        <is>
          <t>Expense</t>
        </is>
      </c>
      <c r="D760" s="3" t="inlineStr"/>
      <c r="E760" s="3" t="inlineStr"/>
      <c r="F760" s="3" t="inlineStr">
        <is>
          <t>Business Licenses and Permits – June</t>
        </is>
      </c>
      <c r="G760" s="3" t="inlineStr">
        <is>
          <t>Business Licenses and Permits</t>
        </is>
      </c>
      <c r="H760" s="3" t="inlineStr">
        <is>
          <t>Checking – Operating</t>
        </is>
      </c>
      <c r="I760" s="33" t="n">
        <v>-704.5599999999999</v>
      </c>
      <c r="J760" s="13">
        <f>+J759+I760</f>
        <v>1617687.13</v>
      </c>
      <c r="K760" s="19">
        <f>+EOMONTH(B760,0)</f>
        <v>46203</v>
      </c>
      <c r="L760" s="3" t="inlineStr">
        <is>
          <t>Checking – Operating</t>
        </is>
      </c>
      <c r="M760" s="3" t="inlineStr">
        <is>
          <t>Balance Sheet</t>
        </is>
      </c>
    </row>
    <row r="761">
      <c r="B761" s="39" t="n">
        <v>46185</v>
      </c>
      <c r="C761" s="3" t="inlineStr">
        <is>
          <t>Journal Entry</t>
        </is>
      </c>
      <c r="D761" s="3" t="inlineStr"/>
      <c r="E761" s="3" t="inlineStr">
        <is>
          <t>Vialtrace Lab Supplies Inc</t>
        </is>
      </c>
      <c r="F761" s="3" t="inlineStr">
        <is>
          <t>Office Supplies – June</t>
        </is>
      </c>
      <c r="G761" s="3" t="inlineStr">
        <is>
          <t>Office Supplies</t>
        </is>
      </c>
      <c r="H761" s="3" t="inlineStr">
        <is>
          <t>Checking – Operating</t>
        </is>
      </c>
      <c r="I761" s="33" t="n">
        <v>-1669.07</v>
      </c>
      <c r="J761" s="13">
        <f>+J760+I761</f>
        <v>1616018.06</v>
      </c>
      <c r="K761" s="19">
        <f>+EOMONTH(B761,0)</f>
        <v>46203</v>
      </c>
      <c r="L761" s="3" t="inlineStr">
        <is>
          <t>Checking – Operating</t>
        </is>
      </c>
      <c r="M761" s="3" t="inlineStr">
        <is>
          <t>Balance Sheet</t>
        </is>
      </c>
    </row>
    <row r="762">
      <c r="B762" s="39" t="n">
        <v>46186</v>
      </c>
      <c r="C762" s="3" t="inlineStr">
        <is>
          <t>Bill Payment (Check)</t>
        </is>
      </c>
      <c r="D762" s="3" t="inlineStr"/>
      <c r="E762" s="3" t="inlineStr">
        <is>
          <t>Reagentix Corp</t>
        </is>
      </c>
      <c r="F762" s="3" t="inlineStr">
        <is>
          <t>Lab supplies PO# F2684</t>
        </is>
      </c>
      <c r="G762" s="3" t="inlineStr">
        <is>
          <t>Accounts Payable</t>
        </is>
      </c>
      <c r="H762" s="3" t="inlineStr">
        <is>
          <t>Checking – Operating</t>
        </is>
      </c>
      <c r="I762" s="33" t="n">
        <v>-11021.36</v>
      </c>
      <c r="J762" s="13">
        <f>+J761+I762</f>
        <v>1604996.7</v>
      </c>
      <c r="K762" s="19">
        <f>+EOMONTH(B762,0)</f>
        <v>46203</v>
      </c>
      <c r="L762" s="3" t="inlineStr">
        <is>
          <t>Checking – Operating</t>
        </is>
      </c>
      <c r="M762" s="3" t="inlineStr">
        <is>
          <t>Balance Sheet</t>
        </is>
      </c>
    </row>
    <row r="763">
      <c r="B763" s="39" t="n">
        <v>46186</v>
      </c>
      <c r="C763" s="3" t="inlineStr">
        <is>
          <t>Bill Payment (Check)</t>
        </is>
      </c>
      <c r="D763" s="3" t="inlineStr"/>
      <c r="E763" s="3" t="inlineStr">
        <is>
          <t>Tarrowmere Mutual Insurance</t>
        </is>
      </c>
      <c r="F763" s="3" t="inlineStr">
        <is>
          <t>Benefits – May</t>
        </is>
      </c>
      <c r="G763" s="3" t="inlineStr">
        <is>
          <t>Accounts Payable</t>
        </is>
      </c>
      <c r="H763" s="3" t="inlineStr">
        <is>
          <t>Checking – Operating</t>
        </is>
      </c>
      <c r="I763" s="33" t="n">
        <v>-7713.64</v>
      </c>
      <c r="J763" s="13">
        <f>+J762+I763</f>
        <v>1597283.06</v>
      </c>
      <c r="K763" s="19">
        <f>+EOMONTH(B763,0)</f>
        <v>46203</v>
      </c>
      <c r="L763" s="3" t="inlineStr">
        <is>
          <t>Checking – Operating</t>
        </is>
      </c>
      <c r="M763" s="3" t="inlineStr">
        <is>
          <t>Balance Sheet</t>
        </is>
      </c>
    </row>
    <row r="764">
      <c r="B764" s="39" t="n">
        <v>46186</v>
      </c>
      <c r="C764" s="3" t="inlineStr">
        <is>
          <t>Credit Card Expense</t>
        </is>
      </c>
      <c r="D764" s="3" t="inlineStr"/>
      <c r="E764" s="3" t="inlineStr"/>
      <c r="F764" s="3" t="inlineStr">
        <is>
          <t>Automobile Expense – June</t>
        </is>
      </c>
      <c r="G764" s="3" t="inlineStr">
        <is>
          <t>Automobile Expense</t>
        </is>
      </c>
      <c r="H764" s="3" t="inlineStr">
        <is>
          <t>Checking – Operating</t>
        </is>
      </c>
      <c r="I764" s="33" t="n">
        <v>-753.71</v>
      </c>
      <c r="J764" s="13">
        <f>+J763+I764</f>
        <v>1596529.35</v>
      </c>
      <c r="K764" s="19">
        <f>+EOMONTH(B764,0)</f>
        <v>46203</v>
      </c>
      <c r="L764" s="3" t="inlineStr">
        <is>
          <t>Checking – Operating</t>
        </is>
      </c>
      <c r="M764" s="3" t="inlineStr">
        <is>
          <t>Balance Sheet</t>
        </is>
      </c>
    </row>
    <row r="765">
      <c r="B765" s="39" t="n">
        <v>46186</v>
      </c>
      <c r="C765" s="3" t="inlineStr">
        <is>
          <t>Credit Card Expense</t>
        </is>
      </c>
      <c r="D765" s="3" t="inlineStr"/>
      <c r="E765" s="3" t="inlineStr"/>
      <c r="F765" s="3" t="inlineStr">
        <is>
          <t>Gas – June</t>
        </is>
      </c>
      <c r="G765" s="3" t="inlineStr">
        <is>
          <t>Gas</t>
        </is>
      </c>
      <c r="H765" s="3" t="inlineStr">
        <is>
          <t>Checking – Operating</t>
        </is>
      </c>
      <c r="I765" s="33" t="n">
        <v>-859.33</v>
      </c>
      <c r="J765" s="13">
        <f>+J764+I765</f>
        <v>1595670.02</v>
      </c>
      <c r="K765" s="19">
        <f>+EOMONTH(B765,0)</f>
        <v>46203</v>
      </c>
      <c r="L765" s="3" t="inlineStr">
        <is>
          <t>Checking – Operating</t>
        </is>
      </c>
      <c r="M765" s="3" t="inlineStr">
        <is>
          <t>Balance Sheet</t>
        </is>
      </c>
    </row>
    <row r="766">
      <c r="B766" s="39" t="n">
        <v>46187</v>
      </c>
      <c r="C766" s="3" t="inlineStr">
        <is>
          <t>Bill Payment (Check)</t>
        </is>
      </c>
      <c r="D766" s="3" t="inlineStr"/>
      <c r="E766" s="3" t="inlineStr">
        <is>
          <t>Reagentix Corp</t>
        </is>
      </c>
      <c r="F766" s="3" t="inlineStr">
        <is>
          <t>Lab Expenses – May</t>
        </is>
      </c>
      <c r="G766" s="3" t="inlineStr">
        <is>
          <t>Accounts Payable</t>
        </is>
      </c>
      <c r="H766" s="3" t="inlineStr">
        <is>
          <t>Checking – Operating</t>
        </is>
      </c>
      <c r="I766" s="33" t="n">
        <v>-6352.17</v>
      </c>
      <c r="J766" s="13">
        <f>+J765+I766</f>
        <v>1589317.85</v>
      </c>
      <c r="K766" s="19">
        <f>+EOMONTH(B766,0)</f>
        <v>46203</v>
      </c>
      <c r="L766" s="3" t="inlineStr">
        <is>
          <t>Checking – Operating</t>
        </is>
      </c>
      <c r="M766" s="3" t="inlineStr">
        <is>
          <t>Balance Sheet</t>
        </is>
      </c>
    </row>
    <row r="767">
      <c r="B767" s="39" t="n">
        <v>46187</v>
      </c>
      <c r="C767" s="3" t="inlineStr">
        <is>
          <t>Bill Payment (Check)</t>
        </is>
      </c>
      <c r="D767" s="3" t="inlineStr"/>
      <c r="E767" s="3" t="inlineStr">
        <is>
          <t>Reagentix Corp</t>
        </is>
      </c>
      <c r="F767" s="3" t="inlineStr">
        <is>
          <t>Lab Expenses – June</t>
        </is>
      </c>
      <c r="G767" s="3" t="inlineStr">
        <is>
          <t>Accounts Payable</t>
        </is>
      </c>
      <c r="H767" s="3" t="inlineStr">
        <is>
          <t>Checking – Operating</t>
        </is>
      </c>
      <c r="I767" s="33" t="n">
        <v>-3788.42</v>
      </c>
      <c r="J767" s="13">
        <f>+J766+I767</f>
        <v>1585529.43</v>
      </c>
      <c r="K767" s="19">
        <f>+EOMONTH(B767,0)</f>
        <v>46203</v>
      </c>
      <c r="L767" s="3" t="inlineStr">
        <is>
          <t>Checking – Operating</t>
        </is>
      </c>
      <c r="M767" s="3" t="inlineStr">
        <is>
          <t>Balance Sheet</t>
        </is>
      </c>
    </row>
    <row r="768">
      <c r="B768" s="39" t="n">
        <v>46187</v>
      </c>
      <c r="C768" s="3" t="inlineStr">
        <is>
          <t>Bill Payment (Check)</t>
        </is>
      </c>
      <c r="D768" s="3" t="inlineStr"/>
      <c r="E768" s="3" t="inlineStr">
        <is>
          <t>Reagentix Corp</t>
        </is>
      </c>
      <c r="F768" s="3" t="inlineStr">
        <is>
          <t>Lab supplies PO# F2496</t>
        </is>
      </c>
      <c r="G768" s="3" t="inlineStr">
        <is>
          <t>Accounts Payable</t>
        </is>
      </c>
      <c r="H768" s="3" t="inlineStr">
        <is>
          <t>Checking – Operating</t>
        </is>
      </c>
      <c r="I768" s="33" t="n">
        <v>-12610.05</v>
      </c>
      <c r="J768" s="13">
        <f>+J767+I768</f>
        <v>1572919.38</v>
      </c>
      <c r="K768" s="19">
        <f>+EOMONTH(B768,0)</f>
        <v>46203</v>
      </c>
      <c r="L768" s="3" t="inlineStr">
        <is>
          <t>Checking – Operating</t>
        </is>
      </c>
      <c r="M768" s="3" t="inlineStr">
        <is>
          <t>Balance Sheet</t>
        </is>
      </c>
    </row>
    <row r="769">
      <c r="B769" s="39" t="n">
        <v>46187</v>
      </c>
      <c r="C769" s="3" t="inlineStr">
        <is>
          <t>Bill Payment (Check)</t>
        </is>
      </c>
      <c r="D769" s="3" t="inlineStr"/>
      <c r="E769" s="3" t="inlineStr">
        <is>
          <t>Northmoor Waste Services</t>
        </is>
      </c>
      <c r="F769" s="3" t="inlineStr">
        <is>
          <t>Hazard Waste – May</t>
        </is>
      </c>
      <c r="G769" s="3" t="inlineStr">
        <is>
          <t>Accounts Payable</t>
        </is>
      </c>
      <c r="H769" s="3" t="inlineStr">
        <is>
          <t>Checking – Operating</t>
        </is>
      </c>
      <c r="I769" s="33" t="n">
        <v>-1196.74</v>
      </c>
      <c r="J769" s="13">
        <f>+J768+I769</f>
        <v>1571722.64</v>
      </c>
      <c r="K769" s="19">
        <f>+EOMONTH(B769,0)</f>
        <v>46203</v>
      </c>
      <c r="L769" s="3" t="inlineStr">
        <is>
          <t>Checking – Operating</t>
        </is>
      </c>
      <c r="M769" s="3" t="inlineStr">
        <is>
          <t>Balance Sheet</t>
        </is>
      </c>
    </row>
    <row r="770">
      <c r="B770" s="39" t="n">
        <v>46187</v>
      </c>
      <c r="C770" s="3" t="inlineStr">
        <is>
          <t>Deposit</t>
        </is>
      </c>
      <c r="D770" s="3" t="inlineStr"/>
      <c r="E770" s="3" t="inlineStr">
        <is>
          <t>Marrowby Mutual</t>
        </is>
      </c>
      <c r="F770" s="3" t="inlineStr">
        <is>
          <t>ORIG CO NAME:MARROWBY MUTUAL ORIG ID:XXXXXX5047 DESC DATE:260614 CO ENTRY DESCR:HCCLAIMPMT SEC:CCD TRACE#:XXXXXXXX1507369 EED:260614 IND ID:</t>
        </is>
      </c>
      <c r="G770" s="3" t="inlineStr">
        <is>
          <t>Service Income</t>
        </is>
      </c>
      <c r="H770" s="3" t="inlineStr">
        <is>
          <t>Checking – Operating</t>
        </is>
      </c>
      <c r="I770" s="33" t="n">
        <v>63054.96</v>
      </c>
      <c r="J770" s="13">
        <f>+J769+I770</f>
        <v>1634777.6</v>
      </c>
      <c r="K770" s="19">
        <f>+EOMONTH(B770,0)</f>
        <v>46203</v>
      </c>
      <c r="L770" s="3" t="inlineStr">
        <is>
          <t>Checking – Operating</t>
        </is>
      </c>
      <c r="M770" s="3" t="inlineStr">
        <is>
          <t>Balance Sheet</t>
        </is>
      </c>
    </row>
    <row r="771">
      <c r="B771" s="39" t="n">
        <v>46187</v>
      </c>
      <c r="C771" s="3" t="inlineStr">
        <is>
          <t>Deposit</t>
        </is>
      </c>
      <c r="D771" s="3" t="inlineStr"/>
      <c r="E771" s="3" t="inlineStr">
        <is>
          <t>Quayside Choice Senior Plan</t>
        </is>
      </c>
      <c r="F771" s="3" t="inlineStr">
        <is>
          <t>ORIG CO NAME:QUAYSIDE CHOICE SP ORIG ID:XXXXXX1159 DESC DATE:260614 CO ENTRY DESCR:HCCLAIMPMT SEC:CCD TRACE#:XXXXXXXX3843326 EED:260614 IND ID:</t>
        </is>
      </c>
      <c r="G771" s="3" t="inlineStr">
        <is>
          <t>Service Income</t>
        </is>
      </c>
      <c r="H771" s="3" t="inlineStr">
        <is>
          <t>Checking – Operating</t>
        </is>
      </c>
      <c r="I771" s="33" t="n">
        <v>45300.38</v>
      </c>
      <c r="J771" s="13">
        <f>+J770+I771</f>
        <v>1680077.98</v>
      </c>
      <c r="K771" s="19">
        <f>+EOMONTH(B771,0)</f>
        <v>46203</v>
      </c>
      <c r="L771" s="3" t="inlineStr">
        <is>
          <t>Checking – Operating</t>
        </is>
      </c>
      <c r="M771" s="3" t="inlineStr">
        <is>
          <t>Balance Sheet</t>
        </is>
      </c>
    </row>
    <row r="772">
      <c r="B772" s="39" t="n">
        <v>46187</v>
      </c>
      <c r="C772" s="3" t="inlineStr">
        <is>
          <t>Expense</t>
        </is>
      </c>
      <c r="D772" s="3" t="inlineStr"/>
      <c r="E772" s="3" t="inlineStr"/>
      <c r="F772" s="3" t="inlineStr">
        <is>
          <t>Meals and Entertainment – June</t>
        </is>
      </c>
      <c r="G772" s="3" t="inlineStr">
        <is>
          <t>Meals and Entertainment</t>
        </is>
      </c>
      <c r="H772" s="3" t="inlineStr">
        <is>
          <t>Checking – Operating</t>
        </is>
      </c>
      <c r="I772" s="33" t="n">
        <v>-725.64</v>
      </c>
      <c r="J772" s="13">
        <f>+J771+I772</f>
        <v>1679352.34</v>
      </c>
      <c r="K772" s="19">
        <f>+EOMONTH(B772,0)</f>
        <v>46203</v>
      </c>
      <c r="L772" s="3" t="inlineStr">
        <is>
          <t>Checking – Operating</t>
        </is>
      </c>
      <c r="M772" s="3" t="inlineStr">
        <is>
          <t>Balance Sheet</t>
        </is>
      </c>
    </row>
    <row r="773">
      <c r="B773" s="39" t="n">
        <v>46187</v>
      </c>
      <c r="C773" s="3" t="inlineStr">
        <is>
          <t>Expense</t>
        </is>
      </c>
      <c r="D773" s="3" t="inlineStr"/>
      <c r="E773" s="3" t="inlineStr"/>
      <c r="F773" s="3" t="inlineStr">
        <is>
          <t>Business Meetings &amp; Development – June</t>
        </is>
      </c>
      <c r="G773" s="3" t="inlineStr">
        <is>
          <t>Business Meetings &amp; Development</t>
        </is>
      </c>
      <c r="H773" s="3" t="inlineStr">
        <is>
          <t>Checking – Operating</t>
        </is>
      </c>
      <c r="I773" s="33" t="n">
        <v>-4159.17</v>
      </c>
      <c r="J773" s="13">
        <f>+J772+I773</f>
        <v>1675193.17</v>
      </c>
      <c r="K773" s="19">
        <f>+EOMONTH(B773,0)</f>
        <v>46203</v>
      </c>
      <c r="L773" s="3" t="inlineStr">
        <is>
          <t>Checking – Operating</t>
        </is>
      </c>
      <c r="M773" s="3" t="inlineStr">
        <is>
          <t>Balance Sheet</t>
        </is>
      </c>
    </row>
    <row r="774">
      <c r="B774" s="39" t="n">
        <v>46187</v>
      </c>
      <c r="C774" s="3" t="inlineStr">
        <is>
          <t>Journal Entry</t>
        </is>
      </c>
      <c r="D774" s="3" t="inlineStr"/>
      <c r="E774" s="3" t="inlineStr"/>
      <c r="F774" s="3" t="inlineStr">
        <is>
          <t>Bank service charges – June</t>
        </is>
      </c>
      <c r="G774" s="3" t="inlineStr">
        <is>
          <t>Bank Fees</t>
        </is>
      </c>
      <c r="H774" s="3" t="inlineStr">
        <is>
          <t>Checking – Operating</t>
        </is>
      </c>
      <c r="I774" s="33" t="n">
        <v>-1843.29</v>
      </c>
      <c r="J774" s="13">
        <f>+J773+I774</f>
        <v>1673349.88</v>
      </c>
      <c r="K774" s="19">
        <f>+EOMONTH(B774,0)</f>
        <v>46203</v>
      </c>
      <c r="L774" s="3" t="inlineStr">
        <is>
          <t>Checking – Operating</t>
        </is>
      </c>
      <c r="M774" s="3" t="inlineStr">
        <is>
          <t>Balance Sheet</t>
        </is>
      </c>
    </row>
    <row r="775">
      <c r="B775" s="39" t="n">
        <v>46187</v>
      </c>
      <c r="C775" s="3" t="inlineStr">
        <is>
          <t>Journal Entry</t>
        </is>
      </c>
      <c r="D775" s="3" t="inlineStr"/>
      <c r="E775" s="3" t="inlineStr"/>
      <c r="F775" s="3" t="inlineStr">
        <is>
          <t>Lab Credentialing – June</t>
        </is>
      </c>
      <c r="G775" s="3" t="inlineStr">
        <is>
          <t>Lab Credentialing</t>
        </is>
      </c>
      <c r="H775" s="3" t="inlineStr">
        <is>
          <t>Checking – Operating</t>
        </is>
      </c>
      <c r="I775" s="33" t="n">
        <v>-845.66</v>
      </c>
      <c r="J775" s="13">
        <f>+J774+I775</f>
        <v>1672504.22</v>
      </c>
      <c r="K775" s="19">
        <f>+EOMONTH(B775,0)</f>
        <v>46203</v>
      </c>
      <c r="L775" s="3" t="inlineStr">
        <is>
          <t>Checking – Operating</t>
        </is>
      </c>
      <c r="M775" s="3" t="inlineStr">
        <is>
          <t>Balance Sheet</t>
        </is>
      </c>
    </row>
    <row r="776">
      <c r="B776" s="39" t="n">
        <v>46188</v>
      </c>
      <c r="C776" s="3" t="inlineStr">
        <is>
          <t>Bill Payment (Check)</t>
        </is>
      </c>
      <c r="D776" s="3" t="inlineStr"/>
      <c r="E776" s="3" t="inlineStr">
        <is>
          <t>Halloway Ridge Realty (rent)</t>
        </is>
      </c>
      <c r="F776" s="3" t="inlineStr">
        <is>
          <t>Rent – May</t>
        </is>
      </c>
      <c r="G776" s="3" t="inlineStr">
        <is>
          <t>Accounts Payable</t>
        </is>
      </c>
      <c r="H776" s="3" t="inlineStr">
        <is>
          <t>Checking – Operating</t>
        </is>
      </c>
      <c r="I776" s="33" t="n">
        <v>-5823.89</v>
      </c>
      <c r="J776" s="13">
        <f>+J775+I776</f>
        <v>1666680.33</v>
      </c>
      <c r="K776" s="19">
        <f>+EOMONTH(B776,0)</f>
        <v>46203</v>
      </c>
      <c r="L776" s="3" t="inlineStr">
        <is>
          <t>Checking – Operating</t>
        </is>
      </c>
      <c r="M776" s="3" t="inlineStr">
        <is>
          <t>Balance Sheet</t>
        </is>
      </c>
    </row>
    <row r="777">
      <c r="B777" s="39" t="n">
        <v>46188</v>
      </c>
      <c r="C777" s="3" t="inlineStr">
        <is>
          <t>Expense</t>
        </is>
      </c>
      <c r="D777" s="3" t="inlineStr"/>
      <c r="E777" s="3" t="inlineStr">
        <is>
          <t>Ledgerquill Billing SaaS</t>
        </is>
      </c>
      <c r="F777" s="3" t="inlineStr">
        <is>
          <t>Lab EMR Service – June</t>
        </is>
      </c>
      <c r="G777" s="3" t="inlineStr">
        <is>
          <t>Lab EMR Service</t>
        </is>
      </c>
      <c r="H777" s="3" t="inlineStr">
        <is>
          <t>Checking – Operating</t>
        </is>
      </c>
      <c r="I777" s="33" t="n">
        <v>-3584.46</v>
      </c>
      <c r="J777" s="13">
        <f>+J776+I777</f>
        <v>1663095.87</v>
      </c>
      <c r="K777" s="19">
        <f>+EOMONTH(B777,0)</f>
        <v>46203</v>
      </c>
      <c r="L777" s="3" t="inlineStr">
        <is>
          <t>Checking – Operating</t>
        </is>
      </c>
      <c r="M777" s="3" t="inlineStr">
        <is>
          <t>Balance Sheet</t>
        </is>
      </c>
    </row>
    <row r="778">
      <c r="B778" s="39" t="n">
        <v>46188</v>
      </c>
      <c r="C778" s="3" t="inlineStr">
        <is>
          <t>Expense</t>
        </is>
      </c>
      <c r="D778" s="3" t="inlineStr"/>
      <c r="E778" s="3" t="inlineStr"/>
      <c r="F778" s="3" t="inlineStr">
        <is>
          <t>Travel Expense – June</t>
        </is>
      </c>
      <c r="G778" s="3" t="inlineStr">
        <is>
          <t>Travel Expense</t>
        </is>
      </c>
      <c r="H778" s="3" t="inlineStr">
        <is>
          <t>Checking – Operating</t>
        </is>
      </c>
      <c r="I778" s="33" t="n">
        <v>-1225.38</v>
      </c>
      <c r="J778" s="13">
        <f>+J777+I778</f>
        <v>1661870.49</v>
      </c>
      <c r="K778" s="19">
        <f>+EOMONTH(B778,0)</f>
        <v>46203</v>
      </c>
      <c r="L778" s="3" t="inlineStr">
        <is>
          <t>Checking – Operating</t>
        </is>
      </c>
      <c r="M778" s="3" t="inlineStr">
        <is>
          <t>Balance Sheet</t>
        </is>
      </c>
    </row>
    <row r="779">
      <c r="B779" s="39" t="n">
        <v>46189</v>
      </c>
      <c r="C779" s="3" t="inlineStr">
        <is>
          <t>Bill Payment (Check)</t>
        </is>
      </c>
      <c r="D779" s="3" t="inlineStr"/>
      <c r="E779" s="3" t="inlineStr">
        <is>
          <t>Reference Lab A</t>
        </is>
      </c>
      <c r="F779" s="3" t="inlineStr">
        <is>
          <t>Send-out testing – May</t>
        </is>
      </c>
      <c r="G779" s="3" t="inlineStr">
        <is>
          <t>Accounts Payable</t>
        </is>
      </c>
      <c r="H779" s="3" t="inlineStr">
        <is>
          <t>Checking – Operating</t>
        </is>
      </c>
      <c r="I779" s="33" t="n">
        <v>-30680.71</v>
      </c>
      <c r="J779" s="13">
        <f>+J778+I779</f>
        <v>1631189.78</v>
      </c>
      <c r="K779" s="19">
        <f>+EOMONTH(B779,0)</f>
        <v>46203</v>
      </c>
      <c r="L779" s="3" t="inlineStr">
        <is>
          <t>Checking – Operating</t>
        </is>
      </c>
      <c r="M779" s="3" t="inlineStr">
        <is>
          <t>Balance Sheet</t>
        </is>
      </c>
    </row>
    <row r="780">
      <c r="B780" s="39" t="n">
        <v>46189</v>
      </c>
      <c r="C780" s="3" t="inlineStr">
        <is>
          <t>Expense</t>
        </is>
      </c>
      <c r="D780" s="3" t="inlineStr"/>
      <c r="E780" s="3" t="inlineStr">
        <is>
          <t>Halloway Ridge Realty (rent)</t>
        </is>
      </c>
      <c r="F780" s="3" t="inlineStr">
        <is>
          <t>Landscaping – June</t>
        </is>
      </c>
      <c r="G780" s="3" t="inlineStr">
        <is>
          <t>Landscaping</t>
        </is>
      </c>
      <c r="H780" s="3" t="inlineStr">
        <is>
          <t>Checking – Operating</t>
        </is>
      </c>
      <c r="I780" s="33" t="n">
        <v>-965.55</v>
      </c>
      <c r="J780" s="13">
        <f>+J779+I780</f>
        <v>1630224.23</v>
      </c>
      <c r="K780" s="19">
        <f>+EOMONTH(B780,0)</f>
        <v>46203</v>
      </c>
      <c r="L780" s="3" t="inlineStr">
        <is>
          <t>Checking – Operating</t>
        </is>
      </c>
      <c r="M780" s="3" t="inlineStr">
        <is>
          <t>Balance Sheet</t>
        </is>
      </c>
    </row>
    <row r="781">
      <c r="B781" s="39" t="n">
        <v>46189</v>
      </c>
      <c r="C781" s="3" t="inlineStr">
        <is>
          <t>Journal Entry</t>
        </is>
      </c>
      <c r="D781" s="3" t="inlineStr"/>
      <c r="E781" s="3" t="inlineStr">
        <is>
          <t>Consultant A</t>
        </is>
      </c>
      <c r="F781" s="3" t="inlineStr">
        <is>
          <t>Legal &amp; Professional Fees – June</t>
        </is>
      </c>
      <c r="G781" s="3" t="inlineStr">
        <is>
          <t>Legal &amp; Professional Fees</t>
        </is>
      </c>
      <c r="H781" s="3" t="inlineStr">
        <is>
          <t>Checking – Operating</t>
        </is>
      </c>
      <c r="I781" s="33" t="n">
        <v>-1385.11</v>
      </c>
      <c r="J781" s="13">
        <f>+J780+I781</f>
        <v>1628839.12</v>
      </c>
      <c r="K781" s="19">
        <f>+EOMONTH(B781,0)</f>
        <v>46203</v>
      </c>
      <c r="L781" s="3" t="inlineStr">
        <is>
          <t>Checking – Operating</t>
        </is>
      </c>
      <c r="M781" s="3" t="inlineStr">
        <is>
          <t>Balance Sheet</t>
        </is>
      </c>
    </row>
    <row r="782">
      <c r="B782" s="39" t="n">
        <v>46189</v>
      </c>
      <c r="C782" s="3" t="inlineStr">
        <is>
          <t>Journal Entry</t>
        </is>
      </c>
      <c r="D782" s="3" t="inlineStr"/>
      <c r="E782" s="3" t="inlineStr">
        <is>
          <t>Consultant A</t>
        </is>
      </c>
      <c r="F782" s="3" t="inlineStr">
        <is>
          <t>Accounting Service – June</t>
        </is>
      </c>
      <c r="G782" s="3" t="inlineStr">
        <is>
          <t>Accounting Service</t>
        </is>
      </c>
      <c r="H782" s="3" t="inlineStr">
        <is>
          <t>Checking – Operating</t>
        </is>
      </c>
      <c r="I782" s="33" t="n">
        <v>-3382.87</v>
      </c>
      <c r="J782" s="13">
        <f>+J781+I782</f>
        <v>1625456.25</v>
      </c>
      <c r="K782" s="19">
        <f>+EOMONTH(B782,0)</f>
        <v>46203</v>
      </c>
      <c r="L782" s="3" t="inlineStr">
        <is>
          <t>Checking – Operating</t>
        </is>
      </c>
      <c r="M782" s="3" t="inlineStr">
        <is>
          <t>Balance Sheet</t>
        </is>
      </c>
    </row>
    <row r="783">
      <c r="B783" s="39" t="n">
        <v>46190</v>
      </c>
      <c r="C783" s="3" t="inlineStr">
        <is>
          <t>Bill Payment (Check)</t>
        </is>
      </c>
      <c r="D783" s="3" t="inlineStr"/>
      <c r="E783" s="3" t="inlineStr">
        <is>
          <t>Halloway Ridge Realty (rent)</t>
        </is>
      </c>
      <c r="F783" s="3" t="inlineStr">
        <is>
          <t>Rent – May</t>
        </is>
      </c>
      <c r="G783" s="3" t="inlineStr">
        <is>
          <t>Accounts Payable</t>
        </is>
      </c>
      <c r="H783" s="3" t="inlineStr">
        <is>
          <t>Checking – Operating</t>
        </is>
      </c>
      <c r="I783" s="33" t="n">
        <v>-6722.17</v>
      </c>
      <c r="J783" s="13">
        <f>+J782+I783</f>
        <v>1618734.08</v>
      </c>
      <c r="K783" s="19">
        <f>+EOMONTH(B783,0)</f>
        <v>46203</v>
      </c>
      <c r="L783" s="3" t="inlineStr">
        <is>
          <t>Checking – Operating</t>
        </is>
      </c>
      <c r="M783" s="3" t="inlineStr">
        <is>
          <t>Balance Sheet</t>
        </is>
      </c>
    </row>
    <row r="784">
      <c r="B784" s="39" t="n">
        <v>46190</v>
      </c>
      <c r="C784" s="3" t="inlineStr">
        <is>
          <t>Credit Card Expense</t>
        </is>
      </c>
      <c r="D784" s="3" t="inlineStr"/>
      <c r="E784" s="3" t="inlineStr">
        <is>
          <t>Tessarand Payroll Services</t>
        </is>
      </c>
      <c r="F784" s="3" t="inlineStr">
        <is>
          <t>Sales and Marketing Expenses – June</t>
        </is>
      </c>
      <c r="G784" s="3" t="inlineStr">
        <is>
          <t>Sales and Marketing Expenses</t>
        </is>
      </c>
      <c r="H784" s="3" t="inlineStr">
        <is>
          <t>Checking – Operating</t>
        </is>
      </c>
      <c r="I784" s="33" t="n">
        <v>-23518.09</v>
      </c>
      <c r="J784" s="13">
        <f>+J783+I784</f>
        <v>1595215.99</v>
      </c>
      <c r="K784" s="19">
        <f>+EOMONTH(B784,0)</f>
        <v>46203</v>
      </c>
      <c r="L784" s="3" t="inlineStr">
        <is>
          <t>Checking – Operating</t>
        </is>
      </c>
      <c r="M784" s="3" t="inlineStr">
        <is>
          <t>Balance Sheet</t>
        </is>
      </c>
    </row>
    <row r="785">
      <c r="B785" s="39" t="n">
        <v>46190</v>
      </c>
      <c r="C785" s="3" t="inlineStr">
        <is>
          <t>Journal Entry</t>
        </is>
      </c>
      <c r="D785" s="3" t="inlineStr"/>
      <c r="E785" s="3" t="inlineStr"/>
      <c r="F785" s="3" t="inlineStr">
        <is>
          <t>Reimbursement – June</t>
        </is>
      </c>
      <c r="G785" s="3" t="inlineStr">
        <is>
          <t>Reimbursement</t>
        </is>
      </c>
      <c r="H785" s="3" t="inlineStr">
        <is>
          <t>Checking – Operating</t>
        </is>
      </c>
      <c r="I785" s="33" t="n">
        <v>-1693.4</v>
      </c>
      <c r="J785" s="13">
        <f>+J784+I785</f>
        <v>1593522.59</v>
      </c>
      <c r="K785" s="19">
        <f>+EOMONTH(B785,0)</f>
        <v>46203</v>
      </c>
      <c r="L785" s="3" t="inlineStr">
        <is>
          <t>Checking – Operating</t>
        </is>
      </c>
      <c r="M785" s="3" t="inlineStr">
        <is>
          <t>Balance Sheet</t>
        </is>
      </c>
    </row>
    <row r="786">
      <c r="B786" s="39" t="n">
        <v>46191</v>
      </c>
      <c r="C786" s="3" t="inlineStr">
        <is>
          <t>Bill Payment (Check)</t>
        </is>
      </c>
      <c r="D786" s="3" t="inlineStr"/>
      <c r="E786" s="3" t="inlineStr">
        <is>
          <t>Vialtrace Lab Supplies Inc</t>
        </is>
      </c>
      <c r="F786" s="3" t="inlineStr">
        <is>
          <t>Lab Expenses – May</t>
        </is>
      </c>
      <c r="G786" s="3" t="inlineStr">
        <is>
          <t>Accounts Payable</t>
        </is>
      </c>
      <c r="H786" s="3" t="inlineStr">
        <is>
          <t>Checking – Operating</t>
        </is>
      </c>
      <c r="I786" s="33" t="n">
        <v>-4773.13</v>
      </c>
      <c r="J786" s="13">
        <f>+J785+I786</f>
        <v>1588749.46</v>
      </c>
      <c r="K786" s="19">
        <f>+EOMONTH(B786,0)</f>
        <v>46203</v>
      </c>
      <c r="L786" s="3" t="inlineStr">
        <is>
          <t>Checking – Operating</t>
        </is>
      </c>
      <c r="M786" s="3" t="inlineStr">
        <is>
          <t>Balance Sheet</t>
        </is>
      </c>
    </row>
    <row r="787">
      <c r="B787" s="39" t="n">
        <v>46191</v>
      </c>
      <c r="C787" s="3" t="inlineStr">
        <is>
          <t>Credit Card Expense</t>
        </is>
      </c>
      <c r="D787" s="3" t="inlineStr"/>
      <c r="E787" s="3" t="inlineStr"/>
      <c r="F787" s="3" t="inlineStr">
        <is>
          <t>Parking – June</t>
        </is>
      </c>
      <c r="G787" s="3" t="inlineStr">
        <is>
          <t>Parking</t>
        </is>
      </c>
      <c r="H787" s="3" t="inlineStr">
        <is>
          <t>Checking – Operating</t>
        </is>
      </c>
      <c r="I787" s="33" t="n">
        <v>-775.54</v>
      </c>
      <c r="J787" s="13">
        <f>+J786+I787</f>
        <v>1587973.92</v>
      </c>
      <c r="K787" s="19">
        <f>+EOMONTH(B787,0)</f>
        <v>46203</v>
      </c>
      <c r="L787" s="3" t="inlineStr">
        <is>
          <t>Checking – Operating</t>
        </is>
      </c>
      <c r="M787" s="3" t="inlineStr">
        <is>
          <t>Balance Sheet</t>
        </is>
      </c>
    </row>
    <row r="788">
      <c r="B788" s="39" t="n">
        <v>46191</v>
      </c>
      <c r="C788" s="3" t="inlineStr">
        <is>
          <t>Deposit</t>
        </is>
      </c>
      <c r="D788" s="3" t="inlineStr"/>
      <c r="E788" s="3" t="inlineStr">
        <is>
          <t>State Program B</t>
        </is>
      </c>
      <c r="F788" s="3" t="inlineStr">
        <is>
          <t>ORIG CO NAME:STATE PROG B ORIG ID:XXXXXX5636 DESC DATE:260618 CO ENTRY DESCR:HCCLAIMPMT SEC:CCD TRACE#:XXXXXXXX7719325 EED:260618 IND ID:</t>
        </is>
      </c>
      <c r="G788" s="3" t="inlineStr">
        <is>
          <t>Service Income</t>
        </is>
      </c>
      <c r="H788" s="3" t="inlineStr">
        <is>
          <t>Checking – Operating</t>
        </is>
      </c>
      <c r="I788" s="33" t="n">
        <v>33831.87</v>
      </c>
      <c r="J788" s="13">
        <f>+J787+I788</f>
        <v>1621805.79</v>
      </c>
      <c r="K788" s="19">
        <f>+EOMONTH(B788,0)</f>
        <v>46203</v>
      </c>
      <c r="L788" s="3" t="inlineStr">
        <is>
          <t>Checking – Operating</t>
        </is>
      </c>
      <c r="M788" s="3" t="inlineStr">
        <is>
          <t>Balance Sheet</t>
        </is>
      </c>
    </row>
    <row r="789">
      <c r="B789" s="39" t="n">
        <v>46191</v>
      </c>
      <c r="C789" s="3" t="inlineStr">
        <is>
          <t>Expense</t>
        </is>
      </c>
      <c r="D789" s="3" t="inlineStr"/>
      <c r="E789" s="3" t="inlineStr">
        <is>
          <t>Tessarand Payroll Services</t>
        </is>
      </c>
      <c r="F789" s="3" t="inlineStr">
        <is>
          <t>Contractors – June</t>
        </is>
      </c>
      <c r="G789" s="3" t="inlineStr">
        <is>
          <t>Contractors</t>
        </is>
      </c>
      <c r="H789" s="3" t="inlineStr">
        <is>
          <t>Checking – Operating</t>
        </is>
      </c>
      <c r="I789" s="33" t="n">
        <v>-6704.63</v>
      </c>
      <c r="J789" s="13">
        <f>+J788+I789</f>
        <v>1615101.16</v>
      </c>
      <c r="K789" s="19">
        <f>+EOMONTH(B789,0)</f>
        <v>46203</v>
      </c>
      <c r="L789" s="3" t="inlineStr">
        <is>
          <t>Checking – Operating</t>
        </is>
      </c>
      <c r="M789" s="3" t="inlineStr">
        <is>
          <t>Balance Sheet</t>
        </is>
      </c>
    </row>
    <row r="790">
      <c r="B790" s="39" t="n">
        <v>46191</v>
      </c>
      <c r="C790" s="3" t="inlineStr">
        <is>
          <t>Expense</t>
        </is>
      </c>
      <c r="D790" s="3" t="inlineStr"/>
      <c r="E790" s="3" t="inlineStr">
        <is>
          <t>Union Utilities</t>
        </is>
      </c>
      <c r="F790" s="3" t="inlineStr">
        <is>
          <t>Fax Service – June</t>
        </is>
      </c>
      <c r="G790" s="3" t="inlineStr">
        <is>
          <t>Fax Service</t>
        </is>
      </c>
      <c r="H790" s="3" t="inlineStr">
        <is>
          <t>Checking – Operating</t>
        </is>
      </c>
      <c r="I790" s="33" t="n">
        <v>-724.39</v>
      </c>
      <c r="J790" s="13">
        <f>+J789+I790</f>
        <v>1614376.77</v>
      </c>
      <c r="K790" s="19">
        <f>+EOMONTH(B790,0)</f>
        <v>46203</v>
      </c>
      <c r="L790" s="3" t="inlineStr">
        <is>
          <t>Checking – Operating</t>
        </is>
      </c>
      <c r="M790" s="3" t="inlineStr">
        <is>
          <t>Balance Sheet</t>
        </is>
      </c>
    </row>
    <row r="791">
      <c r="B791" s="39" t="n">
        <v>46191</v>
      </c>
      <c r="C791" s="3" t="inlineStr">
        <is>
          <t>Payroll Check</t>
        </is>
      </c>
      <c r="D791" s="3" t="inlineStr"/>
      <c r="E791" s="3" t="inlineStr">
        <is>
          <t>Tessarand Payroll Services</t>
        </is>
      </c>
      <c r="F791" s="3" t="inlineStr">
        <is>
          <t>Payroll taxes – biweekly</t>
        </is>
      </c>
      <c r="G791" s="3" t="inlineStr">
        <is>
          <t>Payroll Taxes</t>
        </is>
      </c>
      <c r="H791" s="3" t="inlineStr">
        <is>
          <t>Checking – Operating</t>
        </is>
      </c>
      <c r="I791" s="33" t="n">
        <v>-1087.22</v>
      </c>
      <c r="J791" s="13">
        <f>+J790+I791</f>
        <v>1613289.55</v>
      </c>
      <c r="K791" s="19">
        <f>+EOMONTH(B791,0)</f>
        <v>46203</v>
      </c>
      <c r="L791" s="3" t="inlineStr">
        <is>
          <t>Checking – Operating</t>
        </is>
      </c>
      <c r="M791" s="3" t="inlineStr">
        <is>
          <t>Balance Sheet</t>
        </is>
      </c>
    </row>
    <row r="792">
      <c r="B792" s="39" t="n">
        <v>46192</v>
      </c>
      <c r="C792" s="3" t="inlineStr">
        <is>
          <t>Credit Card Expense</t>
        </is>
      </c>
      <c r="D792" s="3" t="inlineStr"/>
      <c r="E792" s="3" t="inlineStr"/>
      <c r="F792" s="3" t="inlineStr">
        <is>
          <t>Bank service charges – June</t>
        </is>
      </c>
      <c r="G792" s="3" t="inlineStr">
        <is>
          <t>Cash</t>
        </is>
      </c>
      <c r="H792" s="3" t="inlineStr">
        <is>
          <t>Checking – Operating</t>
        </is>
      </c>
      <c r="I792" s="33" t="n">
        <v>-766.05</v>
      </c>
      <c r="J792" s="13">
        <f>+J791+I792</f>
        <v>1612523.5</v>
      </c>
      <c r="K792" s="19">
        <f>+EOMONTH(B792,0)</f>
        <v>46203</v>
      </c>
      <c r="L792" s="3" t="inlineStr">
        <is>
          <t>Checking – Operating</t>
        </is>
      </c>
      <c r="M792" s="3" t="inlineStr">
        <is>
          <t>Balance Sheet</t>
        </is>
      </c>
    </row>
    <row r="793">
      <c r="B793" s="39" t="n">
        <v>46192</v>
      </c>
      <c r="C793" s="3" t="inlineStr">
        <is>
          <t>Journal Entry</t>
        </is>
      </c>
      <c r="D793" s="3" t="inlineStr"/>
      <c r="E793" s="3" t="inlineStr">
        <is>
          <t>Union Utilities</t>
        </is>
      </c>
      <c r="F793" s="3" t="inlineStr">
        <is>
          <t>Telecom and Internet – June</t>
        </is>
      </c>
      <c r="G793" s="3" t="inlineStr">
        <is>
          <t>Telecom and Internet</t>
        </is>
      </c>
      <c r="H793" s="3" t="inlineStr">
        <is>
          <t>Checking – Operating</t>
        </is>
      </c>
      <c r="I793" s="33" t="n">
        <v>-2108.14</v>
      </c>
      <c r="J793" s="13">
        <f>+J792+I793</f>
        <v>1610415.36</v>
      </c>
      <c r="K793" s="19">
        <f>+EOMONTH(B793,0)</f>
        <v>46203</v>
      </c>
      <c r="L793" s="3" t="inlineStr">
        <is>
          <t>Checking – Operating</t>
        </is>
      </c>
      <c r="M793" s="3" t="inlineStr">
        <is>
          <t>Balance Sheet</t>
        </is>
      </c>
    </row>
    <row r="794">
      <c r="B794" s="39" t="n">
        <v>46193</v>
      </c>
      <c r="C794" s="3" t="inlineStr">
        <is>
          <t>Bill Payment (Check)</t>
        </is>
      </c>
      <c r="D794" s="3" t="inlineStr"/>
      <c r="E794" s="3" t="inlineStr">
        <is>
          <t>Halloway Ridge Realty (rent)</t>
        </is>
      </c>
      <c r="F794" s="3" t="inlineStr">
        <is>
          <t>Rent – May</t>
        </is>
      </c>
      <c r="G794" s="3" t="inlineStr">
        <is>
          <t>Accounts Payable</t>
        </is>
      </c>
      <c r="H794" s="3" t="inlineStr">
        <is>
          <t>Checking – Operating</t>
        </is>
      </c>
      <c r="I794" s="33" t="n">
        <v>-7118.22</v>
      </c>
      <c r="J794" s="13">
        <f>+J793+I794</f>
        <v>1603297.14</v>
      </c>
      <c r="K794" s="19">
        <f>+EOMONTH(B794,0)</f>
        <v>46203</v>
      </c>
      <c r="L794" s="3" t="inlineStr">
        <is>
          <t>Checking – Operating</t>
        </is>
      </c>
      <c r="M794" s="3" t="inlineStr">
        <is>
          <t>Balance Sheet</t>
        </is>
      </c>
    </row>
    <row r="795">
      <c r="B795" s="39" t="n">
        <v>46193</v>
      </c>
      <c r="C795" s="3" t="inlineStr">
        <is>
          <t>Deposit</t>
        </is>
      </c>
      <c r="D795" s="3" t="inlineStr"/>
      <c r="E795" s="3" t="inlineStr">
        <is>
          <t>Vantrelle Health Plan</t>
        </is>
      </c>
      <c r="F795" s="3" t="inlineStr">
        <is>
          <t>ORIG CO NAME:VANTRELLE HP ORIG ID:XXXXXX5022 DESC DATE:260620 CO ENTRY DESCR:HCCLAIMPMT SEC:CCD TRACE#:XXXXXXXX2761369 EED:260620 IND ID:</t>
        </is>
      </c>
      <c r="G795" s="3" t="inlineStr">
        <is>
          <t>Service Income</t>
        </is>
      </c>
      <c r="H795" s="3" t="inlineStr">
        <is>
          <t>Checking – Operating</t>
        </is>
      </c>
      <c r="I795" s="33" t="n">
        <v>134636.06</v>
      </c>
      <c r="J795" s="13">
        <f>+J794+I795</f>
        <v>1737933.2</v>
      </c>
      <c r="K795" s="19">
        <f>+EOMONTH(B795,0)</f>
        <v>46203</v>
      </c>
      <c r="L795" s="3" t="inlineStr">
        <is>
          <t>Checking – Operating</t>
        </is>
      </c>
      <c r="M795" s="3" t="inlineStr">
        <is>
          <t>Balance Sheet</t>
        </is>
      </c>
    </row>
    <row r="796">
      <c r="B796" s="39" t="n">
        <v>46193</v>
      </c>
      <c r="C796" s="3" t="inlineStr">
        <is>
          <t>Journal Entry</t>
        </is>
      </c>
      <c r="D796" s="3" t="inlineStr"/>
      <c r="E796" s="3" t="inlineStr">
        <is>
          <t>Lumenlease Equipment</t>
        </is>
      </c>
      <c r="F796" s="3" t="inlineStr">
        <is>
          <t>Repairs and Maintenance – June</t>
        </is>
      </c>
      <c r="G796" s="3" t="inlineStr">
        <is>
          <t>Repairs and Maintenance</t>
        </is>
      </c>
      <c r="H796" s="3" t="inlineStr">
        <is>
          <t>Checking – Operating</t>
        </is>
      </c>
      <c r="I796" s="33" t="n">
        <v>-2018.71</v>
      </c>
      <c r="J796" s="13">
        <f>+J795+I796</f>
        <v>1735914.49</v>
      </c>
      <c r="K796" s="19">
        <f>+EOMONTH(B796,0)</f>
        <v>46203</v>
      </c>
      <c r="L796" s="3" t="inlineStr">
        <is>
          <t>Checking – Operating</t>
        </is>
      </c>
      <c r="M796" s="3" t="inlineStr">
        <is>
          <t>Balance Sheet</t>
        </is>
      </c>
    </row>
    <row r="797">
      <c r="B797" s="39" t="n">
        <v>46194</v>
      </c>
      <c r="C797" s="3" t="inlineStr">
        <is>
          <t>Bill Payment (Check)</t>
        </is>
      </c>
      <c r="D797" s="3" t="inlineStr"/>
      <c r="E797" s="3" t="inlineStr">
        <is>
          <t>Northmoor Waste Services</t>
        </is>
      </c>
      <c r="F797" s="3" t="inlineStr">
        <is>
          <t>Hazard Waste – June</t>
        </is>
      </c>
      <c r="G797" s="3" t="inlineStr">
        <is>
          <t>Accounts Payable</t>
        </is>
      </c>
      <c r="H797" s="3" t="inlineStr">
        <is>
          <t>Checking – Operating</t>
        </is>
      </c>
      <c r="I797" s="33" t="n">
        <v>-921.64</v>
      </c>
      <c r="J797" s="13">
        <f>+J796+I797</f>
        <v>1734992.85</v>
      </c>
      <c r="K797" s="19">
        <f>+EOMONTH(B797,0)</f>
        <v>46203</v>
      </c>
      <c r="L797" s="3" t="inlineStr">
        <is>
          <t>Checking – Operating</t>
        </is>
      </c>
      <c r="M797" s="3" t="inlineStr">
        <is>
          <t>Balance Sheet</t>
        </is>
      </c>
    </row>
    <row r="798">
      <c r="B798" s="39" t="n">
        <v>46194</v>
      </c>
      <c r="C798" s="3" t="inlineStr">
        <is>
          <t>Deposit</t>
        </is>
      </c>
      <c r="D798" s="3" t="inlineStr"/>
      <c r="E798" s="3" t="inlineStr">
        <is>
          <t>State Program B</t>
        </is>
      </c>
      <c r="F798" s="3" t="inlineStr">
        <is>
          <t>ORIG CO NAME:STATE PROG B ORIG ID:XXXXXX2528 DESC DATE:260621 CO ENTRY DESCR:HCCLAIMPMT SEC:CCD TRACE#:XXXXXXXX9077002 EED:260621 IND ID:</t>
        </is>
      </c>
      <c r="G798" s="3" t="inlineStr">
        <is>
          <t>Service Income</t>
        </is>
      </c>
      <c r="H798" s="3" t="inlineStr">
        <is>
          <t>Checking – Operating</t>
        </is>
      </c>
      <c r="I798" s="33" t="n">
        <v>33110.86</v>
      </c>
      <c r="J798" s="13">
        <f>+J797+I798</f>
        <v>1768103.71</v>
      </c>
      <c r="K798" s="19">
        <f>+EOMONTH(B798,0)</f>
        <v>46203</v>
      </c>
      <c r="L798" s="3" t="inlineStr">
        <is>
          <t>Checking – Operating</t>
        </is>
      </c>
      <c r="M798" s="3" t="inlineStr">
        <is>
          <t>Balance Sheet</t>
        </is>
      </c>
    </row>
    <row r="799">
      <c r="B799" s="39" t="n">
        <v>46194</v>
      </c>
      <c r="C799" s="3" t="inlineStr">
        <is>
          <t>Expense</t>
        </is>
      </c>
      <c r="D799" s="3" t="inlineStr"/>
      <c r="E799" s="3" t="inlineStr">
        <is>
          <t>Consultant A</t>
        </is>
      </c>
      <c r="F799" s="3" t="inlineStr">
        <is>
          <t>Professional Fees – June</t>
        </is>
      </c>
      <c r="G799" s="3" t="inlineStr">
        <is>
          <t>Professional Fees</t>
        </is>
      </c>
      <c r="H799" s="3" t="inlineStr">
        <is>
          <t>Checking – Operating</t>
        </is>
      </c>
      <c r="I799" s="33" t="n">
        <v>-5946.59</v>
      </c>
      <c r="J799" s="13">
        <f>+J798+I799</f>
        <v>1762157.12</v>
      </c>
      <c r="K799" s="19">
        <f>+EOMONTH(B799,0)</f>
        <v>46203</v>
      </c>
      <c r="L799" s="3" t="inlineStr">
        <is>
          <t>Checking – Operating</t>
        </is>
      </c>
      <c r="M799" s="3" t="inlineStr">
        <is>
          <t>Balance Sheet</t>
        </is>
      </c>
    </row>
    <row r="800">
      <c r="B800" s="39" t="n">
        <v>46194</v>
      </c>
      <c r="C800" s="3" t="inlineStr">
        <is>
          <t>Journal Entry</t>
        </is>
      </c>
      <c r="D800" s="3" t="inlineStr"/>
      <c r="E800" s="3" t="inlineStr"/>
      <c r="F800" s="3" t="inlineStr">
        <is>
          <t>Car expense – June</t>
        </is>
      </c>
      <c r="G800" s="3" t="inlineStr">
        <is>
          <t>Car expense</t>
        </is>
      </c>
      <c r="H800" s="3" t="inlineStr">
        <is>
          <t>Checking – Operating</t>
        </is>
      </c>
      <c r="I800" s="33" t="n">
        <v>-617.61</v>
      </c>
      <c r="J800" s="13">
        <f>+J799+I800</f>
        <v>1761539.51</v>
      </c>
      <c r="K800" s="19">
        <f>+EOMONTH(B800,0)</f>
        <v>46203</v>
      </c>
      <c r="L800" s="3" t="inlineStr">
        <is>
          <t>Checking – Operating</t>
        </is>
      </c>
      <c r="M800" s="3" t="inlineStr">
        <is>
          <t>Balance Sheet</t>
        </is>
      </c>
    </row>
    <row r="801">
      <c r="B801" s="39" t="n">
        <v>46194</v>
      </c>
      <c r="C801" s="3" t="inlineStr">
        <is>
          <t>Journal Entry</t>
        </is>
      </c>
      <c r="D801" s="3" t="inlineStr"/>
      <c r="E801" s="3" t="inlineStr">
        <is>
          <t>Ledgerquill Billing SaaS</t>
        </is>
      </c>
      <c r="F801" s="3" t="inlineStr">
        <is>
          <t>Software – June</t>
        </is>
      </c>
      <c r="G801" s="3" t="inlineStr">
        <is>
          <t>Software</t>
        </is>
      </c>
      <c r="H801" s="3" t="inlineStr">
        <is>
          <t>Checking – Operating</t>
        </is>
      </c>
      <c r="I801" s="33" t="n">
        <v>-2502.64</v>
      </c>
      <c r="J801" s="13">
        <f>+J800+I801</f>
        <v>1759036.87</v>
      </c>
      <c r="K801" s="19">
        <f>+EOMONTH(B801,0)</f>
        <v>46203</v>
      </c>
      <c r="L801" s="3" t="inlineStr">
        <is>
          <t>Checking – Operating</t>
        </is>
      </c>
      <c r="M801" s="3" t="inlineStr">
        <is>
          <t>Balance Sheet</t>
        </is>
      </c>
    </row>
    <row r="802">
      <c r="B802" s="39" t="n">
        <v>46194</v>
      </c>
      <c r="C802" s="3" t="inlineStr">
        <is>
          <t>Payroll Check</t>
        </is>
      </c>
      <c r="D802" s="3" t="inlineStr"/>
      <c r="E802" s="3" t="inlineStr">
        <is>
          <t>Tessarand Payroll Services</t>
        </is>
      </c>
      <c r="F802" s="3" t="inlineStr">
        <is>
          <t>Payroll – biweekly</t>
        </is>
      </c>
      <c r="G802" s="3" t="inlineStr">
        <is>
          <t>Salaries and Wages</t>
        </is>
      </c>
      <c r="H802" s="3" t="inlineStr">
        <is>
          <t>Checking – Operating</t>
        </is>
      </c>
      <c r="I802" s="33" t="n">
        <v>-174773.73</v>
      </c>
      <c r="J802" s="13">
        <f>+J801+I802</f>
        <v>1584263.14</v>
      </c>
      <c r="K802" s="19">
        <f>+EOMONTH(B802,0)</f>
        <v>46203</v>
      </c>
      <c r="L802" s="3" t="inlineStr">
        <is>
          <t>Checking – Operating</t>
        </is>
      </c>
      <c r="M802" s="3" t="inlineStr">
        <is>
          <t>Balance Sheet</t>
        </is>
      </c>
    </row>
    <row r="803">
      <c r="B803" s="39" t="n">
        <v>46195</v>
      </c>
      <c r="C803" s="3" t="inlineStr">
        <is>
          <t>Bill Payment (Check)</t>
        </is>
      </c>
      <c r="D803" s="3" t="inlineStr"/>
      <c r="E803" s="3" t="inlineStr">
        <is>
          <t>Reagentix Corp</t>
        </is>
      </c>
      <c r="F803" s="3" t="inlineStr">
        <is>
          <t>Lab Expenses – June</t>
        </is>
      </c>
      <c r="G803" s="3" t="inlineStr">
        <is>
          <t>Accounts Payable</t>
        </is>
      </c>
      <c r="H803" s="3" t="inlineStr">
        <is>
          <t>Checking – Operating</t>
        </is>
      </c>
      <c r="I803" s="33" t="n">
        <v>-2488.95</v>
      </c>
      <c r="J803" s="13">
        <f>+J802+I803</f>
        <v>1581774.19</v>
      </c>
      <c r="K803" s="19">
        <f>+EOMONTH(B803,0)</f>
        <v>46203</v>
      </c>
      <c r="L803" s="3" t="inlineStr">
        <is>
          <t>Checking – Operating</t>
        </is>
      </c>
      <c r="M803" s="3" t="inlineStr">
        <is>
          <t>Balance Sheet</t>
        </is>
      </c>
    </row>
    <row r="804">
      <c r="B804" s="39" t="n">
        <v>46195</v>
      </c>
      <c r="C804" s="3" t="inlineStr">
        <is>
          <t>Credit Card Expense</t>
        </is>
      </c>
      <c r="D804" s="3" t="inlineStr"/>
      <c r="E804" s="3" t="inlineStr"/>
      <c r="F804" s="3" t="inlineStr">
        <is>
          <t>Patient refund</t>
        </is>
      </c>
      <c r="G804" s="3" t="inlineStr">
        <is>
          <t>Refunds</t>
        </is>
      </c>
      <c r="H804" s="3" t="inlineStr">
        <is>
          <t>Checking – Operating</t>
        </is>
      </c>
      <c r="I804" s="33" t="n">
        <v>-4272.27</v>
      </c>
      <c r="J804" s="13">
        <f>+J803+I804</f>
        <v>1577501.92</v>
      </c>
      <c r="K804" s="19">
        <f>+EOMONTH(B804,0)</f>
        <v>46203</v>
      </c>
      <c r="L804" s="3" t="inlineStr">
        <is>
          <t>Checking – Operating</t>
        </is>
      </c>
      <c r="M804" s="3" t="inlineStr">
        <is>
          <t>Balance Sheet</t>
        </is>
      </c>
    </row>
    <row r="805">
      <c r="B805" s="39" t="n">
        <v>46195</v>
      </c>
      <c r="C805" s="3" t="inlineStr">
        <is>
          <t>Deposit</t>
        </is>
      </c>
      <c r="D805" s="3" t="inlineStr"/>
      <c r="E805" s="3" t="inlineStr">
        <is>
          <t>State Program B</t>
        </is>
      </c>
      <c r="F805" s="3" t="inlineStr">
        <is>
          <t>ORIG CO NAME:STATE PROG B ORIG ID:XXXXXX6824 DESC DATE:260622 CO ENTRY DESCR:HCCLAIMPMT SEC:CCD TRACE#:XXXXXXXX5236569 EED:260622 IND ID:</t>
        </is>
      </c>
      <c r="G805" s="3" t="inlineStr">
        <is>
          <t>Service Income</t>
        </is>
      </c>
      <c r="H805" s="3" t="inlineStr">
        <is>
          <t>Checking – Operating</t>
        </is>
      </c>
      <c r="I805" s="33" t="n">
        <v>38698.87</v>
      </c>
      <c r="J805" s="13">
        <f>+J804+I805</f>
        <v>1616200.79</v>
      </c>
      <c r="K805" s="19">
        <f>+EOMONTH(B805,0)</f>
        <v>46203</v>
      </c>
      <c r="L805" s="3" t="inlineStr">
        <is>
          <t>Checking – Operating</t>
        </is>
      </c>
      <c r="M805" s="3" t="inlineStr">
        <is>
          <t>Balance Sheet</t>
        </is>
      </c>
    </row>
    <row r="806">
      <c r="B806" s="39" t="n">
        <v>46195</v>
      </c>
      <c r="C806" s="3" t="inlineStr">
        <is>
          <t>Deposit</t>
        </is>
      </c>
      <c r="D806" s="3" t="inlineStr"/>
      <c r="E806" s="3" t="inlineStr">
        <is>
          <t>Silvermoss Senior Living</t>
        </is>
      </c>
      <c r="F806" s="3" t="inlineStr">
        <is>
          <t>ORIG CO NAME:SILVERMOSS SL ORIG ID:XXXXXX3357 DESC DATE:260622 CO ENTRY DESCR:HCCLAIMPMT SEC:CCD TRACE#:XXXXXXXX6953694 EED:260622 IND ID:</t>
        </is>
      </c>
      <c r="G806" s="3" t="inlineStr">
        <is>
          <t>Service Income</t>
        </is>
      </c>
      <c r="H806" s="3" t="inlineStr">
        <is>
          <t>Checking – Operating</t>
        </is>
      </c>
      <c r="I806" s="33" t="n">
        <v>54540.91</v>
      </c>
      <c r="J806" s="13">
        <f>+J805+I806</f>
        <v>1670741.7</v>
      </c>
      <c r="K806" s="19">
        <f>+EOMONTH(B806,0)</f>
        <v>46203</v>
      </c>
      <c r="L806" s="3" t="inlineStr">
        <is>
          <t>Checking – Operating</t>
        </is>
      </c>
      <c r="M806" s="3" t="inlineStr">
        <is>
          <t>Balance Sheet</t>
        </is>
      </c>
    </row>
    <row r="807">
      <c r="B807" s="39" t="n">
        <v>46195</v>
      </c>
      <c r="C807" s="3" t="inlineStr">
        <is>
          <t>Expense</t>
        </is>
      </c>
      <c r="D807" s="3" t="inlineStr"/>
      <c r="E807" s="3" t="inlineStr">
        <is>
          <t>Ledgerquill Billing SaaS</t>
        </is>
      </c>
      <c r="F807" s="3" t="inlineStr">
        <is>
          <t>Dues &amp; Subscriptions – June</t>
        </is>
      </c>
      <c r="G807" s="3" t="inlineStr">
        <is>
          <t>Dues &amp; Subscriptions</t>
        </is>
      </c>
      <c r="H807" s="3" t="inlineStr">
        <is>
          <t>Checking – Operating</t>
        </is>
      </c>
      <c r="I807" s="33" t="n">
        <v>-983.6799999999999</v>
      </c>
      <c r="J807" s="13">
        <f>+J806+I807</f>
        <v>1669758.02</v>
      </c>
      <c r="K807" s="19">
        <f>+EOMONTH(B807,0)</f>
        <v>46203</v>
      </c>
      <c r="L807" s="3" t="inlineStr">
        <is>
          <t>Checking – Operating</t>
        </is>
      </c>
      <c r="M807" s="3" t="inlineStr">
        <is>
          <t>Balance Sheet</t>
        </is>
      </c>
    </row>
    <row r="808">
      <c r="B808" s="39" t="n">
        <v>46195</v>
      </c>
      <c r="C808" s="3" t="inlineStr">
        <is>
          <t>Expense</t>
        </is>
      </c>
      <c r="D808" s="3" t="inlineStr"/>
      <c r="E808" s="3" t="inlineStr">
        <is>
          <t>Tessarand Payroll Services</t>
        </is>
      </c>
      <c r="F808" s="3" t="inlineStr">
        <is>
          <t>Recruitment – June</t>
        </is>
      </c>
      <c r="G808" s="3" t="inlineStr">
        <is>
          <t>Recruitment</t>
        </is>
      </c>
      <c r="H808" s="3" t="inlineStr">
        <is>
          <t>Checking – Operating</t>
        </is>
      </c>
      <c r="I808" s="33" t="n">
        <v>-1117.8</v>
      </c>
      <c r="J808" s="13">
        <f>+J807+I808</f>
        <v>1668640.22</v>
      </c>
      <c r="K808" s="19">
        <f>+EOMONTH(B808,0)</f>
        <v>46203</v>
      </c>
      <c r="L808" s="3" t="inlineStr">
        <is>
          <t>Checking – Operating</t>
        </is>
      </c>
      <c r="M808" s="3" t="inlineStr">
        <is>
          <t>Balance Sheet</t>
        </is>
      </c>
    </row>
    <row r="809">
      <c r="B809" s="39" t="n">
        <v>46195</v>
      </c>
      <c r="C809" s="3" t="inlineStr">
        <is>
          <t>Payroll Check</t>
        </is>
      </c>
      <c r="D809" s="3" t="inlineStr"/>
      <c r="E809" s="3" t="inlineStr">
        <is>
          <t>Tessarand Payroll Services</t>
        </is>
      </c>
      <c r="F809" s="3" t="inlineStr">
        <is>
          <t>Payroll processing fee</t>
        </is>
      </c>
      <c r="G809" s="3" t="inlineStr">
        <is>
          <t>Payroll Processing Fee</t>
        </is>
      </c>
      <c r="H809" s="3" t="inlineStr">
        <is>
          <t>Checking – Operating</t>
        </is>
      </c>
      <c r="I809" s="33" t="n">
        <v>-157.2</v>
      </c>
      <c r="J809" s="13">
        <f>+J808+I809</f>
        <v>1668483.02</v>
      </c>
      <c r="K809" s="19">
        <f>+EOMONTH(B809,0)</f>
        <v>46203</v>
      </c>
      <c r="L809" s="3" t="inlineStr">
        <is>
          <t>Checking – Operating</t>
        </is>
      </c>
      <c r="M809" s="3" t="inlineStr">
        <is>
          <t>Balance Sheet</t>
        </is>
      </c>
    </row>
    <row r="810">
      <c r="B810" s="39" t="n">
        <v>46196</v>
      </c>
      <c r="C810" s="3" t="inlineStr">
        <is>
          <t>Bill Payment (Check)</t>
        </is>
      </c>
      <c r="D810" s="3" t="inlineStr"/>
      <c r="E810" s="3" t="inlineStr">
        <is>
          <t>Northmoor Waste Services</t>
        </is>
      </c>
      <c r="F810" s="3" t="inlineStr">
        <is>
          <t>Waste Removal – June</t>
        </is>
      </c>
      <c r="G810" s="3" t="inlineStr">
        <is>
          <t>Accounts Payable</t>
        </is>
      </c>
      <c r="H810" s="3" t="inlineStr">
        <is>
          <t>Checking – Operating</t>
        </is>
      </c>
      <c r="I810" s="33" t="n">
        <v>-727.7</v>
      </c>
      <c r="J810" s="13">
        <f>+J809+I810</f>
        <v>1667755.32</v>
      </c>
      <c r="K810" s="19">
        <f>+EOMONTH(B810,0)</f>
        <v>46203</v>
      </c>
      <c r="L810" s="3" t="inlineStr">
        <is>
          <t>Checking – Operating</t>
        </is>
      </c>
      <c r="M810" s="3" t="inlineStr">
        <is>
          <t>Balance Sheet</t>
        </is>
      </c>
    </row>
    <row r="811">
      <c r="B811" s="39" t="n">
        <v>46196</v>
      </c>
      <c r="C811" s="3" t="inlineStr">
        <is>
          <t>Credit Card Expense</t>
        </is>
      </c>
      <c r="D811" s="3" t="inlineStr"/>
      <c r="E811" s="3" t="inlineStr"/>
      <c r="F811" s="3" t="inlineStr">
        <is>
          <t>Interest – equipment note</t>
        </is>
      </c>
      <c r="G811" s="3" t="inlineStr">
        <is>
          <t>Interest Expense</t>
        </is>
      </c>
      <c r="H811" s="3" t="inlineStr">
        <is>
          <t>Checking – Operating</t>
        </is>
      </c>
      <c r="I811" s="33" t="n">
        <v>-1533.1</v>
      </c>
      <c r="J811" s="13">
        <f>+J810+I811</f>
        <v>1666222.22</v>
      </c>
      <c r="K811" s="19">
        <f>+EOMONTH(B811,0)</f>
        <v>46203</v>
      </c>
      <c r="L811" s="3" t="inlineStr">
        <is>
          <t>Checking – Operating</t>
        </is>
      </c>
      <c r="M811" s="3" t="inlineStr">
        <is>
          <t>Balance Sheet</t>
        </is>
      </c>
    </row>
    <row r="812">
      <c r="B812" s="39" t="n">
        <v>46196</v>
      </c>
      <c r="C812" s="3" t="inlineStr">
        <is>
          <t>Credit Card Expense</t>
        </is>
      </c>
      <c r="D812" s="3" t="inlineStr"/>
      <c r="E812" s="3" t="inlineStr"/>
      <c r="F812" s="3" t="inlineStr">
        <is>
          <t>Patient refund</t>
        </is>
      </c>
      <c r="G812" s="3" t="inlineStr">
        <is>
          <t>Refunds</t>
        </is>
      </c>
      <c r="H812" s="3" t="inlineStr">
        <is>
          <t>Checking – Operating</t>
        </is>
      </c>
      <c r="I812" s="33" t="n">
        <v>-2490.76</v>
      </c>
      <c r="J812" s="13">
        <f>+J811+I812</f>
        <v>1663731.46</v>
      </c>
      <c r="K812" s="19">
        <f>+EOMONTH(B812,0)</f>
        <v>46203</v>
      </c>
      <c r="L812" s="3" t="inlineStr">
        <is>
          <t>Checking – Operating</t>
        </is>
      </c>
      <c r="M812" s="3" t="inlineStr">
        <is>
          <t>Balance Sheet</t>
        </is>
      </c>
    </row>
    <row r="813">
      <c r="B813" s="39" t="n">
        <v>46196</v>
      </c>
      <c r="C813" s="3" t="inlineStr">
        <is>
          <t>Deposit</t>
        </is>
      </c>
      <c r="D813" s="3" t="inlineStr"/>
      <c r="E813" s="3" t="inlineStr">
        <is>
          <t>Quayside Choice Senior Plan</t>
        </is>
      </c>
      <c r="F813" s="3" t="inlineStr">
        <is>
          <t>ORIG CO NAME:QUAYSIDE CHOICE SP ORIG ID:XXXXXX7216 DESC DATE:260623 CO ENTRY DESCR:HCCLAIMPMT SEC:CCD TRACE#:XXXXXXXX7045025 EED:260623 IND ID:</t>
        </is>
      </c>
      <c r="G813" s="3" t="inlineStr">
        <is>
          <t>Service Income</t>
        </is>
      </c>
      <c r="H813" s="3" t="inlineStr">
        <is>
          <t>Checking – Operating</t>
        </is>
      </c>
      <c r="I813" s="33" t="n">
        <v>38220.78</v>
      </c>
      <c r="J813" s="13">
        <f>+J812+I813</f>
        <v>1701952.24</v>
      </c>
      <c r="K813" s="19">
        <f>+EOMONTH(B813,0)</f>
        <v>46203</v>
      </c>
      <c r="L813" s="3" t="inlineStr">
        <is>
          <t>Checking – Operating</t>
        </is>
      </c>
      <c r="M813" s="3" t="inlineStr">
        <is>
          <t>Balance Sheet</t>
        </is>
      </c>
    </row>
    <row r="814">
      <c r="B814" s="39" t="n">
        <v>46196</v>
      </c>
      <c r="C814" s="3" t="inlineStr">
        <is>
          <t>Expense</t>
        </is>
      </c>
      <c r="D814" s="3" t="inlineStr"/>
      <c r="E814" s="3" t="inlineStr"/>
      <c r="F814" s="3" t="inlineStr">
        <is>
          <t>Interest – equipment note</t>
        </is>
      </c>
      <c r="G814" s="3" t="inlineStr">
        <is>
          <t>Interest Expense</t>
        </is>
      </c>
      <c r="H814" s="3" t="inlineStr">
        <is>
          <t>Checking – Operating</t>
        </is>
      </c>
      <c r="I814" s="33" t="n">
        <v>-1666.9</v>
      </c>
      <c r="J814" s="13">
        <f>+J813+I814</f>
        <v>1700285.34</v>
      </c>
      <c r="K814" s="19">
        <f>+EOMONTH(B814,0)</f>
        <v>46203</v>
      </c>
      <c r="L814" s="3" t="inlineStr">
        <is>
          <t>Checking – Operating</t>
        </is>
      </c>
      <c r="M814" s="3" t="inlineStr">
        <is>
          <t>Balance Sheet</t>
        </is>
      </c>
    </row>
    <row r="815">
      <c r="B815" s="39" t="n">
        <v>46196</v>
      </c>
      <c r="C815" s="3" t="inlineStr">
        <is>
          <t>Expense</t>
        </is>
      </c>
      <c r="D815" s="3" t="inlineStr"/>
      <c r="E815" s="3" t="inlineStr">
        <is>
          <t>Swiftmere Courier</t>
        </is>
      </c>
      <c r="F815" s="3" t="inlineStr">
        <is>
          <t>Postage and Delivery – June</t>
        </is>
      </c>
      <c r="G815" s="3" t="inlineStr">
        <is>
          <t>Postage and Delivery</t>
        </is>
      </c>
      <c r="H815" s="3" t="inlineStr">
        <is>
          <t>Checking – Operating</t>
        </is>
      </c>
      <c r="I815" s="33" t="n">
        <v>-800</v>
      </c>
      <c r="J815" s="13">
        <f>+J814+I815</f>
        <v>1699485.34</v>
      </c>
      <c r="K815" s="19">
        <f>+EOMONTH(B815,0)</f>
        <v>46203</v>
      </c>
      <c r="L815" s="3" t="inlineStr">
        <is>
          <t>Checking – Operating</t>
        </is>
      </c>
      <c r="M815" s="3" t="inlineStr">
        <is>
          <t>Balance Sheet</t>
        </is>
      </c>
    </row>
    <row r="816">
      <c r="B816" s="39" t="n">
        <v>46196</v>
      </c>
      <c r="C816" s="3" t="inlineStr">
        <is>
          <t>Expense</t>
        </is>
      </c>
      <c r="D816" s="3" t="inlineStr"/>
      <c r="E816" s="3" t="inlineStr"/>
      <c r="F816" s="3" t="inlineStr">
        <is>
          <t>Property tax installment</t>
        </is>
      </c>
      <c r="G816" s="3" t="inlineStr">
        <is>
          <t>Property tax</t>
        </is>
      </c>
      <c r="H816" s="3" t="inlineStr">
        <is>
          <t>Checking – Operating</t>
        </is>
      </c>
      <c r="I816" s="33" t="n">
        <v>-1103.98</v>
      </c>
      <c r="J816" s="13">
        <f>+J815+I816</f>
        <v>1698381.36</v>
      </c>
      <c r="K816" s="19">
        <f>+EOMONTH(B816,0)</f>
        <v>46203</v>
      </c>
      <c r="L816" s="3" t="inlineStr">
        <is>
          <t>Checking – Operating</t>
        </is>
      </c>
      <c r="M816" s="3" t="inlineStr">
        <is>
          <t>Balance Sheet</t>
        </is>
      </c>
    </row>
    <row r="817">
      <c r="B817" s="39" t="n">
        <v>46197</v>
      </c>
      <c r="C817" s="3" t="inlineStr">
        <is>
          <t>Bill Payment (Check)</t>
        </is>
      </c>
      <c r="D817" s="3" t="inlineStr"/>
      <c r="E817" s="3" t="inlineStr">
        <is>
          <t>Reagentix Corp</t>
        </is>
      </c>
      <c r="F817" s="3" t="inlineStr">
        <is>
          <t>Lab supplies PO# F2460</t>
        </is>
      </c>
      <c r="G817" s="3" t="inlineStr">
        <is>
          <t>Accounts Payable</t>
        </is>
      </c>
      <c r="H817" s="3" t="inlineStr">
        <is>
          <t>Checking – Operating</t>
        </is>
      </c>
      <c r="I817" s="33" t="n">
        <v>-14715.61</v>
      </c>
      <c r="J817" s="13">
        <f>+J816+I817</f>
        <v>1683665.75</v>
      </c>
      <c r="K817" s="19">
        <f>+EOMONTH(B817,0)</f>
        <v>46203</v>
      </c>
      <c r="L817" s="3" t="inlineStr">
        <is>
          <t>Checking – Operating</t>
        </is>
      </c>
      <c r="M817" s="3" t="inlineStr">
        <is>
          <t>Balance Sheet</t>
        </is>
      </c>
    </row>
    <row r="818">
      <c r="B818" s="39" t="n">
        <v>46197</v>
      </c>
      <c r="C818" s="3" t="inlineStr">
        <is>
          <t>Bill Payment (Check)</t>
        </is>
      </c>
      <c r="D818" s="3" t="inlineStr"/>
      <c r="E818" s="3" t="inlineStr">
        <is>
          <t>Tarrowmere Mutual Insurance</t>
        </is>
      </c>
      <c r="F818" s="3" t="inlineStr">
        <is>
          <t>Premium installment</t>
        </is>
      </c>
      <c r="G818" s="3" t="inlineStr">
        <is>
          <t>Accounts Payable</t>
        </is>
      </c>
      <c r="H818" s="3" t="inlineStr">
        <is>
          <t>Checking – Operating</t>
        </is>
      </c>
      <c r="I818" s="33" t="n">
        <v>-4123.45</v>
      </c>
      <c r="J818" s="13">
        <f>+J817+I818</f>
        <v>1679542.3</v>
      </c>
      <c r="K818" s="19">
        <f>+EOMONTH(B818,0)</f>
        <v>46203</v>
      </c>
      <c r="L818" s="3" t="inlineStr">
        <is>
          <t>Checking – Operating</t>
        </is>
      </c>
      <c r="M818" s="3" t="inlineStr">
        <is>
          <t>Balance Sheet</t>
        </is>
      </c>
    </row>
    <row r="819">
      <c r="B819" s="39" t="n">
        <v>46197</v>
      </c>
      <c r="C819" s="3" t="inlineStr">
        <is>
          <t>Journal Entry</t>
        </is>
      </c>
      <c r="D819" s="3" t="inlineStr"/>
      <c r="E819" s="3" t="inlineStr">
        <is>
          <t>Ledgerquill Billing SaaS</t>
        </is>
      </c>
      <c r="F819" s="3" t="inlineStr">
        <is>
          <t>Interface Service – June</t>
        </is>
      </c>
      <c r="G819" s="3" t="inlineStr">
        <is>
          <t>Interface Service</t>
        </is>
      </c>
      <c r="H819" s="3" t="inlineStr">
        <is>
          <t>Checking – Operating</t>
        </is>
      </c>
      <c r="I819" s="33" t="n">
        <v>-1815.64</v>
      </c>
      <c r="J819" s="13">
        <f>+J818+I819</f>
        <v>1677726.66</v>
      </c>
      <c r="K819" s="19">
        <f>+EOMONTH(B819,0)</f>
        <v>46203</v>
      </c>
      <c r="L819" s="3" t="inlineStr">
        <is>
          <t>Checking – Operating</t>
        </is>
      </c>
      <c r="M819" s="3" t="inlineStr">
        <is>
          <t>Balance Sheet</t>
        </is>
      </c>
    </row>
    <row r="820">
      <c r="B820" s="39" t="n">
        <v>46198</v>
      </c>
      <c r="C820" s="3" t="inlineStr">
        <is>
          <t>Bill Payment (Check)</t>
        </is>
      </c>
      <c r="D820" s="3" t="inlineStr"/>
      <c r="E820" s="3" t="inlineStr">
        <is>
          <t>Vialtrace Lab Supplies Inc</t>
        </is>
      </c>
      <c r="F820" s="3" t="inlineStr">
        <is>
          <t>Lab Expenses – June</t>
        </is>
      </c>
      <c r="G820" s="3" t="inlineStr">
        <is>
          <t>Accounts Payable</t>
        </is>
      </c>
      <c r="H820" s="3" t="inlineStr">
        <is>
          <t>Checking – Operating</t>
        </is>
      </c>
      <c r="I820" s="33" t="n">
        <v>-4024.4</v>
      </c>
      <c r="J820" s="13">
        <f>+J819+I820</f>
        <v>1673702.26</v>
      </c>
      <c r="K820" s="19">
        <f>+EOMONTH(B820,0)</f>
        <v>46203</v>
      </c>
      <c r="L820" s="3" t="inlineStr">
        <is>
          <t>Checking – Operating</t>
        </is>
      </c>
      <c r="M820" s="3" t="inlineStr">
        <is>
          <t>Balance Sheet</t>
        </is>
      </c>
    </row>
    <row r="821">
      <c r="B821" s="39" t="n">
        <v>46198</v>
      </c>
      <c r="C821" s="3" t="inlineStr">
        <is>
          <t>Bill Payment (Check)</t>
        </is>
      </c>
      <c r="D821" s="3" t="inlineStr"/>
      <c r="E821" s="3" t="inlineStr">
        <is>
          <t>Tarrowmere Mutual Insurance</t>
        </is>
      </c>
      <c r="F821" s="3" t="inlineStr">
        <is>
          <t>Benefits – June</t>
        </is>
      </c>
      <c r="G821" s="3" t="inlineStr">
        <is>
          <t>Accounts Payable</t>
        </is>
      </c>
      <c r="H821" s="3" t="inlineStr">
        <is>
          <t>Checking – Operating</t>
        </is>
      </c>
      <c r="I821" s="33" t="n">
        <v>-5174.01</v>
      </c>
      <c r="J821" s="13">
        <f>+J820+I821</f>
        <v>1668528.25</v>
      </c>
      <c r="K821" s="19">
        <f>+EOMONTH(B821,0)</f>
        <v>46203</v>
      </c>
      <c r="L821" s="3" t="inlineStr">
        <is>
          <t>Checking – Operating</t>
        </is>
      </c>
      <c r="M821" s="3" t="inlineStr">
        <is>
          <t>Balance Sheet</t>
        </is>
      </c>
    </row>
    <row r="822">
      <c r="B822" s="39" t="n">
        <v>46198</v>
      </c>
      <c r="C822" s="3" t="inlineStr">
        <is>
          <t>Expense</t>
        </is>
      </c>
      <c r="D822" s="3" t="inlineStr"/>
      <c r="E822" s="3" t="inlineStr"/>
      <c r="F822" s="3" t="inlineStr">
        <is>
          <t>Patient refund</t>
        </is>
      </c>
      <c r="G822" s="3" t="inlineStr">
        <is>
          <t>Refunds</t>
        </is>
      </c>
      <c r="H822" s="3" t="inlineStr">
        <is>
          <t>Checking – Operating</t>
        </is>
      </c>
      <c r="I822" s="33" t="n">
        <v>-4945.36</v>
      </c>
      <c r="J822" s="13">
        <f>+J821+I822</f>
        <v>1663582.89</v>
      </c>
      <c r="K822" s="19">
        <f>+EOMONTH(B822,0)</f>
        <v>46203</v>
      </c>
      <c r="L822" s="3" t="inlineStr">
        <is>
          <t>Checking – Operating</t>
        </is>
      </c>
      <c r="M822" s="3" t="inlineStr">
        <is>
          <t>Balance Sheet</t>
        </is>
      </c>
    </row>
    <row r="823">
      <c r="B823" s="39" t="n">
        <v>46198</v>
      </c>
      <c r="C823" s="3" t="inlineStr">
        <is>
          <t>Expense</t>
        </is>
      </c>
      <c r="D823" s="3" t="inlineStr"/>
      <c r="E823" s="3" t="inlineStr">
        <is>
          <t>Ledgerquill Billing SaaS</t>
        </is>
      </c>
      <c r="F823" s="3" t="inlineStr">
        <is>
          <t>Lab EMR Service – June</t>
        </is>
      </c>
      <c r="G823" s="3" t="inlineStr">
        <is>
          <t>Lab EMR Service</t>
        </is>
      </c>
      <c r="H823" s="3" t="inlineStr">
        <is>
          <t>Checking – Operating</t>
        </is>
      </c>
      <c r="I823" s="33" t="n">
        <v>-3695.54</v>
      </c>
      <c r="J823" s="13">
        <f>+J822+I823</f>
        <v>1659887.35</v>
      </c>
      <c r="K823" s="19">
        <f>+EOMONTH(B823,0)</f>
        <v>46203</v>
      </c>
      <c r="L823" s="3" t="inlineStr">
        <is>
          <t>Checking – Operating</t>
        </is>
      </c>
      <c r="M823" s="3" t="inlineStr">
        <is>
          <t>Balance Sheet</t>
        </is>
      </c>
    </row>
    <row r="824">
      <c r="B824" s="39" t="n">
        <v>46198</v>
      </c>
      <c r="C824" s="3" t="inlineStr">
        <is>
          <t>Journal Entry</t>
        </is>
      </c>
      <c r="D824" s="3" t="inlineStr"/>
      <c r="E824" s="3" t="inlineStr"/>
      <c r="F824" s="3" t="inlineStr">
        <is>
          <t>Car expense – June</t>
        </is>
      </c>
      <c r="G824" s="3" t="inlineStr">
        <is>
          <t>Car expense</t>
        </is>
      </c>
      <c r="H824" s="3" t="inlineStr">
        <is>
          <t>Checking – Operating</t>
        </is>
      </c>
      <c r="I824" s="33" t="n">
        <v>-672.39</v>
      </c>
      <c r="J824" s="13">
        <f>+J823+I824</f>
        <v>1659214.96</v>
      </c>
      <c r="K824" s="19">
        <f>+EOMONTH(B824,0)</f>
        <v>46203</v>
      </c>
      <c r="L824" s="3" t="inlineStr">
        <is>
          <t>Checking – Operating</t>
        </is>
      </c>
      <c r="M824" s="3" t="inlineStr">
        <is>
          <t>Balance Sheet</t>
        </is>
      </c>
    </row>
    <row r="825">
      <c r="B825" s="39" t="n">
        <v>46198</v>
      </c>
      <c r="C825" s="3" t="inlineStr">
        <is>
          <t>Journal Entry</t>
        </is>
      </c>
      <c r="D825" s="3" t="inlineStr"/>
      <c r="E825" s="3" t="inlineStr"/>
      <c r="F825" s="3" t="inlineStr">
        <is>
          <t>Gas – June</t>
        </is>
      </c>
      <c r="G825" s="3" t="inlineStr">
        <is>
          <t>Gas</t>
        </is>
      </c>
      <c r="H825" s="3" t="inlineStr">
        <is>
          <t>Checking – Operating</t>
        </is>
      </c>
      <c r="I825" s="33" t="n">
        <v>-840.67</v>
      </c>
      <c r="J825" s="13">
        <f>+J824+I825</f>
        <v>1658374.29</v>
      </c>
      <c r="K825" s="19">
        <f>+EOMONTH(B825,0)</f>
        <v>46203</v>
      </c>
      <c r="L825" s="3" t="inlineStr">
        <is>
          <t>Checking – Operating</t>
        </is>
      </c>
      <c r="M825" s="3" t="inlineStr">
        <is>
          <t>Balance Sheet</t>
        </is>
      </c>
    </row>
    <row r="826">
      <c r="B826" s="39" t="n">
        <v>46199</v>
      </c>
      <c r="C826" s="3" t="inlineStr">
        <is>
          <t>Bill Payment (Check)</t>
        </is>
      </c>
      <c r="D826" s="3" t="inlineStr"/>
      <c r="E826" s="3" t="inlineStr">
        <is>
          <t>Reagentix Corp</t>
        </is>
      </c>
      <c r="F826" s="3" t="inlineStr">
        <is>
          <t>Lab Expenses – June</t>
        </is>
      </c>
      <c r="G826" s="3" t="inlineStr">
        <is>
          <t>Accounts Payable</t>
        </is>
      </c>
      <c r="H826" s="3" t="inlineStr">
        <is>
          <t>Checking – Operating</t>
        </is>
      </c>
      <c r="I826" s="33" t="n">
        <v>-4204.33</v>
      </c>
      <c r="J826" s="13">
        <f>+J825+I826</f>
        <v>1654169.96</v>
      </c>
      <c r="K826" s="19">
        <f>+EOMONTH(B826,0)</f>
        <v>46203</v>
      </c>
      <c r="L826" s="3" t="inlineStr">
        <is>
          <t>Checking – Operating</t>
        </is>
      </c>
      <c r="M826" s="3" t="inlineStr">
        <is>
          <t>Balance Sheet</t>
        </is>
      </c>
    </row>
    <row r="827">
      <c r="B827" s="39" t="n">
        <v>46199</v>
      </c>
      <c r="C827" s="3" t="inlineStr">
        <is>
          <t>Bill Payment (Check)</t>
        </is>
      </c>
      <c r="D827" s="3" t="inlineStr"/>
      <c r="E827" s="3" t="inlineStr">
        <is>
          <t>Lumenlease Equipment</t>
        </is>
      </c>
      <c r="F827" s="3" t="inlineStr">
        <is>
          <t>Equipment Lease – June</t>
        </is>
      </c>
      <c r="G827" s="3" t="inlineStr">
        <is>
          <t>Accounts Payable</t>
        </is>
      </c>
      <c r="H827" s="3" t="inlineStr">
        <is>
          <t>Checking – Operating</t>
        </is>
      </c>
      <c r="I827" s="33" t="n">
        <v>-3670.91</v>
      </c>
      <c r="J827" s="13">
        <f>+J826+I827</f>
        <v>1650499.05</v>
      </c>
      <c r="K827" s="19">
        <f>+EOMONTH(B827,0)</f>
        <v>46203</v>
      </c>
      <c r="L827" s="3" t="inlineStr">
        <is>
          <t>Checking – Operating</t>
        </is>
      </c>
      <c r="M827" s="3" t="inlineStr">
        <is>
          <t>Balance Sheet</t>
        </is>
      </c>
    </row>
    <row r="828">
      <c r="B828" s="39" t="n">
        <v>46199</v>
      </c>
      <c r="C828" s="3" t="inlineStr">
        <is>
          <t>Bill Payment (Check)</t>
        </is>
      </c>
      <c r="D828" s="3" t="inlineStr"/>
      <c r="E828" s="3" t="inlineStr">
        <is>
          <t>Ledgerquill Billing SaaS</t>
        </is>
      </c>
      <c r="F828" s="3" t="inlineStr">
        <is>
          <t>Billing Software as a Service – June</t>
        </is>
      </c>
      <c r="G828" s="3" t="inlineStr">
        <is>
          <t>Accounts Payable</t>
        </is>
      </c>
      <c r="H828" s="3" t="inlineStr">
        <is>
          <t>Checking – Operating</t>
        </is>
      </c>
      <c r="I828" s="33" t="n">
        <v>-11332.06</v>
      </c>
      <c r="J828" s="13">
        <f>+J827+I828</f>
        <v>1639166.99</v>
      </c>
      <c r="K828" s="19">
        <f>+EOMONTH(B828,0)</f>
        <v>46203</v>
      </c>
      <c r="L828" s="3" t="inlineStr">
        <is>
          <t>Checking – Operating</t>
        </is>
      </c>
      <c r="M828" s="3" t="inlineStr">
        <is>
          <t>Balance Sheet</t>
        </is>
      </c>
    </row>
    <row r="829">
      <c r="B829" s="39" t="n">
        <v>46199</v>
      </c>
      <c r="C829" s="3" t="inlineStr">
        <is>
          <t>Credit Card Expense</t>
        </is>
      </c>
      <c r="D829" s="3" t="inlineStr"/>
      <c r="E829" s="3" t="inlineStr">
        <is>
          <t>Consultant A</t>
        </is>
      </c>
      <c r="F829" s="3" t="inlineStr">
        <is>
          <t>Accounting Service – June</t>
        </is>
      </c>
      <c r="G829" s="3" t="inlineStr">
        <is>
          <t>Accounting Service</t>
        </is>
      </c>
      <c r="H829" s="3" t="inlineStr">
        <is>
          <t>Checking – Operating</t>
        </is>
      </c>
      <c r="I829" s="33" t="n">
        <v>-2517.13</v>
      </c>
      <c r="J829" s="13">
        <f>+J828+I829</f>
        <v>1636649.86</v>
      </c>
      <c r="K829" s="19">
        <f>+EOMONTH(B829,0)</f>
        <v>46203</v>
      </c>
      <c r="L829" s="3" t="inlineStr">
        <is>
          <t>Checking – Operating</t>
        </is>
      </c>
      <c r="M829" s="3" t="inlineStr">
        <is>
          <t>Balance Sheet</t>
        </is>
      </c>
    </row>
    <row r="830">
      <c r="B830" s="39" t="n">
        <v>46199</v>
      </c>
      <c r="C830" s="3" t="inlineStr">
        <is>
          <t>Credit Card Expense</t>
        </is>
      </c>
      <c r="D830" s="3" t="inlineStr"/>
      <c r="E830" s="3" t="inlineStr">
        <is>
          <t>Ledgerquill Billing SaaS</t>
        </is>
      </c>
      <c r="F830" s="3" t="inlineStr">
        <is>
          <t>Interface Service – June</t>
        </is>
      </c>
      <c r="G830" s="3" t="inlineStr">
        <is>
          <t>Interface Service</t>
        </is>
      </c>
      <c r="H830" s="3" t="inlineStr">
        <is>
          <t>Checking – Operating</t>
        </is>
      </c>
      <c r="I830" s="33" t="n">
        <v>-1824.36</v>
      </c>
      <c r="J830" s="13">
        <f>+J829+I830</f>
        <v>1634825.5</v>
      </c>
      <c r="K830" s="19">
        <f>+EOMONTH(B830,0)</f>
        <v>46203</v>
      </c>
      <c r="L830" s="3" t="inlineStr">
        <is>
          <t>Checking – Operating</t>
        </is>
      </c>
      <c r="M830" s="3" t="inlineStr">
        <is>
          <t>Balance Sheet</t>
        </is>
      </c>
    </row>
    <row r="831">
      <c r="B831" s="39" t="n">
        <v>46199</v>
      </c>
      <c r="C831" s="3" t="inlineStr">
        <is>
          <t>Expense</t>
        </is>
      </c>
      <c r="D831" s="3" t="inlineStr"/>
      <c r="E831" s="3" t="inlineStr"/>
      <c r="F831" s="3" t="inlineStr">
        <is>
          <t>Reimbursement – June</t>
        </is>
      </c>
      <c r="G831" s="3" t="inlineStr">
        <is>
          <t>Reimbursement</t>
        </is>
      </c>
      <c r="H831" s="3" t="inlineStr">
        <is>
          <t>Checking – Operating</t>
        </is>
      </c>
      <c r="I831" s="33" t="n">
        <v>-1186.6</v>
      </c>
      <c r="J831" s="13">
        <f>+J830+I831</f>
        <v>1633638.9</v>
      </c>
      <c r="K831" s="19">
        <f>+EOMONTH(B831,0)</f>
        <v>46203</v>
      </c>
      <c r="L831" s="3" t="inlineStr">
        <is>
          <t>Checking – Operating</t>
        </is>
      </c>
      <c r="M831" s="3" t="inlineStr">
        <is>
          <t>Balance Sheet</t>
        </is>
      </c>
    </row>
    <row r="832">
      <c r="B832" s="39" t="n">
        <v>46199</v>
      </c>
      <c r="C832" s="3" t="inlineStr">
        <is>
          <t>Expense</t>
        </is>
      </c>
      <c r="D832" s="3" t="inlineStr"/>
      <c r="E832" s="3" t="inlineStr">
        <is>
          <t>Tessarand Payroll Services</t>
        </is>
      </c>
      <c r="F832" s="3" t="inlineStr">
        <is>
          <t>Sales and Marketing Expenses – June</t>
        </is>
      </c>
      <c r="G832" s="3" t="inlineStr">
        <is>
          <t>Sales and Marketing Expenses</t>
        </is>
      </c>
      <c r="H832" s="3" t="inlineStr">
        <is>
          <t>Checking – Operating</t>
        </is>
      </c>
      <c r="I832" s="33" t="n">
        <v>-22708.77</v>
      </c>
      <c r="J832" s="13">
        <f>+J831+I832</f>
        <v>1610930.13</v>
      </c>
      <c r="K832" s="19">
        <f>+EOMONTH(B832,0)</f>
        <v>46203</v>
      </c>
      <c r="L832" s="3" t="inlineStr">
        <is>
          <t>Checking – Operating</t>
        </is>
      </c>
      <c r="M832" s="3" t="inlineStr">
        <is>
          <t>Balance Sheet</t>
        </is>
      </c>
    </row>
    <row r="833">
      <c r="B833" s="39" t="n">
        <v>46200</v>
      </c>
      <c r="C833" s="3" t="inlineStr">
        <is>
          <t>Bill Payment (Check)</t>
        </is>
      </c>
      <c r="D833" s="3" t="inlineStr"/>
      <c r="E833" s="3" t="inlineStr">
        <is>
          <t>Reagentix Corp</t>
        </is>
      </c>
      <c r="F833" s="3" t="inlineStr">
        <is>
          <t>Lab supplies PO# F2264</t>
        </is>
      </c>
      <c r="G833" s="3" t="inlineStr">
        <is>
          <t>Accounts Payable</t>
        </is>
      </c>
      <c r="H833" s="3" t="inlineStr">
        <is>
          <t>Checking – Operating</t>
        </is>
      </c>
      <c r="I833" s="33" t="n">
        <v>-16316.8</v>
      </c>
      <c r="J833" s="13">
        <f>+J832+I833</f>
        <v>1594613.33</v>
      </c>
      <c r="K833" s="19">
        <f>+EOMONTH(B833,0)</f>
        <v>46203</v>
      </c>
      <c r="L833" s="3" t="inlineStr">
        <is>
          <t>Checking – Operating</t>
        </is>
      </c>
      <c r="M833" s="3" t="inlineStr">
        <is>
          <t>Balance Sheet</t>
        </is>
      </c>
    </row>
    <row r="834">
      <c r="B834" s="39" t="n">
        <v>46200</v>
      </c>
      <c r="C834" s="3" t="inlineStr">
        <is>
          <t>Credit Card Expense</t>
        </is>
      </c>
      <c r="D834" s="3" t="inlineStr"/>
      <c r="E834" s="3" t="inlineStr"/>
      <c r="F834" s="3" t="inlineStr">
        <is>
          <t>Automobile Expense – June</t>
        </is>
      </c>
      <c r="G834" s="3" t="inlineStr">
        <is>
          <t>Automobile Expense</t>
        </is>
      </c>
      <c r="H834" s="3" t="inlineStr">
        <is>
          <t>Checking – Operating</t>
        </is>
      </c>
      <c r="I834" s="33" t="n">
        <v>-966.29</v>
      </c>
      <c r="J834" s="13">
        <f>+J833+I834</f>
        <v>1593647.04</v>
      </c>
      <c r="K834" s="19">
        <f>+EOMONTH(B834,0)</f>
        <v>46203</v>
      </c>
      <c r="L834" s="3" t="inlineStr">
        <is>
          <t>Checking – Operating</t>
        </is>
      </c>
      <c r="M834" s="3" t="inlineStr">
        <is>
          <t>Balance Sheet</t>
        </is>
      </c>
    </row>
    <row r="835">
      <c r="B835" s="39" t="n">
        <v>46200</v>
      </c>
      <c r="C835" s="3" t="inlineStr">
        <is>
          <t>Expense</t>
        </is>
      </c>
      <c r="D835" s="3" t="inlineStr"/>
      <c r="E835" s="3" t="inlineStr">
        <is>
          <t>Tessarand Payroll Services</t>
        </is>
      </c>
      <c r="F835" s="3" t="inlineStr">
        <is>
          <t>Contractors – June</t>
        </is>
      </c>
      <c r="G835" s="3" t="inlineStr">
        <is>
          <t>Contractors</t>
        </is>
      </c>
      <c r="H835" s="3" t="inlineStr">
        <is>
          <t>Checking – Operating</t>
        </is>
      </c>
      <c r="I835" s="33" t="n">
        <v>-6422.93</v>
      </c>
      <c r="J835" s="13">
        <f>+J834+I835</f>
        <v>1587224.11</v>
      </c>
      <c r="K835" s="19">
        <f>+EOMONTH(B835,0)</f>
        <v>46203</v>
      </c>
      <c r="L835" s="3" t="inlineStr">
        <is>
          <t>Checking – Operating</t>
        </is>
      </c>
      <c r="M835" s="3" t="inlineStr">
        <is>
          <t>Balance Sheet</t>
        </is>
      </c>
    </row>
    <row r="836">
      <c r="B836" s="39" t="n">
        <v>46201</v>
      </c>
      <c r="C836" s="3" t="inlineStr">
        <is>
          <t>Bill Payment (Check)</t>
        </is>
      </c>
      <c r="D836" s="3" t="inlineStr"/>
      <c r="E836" s="3" t="inlineStr">
        <is>
          <t>Reagentix Corp</t>
        </is>
      </c>
      <c r="F836" s="3" t="inlineStr">
        <is>
          <t>Lab supplies PO# F2780</t>
        </is>
      </c>
      <c r="G836" s="3" t="inlineStr">
        <is>
          <t>Accounts Payable</t>
        </is>
      </c>
      <c r="H836" s="3" t="inlineStr">
        <is>
          <t>Checking – Operating</t>
        </is>
      </c>
      <c r="I836" s="33" t="n">
        <v>-9237.35</v>
      </c>
      <c r="J836" s="13">
        <f>+J835+I836</f>
        <v>1577986.76</v>
      </c>
      <c r="K836" s="19">
        <f>+EOMONTH(B836,0)</f>
        <v>46203</v>
      </c>
      <c r="L836" s="3" t="inlineStr">
        <is>
          <t>Checking – Operating</t>
        </is>
      </c>
      <c r="M836" s="3" t="inlineStr">
        <is>
          <t>Balance Sheet</t>
        </is>
      </c>
    </row>
    <row r="837">
      <c r="B837" s="39" t="n">
        <v>46201</v>
      </c>
      <c r="C837" s="3" t="inlineStr">
        <is>
          <t>Bill Payment (Check)</t>
        </is>
      </c>
      <c r="D837" s="3" t="inlineStr"/>
      <c r="E837" s="3" t="inlineStr">
        <is>
          <t>Tarrowmere Mutual Insurance</t>
        </is>
      </c>
      <c r="F837" s="3" t="inlineStr">
        <is>
          <t>Premium installment</t>
        </is>
      </c>
      <c r="G837" s="3" t="inlineStr">
        <is>
          <t>Accounts Payable</t>
        </is>
      </c>
      <c r="H837" s="3" t="inlineStr">
        <is>
          <t>Checking – Operating</t>
        </is>
      </c>
      <c r="I837" s="33" t="n">
        <v>-5488.9</v>
      </c>
      <c r="J837" s="13">
        <f>+J836+I837</f>
        <v>1572497.86</v>
      </c>
      <c r="K837" s="19">
        <f>+EOMONTH(B837,0)</f>
        <v>46203</v>
      </c>
      <c r="L837" s="3" t="inlineStr">
        <is>
          <t>Checking – Operating</t>
        </is>
      </c>
      <c r="M837" s="3" t="inlineStr">
        <is>
          <t>Balance Sheet</t>
        </is>
      </c>
    </row>
    <row r="838">
      <c r="B838" s="39" t="n">
        <v>46201</v>
      </c>
      <c r="C838" s="3" t="inlineStr">
        <is>
          <t>Credit Card Expense</t>
        </is>
      </c>
      <c r="D838" s="3" t="inlineStr"/>
      <c r="E838" s="3" t="inlineStr"/>
      <c r="F838" s="3" t="inlineStr">
        <is>
          <t>Business Meetings &amp; Development – June</t>
        </is>
      </c>
      <c r="G838" s="3" t="inlineStr">
        <is>
          <t>Business Meetings &amp; Development</t>
        </is>
      </c>
      <c r="H838" s="3" t="inlineStr">
        <is>
          <t>Checking – Operating</t>
        </is>
      </c>
      <c r="I838" s="33" t="n">
        <v>-3240.83</v>
      </c>
      <c r="J838" s="13">
        <f>+J837+I838</f>
        <v>1569257.03</v>
      </c>
      <c r="K838" s="19">
        <f>+EOMONTH(B838,0)</f>
        <v>46203</v>
      </c>
      <c r="L838" s="3" t="inlineStr">
        <is>
          <t>Checking – Operating</t>
        </is>
      </c>
      <c r="M838" s="3" t="inlineStr">
        <is>
          <t>Balance Sheet</t>
        </is>
      </c>
    </row>
    <row r="839">
      <c r="B839" s="39" t="n">
        <v>46201</v>
      </c>
      <c r="C839" s="3" t="inlineStr">
        <is>
          <t>Deposit</t>
        </is>
      </c>
      <c r="D839" s="3" t="inlineStr"/>
      <c r="E839" s="3" t="inlineStr">
        <is>
          <t>Cobaltmere Health</t>
        </is>
      </c>
      <c r="F839" s="3" t="inlineStr">
        <is>
          <t>ORIG CO NAME:COBALTMERE HEALTH ORIG ID:XXXXXX9134 DESC DATE:260628 CO ENTRY DESCR:HCCLAIMPMT SEC:CCD TRACE#:XXXXXXXX6775857 EED:260628 IND ID:</t>
        </is>
      </c>
      <c r="G839" s="3" t="inlineStr">
        <is>
          <t>Service Income</t>
        </is>
      </c>
      <c r="H839" s="3" t="inlineStr">
        <is>
          <t>Checking – Operating</t>
        </is>
      </c>
      <c r="I839" s="33" t="n">
        <v>40058.86</v>
      </c>
      <c r="J839" s="13">
        <f>+J838+I839</f>
        <v>1609315.89</v>
      </c>
      <c r="K839" s="19">
        <f>+EOMONTH(B839,0)</f>
        <v>46203</v>
      </c>
      <c r="L839" s="3" t="inlineStr">
        <is>
          <t>Checking – Operating</t>
        </is>
      </c>
      <c r="M839" s="3" t="inlineStr">
        <is>
          <t>Balance Sheet</t>
        </is>
      </c>
    </row>
    <row r="840">
      <c r="B840" s="39" t="n">
        <v>46201</v>
      </c>
      <c r="C840" s="3" t="inlineStr">
        <is>
          <t>Journal Entry</t>
        </is>
      </c>
      <c r="D840" s="3" t="inlineStr"/>
      <c r="E840" s="3" t="inlineStr">
        <is>
          <t>Vialtrace Lab Supplies Inc</t>
        </is>
      </c>
      <c r="F840" s="3" t="inlineStr">
        <is>
          <t>QAQC – June</t>
        </is>
      </c>
      <c r="G840" s="3" t="inlineStr">
        <is>
          <t>QAQC</t>
        </is>
      </c>
      <c r="H840" s="3" t="inlineStr">
        <is>
          <t>Checking – Operating</t>
        </is>
      </c>
      <c r="I840" s="33" t="n">
        <v>-1958.09</v>
      </c>
      <c r="J840" s="13">
        <f>+J839+I840</f>
        <v>1607357.8</v>
      </c>
      <c r="K840" s="19">
        <f>+EOMONTH(B840,0)</f>
        <v>46203</v>
      </c>
      <c r="L840" s="3" t="inlineStr">
        <is>
          <t>Checking – Operating</t>
        </is>
      </c>
      <c r="M840" s="3" t="inlineStr">
        <is>
          <t>Balance Sheet</t>
        </is>
      </c>
    </row>
    <row r="841">
      <c r="B841" s="39" t="n">
        <v>46202</v>
      </c>
      <c r="C841" s="3" t="inlineStr">
        <is>
          <t>Bill Payment (Check)</t>
        </is>
      </c>
      <c r="D841" s="3" t="inlineStr"/>
      <c r="E841" s="3" t="inlineStr">
        <is>
          <t>Reagentix Corp</t>
        </is>
      </c>
      <c r="F841" s="3" t="inlineStr">
        <is>
          <t>Lab supplies PO# F2529</t>
        </is>
      </c>
      <c r="G841" s="3" t="inlineStr">
        <is>
          <t>Accounts Payable</t>
        </is>
      </c>
      <c r="H841" s="3" t="inlineStr">
        <is>
          <t>Checking – Operating</t>
        </is>
      </c>
      <c r="I841" s="33" t="n">
        <v>-10801.64</v>
      </c>
      <c r="J841" s="13">
        <f>+J840+I841</f>
        <v>1596556.16</v>
      </c>
      <c r="K841" s="19">
        <f>+EOMONTH(B841,0)</f>
        <v>46203</v>
      </c>
      <c r="L841" s="3" t="inlineStr">
        <is>
          <t>Checking – Operating</t>
        </is>
      </c>
      <c r="M841" s="3" t="inlineStr">
        <is>
          <t>Balance Sheet</t>
        </is>
      </c>
    </row>
    <row r="842">
      <c r="B842" s="39" t="n">
        <v>46202</v>
      </c>
      <c r="C842" s="3" t="inlineStr">
        <is>
          <t>Deposit</t>
        </is>
      </c>
      <c r="D842" s="3" t="inlineStr"/>
      <c r="E842" s="3" t="inlineStr">
        <is>
          <t>Marrowby Mutual</t>
        </is>
      </c>
      <c r="F842" s="3" t="inlineStr">
        <is>
          <t>ORIG CO NAME:MARROWBY MUTUAL ORIG ID:XXXXXX1125 DESC DATE:260629 CO ENTRY DESCR:HCCLAIMPMT SEC:CCD TRACE#:XXXXXXXX2079195 EED:260629 IND ID:</t>
        </is>
      </c>
      <c r="G842" s="3" t="inlineStr">
        <is>
          <t>Service Income</t>
        </is>
      </c>
      <c r="H842" s="3" t="inlineStr">
        <is>
          <t>Checking – Operating</t>
        </is>
      </c>
      <c r="I842" s="33" t="n">
        <v>43610.53</v>
      </c>
      <c r="J842" s="13">
        <f>+J841+I842</f>
        <v>1640166.69</v>
      </c>
      <c r="K842" s="19">
        <f>+EOMONTH(B842,0)</f>
        <v>46203</v>
      </c>
      <c r="L842" s="3" t="inlineStr">
        <is>
          <t>Checking – Operating</t>
        </is>
      </c>
      <c r="M842" s="3" t="inlineStr">
        <is>
          <t>Balance Sheet</t>
        </is>
      </c>
    </row>
    <row r="843">
      <c r="B843" s="39" t="n">
        <v>46202</v>
      </c>
      <c r="C843" s="3" t="inlineStr">
        <is>
          <t>Deposit</t>
        </is>
      </c>
      <c r="D843" s="3" t="inlineStr"/>
      <c r="E843" s="3" t="inlineStr">
        <is>
          <t>Silvermoss Senior Living</t>
        </is>
      </c>
      <c r="F843" s="3" t="inlineStr">
        <is>
          <t>ORIG CO NAME:SILVERMOSS SL ORIG ID:XXXXXX9844 DESC DATE:260629 CO ENTRY DESCR:HCCLAIMPMT SEC:CCD TRACE#:XXXXXXXX2183792 EED:260629 IND ID:</t>
        </is>
      </c>
      <c r="G843" s="3" t="inlineStr">
        <is>
          <t>Service Income</t>
        </is>
      </c>
      <c r="H843" s="3" t="inlineStr">
        <is>
          <t>Checking – Operating</t>
        </is>
      </c>
      <c r="I843" s="33" t="n">
        <v>39362.73</v>
      </c>
      <c r="J843" s="13">
        <f>+J842+I843</f>
        <v>1679529.42</v>
      </c>
      <c r="K843" s="19">
        <f>+EOMONTH(B843,0)</f>
        <v>46203</v>
      </c>
      <c r="L843" s="3" t="inlineStr">
        <is>
          <t>Checking – Operating</t>
        </is>
      </c>
      <c r="M843" s="3" t="inlineStr">
        <is>
          <t>Balance Sheet</t>
        </is>
      </c>
    </row>
    <row r="844">
      <c r="B844" s="39" t="n">
        <v>46202</v>
      </c>
      <c r="C844" s="3" t="inlineStr">
        <is>
          <t>Expense</t>
        </is>
      </c>
      <c r="D844" s="3" t="inlineStr"/>
      <c r="E844" s="3" t="inlineStr"/>
      <c r="F844" s="3" t="inlineStr">
        <is>
          <t>Patient refund</t>
        </is>
      </c>
      <c r="G844" s="3" t="inlineStr">
        <is>
          <t>Refunds</t>
        </is>
      </c>
      <c r="H844" s="3" t="inlineStr">
        <is>
          <t>Checking – Operating</t>
        </is>
      </c>
      <c r="I844" s="33" t="n">
        <v>-3711.61</v>
      </c>
      <c r="J844" s="13">
        <f>+J843+I844</f>
        <v>1675817.81</v>
      </c>
      <c r="K844" s="19">
        <f>+EOMONTH(B844,0)</f>
        <v>46203</v>
      </c>
      <c r="L844" s="3" t="inlineStr">
        <is>
          <t>Checking – Operating</t>
        </is>
      </c>
      <c r="M844" s="3" t="inlineStr">
        <is>
          <t>Balance Sheet</t>
        </is>
      </c>
    </row>
    <row r="845">
      <c r="B845" s="39" t="n">
        <v>46202</v>
      </c>
      <c r="C845" s="3" t="inlineStr">
        <is>
          <t>Expense</t>
        </is>
      </c>
      <c r="D845" s="3" t="inlineStr"/>
      <c r="E845" s="3" t="inlineStr"/>
      <c r="F845" s="3" t="inlineStr">
        <is>
          <t>Taxes and Licenses – June</t>
        </is>
      </c>
      <c r="G845" s="3" t="inlineStr">
        <is>
          <t>Taxes and Licenses</t>
        </is>
      </c>
      <c r="H845" s="3" t="inlineStr">
        <is>
          <t>Checking – Operating</t>
        </is>
      </c>
      <c r="I845" s="33" t="n">
        <v>-920</v>
      </c>
      <c r="J845" s="13">
        <f>+J844+I845</f>
        <v>1674897.81</v>
      </c>
      <c r="K845" s="19">
        <f>+EOMONTH(B845,0)</f>
        <v>46203</v>
      </c>
      <c r="L845" s="3" t="inlineStr">
        <is>
          <t>Checking – Operating</t>
        </is>
      </c>
      <c r="M845" s="3" t="inlineStr">
        <is>
          <t>Balance Sheet</t>
        </is>
      </c>
    </row>
    <row r="846">
      <c r="B846" s="39" t="n">
        <v>46202</v>
      </c>
      <c r="C846" s="3" t="inlineStr">
        <is>
          <t>Journal Entry</t>
        </is>
      </c>
      <c r="D846" s="3" t="inlineStr"/>
      <c r="E846" s="3" t="inlineStr"/>
      <c r="F846" s="3" t="inlineStr">
        <is>
          <t>Bank service charges – June</t>
        </is>
      </c>
      <c r="G846" s="3" t="inlineStr">
        <is>
          <t>Bank Fees</t>
        </is>
      </c>
      <c r="H846" s="3" t="inlineStr">
        <is>
          <t>Checking – Operating</t>
        </is>
      </c>
      <c r="I846" s="33" t="n">
        <v>-1446.71</v>
      </c>
      <c r="J846" s="13">
        <f>+J845+I846</f>
        <v>1673451.1</v>
      </c>
      <c r="K846" s="19">
        <f>+EOMONTH(B846,0)</f>
        <v>46203</v>
      </c>
      <c r="L846" s="3" t="inlineStr">
        <is>
          <t>Checking – Operating</t>
        </is>
      </c>
      <c r="M846" s="3" t="inlineStr">
        <is>
          <t>Balance Sheet</t>
        </is>
      </c>
    </row>
    <row r="847">
      <c r="B847" s="39" t="n">
        <v>46202</v>
      </c>
      <c r="C847" s="3" t="inlineStr">
        <is>
          <t>Journal Entry</t>
        </is>
      </c>
      <c r="D847" s="3" t="inlineStr"/>
      <c r="E847" s="3" t="inlineStr">
        <is>
          <t>Tessarand Payroll Services</t>
        </is>
      </c>
      <c r="F847" s="3" t="inlineStr">
        <is>
          <t>Recruitment – June</t>
        </is>
      </c>
      <c r="G847" s="3" t="inlineStr">
        <is>
          <t>Recruitment</t>
        </is>
      </c>
      <c r="H847" s="3" t="inlineStr">
        <is>
          <t>Checking – Operating</t>
        </is>
      </c>
      <c r="I847" s="33" t="n">
        <v>-1182.2</v>
      </c>
      <c r="J847" s="13">
        <f>+J846+I847</f>
        <v>1672268.9</v>
      </c>
      <c r="K847" s="19">
        <f>+EOMONTH(B847,0)</f>
        <v>46203</v>
      </c>
      <c r="L847" s="3" t="inlineStr">
        <is>
          <t>Checking – Operating</t>
        </is>
      </c>
      <c r="M847" s="3" t="inlineStr">
        <is>
          <t>Balance Sheet</t>
        </is>
      </c>
    </row>
    <row r="848">
      <c r="B848" s="39" t="n">
        <v>46203</v>
      </c>
      <c r="C848" s="3" t="inlineStr">
        <is>
          <t>Bill Payment (Check)</t>
        </is>
      </c>
      <c r="D848" s="3" t="inlineStr"/>
      <c r="E848" s="3" t="inlineStr">
        <is>
          <t>Tarrowmere Mutual Insurance</t>
        </is>
      </c>
      <c r="F848" s="3" t="inlineStr">
        <is>
          <t>Premium installment</t>
        </is>
      </c>
      <c r="G848" s="3" t="inlineStr">
        <is>
          <t>Accounts Payable</t>
        </is>
      </c>
      <c r="H848" s="3" t="inlineStr">
        <is>
          <t>Checking – Operating</t>
        </is>
      </c>
      <c r="I848" s="33" t="n">
        <v>-4569.8</v>
      </c>
      <c r="J848" s="13">
        <f>+J847+I848</f>
        <v>1667699.1</v>
      </c>
      <c r="K848" s="19">
        <f>+EOMONTH(B848,0)</f>
        <v>46203</v>
      </c>
      <c r="L848" s="3" t="inlineStr">
        <is>
          <t>Checking – Operating</t>
        </is>
      </c>
      <c r="M848" s="3" t="inlineStr">
        <is>
          <t>Balance Sheet</t>
        </is>
      </c>
    </row>
    <row r="849">
      <c r="B849" s="39" t="n">
        <v>46204</v>
      </c>
      <c r="C849" s="3" t="inlineStr">
        <is>
          <t>Bill Payment (Check)</t>
        </is>
      </c>
      <c r="D849" s="3" t="inlineStr"/>
      <c r="E849" s="3" t="inlineStr">
        <is>
          <t>Swiftmere Courier</t>
        </is>
      </c>
      <c r="F849" s="3" t="inlineStr">
        <is>
          <t>Delivery and Transportation – June</t>
        </is>
      </c>
      <c r="G849" s="3" t="inlineStr">
        <is>
          <t>Accounts Payable</t>
        </is>
      </c>
      <c r="H849" s="3" t="inlineStr">
        <is>
          <t>Checking – Operating</t>
        </is>
      </c>
      <c r="I849" s="33" t="n">
        <v>-3075.84</v>
      </c>
      <c r="J849" s="13">
        <f>+J848+I849</f>
        <v>1664623.26</v>
      </c>
      <c r="K849" s="19">
        <f>+EOMONTH(B849,0)</f>
        <v>46234</v>
      </c>
      <c r="L849" s="3" t="inlineStr">
        <is>
          <t>Checking – Operating</t>
        </is>
      </c>
      <c r="M849" s="3" t="inlineStr">
        <is>
          <t>Balance Sheet</t>
        </is>
      </c>
    </row>
    <row r="850">
      <c r="B850" s="39" t="n">
        <v>46204</v>
      </c>
      <c r="C850" s="3" t="inlineStr">
        <is>
          <t>Deposit</t>
        </is>
      </c>
      <c r="D850" s="3" t="inlineStr"/>
      <c r="E850" s="3" t="inlineStr">
        <is>
          <t>Vantrelle Health Plan</t>
        </is>
      </c>
      <c r="F850" s="3" t="inlineStr">
        <is>
          <t>ORIG CO NAME:VANTRELLE HP ORIG ID:XXXXXX2610 DESC DATE:260701 CO ENTRY DESCR:HCCLAIMPMT SEC:CCD TRACE#:XXXXXXXX2287750 EED:260701 IND ID:</t>
        </is>
      </c>
      <c r="G850" s="3" t="inlineStr">
        <is>
          <t>Service Income</t>
        </is>
      </c>
      <c r="H850" s="3" t="inlineStr">
        <is>
          <t>Checking – Operating</t>
        </is>
      </c>
      <c r="I850" s="33" t="n">
        <v>102912.31</v>
      </c>
      <c r="J850" s="13">
        <f>+J849+I850</f>
        <v>1767535.57</v>
      </c>
      <c r="K850" s="19">
        <f>+EOMONTH(B850,0)</f>
        <v>46234</v>
      </c>
      <c r="L850" s="3" t="inlineStr">
        <is>
          <t>Checking – Operating</t>
        </is>
      </c>
      <c r="M850" s="3" t="inlineStr">
        <is>
          <t>Balance Sheet</t>
        </is>
      </c>
    </row>
    <row r="851">
      <c r="B851" s="39" t="n">
        <v>46204</v>
      </c>
      <c r="C851" s="3" t="inlineStr">
        <is>
          <t>Deposit</t>
        </is>
      </c>
      <c r="D851" s="3" t="inlineStr"/>
      <c r="E851" s="3" t="inlineStr">
        <is>
          <t>Cobaltmere Health</t>
        </is>
      </c>
      <c r="F851" s="3" t="inlineStr">
        <is>
          <t>ORIG CO NAME:COBALTMERE HEALTH ORIG ID:XXXXXX5094 DESC DATE:260701 CO ENTRY DESCR:HCCLAIMPMT SEC:CCD TRACE#:XXXXXXXX8438919 EED:260701 IND ID:</t>
        </is>
      </c>
      <c r="G851" s="3" t="inlineStr">
        <is>
          <t>Service Income</t>
        </is>
      </c>
      <c r="H851" s="3" t="inlineStr">
        <is>
          <t>Checking – Operating</t>
        </is>
      </c>
      <c r="I851" s="33" t="n">
        <v>35555.32</v>
      </c>
      <c r="J851" s="13">
        <f>+J850+I851</f>
        <v>1803090.89</v>
      </c>
      <c r="K851" s="19">
        <f>+EOMONTH(B851,0)</f>
        <v>46234</v>
      </c>
      <c r="L851" s="3" t="inlineStr">
        <is>
          <t>Checking – Operating</t>
        </is>
      </c>
      <c r="M851" s="3" t="inlineStr">
        <is>
          <t>Balance Sheet</t>
        </is>
      </c>
    </row>
    <row r="852">
      <c r="B852" s="39" t="n">
        <v>46204</v>
      </c>
      <c r="C852" s="3" t="inlineStr">
        <is>
          <t>Deposit</t>
        </is>
      </c>
      <c r="D852" s="3" t="inlineStr"/>
      <c r="E852" s="3" t="inlineStr">
        <is>
          <t>Cobaltmere Health</t>
        </is>
      </c>
      <c r="F852" s="3" t="inlineStr">
        <is>
          <t>ORIG CO NAME:COBALTMERE HEALTH ORIG ID:XXXXXX6919 DESC DATE:260701 CO ENTRY DESCR:HCCLAIMPMT SEC:CCD TRACE#:XXXXXXXX9122761 EED:260701 IND ID:</t>
        </is>
      </c>
      <c r="G852" s="3" t="inlineStr">
        <is>
          <t>Service Income</t>
        </is>
      </c>
      <c r="H852" s="3" t="inlineStr">
        <is>
          <t>Checking – Operating</t>
        </is>
      </c>
      <c r="I852" s="33" t="n">
        <v>41346.24</v>
      </c>
      <c r="J852" s="13">
        <f>+J851+I852</f>
        <v>1844437.13</v>
      </c>
      <c r="K852" s="19">
        <f>+EOMONTH(B852,0)</f>
        <v>46234</v>
      </c>
      <c r="L852" s="3" t="inlineStr">
        <is>
          <t>Checking – Operating</t>
        </is>
      </c>
      <c r="M852" s="3" t="inlineStr">
        <is>
          <t>Balance Sheet</t>
        </is>
      </c>
    </row>
    <row r="853">
      <c r="B853" s="39" t="n">
        <v>46204</v>
      </c>
      <c r="C853" s="3" t="inlineStr">
        <is>
          <t>Journal Entry</t>
        </is>
      </c>
      <c r="D853" s="3" t="inlineStr"/>
      <c r="E853" s="3" t="inlineStr">
        <is>
          <t>Swiftmere Courier</t>
        </is>
      </c>
      <c r="F853" s="3" t="inlineStr">
        <is>
          <t>Postage and Delivery – July</t>
        </is>
      </c>
      <c r="G853" s="3" t="inlineStr">
        <is>
          <t>Postage and Delivery</t>
        </is>
      </c>
      <c r="H853" s="3" t="inlineStr">
        <is>
          <t>Checking – Operating</t>
        </is>
      </c>
      <c r="I853" s="33" t="n">
        <v>-399.93</v>
      </c>
      <c r="J853" s="13">
        <f>+J852+I853</f>
        <v>1844037.2</v>
      </c>
      <c r="K853" s="19">
        <f>+EOMONTH(B853,0)</f>
        <v>46234</v>
      </c>
      <c r="L853" s="3" t="inlineStr">
        <is>
          <t>Checking – Operating</t>
        </is>
      </c>
      <c r="M853" s="3" t="inlineStr">
        <is>
          <t>Balance Sheet</t>
        </is>
      </c>
    </row>
    <row r="854">
      <c r="B854" s="39" t="n">
        <v>46205</v>
      </c>
      <c r="C854" s="3" t="inlineStr">
        <is>
          <t>Bill Payment (Check)</t>
        </is>
      </c>
      <c r="D854" s="3" t="inlineStr"/>
      <c r="E854" s="3" t="inlineStr">
        <is>
          <t>Reagentix Corp</t>
        </is>
      </c>
      <c r="F854" s="3" t="inlineStr">
        <is>
          <t>Lab supplies PO# F2398</t>
        </is>
      </c>
      <c r="G854" s="3" t="inlineStr">
        <is>
          <t>Accounts Payable</t>
        </is>
      </c>
      <c r="H854" s="3" t="inlineStr">
        <is>
          <t>Checking – Operating</t>
        </is>
      </c>
      <c r="I854" s="33" t="n">
        <v>-16456.77</v>
      </c>
      <c r="J854" s="13">
        <f>+J853+I854</f>
        <v>1827580.43</v>
      </c>
      <c r="K854" s="19">
        <f>+EOMONTH(B854,0)</f>
        <v>46234</v>
      </c>
      <c r="L854" s="3" t="inlineStr">
        <is>
          <t>Checking – Operating</t>
        </is>
      </c>
      <c r="M854" s="3" t="inlineStr">
        <is>
          <t>Balance Sheet</t>
        </is>
      </c>
    </row>
    <row r="855">
      <c r="B855" s="39" t="n">
        <v>46205</v>
      </c>
      <c r="C855" s="3" t="inlineStr">
        <is>
          <t>Bill Payment (Check)</t>
        </is>
      </c>
      <c r="D855" s="3" t="inlineStr"/>
      <c r="E855" s="3" t="inlineStr">
        <is>
          <t>Reagentix Corp</t>
        </is>
      </c>
      <c r="F855" s="3" t="inlineStr">
        <is>
          <t>Lab supplies PO# F2814</t>
        </is>
      </c>
      <c r="G855" s="3" t="inlineStr">
        <is>
          <t>Accounts Payable</t>
        </is>
      </c>
      <c r="H855" s="3" t="inlineStr">
        <is>
          <t>Checking – Operating</t>
        </is>
      </c>
      <c r="I855" s="33" t="n">
        <v>-14502.52</v>
      </c>
      <c r="J855" s="13">
        <f>+J854+I855</f>
        <v>1813077.91</v>
      </c>
      <c r="K855" s="19">
        <f>+EOMONTH(B855,0)</f>
        <v>46234</v>
      </c>
      <c r="L855" s="3" t="inlineStr">
        <is>
          <t>Checking – Operating</t>
        </is>
      </c>
      <c r="M855" s="3" t="inlineStr">
        <is>
          <t>Balance Sheet</t>
        </is>
      </c>
    </row>
    <row r="856">
      <c r="B856" s="39" t="n">
        <v>46205</v>
      </c>
      <c r="C856" s="3" t="inlineStr">
        <is>
          <t>Bill Payment (Check)</t>
        </is>
      </c>
      <c r="D856" s="3" t="inlineStr"/>
      <c r="E856" s="3" t="inlineStr">
        <is>
          <t>Northmoor Waste Services</t>
        </is>
      </c>
      <c r="F856" s="3" t="inlineStr">
        <is>
          <t>Waste Removal – May</t>
        </is>
      </c>
      <c r="G856" s="3" t="inlineStr">
        <is>
          <t>Accounts Payable</t>
        </is>
      </c>
      <c r="H856" s="3" t="inlineStr">
        <is>
          <t>Checking – Operating</t>
        </is>
      </c>
      <c r="I856" s="33" t="n">
        <v>-591.5599999999999</v>
      </c>
      <c r="J856" s="13">
        <f>+J855+I856</f>
        <v>1812486.35</v>
      </c>
      <c r="K856" s="19">
        <f>+EOMONTH(B856,0)</f>
        <v>46234</v>
      </c>
      <c r="L856" s="3" t="inlineStr">
        <is>
          <t>Checking – Operating</t>
        </is>
      </c>
      <c r="M856" s="3" t="inlineStr">
        <is>
          <t>Balance Sheet</t>
        </is>
      </c>
    </row>
    <row r="857">
      <c r="B857" s="39" t="n">
        <v>46205</v>
      </c>
      <c r="C857" s="3" t="inlineStr">
        <is>
          <t>Bill Payment (Check)</t>
        </is>
      </c>
      <c r="D857" s="3" t="inlineStr"/>
      <c r="E857" s="3" t="inlineStr">
        <is>
          <t>Ledgerquill Billing SaaS</t>
        </is>
      </c>
      <c r="F857" s="3" t="inlineStr">
        <is>
          <t>Billing Software as a Service – June</t>
        </is>
      </c>
      <c r="G857" s="3" t="inlineStr">
        <is>
          <t>Accounts Payable</t>
        </is>
      </c>
      <c r="H857" s="3" t="inlineStr">
        <is>
          <t>Checking – Operating</t>
        </is>
      </c>
      <c r="I857" s="33" t="n">
        <v>-8469.959999999999</v>
      </c>
      <c r="J857" s="13">
        <f>+J856+I857</f>
        <v>1804016.39</v>
      </c>
      <c r="K857" s="19">
        <f>+EOMONTH(B857,0)</f>
        <v>46234</v>
      </c>
      <c r="L857" s="3" t="inlineStr">
        <is>
          <t>Checking – Operating</t>
        </is>
      </c>
      <c r="M857" s="3" t="inlineStr">
        <is>
          <t>Balance Sheet</t>
        </is>
      </c>
    </row>
    <row r="858">
      <c r="B858" s="39" t="n">
        <v>46205</v>
      </c>
      <c r="C858" s="3" t="inlineStr">
        <is>
          <t>Credit Card Expense</t>
        </is>
      </c>
      <c r="D858" s="3" t="inlineStr"/>
      <c r="E858" s="3" t="inlineStr"/>
      <c r="F858" s="3" t="inlineStr">
        <is>
          <t>Bank service charges – July</t>
        </is>
      </c>
      <c r="G858" s="3" t="inlineStr">
        <is>
          <t>Cash</t>
        </is>
      </c>
      <c r="H858" s="3" t="inlineStr">
        <is>
          <t>Checking – Operating</t>
        </is>
      </c>
      <c r="I858" s="33" t="n">
        <v>-616.02</v>
      </c>
      <c r="J858" s="13">
        <f>+J857+I858</f>
        <v>1803400.37</v>
      </c>
      <c r="K858" s="19">
        <f>+EOMONTH(B858,0)</f>
        <v>46234</v>
      </c>
      <c r="L858" s="3" t="inlineStr">
        <is>
          <t>Checking – Operating</t>
        </is>
      </c>
      <c r="M858" s="3" t="inlineStr">
        <is>
          <t>Balance Sheet</t>
        </is>
      </c>
    </row>
    <row r="859">
      <c r="B859" s="39" t="n">
        <v>46205</v>
      </c>
      <c r="C859" s="3" t="inlineStr">
        <is>
          <t>Deposit</t>
        </is>
      </c>
      <c r="D859" s="3" t="inlineStr"/>
      <c r="E859" s="3" t="inlineStr">
        <is>
          <t>Vantrelle Health Plan</t>
        </is>
      </c>
      <c r="F859" s="3" t="inlineStr">
        <is>
          <t>ORIG CO NAME:VANTRELLE HP ORIG ID:XXXXXX1858 DESC DATE:260702 CO ENTRY DESCR:HCCLAIMPMT SEC:CCD TRACE#:XXXXXXXX2020732 EED:260702 IND ID:</t>
        </is>
      </c>
      <c r="G859" s="3" t="inlineStr">
        <is>
          <t>Service Income</t>
        </is>
      </c>
      <c r="H859" s="3" t="inlineStr">
        <is>
          <t>Checking – Operating</t>
        </is>
      </c>
      <c r="I859" s="33" t="n">
        <v>96823.85000000001</v>
      </c>
      <c r="J859" s="13">
        <f>+J858+I859</f>
        <v>1900224.22</v>
      </c>
      <c r="K859" s="19">
        <f>+EOMONTH(B859,0)</f>
        <v>46234</v>
      </c>
      <c r="L859" s="3" t="inlineStr">
        <is>
          <t>Checking – Operating</t>
        </is>
      </c>
      <c r="M859" s="3" t="inlineStr">
        <is>
          <t>Balance Sheet</t>
        </is>
      </c>
    </row>
    <row r="860">
      <c r="B860" s="39" t="n">
        <v>46205</v>
      </c>
      <c r="C860" s="3" t="inlineStr">
        <is>
          <t>Expense</t>
        </is>
      </c>
      <c r="D860" s="3" t="inlineStr"/>
      <c r="E860" s="3" t="inlineStr">
        <is>
          <t>Tessarand Payroll Services</t>
        </is>
      </c>
      <c r="F860" s="3" t="inlineStr">
        <is>
          <t>Contractors – July</t>
        </is>
      </c>
      <c r="G860" s="3" t="inlineStr">
        <is>
          <t>Contractors</t>
        </is>
      </c>
      <c r="H860" s="3" t="inlineStr">
        <is>
          <t>Checking – Operating</t>
        </is>
      </c>
      <c r="I860" s="33" t="n">
        <v>-5990.05</v>
      </c>
      <c r="J860" s="13">
        <f>+J859+I860</f>
        <v>1894234.17</v>
      </c>
      <c r="K860" s="19">
        <f>+EOMONTH(B860,0)</f>
        <v>46234</v>
      </c>
      <c r="L860" s="3" t="inlineStr">
        <is>
          <t>Checking – Operating</t>
        </is>
      </c>
      <c r="M860" s="3" t="inlineStr">
        <is>
          <t>Balance Sheet</t>
        </is>
      </c>
    </row>
    <row r="861">
      <c r="B861" s="39" t="n">
        <v>46205</v>
      </c>
      <c r="C861" s="3" t="inlineStr">
        <is>
          <t>Expense</t>
        </is>
      </c>
      <c r="D861" s="3" t="inlineStr"/>
      <c r="E861" s="3" t="inlineStr"/>
      <c r="F861" s="3" t="inlineStr">
        <is>
          <t>Parking – July</t>
        </is>
      </c>
      <c r="G861" s="3" t="inlineStr">
        <is>
          <t>Parking</t>
        </is>
      </c>
      <c r="H861" s="3" t="inlineStr">
        <is>
          <t>Checking – Operating</t>
        </is>
      </c>
      <c r="I861" s="33" t="n">
        <v>-556.52</v>
      </c>
      <c r="J861" s="13">
        <f>+J860+I861</f>
        <v>1893677.65</v>
      </c>
      <c r="K861" s="19">
        <f>+EOMONTH(B861,0)</f>
        <v>46234</v>
      </c>
      <c r="L861" s="3" t="inlineStr">
        <is>
          <t>Checking – Operating</t>
        </is>
      </c>
      <c r="M861" s="3" t="inlineStr">
        <is>
          <t>Balance Sheet</t>
        </is>
      </c>
    </row>
    <row r="862">
      <c r="B862" s="39" t="n">
        <v>46206</v>
      </c>
      <c r="C862" s="3" t="inlineStr">
        <is>
          <t>Credit Card Expense</t>
        </is>
      </c>
      <c r="D862" s="3" t="inlineStr"/>
      <c r="E862" s="3" t="inlineStr">
        <is>
          <t>Tessarand Payroll Services</t>
        </is>
      </c>
      <c r="F862" s="3" t="inlineStr">
        <is>
          <t>Sales and Marketing Expenses – July</t>
        </is>
      </c>
      <c r="G862" s="3" t="inlineStr">
        <is>
          <t>Sales and Marketing Expenses</t>
        </is>
      </c>
      <c r="H862" s="3" t="inlineStr">
        <is>
          <t>Checking – Operating</t>
        </is>
      </c>
      <c r="I862" s="33" t="n">
        <v>-15523.91</v>
      </c>
      <c r="J862" s="13">
        <f>+J861+I862</f>
        <v>1878153.74</v>
      </c>
      <c r="K862" s="19">
        <f>+EOMONTH(B862,0)</f>
        <v>46234</v>
      </c>
      <c r="L862" s="3" t="inlineStr">
        <is>
          <t>Checking – Operating</t>
        </is>
      </c>
      <c r="M862" s="3" t="inlineStr">
        <is>
          <t>Balance Sheet</t>
        </is>
      </c>
    </row>
    <row r="863">
      <c r="B863" s="39" t="n">
        <v>46206</v>
      </c>
      <c r="C863" s="3" t="inlineStr">
        <is>
          <t>Deposit</t>
        </is>
      </c>
      <c r="D863" s="3" t="inlineStr"/>
      <c r="E863" s="3" t="inlineStr">
        <is>
          <t>Federal Program A</t>
        </is>
      </c>
      <c r="F863" s="3" t="inlineStr">
        <is>
          <t>ORIG CO NAME:FEDERAL PROG A ORIG ID:XXXXXX4780 DESC DATE:260703 CO ENTRY DESCR:HCCLAIMPMT SEC:CCD TRACE#:XXXXXXXX4927918 EED:260703 IND ID:</t>
        </is>
      </c>
      <c r="G863" s="3" t="inlineStr">
        <is>
          <t>Service Income</t>
        </is>
      </c>
      <c r="H863" s="3" t="inlineStr">
        <is>
          <t>Checking – Operating</t>
        </is>
      </c>
      <c r="I863" s="33" t="n">
        <v>153455.12</v>
      </c>
      <c r="J863" s="13">
        <f>+J862+I863</f>
        <v>2031608.86</v>
      </c>
      <c r="K863" s="19">
        <f>+EOMONTH(B863,0)</f>
        <v>46234</v>
      </c>
      <c r="L863" s="3" t="inlineStr">
        <is>
          <t>Checking – Operating</t>
        </is>
      </c>
      <c r="M863" s="3" t="inlineStr">
        <is>
          <t>Balance Sheet</t>
        </is>
      </c>
    </row>
    <row r="864">
      <c r="B864" s="39" t="n">
        <v>46206</v>
      </c>
      <c r="C864" s="3" t="inlineStr">
        <is>
          <t>Deposit</t>
        </is>
      </c>
      <c r="D864" s="3" t="inlineStr"/>
      <c r="E864" s="3" t="inlineStr">
        <is>
          <t>State Program B</t>
        </is>
      </c>
      <c r="F864" s="3" t="inlineStr">
        <is>
          <t>ORIG CO NAME:STATE PROG B ORIG ID:XXXXXX4139 DESC DATE:260703 CO ENTRY DESCR:HCCLAIMPMT SEC:CCD TRACE#:XXXXXXXX2871958 EED:260703 IND ID:</t>
        </is>
      </c>
      <c r="G864" s="3" t="inlineStr">
        <is>
          <t>Service Income</t>
        </is>
      </c>
      <c r="H864" s="3" t="inlineStr">
        <is>
          <t>Checking – Operating</t>
        </is>
      </c>
      <c r="I864" s="33" t="n">
        <v>36432.08</v>
      </c>
      <c r="J864" s="13">
        <f>+J863+I864</f>
        <v>2068040.94</v>
      </c>
      <c r="K864" s="19">
        <f>+EOMONTH(B864,0)</f>
        <v>46234</v>
      </c>
      <c r="L864" s="3" t="inlineStr">
        <is>
          <t>Checking – Operating</t>
        </is>
      </c>
      <c r="M864" s="3" t="inlineStr">
        <is>
          <t>Balance Sheet</t>
        </is>
      </c>
    </row>
    <row r="865">
      <c r="B865" s="39" t="n">
        <v>46206</v>
      </c>
      <c r="C865" s="3" t="inlineStr">
        <is>
          <t>Deposit</t>
        </is>
      </c>
      <c r="D865" s="3" t="inlineStr"/>
      <c r="E865" s="3" t="inlineStr">
        <is>
          <t>Silvermoss Senior Living</t>
        </is>
      </c>
      <c r="F865" s="3" t="inlineStr">
        <is>
          <t>ORIG CO NAME:SILVERMOSS SL ORIG ID:XXXXXX3125 DESC DATE:260703 CO ENTRY DESCR:HCCLAIMPMT SEC:CCD TRACE#:XXXXXXXX1412352 EED:260703 IND ID:</t>
        </is>
      </c>
      <c r="G865" s="3" t="inlineStr">
        <is>
          <t>Service Income</t>
        </is>
      </c>
      <c r="H865" s="3" t="inlineStr">
        <is>
          <t>Checking – Operating</t>
        </is>
      </c>
      <c r="I865" s="33" t="n">
        <v>53879.83</v>
      </c>
      <c r="J865" s="13">
        <f>+J864+I865</f>
        <v>2121920.77</v>
      </c>
      <c r="K865" s="19">
        <f>+EOMONTH(B865,0)</f>
        <v>46234</v>
      </c>
      <c r="L865" s="3" t="inlineStr">
        <is>
          <t>Checking – Operating</t>
        </is>
      </c>
      <c r="M865" s="3" t="inlineStr">
        <is>
          <t>Balance Sheet</t>
        </is>
      </c>
    </row>
    <row r="866">
      <c r="B866" s="39" t="n">
        <v>46206</v>
      </c>
      <c r="C866" s="3" t="inlineStr">
        <is>
          <t>Deposit</t>
        </is>
      </c>
      <c r="D866" s="3" t="inlineStr"/>
      <c r="E866" s="3" t="inlineStr">
        <is>
          <t>Lanternway Benefits</t>
        </is>
      </c>
      <c r="F866" s="3" t="inlineStr">
        <is>
          <t>ORIG CO NAME:LANTERNWAY BEN ORIG ID:XXXXXX2297 DESC DATE:260703 CO ENTRY DESCR:HCCLAIMPMT SEC:CCD TRACE#:XXXXXXXX7861136 EED:260703 IND ID:</t>
        </is>
      </c>
      <c r="G866" s="3" t="inlineStr">
        <is>
          <t>Service Income</t>
        </is>
      </c>
      <c r="H866" s="3" t="inlineStr">
        <is>
          <t>Checking – Operating</t>
        </is>
      </c>
      <c r="I866" s="33" t="n">
        <v>40016.93</v>
      </c>
      <c r="J866" s="13">
        <f>+J865+I866</f>
        <v>2161937.7</v>
      </c>
      <c r="K866" s="19">
        <f>+EOMONTH(B866,0)</f>
        <v>46234</v>
      </c>
      <c r="L866" s="3" t="inlineStr">
        <is>
          <t>Checking – Operating</t>
        </is>
      </c>
      <c r="M866" s="3" t="inlineStr">
        <is>
          <t>Balance Sheet</t>
        </is>
      </c>
    </row>
    <row r="867">
      <c r="B867" s="39" t="n">
        <v>46206</v>
      </c>
      <c r="C867" s="3" t="inlineStr">
        <is>
          <t>Deposit</t>
        </is>
      </c>
      <c r="D867" s="3" t="inlineStr"/>
      <c r="E867" s="3" t="inlineStr">
        <is>
          <t>Quayside Choice Senior Plan</t>
        </is>
      </c>
      <c r="F867" s="3" t="inlineStr">
        <is>
          <t>ORIG CO NAME:QUAYSIDE CHOICE SP ORIG ID:XXXXXX2143 DESC DATE:260703 CO ENTRY DESCR:HCCLAIMPMT SEC:CCD TRACE#:XXXXXXXX9791017 EED:260703 IND ID:</t>
        </is>
      </c>
      <c r="G867" s="3" t="inlineStr">
        <is>
          <t>Service Income</t>
        </is>
      </c>
      <c r="H867" s="3" t="inlineStr">
        <is>
          <t>Checking – Operating</t>
        </is>
      </c>
      <c r="I867" s="33" t="n">
        <v>53316.09</v>
      </c>
      <c r="J867" s="13">
        <f>+J866+I867</f>
        <v>2215253.79</v>
      </c>
      <c r="K867" s="19">
        <f>+EOMONTH(B867,0)</f>
        <v>46234</v>
      </c>
      <c r="L867" s="3" t="inlineStr">
        <is>
          <t>Checking – Operating</t>
        </is>
      </c>
      <c r="M867" s="3" t="inlineStr">
        <is>
          <t>Balance Sheet</t>
        </is>
      </c>
    </row>
    <row r="868">
      <c r="B868" s="39" t="n">
        <v>46206</v>
      </c>
      <c r="C868" s="3" t="inlineStr">
        <is>
          <t>Expense</t>
        </is>
      </c>
      <c r="D868" s="3" t="inlineStr"/>
      <c r="E868" s="3" t="inlineStr">
        <is>
          <t>Ledgerquill Billing SaaS</t>
        </is>
      </c>
      <c r="F868" s="3" t="inlineStr">
        <is>
          <t>Dues &amp; Subscriptions – July</t>
        </is>
      </c>
      <c r="G868" s="3" t="inlineStr">
        <is>
          <t>Dues &amp; Subscriptions</t>
        </is>
      </c>
      <c r="H868" s="3" t="inlineStr">
        <is>
          <t>Checking – Operating</t>
        </is>
      </c>
      <c r="I868" s="33" t="n">
        <v>-948.62</v>
      </c>
      <c r="J868" s="13">
        <f>+J867+I868</f>
        <v>2214305.17</v>
      </c>
      <c r="K868" s="19">
        <f>+EOMONTH(B868,0)</f>
        <v>46234</v>
      </c>
      <c r="L868" s="3" t="inlineStr">
        <is>
          <t>Checking – Operating</t>
        </is>
      </c>
      <c r="M868" s="3" t="inlineStr">
        <is>
          <t>Balance Sheet</t>
        </is>
      </c>
    </row>
    <row r="869">
      <c r="B869" s="39" t="n">
        <v>46206</v>
      </c>
      <c r="C869" s="3" t="inlineStr">
        <is>
          <t>Expense</t>
        </is>
      </c>
      <c r="D869" s="3" t="inlineStr"/>
      <c r="E869" s="3" t="inlineStr">
        <is>
          <t>Lumenlease Equipment</t>
        </is>
      </c>
      <c r="F869" s="3" t="inlineStr">
        <is>
          <t>Repairs and Maintenance – July</t>
        </is>
      </c>
      <c r="G869" s="3" t="inlineStr">
        <is>
          <t>Repairs and Maintenance</t>
        </is>
      </c>
      <c r="H869" s="3" t="inlineStr">
        <is>
          <t>Checking – Operating</t>
        </is>
      </c>
      <c r="I869" s="33" t="n">
        <v>-4869.51</v>
      </c>
      <c r="J869" s="13">
        <f>+J868+I869</f>
        <v>2209435.66</v>
      </c>
      <c r="K869" s="19">
        <f>+EOMONTH(B869,0)</f>
        <v>46234</v>
      </c>
      <c r="L869" s="3" t="inlineStr">
        <is>
          <t>Checking – Operating</t>
        </is>
      </c>
      <c r="M869" s="3" t="inlineStr">
        <is>
          <t>Balance Sheet</t>
        </is>
      </c>
    </row>
    <row r="870">
      <c r="B870" s="39" t="n">
        <v>46206</v>
      </c>
      <c r="C870" s="3" t="inlineStr">
        <is>
          <t>Expense</t>
        </is>
      </c>
      <c r="D870" s="3" t="inlineStr"/>
      <c r="E870" s="3" t="inlineStr"/>
      <c r="F870" s="3" t="inlineStr">
        <is>
          <t>Travel Expense – July</t>
        </is>
      </c>
      <c r="G870" s="3" t="inlineStr">
        <is>
          <t>Travel Expense</t>
        </is>
      </c>
      <c r="H870" s="3" t="inlineStr">
        <is>
          <t>Checking – Operating</t>
        </is>
      </c>
      <c r="I870" s="33" t="n">
        <v>-1059.91</v>
      </c>
      <c r="J870" s="13">
        <f>+J869+I870</f>
        <v>2208375.75</v>
      </c>
      <c r="K870" s="19">
        <f>+EOMONTH(B870,0)</f>
        <v>46234</v>
      </c>
      <c r="L870" s="3" t="inlineStr">
        <is>
          <t>Checking – Operating</t>
        </is>
      </c>
      <c r="M870" s="3" t="inlineStr">
        <is>
          <t>Balance Sheet</t>
        </is>
      </c>
    </row>
    <row r="871">
      <c r="B871" s="39" t="n">
        <v>46206</v>
      </c>
      <c r="C871" s="3" t="inlineStr">
        <is>
          <t>Journal Entry</t>
        </is>
      </c>
      <c r="D871" s="3" t="inlineStr"/>
      <c r="E871" s="3" t="inlineStr"/>
      <c r="F871" s="3" t="inlineStr">
        <is>
          <t>Interest – equipment note</t>
        </is>
      </c>
      <c r="G871" s="3" t="inlineStr">
        <is>
          <t>Interest Expense</t>
        </is>
      </c>
      <c r="H871" s="3" t="inlineStr">
        <is>
          <t>Checking – Operating</t>
        </is>
      </c>
      <c r="I871" s="33" t="n">
        <v>-1334.21</v>
      </c>
      <c r="J871" s="13">
        <f>+J870+I871</f>
        <v>2207041.54</v>
      </c>
      <c r="K871" s="19">
        <f>+EOMONTH(B871,0)</f>
        <v>46234</v>
      </c>
      <c r="L871" s="3" t="inlineStr">
        <is>
          <t>Checking – Operating</t>
        </is>
      </c>
      <c r="M871" s="3" t="inlineStr">
        <is>
          <t>Balance Sheet</t>
        </is>
      </c>
    </row>
    <row r="872">
      <c r="B872" s="39" t="n">
        <v>46206</v>
      </c>
      <c r="C872" s="3" t="inlineStr">
        <is>
          <t>Payroll Check</t>
        </is>
      </c>
      <c r="D872" s="3" t="inlineStr"/>
      <c r="E872" s="3" t="inlineStr">
        <is>
          <t>Tessarand Payroll Services</t>
        </is>
      </c>
      <c r="F872" s="3" t="inlineStr">
        <is>
          <t>Payroll – biweekly</t>
        </is>
      </c>
      <c r="G872" s="3" t="inlineStr">
        <is>
          <t>Salaries and Wages</t>
        </is>
      </c>
      <c r="H872" s="3" t="inlineStr">
        <is>
          <t>Checking – Operating</t>
        </is>
      </c>
      <c r="I872" s="33" t="n">
        <v>-108709.51</v>
      </c>
      <c r="J872" s="13">
        <f>+J871+I872</f>
        <v>2098332.03</v>
      </c>
      <c r="K872" s="19">
        <f>+EOMONTH(B872,0)</f>
        <v>46234</v>
      </c>
      <c r="L872" s="3" t="inlineStr">
        <is>
          <t>Checking – Operating</t>
        </is>
      </c>
      <c r="M872" s="3" t="inlineStr">
        <is>
          <t>Balance Sheet</t>
        </is>
      </c>
    </row>
    <row r="873">
      <c r="B873" s="39" t="n">
        <v>46207</v>
      </c>
      <c r="C873" s="3" t="inlineStr">
        <is>
          <t>Bill Payment (Check)</t>
        </is>
      </c>
      <c r="D873" s="3" t="inlineStr"/>
      <c r="E873" s="3" t="inlineStr">
        <is>
          <t>Northmoor Waste Services</t>
        </is>
      </c>
      <c r="F873" s="3" t="inlineStr">
        <is>
          <t>Hazard Waste – June</t>
        </is>
      </c>
      <c r="G873" s="3" t="inlineStr">
        <is>
          <t>Accounts Payable</t>
        </is>
      </c>
      <c r="H873" s="3" t="inlineStr">
        <is>
          <t>Checking – Operating</t>
        </is>
      </c>
      <c r="I873" s="33" t="n">
        <v>-998.36</v>
      </c>
      <c r="J873" s="13">
        <f>+J872+I873</f>
        <v>2097333.67</v>
      </c>
      <c r="K873" s="19">
        <f>+EOMONTH(B873,0)</f>
        <v>46234</v>
      </c>
      <c r="L873" s="3" t="inlineStr">
        <is>
          <t>Checking – Operating</t>
        </is>
      </c>
      <c r="M873" s="3" t="inlineStr">
        <is>
          <t>Balance Sheet</t>
        </is>
      </c>
    </row>
    <row r="874">
      <c r="B874" s="39" t="n">
        <v>46207</v>
      </c>
      <c r="C874" s="3" t="inlineStr">
        <is>
          <t>Expense</t>
        </is>
      </c>
      <c r="D874" s="3" t="inlineStr"/>
      <c r="E874" s="3" t="inlineStr"/>
      <c r="F874" s="3" t="inlineStr">
        <is>
          <t>Patient refund</t>
        </is>
      </c>
      <c r="G874" s="3" t="inlineStr">
        <is>
          <t>Refunds</t>
        </is>
      </c>
      <c r="H874" s="3" t="inlineStr">
        <is>
          <t>Checking – Operating</t>
        </is>
      </c>
      <c r="I874" s="33" t="n">
        <v>-6556.93</v>
      </c>
      <c r="J874" s="13">
        <f>+J873+I874</f>
        <v>2090776.74</v>
      </c>
      <c r="K874" s="19">
        <f>+EOMONTH(B874,0)</f>
        <v>46234</v>
      </c>
      <c r="L874" s="3" t="inlineStr">
        <is>
          <t>Checking – Operating</t>
        </is>
      </c>
      <c r="M874" s="3" t="inlineStr">
        <is>
          <t>Balance Sheet</t>
        </is>
      </c>
    </row>
    <row r="875">
      <c r="B875" s="39" t="n">
        <v>46207</v>
      </c>
      <c r="C875" s="3" t="inlineStr">
        <is>
          <t>Journal Entry</t>
        </is>
      </c>
      <c r="D875" s="3" t="inlineStr"/>
      <c r="E875" s="3" t="inlineStr"/>
      <c r="F875" s="3" t="inlineStr">
        <is>
          <t>Bank service charges – July</t>
        </is>
      </c>
      <c r="G875" s="3" t="inlineStr">
        <is>
          <t>Cash</t>
        </is>
      </c>
      <c r="H875" s="3" t="inlineStr">
        <is>
          <t>Checking – Operating</t>
        </is>
      </c>
      <c r="I875" s="33" t="n">
        <v>-1003.98</v>
      </c>
      <c r="J875" s="13">
        <f>+J874+I875</f>
        <v>2089772.76</v>
      </c>
      <c r="K875" s="19">
        <f>+EOMONTH(B875,0)</f>
        <v>46234</v>
      </c>
      <c r="L875" s="3" t="inlineStr">
        <is>
          <t>Checking – Operating</t>
        </is>
      </c>
      <c r="M875" s="3" t="inlineStr">
        <is>
          <t>Balance Sheet</t>
        </is>
      </c>
    </row>
    <row r="876">
      <c r="B876" s="39" t="n">
        <v>46207</v>
      </c>
      <c r="C876" s="3" t="inlineStr">
        <is>
          <t>Journal Entry</t>
        </is>
      </c>
      <c r="D876" s="3" t="inlineStr"/>
      <c r="E876" s="3" t="inlineStr"/>
      <c r="F876" s="3" t="inlineStr">
        <is>
          <t>Property tax installment</t>
        </is>
      </c>
      <c r="G876" s="3" t="inlineStr">
        <is>
          <t>Property tax</t>
        </is>
      </c>
      <c r="H876" s="3" t="inlineStr">
        <is>
          <t>Checking – Operating</t>
        </is>
      </c>
      <c r="I876" s="33" t="n">
        <v>-1052.36</v>
      </c>
      <c r="J876" s="13">
        <f>+J875+I876</f>
        <v>2088720.4</v>
      </c>
      <c r="K876" s="19">
        <f>+EOMONTH(B876,0)</f>
        <v>46234</v>
      </c>
      <c r="L876" s="3" t="inlineStr">
        <is>
          <t>Checking – Operating</t>
        </is>
      </c>
      <c r="M876" s="3" t="inlineStr">
        <is>
          <t>Balance Sheet</t>
        </is>
      </c>
    </row>
    <row r="877">
      <c r="B877" s="39" t="n">
        <v>46207</v>
      </c>
      <c r="C877" s="3" t="inlineStr">
        <is>
          <t>Journal Entry</t>
        </is>
      </c>
      <c r="D877" s="3" t="inlineStr"/>
      <c r="E877" s="3" t="inlineStr">
        <is>
          <t>Reagentix Corp</t>
        </is>
      </c>
      <c r="F877" s="3" t="inlineStr">
        <is>
          <t>QAQC – July</t>
        </is>
      </c>
      <c r="G877" s="3" t="inlineStr">
        <is>
          <t>QAQC</t>
        </is>
      </c>
      <c r="H877" s="3" t="inlineStr">
        <is>
          <t>Checking – Operating</t>
        </is>
      </c>
      <c r="I877" s="33" t="n">
        <v>-1911.54</v>
      </c>
      <c r="J877" s="13">
        <f>+J876+I877</f>
        <v>2086808.86</v>
      </c>
      <c r="K877" s="19">
        <f>+EOMONTH(B877,0)</f>
        <v>46234</v>
      </c>
      <c r="L877" s="3" t="inlineStr">
        <is>
          <t>Checking – Operating</t>
        </is>
      </c>
      <c r="M877" s="3" t="inlineStr">
        <is>
          <t>Balance Sheet</t>
        </is>
      </c>
    </row>
    <row r="878">
      <c r="B878" s="39" t="n">
        <v>46207</v>
      </c>
      <c r="C878" s="3" t="inlineStr">
        <is>
          <t>Payroll Check</t>
        </is>
      </c>
      <c r="D878" s="3" t="inlineStr"/>
      <c r="E878" s="3" t="inlineStr">
        <is>
          <t>Tessarand Payroll Services</t>
        </is>
      </c>
      <c r="F878" s="3" t="inlineStr">
        <is>
          <t>Payroll processing fee</t>
        </is>
      </c>
      <c r="G878" s="3" t="inlineStr">
        <is>
          <t>Payroll Processing Fee</t>
        </is>
      </c>
      <c r="H878" s="3" t="inlineStr">
        <is>
          <t>Checking – Operating</t>
        </is>
      </c>
      <c r="I878" s="33" t="n">
        <v>-51.59</v>
      </c>
      <c r="J878" s="13">
        <f>+J877+I878</f>
        <v>2086757.27</v>
      </c>
      <c r="K878" s="19">
        <f>+EOMONTH(B878,0)</f>
        <v>46234</v>
      </c>
      <c r="L878" s="3" t="inlineStr">
        <is>
          <t>Checking – Operating</t>
        </is>
      </c>
      <c r="M878" s="3" t="inlineStr">
        <is>
          <t>Balance Sheet</t>
        </is>
      </c>
    </row>
    <row r="879">
      <c r="B879" s="39" t="n">
        <v>46208</v>
      </c>
      <c r="C879" s="3" t="inlineStr">
        <is>
          <t>Bill Payment (Check)</t>
        </is>
      </c>
      <c r="D879" s="3" t="inlineStr"/>
      <c r="E879" s="3" t="inlineStr">
        <is>
          <t>Vialtrace Lab Supplies Inc</t>
        </is>
      </c>
      <c r="F879" s="3" t="inlineStr">
        <is>
          <t>Lab supplies PO# F2162</t>
        </is>
      </c>
      <c r="G879" s="3" t="inlineStr">
        <is>
          <t>Accounts Payable</t>
        </is>
      </c>
      <c r="H879" s="3" t="inlineStr">
        <is>
          <t>Checking – Operating</t>
        </is>
      </c>
      <c r="I879" s="33" t="n">
        <v>-21626.87</v>
      </c>
      <c r="J879" s="13">
        <f>+J878+I879</f>
        <v>2065130.4</v>
      </c>
      <c r="K879" s="19">
        <f>+EOMONTH(B879,0)</f>
        <v>46234</v>
      </c>
      <c r="L879" s="3" t="inlineStr">
        <is>
          <t>Checking – Operating</t>
        </is>
      </c>
      <c r="M879" s="3" t="inlineStr">
        <is>
          <t>Balance Sheet</t>
        </is>
      </c>
    </row>
    <row r="880">
      <c r="B880" s="39" t="n">
        <v>46208</v>
      </c>
      <c r="C880" s="3" t="inlineStr">
        <is>
          <t>Bill Payment (Check)</t>
        </is>
      </c>
      <c r="D880" s="3" t="inlineStr"/>
      <c r="E880" s="3" t="inlineStr">
        <is>
          <t>Union Utilities</t>
        </is>
      </c>
      <c r="F880" s="3" t="inlineStr">
        <is>
          <t>Utilities – June</t>
        </is>
      </c>
      <c r="G880" s="3" t="inlineStr">
        <is>
          <t>Accounts Payable</t>
        </is>
      </c>
      <c r="H880" s="3" t="inlineStr">
        <is>
          <t>Checking – Operating</t>
        </is>
      </c>
      <c r="I880" s="33" t="n">
        <v>-2943.27</v>
      </c>
      <c r="J880" s="13">
        <f>+J879+I880</f>
        <v>2062187.13</v>
      </c>
      <c r="K880" s="19">
        <f>+EOMONTH(B880,0)</f>
        <v>46234</v>
      </c>
      <c r="L880" s="3" t="inlineStr">
        <is>
          <t>Checking – Operating</t>
        </is>
      </c>
      <c r="M880" s="3" t="inlineStr">
        <is>
          <t>Balance Sheet</t>
        </is>
      </c>
    </row>
    <row r="881">
      <c r="B881" s="39" t="n">
        <v>46208</v>
      </c>
      <c r="C881" s="3" t="inlineStr">
        <is>
          <t>Credit Card Expense</t>
        </is>
      </c>
      <c r="D881" s="3" t="inlineStr"/>
      <c r="E881" s="3" t="inlineStr">
        <is>
          <t>Tessarand Payroll Services</t>
        </is>
      </c>
      <c r="F881" s="3" t="inlineStr">
        <is>
          <t>Contractors – July</t>
        </is>
      </c>
      <c r="G881" s="3" t="inlineStr">
        <is>
          <t>Contractors</t>
        </is>
      </c>
      <c r="H881" s="3" t="inlineStr">
        <is>
          <t>Checking – Operating</t>
        </is>
      </c>
      <c r="I881" s="33" t="n">
        <v>-6117.83</v>
      </c>
      <c r="J881" s="13">
        <f>+J880+I881</f>
        <v>2056069.3</v>
      </c>
      <c r="K881" s="19">
        <f>+EOMONTH(B881,0)</f>
        <v>46234</v>
      </c>
      <c r="L881" s="3" t="inlineStr">
        <is>
          <t>Checking – Operating</t>
        </is>
      </c>
      <c r="M881" s="3" t="inlineStr">
        <is>
          <t>Balance Sheet</t>
        </is>
      </c>
    </row>
    <row r="882">
      <c r="B882" s="39" t="n">
        <v>46208</v>
      </c>
      <c r="C882" s="3" t="inlineStr">
        <is>
          <t>Credit Card Expense</t>
        </is>
      </c>
      <c r="D882" s="3" t="inlineStr"/>
      <c r="E882" s="3" t="inlineStr">
        <is>
          <t>Tessarand Payroll Services</t>
        </is>
      </c>
      <c r="F882" s="3" t="inlineStr">
        <is>
          <t>Sales and Marketing Expenses – July</t>
        </is>
      </c>
      <c r="G882" s="3" t="inlineStr">
        <is>
          <t>Sales and Marketing Expenses</t>
        </is>
      </c>
      <c r="H882" s="3" t="inlineStr">
        <is>
          <t>Checking – Operating</t>
        </is>
      </c>
      <c r="I882" s="33" t="n">
        <v>-14419.49</v>
      </c>
      <c r="J882" s="13">
        <f>+J881+I882</f>
        <v>2041649.81</v>
      </c>
      <c r="K882" s="19">
        <f>+EOMONTH(B882,0)</f>
        <v>46234</v>
      </c>
      <c r="L882" s="3" t="inlineStr">
        <is>
          <t>Checking – Operating</t>
        </is>
      </c>
      <c r="M882" s="3" t="inlineStr">
        <is>
          <t>Balance Sheet</t>
        </is>
      </c>
    </row>
    <row r="883">
      <c r="B883" s="39" t="n">
        <v>46208</v>
      </c>
      <c r="C883" s="3" t="inlineStr">
        <is>
          <t>Expense</t>
        </is>
      </c>
      <c r="D883" s="3" t="inlineStr"/>
      <c r="E883" s="3" t="inlineStr">
        <is>
          <t>Consultant A</t>
        </is>
      </c>
      <c r="F883" s="3" t="inlineStr">
        <is>
          <t>Consulting – July</t>
        </is>
      </c>
      <c r="G883" s="3" t="inlineStr">
        <is>
          <t>Consulting</t>
        </is>
      </c>
      <c r="H883" s="3" t="inlineStr">
        <is>
          <t>Checking – Operating</t>
        </is>
      </c>
      <c r="I883" s="33" t="n">
        <v>-2778.94</v>
      </c>
      <c r="J883" s="13">
        <f>+J882+I883</f>
        <v>2038870.87</v>
      </c>
      <c r="K883" s="19">
        <f>+EOMONTH(B883,0)</f>
        <v>46234</v>
      </c>
      <c r="L883" s="3" t="inlineStr">
        <is>
          <t>Checking – Operating</t>
        </is>
      </c>
      <c r="M883" s="3" t="inlineStr">
        <is>
          <t>Balance Sheet</t>
        </is>
      </c>
    </row>
    <row r="884">
      <c r="B884" s="39" t="n">
        <v>46208</v>
      </c>
      <c r="C884" s="3" t="inlineStr">
        <is>
          <t>Expense</t>
        </is>
      </c>
      <c r="D884" s="3" t="inlineStr"/>
      <c r="E884" s="3" t="inlineStr">
        <is>
          <t>Consultant A</t>
        </is>
      </c>
      <c r="F884" s="3" t="inlineStr">
        <is>
          <t>Accounting Service – July</t>
        </is>
      </c>
      <c r="G884" s="3" t="inlineStr">
        <is>
          <t>Accounting Service</t>
        </is>
      </c>
      <c r="H884" s="3" t="inlineStr">
        <is>
          <t>Checking – Operating</t>
        </is>
      </c>
      <c r="I884" s="33" t="n">
        <v>-2984.6</v>
      </c>
      <c r="J884" s="13">
        <f>+J883+I884</f>
        <v>2035886.27</v>
      </c>
      <c r="K884" s="19">
        <f>+EOMONTH(B884,0)</f>
        <v>46234</v>
      </c>
      <c r="L884" s="3" t="inlineStr">
        <is>
          <t>Checking – Operating</t>
        </is>
      </c>
      <c r="M884" s="3" t="inlineStr">
        <is>
          <t>Balance Sheet</t>
        </is>
      </c>
    </row>
    <row r="885">
      <c r="B885" s="39" t="n">
        <v>46208</v>
      </c>
      <c r="C885" s="3" t="inlineStr">
        <is>
          <t>Expense</t>
        </is>
      </c>
      <c r="D885" s="3" t="inlineStr"/>
      <c r="E885" s="3" t="inlineStr"/>
      <c r="F885" s="3" t="inlineStr">
        <is>
          <t>Meals and Entertainment – July</t>
        </is>
      </c>
      <c r="G885" s="3" t="inlineStr">
        <is>
          <t>Meals and Entertainment</t>
        </is>
      </c>
      <c r="H885" s="3" t="inlineStr">
        <is>
          <t>Checking – Operating</t>
        </is>
      </c>
      <c r="I885" s="33" t="n">
        <v>-910.3200000000001</v>
      </c>
      <c r="J885" s="13">
        <f>+J884+I885</f>
        <v>2034975.95</v>
      </c>
      <c r="K885" s="19">
        <f>+EOMONTH(B885,0)</f>
        <v>46234</v>
      </c>
      <c r="L885" s="3" t="inlineStr">
        <is>
          <t>Checking – Operating</t>
        </is>
      </c>
      <c r="M885" s="3" t="inlineStr">
        <is>
          <t>Balance Sheet</t>
        </is>
      </c>
    </row>
    <row r="886">
      <c r="B886" s="39" t="n">
        <v>46208</v>
      </c>
      <c r="C886" s="3" t="inlineStr">
        <is>
          <t>Journal Entry</t>
        </is>
      </c>
      <c r="D886" s="3" t="inlineStr"/>
      <c r="E886" s="3" t="inlineStr"/>
      <c r="F886" s="3" t="inlineStr">
        <is>
          <t>Interest – equipment note</t>
        </is>
      </c>
      <c r="G886" s="3" t="inlineStr">
        <is>
          <t>Interest Expense</t>
        </is>
      </c>
      <c r="H886" s="3" t="inlineStr">
        <is>
          <t>Checking – Operating</t>
        </is>
      </c>
      <c r="I886" s="33" t="n">
        <v>-1865.79</v>
      </c>
      <c r="J886" s="13">
        <f>+J885+I886</f>
        <v>2033110.16</v>
      </c>
      <c r="K886" s="19">
        <f>+EOMONTH(B886,0)</f>
        <v>46234</v>
      </c>
      <c r="L886" s="3" t="inlineStr">
        <is>
          <t>Checking – Operating</t>
        </is>
      </c>
      <c r="M886" s="3" t="inlineStr">
        <is>
          <t>Balance Sheet</t>
        </is>
      </c>
    </row>
    <row r="887">
      <c r="B887" s="39" t="n">
        <v>46209</v>
      </c>
      <c r="C887" s="3" t="inlineStr">
        <is>
          <t>Credit Card Expense</t>
        </is>
      </c>
      <c r="D887" s="3" t="inlineStr"/>
      <c r="E887" s="3" t="inlineStr">
        <is>
          <t>Lumenlease Equipment</t>
        </is>
      </c>
      <c r="F887" s="3" t="inlineStr">
        <is>
          <t>Repairs and Maintenance – July</t>
        </is>
      </c>
      <c r="G887" s="3" t="inlineStr">
        <is>
          <t>Repairs and Maintenance</t>
        </is>
      </c>
      <c r="H887" s="3" t="inlineStr">
        <is>
          <t>Checking – Operating</t>
        </is>
      </c>
      <c r="I887" s="33" t="n">
        <v>-4730.49</v>
      </c>
      <c r="J887" s="13">
        <f>+J886+I887</f>
        <v>2028379.67</v>
      </c>
      <c r="K887" s="19">
        <f>+EOMONTH(B887,0)</f>
        <v>46234</v>
      </c>
      <c r="L887" s="3" t="inlineStr">
        <is>
          <t>Checking – Operating</t>
        </is>
      </c>
      <c r="M887" s="3" t="inlineStr">
        <is>
          <t>Balance Sheet</t>
        </is>
      </c>
    </row>
    <row r="888">
      <c r="B888" s="39" t="n">
        <v>46209</v>
      </c>
      <c r="C888" s="3" t="inlineStr">
        <is>
          <t>Credit Card Expense</t>
        </is>
      </c>
      <c r="D888" s="3" t="inlineStr"/>
      <c r="E888" s="3" t="inlineStr">
        <is>
          <t>Ledgerquill Billing SaaS</t>
        </is>
      </c>
      <c r="F888" s="3" t="inlineStr">
        <is>
          <t>Interface Service – July</t>
        </is>
      </c>
      <c r="G888" s="3" t="inlineStr">
        <is>
          <t>Interface Service</t>
        </is>
      </c>
      <c r="H888" s="3" t="inlineStr">
        <is>
          <t>Checking – Operating</t>
        </is>
      </c>
      <c r="I888" s="33" t="n">
        <v>-1529.78</v>
      </c>
      <c r="J888" s="13">
        <f>+J887+I888</f>
        <v>2026849.89</v>
      </c>
      <c r="K888" s="19">
        <f>+EOMONTH(B888,0)</f>
        <v>46234</v>
      </c>
      <c r="L888" s="3" t="inlineStr">
        <is>
          <t>Checking – Operating</t>
        </is>
      </c>
      <c r="M888" s="3" t="inlineStr">
        <is>
          <t>Balance Sheet</t>
        </is>
      </c>
    </row>
    <row r="889">
      <c r="B889" s="39" t="n">
        <v>46209</v>
      </c>
      <c r="C889" s="3" t="inlineStr">
        <is>
          <t>Expense</t>
        </is>
      </c>
      <c r="D889" s="3" t="inlineStr"/>
      <c r="E889" s="3" t="inlineStr">
        <is>
          <t>Ledgerquill Billing SaaS</t>
        </is>
      </c>
      <c r="F889" s="3" t="inlineStr">
        <is>
          <t>Lab EMR Service – July</t>
        </is>
      </c>
      <c r="G889" s="3" t="inlineStr">
        <is>
          <t>Lab EMR Service</t>
        </is>
      </c>
      <c r="H889" s="3" t="inlineStr">
        <is>
          <t>Checking – Operating</t>
        </is>
      </c>
      <c r="I889" s="33" t="n">
        <v>-3874.32</v>
      </c>
      <c r="J889" s="13">
        <f>+J888+I889</f>
        <v>2022975.57</v>
      </c>
      <c r="K889" s="19">
        <f>+EOMONTH(B889,0)</f>
        <v>46234</v>
      </c>
      <c r="L889" s="3" t="inlineStr">
        <is>
          <t>Checking – Operating</t>
        </is>
      </c>
      <c r="M889" s="3" t="inlineStr">
        <is>
          <t>Balance Sheet</t>
        </is>
      </c>
    </row>
    <row r="890">
      <c r="B890" s="39" t="n">
        <v>46210</v>
      </c>
      <c r="C890" s="3" t="inlineStr">
        <is>
          <t>Bill Payment (Check)</t>
        </is>
      </c>
      <c r="D890" s="3" t="inlineStr"/>
      <c r="E890" s="3" t="inlineStr">
        <is>
          <t>Reference Lab A</t>
        </is>
      </c>
      <c r="F890" s="3" t="inlineStr">
        <is>
          <t>Send-out testing – June</t>
        </is>
      </c>
      <c r="G890" s="3" t="inlineStr">
        <is>
          <t>Accounts Payable</t>
        </is>
      </c>
      <c r="H890" s="3" t="inlineStr">
        <is>
          <t>Checking – Operating</t>
        </is>
      </c>
      <c r="I890" s="33" t="n">
        <v>-14237.39</v>
      </c>
      <c r="J890" s="13">
        <f>+J889+I890</f>
        <v>2008738.18</v>
      </c>
      <c r="K890" s="19">
        <f>+EOMONTH(B890,0)</f>
        <v>46234</v>
      </c>
      <c r="L890" s="3" t="inlineStr">
        <is>
          <t>Checking – Operating</t>
        </is>
      </c>
      <c r="M890" s="3" t="inlineStr">
        <is>
          <t>Balance Sheet</t>
        </is>
      </c>
    </row>
    <row r="891">
      <c r="B891" s="39" t="n">
        <v>46210</v>
      </c>
      <c r="C891" s="3" t="inlineStr">
        <is>
          <t>Bill Payment (Check)</t>
        </is>
      </c>
      <c r="D891" s="3" t="inlineStr"/>
      <c r="E891" s="3" t="inlineStr">
        <is>
          <t>Tarrowmere Mutual Insurance</t>
        </is>
      </c>
      <c r="F891" s="3" t="inlineStr">
        <is>
          <t>Premium installment</t>
        </is>
      </c>
      <c r="G891" s="3" t="inlineStr">
        <is>
          <t>Accounts Payable</t>
        </is>
      </c>
      <c r="H891" s="3" t="inlineStr">
        <is>
          <t>Checking – Operating</t>
        </is>
      </c>
      <c r="I891" s="33" t="n">
        <v>-3359.68</v>
      </c>
      <c r="J891" s="13">
        <f>+J890+I891</f>
        <v>2005378.5</v>
      </c>
      <c r="K891" s="19">
        <f>+EOMONTH(B891,0)</f>
        <v>46234</v>
      </c>
      <c r="L891" s="3" t="inlineStr">
        <is>
          <t>Checking – Operating</t>
        </is>
      </c>
      <c r="M891" s="3" t="inlineStr">
        <is>
          <t>Balance Sheet</t>
        </is>
      </c>
    </row>
    <row r="892">
      <c r="B892" s="39" t="n">
        <v>46210</v>
      </c>
      <c r="C892" s="3" t="inlineStr">
        <is>
          <t>Expense</t>
        </is>
      </c>
      <c r="D892" s="3" t="inlineStr"/>
      <c r="E892" s="3" t="inlineStr"/>
      <c r="F892" s="3" t="inlineStr">
        <is>
          <t>Gas – July</t>
        </is>
      </c>
      <c r="G892" s="3" t="inlineStr">
        <is>
          <t>Gas</t>
        </is>
      </c>
      <c r="H892" s="3" t="inlineStr">
        <is>
          <t>Checking – Operating</t>
        </is>
      </c>
      <c r="I892" s="33" t="n">
        <v>-673.45</v>
      </c>
      <c r="J892" s="13">
        <f>+J891+I892</f>
        <v>2004705.05</v>
      </c>
      <c r="K892" s="19">
        <f>+EOMONTH(B892,0)</f>
        <v>46234</v>
      </c>
      <c r="L892" s="3" t="inlineStr">
        <is>
          <t>Checking – Operating</t>
        </is>
      </c>
      <c r="M892" s="3" t="inlineStr">
        <is>
          <t>Balance Sheet</t>
        </is>
      </c>
    </row>
    <row r="893">
      <c r="B893" s="39" t="n">
        <v>46210</v>
      </c>
      <c r="C893" s="3" t="inlineStr">
        <is>
          <t>Expense</t>
        </is>
      </c>
      <c r="D893" s="3" t="inlineStr"/>
      <c r="E893" s="3" t="inlineStr"/>
      <c r="F893" s="3" t="inlineStr">
        <is>
          <t>Taxes and Licenses – July</t>
        </is>
      </c>
      <c r="G893" s="3" t="inlineStr">
        <is>
          <t>Taxes and Licenses</t>
        </is>
      </c>
      <c r="H893" s="3" t="inlineStr">
        <is>
          <t>Checking – Operating</t>
        </is>
      </c>
      <c r="I893" s="33" t="n">
        <v>-840</v>
      </c>
      <c r="J893" s="13">
        <f>+J892+I893</f>
        <v>2003865.05</v>
      </c>
      <c r="K893" s="19">
        <f>+EOMONTH(B893,0)</f>
        <v>46234</v>
      </c>
      <c r="L893" s="3" t="inlineStr">
        <is>
          <t>Checking – Operating</t>
        </is>
      </c>
      <c r="M893" s="3" t="inlineStr">
        <is>
          <t>Balance Sheet</t>
        </is>
      </c>
    </row>
    <row r="894">
      <c r="B894" s="39" t="n">
        <v>46210</v>
      </c>
      <c r="C894" s="3" t="inlineStr">
        <is>
          <t>Journal Entry</t>
        </is>
      </c>
      <c r="D894" s="3" t="inlineStr"/>
      <c r="E894" s="3" t="inlineStr">
        <is>
          <t>Vialtrace Lab Supplies Inc</t>
        </is>
      </c>
      <c r="F894" s="3" t="inlineStr">
        <is>
          <t>Office Supplies – July</t>
        </is>
      </c>
      <c r="G894" s="3" t="inlineStr">
        <is>
          <t>Office Supplies</t>
        </is>
      </c>
      <c r="H894" s="3" t="inlineStr">
        <is>
          <t>Checking – Operating</t>
        </is>
      </c>
      <c r="I894" s="33" t="n">
        <v>-1804.07</v>
      </c>
      <c r="J894" s="13">
        <f>+J893+I894</f>
        <v>2002060.98</v>
      </c>
      <c r="K894" s="19">
        <f>+EOMONTH(B894,0)</f>
        <v>46234</v>
      </c>
      <c r="L894" s="3" t="inlineStr">
        <is>
          <t>Checking – Operating</t>
        </is>
      </c>
      <c r="M894" s="3" t="inlineStr">
        <is>
          <t>Balance Sheet</t>
        </is>
      </c>
    </row>
    <row r="895">
      <c r="B895" s="39" t="n">
        <v>46210</v>
      </c>
      <c r="C895" s="3" t="inlineStr">
        <is>
          <t>Journal Entry</t>
        </is>
      </c>
      <c r="D895" s="3" t="inlineStr"/>
      <c r="E895" s="3" t="inlineStr">
        <is>
          <t>Lumenlease Equipment</t>
        </is>
      </c>
      <c r="F895" s="3" t="inlineStr">
        <is>
          <t>Repairs and Maintenance – July</t>
        </is>
      </c>
      <c r="G895" s="3" t="inlineStr">
        <is>
          <t>Repairs and Maintenance</t>
        </is>
      </c>
      <c r="H895" s="3" t="inlineStr">
        <is>
          <t>Checking – Operating</t>
        </is>
      </c>
      <c r="I895" s="33" t="n">
        <v>-1806.83</v>
      </c>
      <c r="J895" s="13">
        <f>+J894+I895</f>
        <v>2000254.15</v>
      </c>
      <c r="K895" s="19">
        <f>+EOMONTH(B895,0)</f>
        <v>46234</v>
      </c>
      <c r="L895" s="3" t="inlineStr">
        <is>
          <t>Checking – Operating</t>
        </is>
      </c>
      <c r="M895" s="3" t="inlineStr">
        <is>
          <t>Balance Sheet</t>
        </is>
      </c>
    </row>
    <row r="896">
      <c r="B896" s="39" t="n">
        <v>46210</v>
      </c>
      <c r="C896" s="3" t="inlineStr">
        <is>
          <t>Journal Entry</t>
        </is>
      </c>
      <c r="D896" s="3" t="inlineStr"/>
      <c r="E896" s="3" t="inlineStr">
        <is>
          <t>Union Utilities</t>
        </is>
      </c>
      <c r="F896" s="3" t="inlineStr">
        <is>
          <t>Fax Service – July</t>
        </is>
      </c>
      <c r="G896" s="3" t="inlineStr">
        <is>
          <t>Fax Service</t>
        </is>
      </c>
      <c r="H896" s="3" t="inlineStr">
        <is>
          <t>Checking – Operating</t>
        </is>
      </c>
      <c r="I896" s="33" t="n">
        <v>-551.25</v>
      </c>
      <c r="J896" s="13">
        <f>+J895+I896</f>
        <v>1999702.9</v>
      </c>
      <c r="K896" s="19">
        <f>+EOMONTH(B896,0)</f>
        <v>46234</v>
      </c>
      <c r="L896" s="3" t="inlineStr">
        <is>
          <t>Checking – Operating</t>
        </is>
      </c>
      <c r="M896" s="3" t="inlineStr">
        <is>
          <t>Balance Sheet</t>
        </is>
      </c>
    </row>
    <row r="897">
      <c r="B897" s="39" t="n">
        <v>46211</v>
      </c>
      <c r="C897" s="3" t="inlineStr">
        <is>
          <t>Credit Card Expense</t>
        </is>
      </c>
      <c r="D897" s="3" t="inlineStr"/>
      <c r="E897" s="3" t="inlineStr">
        <is>
          <t>Union Utilities</t>
        </is>
      </c>
      <c r="F897" s="3" t="inlineStr">
        <is>
          <t>Fax Service – July</t>
        </is>
      </c>
      <c r="G897" s="3" t="inlineStr">
        <is>
          <t>Fax Service</t>
        </is>
      </c>
      <c r="H897" s="3" t="inlineStr">
        <is>
          <t>Checking – Operating</t>
        </is>
      </c>
      <c r="I897" s="33" t="n">
        <v>-918.75</v>
      </c>
      <c r="J897" s="13">
        <f>+J896+I897</f>
        <v>1998784.15</v>
      </c>
      <c r="K897" s="19">
        <f>+EOMONTH(B897,0)</f>
        <v>46234</v>
      </c>
      <c r="L897" s="3" t="inlineStr">
        <is>
          <t>Checking – Operating</t>
        </is>
      </c>
      <c r="M897" s="3" t="inlineStr">
        <is>
          <t>Balance Sheet</t>
        </is>
      </c>
    </row>
    <row r="898">
      <c r="B898" s="39" t="n">
        <v>46211</v>
      </c>
      <c r="C898" s="3" t="inlineStr">
        <is>
          <t>Deposit</t>
        </is>
      </c>
      <c r="D898" s="3" t="inlineStr"/>
      <c r="E898" s="3" t="inlineStr">
        <is>
          <t>Marrowby Mutual</t>
        </is>
      </c>
      <c r="F898" s="3" t="inlineStr">
        <is>
          <t>ORIG CO NAME:MARROWBY MUTUAL ORIG ID:XXXXXX8653 DESC DATE:260708 CO ENTRY DESCR:HCCLAIMPMT SEC:CCD TRACE#:XXXXXXXX8237690 EED:260708 IND ID:</t>
        </is>
      </c>
      <c r="G898" s="3" t="inlineStr">
        <is>
          <t>Service Income</t>
        </is>
      </c>
      <c r="H898" s="3" t="inlineStr">
        <is>
          <t>Checking – Operating</t>
        </is>
      </c>
      <c r="I898" s="33" t="n">
        <v>104941.88</v>
      </c>
      <c r="J898" s="13">
        <f>+J897+I898</f>
        <v>2103726.03</v>
      </c>
      <c r="K898" s="19">
        <f>+EOMONTH(B898,0)</f>
        <v>46234</v>
      </c>
      <c r="L898" s="3" t="inlineStr">
        <is>
          <t>Checking – Operating</t>
        </is>
      </c>
      <c r="M898" s="3" t="inlineStr">
        <is>
          <t>Balance Sheet</t>
        </is>
      </c>
    </row>
    <row r="899">
      <c r="B899" s="39" t="n">
        <v>46211</v>
      </c>
      <c r="C899" s="3" t="inlineStr">
        <is>
          <t>Deposit</t>
        </is>
      </c>
      <c r="D899" s="3" t="inlineStr"/>
      <c r="E899" s="3" t="inlineStr">
        <is>
          <t>Federal Program A</t>
        </is>
      </c>
      <c r="F899" s="3" t="inlineStr">
        <is>
          <t>ORIG CO NAME:FEDERAL PROG A ORIG ID:XXXXXX3768 DESC DATE:260708 CO ENTRY DESCR:HCCLAIMPMT SEC:CCD TRACE#:XXXXXXXX6307493 EED:260708 IND ID:</t>
        </is>
      </c>
      <c r="G899" s="3" t="inlineStr">
        <is>
          <t>Service Income</t>
        </is>
      </c>
      <c r="H899" s="3" t="inlineStr">
        <is>
          <t>Checking – Operating</t>
        </is>
      </c>
      <c r="I899" s="33" t="n">
        <v>77249.55</v>
      </c>
      <c r="J899" s="13">
        <f>+J898+I899</f>
        <v>2180975.58</v>
      </c>
      <c r="K899" s="19">
        <f>+EOMONTH(B899,0)</f>
        <v>46234</v>
      </c>
      <c r="L899" s="3" t="inlineStr">
        <is>
          <t>Checking – Operating</t>
        </is>
      </c>
      <c r="M899" s="3" t="inlineStr">
        <is>
          <t>Balance Sheet</t>
        </is>
      </c>
    </row>
    <row r="900">
      <c r="B900" s="39" t="n">
        <v>46211</v>
      </c>
      <c r="C900" s="3" t="inlineStr">
        <is>
          <t>Expense</t>
        </is>
      </c>
      <c r="D900" s="3" t="inlineStr"/>
      <c r="E900" s="3" t="inlineStr">
        <is>
          <t>Consultant A</t>
        </is>
      </c>
      <c r="F900" s="3" t="inlineStr">
        <is>
          <t>Legal &amp; Professional Fees – July</t>
        </is>
      </c>
      <c r="G900" s="3" t="inlineStr">
        <is>
          <t>Legal &amp; Professional Fees</t>
        </is>
      </c>
      <c r="H900" s="3" t="inlineStr">
        <is>
          <t>Checking – Operating</t>
        </is>
      </c>
      <c r="I900" s="33" t="n">
        <v>-1181.05</v>
      </c>
      <c r="J900" s="13">
        <f>+J899+I900</f>
        <v>2179794.53</v>
      </c>
      <c r="K900" s="19">
        <f>+EOMONTH(B900,0)</f>
        <v>46234</v>
      </c>
      <c r="L900" s="3" t="inlineStr">
        <is>
          <t>Checking – Operating</t>
        </is>
      </c>
      <c r="M900" s="3" t="inlineStr">
        <is>
          <t>Balance Sheet</t>
        </is>
      </c>
    </row>
    <row r="901">
      <c r="B901" s="39" t="n">
        <v>46212</v>
      </c>
      <c r="C901" s="3" t="inlineStr">
        <is>
          <t>Bill Payment (Check)</t>
        </is>
      </c>
      <c r="D901" s="3" t="inlineStr"/>
      <c r="E901" s="3" t="inlineStr">
        <is>
          <t>Reference Lab A</t>
        </is>
      </c>
      <c r="F901" s="3" t="inlineStr">
        <is>
          <t>Send-out testing – June</t>
        </is>
      </c>
      <c r="G901" s="3" t="inlineStr">
        <is>
          <t>Accounts Payable</t>
        </is>
      </c>
      <c r="H901" s="3" t="inlineStr">
        <is>
          <t>Checking – Operating</t>
        </is>
      </c>
      <c r="I901" s="33" t="n">
        <v>-10827.2</v>
      </c>
      <c r="J901" s="13">
        <f>+J900+I901</f>
        <v>2168967.33</v>
      </c>
      <c r="K901" s="19">
        <f>+EOMONTH(B901,0)</f>
        <v>46234</v>
      </c>
      <c r="L901" s="3" t="inlineStr">
        <is>
          <t>Checking – Operating</t>
        </is>
      </c>
      <c r="M901" s="3" t="inlineStr">
        <is>
          <t>Balance Sheet</t>
        </is>
      </c>
    </row>
    <row r="902">
      <c r="B902" s="39" t="n">
        <v>46212</v>
      </c>
      <c r="C902" s="3" t="inlineStr">
        <is>
          <t>Bill Payment (Check)</t>
        </is>
      </c>
      <c r="D902" s="3" t="inlineStr"/>
      <c r="E902" s="3" t="inlineStr">
        <is>
          <t>Tarrowmere Mutual Insurance</t>
        </is>
      </c>
      <c r="F902" s="3" t="inlineStr">
        <is>
          <t>Benefits – June</t>
        </is>
      </c>
      <c r="G902" s="3" t="inlineStr">
        <is>
          <t>Accounts Payable</t>
        </is>
      </c>
      <c r="H902" s="3" t="inlineStr">
        <is>
          <t>Checking – Operating</t>
        </is>
      </c>
      <c r="I902" s="33" t="n">
        <v>-8368.940000000001</v>
      </c>
      <c r="J902" s="13">
        <f>+J901+I902</f>
        <v>2160598.39</v>
      </c>
      <c r="K902" s="19">
        <f>+EOMONTH(B902,0)</f>
        <v>46234</v>
      </c>
      <c r="L902" s="3" t="inlineStr">
        <is>
          <t>Checking – Operating</t>
        </is>
      </c>
      <c r="M902" s="3" t="inlineStr">
        <is>
          <t>Balance Sheet</t>
        </is>
      </c>
    </row>
    <row r="903">
      <c r="B903" s="39" t="n">
        <v>46212</v>
      </c>
      <c r="C903" s="3" t="inlineStr">
        <is>
          <t>Expense</t>
        </is>
      </c>
      <c r="D903" s="3" t="inlineStr"/>
      <c r="E903" s="3" t="inlineStr"/>
      <c r="F903" s="3" t="inlineStr">
        <is>
          <t>Bank service charges – July</t>
        </is>
      </c>
      <c r="G903" s="3" t="inlineStr">
        <is>
          <t>Bank Fees</t>
        </is>
      </c>
      <c r="H903" s="3" t="inlineStr">
        <is>
          <t>Checking – Operating</t>
        </is>
      </c>
      <c r="I903" s="33" t="n">
        <v>-2320.56</v>
      </c>
      <c r="J903" s="13">
        <f>+J902+I903</f>
        <v>2158277.83</v>
      </c>
      <c r="K903" s="19">
        <f>+EOMONTH(B903,0)</f>
        <v>46234</v>
      </c>
      <c r="L903" s="3" t="inlineStr">
        <is>
          <t>Checking – Operating</t>
        </is>
      </c>
      <c r="M903" s="3" t="inlineStr">
        <is>
          <t>Balance Sheet</t>
        </is>
      </c>
    </row>
    <row r="904">
      <c r="B904" s="39" t="n">
        <v>46212</v>
      </c>
      <c r="C904" s="3" t="inlineStr">
        <is>
          <t>Expense</t>
        </is>
      </c>
      <c r="D904" s="3" t="inlineStr"/>
      <c r="E904" s="3" t="inlineStr">
        <is>
          <t>Tessarand Payroll Services</t>
        </is>
      </c>
      <c r="F904" s="3" t="inlineStr">
        <is>
          <t>Contractors – July</t>
        </is>
      </c>
      <c r="G904" s="3" t="inlineStr">
        <is>
          <t>Contractors</t>
        </is>
      </c>
      <c r="H904" s="3" t="inlineStr">
        <is>
          <t>Checking – Operating</t>
        </is>
      </c>
      <c r="I904" s="33" t="n">
        <v>-8435.440000000001</v>
      </c>
      <c r="J904" s="13">
        <f>+J903+I904</f>
        <v>2149842.39</v>
      </c>
      <c r="K904" s="19">
        <f>+EOMONTH(B904,0)</f>
        <v>46234</v>
      </c>
      <c r="L904" s="3" t="inlineStr">
        <is>
          <t>Checking – Operating</t>
        </is>
      </c>
      <c r="M904" s="3" t="inlineStr">
        <is>
          <t>Balance Sheet</t>
        </is>
      </c>
    </row>
    <row r="905">
      <c r="B905" s="39" t="n">
        <v>46213</v>
      </c>
      <c r="C905" s="3" t="inlineStr">
        <is>
          <t>Bill Payment (Check)</t>
        </is>
      </c>
      <c r="D905" s="3" t="inlineStr"/>
      <c r="E905" s="3" t="inlineStr">
        <is>
          <t>Tarrowmere Mutual Insurance</t>
        </is>
      </c>
      <c r="F905" s="3" t="inlineStr">
        <is>
          <t>Premium installment</t>
        </is>
      </c>
      <c r="G905" s="3" t="inlineStr">
        <is>
          <t>Accounts Payable</t>
        </is>
      </c>
      <c r="H905" s="3" t="inlineStr">
        <is>
          <t>Checking – Operating</t>
        </is>
      </c>
      <c r="I905" s="33" t="n">
        <v>-3626.38</v>
      </c>
      <c r="J905" s="13">
        <f>+J904+I905</f>
        <v>2146216.01</v>
      </c>
      <c r="K905" s="19">
        <f>+EOMONTH(B905,0)</f>
        <v>46234</v>
      </c>
      <c r="L905" s="3" t="inlineStr">
        <is>
          <t>Checking – Operating</t>
        </is>
      </c>
      <c r="M905" s="3" t="inlineStr">
        <is>
          <t>Balance Sheet</t>
        </is>
      </c>
    </row>
    <row r="906">
      <c r="B906" s="39" t="n">
        <v>46213</v>
      </c>
      <c r="C906" s="3" t="inlineStr">
        <is>
          <t>Bill Payment (Check)</t>
        </is>
      </c>
      <c r="D906" s="3" t="inlineStr"/>
      <c r="E906" s="3" t="inlineStr">
        <is>
          <t>Lumenlease Equipment</t>
        </is>
      </c>
      <c r="F906" s="3" t="inlineStr">
        <is>
          <t>Equipment Lease – June</t>
        </is>
      </c>
      <c r="G906" s="3" t="inlineStr">
        <is>
          <t>Accounts Payable</t>
        </is>
      </c>
      <c r="H906" s="3" t="inlineStr">
        <is>
          <t>Checking – Operating</t>
        </is>
      </c>
      <c r="I906" s="33" t="n">
        <v>-3529.09</v>
      </c>
      <c r="J906" s="13">
        <f>+J905+I906</f>
        <v>2142686.92</v>
      </c>
      <c r="K906" s="19">
        <f>+EOMONTH(B906,0)</f>
        <v>46234</v>
      </c>
      <c r="L906" s="3" t="inlineStr">
        <is>
          <t>Checking – Operating</t>
        </is>
      </c>
      <c r="M906" s="3" t="inlineStr">
        <is>
          <t>Balance Sheet</t>
        </is>
      </c>
    </row>
    <row r="907">
      <c r="B907" s="39" t="n">
        <v>46213</v>
      </c>
      <c r="C907" s="3" t="inlineStr">
        <is>
          <t>Deposit</t>
        </is>
      </c>
      <c r="D907" s="3" t="inlineStr"/>
      <c r="E907" s="3" t="inlineStr">
        <is>
          <t>Lanternway Benefits</t>
        </is>
      </c>
      <c r="F907" s="3" t="inlineStr">
        <is>
          <t>ORIG CO NAME:LANTERNWAY BEN ORIG ID:XXXXXX2790 DESC DATE:260710 CO ENTRY DESCR:HCCLAIMPMT SEC:CCD TRACE#:XXXXXXXX2554313 EED:260710 IND ID:</t>
        </is>
      </c>
      <c r="G907" s="3" t="inlineStr">
        <is>
          <t>Service Income</t>
        </is>
      </c>
      <c r="H907" s="3" t="inlineStr">
        <is>
          <t>Checking – Operating</t>
        </is>
      </c>
      <c r="I907" s="33" t="n">
        <v>41975.72</v>
      </c>
      <c r="J907" s="13">
        <f>+J906+I907</f>
        <v>2184662.64</v>
      </c>
      <c r="K907" s="19">
        <f>+EOMONTH(B907,0)</f>
        <v>46234</v>
      </c>
      <c r="L907" s="3" t="inlineStr">
        <is>
          <t>Checking – Operating</t>
        </is>
      </c>
      <c r="M907" s="3" t="inlineStr">
        <is>
          <t>Balance Sheet</t>
        </is>
      </c>
    </row>
    <row r="908">
      <c r="B908" s="39" t="n">
        <v>46213</v>
      </c>
      <c r="C908" s="3" t="inlineStr">
        <is>
          <t>Deposit</t>
        </is>
      </c>
      <c r="D908" s="3" t="inlineStr"/>
      <c r="E908" s="3" t="inlineStr">
        <is>
          <t>Quayside Choice Senior Plan</t>
        </is>
      </c>
      <c r="F908" s="3" t="inlineStr">
        <is>
          <t>ORIG CO NAME:QUAYSIDE CHOICE SP ORIG ID:XXXXXX1695 DESC DATE:260710 CO ENTRY DESCR:HCCLAIMPMT SEC:CCD TRACE#:XXXXXXXX8856932 EED:260710 IND ID:</t>
        </is>
      </c>
      <c r="G908" s="3" t="inlineStr">
        <is>
          <t>Service Income</t>
        </is>
      </c>
      <c r="H908" s="3" t="inlineStr">
        <is>
          <t>Checking – Operating</t>
        </is>
      </c>
      <c r="I908" s="33" t="n">
        <v>29928.67</v>
      </c>
      <c r="J908" s="13">
        <f>+J907+I908</f>
        <v>2214591.31</v>
      </c>
      <c r="K908" s="19">
        <f>+EOMONTH(B908,0)</f>
        <v>46234</v>
      </c>
      <c r="L908" s="3" t="inlineStr">
        <is>
          <t>Checking – Operating</t>
        </is>
      </c>
      <c r="M908" s="3" t="inlineStr">
        <is>
          <t>Balance Sheet</t>
        </is>
      </c>
    </row>
    <row r="909">
      <c r="B909" s="39" t="n">
        <v>46214</v>
      </c>
      <c r="C909" s="3" t="inlineStr">
        <is>
          <t>Bill Payment (Check)</t>
        </is>
      </c>
      <c r="D909" s="3" t="inlineStr"/>
      <c r="E909" s="3" t="inlineStr">
        <is>
          <t>Reagentix Corp</t>
        </is>
      </c>
      <c r="F909" s="3" t="inlineStr">
        <is>
          <t>Lab supplies PO# F2667</t>
        </is>
      </c>
      <c r="G909" s="3" t="inlineStr">
        <is>
          <t>Accounts Payable</t>
        </is>
      </c>
      <c r="H909" s="3" t="inlineStr">
        <is>
          <t>Checking – Operating</t>
        </is>
      </c>
      <c r="I909" s="33" t="n">
        <v>-8280.23</v>
      </c>
      <c r="J909" s="13">
        <f>+J908+I909</f>
        <v>2206311.08</v>
      </c>
      <c r="K909" s="19">
        <f>+EOMONTH(B909,0)</f>
        <v>46234</v>
      </c>
      <c r="L909" s="3" t="inlineStr">
        <is>
          <t>Checking – Operating</t>
        </is>
      </c>
      <c r="M909" s="3" t="inlineStr">
        <is>
          <t>Balance Sheet</t>
        </is>
      </c>
    </row>
    <row r="910">
      <c r="B910" s="39" t="n">
        <v>46214</v>
      </c>
      <c r="C910" s="3" t="inlineStr">
        <is>
          <t>Credit Card Expense</t>
        </is>
      </c>
      <c r="D910" s="3" t="inlineStr"/>
      <c r="E910" s="3" t="inlineStr"/>
      <c r="F910" s="3" t="inlineStr">
        <is>
          <t>Patient refund</t>
        </is>
      </c>
      <c r="G910" s="3" t="inlineStr">
        <is>
          <t>Refunds</t>
        </is>
      </c>
      <c r="H910" s="3" t="inlineStr">
        <is>
          <t>Checking – Operating</t>
        </is>
      </c>
      <c r="I910" s="33" t="n">
        <v>-4049.19</v>
      </c>
      <c r="J910" s="13">
        <f>+J909+I910</f>
        <v>2202261.89</v>
      </c>
      <c r="K910" s="19">
        <f>+EOMONTH(B910,0)</f>
        <v>46234</v>
      </c>
      <c r="L910" s="3" t="inlineStr">
        <is>
          <t>Checking – Operating</t>
        </is>
      </c>
      <c r="M910" s="3" t="inlineStr">
        <is>
          <t>Balance Sheet</t>
        </is>
      </c>
    </row>
    <row r="911">
      <c r="B911" s="39" t="n">
        <v>46214</v>
      </c>
      <c r="C911" s="3" t="inlineStr">
        <is>
          <t>Expense</t>
        </is>
      </c>
      <c r="D911" s="3" t="inlineStr"/>
      <c r="E911" s="3" t="inlineStr"/>
      <c r="F911" s="3" t="inlineStr">
        <is>
          <t>Parking – July</t>
        </is>
      </c>
      <c r="G911" s="3" t="inlineStr">
        <is>
          <t>Parking</t>
        </is>
      </c>
      <c r="H911" s="3" t="inlineStr">
        <is>
          <t>Checking – Operating</t>
        </is>
      </c>
      <c r="I911" s="33" t="n">
        <v>-733.48</v>
      </c>
      <c r="J911" s="13">
        <f>+J910+I911</f>
        <v>2201528.41</v>
      </c>
      <c r="K911" s="19">
        <f>+EOMONTH(B911,0)</f>
        <v>46234</v>
      </c>
      <c r="L911" s="3" t="inlineStr">
        <is>
          <t>Checking – Operating</t>
        </is>
      </c>
      <c r="M911" s="3" t="inlineStr">
        <is>
          <t>Balance Sheet</t>
        </is>
      </c>
    </row>
    <row r="912">
      <c r="B912" s="39" t="n">
        <v>46214</v>
      </c>
      <c r="C912" s="3" t="inlineStr">
        <is>
          <t>Expense</t>
        </is>
      </c>
      <c r="D912" s="3" t="inlineStr"/>
      <c r="E912" s="3" t="inlineStr">
        <is>
          <t>Swiftmere Courier</t>
        </is>
      </c>
      <c r="F912" s="3" t="inlineStr">
        <is>
          <t>Postage and Delivery – July</t>
        </is>
      </c>
      <c r="G912" s="3" t="inlineStr">
        <is>
          <t>Postage and Delivery</t>
        </is>
      </c>
      <c r="H912" s="3" t="inlineStr">
        <is>
          <t>Checking – Operating</t>
        </is>
      </c>
      <c r="I912" s="33" t="n">
        <v>-400.07</v>
      </c>
      <c r="J912" s="13">
        <f>+J911+I912</f>
        <v>2201128.34</v>
      </c>
      <c r="K912" s="19">
        <f>+EOMONTH(B912,0)</f>
        <v>46234</v>
      </c>
      <c r="L912" s="3" t="inlineStr">
        <is>
          <t>Checking – Operating</t>
        </is>
      </c>
      <c r="M912" s="3" t="inlineStr">
        <is>
          <t>Balance Sheet</t>
        </is>
      </c>
    </row>
    <row r="913">
      <c r="B913" s="39" t="n">
        <v>46215</v>
      </c>
      <c r="C913" s="3" t="inlineStr">
        <is>
          <t>Deposit</t>
        </is>
      </c>
      <c r="D913" s="3" t="inlineStr"/>
      <c r="E913" s="3" t="inlineStr">
        <is>
          <t>State Program B</t>
        </is>
      </c>
      <c r="F913" s="3" t="inlineStr">
        <is>
          <t>ORIG CO NAME:STATE PROG B ORIG ID:XXXXXX2994 DESC DATE:260712 CO ENTRY DESCR:HCCLAIMPMT SEC:CCD TRACE#:XXXXXXXX8282527 EED:260712 IND ID:</t>
        </is>
      </c>
      <c r="G913" s="3" t="inlineStr">
        <is>
          <t>Service Income</t>
        </is>
      </c>
      <c r="H913" s="3" t="inlineStr">
        <is>
          <t>Checking – Operating</t>
        </is>
      </c>
      <c r="I913" s="33" t="n">
        <v>36765.42</v>
      </c>
      <c r="J913" s="13">
        <f>+J912+I913</f>
        <v>2237893.76</v>
      </c>
      <c r="K913" s="19">
        <f>+EOMONTH(B913,0)</f>
        <v>46234</v>
      </c>
      <c r="L913" s="3" t="inlineStr">
        <is>
          <t>Checking – Operating</t>
        </is>
      </c>
      <c r="M913" s="3" t="inlineStr">
        <is>
          <t>Balance Sheet</t>
        </is>
      </c>
    </row>
    <row r="914">
      <c r="B914" s="39" t="n">
        <v>46215</v>
      </c>
      <c r="C914" s="3" t="inlineStr">
        <is>
          <t>Deposit</t>
        </is>
      </c>
      <c r="D914" s="3" t="inlineStr"/>
      <c r="E914" s="3" t="inlineStr">
        <is>
          <t>Lanternway Benefits</t>
        </is>
      </c>
      <c r="F914" s="3" t="inlineStr">
        <is>
          <t>ORIG CO NAME:LANTERNWAY BEN ORIG ID:XXXXXX3789 DESC DATE:260712 CO ENTRY DESCR:HCCLAIMPMT SEC:CCD TRACE#:XXXXXXXX9249650 EED:260712 IND ID:</t>
        </is>
      </c>
      <c r="G914" s="3" t="inlineStr">
        <is>
          <t>Service Income</t>
        </is>
      </c>
      <c r="H914" s="3" t="inlineStr">
        <is>
          <t>Checking – Operating</t>
        </is>
      </c>
      <c r="I914" s="33" t="n">
        <v>46176.61</v>
      </c>
      <c r="J914" s="13">
        <f>+J913+I914</f>
        <v>2284070.37</v>
      </c>
      <c r="K914" s="19">
        <f>+EOMONTH(B914,0)</f>
        <v>46234</v>
      </c>
      <c r="L914" s="3" t="inlineStr">
        <is>
          <t>Checking – Operating</t>
        </is>
      </c>
      <c r="M914" s="3" t="inlineStr">
        <is>
          <t>Balance Sheet</t>
        </is>
      </c>
    </row>
    <row r="915">
      <c r="B915" s="39" t="n">
        <v>46215</v>
      </c>
      <c r="C915" s="3" t="inlineStr">
        <is>
          <t>Payroll Check</t>
        </is>
      </c>
      <c r="D915" s="3" t="inlineStr"/>
      <c r="E915" s="3" t="inlineStr">
        <is>
          <t>Tessarand Payroll Services</t>
        </is>
      </c>
      <c r="F915" s="3" t="inlineStr">
        <is>
          <t>Payroll taxes – biweekly</t>
        </is>
      </c>
      <c r="G915" s="3" t="inlineStr">
        <is>
          <t>Payroll Taxes</t>
        </is>
      </c>
      <c r="H915" s="3" t="inlineStr">
        <is>
          <t>Checking – Operating</t>
        </is>
      </c>
      <c r="I915" s="33" t="n">
        <v>-1004.2</v>
      </c>
      <c r="J915" s="13">
        <f>+J914+I915</f>
        <v>2283066.17</v>
      </c>
      <c r="K915" s="19">
        <f>+EOMONTH(B915,0)</f>
        <v>46234</v>
      </c>
      <c r="L915" s="3" t="inlineStr">
        <is>
          <t>Checking – Operating</t>
        </is>
      </c>
      <c r="M915" s="3" t="inlineStr">
        <is>
          <t>Balance Sheet</t>
        </is>
      </c>
    </row>
    <row r="916">
      <c r="B916" s="39" t="n">
        <v>46216</v>
      </c>
      <c r="C916" s="3" t="inlineStr">
        <is>
          <t>Bill Payment (Check)</t>
        </is>
      </c>
      <c r="D916" s="3" t="inlineStr"/>
      <c r="E916" s="3" t="inlineStr">
        <is>
          <t>Ledgerquill Billing SaaS</t>
        </is>
      </c>
      <c r="F916" s="3" t="inlineStr">
        <is>
          <t>Billing Software as a Service – June</t>
        </is>
      </c>
      <c r="G916" s="3" t="inlineStr">
        <is>
          <t>Accounts Payable</t>
        </is>
      </c>
      <c r="H916" s="3" t="inlineStr">
        <is>
          <t>Checking – Operating</t>
        </is>
      </c>
      <c r="I916" s="33" t="n">
        <v>-13721.3</v>
      </c>
      <c r="J916" s="13">
        <f>+J915+I916</f>
        <v>2269344.87</v>
      </c>
      <c r="K916" s="19">
        <f>+EOMONTH(B916,0)</f>
        <v>46234</v>
      </c>
      <c r="L916" s="3" t="inlineStr">
        <is>
          <t>Checking – Operating</t>
        </is>
      </c>
      <c r="M916" s="3" t="inlineStr">
        <is>
          <t>Balance Sheet</t>
        </is>
      </c>
    </row>
    <row r="917">
      <c r="B917" s="39" t="n">
        <v>46216</v>
      </c>
      <c r="C917" s="3" t="inlineStr">
        <is>
          <t>Bill Payment (Check)</t>
        </is>
      </c>
      <c r="D917" s="3" t="inlineStr"/>
      <c r="E917" s="3" t="inlineStr">
        <is>
          <t>Union Utilities</t>
        </is>
      </c>
      <c r="F917" s="3" t="inlineStr">
        <is>
          <t>Utilities – June</t>
        </is>
      </c>
      <c r="G917" s="3" t="inlineStr">
        <is>
          <t>Accounts Payable</t>
        </is>
      </c>
      <c r="H917" s="3" t="inlineStr">
        <is>
          <t>Checking – Operating</t>
        </is>
      </c>
      <c r="I917" s="33" t="n">
        <v>-4056.73</v>
      </c>
      <c r="J917" s="13">
        <f>+J916+I917</f>
        <v>2265288.14</v>
      </c>
      <c r="K917" s="19">
        <f>+EOMONTH(B917,0)</f>
        <v>46234</v>
      </c>
      <c r="L917" s="3" t="inlineStr">
        <is>
          <t>Checking – Operating</t>
        </is>
      </c>
      <c r="M917" s="3" t="inlineStr">
        <is>
          <t>Balance Sheet</t>
        </is>
      </c>
    </row>
    <row r="918">
      <c r="B918" s="39" t="n">
        <v>46216</v>
      </c>
      <c r="C918" s="3" t="inlineStr">
        <is>
          <t>Expense</t>
        </is>
      </c>
      <c r="D918" s="3" t="inlineStr"/>
      <c r="E918" s="3" t="inlineStr">
        <is>
          <t>Ledgerquill Billing SaaS</t>
        </is>
      </c>
      <c r="F918" s="3" t="inlineStr">
        <is>
          <t>Software – July</t>
        </is>
      </c>
      <c r="G918" s="3" t="inlineStr">
        <is>
          <t>Software</t>
        </is>
      </c>
      <c r="H918" s="3" t="inlineStr">
        <is>
          <t>Checking – Operating</t>
        </is>
      </c>
      <c r="I918" s="33" t="n">
        <v>-2403.5</v>
      </c>
      <c r="J918" s="13">
        <f>+J917+I918</f>
        <v>2262884.64</v>
      </c>
      <c r="K918" s="19">
        <f>+EOMONTH(B918,0)</f>
        <v>46234</v>
      </c>
      <c r="L918" s="3" t="inlineStr">
        <is>
          <t>Checking – Operating</t>
        </is>
      </c>
      <c r="M918" s="3" t="inlineStr">
        <is>
          <t>Balance Sheet</t>
        </is>
      </c>
    </row>
    <row r="919">
      <c r="B919" s="39" t="n">
        <v>46216</v>
      </c>
      <c r="C919" s="3" t="inlineStr">
        <is>
          <t>Journal Entry</t>
        </is>
      </c>
      <c r="D919" s="3" t="inlineStr"/>
      <c r="E919" s="3" t="inlineStr">
        <is>
          <t>Halloway Ridge Realty (rent)</t>
        </is>
      </c>
      <c r="F919" s="3" t="inlineStr">
        <is>
          <t>Landscaping – July</t>
        </is>
      </c>
      <c r="G919" s="3" t="inlineStr">
        <is>
          <t>Landscaping</t>
        </is>
      </c>
      <c r="H919" s="3" t="inlineStr">
        <is>
          <t>Checking – Operating</t>
        </is>
      </c>
      <c r="I919" s="33" t="n">
        <v>-944.26</v>
      </c>
      <c r="J919" s="13">
        <f>+J918+I919</f>
        <v>2261940.38</v>
      </c>
      <c r="K919" s="19">
        <f>+EOMONTH(B919,0)</f>
        <v>46234</v>
      </c>
      <c r="L919" s="3" t="inlineStr">
        <is>
          <t>Checking – Operating</t>
        </is>
      </c>
      <c r="M919" s="3" t="inlineStr">
        <is>
          <t>Balance Sheet</t>
        </is>
      </c>
    </row>
    <row r="920">
      <c r="B920" s="39" t="n">
        <v>46217</v>
      </c>
      <c r="C920" s="3" t="inlineStr">
        <is>
          <t>Bill Payment (Check)</t>
        </is>
      </c>
      <c r="D920" s="3" t="inlineStr"/>
      <c r="E920" s="3" t="inlineStr">
        <is>
          <t>Reagentix Corp</t>
        </is>
      </c>
      <c r="F920" s="3" t="inlineStr">
        <is>
          <t>Lab Expenses – June</t>
        </is>
      </c>
      <c r="G920" s="3" t="inlineStr">
        <is>
          <t>Accounts Payable</t>
        </is>
      </c>
      <c r="H920" s="3" t="inlineStr">
        <is>
          <t>Checking – Operating</t>
        </is>
      </c>
      <c r="I920" s="33" t="n">
        <v>-5093.9</v>
      </c>
      <c r="J920" s="13">
        <f>+J919+I920</f>
        <v>2256846.48</v>
      </c>
      <c r="K920" s="19">
        <f>+EOMONTH(B920,0)</f>
        <v>46234</v>
      </c>
      <c r="L920" s="3" t="inlineStr">
        <is>
          <t>Checking – Operating</t>
        </is>
      </c>
      <c r="M920" s="3" t="inlineStr">
        <is>
          <t>Balance Sheet</t>
        </is>
      </c>
    </row>
    <row r="921">
      <c r="B921" s="39" t="n">
        <v>46217</v>
      </c>
      <c r="C921" s="3" t="inlineStr">
        <is>
          <t>Bill Payment (Check)</t>
        </is>
      </c>
      <c r="D921" s="3" t="inlineStr"/>
      <c r="E921" s="3" t="inlineStr">
        <is>
          <t>Tarrowmere Mutual Insurance</t>
        </is>
      </c>
      <c r="F921" s="3" t="inlineStr">
        <is>
          <t>Premium installment</t>
        </is>
      </c>
      <c r="G921" s="3" t="inlineStr">
        <is>
          <t>Accounts Payable</t>
        </is>
      </c>
      <c r="H921" s="3" t="inlineStr">
        <is>
          <t>Checking – Operating</t>
        </is>
      </c>
      <c r="I921" s="33" t="n">
        <v>-3555.24</v>
      </c>
      <c r="J921" s="13">
        <f>+J920+I921</f>
        <v>2253291.24</v>
      </c>
      <c r="K921" s="19">
        <f>+EOMONTH(B921,0)</f>
        <v>46234</v>
      </c>
      <c r="L921" s="3" t="inlineStr">
        <is>
          <t>Checking – Operating</t>
        </is>
      </c>
      <c r="M921" s="3" t="inlineStr">
        <is>
          <t>Balance Sheet</t>
        </is>
      </c>
    </row>
    <row r="922">
      <c r="B922" s="39" t="n">
        <v>46218</v>
      </c>
      <c r="C922" s="3" t="inlineStr">
        <is>
          <t>Bill Payment (Check)</t>
        </is>
      </c>
      <c r="D922" s="3" t="inlineStr"/>
      <c r="E922" s="3" t="inlineStr">
        <is>
          <t>Ledgerquill Billing SaaS</t>
        </is>
      </c>
      <c r="F922" s="3" t="inlineStr">
        <is>
          <t>Billing Software as a Service – June</t>
        </is>
      </c>
      <c r="G922" s="3" t="inlineStr">
        <is>
          <t>Accounts Payable</t>
        </is>
      </c>
      <c r="H922" s="3" t="inlineStr">
        <is>
          <t>Checking – Operating</t>
        </is>
      </c>
      <c r="I922" s="33" t="n">
        <v>-16584.79</v>
      </c>
      <c r="J922" s="13">
        <f>+J921+I922</f>
        <v>2236706.45</v>
      </c>
      <c r="K922" s="19">
        <f>+EOMONTH(B922,0)</f>
        <v>46234</v>
      </c>
      <c r="L922" s="3" t="inlineStr">
        <is>
          <t>Checking – Operating</t>
        </is>
      </c>
      <c r="M922" s="3" t="inlineStr">
        <is>
          <t>Balance Sheet</t>
        </is>
      </c>
    </row>
    <row r="923">
      <c r="B923" s="39" t="n">
        <v>46218</v>
      </c>
      <c r="C923" s="3" t="inlineStr">
        <is>
          <t>Credit Card Expense</t>
        </is>
      </c>
      <c r="D923" s="3" t="inlineStr"/>
      <c r="E923" s="3" t="inlineStr"/>
      <c r="F923" s="3" t="inlineStr">
        <is>
          <t>Business Licenses and Permits – July</t>
        </is>
      </c>
      <c r="G923" s="3" t="inlineStr">
        <is>
          <t>Business Licenses and Permits</t>
        </is>
      </c>
      <c r="H923" s="3" t="inlineStr">
        <is>
          <t>Checking – Operating</t>
        </is>
      </c>
      <c r="I923" s="33" t="n">
        <v>-778.11</v>
      </c>
      <c r="J923" s="13">
        <f>+J922+I923</f>
        <v>2235928.34</v>
      </c>
      <c r="K923" s="19">
        <f>+EOMONTH(B923,0)</f>
        <v>46234</v>
      </c>
      <c r="L923" s="3" t="inlineStr">
        <is>
          <t>Checking – Operating</t>
        </is>
      </c>
      <c r="M923" s="3" t="inlineStr">
        <is>
          <t>Balance Sheet</t>
        </is>
      </c>
    </row>
    <row r="924">
      <c r="B924" s="39" t="n">
        <v>46218</v>
      </c>
      <c r="C924" s="3" t="inlineStr">
        <is>
          <t>Journal Entry</t>
        </is>
      </c>
      <c r="D924" s="3" t="inlineStr"/>
      <c r="E924" s="3" t="inlineStr"/>
      <c r="F924" s="3" t="inlineStr">
        <is>
          <t>Bank service charges – July</t>
        </is>
      </c>
      <c r="G924" s="3" t="inlineStr">
        <is>
          <t>Bank Fees</t>
        </is>
      </c>
      <c r="H924" s="3" t="inlineStr">
        <is>
          <t>Checking – Operating</t>
        </is>
      </c>
      <c r="I924" s="33" t="n">
        <v>-1459.44</v>
      </c>
      <c r="J924" s="13">
        <f>+J923+I924</f>
        <v>2234468.9</v>
      </c>
      <c r="K924" s="19">
        <f>+EOMONTH(B924,0)</f>
        <v>46234</v>
      </c>
      <c r="L924" s="3" t="inlineStr">
        <is>
          <t>Checking – Operating</t>
        </is>
      </c>
      <c r="M924" s="3" t="inlineStr">
        <is>
          <t>Balance Sheet</t>
        </is>
      </c>
    </row>
    <row r="925">
      <c r="B925" s="39" t="n">
        <v>46218</v>
      </c>
      <c r="C925" s="3" t="inlineStr">
        <is>
          <t>Journal Entry</t>
        </is>
      </c>
      <c r="D925" s="3" t="inlineStr"/>
      <c r="E925" s="3" t="inlineStr">
        <is>
          <t>Vialtrace Lab Supplies Inc</t>
        </is>
      </c>
      <c r="F925" s="3" t="inlineStr">
        <is>
          <t>Office Supplies – July</t>
        </is>
      </c>
      <c r="G925" s="3" t="inlineStr">
        <is>
          <t>Office Supplies</t>
        </is>
      </c>
      <c r="H925" s="3" t="inlineStr">
        <is>
          <t>Checking – Operating</t>
        </is>
      </c>
      <c r="I925" s="33" t="n">
        <v>-1395.93</v>
      </c>
      <c r="J925" s="13">
        <f>+J924+I925</f>
        <v>2233072.97</v>
      </c>
      <c r="K925" s="19">
        <f>+EOMONTH(B925,0)</f>
        <v>46234</v>
      </c>
      <c r="L925" s="3" t="inlineStr">
        <is>
          <t>Checking – Operating</t>
        </is>
      </c>
      <c r="M925" s="3" t="inlineStr">
        <is>
          <t>Balance Sheet</t>
        </is>
      </c>
    </row>
    <row r="926">
      <c r="B926" s="39" t="n">
        <v>46218</v>
      </c>
      <c r="C926" s="3" t="inlineStr">
        <is>
          <t>Journal Entry</t>
        </is>
      </c>
      <c r="D926" s="3" t="inlineStr"/>
      <c r="E926" s="3" t="inlineStr">
        <is>
          <t>Lumenlease Equipment</t>
        </is>
      </c>
      <c r="F926" s="3" t="inlineStr">
        <is>
          <t>Repairs and Maintenance – July</t>
        </is>
      </c>
      <c r="G926" s="3" t="inlineStr">
        <is>
          <t>Repairs and Maintenance</t>
        </is>
      </c>
      <c r="H926" s="3" t="inlineStr">
        <is>
          <t>Checking – Operating</t>
        </is>
      </c>
      <c r="I926" s="33" t="n">
        <v>-2093.17</v>
      </c>
      <c r="J926" s="13">
        <f>+J925+I926</f>
        <v>2230979.8</v>
      </c>
      <c r="K926" s="19">
        <f>+EOMONTH(B926,0)</f>
        <v>46234</v>
      </c>
      <c r="L926" s="3" t="inlineStr">
        <is>
          <t>Checking – Operating</t>
        </is>
      </c>
      <c r="M926" s="3" t="inlineStr">
        <is>
          <t>Balance Sheet</t>
        </is>
      </c>
    </row>
    <row r="927">
      <c r="B927" s="39" t="n">
        <v>46219</v>
      </c>
      <c r="C927" s="3" t="inlineStr">
        <is>
          <t>Expense</t>
        </is>
      </c>
      <c r="D927" s="3" t="inlineStr"/>
      <c r="E927" s="3" t="inlineStr">
        <is>
          <t>Consultant A</t>
        </is>
      </c>
      <c r="F927" s="3" t="inlineStr">
        <is>
          <t>Professional Fees – July</t>
        </is>
      </c>
      <c r="G927" s="3" t="inlineStr">
        <is>
          <t>Professional Fees</t>
        </is>
      </c>
      <c r="H927" s="3" t="inlineStr">
        <is>
          <t>Checking – Operating</t>
        </is>
      </c>
      <c r="I927" s="33" t="n">
        <v>-5560.87</v>
      </c>
      <c r="J927" s="13">
        <f>+J926+I927</f>
        <v>2225418.93</v>
      </c>
      <c r="K927" s="19">
        <f>+EOMONTH(B927,0)</f>
        <v>46234</v>
      </c>
      <c r="L927" s="3" t="inlineStr">
        <is>
          <t>Checking – Operating</t>
        </is>
      </c>
      <c r="M927" s="3" t="inlineStr">
        <is>
          <t>Balance Sheet</t>
        </is>
      </c>
    </row>
    <row r="928">
      <c r="B928" s="39" t="n">
        <v>46219</v>
      </c>
      <c r="C928" s="3" t="inlineStr">
        <is>
          <t>Expense</t>
        </is>
      </c>
      <c r="D928" s="3" t="inlineStr"/>
      <c r="E928" s="3" t="inlineStr">
        <is>
          <t>Reagentix Corp</t>
        </is>
      </c>
      <c r="F928" s="3" t="inlineStr">
        <is>
          <t>QAQC – July</t>
        </is>
      </c>
      <c r="G928" s="3" t="inlineStr">
        <is>
          <t>QAQC</t>
        </is>
      </c>
      <c r="H928" s="3" t="inlineStr">
        <is>
          <t>Checking – Operating</t>
        </is>
      </c>
      <c r="I928" s="33" t="n">
        <v>-1588.46</v>
      </c>
      <c r="J928" s="13">
        <f>+J927+I928</f>
        <v>2223830.47</v>
      </c>
      <c r="K928" s="19">
        <f>+EOMONTH(B928,0)</f>
        <v>46234</v>
      </c>
      <c r="L928" s="3" t="inlineStr">
        <is>
          <t>Checking – Operating</t>
        </is>
      </c>
      <c r="M928" s="3" t="inlineStr">
        <is>
          <t>Balance Sheet</t>
        </is>
      </c>
    </row>
    <row r="929">
      <c r="B929" s="39" t="n">
        <v>46219</v>
      </c>
      <c r="C929" s="3" t="inlineStr">
        <is>
          <t>Expense</t>
        </is>
      </c>
      <c r="D929" s="3" t="inlineStr"/>
      <c r="E929" s="3" t="inlineStr"/>
      <c r="F929" s="3" t="inlineStr">
        <is>
          <t>Business Licenses and Permits – July</t>
        </is>
      </c>
      <c r="G929" s="3" t="inlineStr">
        <is>
          <t>Business Licenses and Permits</t>
        </is>
      </c>
      <c r="H929" s="3" t="inlineStr">
        <is>
          <t>Checking – Operating</t>
        </is>
      </c>
      <c r="I929" s="33" t="n">
        <v>-481.89</v>
      </c>
      <c r="J929" s="13">
        <f>+J928+I929</f>
        <v>2223348.58</v>
      </c>
      <c r="K929" s="19">
        <f>+EOMONTH(B929,0)</f>
        <v>46234</v>
      </c>
      <c r="L929" s="3" t="inlineStr">
        <is>
          <t>Checking – Operating</t>
        </is>
      </c>
      <c r="M929" s="3" t="inlineStr">
        <is>
          <t>Balance Sheet</t>
        </is>
      </c>
    </row>
    <row r="930">
      <c r="B930" s="39" t="n">
        <v>46220</v>
      </c>
      <c r="C930" s="3" t="inlineStr">
        <is>
          <t>Bill Payment (Check)</t>
        </is>
      </c>
      <c r="D930" s="3" t="inlineStr"/>
      <c r="E930" s="3" t="inlineStr">
        <is>
          <t>Reagentix Corp</t>
        </is>
      </c>
      <c r="F930" s="3" t="inlineStr">
        <is>
          <t>Lab supplies PO# F2782</t>
        </is>
      </c>
      <c r="G930" s="3" t="inlineStr">
        <is>
          <t>Accounts Payable</t>
        </is>
      </c>
      <c r="H930" s="3" t="inlineStr">
        <is>
          <t>Checking – Operating</t>
        </is>
      </c>
      <c r="I930" s="33" t="n">
        <v>-26503.39</v>
      </c>
      <c r="J930" s="13">
        <f>+J929+I930</f>
        <v>2196845.19</v>
      </c>
      <c r="K930" s="19">
        <f>+EOMONTH(B930,0)</f>
        <v>46234</v>
      </c>
      <c r="L930" s="3" t="inlineStr">
        <is>
          <t>Checking – Operating</t>
        </is>
      </c>
      <c r="M930" s="3" t="inlineStr">
        <is>
          <t>Balance Sheet</t>
        </is>
      </c>
    </row>
    <row r="931">
      <c r="B931" s="39" t="n">
        <v>46220</v>
      </c>
      <c r="C931" s="3" t="inlineStr">
        <is>
          <t>Bill Payment (Check)</t>
        </is>
      </c>
      <c r="D931" s="3" t="inlineStr"/>
      <c r="E931" s="3" t="inlineStr">
        <is>
          <t>Swiftmere Courier</t>
        </is>
      </c>
      <c r="F931" s="3" t="inlineStr">
        <is>
          <t>Delivery and Transportation – July</t>
        </is>
      </c>
      <c r="G931" s="3" t="inlineStr">
        <is>
          <t>Accounts Payable</t>
        </is>
      </c>
      <c r="H931" s="3" t="inlineStr">
        <is>
          <t>Checking – Operating</t>
        </is>
      </c>
      <c r="I931" s="33" t="n">
        <v>-3967.65</v>
      </c>
      <c r="J931" s="13">
        <f>+J930+I931</f>
        <v>2192877.54</v>
      </c>
      <c r="K931" s="19">
        <f>+EOMONTH(B931,0)</f>
        <v>46234</v>
      </c>
      <c r="L931" s="3" t="inlineStr">
        <is>
          <t>Checking – Operating</t>
        </is>
      </c>
      <c r="M931" s="3" t="inlineStr">
        <is>
          <t>Balance Sheet</t>
        </is>
      </c>
    </row>
    <row r="932">
      <c r="B932" s="39" t="n">
        <v>46220</v>
      </c>
      <c r="C932" s="3" t="inlineStr">
        <is>
          <t>Bill Payment (Check)</t>
        </is>
      </c>
      <c r="D932" s="3" t="inlineStr"/>
      <c r="E932" s="3" t="inlineStr">
        <is>
          <t>Lumenlease Equipment</t>
        </is>
      </c>
      <c r="F932" s="3" t="inlineStr">
        <is>
          <t>Equipment Lease – July</t>
        </is>
      </c>
      <c r="G932" s="3" t="inlineStr">
        <is>
          <t>Accounts Payable</t>
        </is>
      </c>
      <c r="H932" s="3" t="inlineStr">
        <is>
          <t>Checking – Operating</t>
        </is>
      </c>
      <c r="I932" s="33" t="n">
        <v>-2481.52</v>
      </c>
      <c r="J932" s="13">
        <f>+J931+I932</f>
        <v>2190396.02</v>
      </c>
      <c r="K932" s="19">
        <f>+EOMONTH(B932,0)</f>
        <v>46234</v>
      </c>
      <c r="L932" s="3" t="inlineStr">
        <is>
          <t>Checking – Operating</t>
        </is>
      </c>
      <c r="M932" s="3" t="inlineStr">
        <is>
          <t>Balance Sheet</t>
        </is>
      </c>
    </row>
    <row r="933">
      <c r="B933" s="39" t="n">
        <v>46220</v>
      </c>
      <c r="C933" s="3" t="inlineStr">
        <is>
          <t>Bill Payment (Check)</t>
        </is>
      </c>
      <c r="D933" s="3" t="inlineStr"/>
      <c r="E933" s="3" t="inlineStr">
        <is>
          <t>Halloway Ridge Realty (rent)</t>
        </is>
      </c>
      <c r="F933" s="3" t="inlineStr">
        <is>
          <t>Rent – June</t>
        </is>
      </c>
      <c r="G933" s="3" t="inlineStr">
        <is>
          <t>Accounts Payable</t>
        </is>
      </c>
      <c r="H933" s="3" t="inlineStr">
        <is>
          <t>Checking – Operating</t>
        </is>
      </c>
      <c r="I933" s="33" t="n">
        <v>-17474.56</v>
      </c>
      <c r="J933" s="13">
        <f>+J932+I933</f>
        <v>2172921.46</v>
      </c>
      <c r="K933" s="19">
        <f>+EOMONTH(B933,0)</f>
        <v>46234</v>
      </c>
      <c r="L933" s="3" t="inlineStr">
        <is>
          <t>Checking – Operating</t>
        </is>
      </c>
      <c r="M933" s="3" t="inlineStr">
        <is>
          <t>Balance Sheet</t>
        </is>
      </c>
    </row>
    <row r="934">
      <c r="B934" s="39" t="n">
        <v>46220</v>
      </c>
      <c r="C934" s="3" t="inlineStr">
        <is>
          <t>Bill Payment (Check)</t>
        </is>
      </c>
      <c r="D934" s="3" t="inlineStr"/>
      <c r="E934" s="3" t="inlineStr">
        <is>
          <t>Halloway Ridge Realty (rent)</t>
        </is>
      </c>
      <c r="F934" s="3" t="inlineStr">
        <is>
          <t>Rent – June</t>
        </is>
      </c>
      <c r="G934" s="3" t="inlineStr">
        <is>
          <t>Accounts Payable</t>
        </is>
      </c>
      <c r="H934" s="3" t="inlineStr">
        <is>
          <t>Checking – Operating</t>
        </is>
      </c>
      <c r="I934" s="33" t="n">
        <v>-12327.29</v>
      </c>
      <c r="J934" s="13">
        <f>+J933+I934</f>
        <v>2160594.17</v>
      </c>
      <c r="K934" s="19">
        <f>+EOMONTH(B934,0)</f>
        <v>46234</v>
      </c>
      <c r="L934" s="3" t="inlineStr">
        <is>
          <t>Checking – Operating</t>
        </is>
      </c>
      <c r="M934" s="3" t="inlineStr">
        <is>
          <t>Balance Sheet</t>
        </is>
      </c>
    </row>
    <row r="935">
      <c r="B935" s="39" t="n">
        <v>46220</v>
      </c>
      <c r="C935" s="3" t="inlineStr">
        <is>
          <t>Bill Payment (Check)</t>
        </is>
      </c>
      <c r="D935" s="3" t="inlineStr"/>
      <c r="E935" s="3" t="inlineStr">
        <is>
          <t>Tarrowmere Mutual Insurance</t>
        </is>
      </c>
      <c r="F935" s="3" t="inlineStr">
        <is>
          <t>Benefits – July</t>
        </is>
      </c>
      <c r="G935" s="3" t="inlineStr">
        <is>
          <t>Accounts Payable</t>
        </is>
      </c>
      <c r="H935" s="3" t="inlineStr">
        <is>
          <t>Checking – Operating</t>
        </is>
      </c>
      <c r="I935" s="33" t="n">
        <v>-3204.16</v>
      </c>
      <c r="J935" s="13">
        <f>+J934+I935</f>
        <v>2157390.01</v>
      </c>
      <c r="K935" s="19">
        <f>+EOMONTH(B935,0)</f>
        <v>46234</v>
      </c>
      <c r="L935" s="3" t="inlineStr">
        <is>
          <t>Checking – Operating</t>
        </is>
      </c>
      <c r="M935" s="3" t="inlineStr">
        <is>
          <t>Balance Sheet</t>
        </is>
      </c>
    </row>
    <row r="936">
      <c r="B936" s="39" t="n">
        <v>46220</v>
      </c>
      <c r="C936" s="3" t="inlineStr">
        <is>
          <t>Credit Card Expense</t>
        </is>
      </c>
      <c r="D936" s="3" t="inlineStr"/>
      <c r="E936" s="3" t="inlineStr"/>
      <c r="F936" s="3" t="inlineStr">
        <is>
          <t>Meals and Entertainment – July</t>
        </is>
      </c>
      <c r="G936" s="3" t="inlineStr">
        <is>
          <t>Meals and Entertainment</t>
        </is>
      </c>
      <c r="H936" s="3" t="inlineStr">
        <is>
          <t>Checking – Operating</t>
        </is>
      </c>
      <c r="I936" s="33" t="n">
        <v>-609.6799999999999</v>
      </c>
      <c r="J936" s="13">
        <f>+J935+I936</f>
        <v>2156780.33</v>
      </c>
      <c r="K936" s="19">
        <f>+EOMONTH(B936,0)</f>
        <v>46234</v>
      </c>
      <c r="L936" s="3" t="inlineStr">
        <is>
          <t>Checking – Operating</t>
        </is>
      </c>
      <c r="M936" s="3" t="inlineStr">
        <is>
          <t>Balance Sheet</t>
        </is>
      </c>
    </row>
    <row r="937">
      <c r="B937" s="39" t="n">
        <v>46220</v>
      </c>
      <c r="C937" s="3" t="inlineStr">
        <is>
          <t>Credit Card Expense</t>
        </is>
      </c>
      <c r="D937" s="3" t="inlineStr"/>
      <c r="E937" s="3" t="inlineStr"/>
      <c r="F937" s="3" t="inlineStr">
        <is>
          <t>Business Meetings &amp; Development – July</t>
        </is>
      </c>
      <c r="G937" s="3" t="inlineStr">
        <is>
          <t>Business Meetings &amp; Development</t>
        </is>
      </c>
      <c r="H937" s="3" t="inlineStr">
        <is>
          <t>Checking – Operating</t>
        </is>
      </c>
      <c r="I937" s="33" t="n">
        <v>-3475.13</v>
      </c>
      <c r="J937" s="13">
        <f>+J936+I937</f>
        <v>2153305.2</v>
      </c>
      <c r="K937" s="19">
        <f>+EOMONTH(B937,0)</f>
        <v>46234</v>
      </c>
      <c r="L937" s="3" t="inlineStr">
        <is>
          <t>Checking – Operating</t>
        </is>
      </c>
      <c r="M937" s="3" t="inlineStr">
        <is>
          <t>Balance Sheet</t>
        </is>
      </c>
    </row>
    <row r="938">
      <c r="B938" s="39" t="n">
        <v>46220</v>
      </c>
      <c r="C938" s="3" t="inlineStr">
        <is>
          <t>Credit Card Expense</t>
        </is>
      </c>
      <c r="D938" s="3" t="inlineStr"/>
      <c r="E938" s="3" t="inlineStr">
        <is>
          <t>Ledgerquill Billing SaaS</t>
        </is>
      </c>
      <c r="F938" s="3" t="inlineStr">
        <is>
          <t>Interface Service – July</t>
        </is>
      </c>
      <c r="G938" s="3" t="inlineStr">
        <is>
          <t>Interface Service</t>
        </is>
      </c>
      <c r="H938" s="3" t="inlineStr">
        <is>
          <t>Checking – Operating</t>
        </is>
      </c>
      <c r="I938" s="33" t="n">
        <v>-2170.22</v>
      </c>
      <c r="J938" s="13">
        <f>+J937+I938</f>
        <v>2151134.98</v>
      </c>
      <c r="K938" s="19">
        <f>+EOMONTH(B938,0)</f>
        <v>46234</v>
      </c>
      <c r="L938" s="3" t="inlineStr">
        <is>
          <t>Checking – Operating</t>
        </is>
      </c>
      <c r="M938" s="3" t="inlineStr">
        <is>
          <t>Balance Sheet</t>
        </is>
      </c>
    </row>
    <row r="939">
      <c r="B939" s="39" t="n">
        <v>46220</v>
      </c>
      <c r="C939" s="3" t="inlineStr">
        <is>
          <t>Deposit</t>
        </is>
      </c>
      <c r="D939" s="3" t="inlineStr"/>
      <c r="E939" s="3" t="inlineStr">
        <is>
          <t>State Program B</t>
        </is>
      </c>
      <c r="F939" s="3" t="inlineStr">
        <is>
          <t>ORIG CO NAME:STATE PROG B ORIG ID:XXXXXX8764 DESC DATE:260717 CO ENTRY DESCR:HCCLAIMPMT SEC:CCD TRACE#:XXXXXXXX1477181 EED:260717 IND ID:</t>
        </is>
      </c>
      <c r="G939" s="3" t="inlineStr">
        <is>
          <t>Service Income</t>
        </is>
      </c>
      <c r="H939" s="3" t="inlineStr">
        <is>
          <t>Checking – Operating</t>
        </is>
      </c>
      <c r="I939" s="33" t="n">
        <v>42154.84</v>
      </c>
      <c r="J939" s="13">
        <f>+J938+I939</f>
        <v>2193289.82</v>
      </c>
      <c r="K939" s="19">
        <f>+EOMONTH(B939,0)</f>
        <v>46234</v>
      </c>
      <c r="L939" s="3" t="inlineStr">
        <is>
          <t>Checking – Operating</t>
        </is>
      </c>
      <c r="M939" s="3" t="inlineStr">
        <is>
          <t>Balance Sheet</t>
        </is>
      </c>
    </row>
    <row r="940">
      <c r="B940" s="39" t="n">
        <v>46221</v>
      </c>
      <c r="C940" s="3" t="inlineStr">
        <is>
          <t>Bill Payment (Check)</t>
        </is>
      </c>
      <c r="D940" s="3" t="inlineStr"/>
      <c r="E940" s="3" t="inlineStr">
        <is>
          <t>Tarrowmere Mutual Insurance</t>
        </is>
      </c>
      <c r="F940" s="3" t="inlineStr">
        <is>
          <t>Premium installment</t>
        </is>
      </c>
      <c r="G940" s="3" t="inlineStr">
        <is>
          <t>Accounts Payable</t>
        </is>
      </c>
      <c r="H940" s="3" t="inlineStr">
        <is>
          <t>Checking – Operating</t>
        </is>
      </c>
      <c r="I940" s="33" t="n">
        <v>-6399.11</v>
      </c>
      <c r="J940" s="13">
        <f>+J939+I940</f>
        <v>2186890.71</v>
      </c>
      <c r="K940" s="19">
        <f>+EOMONTH(B940,0)</f>
        <v>46234</v>
      </c>
      <c r="L940" s="3" t="inlineStr">
        <is>
          <t>Checking – Operating</t>
        </is>
      </c>
      <c r="M940" s="3" t="inlineStr">
        <is>
          <t>Balance Sheet</t>
        </is>
      </c>
    </row>
    <row r="941">
      <c r="B941" s="39" t="n">
        <v>46221</v>
      </c>
      <c r="C941" s="3" t="inlineStr">
        <is>
          <t>Bill Payment (Check)</t>
        </is>
      </c>
      <c r="D941" s="3" t="inlineStr"/>
      <c r="E941" s="3" t="inlineStr">
        <is>
          <t>Northmoor Waste Services</t>
        </is>
      </c>
      <c r="F941" s="3" t="inlineStr">
        <is>
          <t>Waste Removal – June</t>
        </is>
      </c>
      <c r="G941" s="3" t="inlineStr">
        <is>
          <t>Accounts Payable</t>
        </is>
      </c>
      <c r="H941" s="3" t="inlineStr">
        <is>
          <t>Checking – Operating</t>
        </is>
      </c>
      <c r="I941" s="33" t="n">
        <v>-552.3</v>
      </c>
      <c r="J941" s="13">
        <f>+J940+I941</f>
        <v>2186338.41</v>
      </c>
      <c r="K941" s="19">
        <f>+EOMONTH(B941,0)</f>
        <v>46234</v>
      </c>
      <c r="L941" s="3" t="inlineStr">
        <is>
          <t>Checking – Operating</t>
        </is>
      </c>
      <c r="M941" s="3" t="inlineStr">
        <is>
          <t>Balance Sheet</t>
        </is>
      </c>
    </row>
    <row r="942">
      <c r="B942" s="39" t="n">
        <v>46221</v>
      </c>
      <c r="C942" s="3" t="inlineStr">
        <is>
          <t>Deposit</t>
        </is>
      </c>
      <c r="D942" s="3" t="inlineStr"/>
      <c r="E942" s="3" t="inlineStr">
        <is>
          <t>Vantrelle Health Plan</t>
        </is>
      </c>
      <c r="F942" s="3" t="inlineStr">
        <is>
          <t>ORIG CO NAME:VANTRELLE HP ORIG ID:XXXXXX3244 DESC DATE:260718 CO ENTRY DESCR:HCCLAIMPMT SEC:CCD TRACE#:XXXXXXXX1112003 EED:260718 IND ID:</t>
        </is>
      </c>
      <c r="G942" s="3" t="inlineStr">
        <is>
          <t>Service Income</t>
        </is>
      </c>
      <c r="H942" s="3" t="inlineStr">
        <is>
          <t>Checking – Operating</t>
        </is>
      </c>
      <c r="I942" s="33" t="n">
        <v>107870.07</v>
      </c>
      <c r="J942" s="13">
        <f>+J941+I942</f>
        <v>2294208.48</v>
      </c>
      <c r="K942" s="19">
        <f>+EOMONTH(B942,0)</f>
        <v>46234</v>
      </c>
      <c r="L942" s="3" t="inlineStr">
        <is>
          <t>Checking – Operating</t>
        </is>
      </c>
      <c r="M942" s="3" t="inlineStr">
        <is>
          <t>Balance Sheet</t>
        </is>
      </c>
    </row>
    <row r="943">
      <c r="B943" s="39" t="n">
        <v>46221</v>
      </c>
      <c r="C943" s="3" t="inlineStr">
        <is>
          <t>Expense</t>
        </is>
      </c>
      <c r="D943" s="3" t="inlineStr"/>
      <c r="E943" s="3" t="inlineStr"/>
      <c r="F943" s="3" t="inlineStr">
        <is>
          <t>Business Meetings &amp; Development – July</t>
        </is>
      </c>
      <c r="G943" s="3" t="inlineStr">
        <is>
          <t>Business Meetings &amp; Development</t>
        </is>
      </c>
      <c r="H943" s="3" t="inlineStr">
        <is>
          <t>Checking – Operating</t>
        </is>
      </c>
      <c r="I943" s="33" t="n">
        <v>-3424.87</v>
      </c>
      <c r="J943" s="13">
        <f>+J942+I943</f>
        <v>2290783.61</v>
      </c>
      <c r="K943" s="19">
        <f>+EOMONTH(B943,0)</f>
        <v>46234</v>
      </c>
      <c r="L943" s="3" t="inlineStr">
        <is>
          <t>Checking – Operating</t>
        </is>
      </c>
      <c r="M943" s="3" t="inlineStr">
        <is>
          <t>Balance Sheet</t>
        </is>
      </c>
    </row>
    <row r="944">
      <c r="B944" s="39" t="n">
        <v>46221</v>
      </c>
      <c r="C944" s="3" t="inlineStr">
        <is>
          <t>Expense</t>
        </is>
      </c>
      <c r="D944" s="3" t="inlineStr"/>
      <c r="E944" s="3" t="inlineStr">
        <is>
          <t>Union Utilities</t>
        </is>
      </c>
      <c r="F944" s="3" t="inlineStr">
        <is>
          <t>Telecom and Internet – July</t>
        </is>
      </c>
      <c r="G944" s="3" t="inlineStr">
        <is>
          <t>Telecom and Internet</t>
        </is>
      </c>
      <c r="H944" s="3" t="inlineStr">
        <is>
          <t>Checking – Operating</t>
        </is>
      </c>
      <c r="I944" s="33" t="n">
        <v>-3343.79</v>
      </c>
      <c r="J944" s="13">
        <f>+J943+I944</f>
        <v>2287439.82</v>
      </c>
      <c r="K944" s="19">
        <f>+EOMONTH(B944,0)</f>
        <v>46234</v>
      </c>
      <c r="L944" s="3" t="inlineStr">
        <is>
          <t>Checking – Operating</t>
        </is>
      </c>
      <c r="M944" s="3" t="inlineStr">
        <is>
          <t>Balance Sheet</t>
        </is>
      </c>
    </row>
    <row r="945">
      <c r="B945" s="39" t="n">
        <v>46222</v>
      </c>
      <c r="C945" s="3" t="inlineStr">
        <is>
          <t>Bill Payment (Check)</t>
        </is>
      </c>
      <c r="D945" s="3" t="inlineStr"/>
      <c r="E945" s="3" t="inlineStr">
        <is>
          <t>Ledgerquill Billing SaaS</t>
        </is>
      </c>
      <c r="F945" s="3" t="inlineStr">
        <is>
          <t>Billing Software as a Service – June</t>
        </is>
      </c>
      <c r="G945" s="3" t="inlineStr">
        <is>
          <t>Accounts Payable</t>
        </is>
      </c>
      <c r="H945" s="3" t="inlineStr">
        <is>
          <t>Checking – Operating</t>
        </is>
      </c>
      <c r="I945" s="33" t="n">
        <v>-12291.89</v>
      </c>
      <c r="J945" s="13">
        <f>+J944+I945</f>
        <v>2275147.93</v>
      </c>
      <c r="K945" s="19">
        <f>+EOMONTH(B945,0)</f>
        <v>46234</v>
      </c>
      <c r="L945" s="3" t="inlineStr">
        <is>
          <t>Checking – Operating</t>
        </is>
      </c>
      <c r="M945" s="3" t="inlineStr">
        <is>
          <t>Balance Sheet</t>
        </is>
      </c>
    </row>
    <row r="946">
      <c r="B946" s="39" t="n">
        <v>46222</v>
      </c>
      <c r="C946" s="3" t="inlineStr">
        <is>
          <t>Deposit</t>
        </is>
      </c>
      <c r="D946" s="3" t="inlineStr"/>
      <c r="E946" s="3" t="inlineStr">
        <is>
          <t>Quayside Choice Senior Plan</t>
        </is>
      </c>
      <c r="F946" s="3" t="inlineStr">
        <is>
          <t>ORIG CO NAME:QUAYSIDE CHOICE SP ORIG ID:XXXXXX4567 DESC DATE:260719 CO ENTRY DESCR:HCCLAIMPMT SEC:CCD TRACE#:XXXXXXXX7624833 EED:260719 IND ID:</t>
        </is>
      </c>
      <c r="G946" s="3" t="inlineStr">
        <is>
          <t>Service Income</t>
        </is>
      </c>
      <c r="H946" s="3" t="inlineStr">
        <is>
          <t>Checking – Operating</t>
        </is>
      </c>
      <c r="I946" s="33" t="n">
        <v>57741.43</v>
      </c>
      <c r="J946" s="13">
        <f>+J945+I946</f>
        <v>2332889.36</v>
      </c>
      <c r="K946" s="19">
        <f>+EOMONTH(B946,0)</f>
        <v>46234</v>
      </c>
      <c r="L946" s="3" t="inlineStr">
        <is>
          <t>Checking – Operating</t>
        </is>
      </c>
      <c r="M946" s="3" t="inlineStr">
        <is>
          <t>Balance Sheet</t>
        </is>
      </c>
    </row>
    <row r="947">
      <c r="B947" s="39" t="n">
        <v>46222</v>
      </c>
      <c r="C947" s="3" t="inlineStr">
        <is>
          <t>Expense</t>
        </is>
      </c>
      <c r="D947" s="3" t="inlineStr"/>
      <c r="E947" s="3" t="inlineStr">
        <is>
          <t>Consultant A</t>
        </is>
      </c>
      <c r="F947" s="3" t="inlineStr">
        <is>
          <t>Professional Fees – July</t>
        </is>
      </c>
      <c r="G947" s="3" t="inlineStr">
        <is>
          <t>Professional Fees</t>
        </is>
      </c>
      <c r="H947" s="3" t="inlineStr">
        <is>
          <t>Checking – Operating</t>
        </is>
      </c>
      <c r="I947" s="33" t="n">
        <v>-5579.13</v>
      </c>
      <c r="J947" s="13">
        <f>+J946+I947</f>
        <v>2327310.23</v>
      </c>
      <c r="K947" s="19">
        <f>+EOMONTH(B947,0)</f>
        <v>46234</v>
      </c>
      <c r="L947" s="3" t="inlineStr">
        <is>
          <t>Checking – Operating</t>
        </is>
      </c>
      <c r="M947" s="3" t="inlineStr">
        <is>
          <t>Balance Sheet</t>
        </is>
      </c>
    </row>
    <row r="948">
      <c r="B948" s="39" t="n">
        <v>46222</v>
      </c>
      <c r="C948" s="3" t="inlineStr">
        <is>
          <t>Expense</t>
        </is>
      </c>
      <c r="D948" s="3" t="inlineStr"/>
      <c r="E948" s="3" t="inlineStr"/>
      <c r="F948" s="3" t="inlineStr">
        <is>
          <t>Lab Credentialing – July</t>
        </is>
      </c>
      <c r="G948" s="3" t="inlineStr">
        <is>
          <t>Lab Credentialing</t>
        </is>
      </c>
      <c r="H948" s="3" t="inlineStr">
        <is>
          <t>Checking – Operating</t>
        </is>
      </c>
      <c r="I948" s="33" t="n">
        <v>-744.77</v>
      </c>
      <c r="J948" s="13">
        <f>+J947+I948</f>
        <v>2326565.46</v>
      </c>
      <c r="K948" s="19">
        <f>+EOMONTH(B948,0)</f>
        <v>46234</v>
      </c>
      <c r="L948" s="3" t="inlineStr">
        <is>
          <t>Checking – Operating</t>
        </is>
      </c>
      <c r="M948" s="3" t="inlineStr">
        <is>
          <t>Balance Sheet</t>
        </is>
      </c>
    </row>
    <row r="949">
      <c r="B949" s="39" t="n">
        <v>46222</v>
      </c>
      <c r="C949" s="3" t="inlineStr">
        <is>
          <t>Expense</t>
        </is>
      </c>
      <c r="D949" s="3" t="inlineStr"/>
      <c r="E949" s="3" t="inlineStr"/>
      <c r="F949" s="3" t="inlineStr">
        <is>
          <t>Gas – July</t>
        </is>
      </c>
      <c r="G949" s="3" t="inlineStr">
        <is>
          <t>Gas</t>
        </is>
      </c>
      <c r="H949" s="3" t="inlineStr">
        <is>
          <t>Checking – Operating</t>
        </is>
      </c>
      <c r="I949" s="33" t="n">
        <v>-1126.55</v>
      </c>
      <c r="J949" s="13">
        <f>+J948+I949</f>
        <v>2325438.91</v>
      </c>
      <c r="K949" s="19">
        <f>+EOMONTH(B949,0)</f>
        <v>46234</v>
      </c>
      <c r="L949" s="3" t="inlineStr">
        <is>
          <t>Checking – Operating</t>
        </is>
      </c>
      <c r="M949" s="3" t="inlineStr">
        <is>
          <t>Balance Sheet</t>
        </is>
      </c>
    </row>
    <row r="950">
      <c r="B950" s="39" t="n">
        <v>46222</v>
      </c>
      <c r="C950" s="3" t="inlineStr">
        <is>
          <t>Journal Entry</t>
        </is>
      </c>
      <c r="D950" s="3" t="inlineStr"/>
      <c r="E950" s="3" t="inlineStr">
        <is>
          <t>Ledgerquill Billing SaaS</t>
        </is>
      </c>
      <c r="F950" s="3" t="inlineStr">
        <is>
          <t>Lab EMR Service – July</t>
        </is>
      </c>
      <c r="G950" s="3" t="inlineStr">
        <is>
          <t>Lab EMR Service</t>
        </is>
      </c>
      <c r="H950" s="3" t="inlineStr">
        <is>
          <t>Checking – Operating</t>
        </is>
      </c>
      <c r="I950" s="33" t="n">
        <v>-3525.68</v>
      </c>
      <c r="J950" s="13">
        <f>+J949+I950</f>
        <v>2321913.23</v>
      </c>
      <c r="K950" s="19">
        <f>+EOMONTH(B950,0)</f>
        <v>46234</v>
      </c>
      <c r="L950" s="3" t="inlineStr">
        <is>
          <t>Checking – Operating</t>
        </is>
      </c>
      <c r="M950" s="3" t="inlineStr">
        <is>
          <t>Balance Sheet</t>
        </is>
      </c>
    </row>
    <row r="951">
      <c r="B951" s="39" t="n">
        <v>46222</v>
      </c>
      <c r="C951" s="3" t="inlineStr">
        <is>
          <t>Payroll Check</t>
        </is>
      </c>
      <c r="D951" s="3" t="inlineStr"/>
      <c r="E951" s="3" t="inlineStr">
        <is>
          <t>Tessarand Payroll Services</t>
        </is>
      </c>
      <c r="F951" s="3" t="inlineStr">
        <is>
          <t>Payroll – biweekly</t>
        </is>
      </c>
      <c r="G951" s="3" t="inlineStr">
        <is>
          <t>Salaries and Wages</t>
        </is>
      </c>
      <c r="H951" s="3" t="inlineStr">
        <is>
          <t>Checking – Operating</t>
        </is>
      </c>
      <c r="I951" s="33" t="n">
        <v>-71097.71000000001</v>
      </c>
      <c r="J951" s="13">
        <f>+J950+I951</f>
        <v>2250815.52</v>
      </c>
      <c r="K951" s="19">
        <f>+EOMONTH(B951,0)</f>
        <v>46234</v>
      </c>
      <c r="L951" s="3" t="inlineStr">
        <is>
          <t>Checking – Operating</t>
        </is>
      </c>
      <c r="M951" s="3" t="inlineStr">
        <is>
          <t>Balance Sheet</t>
        </is>
      </c>
    </row>
    <row r="952">
      <c r="B952" s="39" t="n">
        <v>46223</v>
      </c>
      <c r="C952" s="3" t="inlineStr">
        <is>
          <t>Credit Card Expense</t>
        </is>
      </c>
      <c r="D952" s="3" t="inlineStr"/>
      <c r="E952" s="3" t="inlineStr">
        <is>
          <t>Tessarand Payroll Services</t>
        </is>
      </c>
      <c r="F952" s="3" t="inlineStr">
        <is>
          <t>Contractors – July</t>
        </is>
      </c>
      <c r="G952" s="3" t="inlineStr">
        <is>
          <t>Contractors</t>
        </is>
      </c>
      <c r="H952" s="3" t="inlineStr">
        <is>
          <t>Checking – Operating</t>
        </is>
      </c>
      <c r="I952" s="33" t="n">
        <v>-7356.68</v>
      </c>
      <c r="J952" s="13">
        <f>+J951+I952</f>
        <v>2243458.84</v>
      </c>
      <c r="K952" s="19">
        <f>+EOMONTH(B952,0)</f>
        <v>46234</v>
      </c>
      <c r="L952" s="3" t="inlineStr">
        <is>
          <t>Checking – Operating</t>
        </is>
      </c>
      <c r="M952" s="3" t="inlineStr">
        <is>
          <t>Balance Sheet</t>
        </is>
      </c>
    </row>
    <row r="953">
      <c r="B953" s="39" t="n">
        <v>46223</v>
      </c>
      <c r="C953" s="3" t="inlineStr">
        <is>
          <t>Journal Entry</t>
        </is>
      </c>
      <c r="D953" s="3" t="inlineStr"/>
      <c r="E953" s="3" t="inlineStr"/>
      <c r="F953" s="3" t="inlineStr">
        <is>
          <t>Patient refund</t>
        </is>
      </c>
      <c r="G953" s="3" t="inlineStr">
        <is>
          <t>Refunds</t>
        </is>
      </c>
      <c r="H953" s="3" t="inlineStr">
        <is>
          <t>Checking – Operating</t>
        </is>
      </c>
      <c r="I953" s="33" t="n">
        <v>-6293.88</v>
      </c>
      <c r="J953" s="13">
        <f>+J952+I953</f>
        <v>2237164.96</v>
      </c>
      <c r="K953" s="19">
        <f>+EOMONTH(B953,0)</f>
        <v>46234</v>
      </c>
      <c r="L953" s="3" t="inlineStr">
        <is>
          <t>Checking – Operating</t>
        </is>
      </c>
      <c r="M953" s="3" t="inlineStr">
        <is>
          <t>Balance Sheet</t>
        </is>
      </c>
    </row>
    <row r="954">
      <c r="B954" s="39" t="n">
        <v>46225</v>
      </c>
      <c r="C954" s="3" t="inlineStr">
        <is>
          <t>Bill Payment (Check)</t>
        </is>
      </c>
      <c r="D954" s="3" t="inlineStr"/>
      <c r="E954" s="3" t="inlineStr">
        <is>
          <t>Reference Lab A</t>
        </is>
      </c>
      <c r="F954" s="3" t="inlineStr">
        <is>
          <t>Send-out testing – June</t>
        </is>
      </c>
      <c r="G954" s="3" t="inlineStr">
        <is>
          <t>Accounts Payable</t>
        </is>
      </c>
      <c r="H954" s="3" t="inlineStr">
        <is>
          <t>Checking – Operating</t>
        </is>
      </c>
      <c r="I954" s="33" t="n">
        <v>-19842.33</v>
      </c>
      <c r="J954" s="13">
        <f>+J953+I954</f>
        <v>2217322.63</v>
      </c>
      <c r="K954" s="19">
        <f>+EOMONTH(B954,0)</f>
        <v>46234</v>
      </c>
      <c r="L954" s="3" t="inlineStr">
        <is>
          <t>Checking – Operating</t>
        </is>
      </c>
      <c r="M954" s="3" t="inlineStr">
        <is>
          <t>Balance Sheet</t>
        </is>
      </c>
    </row>
    <row r="955">
      <c r="B955" s="39" t="n">
        <v>46225</v>
      </c>
      <c r="C955" s="3" t="inlineStr">
        <is>
          <t>Bill Payment (Check)</t>
        </is>
      </c>
      <c r="D955" s="3" t="inlineStr"/>
      <c r="E955" s="3" t="inlineStr">
        <is>
          <t>Lumenlease Equipment</t>
        </is>
      </c>
      <c r="F955" s="3" t="inlineStr">
        <is>
          <t>Lab Equipment – June</t>
        </is>
      </c>
      <c r="G955" s="3" t="inlineStr">
        <is>
          <t>Accounts Payable</t>
        </is>
      </c>
      <c r="H955" s="3" t="inlineStr">
        <is>
          <t>Checking – Operating</t>
        </is>
      </c>
      <c r="I955" s="33" t="n">
        <v>-2390.2</v>
      </c>
      <c r="J955" s="13">
        <f>+J954+I955</f>
        <v>2214932.43</v>
      </c>
      <c r="K955" s="19">
        <f>+EOMONTH(B955,0)</f>
        <v>46234</v>
      </c>
      <c r="L955" s="3" t="inlineStr">
        <is>
          <t>Checking – Operating</t>
        </is>
      </c>
      <c r="M955" s="3" t="inlineStr">
        <is>
          <t>Balance Sheet</t>
        </is>
      </c>
    </row>
    <row r="956">
      <c r="B956" s="39" t="n">
        <v>46225</v>
      </c>
      <c r="C956" s="3" t="inlineStr">
        <is>
          <t>Credit Card Expense</t>
        </is>
      </c>
      <c r="D956" s="3" t="inlineStr"/>
      <c r="E956" s="3" t="inlineStr"/>
      <c r="F956" s="3" t="inlineStr">
        <is>
          <t>Automobile Expense – July</t>
        </is>
      </c>
      <c r="G956" s="3" t="inlineStr">
        <is>
          <t>Automobile Expense</t>
        </is>
      </c>
      <c r="H956" s="3" t="inlineStr">
        <is>
          <t>Checking – Operating</t>
        </is>
      </c>
      <c r="I956" s="33" t="n">
        <v>-710.3</v>
      </c>
      <c r="J956" s="13">
        <f>+J955+I956</f>
        <v>2214222.13</v>
      </c>
      <c r="K956" s="19">
        <f>+EOMONTH(B956,0)</f>
        <v>46234</v>
      </c>
      <c r="L956" s="3" t="inlineStr">
        <is>
          <t>Checking – Operating</t>
        </is>
      </c>
      <c r="M956" s="3" t="inlineStr">
        <is>
          <t>Balance Sheet</t>
        </is>
      </c>
    </row>
    <row r="957">
      <c r="B957" s="39" t="n">
        <v>46225</v>
      </c>
      <c r="C957" s="3" t="inlineStr">
        <is>
          <t>Expense</t>
        </is>
      </c>
      <c r="D957" s="3" t="inlineStr"/>
      <c r="E957" s="3" t="inlineStr"/>
      <c r="F957" s="3" t="inlineStr">
        <is>
          <t>Car expense – July</t>
        </is>
      </c>
      <c r="G957" s="3" t="inlineStr">
        <is>
          <t>Car expense</t>
        </is>
      </c>
      <c r="H957" s="3" t="inlineStr">
        <is>
          <t>Checking – Operating</t>
        </is>
      </c>
      <c r="I957" s="33" t="n">
        <v>-495.68</v>
      </c>
      <c r="J957" s="13">
        <f>+J956+I957</f>
        <v>2213726.45</v>
      </c>
      <c r="K957" s="19">
        <f>+EOMONTH(B957,0)</f>
        <v>46234</v>
      </c>
      <c r="L957" s="3" t="inlineStr">
        <is>
          <t>Checking – Operating</t>
        </is>
      </c>
      <c r="M957" s="3" t="inlineStr">
        <is>
          <t>Balance Sheet</t>
        </is>
      </c>
    </row>
    <row r="958">
      <c r="B958" s="39" t="n">
        <v>46226</v>
      </c>
      <c r="C958" s="3" t="inlineStr">
        <is>
          <t>Bill Payment (Check)</t>
        </is>
      </c>
      <c r="D958" s="3" t="inlineStr"/>
      <c r="E958" s="3" t="inlineStr">
        <is>
          <t>Lumenlease Equipment</t>
        </is>
      </c>
      <c r="F958" s="3" t="inlineStr">
        <is>
          <t>Lab Equipment – June</t>
        </is>
      </c>
      <c r="G958" s="3" t="inlineStr">
        <is>
          <t>Accounts Payable</t>
        </is>
      </c>
      <c r="H958" s="3" t="inlineStr">
        <is>
          <t>Checking – Operating</t>
        </is>
      </c>
      <c r="I958" s="33" t="n">
        <v>-3009.8</v>
      </c>
      <c r="J958" s="13">
        <f>+J957+I958</f>
        <v>2210716.65</v>
      </c>
      <c r="K958" s="19">
        <f>+EOMONTH(B958,0)</f>
        <v>46234</v>
      </c>
      <c r="L958" s="3" t="inlineStr">
        <is>
          <t>Checking – Operating</t>
        </is>
      </c>
      <c r="M958" s="3" t="inlineStr">
        <is>
          <t>Balance Sheet</t>
        </is>
      </c>
    </row>
    <row r="959">
      <c r="B959" s="39" t="n">
        <v>46226</v>
      </c>
      <c r="C959" s="3" t="inlineStr">
        <is>
          <t>Credit Card Expense</t>
        </is>
      </c>
      <c r="D959" s="3" t="inlineStr"/>
      <c r="E959" s="3" t="inlineStr"/>
      <c r="F959" s="3" t="inlineStr">
        <is>
          <t>Reimbursement – July</t>
        </is>
      </c>
      <c r="G959" s="3" t="inlineStr">
        <is>
          <t>Reimbursement</t>
        </is>
      </c>
      <c r="H959" s="3" t="inlineStr">
        <is>
          <t>Checking – Operating</t>
        </is>
      </c>
      <c r="I959" s="33" t="n">
        <v>-1599.52</v>
      </c>
      <c r="J959" s="13">
        <f>+J958+I959</f>
        <v>2209117.13</v>
      </c>
      <c r="K959" s="19">
        <f>+EOMONTH(B959,0)</f>
        <v>46234</v>
      </c>
      <c r="L959" s="3" t="inlineStr">
        <is>
          <t>Checking – Operating</t>
        </is>
      </c>
      <c r="M959" s="3" t="inlineStr">
        <is>
          <t>Balance Sheet</t>
        </is>
      </c>
    </row>
    <row r="960">
      <c r="B960" s="39" t="n">
        <v>46226</v>
      </c>
      <c r="C960" s="3" t="inlineStr">
        <is>
          <t>Expense</t>
        </is>
      </c>
      <c r="D960" s="3" t="inlineStr"/>
      <c r="E960" s="3" t="inlineStr">
        <is>
          <t>Consultant A</t>
        </is>
      </c>
      <c r="F960" s="3" t="inlineStr">
        <is>
          <t>Consulting – July</t>
        </is>
      </c>
      <c r="G960" s="3" t="inlineStr">
        <is>
          <t>Consulting</t>
        </is>
      </c>
      <c r="H960" s="3" t="inlineStr">
        <is>
          <t>Checking – Operating</t>
        </is>
      </c>
      <c r="I960" s="33" t="n">
        <v>-3321.06</v>
      </c>
      <c r="J960" s="13">
        <f>+J959+I960</f>
        <v>2205796.07</v>
      </c>
      <c r="K960" s="19">
        <f>+EOMONTH(B960,0)</f>
        <v>46234</v>
      </c>
      <c r="L960" s="3" t="inlineStr">
        <is>
          <t>Checking – Operating</t>
        </is>
      </c>
      <c r="M960" s="3" t="inlineStr">
        <is>
          <t>Balance Sheet</t>
        </is>
      </c>
    </row>
    <row r="961">
      <c r="B961" s="39" t="n">
        <v>46226</v>
      </c>
      <c r="C961" s="3" t="inlineStr">
        <is>
          <t>Expense</t>
        </is>
      </c>
      <c r="D961" s="3" t="inlineStr"/>
      <c r="E961" s="3" t="inlineStr">
        <is>
          <t>Consultant A</t>
        </is>
      </c>
      <c r="F961" s="3" t="inlineStr">
        <is>
          <t>Accounting Service – July</t>
        </is>
      </c>
      <c r="G961" s="3" t="inlineStr">
        <is>
          <t>Accounting Service</t>
        </is>
      </c>
      <c r="H961" s="3" t="inlineStr">
        <is>
          <t>Checking – Operating</t>
        </is>
      </c>
      <c r="I961" s="33" t="n">
        <v>-2915.4</v>
      </c>
      <c r="J961" s="13">
        <f>+J960+I961</f>
        <v>2202880.67</v>
      </c>
      <c r="K961" s="19">
        <f>+EOMONTH(B961,0)</f>
        <v>46234</v>
      </c>
      <c r="L961" s="3" t="inlineStr">
        <is>
          <t>Checking – Operating</t>
        </is>
      </c>
      <c r="M961" s="3" t="inlineStr">
        <is>
          <t>Balance Sheet</t>
        </is>
      </c>
    </row>
    <row r="962">
      <c r="B962" s="39" t="n">
        <v>46226</v>
      </c>
      <c r="C962" s="3" t="inlineStr">
        <is>
          <t>Expense</t>
        </is>
      </c>
      <c r="D962" s="3" t="inlineStr"/>
      <c r="E962" s="3" t="inlineStr">
        <is>
          <t>Tessarand Payroll Services</t>
        </is>
      </c>
      <c r="F962" s="3" t="inlineStr">
        <is>
          <t>Recruitment – July</t>
        </is>
      </c>
      <c r="G962" s="3" t="inlineStr">
        <is>
          <t>Recruitment</t>
        </is>
      </c>
      <c r="H962" s="3" t="inlineStr">
        <is>
          <t>Checking – Operating</t>
        </is>
      </c>
      <c r="I962" s="33" t="n">
        <v>-1029.37</v>
      </c>
      <c r="J962" s="13">
        <f>+J961+I962</f>
        <v>2201851.3</v>
      </c>
      <c r="K962" s="19">
        <f>+EOMONTH(B962,0)</f>
        <v>46234</v>
      </c>
      <c r="L962" s="3" t="inlineStr">
        <is>
          <t>Checking – Operating</t>
        </is>
      </c>
      <c r="M962" s="3" t="inlineStr">
        <is>
          <t>Balance Sheet</t>
        </is>
      </c>
    </row>
    <row r="963">
      <c r="B963" s="39" t="n">
        <v>46226</v>
      </c>
      <c r="C963" s="3" t="inlineStr">
        <is>
          <t>Expense</t>
        </is>
      </c>
      <c r="D963" s="3" t="inlineStr"/>
      <c r="E963" s="3" t="inlineStr">
        <is>
          <t>Halloway Ridge Realty (rent)</t>
        </is>
      </c>
      <c r="F963" s="3" t="inlineStr">
        <is>
          <t>Landscaping – July</t>
        </is>
      </c>
      <c r="G963" s="3" t="inlineStr">
        <is>
          <t>Landscaping</t>
        </is>
      </c>
      <c r="H963" s="3" t="inlineStr">
        <is>
          <t>Checking – Operating</t>
        </is>
      </c>
      <c r="I963" s="33" t="n">
        <v>-1355.74</v>
      </c>
      <c r="J963" s="13">
        <f>+J962+I963</f>
        <v>2200495.56</v>
      </c>
      <c r="K963" s="19">
        <f>+EOMONTH(B963,0)</f>
        <v>46234</v>
      </c>
      <c r="L963" s="3" t="inlineStr">
        <is>
          <t>Checking – Operating</t>
        </is>
      </c>
      <c r="M963" s="3" t="inlineStr">
        <is>
          <t>Balance Sheet</t>
        </is>
      </c>
    </row>
    <row r="964">
      <c r="B964" s="39" t="n">
        <v>46227</v>
      </c>
      <c r="C964" s="3" t="inlineStr">
        <is>
          <t>Bill Payment (Check)</t>
        </is>
      </c>
      <c r="D964" s="3" t="inlineStr"/>
      <c r="E964" s="3" t="inlineStr">
        <is>
          <t>Tarrowmere Mutual Insurance</t>
        </is>
      </c>
      <c r="F964" s="3" t="inlineStr">
        <is>
          <t>Benefits – July</t>
        </is>
      </c>
      <c r="G964" s="3" t="inlineStr">
        <is>
          <t>Accounts Payable</t>
        </is>
      </c>
      <c r="H964" s="3" t="inlineStr">
        <is>
          <t>Checking – Operating</t>
        </is>
      </c>
      <c r="I964" s="33" t="n">
        <v>-4430.76</v>
      </c>
      <c r="J964" s="13">
        <f>+J963+I964</f>
        <v>2196064.8</v>
      </c>
      <c r="K964" s="19">
        <f>+EOMONTH(B964,0)</f>
        <v>46234</v>
      </c>
      <c r="L964" s="3" t="inlineStr">
        <is>
          <t>Checking – Operating</t>
        </is>
      </c>
      <c r="M964" s="3" t="inlineStr">
        <is>
          <t>Balance Sheet</t>
        </is>
      </c>
    </row>
    <row r="965">
      <c r="B965" s="39" t="n">
        <v>46227</v>
      </c>
      <c r="C965" s="3" t="inlineStr">
        <is>
          <t>Expense</t>
        </is>
      </c>
      <c r="D965" s="3" t="inlineStr"/>
      <c r="E965" s="3" t="inlineStr">
        <is>
          <t>Tessarand Payroll Services</t>
        </is>
      </c>
      <c r="F965" s="3" t="inlineStr">
        <is>
          <t>Recruitment – July</t>
        </is>
      </c>
      <c r="G965" s="3" t="inlineStr">
        <is>
          <t>Recruitment</t>
        </is>
      </c>
      <c r="H965" s="3" t="inlineStr">
        <is>
          <t>Checking – Operating</t>
        </is>
      </c>
      <c r="I965" s="33" t="n">
        <v>-1370.63</v>
      </c>
      <c r="J965" s="13">
        <f>+J964+I965</f>
        <v>2194694.17</v>
      </c>
      <c r="K965" s="19">
        <f>+EOMONTH(B965,0)</f>
        <v>46234</v>
      </c>
      <c r="L965" s="3" t="inlineStr">
        <is>
          <t>Checking – Operating</t>
        </is>
      </c>
      <c r="M965" s="3" t="inlineStr">
        <is>
          <t>Balance Sheet</t>
        </is>
      </c>
    </row>
    <row r="966">
      <c r="B966" s="39" t="n">
        <v>46227</v>
      </c>
      <c r="C966" s="3" t="inlineStr">
        <is>
          <t>Journal Entry</t>
        </is>
      </c>
      <c r="D966" s="3" t="inlineStr"/>
      <c r="E966" s="3" t="inlineStr">
        <is>
          <t>Ledgerquill Billing SaaS</t>
        </is>
      </c>
      <c r="F966" s="3" t="inlineStr">
        <is>
          <t>Software – July</t>
        </is>
      </c>
      <c r="G966" s="3" t="inlineStr">
        <is>
          <t>Software</t>
        </is>
      </c>
      <c r="H966" s="3" t="inlineStr">
        <is>
          <t>Checking – Operating</t>
        </is>
      </c>
      <c r="I966" s="33" t="n">
        <v>-3146.5</v>
      </c>
      <c r="J966" s="13">
        <f>+J965+I966</f>
        <v>2191547.67</v>
      </c>
      <c r="K966" s="19">
        <f>+EOMONTH(B966,0)</f>
        <v>46234</v>
      </c>
      <c r="L966" s="3" t="inlineStr">
        <is>
          <t>Checking – Operating</t>
        </is>
      </c>
      <c r="M966" s="3" t="inlineStr">
        <is>
          <t>Balance Sheet</t>
        </is>
      </c>
    </row>
    <row r="967">
      <c r="B967" s="39" t="n">
        <v>46227</v>
      </c>
      <c r="C967" s="3" t="inlineStr">
        <is>
          <t>Journal Entry</t>
        </is>
      </c>
      <c r="D967" s="3" t="inlineStr"/>
      <c r="E967" s="3" t="inlineStr">
        <is>
          <t>Union Utilities</t>
        </is>
      </c>
      <c r="F967" s="3" t="inlineStr">
        <is>
          <t>Telecom and Internet – July</t>
        </is>
      </c>
      <c r="G967" s="3" t="inlineStr">
        <is>
          <t>Telecom and Internet</t>
        </is>
      </c>
      <c r="H967" s="3" t="inlineStr">
        <is>
          <t>Checking – Operating</t>
        </is>
      </c>
      <c r="I967" s="33" t="n">
        <v>-1936.21</v>
      </c>
      <c r="J967" s="13">
        <f>+J966+I967</f>
        <v>2189611.46</v>
      </c>
      <c r="K967" s="19">
        <f>+EOMONTH(B967,0)</f>
        <v>46234</v>
      </c>
      <c r="L967" s="3" t="inlineStr">
        <is>
          <t>Checking – Operating</t>
        </is>
      </c>
      <c r="M967" s="3" t="inlineStr">
        <is>
          <t>Balance Sheet</t>
        </is>
      </c>
    </row>
    <row r="968">
      <c r="B968" s="39" t="n">
        <v>46227</v>
      </c>
      <c r="C968" s="3" t="inlineStr">
        <is>
          <t>Payroll Check</t>
        </is>
      </c>
      <c r="D968" s="3" t="inlineStr"/>
      <c r="E968" s="3" t="inlineStr">
        <is>
          <t>Tessarand Payroll Services</t>
        </is>
      </c>
      <c r="F968" s="3" t="inlineStr">
        <is>
          <t>Payroll processing fee</t>
        </is>
      </c>
      <c r="G968" s="3" t="inlineStr">
        <is>
          <t>Payroll Processing Fee</t>
        </is>
      </c>
      <c r="H968" s="3" t="inlineStr">
        <is>
          <t>Checking – Operating</t>
        </is>
      </c>
      <c r="I968" s="33" t="n">
        <v>-87.12</v>
      </c>
      <c r="J968" s="13">
        <f>+J967+I968</f>
        <v>2189524.34</v>
      </c>
      <c r="K968" s="19">
        <f>+EOMONTH(B968,0)</f>
        <v>46234</v>
      </c>
      <c r="L968" s="3" t="inlineStr">
        <is>
          <t>Checking – Operating</t>
        </is>
      </c>
      <c r="M968" s="3" t="inlineStr">
        <is>
          <t>Balance Sheet</t>
        </is>
      </c>
    </row>
    <row r="969">
      <c r="B969" s="39" t="n">
        <v>46228</v>
      </c>
      <c r="C969" s="3" t="inlineStr">
        <is>
          <t>Bill Payment (Check)</t>
        </is>
      </c>
      <c r="D969" s="3" t="inlineStr"/>
      <c r="E969" s="3" t="inlineStr">
        <is>
          <t>Reference Lab A</t>
        </is>
      </c>
      <c r="F969" s="3" t="inlineStr">
        <is>
          <t>Send-out testing – June</t>
        </is>
      </c>
      <c r="G969" s="3" t="inlineStr">
        <is>
          <t>Accounts Payable</t>
        </is>
      </c>
      <c r="H969" s="3" t="inlineStr">
        <is>
          <t>Checking – Operating</t>
        </is>
      </c>
      <c r="I969" s="33" t="n">
        <v>-21193.08</v>
      </c>
      <c r="J969" s="13">
        <f>+J968+I969</f>
        <v>2168331.26</v>
      </c>
      <c r="K969" s="19">
        <f>+EOMONTH(B969,0)</f>
        <v>46234</v>
      </c>
      <c r="L969" s="3" t="inlineStr">
        <is>
          <t>Checking – Operating</t>
        </is>
      </c>
      <c r="M969" s="3" t="inlineStr">
        <is>
          <t>Balance Sheet</t>
        </is>
      </c>
    </row>
    <row r="970">
      <c r="B970" s="39" t="n">
        <v>46229</v>
      </c>
      <c r="C970" s="3" t="inlineStr">
        <is>
          <t>Deposit</t>
        </is>
      </c>
      <c r="D970" s="3" t="inlineStr"/>
      <c r="E970" s="3" t="inlineStr">
        <is>
          <t>Marrowby Mutual</t>
        </is>
      </c>
      <c r="F970" s="3" t="inlineStr">
        <is>
          <t>ORIG CO NAME:MARROWBY MUTUAL ORIG ID:XXXXXX7287 DESC DATE:260726 CO ENTRY DESCR:HCCLAIMPMT SEC:CCD TRACE#:XXXXXXXX3339583 EED:260726 IND ID:</t>
        </is>
      </c>
      <c r="G970" s="3" t="inlineStr">
        <is>
          <t>Service Income</t>
        </is>
      </c>
      <c r="H970" s="3" t="inlineStr">
        <is>
          <t>Checking – Operating</t>
        </is>
      </c>
      <c r="I970" s="33" t="n">
        <v>74495.09</v>
      </c>
      <c r="J970" s="13">
        <f>+J969+I970</f>
        <v>2242826.35</v>
      </c>
      <c r="K970" s="19">
        <f>+EOMONTH(B970,0)</f>
        <v>46234</v>
      </c>
      <c r="L970" s="3" t="inlineStr">
        <is>
          <t>Checking – Operating</t>
        </is>
      </c>
      <c r="M970" s="3" t="inlineStr">
        <is>
          <t>Balance Sheet</t>
        </is>
      </c>
    </row>
    <row r="971">
      <c r="B971" s="39" t="n">
        <v>46229</v>
      </c>
      <c r="C971" s="3" t="inlineStr">
        <is>
          <t>Expense</t>
        </is>
      </c>
      <c r="D971" s="3" t="inlineStr"/>
      <c r="E971" s="3" t="inlineStr"/>
      <c r="F971" s="3" t="inlineStr">
        <is>
          <t>Automobile Expense – July</t>
        </is>
      </c>
      <c r="G971" s="3" t="inlineStr">
        <is>
          <t>Automobile Expense</t>
        </is>
      </c>
      <c r="H971" s="3" t="inlineStr">
        <is>
          <t>Checking – Operating</t>
        </is>
      </c>
      <c r="I971" s="33" t="n">
        <v>-1009.7</v>
      </c>
      <c r="J971" s="13">
        <f>+J970+I971</f>
        <v>2241816.65</v>
      </c>
      <c r="K971" s="19">
        <f>+EOMONTH(B971,0)</f>
        <v>46234</v>
      </c>
      <c r="L971" s="3" t="inlineStr">
        <is>
          <t>Checking – Operating</t>
        </is>
      </c>
      <c r="M971" s="3" t="inlineStr">
        <is>
          <t>Balance Sheet</t>
        </is>
      </c>
    </row>
    <row r="972">
      <c r="B972" s="39" t="n">
        <v>46229</v>
      </c>
      <c r="C972" s="3" t="inlineStr">
        <is>
          <t>Expense</t>
        </is>
      </c>
      <c r="D972" s="3" t="inlineStr"/>
      <c r="E972" s="3" t="inlineStr"/>
      <c r="F972" s="3" t="inlineStr">
        <is>
          <t>Car expense – July</t>
        </is>
      </c>
      <c r="G972" s="3" t="inlineStr">
        <is>
          <t>Car expense</t>
        </is>
      </c>
      <c r="H972" s="3" t="inlineStr">
        <is>
          <t>Checking – Operating</t>
        </is>
      </c>
      <c r="I972" s="33" t="n">
        <v>-794.3200000000001</v>
      </c>
      <c r="J972" s="13">
        <f>+J971+I972</f>
        <v>2241022.33</v>
      </c>
      <c r="K972" s="19">
        <f>+EOMONTH(B972,0)</f>
        <v>46234</v>
      </c>
      <c r="L972" s="3" t="inlineStr">
        <is>
          <t>Checking – Operating</t>
        </is>
      </c>
      <c r="M972" s="3" t="inlineStr">
        <is>
          <t>Balance Sheet</t>
        </is>
      </c>
    </row>
    <row r="973">
      <c r="B973" s="39" t="n">
        <v>46229</v>
      </c>
      <c r="C973" s="3" t="inlineStr">
        <is>
          <t>Expense</t>
        </is>
      </c>
      <c r="D973" s="3" t="inlineStr"/>
      <c r="E973" s="3" t="inlineStr">
        <is>
          <t>Tessarand Payroll Services</t>
        </is>
      </c>
      <c r="F973" s="3" t="inlineStr">
        <is>
          <t>Sales and Marketing Expenses – July</t>
        </is>
      </c>
      <c r="G973" s="3" t="inlineStr">
        <is>
          <t>Sales and Marketing Expenses</t>
        </is>
      </c>
      <c r="H973" s="3" t="inlineStr">
        <is>
          <t>Checking – Operating</t>
        </is>
      </c>
      <c r="I973" s="33" t="n">
        <v>-16223.58</v>
      </c>
      <c r="J973" s="13">
        <f>+J972+I973</f>
        <v>2224798.75</v>
      </c>
      <c r="K973" s="19">
        <f>+EOMONTH(B973,0)</f>
        <v>46234</v>
      </c>
      <c r="L973" s="3" t="inlineStr">
        <is>
          <t>Checking – Operating</t>
        </is>
      </c>
      <c r="M973" s="3" t="inlineStr">
        <is>
          <t>Balance Sheet</t>
        </is>
      </c>
    </row>
    <row r="974">
      <c r="B974" s="39" t="n">
        <v>46229</v>
      </c>
      <c r="C974" s="3" t="inlineStr">
        <is>
          <t>Journal Entry</t>
        </is>
      </c>
      <c r="D974" s="3" t="inlineStr"/>
      <c r="E974" s="3" t="inlineStr"/>
      <c r="F974" s="3" t="inlineStr">
        <is>
          <t>Travel Expense – July</t>
        </is>
      </c>
      <c r="G974" s="3" t="inlineStr">
        <is>
          <t>Travel Expense</t>
        </is>
      </c>
      <c r="H974" s="3" t="inlineStr">
        <is>
          <t>Checking – Operating</t>
        </is>
      </c>
      <c r="I974" s="33" t="n">
        <v>-1220.09</v>
      </c>
      <c r="J974" s="13">
        <f>+J973+I974</f>
        <v>2223578.66</v>
      </c>
      <c r="K974" s="19">
        <f>+EOMONTH(B974,0)</f>
        <v>46234</v>
      </c>
      <c r="L974" s="3" t="inlineStr">
        <is>
          <t>Checking – Operating</t>
        </is>
      </c>
      <c r="M974" s="3" t="inlineStr">
        <is>
          <t>Balance Sheet</t>
        </is>
      </c>
    </row>
    <row r="975">
      <c r="B975" s="39" t="n">
        <v>46229</v>
      </c>
      <c r="C975" s="3" t="inlineStr">
        <is>
          <t>Payroll Check</t>
        </is>
      </c>
      <c r="D975" s="3" t="inlineStr"/>
      <c r="E975" s="3" t="inlineStr">
        <is>
          <t>Tessarand Payroll Services</t>
        </is>
      </c>
      <c r="F975" s="3" t="inlineStr">
        <is>
          <t>Payroll taxes – biweekly</t>
        </is>
      </c>
      <c r="G975" s="3" t="inlineStr">
        <is>
          <t>Payroll Taxes</t>
        </is>
      </c>
      <c r="H975" s="3" t="inlineStr">
        <is>
          <t>Checking – Operating</t>
        </is>
      </c>
      <c r="I975" s="33" t="n">
        <v>-933.38</v>
      </c>
      <c r="J975" s="13">
        <f>+J974+I975</f>
        <v>2222645.28</v>
      </c>
      <c r="K975" s="19">
        <f>+EOMONTH(B975,0)</f>
        <v>46234</v>
      </c>
      <c r="L975" s="3" t="inlineStr">
        <is>
          <t>Checking – Operating</t>
        </is>
      </c>
      <c r="M975" s="3" t="inlineStr">
        <is>
          <t>Balance Sheet</t>
        </is>
      </c>
    </row>
    <row r="976">
      <c r="B976" s="39" t="n">
        <v>46230</v>
      </c>
      <c r="C976" s="3" t="inlineStr">
        <is>
          <t>Bill Payment (Check)</t>
        </is>
      </c>
      <c r="D976" s="3" t="inlineStr"/>
      <c r="E976" s="3" t="inlineStr">
        <is>
          <t>Reagentix Corp</t>
        </is>
      </c>
      <c r="F976" s="3" t="inlineStr">
        <is>
          <t>Lab Expenses – July</t>
        </is>
      </c>
      <c r="G976" s="3" t="inlineStr">
        <is>
          <t>Accounts Payable</t>
        </is>
      </c>
      <c r="H976" s="3" t="inlineStr">
        <is>
          <t>Checking – Operating</t>
        </is>
      </c>
      <c r="I976" s="33" t="n">
        <v>-3689.9</v>
      </c>
      <c r="J976" s="13">
        <f>+J975+I976</f>
        <v>2218955.38</v>
      </c>
      <c r="K976" s="19">
        <f>+EOMONTH(B976,0)</f>
        <v>46234</v>
      </c>
      <c r="L976" s="3" t="inlineStr">
        <is>
          <t>Checking – Operating</t>
        </is>
      </c>
      <c r="M976" s="3" t="inlineStr">
        <is>
          <t>Balance Sheet</t>
        </is>
      </c>
    </row>
    <row r="977">
      <c r="B977" s="39" t="n">
        <v>46230</v>
      </c>
      <c r="C977" s="3" t="inlineStr">
        <is>
          <t>Bill Payment (Check)</t>
        </is>
      </c>
      <c r="D977" s="3" t="inlineStr"/>
      <c r="E977" s="3" t="inlineStr">
        <is>
          <t>Tarrowmere Mutual Insurance</t>
        </is>
      </c>
      <c r="F977" s="3" t="inlineStr">
        <is>
          <t>Premium installment</t>
        </is>
      </c>
      <c r="G977" s="3" t="inlineStr">
        <is>
          <t>Accounts Payable</t>
        </is>
      </c>
      <c r="H977" s="3" t="inlineStr">
        <is>
          <t>Checking – Operating</t>
        </is>
      </c>
      <c r="I977" s="33" t="n">
        <v>-6799.4</v>
      </c>
      <c r="J977" s="13">
        <f>+J976+I977</f>
        <v>2212155.98</v>
      </c>
      <c r="K977" s="19">
        <f>+EOMONTH(B977,0)</f>
        <v>46234</v>
      </c>
      <c r="L977" s="3" t="inlineStr">
        <is>
          <t>Checking – Operating</t>
        </is>
      </c>
      <c r="M977" s="3" t="inlineStr">
        <is>
          <t>Balance Sheet</t>
        </is>
      </c>
    </row>
    <row r="978">
      <c r="B978" s="39" t="n">
        <v>46230</v>
      </c>
      <c r="C978" s="3" t="inlineStr">
        <is>
          <t>Expense</t>
        </is>
      </c>
      <c r="D978" s="3" t="inlineStr"/>
      <c r="E978" s="3" t="inlineStr">
        <is>
          <t>Consultant A</t>
        </is>
      </c>
      <c r="F978" s="3" t="inlineStr">
        <is>
          <t>Legal &amp; Professional Fees – July</t>
        </is>
      </c>
      <c r="G978" s="3" t="inlineStr">
        <is>
          <t>Legal &amp; Professional Fees</t>
        </is>
      </c>
      <c r="H978" s="3" t="inlineStr">
        <is>
          <t>Checking – Operating</t>
        </is>
      </c>
      <c r="I978" s="33" t="n">
        <v>-1178.95</v>
      </c>
      <c r="J978" s="13">
        <f>+J977+I978</f>
        <v>2210977.03</v>
      </c>
      <c r="K978" s="19">
        <f>+EOMONTH(B978,0)</f>
        <v>46234</v>
      </c>
      <c r="L978" s="3" t="inlineStr">
        <is>
          <t>Checking – Operating</t>
        </is>
      </c>
      <c r="M978" s="3" t="inlineStr">
        <is>
          <t>Balance Sheet</t>
        </is>
      </c>
    </row>
    <row r="979">
      <c r="B979" s="39" t="n">
        <v>46230</v>
      </c>
      <c r="C979" s="3" t="inlineStr">
        <is>
          <t>Expense</t>
        </is>
      </c>
      <c r="D979" s="3" t="inlineStr"/>
      <c r="E979" s="3" t="inlineStr">
        <is>
          <t>Tessarand Payroll Services</t>
        </is>
      </c>
      <c r="F979" s="3" t="inlineStr">
        <is>
          <t>Sales and Marketing Expenses – July</t>
        </is>
      </c>
      <c r="G979" s="3" t="inlineStr">
        <is>
          <t>Sales and Marketing Expenses</t>
        </is>
      </c>
      <c r="H979" s="3" t="inlineStr">
        <is>
          <t>Checking – Operating</t>
        </is>
      </c>
      <c r="I979" s="33" t="n">
        <v>-20233.02</v>
      </c>
      <c r="J979" s="13">
        <f>+J978+I979</f>
        <v>2190744.01</v>
      </c>
      <c r="K979" s="19">
        <f>+EOMONTH(B979,0)</f>
        <v>46234</v>
      </c>
      <c r="L979" s="3" t="inlineStr">
        <is>
          <t>Checking – Operating</t>
        </is>
      </c>
      <c r="M979" s="3" t="inlineStr">
        <is>
          <t>Balance Sheet</t>
        </is>
      </c>
    </row>
    <row r="980">
      <c r="B980" s="39" t="n">
        <v>46230</v>
      </c>
      <c r="C980" s="3" t="inlineStr">
        <is>
          <t>Payroll Check</t>
        </is>
      </c>
      <c r="D980" s="3" t="inlineStr"/>
      <c r="E980" s="3" t="inlineStr">
        <is>
          <t>Tessarand Payroll Services</t>
        </is>
      </c>
      <c r="F980" s="3" t="inlineStr">
        <is>
          <t>Payroll taxes – biweekly</t>
        </is>
      </c>
      <c r="G980" s="3" t="inlineStr">
        <is>
          <t>Payroll Taxes</t>
        </is>
      </c>
      <c r="H980" s="3" t="inlineStr">
        <is>
          <t>Checking – Operating</t>
        </is>
      </c>
      <c r="I980" s="33" t="n">
        <v>-522.42</v>
      </c>
      <c r="J980" s="13">
        <f>+J979+I980</f>
        <v>2190221.59</v>
      </c>
      <c r="K980" s="19">
        <f>+EOMONTH(B980,0)</f>
        <v>46234</v>
      </c>
      <c r="L980" s="3" t="inlineStr">
        <is>
          <t>Checking – Operating</t>
        </is>
      </c>
      <c r="M980" s="3" t="inlineStr">
        <is>
          <t>Balance Sheet</t>
        </is>
      </c>
    </row>
    <row r="981">
      <c r="B981" s="39" t="n">
        <v>46230</v>
      </c>
      <c r="C981" s="3" t="inlineStr">
        <is>
          <t>Payroll Check</t>
        </is>
      </c>
      <c r="D981" s="3" t="inlineStr"/>
      <c r="E981" s="3" t="inlineStr">
        <is>
          <t>Tessarand Payroll Services</t>
        </is>
      </c>
      <c r="F981" s="3" t="inlineStr">
        <is>
          <t>Payroll processing fee</t>
        </is>
      </c>
      <c r="G981" s="3" t="inlineStr">
        <is>
          <t>Payroll Processing Fee</t>
        </is>
      </c>
      <c r="H981" s="3" t="inlineStr">
        <is>
          <t>Checking – Operating</t>
        </is>
      </c>
      <c r="I981" s="33" t="n">
        <v>-101.29</v>
      </c>
      <c r="J981" s="13">
        <f>+J980+I981</f>
        <v>2190120.3</v>
      </c>
      <c r="K981" s="19">
        <f>+EOMONTH(B981,0)</f>
        <v>46234</v>
      </c>
      <c r="L981" s="3" t="inlineStr">
        <is>
          <t>Checking – Operating</t>
        </is>
      </c>
      <c r="M981" s="3" t="inlineStr">
        <is>
          <t>Balance Sheet</t>
        </is>
      </c>
    </row>
    <row r="982">
      <c r="B982" s="39" t="n">
        <v>46231</v>
      </c>
      <c r="C982" s="3" t="inlineStr">
        <is>
          <t>Bill Payment (Check)</t>
        </is>
      </c>
      <c r="D982" s="3" t="inlineStr"/>
      <c r="E982" s="3" t="inlineStr">
        <is>
          <t>Vialtrace Lab Supplies Inc</t>
        </is>
      </c>
      <c r="F982" s="3" t="inlineStr">
        <is>
          <t>Lab supplies PO# F2796</t>
        </is>
      </c>
      <c r="G982" s="3" t="inlineStr">
        <is>
          <t>Accounts Payable</t>
        </is>
      </c>
      <c r="H982" s="3" t="inlineStr">
        <is>
          <t>Checking – Operating</t>
        </is>
      </c>
      <c r="I982" s="33" t="n">
        <v>-36303.61</v>
      </c>
      <c r="J982" s="13">
        <f>+J981+I982</f>
        <v>2153816.69</v>
      </c>
      <c r="K982" s="19">
        <f>+EOMONTH(B982,0)</f>
        <v>46234</v>
      </c>
      <c r="L982" s="3" t="inlineStr">
        <is>
          <t>Checking – Operating</t>
        </is>
      </c>
      <c r="M982" s="3" t="inlineStr">
        <is>
          <t>Balance Sheet</t>
        </is>
      </c>
    </row>
    <row r="983">
      <c r="B983" s="39" t="n">
        <v>46231</v>
      </c>
      <c r="C983" s="3" t="inlineStr">
        <is>
          <t>Bill Payment (Check)</t>
        </is>
      </c>
      <c r="D983" s="3" t="inlineStr"/>
      <c r="E983" s="3" t="inlineStr">
        <is>
          <t>Reagentix Corp</t>
        </is>
      </c>
      <c r="F983" s="3" t="inlineStr">
        <is>
          <t>Lab supplies PO# F2130</t>
        </is>
      </c>
      <c r="G983" s="3" t="inlineStr">
        <is>
          <t>Accounts Payable</t>
        </is>
      </c>
      <c r="H983" s="3" t="inlineStr">
        <is>
          <t>Checking – Operating</t>
        </is>
      </c>
      <c r="I983" s="33" t="n">
        <v>-8513.73</v>
      </c>
      <c r="J983" s="13">
        <f>+J982+I983</f>
        <v>2145302.96</v>
      </c>
      <c r="K983" s="19">
        <f>+EOMONTH(B983,0)</f>
        <v>46234</v>
      </c>
      <c r="L983" s="3" t="inlineStr">
        <is>
          <t>Checking – Operating</t>
        </is>
      </c>
      <c r="M983" s="3" t="inlineStr">
        <is>
          <t>Balance Sheet</t>
        </is>
      </c>
    </row>
    <row r="984">
      <c r="B984" s="39" t="n">
        <v>46231</v>
      </c>
      <c r="C984" s="3" t="inlineStr">
        <is>
          <t>Bill Payment (Check)</t>
        </is>
      </c>
      <c r="D984" s="3" t="inlineStr"/>
      <c r="E984" s="3" t="inlineStr">
        <is>
          <t>Swiftmere Courier</t>
        </is>
      </c>
      <c r="F984" s="3" t="inlineStr">
        <is>
          <t>Delivery and Transportation – June</t>
        </is>
      </c>
      <c r="G984" s="3" t="inlineStr">
        <is>
          <t>Accounts Payable</t>
        </is>
      </c>
      <c r="H984" s="3" t="inlineStr">
        <is>
          <t>Checking – Operating</t>
        </is>
      </c>
      <c r="I984" s="33" t="n">
        <v>-3924.16</v>
      </c>
      <c r="J984" s="13">
        <f>+J983+I984</f>
        <v>2141378.8</v>
      </c>
      <c r="K984" s="19">
        <f>+EOMONTH(B984,0)</f>
        <v>46234</v>
      </c>
      <c r="L984" s="3" t="inlineStr">
        <is>
          <t>Checking – Operating</t>
        </is>
      </c>
      <c r="M984" s="3" t="inlineStr">
        <is>
          <t>Balance Sheet</t>
        </is>
      </c>
    </row>
    <row r="985">
      <c r="B985" s="39" t="n">
        <v>46231</v>
      </c>
      <c r="C985" s="3" t="inlineStr">
        <is>
          <t>Bill Payment (Check)</t>
        </is>
      </c>
      <c r="D985" s="3" t="inlineStr"/>
      <c r="E985" s="3" t="inlineStr">
        <is>
          <t>Lumenlease Equipment</t>
        </is>
      </c>
      <c r="F985" s="3" t="inlineStr">
        <is>
          <t>Lab Equipment – July</t>
        </is>
      </c>
      <c r="G985" s="3" t="inlineStr">
        <is>
          <t>Accounts Payable</t>
        </is>
      </c>
      <c r="H985" s="3" t="inlineStr">
        <is>
          <t>Checking – Operating</t>
        </is>
      </c>
      <c r="I985" s="33" t="n">
        <v>-2086.82</v>
      </c>
      <c r="J985" s="13">
        <f>+J984+I985</f>
        <v>2139291.98</v>
      </c>
      <c r="K985" s="19">
        <f>+EOMONTH(B985,0)</f>
        <v>46234</v>
      </c>
      <c r="L985" s="3" t="inlineStr">
        <is>
          <t>Checking – Operating</t>
        </is>
      </c>
      <c r="M985" s="3" t="inlineStr">
        <is>
          <t>Balance Sheet</t>
        </is>
      </c>
    </row>
    <row r="986">
      <c r="B986" s="39" t="n">
        <v>46231</v>
      </c>
      <c r="C986" s="3" t="inlineStr">
        <is>
          <t>Bill Payment (Check)</t>
        </is>
      </c>
      <c r="D986" s="3" t="inlineStr"/>
      <c r="E986" s="3" t="inlineStr">
        <is>
          <t>Northmoor Waste Services</t>
        </is>
      </c>
      <c r="F986" s="3" t="inlineStr">
        <is>
          <t>Hazard Waste – July</t>
        </is>
      </c>
      <c r="G986" s="3" t="inlineStr">
        <is>
          <t>Accounts Payable</t>
        </is>
      </c>
      <c r="H986" s="3" t="inlineStr">
        <is>
          <t>Checking – Operating</t>
        </is>
      </c>
      <c r="I986" s="33" t="n">
        <v>-1001.87</v>
      </c>
      <c r="J986" s="13">
        <f>+J985+I986</f>
        <v>2138290.11</v>
      </c>
      <c r="K986" s="19">
        <f>+EOMONTH(B986,0)</f>
        <v>46234</v>
      </c>
      <c r="L986" s="3" t="inlineStr">
        <is>
          <t>Checking – Operating</t>
        </is>
      </c>
      <c r="M986" s="3" t="inlineStr">
        <is>
          <t>Balance Sheet</t>
        </is>
      </c>
    </row>
    <row r="987">
      <c r="B987" s="39" t="n">
        <v>46231</v>
      </c>
      <c r="C987" s="3" t="inlineStr">
        <is>
          <t>Bill Payment (Check)</t>
        </is>
      </c>
      <c r="D987" s="3" t="inlineStr"/>
      <c r="E987" s="3" t="inlineStr">
        <is>
          <t>Tarrowmere Mutual Insurance</t>
        </is>
      </c>
      <c r="F987" s="3" t="inlineStr">
        <is>
          <t>Benefits – June</t>
        </is>
      </c>
      <c r="G987" s="3" t="inlineStr">
        <is>
          <t>Accounts Payable</t>
        </is>
      </c>
      <c r="H987" s="3" t="inlineStr">
        <is>
          <t>Checking – Operating</t>
        </is>
      </c>
      <c r="I987" s="33" t="n">
        <v>-8857.049999999999</v>
      </c>
      <c r="J987" s="13">
        <f>+J986+I987</f>
        <v>2129433.06</v>
      </c>
      <c r="K987" s="19">
        <f>+EOMONTH(B987,0)</f>
        <v>46234</v>
      </c>
      <c r="L987" s="3" t="inlineStr">
        <is>
          <t>Checking – Operating</t>
        </is>
      </c>
      <c r="M987" s="3" t="inlineStr">
        <is>
          <t>Balance Sheet</t>
        </is>
      </c>
    </row>
    <row r="988">
      <c r="B988" s="39" t="n">
        <v>46231</v>
      </c>
      <c r="C988" s="3" t="inlineStr">
        <is>
          <t>Expense</t>
        </is>
      </c>
      <c r="D988" s="3" t="inlineStr"/>
      <c r="E988" s="3" t="inlineStr"/>
      <c r="F988" s="3" t="inlineStr">
        <is>
          <t>Reimbursement – July</t>
        </is>
      </c>
      <c r="G988" s="3" t="inlineStr">
        <is>
          <t>Reimbursement</t>
        </is>
      </c>
      <c r="H988" s="3" t="inlineStr">
        <is>
          <t>Checking – Operating</t>
        </is>
      </c>
      <c r="I988" s="33" t="n">
        <v>-1100.48</v>
      </c>
      <c r="J988" s="13">
        <f>+J987+I988</f>
        <v>2128332.58</v>
      </c>
      <c r="K988" s="19">
        <f>+EOMONTH(B988,0)</f>
        <v>46234</v>
      </c>
      <c r="L988" s="3" t="inlineStr">
        <is>
          <t>Checking – Operating</t>
        </is>
      </c>
      <c r="M988" s="3" t="inlineStr">
        <is>
          <t>Balance Sheet</t>
        </is>
      </c>
    </row>
    <row r="989">
      <c r="B989" s="39" t="n">
        <v>46231</v>
      </c>
      <c r="C989" s="3" t="inlineStr">
        <is>
          <t>Payroll Check</t>
        </is>
      </c>
      <c r="D989" s="3" t="inlineStr"/>
      <c r="E989" s="3" t="inlineStr">
        <is>
          <t>Tessarand Payroll Services</t>
        </is>
      </c>
      <c r="F989" s="3" t="inlineStr">
        <is>
          <t>Payroll – biweekly</t>
        </is>
      </c>
      <c r="G989" s="3" t="inlineStr">
        <is>
          <t>Salaries and Wages</t>
        </is>
      </c>
      <c r="H989" s="3" t="inlineStr">
        <is>
          <t>Checking – Operating</t>
        </is>
      </c>
      <c r="I989" s="33" t="n">
        <v>-150192.78</v>
      </c>
      <c r="J989" s="13">
        <f>+J988+I989</f>
        <v>1978139.8</v>
      </c>
      <c r="K989" s="19">
        <f>+EOMONTH(B989,0)</f>
        <v>46234</v>
      </c>
      <c r="L989" s="3" t="inlineStr">
        <is>
          <t>Checking – Operating</t>
        </is>
      </c>
      <c r="M989" s="3" t="inlineStr">
        <is>
          <t>Balance Sheet</t>
        </is>
      </c>
    </row>
    <row r="990">
      <c r="B990" s="39" t="n">
        <v>46233</v>
      </c>
      <c r="C990" s="3" t="inlineStr">
        <is>
          <t>Bill Payment (Check)</t>
        </is>
      </c>
      <c r="D990" s="3" t="inlineStr"/>
      <c r="E990" s="3" t="inlineStr">
        <is>
          <t>Lumenlease Equipment</t>
        </is>
      </c>
      <c r="F990" s="3" t="inlineStr">
        <is>
          <t>Lab Equipment – July</t>
        </is>
      </c>
      <c r="G990" s="3" t="inlineStr">
        <is>
          <t>Accounts Payable</t>
        </is>
      </c>
      <c r="H990" s="3" t="inlineStr">
        <is>
          <t>Checking – Operating</t>
        </is>
      </c>
      <c r="I990" s="33" t="n">
        <v>-3213.18</v>
      </c>
      <c r="J990" s="13">
        <f>+J989+I990</f>
        <v>1974926.62</v>
      </c>
      <c r="K990" s="19">
        <f>+EOMONTH(B990,0)</f>
        <v>46234</v>
      </c>
      <c r="L990" s="3" t="inlineStr">
        <is>
          <t>Checking – Operating</t>
        </is>
      </c>
      <c r="M990" s="3" t="inlineStr">
        <is>
          <t>Balance Sheet</t>
        </is>
      </c>
    </row>
    <row r="991">
      <c r="B991" s="39" t="n">
        <v>46233</v>
      </c>
      <c r="C991" s="3" t="inlineStr">
        <is>
          <t>Bill Payment (Check)</t>
        </is>
      </c>
      <c r="D991" s="3" t="inlineStr"/>
      <c r="E991" s="3" t="inlineStr">
        <is>
          <t>Tarrowmere Mutual Insurance</t>
        </is>
      </c>
      <c r="F991" s="3" t="inlineStr">
        <is>
          <t>Premium installment</t>
        </is>
      </c>
      <c r="G991" s="3" t="inlineStr">
        <is>
          <t>Accounts Payable</t>
        </is>
      </c>
      <c r="H991" s="3" t="inlineStr">
        <is>
          <t>Checking – Operating</t>
        </is>
      </c>
      <c r="I991" s="33" t="n">
        <v>-6401.49</v>
      </c>
      <c r="J991" s="13">
        <f>+J990+I991</f>
        <v>1968525.13</v>
      </c>
      <c r="K991" s="19">
        <f>+EOMONTH(B991,0)</f>
        <v>46234</v>
      </c>
      <c r="L991" s="3" t="inlineStr">
        <is>
          <t>Checking – Operating</t>
        </is>
      </c>
      <c r="M991" s="3" t="inlineStr">
        <is>
          <t>Balance Sheet</t>
        </is>
      </c>
    </row>
    <row r="992">
      <c r="B992" s="39" t="n">
        <v>46233</v>
      </c>
      <c r="C992" s="3" t="inlineStr">
        <is>
          <t>Bill Payment (Check)</t>
        </is>
      </c>
      <c r="D992" s="3" t="inlineStr"/>
      <c r="E992" s="3" t="inlineStr">
        <is>
          <t>Tarrowmere Mutual Insurance</t>
        </is>
      </c>
      <c r="F992" s="3" t="inlineStr">
        <is>
          <t>Benefits – July</t>
        </is>
      </c>
      <c r="G992" s="3" t="inlineStr">
        <is>
          <t>Accounts Payable</t>
        </is>
      </c>
      <c r="H992" s="3" t="inlineStr">
        <is>
          <t>Checking – Operating</t>
        </is>
      </c>
      <c r="I992" s="33" t="n">
        <v>-4526.4</v>
      </c>
      <c r="J992" s="13">
        <f>+J991+I992</f>
        <v>1963998.73</v>
      </c>
      <c r="K992" s="19">
        <f>+EOMONTH(B992,0)</f>
        <v>46234</v>
      </c>
      <c r="L992" s="3" t="inlineStr">
        <is>
          <t>Checking – Operating</t>
        </is>
      </c>
      <c r="M992" s="3" t="inlineStr">
        <is>
          <t>Balance Sheet</t>
        </is>
      </c>
    </row>
    <row r="993">
      <c r="B993" s="39" t="n">
        <v>46233</v>
      </c>
      <c r="C993" s="3" t="inlineStr">
        <is>
          <t>Credit Card Expense</t>
        </is>
      </c>
      <c r="D993" s="3" t="inlineStr"/>
      <c r="E993" s="3" t="inlineStr"/>
      <c r="F993" s="3" t="inlineStr">
        <is>
          <t>Lab Credentialing – July</t>
        </is>
      </c>
      <c r="G993" s="3" t="inlineStr">
        <is>
          <t>Lab Credentialing</t>
        </is>
      </c>
      <c r="H993" s="3" t="inlineStr">
        <is>
          <t>Checking – Operating</t>
        </is>
      </c>
      <c r="I993" s="33" t="n">
        <v>-1155.23</v>
      </c>
      <c r="J993" s="13">
        <f>+J992+I993</f>
        <v>1962843.5</v>
      </c>
      <c r="K993" s="19">
        <f>+EOMONTH(B993,0)</f>
        <v>46234</v>
      </c>
      <c r="L993" s="3" t="inlineStr">
        <is>
          <t>Checking – Operating</t>
        </is>
      </c>
      <c r="M993" s="3" t="inlineStr">
        <is>
          <t>Balance Sheet</t>
        </is>
      </c>
    </row>
    <row r="994">
      <c r="B994" s="39" t="n">
        <v>46233</v>
      </c>
      <c r="C994" s="3" t="inlineStr">
        <is>
          <t>Credit Card Expense</t>
        </is>
      </c>
      <c r="D994" s="3" t="inlineStr"/>
      <c r="E994" s="3" t="inlineStr"/>
      <c r="F994" s="3" t="inlineStr">
        <is>
          <t>Property tax installment</t>
        </is>
      </c>
      <c r="G994" s="3" t="inlineStr">
        <is>
          <t>Property tax</t>
        </is>
      </c>
      <c r="H994" s="3" t="inlineStr">
        <is>
          <t>Checking – Operating</t>
        </is>
      </c>
      <c r="I994" s="33" t="n">
        <v>-1047.64</v>
      </c>
      <c r="J994" s="13">
        <f>+J993+I994</f>
        <v>1961795.86</v>
      </c>
      <c r="K994" s="19">
        <f>+EOMONTH(B994,0)</f>
        <v>46234</v>
      </c>
      <c r="L994" s="3" t="inlineStr">
        <is>
          <t>Checking – Operating</t>
        </is>
      </c>
      <c r="M994" s="3" t="inlineStr">
        <is>
          <t>Balance Sheet</t>
        </is>
      </c>
    </row>
    <row r="995">
      <c r="B995" s="39" t="n">
        <v>46233</v>
      </c>
      <c r="C995" s="3" t="inlineStr">
        <is>
          <t>Expense</t>
        </is>
      </c>
      <c r="D995" s="3" t="inlineStr"/>
      <c r="E995" s="3" t="inlineStr">
        <is>
          <t>Ledgerquill Billing SaaS</t>
        </is>
      </c>
      <c r="F995" s="3" t="inlineStr">
        <is>
          <t>Dues &amp; Subscriptions – July</t>
        </is>
      </c>
      <c r="G995" s="3" t="inlineStr">
        <is>
          <t>Dues &amp; Subscriptions</t>
        </is>
      </c>
      <c r="H995" s="3" t="inlineStr">
        <is>
          <t>Checking – Operating</t>
        </is>
      </c>
      <c r="I995" s="33" t="n">
        <v>-951.38</v>
      </c>
      <c r="J995" s="13">
        <f>+J994+I995</f>
        <v>1960844.48</v>
      </c>
      <c r="K995" s="19">
        <f>+EOMONTH(B995,0)</f>
        <v>46234</v>
      </c>
      <c r="L995" s="3" t="inlineStr">
        <is>
          <t>Checking – Operating</t>
        </is>
      </c>
      <c r="M995" s="3" t="inlineStr">
        <is>
          <t>Balance Sheet</t>
        </is>
      </c>
    </row>
    <row r="996">
      <c r="B996" s="39" t="n">
        <v>46234</v>
      </c>
      <c r="C996" s="3" t="inlineStr">
        <is>
          <t>Bill Payment (Check)</t>
        </is>
      </c>
      <c r="D996" s="3" t="inlineStr"/>
      <c r="E996" s="3" t="inlineStr">
        <is>
          <t>Northmoor Waste Services</t>
        </is>
      </c>
      <c r="F996" s="3" t="inlineStr">
        <is>
          <t>Hazard Waste – July</t>
        </is>
      </c>
      <c r="G996" s="3" t="inlineStr">
        <is>
          <t>Accounts Payable</t>
        </is>
      </c>
      <c r="H996" s="3" t="inlineStr">
        <is>
          <t>Checking – Operating</t>
        </is>
      </c>
      <c r="I996" s="33" t="n">
        <v>-738.13</v>
      </c>
      <c r="J996" s="13">
        <f>+J995+I996</f>
        <v>1960106.35</v>
      </c>
      <c r="K996" s="19">
        <f>+EOMONTH(B996,0)</f>
        <v>46234</v>
      </c>
      <c r="L996" s="3" t="inlineStr">
        <is>
          <t>Checking – Operating</t>
        </is>
      </c>
      <c r="M996" s="3" t="inlineStr">
        <is>
          <t>Balance Sheet</t>
        </is>
      </c>
    </row>
    <row r="997">
      <c r="B997" s="39" t="n">
        <v>46234</v>
      </c>
      <c r="C997" s="3" t="inlineStr">
        <is>
          <t>Deposit</t>
        </is>
      </c>
      <c r="D997" s="3" t="inlineStr"/>
      <c r="E997" s="3" t="inlineStr">
        <is>
          <t>Silvermoss Senior Living</t>
        </is>
      </c>
      <c r="F997" s="3" t="inlineStr">
        <is>
          <t>ORIG CO NAME:SILVERMOSS SL ORIG ID:XXXXXX2125 DESC DATE:260731 CO ENTRY DESCR:HCCLAIMPMT SEC:CCD TRACE#:XXXXXXXX1164564 EED:260731 IND ID:</t>
        </is>
      </c>
      <c r="G997" s="3" t="inlineStr">
        <is>
          <t>Service Income</t>
        </is>
      </c>
      <c r="H997" s="3" t="inlineStr">
        <is>
          <t>Checking – Operating</t>
        </is>
      </c>
      <c r="I997" s="33" t="n">
        <v>48655.58</v>
      </c>
      <c r="J997" s="13">
        <f>+J996+I997</f>
        <v>2008761.93</v>
      </c>
      <c r="K997" s="19">
        <f>+EOMONTH(B997,0)</f>
        <v>46234</v>
      </c>
      <c r="L997" s="3" t="inlineStr">
        <is>
          <t>Checking – Operating</t>
        </is>
      </c>
      <c r="M997" s="3" t="inlineStr">
        <is>
          <t>Balance Sheet</t>
        </is>
      </c>
    </row>
    <row r="998">
      <c r="B998" s="39" t="n">
        <v>46235</v>
      </c>
      <c r="C998" s="3" t="inlineStr">
        <is>
          <t>Bill Payment (Check)</t>
        </is>
      </c>
      <c r="D998" s="3" t="inlineStr"/>
      <c r="E998" s="3" t="inlineStr">
        <is>
          <t>Reagentix Corp</t>
        </is>
      </c>
      <c r="F998" s="3" t="inlineStr">
        <is>
          <t>Lab supplies PO# F2059</t>
        </is>
      </c>
      <c r="G998" s="3" t="inlineStr">
        <is>
          <t>Accounts Payable</t>
        </is>
      </c>
      <c r="H998" s="3" t="inlineStr">
        <is>
          <t>Checking – Operating</t>
        </is>
      </c>
      <c r="I998" s="33" t="n">
        <v>-8549.879999999999</v>
      </c>
      <c r="J998" s="13">
        <f>+J997+I998</f>
        <v>2000212.05</v>
      </c>
      <c r="K998" s="19">
        <f>+EOMONTH(B998,0)</f>
        <v>46265</v>
      </c>
      <c r="L998" s="3" t="inlineStr">
        <is>
          <t>Checking – Operating</t>
        </is>
      </c>
      <c r="M998" s="3" t="inlineStr">
        <is>
          <t>Balance Sheet</t>
        </is>
      </c>
    </row>
    <row r="999">
      <c r="B999" s="39" t="n">
        <v>46235</v>
      </c>
      <c r="C999" s="3" t="inlineStr">
        <is>
          <t>Bill Payment (Check)</t>
        </is>
      </c>
      <c r="D999" s="3" t="inlineStr"/>
      <c r="E999" s="3" t="inlineStr">
        <is>
          <t>Lumenlease Equipment</t>
        </is>
      </c>
      <c r="F999" s="3" t="inlineStr">
        <is>
          <t>Equipment Lease – July</t>
        </is>
      </c>
      <c r="G999" s="3" t="inlineStr">
        <is>
          <t>Accounts Payable</t>
        </is>
      </c>
      <c r="H999" s="3" t="inlineStr">
        <is>
          <t>Checking – Operating</t>
        </is>
      </c>
      <c r="I999" s="33" t="n">
        <v>-4918.48</v>
      </c>
      <c r="J999" s="13">
        <f>+J998+I999</f>
        <v>1995293.57</v>
      </c>
      <c r="K999" s="19">
        <f>+EOMONTH(B999,0)</f>
        <v>46265</v>
      </c>
      <c r="L999" s="3" t="inlineStr">
        <is>
          <t>Checking – Operating</t>
        </is>
      </c>
      <c r="M999" s="3" t="inlineStr">
        <is>
          <t>Balance Sheet</t>
        </is>
      </c>
    </row>
    <row r="1000">
      <c r="B1000" s="39" t="n">
        <v>46235</v>
      </c>
      <c r="C1000" s="3" t="inlineStr">
        <is>
          <t>Deposit</t>
        </is>
      </c>
      <c r="D1000" s="3" t="inlineStr"/>
      <c r="E1000" s="3" t="inlineStr">
        <is>
          <t>Federal Program A</t>
        </is>
      </c>
      <c r="F1000" s="3" t="inlineStr">
        <is>
          <t>ORIG CO NAME:FEDERAL PROG A ORIG ID:XXXXXX6822 DESC DATE:260801 CO ENTRY DESCR:HCCLAIMPMT SEC:CCD TRACE#:XXXXXXXX8993356 EED:260801 IND ID:</t>
        </is>
      </c>
      <c r="G1000" s="3" t="inlineStr">
        <is>
          <t>Service Income</t>
        </is>
      </c>
      <c r="H1000" s="3" t="inlineStr">
        <is>
          <t>Checking – Operating</t>
        </is>
      </c>
      <c r="I1000" s="33" t="n">
        <v>84806.14999999999</v>
      </c>
      <c r="J1000" s="13">
        <f>+J999+I1000</f>
        <v>2080099.72</v>
      </c>
      <c r="K1000" s="19">
        <f>+EOMONTH(B1000,0)</f>
        <v>46265</v>
      </c>
      <c r="L1000" s="3" t="inlineStr">
        <is>
          <t>Checking – Operating</t>
        </is>
      </c>
      <c r="M1000" s="3" t="inlineStr">
        <is>
          <t>Balance Sheet</t>
        </is>
      </c>
    </row>
    <row r="1001">
      <c r="B1001" s="39" t="n">
        <v>46235</v>
      </c>
      <c r="C1001" s="3" t="inlineStr">
        <is>
          <t>Deposit</t>
        </is>
      </c>
      <c r="D1001" s="3" t="inlineStr"/>
      <c r="E1001" s="3" t="inlineStr">
        <is>
          <t>Cobaltmere Health</t>
        </is>
      </c>
      <c r="F1001" s="3" t="inlineStr">
        <is>
          <t>ORIG CO NAME:COBALTMERE HEALTH ORIG ID:XXXXXX5417 DESC DATE:260801 CO ENTRY DESCR:HCCLAIMPMT SEC:CCD TRACE#:XXXXXXXX1559672 EED:260801 IND ID:</t>
        </is>
      </c>
      <c r="G1001" s="3" t="inlineStr">
        <is>
          <t>Service Income</t>
        </is>
      </c>
      <c r="H1001" s="3" t="inlineStr">
        <is>
          <t>Checking – Operating</t>
        </is>
      </c>
      <c r="I1001" s="33" t="n">
        <v>16692.26</v>
      </c>
      <c r="J1001" s="13">
        <f>+J1000+I1001</f>
        <v>2096791.98</v>
      </c>
      <c r="K1001" s="19">
        <f>+EOMONTH(B1001,0)</f>
        <v>46265</v>
      </c>
      <c r="L1001" s="3" t="inlineStr">
        <is>
          <t>Checking – Operating</t>
        </is>
      </c>
      <c r="M1001" s="3" t="inlineStr">
        <is>
          <t>Balance Sheet</t>
        </is>
      </c>
    </row>
    <row r="1002">
      <c r="B1002" s="39" t="n">
        <v>46235</v>
      </c>
      <c r="C1002" s="3" t="inlineStr">
        <is>
          <t>Expense</t>
        </is>
      </c>
      <c r="D1002" s="3" t="inlineStr"/>
      <c r="E1002" s="3" t="inlineStr"/>
      <c r="F1002" s="3" t="inlineStr">
        <is>
          <t>Interest – equipment note</t>
        </is>
      </c>
      <c r="G1002" s="3" t="inlineStr">
        <is>
          <t>Interest Expense</t>
        </is>
      </c>
      <c r="H1002" s="3" t="inlineStr">
        <is>
          <t>Checking – Operating</t>
        </is>
      </c>
      <c r="I1002" s="33" t="n">
        <v>-1232.43</v>
      </c>
      <c r="J1002" s="13">
        <f>+J1001+I1002</f>
        <v>2095559.55</v>
      </c>
      <c r="K1002" s="19">
        <f>+EOMONTH(B1002,0)</f>
        <v>46265</v>
      </c>
      <c r="L1002" s="3" t="inlineStr">
        <is>
          <t>Checking – Operating</t>
        </is>
      </c>
      <c r="M1002" s="3" t="inlineStr">
        <is>
          <t>Balance Sheet</t>
        </is>
      </c>
    </row>
    <row r="1003">
      <c r="B1003" s="39" t="n">
        <v>46235</v>
      </c>
      <c r="C1003" s="3" t="inlineStr">
        <is>
          <t>Expense</t>
        </is>
      </c>
      <c r="D1003" s="3" t="inlineStr"/>
      <c r="E1003" s="3" t="inlineStr"/>
      <c r="F1003" s="3" t="inlineStr">
        <is>
          <t>Car expense – August</t>
        </is>
      </c>
      <c r="G1003" s="3" t="inlineStr">
        <is>
          <t>Car expense</t>
        </is>
      </c>
      <c r="H1003" s="3" t="inlineStr">
        <is>
          <t>Checking – Operating</t>
        </is>
      </c>
      <c r="I1003" s="33" t="n">
        <v>-819.23</v>
      </c>
      <c r="J1003" s="13">
        <f>+J1002+I1003</f>
        <v>2094740.32</v>
      </c>
      <c r="K1003" s="19">
        <f>+EOMONTH(B1003,0)</f>
        <v>46265</v>
      </c>
      <c r="L1003" s="3" t="inlineStr">
        <is>
          <t>Checking – Operating</t>
        </is>
      </c>
      <c r="M1003" s="3" t="inlineStr">
        <is>
          <t>Balance Sheet</t>
        </is>
      </c>
    </row>
    <row r="1004">
      <c r="B1004" s="39" t="n">
        <v>46235</v>
      </c>
      <c r="C1004" s="3" t="inlineStr">
        <is>
          <t>Journal Entry</t>
        </is>
      </c>
      <c r="D1004" s="3" t="inlineStr"/>
      <c r="E1004" s="3" t="inlineStr">
        <is>
          <t>Consultant A</t>
        </is>
      </c>
      <c r="F1004" s="3" t="inlineStr">
        <is>
          <t>Professional Fees – August</t>
        </is>
      </c>
      <c r="G1004" s="3" t="inlineStr">
        <is>
          <t>Professional Fees</t>
        </is>
      </c>
      <c r="H1004" s="3" t="inlineStr">
        <is>
          <t>Checking – Operating</t>
        </is>
      </c>
      <c r="I1004" s="33" t="n">
        <v>-4986.04</v>
      </c>
      <c r="J1004" s="13">
        <f>+J1003+I1004</f>
        <v>2089754.28</v>
      </c>
      <c r="K1004" s="19">
        <f>+EOMONTH(B1004,0)</f>
        <v>46265</v>
      </c>
      <c r="L1004" s="3" t="inlineStr">
        <is>
          <t>Checking – Operating</t>
        </is>
      </c>
      <c r="M1004" s="3" t="inlineStr">
        <is>
          <t>Balance Sheet</t>
        </is>
      </c>
    </row>
    <row r="1005">
      <c r="B1005" s="39" t="n">
        <v>46235</v>
      </c>
      <c r="C1005" s="3" t="inlineStr">
        <is>
          <t>Journal Entry</t>
        </is>
      </c>
      <c r="D1005" s="3" t="inlineStr"/>
      <c r="E1005" s="3" t="inlineStr">
        <is>
          <t>Consultant A</t>
        </is>
      </c>
      <c r="F1005" s="3" t="inlineStr">
        <is>
          <t>Professional Fees – August</t>
        </is>
      </c>
      <c r="G1005" s="3" t="inlineStr">
        <is>
          <t>Professional Fees</t>
        </is>
      </c>
      <c r="H1005" s="3" t="inlineStr">
        <is>
          <t>Checking – Operating</t>
        </is>
      </c>
      <c r="I1005" s="33" t="n">
        <v>-5873.96</v>
      </c>
      <c r="J1005" s="13">
        <f>+J1004+I1005</f>
        <v>2083880.32</v>
      </c>
      <c r="K1005" s="19">
        <f>+EOMONTH(B1005,0)</f>
        <v>46265</v>
      </c>
      <c r="L1005" s="3" t="inlineStr">
        <is>
          <t>Checking – Operating</t>
        </is>
      </c>
      <c r="M1005" s="3" t="inlineStr">
        <is>
          <t>Balance Sheet</t>
        </is>
      </c>
    </row>
    <row r="1006">
      <c r="B1006" s="39" t="n">
        <v>46236</v>
      </c>
      <c r="C1006" s="3" t="inlineStr">
        <is>
          <t>Bill Payment (Check)</t>
        </is>
      </c>
      <c r="D1006" s="3" t="inlineStr"/>
      <c r="E1006" s="3" t="inlineStr">
        <is>
          <t>Reagentix Corp</t>
        </is>
      </c>
      <c r="F1006" s="3" t="inlineStr">
        <is>
          <t>Lab supplies PO# F2135</t>
        </is>
      </c>
      <c r="G1006" s="3" t="inlineStr">
        <is>
          <t>Accounts Payable</t>
        </is>
      </c>
      <c r="H1006" s="3" t="inlineStr">
        <is>
          <t>Checking – Operating</t>
        </is>
      </c>
      <c r="I1006" s="33" t="n">
        <v>-33575.81</v>
      </c>
      <c r="J1006" s="13">
        <f>+J1005+I1006</f>
        <v>2050304.51</v>
      </c>
      <c r="K1006" s="19">
        <f>+EOMONTH(B1006,0)</f>
        <v>46265</v>
      </c>
      <c r="L1006" s="3" t="inlineStr">
        <is>
          <t>Checking – Operating</t>
        </is>
      </c>
      <c r="M1006" s="3" t="inlineStr">
        <is>
          <t>Balance Sheet</t>
        </is>
      </c>
    </row>
    <row r="1007">
      <c r="B1007" s="39" t="n">
        <v>46236</v>
      </c>
      <c r="C1007" s="3" t="inlineStr">
        <is>
          <t>Bill Payment (Check)</t>
        </is>
      </c>
      <c r="D1007" s="3" t="inlineStr"/>
      <c r="E1007" s="3" t="inlineStr">
        <is>
          <t>Reference Lab A</t>
        </is>
      </c>
      <c r="F1007" s="3" t="inlineStr">
        <is>
          <t>Send-out testing – July</t>
        </is>
      </c>
      <c r="G1007" s="3" t="inlineStr">
        <is>
          <t>Accounts Payable</t>
        </is>
      </c>
      <c r="H1007" s="3" t="inlineStr">
        <is>
          <t>Checking – Operating</t>
        </is>
      </c>
      <c r="I1007" s="33" t="n">
        <v>-20581.72</v>
      </c>
      <c r="J1007" s="13">
        <f>+J1006+I1007</f>
        <v>2029722.79</v>
      </c>
      <c r="K1007" s="19">
        <f>+EOMONTH(B1007,0)</f>
        <v>46265</v>
      </c>
      <c r="L1007" s="3" t="inlineStr">
        <is>
          <t>Checking – Operating</t>
        </is>
      </c>
      <c r="M1007" s="3" t="inlineStr">
        <is>
          <t>Balance Sheet</t>
        </is>
      </c>
    </row>
    <row r="1008">
      <c r="B1008" s="39" t="n">
        <v>46236</v>
      </c>
      <c r="C1008" s="3" t="inlineStr">
        <is>
          <t>Credit Card Expense</t>
        </is>
      </c>
      <c r="D1008" s="3" t="inlineStr"/>
      <c r="E1008" s="3" t="inlineStr">
        <is>
          <t>Vialtrace Lab Supplies Inc</t>
        </is>
      </c>
      <c r="F1008" s="3" t="inlineStr">
        <is>
          <t>QAQC – August</t>
        </is>
      </c>
      <c r="G1008" s="3" t="inlineStr">
        <is>
          <t>QAQC</t>
        </is>
      </c>
      <c r="H1008" s="3" t="inlineStr">
        <is>
          <t>Checking – Operating</t>
        </is>
      </c>
      <c r="I1008" s="33" t="n">
        <v>-1436.64</v>
      </c>
      <c r="J1008" s="13">
        <f>+J1007+I1008</f>
        <v>2028286.15</v>
      </c>
      <c r="K1008" s="19">
        <f>+EOMONTH(B1008,0)</f>
        <v>46265</v>
      </c>
      <c r="L1008" s="3" t="inlineStr">
        <is>
          <t>Checking – Operating</t>
        </is>
      </c>
      <c r="M1008" s="3" t="inlineStr">
        <is>
          <t>Balance Sheet</t>
        </is>
      </c>
    </row>
    <row r="1009">
      <c r="B1009" s="39" t="n">
        <v>46236</v>
      </c>
      <c r="C1009" s="3" t="inlineStr">
        <is>
          <t>Deposit</t>
        </is>
      </c>
      <c r="D1009" s="3" t="inlineStr"/>
      <c r="E1009" s="3" t="inlineStr">
        <is>
          <t>Vantrelle Health Plan</t>
        </is>
      </c>
      <c r="F1009" s="3" t="inlineStr">
        <is>
          <t>ORIG CO NAME:VANTRELLE HP ORIG ID:XXXXXX3786 DESC DATE:260802 CO ENTRY DESCR:HCCLAIMPMT SEC:CCD TRACE#:XXXXXXXX9760052 EED:260802 IND ID:</t>
        </is>
      </c>
      <c r="G1009" s="3" t="inlineStr">
        <is>
          <t>Service Income</t>
        </is>
      </c>
      <c r="H1009" s="3" t="inlineStr">
        <is>
          <t>Checking – Operating</t>
        </is>
      </c>
      <c r="I1009" s="33" t="n">
        <v>112611.21</v>
      </c>
      <c r="J1009" s="13">
        <f>+J1008+I1009</f>
        <v>2140897.36</v>
      </c>
      <c r="K1009" s="19">
        <f>+EOMONTH(B1009,0)</f>
        <v>46265</v>
      </c>
      <c r="L1009" s="3" t="inlineStr">
        <is>
          <t>Checking – Operating</t>
        </is>
      </c>
      <c r="M1009" s="3" t="inlineStr">
        <is>
          <t>Balance Sheet</t>
        </is>
      </c>
    </row>
    <row r="1010">
      <c r="B1010" s="39" t="n">
        <v>46236</v>
      </c>
      <c r="C1010" s="3" t="inlineStr">
        <is>
          <t>Expense</t>
        </is>
      </c>
      <c r="D1010" s="3" t="inlineStr"/>
      <c r="E1010" s="3" t="inlineStr">
        <is>
          <t>Vialtrace Lab Supplies Inc</t>
        </is>
      </c>
      <c r="F1010" s="3" t="inlineStr">
        <is>
          <t>QAQC – August</t>
        </is>
      </c>
      <c r="G1010" s="3" t="inlineStr">
        <is>
          <t>QAQC</t>
        </is>
      </c>
      <c r="H1010" s="3" t="inlineStr">
        <is>
          <t>Checking – Operating</t>
        </is>
      </c>
      <c r="I1010" s="33" t="n">
        <v>-2263.36</v>
      </c>
      <c r="J1010" s="13">
        <f>+J1009+I1010</f>
        <v>2138634</v>
      </c>
      <c r="K1010" s="19">
        <f>+EOMONTH(B1010,0)</f>
        <v>46265</v>
      </c>
      <c r="L1010" s="3" t="inlineStr">
        <is>
          <t>Checking – Operating</t>
        </is>
      </c>
      <c r="M1010" s="3" t="inlineStr">
        <is>
          <t>Balance Sheet</t>
        </is>
      </c>
    </row>
    <row r="1011">
      <c r="B1011" s="39" t="n">
        <v>46236</v>
      </c>
      <c r="C1011" s="3" t="inlineStr">
        <is>
          <t>Journal Entry</t>
        </is>
      </c>
      <c r="D1011" s="3" t="inlineStr"/>
      <c r="E1011" s="3" t="inlineStr"/>
      <c r="F1011" s="3" t="inlineStr">
        <is>
          <t>Patient refund</t>
        </is>
      </c>
      <c r="G1011" s="3" t="inlineStr">
        <is>
          <t>Refunds</t>
        </is>
      </c>
      <c r="H1011" s="3" t="inlineStr">
        <is>
          <t>Checking – Operating</t>
        </is>
      </c>
      <c r="I1011" s="33" t="n">
        <v>-5063.33</v>
      </c>
      <c r="J1011" s="13">
        <f>+J1010+I1011</f>
        <v>2133570.67</v>
      </c>
      <c r="K1011" s="19">
        <f>+EOMONTH(B1011,0)</f>
        <v>46265</v>
      </c>
      <c r="L1011" s="3" t="inlineStr">
        <is>
          <t>Checking – Operating</t>
        </is>
      </c>
      <c r="M1011" s="3" t="inlineStr">
        <is>
          <t>Balance Sheet</t>
        </is>
      </c>
    </row>
    <row r="1012">
      <c r="B1012" s="39" t="n">
        <v>46237</v>
      </c>
      <c r="C1012" s="3" t="inlineStr">
        <is>
          <t>Bill Payment (Check)</t>
        </is>
      </c>
      <c r="D1012" s="3" t="inlineStr"/>
      <c r="E1012" s="3" t="inlineStr">
        <is>
          <t>Halloway Ridge Realty (rent)</t>
        </is>
      </c>
      <c r="F1012" s="3" t="inlineStr">
        <is>
          <t>Rent – June</t>
        </is>
      </c>
      <c r="G1012" s="3" t="inlineStr">
        <is>
          <t>Accounts Payable</t>
        </is>
      </c>
      <c r="H1012" s="3" t="inlineStr">
        <is>
          <t>Checking – Operating</t>
        </is>
      </c>
      <c r="I1012" s="33" t="n">
        <v>-13698.15</v>
      </c>
      <c r="J1012" s="13">
        <f>+J1011+I1012</f>
        <v>2119872.52</v>
      </c>
      <c r="K1012" s="19">
        <f>+EOMONTH(B1012,0)</f>
        <v>46265</v>
      </c>
      <c r="L1012" s="3" t="inlineStr">
        <is>
          <t>Checking – Operating</t>
        </is>
      </c>
      <c r="M1012" s="3" t="inlineStr">
        <is>
          <t>Balance Sheet</t>
        </is>
      </c>
    </row>
    <row r="1013">
      <c r="B1013" s="39" t="n">
        <v>46237</v>
      </c>
      <c r="C1013" s="3" t="inlineStr">
        <is>
          <t>Credit Card Expense</t>
        </is>
      </c>
      <c r="D1013" s="3" t="inlineStr"/>
      <c r="E1013" s="3" t="inlineStr"/>
      <c r="F1013" s="3" t="inlineStr">
        <is>
          <t>Property tax installment</t>
        </is>
      </c>
      <c r="G1013" s="3" t="inlineStr">
        <is>
          <t>Property tax</t>
        </is>
      </c>
      <c r="H1013" s="3" t="inlineStr">
        <is>
          <t>Checking – Operating</t>
        </is>
      </c>
      <c r="I1013" s="33" t="n">
        <v>-917.41</v>
      </c>
      <c r="J1013" s="13">
        <f>+J1012+I1013</f>
        <v>2118955.11</v>
      </c>
      <c r="K1013" s="19">
        <f>+EOMONTH(B1013,0)</f>
        <v>46265</v>
      </c>
      <c r="L1013" s="3" t="inlineStr">
        <is>
          <t>Checking – Operating</t>
        </is>
      </c>
      <c r="M1013" s="3" t="inlineStr">
        <is>
          <t>Balance Sheet</t>
        </is>
      </c>
    </row>
    <row r="1014">
      <c r="B1014" s="39" t="n">
        <v>46237</v>
      </c>
      <c r="C1014" s="3" t="inlineStr">
        <is>
          <t>Deposit</t>
        </is>
      </c>
      <c r="D1014" s="3" t="inlineStr"/>
      <c r="E1014" s="3" t="inlineStr">
        <is>
          <t>Marrowby Mutual</t>
        </is>
      </c>
      <c r="F1014" s="3" t="inlineStr">
        <is>
          <t>ORIG CO NAME:MARROWBY MUTUAL ORIG ID:XXXXXX6960 DESC DATE:260803 CO ENTRY DESCR:HCCLAIMPMT SEC:CCD TRACE#:XXXXXXXX2302375 EED:260803 IND ID:</t>
        </is>
      </c>
      <c r="G1014" s="3" t="inlineStr">
        <is>
          <t>Service Income</t>
        </is>
      </c>
      <c r="H1014" s="3" t="inlineStr">
        <is>
          <t>Checking – Operating</t>
        </is>
      </c>
      <c r="I1014" s="33" t="n">
        <v>72425.28</v>
      </c>
      <c r="J1014" s="13">
        <f>+J1013+I1014</f>
        <v>2191380.39</v>
      </c>
      <c r="K1014" s="19">
        <f>+EOMONTH(B1014,0)</f>
        <v>46265</v>
      </c>
      <c r="L1014" s="3" t="inlineStr">
        <is>
          <t>Checking – Operating</t>
        </is>
      </c>
      <c r="M1014" s="3" t="inlineStr">
        <is>
          <t>Balance Sheet</t>
        </is>
      </c>
    </row>
    <row r="1015">
      <c r="B1015" s="39" t="n">
        <v>46237</v>
      </c>
      <c r="C1015" s="3" t="inlineStr">
        <is>
          <t>Journal Entry</t>
        </is>
      </c>
      <c r="D1015" s="3" t="inlineStr"/>
      <c r="E1015" s="3" t="inlineStr">
        <is>
          <t>Tessarand Payroll Services</t>
        </is>
      </c>
      <c r="F1015" s="3" t="inlineStr">
        <is>
          <t>Recruitment – August</t>
        </is>
      </c>
      <c r="G1015" s="3" t="inlineStr">
        <is>
          <t>Recruitment</t>
        </is>
      </c>
      <c r="H1015" s="3" t="inlineStr">
        <is>
          <t>Checking – Operating</t>
        </is>
      </c>
      <c r="I1015" s="33" t="n">
        <v>-1601.19</v>
      </c>
      <c r="J1015" s="13">
        <f>+J1014+I1015</f>
        <v>2189779.2</v>
      </c>
      <c r="K1015" s="19">
        <f>+EOMONTH(B1015,0)</f>
        <v>46265</v>
      </c>
      <c r="L1015" s="3" t="inlineStr">
        <is>
          <t>Checking – Operating</t>
        </is>
      </c>
      <c r="M1015" s="3" t="inlineStr">
        <is>
          <t>Balance Sheet</t>
        </is>
      </c>
    </row>
    <row r="1016">
      <c r="B1016" s="39" t="n">
        <v>46238</v>
      </c>
      <c r="C1016" s="3" t="inlineStr">
        <is>
          <t>Bill Payment (Check)</t>
        </is>
      </c>
      <c r="D1016" s="3" t="inlineStr"/>
      <c r="E1016" s="3" t="inlineStr">
        <is>
          <t>Vialtrace Lab Supplies Inc</t>
        </is>
      </c>
      <c r="F1016" s="3" t="inlineStr">
        <is>
          <t>Lab Expenses – July</t>
        </is>
      </c>
      <c r="G1016" s="3" t="inlineStr">
        <is>
          <t>Accounts Payable</t>
        </is>
      </c>
      <c r="H1016" s="3" t="inlineStr">
        <is>
          <t>Checking – Operating</t>
        </is>
      </c>
      <c r="I1016" s="33" t="n">
        <v>-7864.13</v>
      </c>
      <c r="J1016" s="13">
        <f>+J1015+I1016</f>
        <v>2181915.07</v>
      </c>
      <c r="K1016" s="19">
        <f>+EOMONTH(B1016,0)</f>
        <v>46265</v>
      </c>
      <c r="L1016" s="3" t="inlineStr">
        <is>
          <t>Checking – Operating</t>
        </is>
      </c>
      <c r="M1016" s="3" t="inlineStr">
        <is>
          <t>Balance Sheet</t>
        </is>
      </c>
    </row>
    <row r="1017">
      <c r="B1017" s="39" t="n">
        <v>46238</v>
      </c>
      <c r="C1017" s="3" t="inlineStr">
        <is>
          <t>Deposit</t>
        </is>
      </c>
      <c r="D1017" s="3" t="inlineStr"/>
      <c r="E1017" s="3" t="inlineStr">
        <is>
          <t>Federal Program A</t>
        </is>
      </c>
      <c r="F1017" s="3" t="inlineStr">
        <is>
          <t>ORIG CO NAME:FEDERAL PROG A ORIG ID:XXXXXX7065 DESC DATE:260804 CO ENTRY DESCR:HCCLAIMPMT SEC:CCD TRACE#:XXXXXXXX2857685 EED:260804 IND ID:</t>
        </is>
      </c>
      <c r="G1017" s="3" t="inlineStr">
        <is>
          <t>Service Income</t>
        </is>
      </c>
      <c r="H1017" s="3" t="inlineStr">
        <is>
          <t>Checking – Operating</t>
        </is>
      </c>
      <c r="I1017" s="33" t="n">
        <v>134271.9</v>
      </c>
      <c r="J1017" s="13">
        <f>+J1016+I1017</f>
        <v>2316186.97</v>
      </c>
      <c r="K1017" s="19">
        <f>+EOMONTH(B1017,0)</f>
        <v>46265</v>
      </c>
      <c r="L1017" s="3" t="inlineStr">
        <is>
          <t>Checking – Operating</t>
        </is>
      </c>
      <c r="M1017" s="3" t="inlineStr">
        <is>
          <t>Balance Sheet</t>
        </is>
      </c>
    </row>
    <row r="1018">
      <c r="B1018" s="39" t="n">
        <v>46238</v>
      </c>
      <c r="C1018" s="3" t="inlineStr">
        <is>
          <t>Deposit</t>
        </is>
      </c>
      <c r="D1018" s="3" t="inlineStr"/>
      <c r="E1018" s="3" t="inlineStr">
        <is>
          <t>Lanternway Benefits</t>
        </is>
      </c>
      <c r="F1018" s="3" t="inlineStr">
        <is>
          <t>ORIG CO NAME:LANTERNWAY BEN ORIG ID:XXXXXX7011 DESC DATE:260804 CO ENTRY DESCR:HCCLAIMPMT SEC:CCD TRACE#:XXXXXXXX9463366 EED:260804 IND ID:</t>
        </is>
      </c>
      <c r="G1018" s="3" t="inlineStr">
        <is>
          <t>Service Income</t>
        </is>
      </c>
      <c r="H1018" s="3" t="inlineStr">
        <is>
          <t>Checking – Operating</t>
        </is>
      </c>
      <c r="I1018" s="33" t="n">
        <v>43013.83</v>
      </c>
      <c r="J1018" s="13">
        <f>+J1017+I1018</f>
        <v>2359200.8</v>
      </c>
      <c r="K1018" s="19">
        <f>+EOMONTH(B1018,0)</f>
        <v>46265</v>
      </c>
      <c r="L1018" s="3" t="inlineStr">
        <is>
          <t>Checking – Operating</t>
        </is>
      </c>
      <c r="M1018" s="3" t="inlineStr">
        <is>
          <t>Balance Sheet</t>
        </is>
      </c>
    </row>
    <row r="1019">
      <c r="B1019" s="39" t="n">
        <v>46238</v>
      </c>
      <c r="C1019" s="3" t="inlineStr">
        <is>
          <t>Expense</t>
        </is>
      </c>
      <c r="D1019" s="3" t="inlineStr"/>
      <c r="E1019" s="3" t="inlineStr"/>
      <c r="F1019" s="3" t="inlineStr">
        <is>
          <t>Travel Expense – August</t>
        </is>
      </c>
      <c r="G1019" s="3" t="inlineStr">
        <is>
          <t>Travel Expense</t>
        </is>
      </c>
      <c r="H1019" s="3" t="inlineStr">
        <is>
          <t>Checking – Operating</t>
        </is>
      </c>
      <c r="I1019" s="33" t="n">
        <v>-811.54</v>
      </c>
      <c r="J1019" s="13">
        <f>+J1018+I1019</f>
        <v>2358389.26</v>
      </c>
      <c r="K1019" s="19">
        <f>+EOMONTH(B1019,0)</f>
        <v>46265</v>
      </c>
      <c r="L1019" s="3" t="inlineStr">
        <is>
          <t>Checking – Operating</t>
        </is>
      </c>
      <c r="M1019" s="3" t="inlineStr">
        <is>
          <t>Balance Sheet</t>
        </is>
      </c>
    </row>
    <row r="1020">
      <c r="B1020" s="39" t="n">
        <v>46238</v>
      </c>
      <c r="C1020" s="3" t="inlineStr">
        <is>
          <t>Payroll Check</t>
        </is>
      </c>
      <c r="D1020" s="3" t="inlineStr"/>
      <c r="E1020" s="3" t="inlineStr">
        <is>
          <t>Tessarand Payroll Services</t>
        </is>
      </c>
      <c r="F1020" s="3" t="inlineStr">
        <is>
          <t>Payroll processing fee</t>
        </is>
      </c>
      <c r="G1020" s="3" t="inlineStr">
        <is>
          <t>Payroll Processing Fee</t>
        </is>
      </c>
      <c r="H1020" s="3" t="inlineStr">
        <is>
          <t>Checking – Operating</t>
        </is>
      </c>
      <c r="I1020" s="33" t="n">
        <v>-83.69</v>
      </c>
      <c r="J1020" s="13">
        <f>+J1019+I1020</f>
        <v>2358305.57</v>
      </c>
      <c r="K1020" s="19">
        <f>+EOMONTH(B1020,0)</f>
        <v>46265</v>
      </c>
      <c r="L1020" s="3" t="inlineStr">
        <is>
          <t>Checking – Operating</t>
        </is>
      </c>
      <c r="M1020" s="3" t="inlineStr">
        <is>
          <t>Balance Sheet</t>
        </is>
      </c>
    </row>
    <row r="1021">
      <c r="B1021" s="39" t="n">
        <v>46239</v>
      </c>
      <c r="C1021" s="3" t="inlineStr">
        <is>
          <t>Credit Card Expense</t>
        </is>
      </c>
      <c r="D1021" s="3" t="inlineStr"/>
      <c r="E1021" s="3" t="inlineStr">
        <is>
          <t>Tessarand Payroll Services</t>
        </is>
      </c>
      <c r="F1021" s="3" t="inlineStr">
        <is>
          <t>Contractors – August</t>
        </is>
      </c>
      <c r="G1021" s="3" t="inlineStr">
        <is>
          <t>Contractors</t>
        </is>
      </c>
      <c r="H1021" s="3" t="inlineStr">
        <is>
          <t>Checking – Operating</t>
        </is>
      </c>
      <c r="I1021" s="33" t="n">
        <v>-7422.06</v>
      </c>
      <c r="J1021" s="13">
        <f>+J1020+I1021</f>
        <v>2350883.51</v>
      </c>
      <c r="K1021" s="19">
        <f>+EOMONTH(B1021,0)</f>
        <v>46265</v>
      </c>
      <c r="L1021" s="3" t="inlineStr">
        <is>
          <t>Checking – Operating</t>
        </is>
      </c>
      <c r="M1021" s="3" t="inlineStr">
        <is>
          <t>Balance Sheet</t>
        </is>
      </c>
    </row>
    <row r="1022">
      <c r="B1022" s="39" t="n">
        <v>46239</v>
      </c>
      <c r="C1022" s="3" t="inlineStr">
        <is>
          <t>Journal Entry</t>
        </is>
      </c>
      <c r="D1022" s="3" t="inlineStr"/>
      <c r="E1022" s="3" t="inlineStr"/>
      <c r="F1022" s="3" t="inlineStr">
        <is>
          <t>Business Licenses and Permits – August</t>
        </is>
      </c>
      <c r="G1022" s="3" t="inlineStr">
        <is>
          <t>Business Licenses and Permits</t>
        </is>
      </c>
      <c r="H1022" s="3" t="inlineStr">
        <is>
          <t>Checking – Operating</t>
        </is>
      </c>
      <c r="I1022" s="33" t="n">
        <v>-621.59</v>
      </c>
      <c r="J1022" s="13">
        <f>+J1021+I1022</f>
        <v>2350261.92</v>
      </c>
      <c r="K1022" s="19">
        <f>+EOMONTH(B1022,0)</f>
        <v>46265</v>
      </c>
      <c r="L1022" s="3" t="inlineStr">
        <is>
          <t>Checking – Operating</t>
        </is>
      </c>
      <c r="M1022" s="3" t="inlineStr">
        <is>
          <t>Balance Sheet</t>
        </is>
      </c>
    </row>
    <row r="1023">
      <c r="B1023" s="39" t="n">
        <v>46240</v>
      </c>
      <c r="C1023" s="3" t="inlineStr">
        <is>
          <t>Bill Payment (Check)</t>
        </is>
      </c>
      <c r="D1023" s="3" t="inlineStr"/>
      <c r="E1023" s="3" t="inlineStr">
        <is>
          <t>Reagentix Corp</t>
        </is>
      </c>
      <c r="F1023" s="3" t="inlineStr">
        <is>
          <t>Lab supplies PO# F2343</t>
        </is>
      </c>
      <c r="G1023" s="3" t="inlineStr">
        <is>
          <t>Accounts Payable</t>
        </is>
      </c>
      <c r="H1023" s="3" t="inlineStr">
        <is>
          <t>Checking – Operating</t>
        </is>
      </c>
      <c r="I1023" s="33" t="n">
        <v>-11167.52</v>
      </c>
      <c r="J1023" s="13">
        <f>+J1022+I1023</f>
        <v>2339094.4</v>
      </c>
      <c r="K1023" s="19">
        <f>+EOMONTH(B1023,0)</f>
        <v>46265</v>
      </c>
      <c r="L1023" s="3" t="inlineStr">
        <is>
          <t>Checking – Operating</t>
        </is>
      </c>
      <c r="M1023" s="3" t="inlineStr">
        <is>
          <t>Balance Sheet</t>
        </is>
      </c>
    </row>
    <row r="1024">
      <c r="B1024" s="39" t="n">
        <v>46240</v>
      </c>
      <c r="C1024" s="3" t="inlineStr">
        <is>
          <t>Credit Card Expense</t>
        </is>
      </c>
      <c r="D1024" s="3" t="inlineStr"/>
      <c r="E1024" s="3" t="inlineStr"/>
      <c r="F1024" s="3" t="inlineStr">
        <is>
          <t>Patient refund</t>
        </is>
      </c>
      <c r="G1024" s="3" t="inlineStr">
        <is>
          <t>Refunds</t>
        </is>
      </c>
      <c r="H1024" s="3" t="inlineStr">
        <is>
          <t>Checking – Operating</t>
        </is>
      </c>
      <c r="I1024" s="33" t="n">
        <v>-2756.53</v>
      </c>
      <c r="J1024" s="13">
        <f>+J1023+I1024</f>
        <v>2336337.87</v>
      </c>
      <c r="K1024" s="19">
        <f>+EOMONTH(B1024,0)</f>
        <v>46265</v>
      </c>
      <c r="L1024" s="3" t="inlineStr">
        <is>
          <t>Checking – Operating</t>
        </is>
      </c>
      <c r="M1024" s="3" t="inlineStr">
        <is>
          <t>Balance Sheet</t>
        </is>
      </c>
    </row>
    <row r="1025">
      <c r="B1025" s="39" t="n">
        <v>46240</v>
      </c>
      <c r="C1025" s="3" t="inlineStr">
        <is>
          <t>Deposit</t>
        </is>
      </c>
      <c r="D1025" s="3" t="inlineStr"/>
      <c r="E1025" s="3" t="inlineStr">
        <is>
          <t>Quayside Choice Senior Plan</t>
        </is>
      </c>
      <c r="F1025" s="3" t="inlineStr">
        <is>
          <t>ORIG CO NAME:QUAYSIDE CHOICE SP ORIG ID:XXXXXX5105 DESC DATE:260806 CO ENTRY DESCR:HCCLAIMPMT SEC:CCD TRACE#:XXXXXXXX8123027 EED:260806 IND ID:</t>
        </is>
      </c>
      <c r="G1025" s="3" t="inlineStr">
        <is>
          <t>Service Income</t>
        </is>
      </c>
      <c r="H1025" s="3" t="inlineStr">
        <is>
          <t>Checking – Operating</t>
        </is>
      </c>
      <c r="I1025" s="33" t="n">
        <v>75370.64999999999</v>
      </c>
      <c r="J1025" s="13">
        <f>+J1024+I1025</f>
        <v>2411708.52</v>
      </c>
      <c r="K1025" s="19">
        <f>+EOMONTH(B1025,0)</f>
        <v>46265</v>
      </c>
      <c r="L1025" s="3" t="inlineStr">
        <is>
          <t>Checking – Operating</t>
        </is>
      </c>
      <c r="M1025" s="3" t="inlineStr">
        <is>
          <t>Balance Sheet</t>
        </is>
      </c>
    </row>
    <row r="1026">
      <c r="B1026" s="39" t="n">
        <v>46240</v>
      </c>
      <c r="C1026" s="3" t="inlineStr">
        <is>
          <t>Expense</t>
        </is>
      </c>
      <c r="D1026" s="3" t="inlineStr"/>
      <c r="E1026" s="3" t="inlineStr">
        <is>
          <t>Union Utilities</t>
        </is>
      </c>
      <c r="F1026" s="3" t="inlineStr">
        <is>
          <t>Fax Service – August</t>
        </is>
      </c>
      <c r="G1026" s="3" t="inlineStr">
        <is>
          <t>Fax Service</t>
        </is>
      </c>
      <c r="H1026" s="3" t="inlineStr">
        <is>
          <t>Checking – Operating</t>
        </is>
      </c>
      <c r="I1026" s="33" t="n">
        <v>-995.1</v>
      </c>
      <c r="J1026" s="13">
        <f>+J1025+I1026</f>
        <v>2410713.42</v>
      </c>
      <c r="K1026" s="19">
        <f>+EOMONTH(B1026,0)</f>
        <v>46265</v>
      </c>
      <c r="L1026" s="3" t="inlineStr">
        <is>
          <t>Checking – Operating</t>
        </is>
      </c>
      <c r="M1026" s="3" t="inlineStr">
        <is>
          <t>Balance Sheet</t>
        </is>
      </c>
    </row>
    <row r="1027">
      <c r="B1027" s="39" t="n">
        <v>46240</v>
      </c>
      <c r="C1027" s="3" t="inlineStr">
        <is>
          <t>Journal Entry</t>
        </is>
      </c>
      <c r="D1027" s="3" t="inlineStr"/>
      <c r="E1027" s="3" t="inlineStr">
        <is>
          <t>Lumenlease Equipment</t>
        </is>
      </c>
      <c r="F1027" s="3" t="inlineStr">
        <is>
          <t>Repairs and Maintenance – August</t>
        </is>
      </c>
      <c r="G1027" s="3" t="inlineStr">
        <is>
          <t>Repairs and Maintenance</t>
        </is>
      </c>
      <c r="H1027" s="3" t="inlineStr">
        <is>
          <t>Checking – Operating</t>
        </is>
      </c>
      <c r="I1027" s="33" t="n">
        <v>-2166.79</v>
      </c>
      <c r="J1027" s="13">
        <f>+J1026+I1027</f>
        <v>2408546.63</v>
      </c>
      <c r="K1027" s="19">
        <f>+EOMONTH(B1027,0)</f>
        <v>46265</v>
      </c>
      <c r="L1027" s="3" t="inlineStr">
        <is>
          <t>Checking – Operating</t>
        </is>
      </c>
      <c r="M1027" s="3" t="inlineStr">
        <is>
          <t>Balance Sheet</t>
        </is>
      </c>
    </row>
    <row r="1028">
      <c r="B1028" s="39" t="n">
        <v>46241</v>
      </c>
      <c r="C1028" s="3" t="inlineStr">
        <is>
          <t>Bill Payment (Check)</t>
        </is>
      </c>
      <c r="D1028" s="3" t="inlineStr"/>
      <c r="E1028" s="3" t="inlineStr">
        <is>
          <t>Reagentix Corp</t>
        </is>
      </c>
      <c r="F1028" s="3" t="inlineStr">
        <is>
          <t>Lab supplies PO# F2073</t>
        </is>
      </c>
      <c r="G1028" s="3" t="inlineStr">
        <is>
          <t>Accounts Payable</t>
        </is>
      </c>
      <c r="H1028" s="3" t="inlineStr">
        <is>
          <t>Checking – Operating</t>
        </is>
      </c>
      <c r="I1028" s="33" t="n">
        <v>-10748.29</v>
      </c>
      <c r="J1028" s="13">
        <f>+J1027+I1028</f>
        <v>2397798.34</v>
      </c>
      <c r="K1028" s="19">
        <f>+EOMONTH(B1028,0)</f>
        <v>46265</v>
      </c>
      <c r="L1028" s="3" t="inlineStr">
        <is>
          <t>Checking – Operating</t>
        </is>
      </c>
      <c r="M1028" s="3" t="inlineStr">
        <is>
          <t>Balance Sheet</t>
        </is>
      </c>
    </row>
    <row r="1029">
      <c r="B1029" s="39" t="n">
        <v>46241</v>
      </c>
      <c r="C1029" s="3" t="inlineStr">
        <is>
          <t>Expense</t>
        </is>
      </c>
      <c r="D1029" s="3" t="inlineStr"/>
      <c r="E1029" s="3" t="inlineStr">
        <is>
          <t>Swiftmere Courier</t>
        </is>
      </c>
      <c r="F1029" s="3" t="inlineStr">
        <is>
          <t>Postage and Delivery – August</t>
        </is>
      </c>
      <c r="G1029" s="3" t="inlineStr">
        <is>
          <t>Postage and Delivery</t>
        </is>
      </c>
      <c r="H1029" s="3" t="inlineStr">
        <is>
          <t>Checking – Operating</t>
        </is>
      </c>
      <c r="I1029" s="33" t="n">
        <v>-542.29</v>
      </c>
      <c r="J1029" s="13">
        <f>+J1028+I1029</f>
        <v>2397256.05</v>
      </c>
      <c r="K1029" s="19">
        <f>+EOMONTH(B1029,0)</f>
        <v>46265</v>
      </c>
      <c r="L1029" s="3" t="inlineStr">
        <is>
          <t>Checking – Operating</t>
        </is>
      </c>
      <c r="M1029" s="3" t="inlineStr">
        <is>
          <t>Balance Sheet</t>
        </is>
      </c>
    </row>
    <row r="1030">
      <c r="B1030" s="39" t="n">
        <v>46241</v>
      </c>
      <c r="C1030" s="3" t="inlineStr">
        <is>
          <t>Expense</t>
        </is>
      </c>
      <c r="D1030" s="3" t="inlineStr"/>
      <c r="E1030" s="3" t="inlineStr">
        <is>
          <t>Tessarand Payroll Services</t>
        </is>
      </c>
      <c r="F1030" s="3" t="inlineStr">
        <is>
          <t>Recruitment – August</t>
        </is>
      </c>
      <c r="G1030" s="3" t="inlineStr">
        <is>
          <t>Recruitment</t>
        </is>
      </c>
      <c r="H1030" s="3" t="inlineStr">
        <is>
          <t>Checking – Operating</t>
        </is>
      </c>
      <c r="I1030" s="33" t="n">
        <v>-998.8099999999999</v>
      </c>
      <c r="J1030" s="13">
        <f>+J1029+I1030</f>
        <v>2396257.24</v>
      </c>
      <c r="K1030" s="19">
        <f>+EOMONTH(B1030,0)</f>
        <v>46265</v>
      </c>
      <c r="L1030" s="3" t="inlineStr">
        <is>
          <t>Checking – Operating</t>
        </is>
      </c>
      <c r="M1030" s="3" t="inlineStr">
        <is>
          <t>Balance Sheet</t>
        </is>
      </c>
    </row>
    <row r="1031">
      <c r="B1031" s="39" t="n">
        <v>46242</v>
      </c>
      <c r="C1031" s="3" t="inlineStr">
        <is>
          <t>Credit Card Expense</t>
        </is>
      </c>
      <c r="D1031" s="3" t="inlineStr"/>
      <c r="E1031" s="3" t="inlineStr">
        <is>
          <t>Consultant A</t>
        </is>
      </c>
      <c r="F1031" s="3" t="inlineStr">
        <is>
          <t>Accounting Service – August</t>
        </is>
      </c>
      <c r="G1031" s="3" t="inlineStr">
        <is>
          <t>Accounting Service</t>
        </is>
      </c>
      <c r="H1031" s="3" t="inlineStr">
        <is>
          <t>Checking – Operating</t>
        </is>
      </c>
      <c r="I1031" s="33" t="n">
        <v>-3697.07</v>
      </c>
      <c r="J1031" s="13">
        <f>+J1030+I1031</f>
        <v>2392560.17</v>
      </c>
      <c r="K1031" s="19">
        <f>+EOMONTH(B1031,0)</f>
        <v>46265</v>
      </c>
      <c r="L1031" s="3" t="inlineStr">
        <is>
          <t>Checking – Operating</t>
        </is>
      </c>
      <c r="M1031" s="3" t="inlineStr">
        <is>
          <t>Balance Sheet</t>
        </is>
      </c>
    </row>
    <row r="1032">
      <c r="B1032" s="39" t="n">
        <v>46242</v>
      </c>
      <c r="C1032" s="3" t="inlineStr">
        <is>
          <t>Deposit</t>
        </is>
      </c>
      <c r="D1032" s="3" t="inlineStr"/>
      <c r="E1032" s="3" t="inlineStr">
        <is>
          <t>Cobaltmere Health</t>
        </is>
      </c>
      <c r="F1032" s="3" t="inlineStr">
        <is>
          <t>ORIG CO NAME:COBALTMERE HEALTH ORIG ID:XXXXXX6250 DESC DATE:260808 CO ENTRY DESCR:HCCLAIMPMT SEC:CCD TRACE#:XXXXXXXX1243201 EED:260808 IND ID:</t>
        </is>
      </c>
      <c r="G1032" s="3" t="inlineStr">
        <is>
          <t>Service Income</t>
        </is>
      </c>
      <c r="H1032" s="3" t="inlineStr">
        <is>
          <t>Checking – Operating</t>
        </is>
      </c>
      <c r="I1032" s="33" t="n">
        <v>28601.68</v>
      </c>
      <c r="J1032" s="13">
        <f>+J1031+I1032</f>
        <v>2421161.85</v>
      </c>
      <c r="K1032" s="19">
        <f>+EOMONTH(B1032,0)</f>
        <v>46265</v>
      </c>
      <c r="L1032" s="3" t="inlineStr">
        <is>
          <t>Checking – Operating</t>
        </is>
      </c>
      <c r="M1032" s="3" t="inlineStr">
        <is>
          <t>Balance Sheet</t>
        </is>
      </c>
    </row>
    <row r="1033">
      <c r="B1033" s="39" t="n">
        <v>46242</v>
      </c>
      <c r="C1033" s="3" t="inlineStr">
        <is>
          <t>Expense</t>
        </is>
      </c>
      <c r="D1033" s="3" t="inlineStr"/>
      <c r="E1033" s="3" t="inlineStr">
        <is>
          <t>Tessarand Payroll Services</t>
        </is>
      </c>
      <c r="F1033" s="3" t="inlineStr">
        <is>
          <t>Contractors – August</t>
        </is>
      </c>
      <c r="G1033" s="3" t="inlineStr">
        <is>
          <t>Contractors</t>
        </is>
      </c>
      <c r="H1033" s="3" t="inlineStr">
        <is>
          <t>Checking – Operating</t>
        </is>
      </c>
      <c r="I1033" s="33" t="n">
        <v>-5507.06</v>
      </c>
      <c r="J1033" s="13">
        <f>+J1032+I1033</f>
        <v>2415654.79</v>
      </c>
      <c r="K1033" s="19">
        <f>+EOMONTH(B1033,0)</f>
        <v>46265</v>
      </c>
      <c r="L1033" s="3" t="inlineStr">
        <is>
          <t>Checking – Operating</t>
        </is>
      </c>
      <c r="M1033" s="3" t="inlineStr">
        <is>
          <t>Balance Sheet</t>
        </is>
      </c>
    </row>
    <row r="1034">
      <c r="B1034" s="39" t="n">
        <v>46242</v>
      </c>
      <c r="C1034" s="3" t="inlineStr">
        <is>
          <t>Expense</t>
        </is>
      </c>
      <c r="D1034" s="3" t="inlineStr"/>
      <c r="E1034" s="3" t="inlineStr"/>
      <c r="F1034" s="3" t="inlineStr">
        <is>
          <t>Lab Credentialing – August</t>
        </is>
      </c>
      <c r="G1034" s="3" t="inlineStr">
        <is>
          <t>Lab Credentialing</t>
        </is>
      </c>
      <c r="H1034" s="3" t="inlineStr">
        <is>
          <t>Checking – Operating</t>
        </is>
      </c>
      <c r="I1034" s="33" t="n">
        <v>-678.0599999999999</v>
      </c>
      <c r="J1034" s="13">
        <f>+J1033+I1034</f>
        <v>2414976.73</v>
      </c>
      <c r="K1034" s="19">
        <f>+EOMONTH(B1034,0)</f>
        <v>46265</v>
      </c>
      <c r="L1034" s="3" t="inlineStr">
        <is>
          <t>Checking – Operating</t>
        </is>
      </c>
      <c r="M1034" s="3" t="inlineStr">
        <is>
          <t>Balance Sheet</t>
        </is>
      </c>
    </row>
    <row r="1035">
      <c r="B1035" s="39" t="n">
        <v>46242</v>
      </c>
      <c r="C1035" s="3" t="inlineStr">
        <is>
          <t>Journal Entry</t>
        </is>
      </c>
      <c r="D1035" s="3" t="inlineStr"/>
      <c r="E1035" s="3" t="inlineStr"/>
      <c r="F1035" s="3" t="inlineStr">
        <is>
          <t>Business Meetings &amp; Development – August</t>
        </is>
      </c>
      <c r="G1035" s="3" t="inlineStr">
        <is>
          <t>Business Meetings &amp; Development</t>
        </is>
      </c>
      <c r="H1035" s="3" t="inlineStr">
        <is>
          <t>Checking – Operating</t>
        </is>
      </c>
      <c r="I1035" s="33" t="n">
        <v>-4550.89</v>
      </c>
      <c r="J1035" s="13">
        <f>+J1034+I1035</f>
        <v>2410425.84</v>
      </c>
      <c r="K1035" s="19">
        <f>+EOMONTH(B1035,0)</f>
        <v>46265</v>
      </c>
      <c r="L1035" s="3" t="inlineStr">
        <is>
          <t>Checking – Operating</t>
        </is>
      </c>
      <c r="M1035" s="3" t="inlineStr">
        <is>
          <t>Balance Sheet</t>
        </is>
      </c>
    </row>
    <row r="1036">
      <c r="B1036" s="39" t="n">
        <v>46243</v>
      </c>
      <c r="C1036" s="3" t="inlineStr">
        <is>
          <t>Bill Payment (Check)</t>
        </is>
      </c>
      <c r="D1036" s="3" t="inlineStr"/>
      <c r="E1036" s="3" t="inlineStr">
        <is>
          <t>Ledgerquill Billing SaaS</t>
        </is>
      </c>
      <c r="F1036" s="3" t="inlineStr">
        <is>
          <t>Billing Software as a Service – July</t>
        </is>
      </c>
      <c r="G1036" s="3" t="inlineStr">
        <is>
          <t>Accounts Payable</t>
        </is>
      </c>
      <c r="H1036" s="3" t="inlineStr">
        <is>
          <t>Checking – Operating</t>
        </is>
      </c>
      <c r="I1036" s="33" t="n">
        <v>-17550.86</v>
      </c>
      <c r="J1036" s="13">
        <f>+J1035+I1036</f>
        <v>2392874.98</v>
      </c>
      <c r="K1036" s="19">
        <f>+EOMONTH(B1036,0)</f>
        <v>46265</v>
      </c>
      <c r="L1036" s="3" t="inlineStr">
        <is>
          <t>Checking – Operating</t>
        </is>
      </c>
      <c r="M1036" s="3" t="inlineStr">
        <is>
          <t>Balance Sheet</t>
        </is>
      </c>
    </row>
    <row r="1037">
      <c r="B1037" s="39" t="n">
        <v>46243</v>
      </c>
      <c r="C1037" s="3" t="inlineStr">
        <is>
          <t>Credit Card Expense</t>
        </is>
      </c>
      <c r="D1037" s="3" t="inlineStr"/>
      <c r="E1037" s="3" t="inlineStr"/>
      <c r="F1037" s="3" t="inlineStr">
        <is>
          <t>Gas – August</t>
        </is>
      </c>
      <c r="G1037" s="3" t="inlineStr">
        <is>
          <t>Gas</t>
        </is>
      </c>
      <c r="H1037" s="3" t="inlineStr">
        <is>
          <t>Checking – Operating</t>
        </is>
      </c>
      <c r="I1037" s="33" t="n">
        <v>-938.74</v>
      </c>
      <c r="J1037" s="13">
        <f>+J1036+I1037</f>
        <v>2391936.24</v>
      </c>
      <c r="K1037" s="19">
        <f>+EOMONTH(B1037,0)</f>
        <v>46265</v>
      </c>
      <c r="L1037" s="3" t="inlineStr">
        <is>
          <t>Checking – Operating</t>
        </is>
      </c>
      <c r="M1037" s="3" t="inlineStr">
        <is>
          <t>Balance Sheet</t>
        </is>
      </c>
    </row>
    <row r="1038">
      <c r="B1038" s="39" t="n">
        <v>46243</v>
      </c>
      <c r="C1038" s="3" t="inlineStr">
        <is>
          <t>Expense</t>
        </is>
      </c>
      <c r="D1038" s="3" t="inlineStr"/>
      <c r="E1038" s="3" t="inlineStr"/>
      <c r="F1038" s="3" t="inlineStr">
        <is>
          <t>Reimbursement – August</t>
        </is>
      </c>
      <c r="G1038" s="3" t="inlineStr">
        <is>
          <t>Reimbursement</t>
        </is>
      </c>
      <c r="H1038" s="3" t="inlineStr">
        <is>
          <t>Checking – Operating</t>
        </is>
      </c>
      <c r="I1038" s="33" t="n">
        <v>-1590.11</v>
      </c>
      <c r="J1038" s="13">
        <f>+J1037+I1038</f>
        <v>2390346.13</v>
      </c>
      <c r="K1038" s="19">
        <f>+EOMONTH(B1038,0)</f>
        <v>46265</v>
      </c>
      <c r="L1038" s="3" t="inlineStr">
        <is>
          <t>Checking – Operating</t>
        </is>
      </c>
      <c r="M1038" s="3" t="inlineStr">
        <is>
          <t>Balance Sheet</t>
        </is>
      </c>
    </row>
    <row r="1039">
      <c r="B1039" s="39" t="n">
        <v>46243</v>
      </c>
      <c r="C1039" s="3" t="inlineStr">
        <is>
          <t>Expense</t>
        </is>
      </c>
      <c r="D1039" s="3" t="inlineStr"/>
      <c r="E1039" s="3" t="inlineStr">
        <is>
          <t>Lumenlease Equipment</t>
        </is>
      </c>
      <c r="F1039" s="3" t="inlineStr">
        <is>
          <t>Repairs and Maintenance – August</t>
        </is>
      </c>
      <c r="G1039" s="3" t="inlineStr">
        <is>
          <t>Repairs and Maintenance</t>
        </is>
      </c>
      <c r="H1039" s="3" t="inlineStr">
        <is>
          <t>Checking – Operating</t>
        </is>
      </c>
      <c r="I1039" s="33" t="n">
        <v>-4155.87</v>
      </c>
      <c r="J1039" s="13">
        <f>+J1038+I1039</f>
        <v>2386190.26</v>
      </c>
      <c r="K1039" s="19">
        <f>+EOMONTH(B1039,0)</f>
        <v>46265</v>
      </c>
      <c r="L1039" s="3" t="inlineStr">
        <is>
          <t>Checking – Operating</t>
        </is>
      </c>
      <c r="M1039" s="3" t="inlineStr">
        <is>
          <t>Balance Sheet</t>
        </is>
      </c>
    </row>
    <row r="1040">
      <c r="B1040" s="39" t="n">
        <v>46243</v>
      </c>
      <c r="C1040" s="3" t="inlineStr">
        <is>
          <t>Expense</t>
        </is>
      </c>
      <c r="D1040" s="3" t="inlineStr"/>
      <c r="E1040" s="3" t="inlineStr">
        <is>
          <t>Union Utilities</t>
        </is>
      </c>
      <c r="F1040" s="3" t="inlineStr">
        <is>
          <t>Telecom and Internet – August</t>
        </is>
      </c>
      <c r="G1040" s="3" t="inlineStr">
        <is>
          <t>Telecom and Internet</t>
        </is>
      </c>
      <c r="H1040" s="3" t="inlineStr">
        <is>
          <t>Checking – Operating</t>
        </is>
      </c>
      <c r="I1040" s="33" t="n">
        <v>-2161.05</v>
      </c>
      <c r="J1040" s="13">
        <f>+J1039+I1040</f>
        <v>2384029.21</v>
      </c>
      <c r="K1040" s="19">
        <f>+EOMONTH(B1040,0)</f>
        <v>46265</v>
      </c>
      <c r="L1040" s="3" t="inlineStr">
        <is>
          <t>Checking – Operating</t>
        </is>
      </c>
      <c r="M1040" s="3" t="inlineStr">
        <is>
          <t>Balance Sheet</t>
        </is>
      </c>
    </row>
    <row r="1041">
      <c r="B1041" s="39" t="n">
        <v>46244</v>
      </c>
      <c r="C1041" s="3" t="inlineStr">
        <is>
          <t>Bill Payment (Check)</t>
        </is>
      </c>
      <c r="D1041" s="3" t="inlineStr"/>
      <c r="E1041" s="3" t="inlineStr">
        <is>
          <t>Northmoor Waste Services</t>
        </is>
      </c>
      <c r="F1041" s="3" t="inlineStr">
        <is>
          <t>Waste Removal – July</t>
        </is>
      </c>
      <c r="G1041" s="3" t="inlineStr">
        <is>
          <t>Accounts Payable</t>
        </is>
      </c>
      <c r="H1041" s="3" t="inlineStr">
        <is>
          <t>Checking – Operating</t>
        </is>
      </c>
      <c r="I1041" s="33" t="n">
        <v>-507.05</v>
      </c>
      <c r="J1041" s="13">
        <f>+J1040+I1041</f>
        <v>2383522.16</v>
      </c>
      <c r="K1041" s="19">
        <f>+EOMONTH(B1041,0)</f>
        <v>46265</v>
      </c>
      <c r="L1041" s="3" t="inlineStr">
        <is>
          <t>Checking – Operating</t>
        </is>
      </c>
      <c r="M1041" s="3" t="inlineStr">
        <is>
          <t>Balance Sheet</t>
        </is>
      </c>
    </row>
    <row r="1042">
      <c r="B1042" s="39" t="n">
        <v>46244</v>
      </c>
      <c r="C1042" s="3" t="inlineStr">
        <is>
          <t>Expense</t>
        </is>
      </c>
      <c r="D1042" s="3" t="inlineStr"/>
      <c r="E1042" s="3" t="inlineStr">
        <is>
          <t>Ledgerquill Billing SaaS</t>
        </is>
      </c>
      <c r="F1042" s="3" t="inlineStr">
        <is>
          <t>Lab EMR Service – August</t>
        </is>
      </c>
      <c r="G1042" s="3" t="inlineStr">
        <is>
          <t>Lab EMR Service</t>
        </is>
      </c>
      <c r="H1042" s="3" t="inlineStr">
        <is>
          <t>Checking – Operating</t>
        </is>
      </c>
      <c r="I1042" s="33" t="n">
        <v>-3670.81</v>
      </c>
      <c r="J1042" s="13">
        <f>+J1041+I1042</f>
        <v>2379851.35</v>
      </c>
      <c r="K1042" s="19">
        <f>+EOMONTH(B1042,0)</f>
        <v>46265</v>
      </c>
      <c r="L1042" s="3" t="inlineStr">
        <is>
          <t>Checking – Operating</t>
        </is>
      </c>
      <c r="M1042" s="3" t="inlineStr">
        <is>
          <t>Balance Sheet</t>
        </is>
      </c>
    </row>
    <row r="1043">
      <c r="B1043" s="39" t="n">
        <v>46245</v>
      </c>
      <c r="C1043" s="3" t="inlineStr">
        <is>
          <t>Bill Payment (Check)</t>
        </is>
      </c>
      <c r="D1043" s="3" t="inlineStr"/>
      <c r="E1043" s="3" t="inlineStr">
        <is>
          <t>Reference Lab A</t>
        </is>
      </c>
      <c r="F1043" s="3" t="inlineStr">
        <is>
          <t>Send-out testing – July</t>
        </is>
      </c>
      <c r="G1043" s="3" t="inlineStr">
        <is>
          <t>Accounts Payable</t>
        </is>
      </c>
      <c r="H1043" s="3" t="inlineStr">
        <is>
          <t>Checking – Operating</t>
        </is>
      </c>
      <c r="I1043" s="33" t="n">
        <v>-23076.53</v>
      </c>
      <c r="J1043" s="13">
        <f>+J1042+I1043</f>
        <v>2356774.82</v>
      </c>
      <c r="K1043" s="19">
        <f>+EOMONTH(B1043,0)</f>
        <v>46265</v>
      </c>
      <c r="L1043" s="3" t="inlineStr">
        <is>
          <t>Checking – Operating</t>
        </is>
      </c>
      <c r="M1043" s="3" t="inlineStr">
        <is>
          <t>Balance Sheet</t>
        </is>
      </c>
    </row>
    <row r="1044">
      <c r="B1044" s="39" t="n">
        <v>46245</v>
      </c>
      <c r="C1044" s="3" t="inlineStr">
        <is>
          <t>Bill Payment (Check)</t>
        </is>
      </c>
      <c r="D1044" s="3" t="inlineStr"/>
      <c r="E1044" s="3" t="inlineStr">
        <is>
          <t>Union Utilities</t>
        </is>
      </c>
      <c r="F1044" s="3" t="inlineStr">
        <is>
          <t>Utilities – July</t>
        </is>
      </c>
      <c r="G1044" s="3" t="inlineStr">
        <is>
          <t>Accounts Payable</t>
        </is>
      </c>
      <c r="H1044" s="3" t="inlineStr">
        <is>
          <t>Checking – Operating</t>
        </is>
      </c>
      <c r="I1044" s="33" t="n">
        <v>-3763.05</v>
      </c>
      <c r="J1044" s="13">
        <f>+J1043+I1044</f>
        <v>2353011.77</v>
      </c>
      <c r="K1044" s="19">
        <f>+EOMONTH(B1044,0)</f>
        <v>46265</v>
      </c>
      <c r="L1044" s="3" t="inlineStr">
        <is>
          <t>Checking – Operating</t>
        </is>
      </c>
      <c r="M1044" s="3" t="inlineStr">
        <is>
          <t>Balance Sheet</t>
        </is>
      </c>
    </row>
    <row r="1045">
      <c r="B1045" s="39" t="n">
        <v>46245</v>
      </c>
      <c r="C1045" s="3" t="inlineStr">
        <is>
          <t>Credit Card Expense</t>
        </is>
      </c>
      <c r="D1045" s="3" t="inlineStr"/>
      <c r="E1045" s="3" t="inlineStr">
        <is>
          <t>Tessarand Payroll Services</t>
        </is>
      </c>
      <c r="F1045" s="3" t="inlineStr">
        <is>
          <t>Contractors – August</t>
        </is>
      </c>
      <c r="G1045" s="3" t="inlineStr">
        <is>
          <t>Contractors</t>
        </is>
      </c>
      <c r="H1045" s="3" t="inlineStr">
        <is>
          <t>Checking – Operating</t>
        </is>
      </c>
      <c r="I1045" s="33" t="n">
        <v>-5681.43</v>
      </c>
      <c r="J1045" s="13">
        <f>+J1044+I1045</f>
        <v>2347330.34</v>
      </c>
      <c r="K1045" s="19">
        <f>+EOMONTH(B1045,0)</f>
        <v>46265</v>
      </c>
      <c r="L1045" s="3" t="inlineStr">
        <is>
          <t>Checking – Operating</t>
        </is>
      </c>
      <c r="M1045" s="3" t="inlineStr">
        <is>
          <t>Balance Sheet</t>
        </is>
      </c>
    </row>
    <row r="1046">
      <c r="B1046" s="39" t="n">
        <v>46245</v>
      </c>
      <c r="C1046" s="3" t="inlineStr">
        <is>
          <t>Credit Card Expense</t>
        </is>
      </c>
      <c r="D1046" s="3" t="inlineStr"/>
      <c r="E1046" s="3" t="inlineStr"/>
      <c r="F1046" s="3" t="inlineStr">
        <is>
          <t>Taxes and Licenses – August</t>
        </is>
      </c>
      <c r="G1046" s="3" t="inlineStr">
        <is>
          <t>Taxes and Licenses</t>
        </is>
      </c>
      <c r="H1046" s="3" t="inlineStr">
        <is>
          <t>Checking – Operating</t>
        </is>
      </c>
      <c r="I1046" s="33" t="n">
        <v>-473.43</v>
      </c>
      <c r="J1046" s="13">
        <f>+J1045+I1046</f>
        <v>2346856.91</v>
      </c>
      <c r="K1046" s="19">
        <f>+EOMONTH(B1046,0)</f>
        <v>46265</v>
      </c>
      <c r="L1046" s="3" t="inlineStr">
        <is>
          <t>Checking – Operating</t>
        </is>
      </c>
      <c r="M1046" s="3" t="inlineStr">
        <is>
          <t>Balance Sheet</t>
        </is>
      </c>
    </row>
    <row r="1047">
      <c r="B1047" s="39" t="n">
        <v>46246</v>
      </c>
      <c r="C1047" s="3" t="inlineStr">
        <is>
          <t>Bill Payment (Check)</t>
        </is>
      </c>
      <c r="D1047" s="3" t="inlineStr"/>
      <c r="E1047" s="3" t="inlineStr">
        <is>
          <t>Reagentix Corp</t>
        </is>
      </c>
      <c r="F1047" s="3" t="inlineStr">
        <is>
          <t>Lab supplies PO# F2175</t>
        </is>
      </c>
      <c r="G1047" s="3" t="inlineStr">
        <is>
          <t>Accounts Payable</t>
        </is>
      </c>
      <c r="H1047" s="3" t="inlineStr">
        <is>
          <t>Checking – Operating</t>
        </is>
      </c>
      <c r="I1047" s="33" t="n">
        <v>-11820.58</v>
      </c>
      <c r="J1047" s="13">
        <f>+J1046+I1047</f>
        <v>2335036.33</v>
      </c>
      <c r="K1047" s="19">
        <f>+EOMONTH(B1047,0)</f>
        <v>46265</v>
      </c>
      <c r="L1047" s="3" t="inlineStr">
        <is>
          <t>Checking – Operating</t>
        </is>
      </c>
      <c r="M1047" s="3" t="inlineStr">
        <is>
          <t>Balance Sheet</t>
        </is>
      </c>
    </row>
    <row r="1048">
      <c r="B1048" s="39" t="n">
        <v>46246</v>
      </c>
      <c r="C1048" s="3" t="inlineStr">
        <is>
          <t>Expense</t>
        </is>
      </c>
      <c r="D1048" s="3" t="inlineStr"/>
      <c r="E1048" s="3" t="inlineStr">
        <is>
          <t>Consultant A</t>
        </is>
      </c>
      <c r="F1048" s="3" t="inlineStr">
        <is>
          <t>Accounting Service – August</t>
        </is>
      </c>
      <c r="G1048" s="3" t="inlineStr">
        <is>
          <t>Accounting Service</t>
        </is>
      </c>
      <c r="H1048" s="3" t="inlineStr">
        <is>
          <t>Checking – Operating</t>
        </is>
      </c>
      <c r="I1048" s="33" t="n">
        <v>-2402.93</v>
      </c>
      <c r="J1048" s="13">
        <f>+J1047+I1048</f>
        <v>2332633.4</v>
      </c>
      <c r="K1048" s="19">
        <f>+EOMONTH(B1048,0)</f>
        <v>46265</v>
      </c>
      <c r="L1048" s="3" t="inlineStr">
        <is>
          <t>Checking – Operating</t>
        </is>
      </c>
      <c r="M1048" s="3" t="inlineStr">
        <is>
          <t>Balance Sheet</t>
        </is>
      </c>
    </row>
    <row r="1049">
      <c r="B1049" s="39" t="n">
        <v>46246</v>
      </c>
      <c r="C1049" s="3" t="inlineStr">
        <is>
          <t>Journal Entry</t>
        </is>
      </c>
      <c r="D1049" s="3" t="inlineStr"/>
      <c r="E1049" s="3" t="inlineStr"/>
      <c r="F1049" s="3" t="inlineStr">
        <is>
          <t>Bank service charges – August</t>
        </is>
      </c>
      <c r="G1049" s="3" t="inlineStr">
        <is>
          <t>Bank Fees</t>
        </is>
      </c>
      <c r="H1049" s="3" t="inlineStr">
        <is>
          <t>Checking – Operating</t>
        </is>
      </c>
      <c r="I1049" s="33" t="n">
        <v>-2203.15</v>
      </c>
      <c r="J1049" s="13">
        <f>+J1048+I1049</f>
        <v>2330430.25</v>
      </c>
      <c r="K1049" s="19">
        <f>+EOMONTH(B1049,0)</f>
        <v>46265</v>
      </c>
      <c r="L1049" s="3" t="inlineStr">
        <is>
          <t>Checking – Operating</t>
        </is>
      </c>
      <c r="M1049" s="3" t="inlineStr">
        <is>
          <t>Balance Sheet</t>
        </is>
      </c>
    </row>
    <row r="1050">
      <c r="B1050" s="39" t="n">
        <v>46246</v>
      </c>
      <c r="C1050" s="3" t="inlineStr">
        <is>
          <t>Journal Entry</t>
        </is>
      </c>
      <c r="D1050" s="3" t="inlineStr"/>
      <c r="E1050" s="3" t="inlineStr"/>
      <c r="F1050" s="3" t="inlineStr">
        <is>
          <t>Meals and Entertainment – August</t>
        </is>
      </c>
      <c r="G1050" s="3" t="inlineStr">
        <is>
          <t>Meals and Entertainment</t>
        </is>
      </c>
      <c r="H1050" s="3" t="inlineStr">
        <is>
          <t>Checking – Operating</t>
        </is>
      </c>
      <c r="I1050" s="33" t="n">
        <v>-599.99</v>
      </c>
      <c r="J1050" s="13">
        <f>+J1049+I1050</f>
        <v>2329830.26</v>
      </c>
      <c r="K1050" s="19">
        <f>+EOMONTH(B1050,0)</f>
        <v>46265</v>
      </c>
      <c r="L1050" s="3" t="inlineStr">
        <is>
          <t>Checking – Operating</t>
        </is>
      </c>
      <c r="M1050" s="3" t="inlineStr">
        <is>
          <t>Balance Sheet</t>
        </is>
      </c>
    </row>
    <row r="1051">
      <c r="B1051" s="39" t="n">
        <v>46246</v>
      </c>
      <c r="C1051" s="3" t="inlineStr">
        <is>
          <t>Payroll Check</t>
        </is>
      </c>
      <c r="D1051" s="3" t="inlineStr"/>
      <c r="E1051" s="3" t="inlineStr">
        <is>
          <t>Tessarand Payroll Services</t>
        </is>
      </c>
      <c r="F1051" s="3" t="inlineStr">
        <is>
          <t>Payroll – biweekly</t>
        </is>
      </c>
      <c r="G1051" s="3" t="inlineStr">
        <is>
          <t>Salaries and Wages</t>
        </is>
      </c>
      <c r="H1051" s="3" t="inlineStr">
        <is>
          <t>Checking – Operating</t>
        </is>
      </c>
      <c r="I1051" s="33" t="n">
        <v>-178917.93</v>
      </c>
      <c r="J1051" s="13">
        <f>+J1050+I1051</f>
        <v>2150912.33</v>
      </c>
      <c r="K1051" s="19">
        <f>+EOMONTH(B1051,0)</f>
        <v>46265</v>
      </c>
      <c r="L1051" s="3" t="inlineStr">
        <is>
          <t>Checking – Operating</t>
        </is>
      </c>
      <c r="M1051" s="3" t="inlineStr">
        <is>
          <t>Balance Sheet</t>
        </is>
      </c>
    </row>
    <row r="1052">
      <c r="B1052" s="39" t="n">
        <v>46247</v>
      </c>
      <c r="C1052" s="3" t="inlineStr">
        <is>
          <t>Deposit</t>
        </is>
      </c>
      <c r="D1052" s="3" t="inlineStr"/>
      <c r="E1052" s="3" t="inlineStr">
        <is>
          <t>Marrowby Mutual</t>
        </is>
      </c>
      <c r="F1052" s="3" t="inlineStr">
        <is>
          <t>ORIG CO NAME:MARROWBY MUTUAL ORIG ID:XXXXXX5920 DESC DATE:260813 CO ENTRY DESCR:HCCLAIMPMT SEC:CCD TRACE#:XXXXXXXX3314636 EED:260813 IND ID:</t>
        </is>
      </c>
      <c r="G1052" s="3" t="inlineStr">
        <is>
          <t>Service Income</t>
        </is>
      </c>
      <c r="H1052" s="3" t="inlineStr">
        <is>
          <t>Checking – Operating</t>
        </is>
      </c>
      <c r="I1052" s="33" t="n">
        <v>97968.75999999999</v>
      </c>
      <c r="J1052" s="13">
        <f>+J1051+I1052</f>
        <v>2248881.09</v>
      </c>
      <c r="K1052" s="19">
        <f>+EOMONTH(B1052,0)</f>
        <v>46265</v>
      </c>
      <c r="L1052" s="3" t="inlineStr">
        <is>
          <t>Checking – Operating</t>
        </is>
      </c>
      <c r="M1052" s="3" t="inlineStr">
        <is>
          <t>Balance Sheet</t>
        </is>
      </c>
    </row>
    <row r="1053">
      <c r="B1053" s="39" t="n">
        <v>46247</v>
      </c>
      <c r="C1053" s="3" t="inlineStr">
        <is>
          <t>Expense</t>
        </is>
      </c>
      <c r="D1053" s="3" t="inlineStr"/>
      <c r="E1053" s="3" t="inlineStr">
        <is>
          <t>Consultant A</t>
        </is>
      </c>
      <c r="F1053" s="3" t="inlineStr">
        <is>
          <t>Legal &amp; Professional Fees – August</t>
        </is>
      </c>
      <c r="G1053" s="3" t="inlineStr">
        <is>
          <t>Legal &amp; Professional Fees</t>
        </is>
      </c>
      <c r="H1053" s="3" t="inlineStr">
        <is>
          <t>Checking – Operating</t>
        </is>
      </c>
      <c r="I1053" s="33" t="n">
        <v>-886.59</v>
      </c>
      <c r="J1053" s="13">
        <f>+J1052+I1053</f>
        <v>2247994.5</v>
      </c>
      <c r="K1053" s="19">
        <f>+EOMONTH(B1053,0)</f>
        <v>46265</v>
      </c>
      <c r="L1053" s="3" t="inlineStr">
        <is>
          <t>Checking – Operating</t>
        </is>
      </c>
      <c r="M1053" s="3" t="inlineStr">
        <is>
          <t>Balance Sheet</t>
        </is>
      </c>
    </row>
    <row r="1054">
      <c r="B1054" s="39" t="n">
        <v>46247</v>
      </c>
      <c r="C1054" s="3" t="inlineStr">
        <is>
          <t>Expense</t>
        </is>
      </c>
      <c r="D1054" s="3" t="inlineStr"/>
      <c r="E1054" s="3" t="inlineStr"/>
      <c r="F1054" s="3" t="inlineStr">
        <is>
          <t>Business Meetings &amp; Development – August</t>
        </is>
      </c>
      <c r="G1054" s="3" t="inlineStr">
        <is>
          <t>Business Meetings &amp; Development</t>
        </is>
      </c>
      <c r="H1054" s="3" t="inlineStr">
        <is>
          <t>Checking – Operating</t>
        </is>
      </c>
      <c r="I1054" s="33" t="n">
        <v>-2749.11</v>
      </c>
      <c r="J1054" s="13">
        <f>+J1053+I1054</f>
        <v>2245245.39</v>
      </c>
      <c r="K1054" s="19">
        <f>+EOMONTH(B1054,0)</f>
        <v>46265</v>
      </c>
      <c r="L1054" s="3" t="inlineStr">
        <is>
          <t>Checking – Operating</t>
        </is>
      </c>
      <c r="M1054" s="3" t="inlineStr">
        <is>
          <t>Balance Sheet</t>
        </is>
      </c>
    </row>
    <row r="1055">
      <c r="B1055" s="39" t="n">
        <v>46247</v>
      </c>
      <c r="C1055" s="3" t="inlineStr">
        <is>
          <t>Payroll Check</t>
        </is>
      </c>
      <c r="D1055" s="3" t="inlineStr"/>
      <c r="E1055" s="3" t="inlineStr">
        <is>
          <t>Tessarand Payroll Services</t>
        </is>
      </c>
      <c r="F1055" s="3" t="inlineStr">
        <is>
          <t>Payroll taxes – biweekly</t>
        </is>
      </c>
      <c r="G1055" s="3" t="inlineStr">
        <is>
          <t>Payroll Taxes</t>
        </is>
      </c>
      <c r="H1055" s="3" t="inlineStr">
        <is>
          <t>Checking – Operating</t>
        </is>
      </c>
      <c r="I1055" s="33" t="n">
        <v>-1372.51</v>
      </c>
      <c r="J1055" s="13">
        <f>+J1054+I1055</f>
        <v>2243872.88</v>
      </c>
      <c r="K1055" s="19">
        <f>+EOMONTH(B1055,0)</f>
        <v>46265</v>
      </c>
      <c r="L1055" s="3" t="inlineStr">
        <is>
          <t>Checking – Operating</t>
        </is>
      </c>
      <c r="M1055" s="3" t="inlineStr">
        <is>
          <t>Balance Sheet</t>
        </is>
      </c>
    </row>
    <row r="1056">
      <c r="B1056" s="39" t="n">
        <v>46248</v>
      </c>
      <c r="C1056" s="3" t="inlineStr">
        <is>
          <t>Bill Payment (Check)</t>
        </is>
      </c>
      <c r="D1056" s="3" t="inlineStr"/>
      <c r="E1056" s="3" t="inlineStr">
        <is>
          <t>Reference Lab A</t>
        </is>
      </c>
      <c r="F1056" s="3" t="inlineStr">
        <is>
          <t>Send-out testing – August</t>
        </is>
      </c>
      <c r="G1056" s="3" t="inlineStr">
        <is>
          <t>Accounts Payable</t>
        </is>
      </c>
      <c r="H1056" s="3" t="inlineStr">
        <is>
          <t>Checking – Operating</t>
        </is>
      </c>
      <c r="I1056" s="33" t="n">
        <v>-13097.01</v>
      </c>
      <c r="J1056" s="13">
        <f>+J1055+I1056</f>
        <v>2230775.87</v>
      </c>
      <c r="K1056" s="19">
        <f>+EOMONTH(B1056,0)</f>
        <v>46265</v>
      </c>
      <c r="L1056" s="3" t="inlineStr">
        <is>
          <t>Checking – Operating</t>
        </is>
      </c>
      <c r="M1056" s="3" t="inlineStr">
        <is>
          <t>Balance Sheet</t>
        </is>
      </c>
    </row>
    <row r="1057">
      <c r="B1057" s="39" t="n">
        <v>46248</v>
      </c>
      <c r="C1057" s="3" t="inlineStr">
        <is>
          <t>Expense</t>
        </is>
      </c>
      <c r="D1057" s="3" t="inlineStr"/>
      <c r="E1057" s="3" t="inlineStr"/>
      <c r="F1057" s="3" t="inlineStr">
        <is>
          <t>Bank service charges – August</t>
        </is>
      </c>
      <c r="G1057" s="3" t="inlineStr">
        <is>
          <t>Bank Fees</t>
        </is>
      </c>
      <c r="H1057" s="3" t="inlineStr">
        <is>
          <t>Checking – Operating</t>
        </is>
      </c>
      <c r="I1057" s="33" t="n">
        <v>-1296.85</v>
      </c>
      <c r="J1057" s="13">
        <f>+J1056+I1057</f>
        <v>2229479.02</v>
      </c>
      <c r="K1057" s="19">
        <f>+EOMONTH(B1057,0)</f>
        <v>46265</v>
      </c>
      <c r="L1057" s="3" t="inlineStr">
        <is>
          <t>Checking – Operating</t>
        </is>
      </c>
      <c r="M1057" s="3" t="inlineStr">
        <is>
          <t>Balance Sheet</t>
        </is>
      </c>
    </row>
    <row r="1058">
      <c r="B1058" s="39" t="n">
        <v>46248</v>
      </c>
      <c r="C1058" s="3" t="inlineStr">
        <is>
          <t>Expense</t>
        </is>
      </c>
      <c r="D1058" s="3" t="inlineStr"/>
      <c r="E1058" s="3" t="inlineStr"/>
      <c r="F1058" s="3" t="inlineStr">
        <is>
          <t>Parking – August</t>
        </is>
      </c>
      <c r="G1058" s="3" t="inlineStr">
        <is>
          <t>Parking</t>
        </is>
      </c>
      <c r="H1058" s="3" t="inlineStr">
        <is>
          <t>Checking – Operating</t>
        </is>
      </c>
      <c r="I1058" s="33" t="n">
        <v>-869.98</v>
      </c>
      <c r="J1058" s="13">
        <f>+J1057+I1058</f>
        <v>2228609.04</v>
      </c>
      <c r="K1058" s="19">
        <f>+EOMONTH(B1058,0)</f>
        <v>46265</v>
      </c>
      <c r="L1058" s="3" t="inlineStr">
        <is>
          <t>Checking – Operating</t>
        </is>
      </c>
      <c r="M1058" s="3" t="inlineStr">
        <is>
          <t>Balance Sheet</t>
        </is>
      </c>
    </row>
    <row r="1059">
      <c r="B1059" s="39" t="n">
        <v>46248</v>
      </c>
      <c r="C1059" s="3" t="inlineStr">
        <is>
          <t>Expense</t>
        </is>
      </c>
      <c r="D1059" s="3" t="inlineStr"/>
      <c r="E1059" s="3" t="inlineStr">
        <is>
          <t>Swiftmere Courier</t>
        </is>
      </c>
      <c r="F1059" s="3" t="inlineStr">
        <is>
          <t>Postage and Delivery – August</t>
        </is>
      </c>
      <c r="G1059" s="3" t="inlineStr">
        <is>
          <t>Postage and Delivery</t>
        </is>
      </c>
      <c r="H1059" s="3" t="inlineStr">
        <is>
          <t>Checking – Operating</t>
        </is>
      </c>
      <c r="I1059" s="33" t="n">
        <v>-357.71</v>
      </c>
      <c r="J1059" s="13">
        <f>+J1058+I1059</f>
        <v>2228251.33</v>
      </c>
      <c r="K1059" s="19">
        <f>+EOMONTH(B1059,0)</f>
        <v>46265</v>
      </c>
      <c r="L1059" s="3" t="inlineStr">
        <is>
          <t>Checking – Operating</t>
        </is>
      </c>
      <c r="M1059" s="3" t="inlineStr">
        <is>
          <t>Balance Sheet</t>
        </is>
      </c>
    </row>
    <row r="1060">
      <c r="B1060" s="39" t="n">
        <v>46248</v>
      </c>
      <c r="C1060" s="3" t="inlineStr">
        <is>
          <t>Expense</t>
        </is>
      </c>
      <c r="D1060" s="3" t="inlineStr"/>
      <c r="E1060" s="3" t="inlineStr"/>
      <c r="F1060" s="3" t="inlineStr">
        <is>
          <t>Automobile Expense – August</t>
        </is>
      </c>
      <c r="G1060" s="3" t="inlineStr">
        <is>
          <t>Automobile Expense</t>
        </is>
      </c>
      <c r="H1060" s="3" t="inlineStr">
        <is>
          <t>Checking – Operating</t>
        </is>
      </c>
      <c r="I1060" s="33" t="n">
        <v>-805.1799999999999</v>
      </c>
      <c r="J1060" s="13">
        <f>+J1059+I1060</f>
        <v>2227446.15</v>
      </c>
      <c r="K1060" s="19">
        <f>+EOMONTH(B1060,0)</f>
        <v>46265</v>
      </c>
      <c r="L1060" s="3" t="inlineStr">
        <is>
          <t>Checking – Operating</t>
        </is>
      </c>
      <c r="M1060" s="3" t="inlineStr">
        <is>
          <t>Balance Sheet</t>
        </is>
      </c>
    </row>
    <row r="1061">
      <c r="B1061" s="39" t="n">
        <v>46248</v>
      </c>
      <c r="C1061" s="3" t="inlineStr">
        <is>
          <t>Journal Entry</t>
        </is>
      </c>
      <c r="D1061" s="3" t="inlineStr"/>
      <c r="E1061" s="3" t="inlineStr">
        <is>
          <t>Ledgerquill Billing SaaS</t>
        </is>
      </c>
      <c r="F1061" s="3" t="inlineStr">
        <is>
          <t>Dues &amp; Subscriptions – August</t>
        </is>
      </c>
      <c r="G1061" s="3" t="inlineStr">
        <is>
          <t>Dues &amp; Subscriptions</t>
        </is>
      </c>
      <c r="H1061" s="3" t="inlineStr">
        <is>
          <t>Checking – Operating</t>
        </is>
      </c>
      <c r="I1061" s="33" t="n">
        <v>-1066.76</v>
      </c>
      <c r="J1061" s="13">
        <f>+J1060+I1061</f>
        <v>2226379.39</v>
      </c>
      <c r="K1061" s="19">
        <f>+EOMONTH(B1061,0)</f>
        <v>46265</v>
      </c>
      <c r="L1061" s="3" t="inlineStr">
        <is>
          <t>Checking – Operating</t>
        </is>
      </c>
      <c r="M1061" s="3" t="inlineStr">
        <is>
          <t>Balance Sheet</t>
        </is>
      </c>
    </row>
    <row r="1062">
      <c r="B1062" s="39" t="n">
        <v>46248</v>
      </c>
      <c r="C1062" s="3" t="inlineStr">
        <is>
          <t>Journal Entry</t>
        </is>
      </c>
      <c r="D1062" s="3" t="inlineStr"/>
      <c r="E1062" s="3" t="inlineStr">
        <is>
          <t>Lumenlease Equipment</t>
        </is>
      </c>
      <c r="F1062" s="3" t="inlineStr">
        <is>
          <t>Repairs and Maintenance – August</t>
        </is>
      </c>
      <c r="G1062" s="3" t="inlineStr">
        <is>
          <t>Repairs and Maintenance</t>
        </is>
      </c>
      <c r="H1062" s="3" t="inlineStr">
        <is>
          <t>Checking – Operating</t>
        </is>
      </c>
      <c r="I1062" s="33" t="n">
        <v>-5144.13</v>
      </c>
      <c r="J1062" s="13">
        <f>+J1061+I1062</f>
        <v>2221235.26</v>
      </c>
      <c r="K1062" s="19">
        <f>+EOMONTH(B1062,0)</f>
        <v>46265</v>
      </c>
      <c r="L1062" s="3" t="inlineStr">
        <is>
          <t>Checking – Operating</t>
        </is>
      </c>
      <c r="M1062" s="3" t="inlineStr">
        <is>
          <t>Balance Sheet</t>
        </is>
      </c>
    </row>
    <row r="1063">
      <c r="B1063" s="39" t="n">
        <v>46248</v>
      </c>
      <c r="C1063" s="3" t="inlineStr">
        <is>
          <t>Journal Entry</t>
        </is>
      </c>
      <c r="D1063" s="3" t="inlineStr"/>
      <c r="E1063" s="3" t="inlineStr">
        <is>
          <t>Union Utilities</t>
        </is>
      </c>
      <c r="F1063" s="3" t="inlineStr">
        <is>
          <t>Telecom and Internet – August</t>
        </is>
      </c>
      <c r="G1063" s="3" t="inlineStr">
        <is>
          <t>Telecom and Internet</t>
        </is>
      </c>
      <c r="H1063" s="3" t="inlineStr">
        <is>
          <t>Checking – Operating</t>
        </is>
      </c>
      <c r="I1063" s="33" t="n">
        <v>-3328.95</v>
      </c>
      <c r="J1063" s="13">
        <f>+J1062+I1063</f>
        <v>2217906.31</v>
      </c>
      <c r="K1063" s="19">
        <f>+EOMONTH(B1063,0)</f>
        <v>46265</v>
      </c>
      <c r="L1063" s="3" t="inlineStr">
        <is>
          <t>Checking – Operating</t>
        </is>
      </c>
      <c r="M1063" s="3" t="inlineStr">
        <is>
          <t>Balance Sheet</t>
        </is>
      </c>
    </row>
    <row r="1064">
      <c r="B1064" s="39" t="n">
        <v>46249</v>
      </c>
      <c r="C1064" s="3" t="inlineStr">
        <is>
          <t>Bill Payment (Check)</t>
        </is>
      </c>
      <c r="D1064" s="3" t="inlineStr"/>
      <c r="E1064" s="3" t="inlineStr">
        <is>
          <t>Ledgerquill Billing SaaS</t>
        </is>
      </c>
      <c r="F1064" s="3" t="inlineStr">
        <is>
          <t>Billing Software as a Service – July</t>
        </is>
      </c>
      <c r="G1064" s="3" t="inlineStr">
        <is>
          <t>Accounts Payable</t>
        </is>
      </c>
      <c r="H1064" s="3" t="inlineStr">
        <is>
          <t>Checking – Operating</t>
        </is>
      </c>
      <c r="I1064" s="33" t="n">
        <v>-15959.6</v>
      </c>
      <c r="J1064" s="13">
        <f>+J1063+I1064</f>
        <v>2201946.71</v>
      </c>
      <c r="K1064" s="19">
        <f>+EOMONTH(B1064,0)</f>
        <v>46265</v>
      </c>
      <c r="L1064" s="3" t="inlineStr">
        <is>
          <t>Checking – Operating</t>
        </is>
      </c>
      <c r="M1064" s="3" t="inlineStr">
        <is>
          <t>Balance Sheet</t>
        </is>
      </c>
    </row>
    <row r="1065">
      <c r="B1065" s="39" t="n">
        <v>46249</v>
      </c>
      <c r="C1065" s="3" t="inlineStr">
        <is>
          <t>Bill Payment (Check)</t>
        </is>
      </c>
      <c r="D1065" s="3" t="inlineStr"/>
      <c r="E1065" s="3" t="inlineStr">
        <is>
          <t>Ledgerquill Billing SaaS</t>
        </is>
      </c>
      <c r="F1065" s="3" t="inlineStr">
        <is>
          <t>Billing Software as a Service – July</t>
        </is>
      </c>
      <c r="G1065" s="3" t="inlineStr">
        <is>
          <t>Accounts Payable</t>
        </is>
      </c>
      <c r="H1065" s="3" t="inlineStr">
        <is>
          <t>Checking – Operating</t>
        </is>
      </c>
      <c r="I1065" s="33" t="n">
        <v>-14417.95</v>
      </c>
      <c r="J1065" s="13">
        <f>+J1064+I1065</f>
        <v>2187528.76</v>
      </c>
      <c r="K1065" s="19">
        <f>+EOMONTH(B1065,0)</f>
        <v>46265</v>
      </c>
      <c r="L1065" s="3" t="inlineStr">
        <is>
          <t>Checking – Operating</t>
        </is>
      </c>
      <c r="M1065" s="3" t="inlineStr">
        <is>
          <t>Balance Sheet</t>
        </is>
      </c>
    </row>
    <row r="1066">
      <c r="B1066" s="39" t="n">
        <v>46249</v>
      </c>
      <c r="C1066" s="3" t="inlineStr">
        <is>
          <t>Credit Card Expense</t>
        </is>
      </c>
      <c r="D1066" s="3" t="inlineStr"/>
      <c r="E1066" s="3" t="inlineStr">
        <is>
          <t>Vialtrace Lab Supplies Inc</t>
        </is>
      </c>
      <c r="F1066" s="3" t="inlineStr">
        <is>
          <t>Office Supplies – August</t>
        </is>
      </c>
      <c r="G1066" s="3" t="inlineStr">
        <is>
          <t>Office Supplies</t>
        </is>
      </c>
      <c r="H1066" s="3" t="inlineStr">
        <is>
          <t>Checking – Operating</t>
        </is>
      </c>
      <c r="I1066" s="33" t="n">
        <v>-2007.61</v>
      </c>
      <c r="J1066" s="13">
        <f>+J1065+I1066</f>
        <v>2185521.15</v>
      </c>
      <c r="K1066" s="19">
        <f>+EOMONTH(B1066,0)</f>
        <v>46265</v>
      </c>
      <c r="L1066" s="3" t="inlineStr">
        <is>
          <t>Checking – Operating</t>
        </is>
      </c>
      <c r="M1066" s="3" t="inlineStr">
        <is>
          <t>Balance Sheet</t>
        </is>
      </c>
    </row>
    <row r="1067">
      <c r="B1067" s="39" t="n">
        <v>46249</v>
      </c>
      <c r="C1067" s="3" t="inlineStr">
        <is>
          <t>Credit Card Expense</t>
        </is>
      </c>
      <c r="D1067" s="3" t="inlineStr"/>
      <c r="E1067" s="3" t="inlineStr">
        <is>
          <t>Tessarand Payroll Services</t>
        </is>
      </c>
      <c r="F1067" s="3" t="inlineStr">
        <is>
          <t>Sales and Marketing Expenses – August</t>
        </is>
      </c>
      <c r="G1067" s="3" t="inlineStr">
        <is>
          <t>Sales and Marketing Expenses</t>
        </is>
      </c>
      <c r="H1067" s="3" t="inlineStr">
        <is>
          <t>Checking – Operating</t>
        </is>
      </c>
      <c r="I1067" s="33" t="n">
        <v>-13490.63</v>
      </c>
      <c r="J1067" s="13">
        <f>+J1066+I1067</f>
        <v>2172030.52</v>
      </c>
      <c r="K1067" s="19">
        <f>+EOMONTH(B1067,0)</f>
        <v>46265</v>
      </c>
      <c r="L1067" s="3" t="inlineStr">
        <is>
          <t>Checking – Operating</t>
        </is>
      </c>
      <c r="M1067" s="3" t="inlineStr">
        <is>
          <t>Balance Sheet</t>
        </is>
      </c>
    </row>
    <row r="1068">
      <c r="B1068" s="39" t="n">
        <v>46249</v>
      </c>
      <c r="C1068" s="3" t="inlineStr">
        <is>
          <t>Deposit</t>
        </is>
      </c>
      <c r="D1068" s="3" t="inlineStr"/>
      <c r="E1068" s="3" t="inlineStr">
        <is>
          <t>Silvermoss Senior Living</t>
        </is>
      </c>
      <c r="F1068" s="3" t="inlineStr">
        <is>
          <t>ORIG CO NAME:SILVERMOSS SL ORIG ID:XXXXXX9409 DESC DATE:260815 CO ENTRY DESCR:HCCLAIMPMT SEC:CCD TRACE#:XXXXXXXX3410829 EED:260815 IND ID:</t>
        </is>
      </c>
      <c r="G1068" s="3" t="inlineStr">
        <is>
          <t>Service Income</t>
        </is>
      </c>
      <c r="H1068" s="3" t="inlineStr">
        <is>
          <t>Checking – Operating</t>
        </is>
      </c>
      <c r="I1068" s="33" t="n">
        <v>20809.24</v>
      </c>
      <c r="J1068" s="13">
        <f>+J1067+I1068</f>
        <v>2192839.76</v>
      </c>
      <c r="K1068" s="19">
        <f>+EOMONTH(B1068,0)</f>
        <v>46265</v>
      </c>
      <c r="L1068" s="3" t="inlineStr">
        <is>
          <t>Checking – Operating</t>
        </is>
      </c>
      <c r="M1068" s="3" t="inlineStr">
        <is>
          <t>Balance Sheet</t>
        </is>
      </c>
    </row>
    <row r="1069">
      <c r="B1069" s="39" t="n">
        <v>46249</v>
      </c>
      <c r="C1069" s="3" t="inlineStr">
        <is>
          <t>Expense</t>
        </is>
      </c>
      <c r="D1069" s="3" t="inlineStr"/>
      <c r="E1069" s="3" t="inlineStr">
        <is>
          <t>Tessarand Payroll Services</t>
        </is>
      </c>
      <c r="F1069" s="3" t="inlineStr">
        <is>
          <t>Sales and Marketing Expenses – August</t>
        </is>
      </c>
      <c r="G1069" s="3" t="inlineStr">
        <is>
          <t>Sales and Marketing Expenses</t>
        </is>
      </c>
      <c r="H1069" s="3" t="inlineStr">
        <is>
          <t>Checking – Operating</t>
        </is>
      </c>
      <c r="I1069" s="33" t="n">
        <v>-10163.91</v>
      </c>
      <c r="J1069" s="13">
        <f>+J1068+I1069</f>
        <v>2182675.85</v>
      </c>
      <c r="K1069" s="19">
        <f>+EOMONTH(B1069,0)</f>
        <v>46265</v>
      </c>
      <c r="L1069" s="3" t="inlineStr">
        <is>
          <t>Checking – Operating</t>
        </is>
      </c>
      <c r="M1069" s="3" t="inlineStr">
        <is>
          <t>Balance Sheet</t>
        </is>
      </c>
    </row>
    <row r="1070">
      <c r="B1070" s="39" t="n">
        <v>46249</v>
      </c>
      <c r="C1070" s="3" t="inlineStr">
        <is>
          <t>Journal Entry</t>
        </is>
      </c>
      <c r="D1070" s="3" t="inlineStr"/>
      <c r="E1070" s="3" t="inlineStr">
        <is>
          <t>Tessarand Payroll Services</t>
        </is>
      </c>
      <c r="F1070" s="3" t="inlineStr">
        <is>
          <t>Contractors – August</t>
        </is>
      </c>
      <c r="G1070" s="3" t="inlineStr">
        <is>
          <t>Contractors</t>
        </is>
      </c>
      <c r="H1070" s="3" t="inlineStr">
        <is>
          <t>Checking – Operating</t>
        </is>
      </c>
      <c r="I1070" s="33" t="n">
        <v>-4862.6</v>
      </c>
      <c r="J1070" s="13">
        <f>+J1069+I1070</f>
        <v>2177813.25</v>
      </c>
      <c r="K1070" s="19">
        <f>+EOMONTH(B1070,0)</f>
        <v>46265</v>
      </c>
      <c r="L1070" s="3" t="inlineStr">
        <is>
          <t>Checking – Operating</t>
        </is>
      </c>
      <c r="M1070" s="3" t="inlineStr">
        <is>
          <t>Balance Sheet</t>
        </is>
      </c>
    </row>
    <row r="1071">
      <c r="B1071" s="39" t="n">
        <v>46250</v>
      </c>
      <c r="C1071" s="3" t="inlineStr">
        <is>
          <t>Bill Payment (Check)</t>
        </is>
      </c>
      <c r="D1071" s="3" t="inlineStr"/>
      <c r="E1071" s="3" t="inlineStr">
        <is>
          <t>Ledgerquill Billing SaaS</t>
        </is>
      </c>
      <c r="F1071" s="3" t="inlineStr">
        <is>
          <t>Billing Software as a Service – August</t>
        </is>
      </c>
      <c r="G1071" s="3" t="inlineStr">
        <is>
          <t>Accounts Payable</t>
        </is>
      </c>
      <c r="H1071" s="3" t="inlineStr">
        <is>
          <t>Checking – Operating</t>
        </is>
      </c>
      <c r="I1071" s="33" t="n">
        <v>-17195.12</v>
      </c>
      <c r="J1071" s="13">
        <f>+J1070+I1071</f>
        <v>2160618.13</v>
      </c>
      <c r="K1071" s="19">
        <f>+EOMONTH(B1071,0)</f>
        <v>46265</v>
      </c>
      <c r="L1071" s="3" t="inlineStr">
        <is>
          <t>Checking – Operating</t>
        </is>
      </c>
      <c r="M1071" s="3" t="inlineStr">
        <is>
          <t>Balance Sheet</t>
        </is>
      </c>
    </row>
    <row r="1072">
      <c r="B1072" s="39" t="n">
        <v>46250</v>
      </c>
      <c r="C1072" s="3" t="inlineStr">
        <is>
          <t>Expense</t>
        </is>
      </c>
      <c r="D1072" s="3" t="inlineStr"/>
      <c r="E1072" s="3" t="inlineStr"/>
      <c r="F1072" s="3" t="inlineStr">
        <is>
          <t>Patient refund</t>
        </is>
      </c>
      <c r="G1072" s="3" t="inlineStr">
        <is>
          <t>Refunds</t>
        </is>
      </c>
      <c r="H1072" s="3" t="inlineStr">
        <is>
          <t>Checking – Operating</t>
        </is>
      </c>
      <c r="I1072" s="33" t="n">
        <v>-4432.94</v>
      </c>
      <c r="J1072" s="13">
        <f>+J1071+I1072</f>
        <v>2156185.19</v>
      </c>
      <c r="K1072" s="19">
        <f>+EOMONTH(B1072,0)</f>
        <v>46265</v>
      </c>
      <c r="L1072" s="3" t="inlineStr">
        <is>
          <t>Checking – Operating</t>
        </is>
      </c>
      <c r="M1072" s="3" t="inlineStr">
        <is>
          <t>Balance Sheet</t>
        </is>
      </c>
    </row>
    <row r="1073">
      <c r="B1073" s="39" t="n">
        <v>46250</v>
      </c>
      <c r="C1073" s="3" t="inlineStr">
        <is>
          <t>Expense</t>
        </is>
      </c>
      <c r="D1073" s="3" t="inlineStr"/>
      <c r="E1073" s="3" t="inlineStr">
        <is>
          <t>Lumenlease Equipment</t>
        </is>
      </c>
      <c r="F1073" s="3" t="inlineStr">
        <is>
          <t>Repairs and Maintenance – August</t>
        </is>
      </c>
      <c r="G1073" s="3" t="inlineStr">
        <is>
          <t>Repairs and Maintenance</t>
        </is>
      </c>
      <c r="H1073" s="3" t="inlineStr">
        <is>
          <t>Checking – Operating</t>
        </is>
      </c>
      <c r="I1073" s="33" t="n">
        <v>-1333.21</v>
      </c>
      <c r="J1073" s="13">
        <f>+J1072+I1073</f>
        <v>2154851.98</v>
      </c>
      <c r="K1073" s="19">
        <f>+EOMONTH(B1073,0)</f>
        <v>46265</v>
      </c>
      <c r="L1073" s="3" t="inlineStr">
        <is>
          <t>Checking – Operating</t>
        </is>
      </c>
      <c r="M1073" s="3" t="inlineStr">
        <is>
          <t>Balance Sheet</t>
        </is>
      </c>
    </row>
    <row r="1074">
      <c r="B1074" s="39" t="n">
        <v>46250</v>
      </c>
      <c r="C1074" s="3" t="inlineStr">
        <is>
          <t>Expense</t>
        </is>
      </c>
      <c r="D1074" s="3" t="inlineStr"/>
      <c r="E1074" s="3" t="inlineStr"/>
      <c r="F1074" s="3" t="inlineStr">
        <is>
          <t>Travel Expense – August</t>
        </is>
      </c>
      <c r="G1074" s="3" t="inlineStr">
        <is>
          <t>Travel Expense</t>
        </is>
      </c>
      <c r="H1074" s="3" t="inlineStr">
        <is>
          <t>Checking – Operating</t>
        </is>
      </c>
      <c r="I1074" s="33" t="n">
        <v>-1288.46</v>
      </c>
      <c r="J1074" s="13">
        <f>+J1073+I1074</f>
        <v>2153563.52</v>
      </c>
      <c r="K1074" s="19">
        <f>+EOMONTH(B1074,0)</f>
        <v>46265</v>
      </c>
      <c r="L1074" s="3" t="inlineStr">
        <is>
          <t>Checking – Operating</t>
        </is>
      </c>
      <c r="M1074" s="3" t="inlineStr">
        <is>
          <t>Balance Sheet</t>
        </is>
      </c>
    </row>
    <row r="1075">
      <c r="B1075" s="39" t="n">
        <v>46250</v>
      </c>
      <c r="C1075" s="3" t="inlineStr">
        <is>
          <t>Payroll Check</t>
        </is>
      </c>
      <c r="D1075" s="3" t="inlineStr"/>
      <c r="E1075" s="3" t="inlineStr">
        <is>
          <t>Tessarand Payroll Services</t>
        </is>
      </c>
      <c r="F1075" s="3" t="inlineStr">
        <is>
          <t>Payroll taxes – biweekly</t>
        </is>
      </c>
      <c r="G1075" s="3" t="inlineStr">
        <is>
          <t>Payroll Taxes</t>
        </is>
      </c>
      <c r="H1075" s="3" t="inlineStr">
        <is>
          <t>Checking – Operating</t>
        </is>
      </c>
      <c r="I1075" s="33" t="n">
        <v>-1087.49</v>
      </c>
      <c r="J1075" s="13">
        <f>+J1074+I1075</f>
        <v>2152476.03</v>
      </c>
      <c r="K1075" s="19">
        <f>+EOMONTH(B1075,0)</f>
        <v>46265</v>
      </c>
      <c r="L1075" s="3" t="inlineStr">
        <is>
          <t>Checking – Operating</t>
        </is>
      </c>
      <c r="M1075" s="3" t="inlineStr">
        <is>
          <t>Balance Sheet</t>
        </is>
      </c>
    </row>
    <row r="1076">
      <c r="B1076" s="39" t="n">
        <v>46251</v>
      </c>
      <c r="C1076" s="3" t="inlineStr">
        <is>
          <t>Bill Payment (Check)</t>
        </is>
      </c>
      <c r="D1076" s="3" t="inlineStr"/>
      <c r="E1076" s="3" t="inlineStr">
        <is>
          <t>Halloway Ridge Realty (rent)</t>
        </is>
      </c>
      <c r="F1076" s="3" t="inlineStr">
        <is>
          <t>Rent – July</t>
        </is>
      </c>
      <c r="G1076" s="3" t="inlineStr">
        <is>
          <t>Accounts Payable</t>
        </is>
      </c>
      <c r="H1076" s="3" t="inlineStr">
        <is>
          <t>Checking – Operating</t>
        </is>
      </c>
      <c r="I1076" s="33" t="n">
        <v>-19161.3</v>
      </c>
      <c r="J1076" s="13">
        <f>+J1075+I1076</f>
        <v>2133314.73</v>
      </c>
      <c r="K1076" s="19">
        <f>+EOMONTH(B1076,0)</f>
        <v>46265</v>
      </c>
      <c r="L1076" s="3" t="inlineStr">
        <is>
          <t>Checking – Operating</t>
        </is>
      </c>
      <c r="M1076" s="3" t="inlineStr">
        <is>
          <t>Balance Sheet</t>
        </is>
      </c>
    </row>
    <row r="1077">
      <c r="B1077" s="39" t="n">
        <v>46251</v>
      </c>
      <c r="C1077" s="3" t="inlineStr">
        <is>
          <t>Bill Payment (Check)</t>
        </is>
      </c>
      <c r="D1077" s="3" t="inlineStr"/>
      <c r="E1077" s="3" t="inlineStr">
        <is>
          <t>Northmoor Waste Services</t>
        </is>
      </c>
      <c r="F1077" s="3" t="inlineStr">
        <is>
          <t>Hazard Waste – August</t>
        </is>
      </c>
      <c r="G1077" s="3" t="inlineStr">
        <is>
          <t>Accounts Payable</t>
        </is>
      </c>
      <c r="H1077" s="3" t="inlineStr">
        <is>
          <t>Checking – Operating</t>
        </is>
      </c>
      <c r="I1077" s="33" t="n">
        <v>-922.17</v>
      </c>
      <c r="J1077" s="13">
        <f>+J1076+I1077</f>
        <v>2132392.56</v>
      </c>
      <c r="K1077" s="19">
        <f>+EOMONTH(B1077,0)</f>
        <v>46265</v>
      </c>
      <c r="L1077" s="3" t="inlineStr">
        <is>
          <t>Checking – Operating</t>
        </is>
      </c>
      <c r="M1077" s="3" t="inlineStr">
        <is>
          <t>Balance Sheet</t>
        </is>
      </c>
    </row>
    <row r="1078">
      <c r="B1078" s="39" t="n">
        <v>46251</v>
      </c>
      <c r="C1078" s="3" t="inlineStr">
        <is>
          <t>Bill Payment (Check)</t>
        </is>
      </c>
      <c r="D1078" s="3" t="inlineStr"/>
      <c r="E1078" s="3" t="inlineStr">
        <is>
          <t>Ledgerquill Billing SaaS</t>
        </is>
      </c>
      <c r="F1078" s="3" t="inlineStr">
        <is>
          <t>Billing Software as a Service – August</t>
        </is>
      </c>
      <c r="G1078" s="3" t="inlineStr">
        <is>
          <t>Accounts Payable</t>
        </is>
      </c>
      <c r="H1078" s="3" t="inlineStr">
        <is>
          <t>Checking – Operating</t>
        </is>
      </c>
      <c r="I1078" s="33" t="n">
        <v>-16833.65</v>
      </c>
      <c r="J1078" s="13">
        <f>+J1077+I1078</f>
        <v>2115558.91</v>
      </c>
      <c r="K1078" s="19">
        <f>+EOMONTH(B1078,0)</f>
        <v>46265</v>
      </c>
      <c r="L1078" s="3" t="inlineStr">
        <is>
          <t>Checking – Operating</t>
        </is>
      </c>
      <c r="M1078" s="3" t="inlineStr">
        <is>
          <t>Balance Sheet</t>
        </is>
      </c>
    </row>
    <row r="1079">
      <c r="B1079" s="39" t="n">
        <v>46251</v>
      </c>
      <c r="C1079" s="3" t="inlineStr">
        <is>
          <t>Bill Payment (Check)</t>
        </is>
      </c>
      <c r="D1079" s="3" t="inlineStr"/>
      <c r="E1079" s="3" t="inlineStr">
        <is>
          <t>Union Utilities</t>
        </is>
      </c>
      <c r="F1079" s="3" t="inlineStr">
        <is>
          <t>Utilities – July</t>
        </is>
      </c>
      <c r="G1079" s="3" t="inlineStr">
        <is>
          <t>Accounts Payable</t>
        </is>
      </c>
      <c r="H1079" s="3" t="inlineStr">
        <is>
          <t>Checking – Operating</t>
        </is>
      </c>
      <c r="I1079" s="33" t="n">
        <v>-3436.95</v>
      </c>
      <c r="J1079" s="13">
        <f>+J1078+I1079</f>
        <v>2112121.96</v>
      </c>
      <c r="K1079" s="19">
        <f>+EOMONTH(B1079,0)</f>
        <v>46265</v>
      </c>
      <c r="L1079" s="3" t="inlineStr">
        <is>
          <t>Checking – Operating</t>
        </is>
      </c>
      <c r="M1079" s="3" t="inlineStr">
        <is>
          <t>Balance Sheet</t>
        </is>
      </c>
    </row>
    <row r="1080">
      <c r="B1080" s="39" t="n">
        <v>46251</v>
      </c>
      <c r="C1080" s="3" t="inlineStr">
        <is>
          <t>Deposit</t>
        </is>
      </c>
      <c r="D1080" s="3" t="inlineStr"/>
      <c r="E1080" s="3" t="inlineStr">
        <is>
          <t>Silvermoss Senior Living</t>
        </is>
      </c>
      <c r="F1080" s="3" t="inlineStr">
        <is>
          <t>ORIG CO NAME:SILVERMOSS SL ORIG ID:XXXXXX1452 DESC DATE:260817 CO ENTRY DESCR:HCCLAIMPMT SEC:CCD TRACE#:XXXXXXXX6335101 EED:260817 IND ID:</t>
        </is>
      </c>
      <c r="G1080" s="3" t="inlineStr">
        <is>
          <t>Service Income</t>
        </is>
      </c>
      <c r="H1080" s="3" t="inlineStr">
        <is>
          <t>Checking – Operating</t>
        </is>
      </c>
      <c r="I1080" s="33" t="n">
        <v>32708.27</v>
      </c>
      <c r="J1080" s="13">
        <f>+J1079+I1080</f>
        <v>2144830.23</v>
      </c>
      <c r="K1080" s="19">
        <f>+EOMONTH(B1080,0)</f>
        <v>46265</v>
      </c>
      <c r="L1080" s="3" t="inlineStr">
        <is>
          <t>Checking – Operating</t>
        </is>
      </c>
      <c r="M1080" s="3" t="inlineStr">
        <is>
          <t>Balance Sheet</t>
        </is>
      </c>
    </row>
    <row r="1081">
      <c r="B1081" s="39" t="n">
        <v>46251</v>
      </c>
      <c r="C1081" s="3" t="inlineStr">
        <is>
          <t>Journal Entry</t>
        </is>
      </c>
      <c r="D1081" s="3" t="inlineStr"/>
      <c r="E1081" s="3" t="inlineStr"/>
      <c r="F1081" s="3" t="inlineStr">
        <is>
          <t>Interest – equipment note</t>
        </is>
      </c>
      <c r="G1081" s="3" t="inlineStr">
        <is>
          <t>Interest Expense</t>
        </is>
      </c>
      <c r="H1081" s="3" t="inlineStr">
        <is>
          <t>Checking – Operating</t>
        </is>
      </c>
      <c r="I1081" s="33" t="n">
        <v>-1367.57</v>
      </c>
      <c r="J1081" s="13">
        <f>+J1080+I1081</f>
        <v>2143462.66</v>
      </c>
      <c r="K1081" s="19">
        <f>+EOMONTH(B1081,0)</f>
        <v>46265</v>
      </c>
      <c r="L1081" s="3" t="inlineStr">
        <is>
          <t>Checking – Operating</t>
        </is>
      </c>
      <c r="M1081" s="3" t="inlineStr">
        <is>
          <t>Balance Sheet</t>
        </is>
      </c>
    </row>
    <row r="1082">
      <c r="B1082" s="39" t="n">
        <v>46251</v>
      </c>
      <c r="C1082" s="3" t="inlineStr">
        <is>
          <t>Journal Entry</t>
        </is>
      </c>
      <c r="D1082" s="3" t="inlineStr"/>
      <c r="E1082" s="3" t="inlineStr"/>
      <c r="F1082" s="3" t="inlineStr">
        <is>
          <t>Patient refund</t>
        </is>
      </c>
      <c r="G1082" s="3" t="inlineStr">
        <is>
          <t>Refunds</t>
        </is>
      </c>
      <c r="H1082" s="3" t="inlineStr">
        <is>
          <t>Checking – Operating</t>
        </is>
      </c>
      <c r="I1082" s="33" t="n">
        <v>-3567.2</v>
      </c>
      <c r="J1082" s="13">
        <f>+J1081+I1082</f>
        <v>2139895.46</v>
      </c>
      <c r="K1082" s="19">
        <f>+EOMONTH(B1082,0)</f>
        <v>46265</v>
      </c>
      <c r="L1082" s="3" t="inlineStr">
        <is>
          <t>Checking – Operating</t>
        </is>
      </c>
      <c r="M1082" s="3" t="inlineStr">
        <is>
          <t>Balance Sheet</t>
        </is>
      </c>
    </row>
    <row r="1083">
      <c r="B1083" s="39" t="n">
        <v>46252</v>
      </c>
      <c r="C1083" s="3" t="inlineStr">
        <is>
          <t>Bill Payment (Check)</t>
        </is>
      </c>
      <c r="D1083" s="3" t="inlineStr"/>
      <c r="E1083" s="3" t="inlineStr">
        <is>
          <t>Tarrowmere Mutual Insurance</t>
        </is>
      </c>
      <c r="F1083" s="3" t="inlineStr">
        <is>
          <t>Benefits – July</t>
        </is>
      </c>
      <c r="G1083" s="3" t="inlineStr">
        <is>
          <t>Accounts Payable</t>
        </is>
      </c>
      <c r="H1083" s="3" t="inlineStr">
        <is>
          <t>Checking – Operating</t>
        </is>
      </c>
      <c r="I1083" s="33" t="n">
        <v>-5283.14</v>
      </c>
      <c r="J1083" s="13">
        <f>+J1082+I1083</f>
        <v>2134612.32</v>
      </c>
      <c r="K1083" s="19">
        <f>+EOMONTH(B1083,0)</f>
        <v>46265</v>
      </c>
      <c r="L1083" s="3" t="inlineStr">
        <is>
          <t>Checking – Operating</t>
        </is>
      </c>
      <c r="M1083" s="3" t="inlineStr">
        <is>
          <t>Balance Sheet</t>
        </is>
      </c>
    </row>
    <row r="1084">
      <c r="B1084" s="39" t="n">
        <v>46252</v>
      </c>
      <c r="C1084" s="3" t="inlineStr">
        <is>
          <t>Bill Payment (Check)</t>
        </is>
      </c>
      <c r="D1084" s="3" t="inlineStr"/>
      <c r="E1084" s="3" t="inlineStr">
        <is>
          <t>Tarrowmere Mutual Insurance</t>
        </is>
      </c>
      <c r="F1084" s="3" t="inlineStr">
        <is>
          <t>Benefits – July</t>
        </is>
      </c>
      <c r="G1084" s="3" t="inlineStr">
        <is>
          <t>Accounts Payable</t>
        </is>
      </c>
      <c r="H1084" s="3" t="inlineStr">
        <is>
          <t>Checking – Operating</t>
        </is>
      </c>
      <c r="I1084" s="33" t="n">
        <v>-4855.54</v>
      </c>
      <c r="J1084" s="13">
        <f>+J1083+I1084</f>
        <v>2129756.78</v>
      </c>
      <c r="K1084" s="19">
        <f>+EOMONTH(B1084,0)</f>
        <v>46265</v>
      </c>
      <c r="L1084" s="3" t="inlineStr">
        <is>
          <t>Checking – Operating</t>
        </is>
      </c>
      <c r="M1084" s="3" t="inlineStr">
        <is>
          <t>Balance Sheet</t>
        </is>
      </c>
    </row>
    <row r="1085">
      <c r="B1085" s="39" t="n">
        <v>46252</v>
      </c>
      <c r="C1085" s="3" t="inlineStr">
        <is>
          <t>Expense</t>
        </is>
      </c>
      <c r="D1085" s="3" t="inlineStr"/>
      <c r="E1085" s="3" t="inlineStr">
        <is>
          <t>Ledgerquill Billing SaaS</t>
        </is>
      </c>
      <c r="F1085" s="3" t="inlineStr">
        <is>
          <t>Dues &amp; Subscriptions – August</t>
        </is>
      </c>
      <c r="G1085" s="3" t="inlineStr">
        <is>
          <t>Dues &amp; Subscriptions</t>
        </is>
      </c>
      <c r="H1085" s="3" t="inlineStr">
        <is>
          <t>Checking – Operating</t>
        </is>
      </c>
      <c r="I1085" s="33" t="n">
        <v>-733.24</v>
      </c>
      <c r="J1085" s="13">
        <f>+J1084+I1085</f>
        <v>2129023.54</v>
      </c>
      <c r="K1085" s="19">
        <f>+EOMONTH(B1085,0)</f>
        <v>46265</v>
      </c>
      <c r="L1085" s="3" t="inlineStr">
        <is>
          <t>Checking – Operating</t>
        </is>
      </c>
      <c r="M1085" s="3" t="inlineStr">
        <is>
          <t>Balance Sheet</t>
        </is>
      </c>
    </row>
    <row r="1086">
      <c r="B1086" s="39" t="n">
        <v>46252</v>
      </c>
      <c r="C1086" s="3" t="inlineStr">
        <is>
          <t>Journal Entry</t>
        </is>
      </c>
      <c r="D1086" s="3" t="inlineStr"/>
      <c r="E1086" s="3" t="inlineStr"/>
      <c r="F1086" s="3" t="inlineStr">
        <is>
          <t>Reimbursement – August</t>
        </is>
      </c>
      <c r="G1086" s="3" t="inlineStr">
        <is>
          <t>Reimbursement</t>
        </is>
      </c>
      <c r="H1086" s="3" t="inlineStr">
        <is>
          <t>Checking – Operating</t>
        </is>
      </c>
      <c r="I1086" s="33" t="n">
        <v>-1289.89</v>
      </c>
      <c r="J1086" s="13">
        <f>+J1085+I1086</f>
        <v>2127733.65</v>
      </c>
      <c r="K1086" s="19">
        <f>+EOMONTH(B1086,0)</f>
        <v>46265</v>
      </c>
      <c r="L1086" s="3" t="inlineStr">
        <is>
          <t>Checking – Operating</t>
        </is>
      </c>
      <c r="M1086" s="3" t="inlineStr">
        <is>
          <t>Balance Sheet</t>
        </is>
      </c>
    </row>
    <row r="1087">
      <c r="B1087" s="39" t="n">
        <v>46252</v>
      </c>
      <c r="C1087" s="3" t="inlineStr">
        <is>
          <t>Journal Entry</t>
        </is>
      </c>
      <c r="D1087" s="3" t="inlineStr"/>
      <c r="E1087" s="3" t="inlineStr">
        <is>
          <t>Halloway Ridge Realty (rent)</t>
        </is>
      </c>
      <c r="F1087" s="3" t="inlineStr">
        <is>
          <t>Landscaping – August</t>
        </is>
      </c>
      <c r="G1087" s="3" t="inlineStr">
        <is>
          <t>Landscaping</t>
        </is>
      </c>
      <c r="H1087" s="3" t="inlineStr">
        <is>
          <t>Checking – Operating</t>
        </is>
      </c>
      <c r="I1087" s="33" t="n">
        <v>-1656.78</v>
      </c>
      <c r="J1087" s="13">
        <f>+J1086+I1087</f>
        <v>2126076.87</v>
      </c>
      <c r="K1087" s="19">
        <f>+EOMONTH(B1087,0)</f>
        <v>46265</v>
      </c>
      <c r="L1087" s="3" t="inlineStr">
        <is>
          <t>Checking – Operating</t>
        </is>
      </c>
      <c r="M1087" s="3" t="inlineStr">
        <is>
          <t>Balance Sheet</t>
        </is>
      </c>
    </row>
    <row r="1088">
      <c r="B1088" s="39" t="n">
        <v>46253</v>
      </c>
      <c r="C1088" s="3" t="inlineStr">
        <is>
          <t>Bill Payment (Check)</t>
        </is>
      </c>
      <c r="D1088" s="3" t="inlineStr"/>
      <c r="E1088" s="3" t="inlineStr">
        <is>
          <t>Reagentix Corp</t>
        </is>
      </c>
      <c r="F1088" s="3" t="inlineStr">
        <is>
          <t>Lab supplies PO# F2237</t>
        </is>
      </c>
      <c r="G1088" s="3" t="inlineStr">
        <is>
          <t>Accounts Payable</t>
        </is>
      </c>
      <c r="H1088" s="3" t="inlineStr">
        <is>
          <t>Checking – Operating</t>
        </is>
      </c>
      <c r="I1088" s="33" t="n">
        <v>-11292.69</v>
      </c>
      <c r="J1088" s="13">
        <f>+J1087+I1088</f>
        <v>2114784.18</v>
      </c>
      <c r="K1088" s="19">
        <f>+EOMONTH(B1088,0)</f>
        <v>46265</v>
      </c>
      <c r="L1088" s="3" t="inlineStr">
        <is>
          <t>Checking – Operating</t>
        </is>
      </c>
      <c r="M1088" s="3" t="inlineStr">
        <is>
          <t>Balance Sheet</t>
        </is>
      </c>
    </row>
    <row r="1089">
      <c r="B1089" s="39" t="n">
        <v>46254</v>
      </c>
      <c r="C1089" s="3" t="inlineStr">
        <is>
          <t>Bill Payment (Check)</t>
        </is>
      </c>
      <c r="D1089" s="3" t="inlineStr"/>
      <c r="E1089" s="3" t="inlineStr">
        <is>
          <t>Reagentix Corp</t>
        </is>
      </c>
      <c r="F1089" s="3" t="inlineStr">
        <is>
          <t>Lab supplies PO# F2167</t>
        </is>
      </c>
      <c r="G1089" s="3" t="inlineStr">
        <is>
          <t>Accounts Payable</t>
        </is>
      </c>
      <c r="H1089" s="3" t="inlineStr">
        <is>
          <t>Checking – Operating</t>
        </is>
      </c>
      <c r="I1089" s="33" t="n">
        <v>-36420.58</v>
      </c>
      <c r="J1089" s="13">
        <f>+J1088+I1089</f>
        <v>2078363.6</v>
      </c>
      <c r="K1089" s="19">
        <f>+EOMONTH(B1089,0)</f>
        <v>46265</v>
      </c>
      <c r="L1089" s="3" t="inlineStr">
        <is>
          <t>Checking – Operating</t>
        </is>
      </c>
      <c r="M1089" s="3" t="inlineStr">
        <is>
          <t>Balance Sheet</t>
        </is>
      </c>
    </row>
    <row r="1090">
      <c r="B1090" s="39" t="n">
        <v>46254</v>
      </c>
      <c r="C1090" s="3" t="inlineStr">
        <is>
          <t>Bill Payment (Check)</t>
        </is>
      </c>
      <c r="D1090" s="3" t="inlineStr"/>
      <c r="E1090" s="3" t="inlineStr">
        <is>
          <t>Reagentix Corp</t>
        </is>
      </c>
      <c r="F1090" s="3" t="inlineStr">
        <is>
          <t>Lab supplies PO# F2817</t>
        </is>
      </c>
      <c r="G1090" s="3" t="inlineStr">
        <is>
          <t>Accounts Payable</t>
        </is>
      </c>
      <c r="H1090" s="3" t="inlineStr">
        <is>
          <t>Checking – Operating</t>
        </is>
      </c>
      <c r="I1090" s="33" t="n">
        <v>-6274.42</v>
      </c>
      <c r="J1090" s="13">
        <f>+J1089+I1090</f>
        <v>2072089.18</v>
      </c>
      <c r="K1090" s="19">
        <f>+EOMONTH(B1090,0)</f>
        <v>46265</v>
      </c>
      <c r="L1090" s="3" t="inlineStr">
        <is>
          <t>Checking – Operating</t>
        </is>
      </c>
      <c r="M1090" s="3" t="inlineStr">
        <is>
          <t>Balance Sheet</t>
        </is>
      </c>
    </row>
    <row r="1091">
      <c r="B1091" s="39" t="n">
        <v>46254</v>
      </c>
      <c r="C1091" s="3" t="inlineStr">
        <is>
          <t>Bill Payment (Check)</t>
        </is>
      </c>
      <c r="D1091" s="3" t="inlineStr"/>
      <c r="E1091" s="3" t="inlineStr">
        <is>
          <t>Lumenlease Equipment</t>
        </is>
      </c>
      <c r="F1091" s="3" t="inlineStr">
        <is>
          <t>Equipment Lease – August</t>
        </is>
      </c>
      <c r="G1091" s="3" t="inlineStr">
        <is>
          <t>Accounts Payable</t>
        </is>
      </c>
      <c r="H1091" s="3" t="inlineStr">
        <is>
          <t>Checking – Operating</t>
        </is>
      </c>
      <c r="I1091" s="33" t="n">
        <v>-4027.13</v>
      </c>
      <c r="J1091" s="13">
        <f>+J1090+I1091</f>
        <v>2068062.05</v>
      </c>
      <c r="K1091" s="19">
        <f>+EOMONTH(B1091,0)</f>
        <v>46265</v>
      </c>
      <c r="L1091" s="3" t="inlineStr">
        <is>
          <t>Checking – Operating</t>
        </is>
      </c>
      <c r="M1091" s="3" t="inlineStr">
        <is>
          <t>Balance Sheet</t>
        </is>
      </c>
    </row>
    <row r="1092">
      <c r="B1092" s="39" t="n">
        <v>46254</v>
      </c>
      <c r="C1092" s="3" t="inlineStr">
        <is>
          <t>Bill Payment (Check)</t>
        </is>
      </c>
      <c r="D1092" s="3" t="inlineStr"/>
      <c r="E1092" s="3" t="inlineStr">
        <is>
          <t>Tarrowmere Mutual Insurance</t>
        </is>
      </c>
      <c r="F1092" s="3" t="inlineStr">
        <is>
          <t>Benefits – August</t>
        </is>
      </c>
      <c r="G1092" s="3" t="inlineStr">
        <is>
          <t>Accounts Payable</t>
        </is>
      </c>
      <c r="H1092" s="3" t="inlineStr">
        <is>
          <t>Checking – Operating</t>
        </is>
      </c>
      <c r="I1092" s="33" t="n">
        <v>-3174.9</v>
      </c>
      <c r="J1092" s="13">
        <f>+J1091+I1092</f>
        <v>2064887.15</v>
      </c>
      <c r="K1092" s="19">
        <f>+EOMONTH(B1092,0)</f>
        <v>46265</v>
      </c>
      <c r="L1092" s="3" t="inlineStr">
        <is>
          <t>Checking – Operating</t>
        </is>
      </c>
      <c r="M1092" s="3" t="inlineStr">
        <is>
          <t>Balance Sheet</t>
        </is>
      </c>
    </row>
    <row r="1093">
      <c r="B1093" s="39" t="n">
        <v>46254</v>
      </c>
      <c r="C1093" s="3" t="inlineStr">
        <is>
          <t>Credit Card Expense</t>
        </is>
      </c>
      <c r="D1093" s="3" t="inlineStr"/>
      <c r="E1093" s="3" t="inlineStr"/>
      <c r="F1093" s="3" t="inlineStr">
        <is>
          <t>Gas – August</t>
        </is>
      </c>
      <c r="G1093" s="3" t="inlineStr">
        <is>
          <t>Gas</t>
        </is>
      </c>
      <c r="H1093" s="3" t="inlineStr">
        <is>
          <t>Checking – Operating</t>
        </is>
      </c>
      <c r="I1093" s="33" t="n">
        <v>-961.26</v>
      </c>
      <c r="J1093" s="13">
        <f>+J1092+I1093</f>
        <v>2063925.89</v>
      </c>
      <c r="K1093" s="19">
        <f>+EOMONTH(B1093,0)</f>
        <v>46265</v>
      </c>
      <c r="L1093" s="3" t="inlineStr">
        <is>
          <t>Checking – Operating</t>
        </is>
      </c>
      <c r="M1093" s="3" t="inlineStr">
        <is>
          <t>Balance Sheet</t>
        </is>
      </c>
    </row>
    <row r="1094">
      <c r="B1094" s="39" t="n">
        <v>46254</v>
      </c>
      <c r="C1094" s="3" t="inlineStr">
        <is>
          <t>Credit Card Expense</t>
        </is>
      </c>
      <c r="D1094" s="3" t="inlineStr"/>
      <c r="E1094" s="3" t="inlineStr">
        <is>
          <t>Tessarand Payroll Services</t>
        </is>
      </c>
      <c r="F1094" s="3" t="inlineStr">
        <is>
          <t>Sales and Marketing Expenses – August</t>
        </is>
      </c>
      <c r="G1094" s="3" t="inlineStr">
        <is>
          <t>Sales and Marketing Expenses</t>
        </is>
      </c>
      <c r="H1094" s="3" t="inlineStr">
        <is>
          <t>Checking – Operating</t>
        </is>
      </c>
      <c r="I1094" s="33" t="n">
        <v>-13676.19</v>
      </c>
      <c r="J1094" s="13">
        <f>+J1093+I1094</f>
        <v>2050249.7</v>
      </c>
      <c r="K1094" s="19">
        <f>+EOMONTH(B1094,0)</f>
        <v>46265</v>
      </c>
      <c r="L1094" s="3" t="inlineStr">
        <is>
          <t>Checking – Operating</t>
        </is>
      </c>
      <c r="M1094" s="3" t="inlineStr">
        <is>
          <t>Balance Sheet</t>
        </is>
      </c>
    </row>
    <row r="1095">
      <c r="B1095" s="39" t="n">
        <v>46254</v>
      </c>
      <c r="C1095" s="3" t="inlineStr">
        <is>
          <t>Deposit</t>
        </is>
      </c>
      <c r="D1095" s="3" t="inlineStr"/>
      <c r="E1095" s="3" t="inlineStr">
        <is>
          <t>State Program B</t>
        </is>
      </c>
      <c r="F1095" s="3" t="inlineStr">
        <is>
          <t>ORIG CO NAME:STATE PROG B ORIG ID:XXXXXX1613 DESC DATE:260820 CO ENTRY DESCR:HCCLAIMPMT SEC:CCD TRACE#:XXXXXXXX9792896 EED:260820 IND ID:</t>
        </is>
      </c>
      <c r="G1095" s="3" t="inlineStr">
        <is>
          <t>Service Income</t>
        </is>
      </c>
      <c r="H1095" s="3" t="inlineStr">
        <is>
          <t>Checking – Operating</t>
        </is>
      </c>
      <c r="I1095" s="33" t="n">
        <v>44740.02</v>
      </c>
      <c r="J1095" s="13">
        <f>+J1094+I1095</f>
        <v>2094989.72</v>
      </c>
      <c r="K1095" s="19">
        <f>+EOMONTH(B1095,0)</f>
        <v>46265</v>
      </c>
      <c r="L1095" s="3" t="inlineStr">
        <is>
          <t>Checking – Operating</t>
        </is>
      </c>
      <c r="M1095" s="3" t="inlineStr">
        <is>
          <t>Balance Sheet</t>
        </is>
      </c>
    </row>
    <row r="1096">
      <c r="B1096" s="39" t="n">
        <v>46254</v>
      </c>
      <c r="C1096" s="3" t="inlineStr">
        <is>
          <t>Expense</t>
        </is>
      </c>
      <c r="D1096" s="3" t="inlineStr"/>
      <c r="E1096" s="3" t="inlineStr"/>
      <c r="F1096" s="3" t="inlineStr">
        <is>
          <t>Parking – August</t>
        </is>
      </c>
      <c r="G1096" s="3" t="inlineStr">
        <is>
          <t>Parking</t>
        </is>
      </c>
      <c r="H1096" s="3" t="inlineStr">
        <is>
          <t>Checking – Operating</t>
        </is>
      </c>
      <c r="I1096" s="33" t="n">
        <v>-480.02</v>
      </c>
      <c r="J1096" s="13">
        <f>+J1095+I1096</f>
        <v>2094509.7</v>
      </c>
      <c r="K1096" s="19">
        <f>+EOMONTH(B1096,0)</f>
        <v>46265</v>
      </c>
      <c r="L1096" s="3" t="inlineStr">
        <is>
          <t>Checking – Operating</t>
        </is>
      </c>
      <c r="M1096" s="3" t="inlineStr">
        <is>
          <t>Balance Sheet</t>
        </is>
      </c>
    </row>
    <row r="1097">
      <c r="B1097" s="39" t="n">
        <v>46255</v>
      </c>
      <c r="C1097" s="3" t="inlineStr">
        <is>
          <t>Bill Payment (Check)</t>
        </is>
      </c>
      <c r="D1097" s="3" t="inlineStr"/>
      <c r="E1097" s="3" t="inlineStr">
        <is>
          <t>Halloway Ridge Realty (rent)</t>
        </is>
      </c>
      <c r="F1097" s="3" t="inlineStr">
        <is>
          <t>Rent – August</t>
        </is>
      </c>
      <c r="G1097" s="3" t="inlineStr">
        <is>
          <t>Accounts Payable</t>
        </is>
      </c>
      <c r="H1097" s="3" t="inlineStr">
        <is>
          <t>Checking – Operating</t>
        </is>
      </c>
      <c r="I1097" s="33" t="n">
        <v>-6947.51</v>
      </c>
      <c r="J1097" s="13">
        <f>+J1096+I1097</f>
        <v>2087562.19</v>
      </c>
      <c r="K1097" s="19">
        <f>+EOMONTH(B1097,0)</f>
        <v>46265</v>
      </c>
      <c r="L1097" s="3" t="inlineStr">
        <is>
          <t>Checking – Operating</t>
        </is>
      </c>
      <c r="M1097" s="3" t="inlineStr">
        <is>
          <t>Balance Sheet</t>
        </is>
      </c>
    </row>
    <row r="1098">
      <c r="B1098" s="39" t="n">
        <v>46255</v>
      </c>
      <c r="C1098" s="3" t="inlineStr">
        <is>
          <t>Credit Card Expense</t>
        </is>
      </c>
      <c r="D1098" s="3" t="inlineStr"/>
      <c r="E1098" s="3" t="inlineStr"/>
      <c r="F1098" s="3" t="inlineStr">
        <is>
          <t>Bank service charges – August</t>
        </is>
      </c>
      <c r="G1098" s="3" t="inlineStr">
        <is>
          <t>Cash</t>
        </is>
      </c>
      <c r="H1098" s="3" t="inlineStr">
        <is>
          <t>Checking – Operating</t>
        </is>
      </c>
      <c r="I1098" s="33" t="n">
        <v>-820.88</v>
      </c>
      <c r="J1098" s="13">
        <f>+J1097+I1098</f>
        <v>2086741.31</v>
      </c>
      <c r="K1098" s="19">
        <f>+EOMONTH(B1098,0)</f>
        <v>46265</v>
      </c>
      <c r="L1098" s="3" t="inlineStr">
        <is>
          <t>Checking – Operating</t>
        </is>
      </c>
      <c r="M1098" s="3" t="inlineStr">
        <is>
          <t>Balance Sheet</t>
        </is>
      </c>
    </row>
    <row r="1099">
      <c r="B1099" s="39" t="n">
        <v>46255</v>
      </c>
      <c r="C1099" s="3" t="inlineStr">
        <is>
          <t>Deposit</t>
        </is>
      </c>
      <c r="D1099" s="3" t="inlineStr"/>
      <c r="E1099" s="3" t="inlineStr">
        <is>
          <t>State Program B</t>
        </is>
      </c>
      <c r="F1099" s="3" t="inlineStr">
        <is>
          <t>ORIG CO NAME:STATE PROG B ORIG ID:XXXXXX5323 DESC DATE:260821 CO ENTRY DESCR:HCCLAIMPMT SEC:CCD TRACE#:XXXXXXXX8722478 EED:260821 IND ID:</t>
        </is>
      </c>
      <c r="G1099" s="3" t="inlineStr">
        <is>
          <t>Service Income</t>
        </is>
      </c>
      <c r="H1099" s="3" t="inlineStr">
        <is>
          <t>Checking – Operating</t>
        </is>
      </c>
      <c r="I1099" s="33" t="n">
        <v>64799.01</v>
      </c>
      <c r="J1099" s="13">
        <f>+J1098+I1099</f>
        <v>2151540.32</v>
      </c>
      <c r="K1099" s="19">
        <f>+EOMONTH(B1099,0)</f>
        <v>46265</v>
      </c>
      <c r="L1099" s="3" t="inlineStr">
        <is>
          <t>Checking – Operating</t>
        </is>
      </c>
      <c r="M1099" s="3" t="inlineStr">
        <is>
          <t>Balance Sheet</t>
        </is>
      </c>
    </row>
    <row r="1100">
      <c r="B1100" s="39" t="n">
        <v>46255</v>
      </c>
      <c r="C1100" s="3" t="inlineStr">
        <is>
          <t>Deposit</t>
        </is>
      </c>
      <c r="D1100" s="3" t="inlineStr"/>
      <c r="E1100" s="3" t="inlineStr">
        <is>
          <t>Lanternway Benefits</t>
        </is>
      </c>
      <c r="F1100" s="3" t="inlineStr">
        <is>
          <t>ORIG CO NAME:LANTERNWAY BEN ORIG ID:XXXXXX9516 DESC DATE:260821 CO ENTRY DESCR:HCCLAIMPMT SEC:CCD TRACE#:XXXXXXXX7016988 EED:260821 IND ID:</t>
        </is>
      </c>
      <c r="G1100" s="3" t="inlineStr">
        <is>
          <t>Service Income</t>
        </is>
      </c>
      <c r="H1100" s="3" t="inlineStr">
        <is>
          <t>Checking – Operating</t>
        </is>
      </c>
      <c r="I1100" s="33" t="n">
        <v>31917.93</v>
      </c>
      <c r="J1100" s="13">
        <f>+J1099+I1100</f>
        <v>2183458.25</v>
      </c>
      <c r="K1100" s="19">
        <f>+EOMONTH(B1100,0)</f>
        <v>46265</v>
      </c>
      <c r="L1100" s="3" t="inlineStr">
        <is>
          <t>Checking – Operating</t>
        </is>
      </c>
      <c r="M1100" s="3" t="inlineStr">
        <is>
          <t>Balance Sheet</t>
        </is>
      </c>
    </row>
    <row r="1101">
      <c r="B1101" s="39" t="n">
        <v>46255</v>
      </c>
      <c r="C1101" s="3" t="inlineStr">
        <is>
          <t>Expense</t>
        </is>
      </c>
      <c r="D1101" s="3" t="inlineStr"/>
      <c r="E1101" s="3" t="inlineStr">
        <is>
          <t>Ledgerquill Billing SaaS</t>
        </is>
      </c>
      <c r="F1101" s="3" t="inlineStr">
        <is>
          <t>Interface Service – August</t>
        </is>
      </c>
      <c r="G1101" s="3" t="inlineStr">
        <is>
          <t>Interface Service</t>
        </is>
      </c>
      <c r="H1101" s="3" t="inlineStr">
        <is>
          <t>Checking – Operating</t>
        </is>
      </c>
      <c r="I1101" s="33" t="n">
        <v>-2595.74</v>
      </c>
      <c r="J1101" s="13">
        <f>+J1100+I1101</f>
        <v>2180862.51</v>
      </c>
      <c r="K1101" s="19">
        <f>+EOMONTH(B1101,0)</f>
        <v>46265</v>
      </c>
      <c r="L1101" s="3" t="inlineStr">
        <is>
          <t>Checking – Operating</t>
        </is>
      </c>
      <c r="M1101" s="3" t="inlineStr">
        <is>
          <t>Balance Sheet</t>
        </is>
      </c>
    </row>
    <row r="1102">
      <c r="B1102" s="39" t="n">
        <v>46255</v>
      </c>
      <c r="C1102" s="3" t="inlineStr">
        <is>
          <t>Payroll Check</t>
        </is>
      </c>
      <c r="D1102" s="3" t="inlineStr"/>
      <c r="E1102" s="3" t="inlineStr">
        <is>
          <t>Tessarand Payroll Services</t>
        </is>
      </c>
      <c r="F1102" s="3" t="inlineStr">
        <is>
          <t>Payroll processing fee</t>
        </is>
      </c>
      <c r="G1102" s="3" t="inlineStr">
        <is>
          <t>Payroll Processing Fee</t>
        </is>
      </c>
      <c r="H1102" s="3" t="inlineStr">
        <is>
          <t>Checking – Operating</t>
        </is>
      </c>
      <c r="I1102" s="33" t="n">
        <v>-156.31</v>
      </c>
      <c r="J1102" s="13">
        <f>+J1101+I1102</f>
        <v>2180706.2</v>
      </c>
      <c r="K1102" s="19">
        <f>+EOMONTH(B1102,0)</f>
        <v>46265</v>
      </c>
      <c r="L1102" s="3" t="inlineStr">
        <is>
          <t>Checking – Operating</t>
        </is>
      </c>
      <c r="M1102" s="3" t="inlineStr">
        <is>
          <t>Balance Sheet</t>
        </is>
      </c>
    </row>
    <row r="1103">
      <c r="B1103" s="39" t="n">
        <v>46256</v>
      </c>
      <c r="C1103" s="3" t="inlineStr">
        <is>
          <t>Deposit</t>
        </is>
      </c>
      <c r="D1103" s="3" t="inlineStr"/>
      <c r="E1103" s="3" t="inlineStr">
        <is>
          <t>Silvermoss Senior Living</t>
        </is>
      </c>
      <c r="F1103" s="3" t="inlineStr">
        <is>
          <t>ORIG CO NAME:SILVERMOSS SL ORIG ID:XXXXXX3536 DESC DATE:260822 CO ENTRY DESCR:HCCLAIMPMT SEC:CCD TRACE#:XXXXXXXX7274413 EED:260822 IND ID:</t>
        </is>
      </c>
      <c r="G1103" s="3" t="inlineStr">
        <is>
          <t>Service Income</t>
        </is>
      </c>
      <c r="H1103" s="3" t="inlineStr">
        <is>
          <t>Checking – Operating</t>
        </is>
      </c>
      <c r="I1103" s="33" t="n">
        <v>43850.51</v>
      </c>
      <c r="J1103" s="13">
        <f>+J1102+I1103</f>
        <v>2224556.71</v>
      </c>
      <c r="K1103" s="19">
        <f>+EOMONTH(B1103,0)</f>
        <v>46265</v>
      </c>
      <c r="L1103" s="3" t="inlineStr">
        <is>
          <t>Checking – Operating</t>
        </is>
      </c>
      <c r="M1103" s="3" t="inlineStr">
        <is>
          <t>Balance Sheet</t>
        </is>
      </c>
    </row>
    <row r="1104">
      <c r="B1104" s="39" t="n">
        <v>46256</v>
      </c>
      <c r="C1104" s="3" t="inlineStr">
        <is>
          <t>Expense</t>
        </is>
      </c>
      <c r="D1104" s="3" t="inlineStr"/>
      <c r="E1104" s="3" t="inlineStr"/>
      <c r="F1104" s="3" t="inlineStr">
        <is>
          <t>Taxes and Licenses – August</t>
        </is>
      </c>
      <c r="G1104" s="3" t="inlineStr">
        <is>
          <t>Taxes and Licenses</t>
        </is>
      </c>
      <c r="H1104" s="3" t="inlineStr">
        <is>
          <t>Checking – Operating</t>
        </is>
      </c>
      <c r="I1104" s="33" t="n">
        <v>-406.57</v>
      </c>
      <c r="J1104" s="13">
        <f>+J1103+I1104</f>
        <v>2224150.14</v>
      </c>
      <c r="K1104" s="19">
        <f>+EOMONTH(B1104,0)</f>
        <v>46265</v>
      </c>
      <c r="L1104" s="3" t="inlineStr">
        <is>
          <t>Checking – Operating</t>
        </is>
      </c>
      <c r="M1104" s="3" t="inlineStr">
        <is>
          <t>Balance Sheet</t>
        </is>
      </c>
    </row>
    <row r="1105">
      <c r="B1105" s="39" t="n">
        <v>46256</v>
      </c>
      <c r="C1105" s="3" t="inlineStr">
        <is>
          <t>Journal Entry</t>
        </is>
      </c>
      <c r="D1105" s="3" t="inlineStr"/>
      <c r="E1105" s="3" t="inlineStr"/>
      <c r="F1105" s="3" t="inlineStr">
        <is>
          <t>Bank service charges – August</t>
        </is>
      </c>
      <c r="G1105" s="3" t="inlineStr">
        <is>
          <t>Cash</t>
        </is>
      </c>
      <c r="H1105" s="3" t="inlineStr">
        <is>
          <t>Checking – Operating</t>
        </is>
      </c>
      <c r="I1105" s="33" t="n">
        <v>-679.12</v>
      </c>
      <c r="J1105" s="13">
        <f>+J1104+I1105</f>
        <v>2223471.02</v>
      </c>
      <c r="K1105" s="19">
        <f>+EOMONTH(B1105,0)</f>
        <v>46265</v>
      </c>
      <c r="L1105" s="3" t="inlineStr">
        <is>
          <t>Checking – Operating</t>
        </is>
      </c>
      <c r="M1105" s="3" t="inlineStr">
        <is>
          <t>Balance Sheet</t>
        </is>
      </c>
    </row>
    <row r="1106">
      <c r="B1106" s="39" t="n">
        <v>46256</v>
      </c>
      <c r="C1106" s="3" t="inlineStr">
        <is>
          <t>Journal Entry</t>
        </is>
      </c>
      <c r="D1106" s="3" t="inlineStr"/>
      <c r="E1106" s="3" t="inlineStr">
        <is>
          <t>Halloway Ridge Realty (rent)</t>
        </is>
      </c>
      <c r="F1106" s="3" t="inlineStr">
        <is>
          <t>Landscaping – August</t>
        </is>
      </c>
      <c r="G1106" s="3" t="inlineStr">
        <is>
          <t>Landscaping</t>
        </is>
      </c>
      <c r="H1106" s="3" t="inlineStr">
        <is>
          <t>Checking – Operating</t>
        </is>
      </c>
      <c r="I1106" s="33" t="n">
        <v>-943.22</v>
      </c>
      <c r="J1106" s="13">
        <f>+J1105+I1106</f>
        <v>2222527.8</v>
      </c>
      <c r="K1106" s="19">
        <f>+EOMONTH(B1106,0)</f>
        <v>46265</v>
      </c>
      <c r="L1106" s="3" t="inlineStr">
        <is>
          <t>Checking – Operating</t>
        </is>
      </c>
      <c r="M1106" s="3" t="inlineStr">
        <is>
          <t>Balance Sheet</t>
        </is>
      </c>
    </row>
    <row r="1107">
      <c r="B1107" s="39" t="n">
        <v>46257</v>
      </c>
      <c r="C1107" s="3" t="inlineStr">
        <is>
          <t>Bill Payment (Check)</t>
        </is>
      </c>
      <c r="D1107" s="3" t="inlineStr"/>
      <c r="E1107" s="3" t="inlineStr">
        <is>
          <t>Vialtrace Lab Supplies Inc</t>
        </is>
      </c>
      <c r="F1107" s="3" t="inlineStr">
        <is>
          <t>Lab Expenses – July</t>
        </is>
      </c>
      <c r="G1107" s="3" t="inlineStr">
        <is>
          <t>Accounts Payable</t>
        </is>
      </c>
      <c r="H1107" s="3" t="inlineStr">
        <is>
          <t>Checking – Operating</t>
        </is>
      </c>
      <c r="I1107" s="33" t="n">
        <v>-4640.49</v>
      </c>
      <c r="J1107" s="13">
        <f>+J1106+I1107</f>
        <v>2217887.31</v>
      </c>
      <c r="K1107" s="19">
        <f>+EOMONTH(B1107,0)</f>
        <v>46265</v>
      </c>
      <c r="L1107" s="3" t="inlineStr">
        <is>
          <t>Checking – Operating</t>
        </is>
      </c>
      <c r="M1107" s="3" t="inlineStr">
        <is>
          <t>Balance Sheet</t>
        </is>
      </c>
    </row>
    <row r="1108">
      <c r="B1108" s="39" t="n">
        <v>46257</v>
      </c>
      <c r="C1108" s="3" t="inlineStr">
        <is>
          <t>Bill Payment (Check)</t>
        </is>
      </c>
      <c r="D1108" s="3" t="inlineStr"/>
      <c r="E1108" s="3" t="inlineStr">
        <is>
          <t>Reagentix Corp</t>
        </is>
      </c>
      <c r="F1108" s="3" t="inlineStr">
        <is>
          <t>Lab supplies PO# F2903</t>
        </is>
      </c>
      <c r="G1108" s="3" t="inlineStr">
        <is>
          <t>Accounts Payable</t>
        </is>
      </c>
      <c r="H1108" s="3" t="inlineStr">
        <is>
          <t>Checking – Operating</t>
        </is>
      </c>
      <c r="I1108" s="33" t="n">
        <v>-17538.54</v>
      </c>
      <c r="J1108" s="13">
        <f>+J1107+I1108</f>
        <v>2200348.77</v>
      </c>
      <c r="K1108" s="19">
        <f>+EOMONTH(B1108,0)</f>
        <v>46265</v>
      </c>
      <c r="L1108" s="3" t="inlineStr">
        <is>
          <t>Checking – Operating</t>
        </is>
      </c>
      <c r="M1108" s="3" t="inlineStr">
        <is>
          <t>Balance Sheet</t>
        </is>
      </c>
    </row>
    <row r="1109">
      <c r="B1109" s="39" t="n">
        <v>46257</v>
      </c>
      <c r="C1109" s="3" t="inlineStr">
        <is>
          <t>Bill Payment (Check)</t>
        </is>
      </c>
      <c r="D1109" s="3" t="inlineStr"/>
      <c r="E1109" s="3" t="inlineStr">
        <is>
          <t>Lumenlease Equipment</t>
        </is>
      </c>
      <c r="F1109" s="3" t="inlineStr">
        <is>
          <t>Lab Equipment – August</t>
        </is>
      </c>
      <c r="G1109" s="3" t="inlineStr">
        <is>
          <t>Accounts Payable</t>
        </is>
      </c>
      <c r="H1109" s="3" t="inlineStr">
        <is>
          <t>Checking – Operating</t>
        </is>
      </c>
      <c r="I1109" s="33" t="n">
        <v>-2140.57</v>
      </c>
      <c r="J1109" s="13">
        <f>+J1108+I1109</f>
        <v>2198208.2</v>
      </c>
      <c r="K1109" s="19">
        <f>+EOMONTH(B1109,0)</f>
        <v>46265</v>
      </c>
      <c r="L1109" s="3" t="inlineStr">
        <is>
          <t>Checking – Operating</t>
        </is>
      </c>
      <c r="M1109" s="3" t="inlineStr">
        <is>
          <t>Balance Sheet</t>
        </is>
      </c>
    </row>
    <row r="1110">
      <c r="B1110" s="39" t="n">
        <v>46257</v>
      </c>
      <c r="C1110" s="3" t="inlineStr">
        <is>
          <t>Expense</t>
        </is>
      </c>
      <c r="D1110" s="3" t="inlineStr"/>
      <c r="E1110" s="3" t="inlineStr">
        <is>
          <t>Ledgerquill Billing SaaS</t>
        </is>
      </c>
      <c r="F1110" s="3" t="inlineStr">
        <is>
          <t>Lab EMR Service – August</t>
        </is>
      </c>
      <c r="G1110" s="3" t="inlineStr">
        <is>
          <t>Lab EMR Service</t>
        </is>
      </c>
      <c r="H1110" s="3" t="inlineStr">
        <is>
          <t>Checking – Operating</t>
        </is>
      </c>
      <c r="I1110" s="33" t="n">
        <v>-4009.19</v>
      </c>
      <c r="J1110" s="13">
        <f>+J1109+I1110</f>
        <v>2194199.01</v>
      </c>
      <c r="K1110" s="19">
        <f>+EOMONTH(B1110,0)</f>
        <v>46265</v>
      </c>
      <c r="L1110" s="3" t="inlineStr">
        <is>
          <t>Checking – Operating</t>
        </is>
      </c>
      <c r="M1110" s="3" t="inlineStr">
        <is>
          <t>Balance Sheet</t>
        </is>
      </c>
    </row>
    <row r="1111">
      <c r="B1111" s="39" t="n">
        <v>46257</v>
      </c>
      <c r="C1111" s="3" t="inlineStr">
        <is>
          <t>Journal Entry</t>
        </is>
      </c>
      <c r="D1111" s="3" t="inlineStr"/>
      <c r="E1111" s="3" t="inlineStr"/>
      <c r="F1111" s="3" t="inlineStr">
        <is>
          <t>Business Licenses and Permits – August</t>
        </is>
      </c>
      <c r="G1111" s="3" t="inlineStr">
        <is>
          <t>Business Licenses and Permits</t>
        </is>
      </c>
      <c r="H1111" s="3" t="inlineStr">
        <is>
          <t>Checking – Operating</t>
        </is>
      </c>
      <c r="I1111" s="33" t="n">
        <v>-698.41</v>
      </c>
      <c r="J1111" s="13">
        <f>+J1110+I1111</f>
        <v>2193500.6</v>
      </c>
      <c r="K1111" s="19">
        <f>+EOMONTH(B1111,0)</f>
        <v>46265</v>
      </c>
      <c r="L1111" s="3" t="inlineStr">
        <is>
          <t>Checking – Operating</t>
        </is>
      </c>
      <c r="M1111" s="3" t="inlineStr">
        <is>
          <t>Balance Sheet</t>
        </is>
      </c>
    </row>
    <row r="1112">
      <c r="B1112" s="39" t="n">
        <v>46258</v>
      </c>
      <c r="C1112" s="3" t="inlineStr">
        <is>
          <t>Bill Payment (Check)</t>
        </is>
      </c>
      <c r="D1112" s="3" t="inlineStr"/>
      <c r="E1112" s="3" t="inlineStr">
        <is>
          <t>Tarrowmere Mutual Insurance</t>
        </is>
      </c>
      <c r="F1112" s="3" t="inlineStr">
        <is>
          <t>Benefits – August</t>
        </is>
      </c>
      <c r="G1112" s="3" t="inlineStr">
        <is>
          <t>Accounts Payable</t>
        </is>
      </c>
      <c r="H1112" s="3" t="inlineStr">
        <is>
          <t>Checking – Operating</t>
        </is>
      </c>
      <c r="I1112" s="33" t="n">
        <v>-5702.82</v>
      </c>
      <c r="J1112" s="13">
        <f>+J1111+I1112</f>
        <v>2187797.78</v>
      </c>
      <c r="K1112" s="19">
        <f>+EOMONTH(B1112,0)</f>
        <v>46265</v>
      </c>
      <c r="L1112" s="3" t="inlineStr">
        <is>
          <t>Checking – Operating</t>
        </is>
      </c>
      <c r="M1112" s="3" t="inlineStr">
        <is>
          <t>Balance Sheet</t>
        </is>
      </c>
    </row>
    <row r="1113">
      <c r="B1113" s="39" t="n">
        <v>46258</v>
      </c>
      <c r="C1113" s="3" t="inlineStr">
        <is>
          <t>Deposit</t>
        </is>
      </c>
      <c r="D1113" s="3" t="inlineStr"/>
      <c r="E1113" s="3" t="inlineStr">
        <is>
          <t>Lanternway Benefits</t>
        </is>
      </c>
      <c r="F1113" s="3" t="inlineStr">
        <is>
          <t>ORIG CO NAME:LANTERNWAY BEN ORIG ID:XXXXXX2788 DESC DATE:260824 CO ENTRY DESCR:HCCLAIMPMT SEC:CCD TRACE#:XXXXXXXX1959453 EED:260824 IND ID:</t>
        </is>
      </c>
      <c r="G1113" s="3" t="inlineStr">
        <is>
          <t>Service Income</t>
        </is>
      </c>
      <c r="H1113" s="3" t="inlineStr">
        <is>
          <t>Checking – Operating</t>
        </is>
      </c>
      <c r="I1113" s="33" t="n">
        <v>46778.27</v>
      </c>
      <c r="J1113" s="13">
        <f>+J1112+I1113</f>
        <v>2234576.05</v>
      </c>
      <c r="K1113" s="19">
        <f>+EOMONTH(B1113,0)</f>
        <v>46265</v>
      </c>
      <c r="L1113" s="3" t="inlineStr">
        <is>
          <t>Checking – Operating</t>
        </is>
      </c>
      <c r="M1113" s="3" t="inlineStr">
        <is>
          <t>Balance Sheet</t>
        </is>
      </c>
    </row>
    <row r="1114">
      <c r="B1114" s="39" t="n">
        <v>46258</v>
      </c>
      <c r="C1114" s="3" t="inlineStr">
        <is>
          <t>Expense</t>
        </is>
      </c>
      <c r="D1114" s="3" t="inlineStr"/>
      <c r="E1114" s="3" t="inlineStr">
        <is>
          <t>Tessarand Payroll Services</t>
        </is>
      </c>
      <c r="F1114" s="3" t="inlineStr">
        <is>
          <t>Contractors – August</t>
        </is>
      </c>
      <c r="G1114" s="3" t="inlineStr">
        <is>
          <t>Contractors</t>
        </is>
      </c>
      <c r="H1114" s="3" t="inlineStr">
        <is>
          <t>Checking – Operating</t>
        </is>
      </c>
      <c r="I1114" s="33" t="n">
        <v>-4326.85</v>
      </c>
      <c r="J1114" s="13">
        <f>+J1113+I1114</f>
        <v>2230249.2</v>
      </c>
      <c r="K1114" s="19">
        <f>+EOMONTH(B1114,0)</f>
        <v>46265</v>
      </c>
      <c r="L1114" s="3" t="inlineStr">
        <is>
          <t>Checking – Operating</t>
        </is>
      </c>
      <c r="M1114" s="3" t="inlineStr">
        <is>
          <t>Balance Sheet</t>
        </is>
      </c>
    </row>
    <row r="1115">
      <c r="B1115" s="39" t="n">
        <v>46258</v>
      </c>
      <c r="C1115" s="3" t="inlineStr">
        <is>
          <t>Expense</t>
        </is>
      </c>
      <c r="D1115" s="3" t="inlineStr"/>
      <c r="E1115" s="3" t="inlineStr"/>
      <c r="F1115" s="3" t="inlineStr">
        <is>
          <t>Lab Credentialing – August</t>
        </is>
      </c>
      <c r="G1115" s="3" t="inlineStr">
        <is>
          <t>Lab Credentialing</t>
        </is>
      </c>
      <c r="H1115" s="3" t="inlineStr">
        <is>
          <t>Checking – Operating</t>
        </is>
      </c>
      <c r="I1115" s="33" t="n">
        <v>-1121.94</v>
      </c>
      <c r="J1115" s="13">
        <f>+J1114+I1115</f>
        <v>2229127.26</v>
      </c>
      <c r="K1115" s="19">
        <f>+EOMONTH(B1115,0)</f>
        <v>46265</v>
      </c>
      <c r="L1115" s="3" t="inlineStr">
        <is>
          <t>Checking – Operating</t>
        </is>
      </c>
      <c r="M1115" s="3" t="inlineStr">
        <is>
          <t>Balance Sheet</t>
        </is>
      </c>
    </row>
    <row r="1116">
      <c r="B1116" s="39" t="n">
        <v>46259</v>
      </c>
      <c r="C1116" s="3" t="inlineStr">
        <is>
          <t>Bill Payment (Check)</t>
        </is>
      </c>
      <c r="D1116" s="3" t="inlineStr"/>
      <c r="E1116" s="3" t="inlineStr">
        <is>
          <t>Vialtrace Lab Supplies Inc</t>
        </is>
      </c>
      <c r="F1116" s="3" t="inlineStr">
        <is>
          <t>Lab Expenses – July</t>
        </is>
      </c>
      <c r="G1116" s="3" t="inlineStr">
        <is>
          <t>Accounts Payable</t>
        </is>
      </c>
      <c r="H1116" s="3" t="inlineStr">
        <is>
          <t>Checking – Operating</t>
        </is>
      </c>
      <c r="I1116" s="33" t="n">
        <v>-5005.48</v>
      </c>
      <c r="J1116" s="13">
        <f>+J1115+I1116</f>
        <v>2224121.78</v>
      </c>
      <c r="K1116" s="19">
        <f>+EOMONTH(B1116,0)</f>
        <v>46265</v>
      </c>
      <c r="L1116" s="3" t="inlineStr">
        <is>
          <t>Checking – Operating</t>
        </is>
      </c>
      <c r="M1116" s="3" t="inlineStr">
        <is>
          <t>Balance Sheet</t>
        </is>
      </c>
    </row>
    <row r="1117">
      <c r="B1117" s="39" t="n">
        <v>46259</v>
      </c>
      <c r="C1117" s="3" t="inlineStr">
        <is>
          <t>Bill Payment (Check)</t>
        </is>
      </c>
      <c r="D1117" s="3" t="inlineStr"/>
      <c r="E1117" s="3" t="inlineStr">
        <is>
          <t>Vialtrace Lab Supplies Inc</t>
        </is>
      </c>
      <c r="F1117" s="3" t="inlineStr">
        <is>
          <t>Lab Expenses – August</t>
        </is>
      </c>
      <c r="G1117" s="3" t="inlineStr">
        <is>
          <t>Accounts Payable</t>
        </is>
      </c>
      <c r="H1117" s="3" t="inlineStr">
        <is>
          <t>Checking – Operating</t>
        </is>
      </c>
      <c r="I1117" s="33" t="n">
        <v>-3006.32</v>
      </c>
      <c r="J1117" s="13">
        <f>+J1116+I1117</f>
        <v>2221115.46</v>
      </c>
      <c r="K1117" s="19">
        <f>+EOMONTH(B1117,0)</f>
        <v>46265</v>
      </c>
      <c r="L1117" s="3" t="inlineStr">
        <is>
          <t>Checking – Operating</t>
        </is>
      </c>
      <c r="M1117" s="3" t="inlineStr">
        <is>
          <t>Balance Sheet</t>
        </is>
      </c>
    </row>
    <row r="1118">
      <c r="B1118" s="39" t="n">
        <v>46259</v>
      </c>
      <c r="C1118" s="3" t="inlineStr">
        <is>
          <t>Bill Payment (Check)</t>
        </is>
      </c>
      <c r="D1118" s="3" t="inlineStr"/>
      <c r="E1118" s="3" t="inlineStr">
        <is>
          <t>Halloway Ridge Realty (rent)</t>
        </is>
      </c>
      <c r="F1118" s="3" t="inlineStr">
        <is>
          <t>Rent – August</t>
        </is>
      </c>
      <c r="G1118" s="3" t="inlineStr">
        <is>
          <t>Accounts Payable</t>
        </is>
      </c>
      <c r="H1118" s="3" t="inlineStr">
        <is>
          <t>Checking – Operating</t>
        </is>
      </c>
      <c r="I1118" s="33" t="n">
        <v>-9538.280000000001</v>
      </c>
      <c r="J1118" s="13">
        <f>+J1117+I1118</f>
        <v>2211577.18</v>
      </c>
      <c r="K1118" s="19">
        <f>+EOMONTH(B1118,0)</f>
        <v>46265</v>
      </c>
      <c r="L1118" s="3" t="inlineStr">
        <is>
          <t>Checking – Operating</t>
        </is>
      </c>
      <c r="M1118" s="3" t="inlineStr">
        <is>
          <t>Balance Sheet</t>
        </is>
      </c>
    </row>
    <row r="1119">
      <c r="B1119" s="39" t="n">
        <v>46259</v>
      </c>
      <c r="C1119" s="3" t="inlineStr">
        <is>
          <t>Expense</t>
        </is>
      </c>
      <c r="D1119" s="3" t="inlineStr"/>
      <c r="E1119" s="3" t="inlineStr">
        <is>
          <t>Tessarand Payroll Services</t>
        </is>
      </c>
      <c r="F1119" s="3" t="inlineStr">
        <is>
          <t>Sales and Marketing Expenses – August</t>
        </is>
      </c>
      <c r="G1119" s="3" t="inlineStr">
        <is>
          <t>Sales and Marketing Expenses</t>
        </is>
      </c>
      <c r="H1119" s="3" t="inlineStr">
        <is>
          <t>Checking – Operating</t>
        </is>
      </c>
      <c r="I1119" s="33" t="n">
        <v>-16890.29</v>
      </c>
      <c r="J1119" s="13">
        <f>+J1118+I1119</f>
        <v>2194686.89</v>
      </c>
      <c r="K1119" s="19">
        <f>+EOMONTH(B1119,0)</f>
        <v>46265</v>
      </c>
      <c r="L1119" s="3" t="inlineStr">
        <is>
          <t>Checking – Operating</t>
        </is>
      </c>
      <c r="M1119" s="3" t="inlineStr">
        <is>
          <t>Balance Sheet</t>
        </is>
      </c>
    </row>
    <row r="1120">
      <c r="B1120" s="39" t="n">
        <v>46259</v>
      </c>
      <c r="C1120" s="3" t="inlineStr">
        <is>
          <t>Payroll Check</t>
        </is>
      </c>
      <c r="D1120" s="3" t="inlineStr"/>
      <c r="E1120" s="3" t="inlineStr">
        <is>
          <t>Tessarand Payroll Services</t>
        </is>
      </c>
      <c r="F1120" s="3" t="inlineStr">
        <is>
          <t>Payroll – biweekly</t>
        </is>
      </c>
      <c r="G1120" s="3" t="inlineStr">
        <is>
          <t>Salaries and Wages</t>
        </is>
      </c>
      <c r="H1120" s="3" t="inlineStr">
        <is>
          <t>Checking – Operating</t>
        </is>
      </c>
      <c r="I1120" s="33" t="n">
        <v>-152682.07</v>
      </c>
      <c r="J1120" s="13">
        <f>+J1119+I1120</f>
        <v>2042004.82</v>
      </c>
      <c r="K1120" s="19">
        <f>+EOMONTH(B1120,0)</f>
        <v>46265</v>
      </c>
      <c r="L1120" s="3" t="inlineStr">
        <is>
          <t>Checking – Operating</t>
        </is>
      </c>
      <c r="M1120" s="3" t="inlineStr">
        <is>
          <t>Balance Sheet</t>
        </is>
      </c>
    </row>
    <row r="1121">
      <c r="B1121" s="39" t="n">
        <v>46260</v>
      </c>
      <c r="C1121" s="3" t="inlineStr">
        <is>
          <t>Bill Payment (Check)</t>
        </is>
      </c>
      <c r="D1121" s="3" t="inlineStr"/>
      <c r="E1121" s="3" t="inlineStr">
        <is>
          <t>Vialtrace Lab Supplies Inc</t>
        </is>
      </c>
      <c r="F1121" s="3" t="inlineStr">
        <is>
          <t>Lab supplies PO# F2624</t>
        </is>
      </c>
      <c r="G1121" s="3" t="inlineStr">
        <is>
          <t>Accounts Payable</t>
        </is>
      </c>
      <c r="H1121" s="3" t="inlineStr">
        <is>
          <t>Checking – Operating</t>
        </is>
      </c>
      <c r="I1121" s="33" t="n">
        <v>-13307.5</v>
      </c>
      <c r="J1121" s="13">
        <f>+J1120+I1121</f>
        <v>2028697.32</v>
      </c>
      <c r="K1121" s="19">
        <f>+EOMONTH(B1121,0)</f>
        <v>46265</v>
      </c>
      <c r="L1121" s="3" t="inlineStr">
        <is>
          <t>Checking – Operating</t>
        </is>
      </c>
      <c r="M1121" s="3" t="inlineStr">
        <is>
          <t>Balance Sheet</t>
        </is>
      </c>
    </row>
    <row r="1122">
      <c r="B1122" s="39" t="n">
        <v>46260</v>
      </c>
      <c r="C1122" s="3" t="inlineStr">
        <is>
          <t>Bill Payment (Check)</t>
        </is>
      </c>
      <c r="D1122" s="3" t="inlineStr"/>
      <c r="E1122" s="3" t="inlineStr">
        <is>
          <t>Reference Lab A</t>
        </is>
      </c>
      <c r="F1122" s="3" t="inlineStr">
        <is>
          <t>Send-out testing – July</t>
        </is>
      </c>
      <c r="G1122" s="3" t="inlineStr">
        <is>
          <t>Accounts Payable</t>
        </is>
      </c>
      <c r="H1122" s="3" t="inlineStr">
        <is>
          <t>Checking – Operating</t>
        </is>
      </c>
      <c r="I1122" s="33" t="n">
        <v>-27841.75</v>
      </c>
      <c r="J1122" s="13">
        <f>+J1121+I1122</f>
        <v>2000855.57</v>
      </c>
      <c r="K1122" s="19">
        <f>+EOMONTH(B1122,0)</f>
        <v>46265</v>
      </c>
      <c r="L1122" s="3" t="inlineStr">
        <is>
          <t>Checking – Operating</t>
        </is>
      </c>
      <c r="M1122" s="3" t="inlineStr">
        <is>
          <t>Balance Sheet</t>
        </is>
      </c>
    </row>
    <row r="1123">
      <c r="B1123" s="39" t="n">
        <v>46260</v>
      </c>
      <c r="C1123" s="3" t="inlineStr">
        <is>
          <t>Expense</t>
        </is>
      </c>
      <c r="D1123" s="3" t="inlineStr"/>
      <c r="E1123" s="3" t="inlineStr"/>
      <c r="F1123" s="3" t="inlineStr">
        <is>
          <t>Meals and Entertainment – August</t>
        </is>
      </c>
      <c r="G1123" s="3" t="inlineStr">
        <is>
          <t>Meals and Entertainment</t>
        </is>
      </c>
      <c r="H1123" s="3" t="inlineStr">
        <is>
          <t>Checking – Operating</t>
        </is>
      </c>
      <c r="I1123" s="33" t="n">
        <v>-800.01</v>
      </c>
      <c r="J1123" s="13">
        <f>+J1122+I1123</f>
        <v>2000055.56</v>
      </c>
      <c r="K1123" s="19">
        <f>+EOMONTH(B1123,0)</f>
        <v>46265</v>
      </c>
      <c r="L1123" s="3" t="inlineStr">
        <is>
          <t>Checking – Operating</t>
        </is>
      </c>
      <c r="M1123" s="3" t="inlineStr">
        <is>
          <t>Balance Sheet</t>
        </is>
      </c>
    </row>
    <row r="1124">
      <c r="B1124" s="39" t="n">
        <v>46260</v>
      </c>
      <c r="C1124" s="3" t="inlineStr">
        <is>
          <t>Expense</t>
        </is>
      </c>
      <c r="D1124" s="3" t="inlineStr"/>
      <c r="E1124" s="3" t="inlineStr">
        <is>
          <t>Tessarand Payroll Services</t>
        </is>
      </c>
      <c r="F1124" s="3" t="inlineStr">
        <is>
          <t>Sales and Marketing Expenses – August</t>
        </is>
      </c>
      <c r="G1124" s="3" t="inlineStr">
        <is>
          <t>Sales and Marketing Expenses</t>
        </is>
      </c>
      <c r="H1124" s="3" t="inlineStr">
        <is>
          <t>Checking – Operating</t>
        </is>
      </c>
      <c r="I1124" s="33" t="n">
        <v>-9078.98</v>
      </c>
      <c r="J1124" s="13">
        <f>+J1123+I1124</f>
        <v>1990976.58</v>
      </c>
      <c r="K1124" s="19">
        <f>+EOMONTH(B1124,0)</f>
        <v>46265</v>
      </c>
      <c r="L1124" s="3" t="inlineStr">
        <is>
          <t>Checking – Operating</t>
        </is>
      </c>
      <c r="M1124" s="3" t="inlineStr">
        <is>
          <t>Balance Sheet</t>
        </is>
      </c>
    </row>
    <row r="1125">
      <c r="B1125" s="39" t="n">
        <v>46261</v>
      </c>
      <c r="C1125" s="3" t="inlineStr">
        <is>
          <t>Bill Payment (Check)</t>
        </is>
      </c>
      <c r="D1125" s="3" t="inlineStr"/>
      <c r="E1125" s="3" t="inlineStr">
        <is>
          <t>Ledgerquill Billing SaaS</t>
        </is>
      </c>
      <c r="F1125" s="3" t="inlineStr">
        <is>
          <t>Billing Software as a Service – July</t>
        </is>
      </c>
      <c r="G1125" s="3" t="inlineStr">
        <is>
          <t>Accounts Payable</t>
        </is>
      </c>
      <c r="H1125" s="3" t="inlineStr">
        <is>
          <t>Checking – Operating</t>
        </is>
      </c>
      <c r="I1125" s="33" t="n">
        <v>-14171.59</v>
      </c>
      <c r="J1125" s="13">
        <f>+J1124+I1125</f>
        <v>1976804.99</v>
      </c>
      <c r="K1125" s="19">
        <f>+EOMONTH(B1125,0)</f>
        <v>46265</v>
      </c>
      <c r="L1125" s="3" t="inlineStr">
        <is>
          <t>Checking – Operating</t>
        </is>
      </c>
      <c r="M1125" s="3" t="inlineStr">
        <is>
          <t>Balance Sheet</t>
        </is>
      </c>
    </row>
    <row r="1126">
      <c r="B1126" s="39" t="n">
        <v>46261</v>
      </c>
      <c r="C1126" s="3" t="inlineStr">
        <is>
          <t>Credit Card Expense</t>
        </is>
      </c>
      <c r="D1126" s="3" t="inlineStr"/>
      <c r="E1126" s="3" t="inlineStr">
        <is>
          <t>Consultant A</t>
        </is>
      </c>
      <c r="F1126" s="3" t="inlineStr">
        <is>
          <t>Consulting – August</t>
        </is>
      </c>
      <c r="G1126" s="3" t="inlineStr">
        <is>
          <t>Consulting</t>
        </is>
      </c>
      <c r="H1126" s="3" t="inlineStr">
        <is>
          <t>Checking – Operating</t>
        </is>
      </c>
      <c r="I1126" s="33" t="n">
        <v>-3815.85</v>
      </c>
      <c r="J1126" s="13">
        <f>+J1125+I1126</f>
        <v>1972989.14</v>
      </c>
      <c r="K1126" s="19">
        <f>+EOMONTH(B1126,0)</f>
        <v>46265</v>
      </c>
      <c r="L1126" s="3" t="inlineStr">
        <is>
          <t>Checking – Operating</t>
        </is>
      </c>
      <c r="M1126" s="3" t="inlineStr">
        <is>
          <t>Balance Sheet</t>
        </is>
      </c>
    </row>
    <row r="1127">
      <c r="B1127" s="39" t="n">
        <v>46261</v>
      </c>
      <c r="C1127" s="3" t="inlineStr">
        <is>
          <t>Deposit</t>
        </is>
      </c>
      <c r="D1127" s="3" t="inlineStr"/>
      <c r="E1127" s="3" t="inlineStr">
        <is>
          <t>Cobaltmere Health</t>
        </is>
      </c>
      <c r="F1127" s="3" t="inlineStr">
        <is>
          <t>ORIG CO NAME:COBALTMERE HEALTH ORIG ID:XXXXXX7271 DESC DATE:260827 CO ENTRY DESCR:HCCLAIMPMT SEC:CCD TRACE#:XXXXXXXX1248824 EED:260827 IND ID:</t>
        </is>
      </c>
      <c r="G1127" s="3" t="inlineStr">
        <is>
          <t>Service Income</t>
        </is>
      </c>
      <c r="H1127" s="3" t="inlineStr">
        <is>
          <t>Checking – Operating</t>
        </is>
      </c>
      <c r="I1127" s="33" t="n">
        <v>27732.08</v>
      </c>
      <c r="J1127" s="13">
        <f>+J1126+I1127</f>
        <v>2000721.22</v>
      </c>
      <c r="K1127" s="19">
        <f>+EOMONTH(B1127,0)</f>
        <v>46265</v>
      </c>
      <c r="L1127" s="3" t="inlineStr">
        <is>
          <t>Checking – Operating</t>
        </is>
      </c>
      <c r="M1127" s="3" t="inlineStr">
        <is>
          <t>Balance Sheet</t>
        </is>
      </c>
    </row>
    <row r="1128">
      <c r="B1128" s="39" t="n">
        <v>46261</v>
      </c>
      <c r="C1128" s="3" t="inlineStr">
        <is>
          <t>Journal Entry</t>
        </is>
      </c>
      <c r="D1128" s="3" t="inlineStr"/>
      <c r="E1128" s="3" t="inlineStr">
        <is>
          <t>Ledgerquill Billing SaaS</t>
        </is>
      </c>
      <c r="F1128" s="3" t="inlineStr">
        <is>
          <t>Software – August</t>
        </is>
      </c>
      <c r="G1128" s="3" t="inlineStr">
        <is>
          <t>Software</t>
        </is>
      </c>
      <c r="H1128" s="3" t="inlineStr">
        <is>
          <t>Checking – Operating</t>
        </is>
      </c>
      <c r="I1128" s="33" t="n">
        <v>-3191.75</v>
      </c>
      <c r="J1128" s="13">
        <f>+J1127+I1128</f>
        <v>1997529.47</v>
      </c>
      <c r="K1128" s="19">
        <f>+EOMONTH(B1128,0)</f>
        <v>46265</v>
      </c>
      <c r="L1128" s="3" t="inlineStr">
        <is>
          <t>Checking – Operating</t>
        </is>
      </c>
      <c r="M1128" s="3" t="inlineStr">
        <is>
          <t>Balance Sheet</t>
        </is>
      </c>
    </row>
    <row r="1129">
      <c r="B1129" s="39" t="n">
        <v>46262</v>
      </c>
      <c r="C1129" s="3" t="inlineStr">
        <is>
          <t>Bill Payment (Check)</t>
        </is>
      </c>
      <c r="D1129" s="3" t="inlineStr"/>
      <c r="E1129" s="3" t="inlineStr">
        <is>
          <t>Reference Lab A</t>
        </is>
      </c>
      <c r="F1129" s="3" t="inlineStr">
        <is>
          <t>Send-out testing – August</t>
        </is>
      </c>
      <c r="G1129" s="3" t="inlineStr">
        <is>
          <t>Accounts Payable</t>
        </is>
      </c>
      <c r="H1129" s="3" t="inlineStr">
        <is>
          <t>Checking – Operating</t>
        </is>
      </c>
      <c r="I1129" s="33" t="n">
        <v>-13458.75</v>
      </c>
      <c r="J1129" s="13">
        <f>+J1128+I1129</f>
        <v>1984070.72</v>
      </c>
      <c r="K1129" s="19">
        <f>+EOMONTH(B1129,0)</f>
        <v>46265</v>
      </c>
      <c r="L1129" s="3" t="inlineStr">
        <is>
          <t>Checking – Operating</t>
        </is>
      </c>
      <c r="M1129" s="3" t="inlineStr">
        <is>
          <t>Balance Sheet</t>
        </is>
      </c>
    </row>
    <row r="1130">
      <c r="B1130" s="39" t="n">
        <v>46262</v>
      </c>
      <c r="C1130" s="3" t="inlineStr">
        <is>
          <t>Bill Payment (Check)</t>
        </is>
      </c>
      <c r="D1130" s="3" t="inlineStr"/>
      <c r="E1130" s="3" t="inlineStr">
        <is>
          <t>Union Utilities</t>
        </is>
      </c>
      <c r="F1130" s="3" t="inlineStr">
        <is>
          <t>Utilities – August</t>
        </is>
      </c>
      <c r="G1130" s="3" t="inlineStr">
        <is>
          <t>Accounts Payable</t>
        </is>
      </c>
      <c r="H1130" s="3" t="inlineStr">
        <is>
          <t>Checking – Operating</t>
        </is>
      </c>
      <c r="I1130" s="33" t="n">
        <v>-3666.43</v>
      </c>
      <c r="J1130" s="13">
        <f>+J1129+I1130</f>
        <v>1980404.29</v>
      </c>
      <c r="K1130" s="19">
        <f>+EOMONTH(B1130,0)</f>
        <v>46265</v>
      </c>
      <c r="L1130" s="3" t="inlineStr">
        <is>
          <t>Checking – Operating</t>
        </is>
      </c>
      <c r="M1130" s="3" t="inlineStr">
        <is>
          <t>Balance Sheet</t>
        </is>
      </c>
    </row>
    <row r="1131">
      <c r="B1131" s="39" t="n">
        <v>46262</v>
      </c>
      <c r="C1131" s="3" t="inlineStr">
        <is>
          <t>Credit Card Expense</t>
        </is>
      </c>
      <c r="D1131" s="3" t="inlineStr"/>
      <c r="E1131" s="3" t="inlineStr"/>
      <c r="F1131" s="3" t="inlineStr">
        <is>
          <t>Car expense – August</t>
        </is>
      </c>
      <c r="G1131" s="3" t="inlineStr">
        <is>
          <t>Car expense</t>
        </is>
      </c>
      <c r="H1131" s="3" t="inlineStr">
        <is>
          <t>Checking – Operating</t>
        </is>
      </c>
      <c r="I1131" s="33" t="n">
        <v>-530.77</v>
      </c>
      <c r="J1131" s="13">
        <f>+J1130+I1131</f>
        <v>1979873.52</v>
      </c>
      <c r="K1131" s="19">
        <f>+EOMONTH(B1131,0)</f>
        <v>46265</v>
      </c>
      <c r="L1131" s="3" t="inlineStr">
        <is>
          <t>Checking – Operating</t>
        </is>
      </c>
      <c r="M1131" s="3" t="inlineStr">
        <is>
          <t>Balance Sheet</t>
        </is>
      </c>
    </row>
    <row r="1132">
      <c r="B1132" s="39" t="n">
        <v>46262</v>
      </c>
      <c r="C1132" s="3" t="inlineStr">
        <is>
          <t>Journal Entry</t>
        </is>
      </c>
      <c r="D1132" s="3" t="inlineStr"/>
      <c r="E1132" s="3" t="inlineStr"/>
      <c r="F1132" s="3" t="inlineStr">
        <is>
          <t>Automobile Expense – August</t>
        </is>
      </c>
      <c r="G1132" s="3" t="inlineStr">
        <is>
          <t>Automobile Expense</t>
        </is>
      </c>
      <c r="H1132" s="3" t="inlineStr">
        <is>
          <t>Checking – Operating</t>
        </is>
      </c>
      <c r="I1132" s="33" t="n">
        <v>-994.8200000000001</v>
      </c>
      <c r="J1132" s="13">
        <f>+J1131+I1132</f>
        <v>1978878.7</v>
      </c>
      <c r="K1132" s="19">
        <f>+EOMONTH(B1132,0)</f>
        <v>46265</v>
      </c>
      <c r="L1132" s="3" t="inlineStr">
        <is>
          <t>Checking – Operating</t>
        </is>
      </c>
      <c r="M1132" s="3" t="inlineStr">
        <is>
          <t>Balance Sheet</t>
        </is>
      </c>
    </row>
    <row r="1133">
      <c r="B1133" s="39" t="n">
        <v>46263</v>
      </c>
      <c r="C1133" s="3" t="inlineStr">
        <is>
          <t>Bill Payment (Check)</t>
        </is>
      </c>
      <c r="D1133" s="3" t="inlineStr"/>
      <c r="E1133" s="3" t="inlineStr">
        <is>
          <t>Swiftmere Courier</t>
        </is>
      </c>
      <c r="F1133" s="3" t="inlineStr">
        <is>
          <t>Delivery and Transportation – July</t>
        </is>
      </c>
      <c r="G1133" s="3" t="inlineStr">
        <is>
          <t>Accounts Payable</t>
        </is>
      </c>
      <c r="H1133" s="3" t="inlineStr">
        <is>
          <t>Checking – Operating</t>
        </is>
      </c>
      <c r="I1133" s="33" t="n">
        <v>-3632.35</v>
      </c>
      <c r="J1133" s="13">
        <f>+J1132+I1133</f>
        <v>1975246.35</v>
      </c>
      <c r="K1133" s="19">
        <f>+EOMONTH(B1133,0)</f>
        <v>46265</v>
      </c>
      <c r="L1133" s="3" t="inlineStr">
        <is>
          <t>Checking – Operating</t>
        </is>
      </c>
      <c r="M1133" s="3" t="inlineStr">
        <is>
          <t>Balance Sheet</t>
        </is>
      </c>
    </row>
    <row r="1134">
      <c r="B1134" s="39" t="n">
        <v>46263</v>
      </c>
      <c r="C1134" s="3" t="inlineStr">
        <is>
          <t>Bill Payment (Check)</t>
        </is>
      </c>
      <c r="D1134" s="3" t="inlineStr"/>
      <c r="E1134" s="3" t="inlineStr">
        <is>
          <t>Northmoor Waste Services</t>
        </is>
      </c>
      <c r="F1134" s="3" t="inlineStr">
        <is>
          <t>Waste Removal – July</t>
        </is>
      </c>
      <c r="G1134" s="3" t="inlineStr">
        <is>
          <t>Accounts Payable</t>
        </is>
      </c>
      <c r="H1134" s="3" t="inlineStr">
        <is>
          <t>Checking – Operating</t>
        </is>
      </c>
      <c r="I1134" s="33" t="n">
        <v>-652.95</v>
      </c>
      <c r="J1134" s="13">
        <f>+J1133+I1134</f>
        <v>1974593.4</v>
      </c>
      <c r="K1134" s="19">
        <f>+EOMONTH(B1134,0)</f>
        <v>46265</v>
      </c>
      <c r="L1134" s="3" t="inlineStr">
        <is>
          <t>Checking – Operating</t>
        </is>
      </c>
      <c r="M1134" s="3" t="inlineStr">
        <is>
          <t>Balance Sheet</t>
        </is>
      </c>
    </row>
    <row r="1135">
      <c r="B1135" s="39" t="n">
        <v>46263</v>
      </c>
      <c r="C1135" s="3" t="inlineStr">
        <is>
          <t>Credit Card Expense</t>
        </is>
      </c>
      <c r="D1135" s="3" t="inlineStr"/>
      <c r="E1135" s="3" t="inlineStr">
        <is>
          <t>Consultant A</t>
        </is>
      </c>
      <c r="F1135" s="3" t="inlineStr">
        <is>
          <t>Consulting – August</t>
        </is>
      </c>
      <c r="G1135" s="3" t="inlineStr">
        <is>
          <t>Consulting</t>
        </is>
      </c>
      <c r="H1135" s="3" t="inlineStr">
        <is>
          <t>Checking – Operating</t>
        </is>
      </c>
      <c r="I1135" s="33" t="n">
        <v>-2884.15</v>
      </c>
      <c r="J1135" s="13">
        <f>+J1134+I1135</f>
        <v>1971709.25</v>
      </c>
      <c r="K1135" s="19">
        <f>+EOMONTH(B1135,0)</f>
        <v>46265</v>
      </c>
      <c r="L1135" s="3" t="inlineStr">
        <is>
          <t>Checking – Operating</t>
        </is>
      </c>
      <c r="M1135" s="3" t="inlineStr">
        <is>
          <t>Balance Sheet</t>
        </is>
      </c>
    </row>
    <row r="1136">
      <c r="B1136" s="39" t="n">
        <v>46263</v>
      </c>
      <c r="C1136" s="3" t="inlineStr">
        <is>
          <t>Deposit</t>
        </is>
      </c>
      <c r="D1136" s="3" t="inlineStr"/>
      <c r="E1136" s="3" t="inlineStr">
        <is>
          <t>Quayside Choice Senior Plan</t>
        </is>
      </c>
      <c r="F1136" s="3" t="inlineStr">
        <is>
          <t>ORIG CO NAME:QUAYSIDE CHOICE SP ORIG ID:XXXXXX7891 DESC DATE:260829 CO ENTRY DESCR:HCCLAIMPMT SEC:CCD TRACE#:XXXXXXXX3428207 EED:260829 IND ID:</t>
        </is>
      </c>
      <c r="G1136" s="3" t="inlineStr">
        <is>
          <t>Service Income</t>
        </is>
      </c>
      <c r="H1136" s="3" t="inlineStr">
        <is>
          <t>Checking – Operating</t>
        </is>
      </c>
      <c r="I1136" s="33" t="n">
        <v>58510.38</v>
      </c>
      <c r="J1136" s="13">
        <f>+J1135+I1136</f>
        <v>2030219.63</v>
      </c>
      <c r="K1136" s="19">
        <f>+EOMONTH(B1136,0)</f>
        <v>46265</v>
      </c>
      <c r="L1136" s="3" t="inlineStr">
        <is>
          <t>Checking – Operating</t>
        </is>
      </c>
      <c r="M1136" s="3" t="inlineStr">
        <is>
          <t>Balance Sheet</t>
        </is>
      </c>
    </row>
    <row r="1137">
      <c r="B1137" s="39" t="n">
        <v>46263</v>
      </c>
      <c r="C1137" s="3" t="inlineStr">
        <is>
          <t>Expense</t>
        </is>
      </c>
      <c r="D1137" s="3" t="inlineStr"/>
      <c r="E1137" s="3" t="inlineStr"/>
      <c r="F1137" s="3" t="inlineStr">
        <is>
          <t>Property tax installment</t>
        </is>
      </c>
      <c r="G1137" s="3" t="inlineStr">
        <is>
          <t>Property tax</t>
        </is>
      </c>
      <c r="H1137" s="3" t="inlineStr">
        <is>
          <t>Checking – Operating</t>
        </is>
      </c>
      <c r="I1137" s="33" t="n">
        <v>-1282.59</v>
      </c>
      <c r="J1137" s="13">
        <f>+J1136+I1137</f>
        <v>2028937.04</v>
      </c>
      <c r="K1137" s="19">
        <f>+EOMONTH(B1137,0)</f>
        <v>46265</v>
      </c>
      <c r="L1137" s="3" t="inlineStr">
        <is>
          <t>Checking – Operating</t>
        </is>
      </c>
      <c r="M1137" s="3" t="inlineStr">
        <is>
          <t>Balance Sheet</t>
        </is>
      </c>
    </row>
    <row r="1138">
      <c r="B1138" s="39" t="n">
        <v>46263</v>
      </c>
      <c r="C1138" s="3" t="inlineStr">
        <is>
          <t>Expense</t>
        </is>
      </c>
      <c r="D1138" s="3" t="inlineStr"/>
      <c r="E1138" s="3" t="inlineStr">
        <is>
          <t>Ledgerquill Billing SaaS</t>
        </is>
      </c>
      <c r="F1138" s="3" t="inlineStr">
        <is>
          <t>Software – August</t>
        </is>
      </c>
      <c r="G1138" s="3" t="inlineStr">
        <is>
          <t>Software</t>
        </is>
      </c>
      <c r="H1138" s="3" t="inlineStr">
        <is>
          <t>Checking – Operating</t>
        </is>
      </c>
      <c r="I1138" s="33" t="n">
        <v>-2568.25</v>
      </c>
      <c r="J1138" s="13">
        <f>+J1137+I1138</f>
        <v>2026368.79</v>
      </c>
      <c r="K1138" s="19">
        <f>+EOMONTH(B1138,0)</f>
        <v>46265</v>
      </c>
      <c r="L1138" s="3" t="inlineStr">
        <is>
          <t>Checking – Operating</t>
        </is>
      </c>
      <c r="M1138" s="3" t="inlineStr">
        <is>
          <t>Balance Sheet</t>
        </is>
      </c>
    </row>
    <row r="1139">
      <c r="B1139" s="39" t="n">
        <v>46264</v>
      </c>
      <c r="C1139" s="3" t="inlineStr">
        <is>
          <t>Bill Payment (Check)</t>
        </is>
      </c>
      <c r="D1139" s="3" t="inlineStr"/>
      <c r="E1139" s="3" t="inlineStr">
        <is>
          <t>Northmoor Waste Services</t>
        </is>
      </c>
      <c r="F1139" s="3" t="inlineStr">
        <is>
          <t>Hazard Waste – August</t>
        </is>
      </c>
      <c r="G1139" s="3" t="inlineStr">
        <is>
          <t>Accounts Payable</t>
        </is>
      </c>
      <c r="H1139" s="3" t="inlineStr">
        <is>
          <t>Checking – Operating</t>
        </is>
      </c>
      <c r="I1139" s="33" t="n">
        <v>-877.83</v>
      </c>
      <c r="J1139" s="13">
        <f>+J1138+I1139</f>
        <v>2025490.96</v>
      </c>
      <c r="K1139" s="19">
        <f>+EOMONTH(B1139,0)</f>
        <v>46265</v>
      </c>
      <c r="L1139" s="3" t="inlineStr">
        <is>
          <t>Checking – Operating</t>
        </is>
      </c>
      <c r="M1139" s="3" t="inlineStr">
        <is>
          <t>Balance Sheet</t>
        </is>
      </c>
    </row>
    <row r="1140">
      <c r="B1140" s="39" t="n">
        <v>46264</v>
      </c>
      <c r="C1140" s="3" t="inlineStr">
        <is>
          <t>Credit Card Expense</t>
        </is>
      </c>
      <c r="D1140" s="3" t="inlineStr"/>
      <c r="E1140" s="3" t="inlineStr">
        <is>
          <t>Ledgerquill Billing SaaS</t>
        </is>
      </c>
      <c r="F1140" s="3" t="inlineStr">
        <is>
          <t>Interface Service – August</t>
        </is>
      </c>
      <c r="G1140" s="3" t="inlineStr">
        <is>
          <t>Interface Service</t>
        </is>
      </c>
      <c r="H1140" s="3" t="inlineStr">
        <is>
          <t>Checking – Operating</t>
        </is>
      </c>
      <c r="I1140" s="33" t="n">
        <v>-1244.26</v>
      </c>
      <c r="J1140" s="13">
        <f>+J1139+I1140</f>
        <v>2024246.7</v>
      </c>
      <c r="K1140" s="19">
        <f>+EOMONTH(B1140,0)</f>
        <v>46265</v>
      </c>
      <c r="L1140" s="3" t="inlineStr">
        <is>
          <t>Checking – Operating</t>
        </is>
      </c>
      <c r="M1140" s="3" t="inlineStr">
        <is>
          <t>Balance Sheet</t>
        </is>
      </c>
    </row>
    <row r="1141">
      <c r="B1141" s="39" t="n">
        <v>46264</v>
      </c>
      <c r="C1141" s="3" t="inlineStr">
        <is>
          <t>Deposit</t>
        </is>
      </c>
      <c r="D1141" s="3" t="inlineStr"/>
      <c r="E1141" s="3" t="inlineStr">
        <is>
          <t>Vantrelle Health Plan</t>
        </is>
      </c>
      <c r="F1141" s="3" t="inlineStr">
        <is>
          <t>ORIG CO NAME:VANTRELLE HP ORIG ID:XXXXXX5258 DESC DATE:260830 CO ENTRY DESCR:HCCLAIMPMT SEC:CCD TRACE#:XXXXXXXX9234871 EED:260830 IND ID:</t>
        </is>
      </c>
      <c r="G1141" s="3" t="inlineStr">
        <is>
          <t>Service Income</t>
        </is>
      </c>
      <c r="H1141" s="3" t="inlineStr">
        <is>
          <t>Checking – Operating</t>
        </is>
      </c>
      <c r="I1141" s="33" t="n">
        <v>179492.86</v>
      </c>
      <c r="J1141" s="13">
        <f>+J1140+I1141</f>
        <v>2203739.56</v>
      </c>
      <c r="K1141" s="19">
        <f>+EOMONTH(B1141,0)</f>
        <v>46265</v>
      </c>
      <c r="L1141" s="3" t="inlineStr">
        <is>
          <t>Checking – Operating</t>
        </is>
      </c>
      <c r="M1141" s="3" t="inlineStr">
        <is>
          <t>Balance Sheet</t>
        </is>
      </c>
    </row>
    <row r="1142">
      <c r="B1142" s="39" t="n">
        <v>46264</v>
      </c>
      <c r="C1142" s="3" t="inlineStr">
        <is>
          <t>Journal Entry</t>
        </is>
      </c>
      <c r="D1142" s="3" t="inlineStr"/>
      <c r="E1142" s="3" t="inlineStr">
        <is>
          <t>Consultant A</t>
        </is>
      </c>
      <c r="F1142" s="3" t="inlineStr">
        <is>
          <t>Legal &amp; Professional Fees – August</t>
        </is>
      </c>
      <c r="G1142" s="3" t="inlineStr">
        <is>
          <t>Legal &amp; Professional Fees</t>
        </is>
      </c>
      <c r="H1142" s="3" t="inlineStr">
        <is>
          <t>Checking – Operating</t>
        </is>
      </c>
      <c r="I1142" s="33" t="n">
        <v>-1553.41</v>
      </c>
      <c r="J1142" s="13">
        <f>+J1141+I1142</f>
        <v>2202186.15</v>
      </c>
      <c r="K1142" s="19">
        <f>+EOMONTH(B1142,0)</f>
        <v>46265</v>
      </c>
      <c r="L1142" s="3" t="inlineStr">
        <is>
          <t>Checking – Operating</t>
        </is>
      </c>
      <c r="M1142" s="3" t="inlineStr">
        <is>
          <t>Balance Sheet</t>
        </is>
      </c>
    </row>
    <row r="1143">
      <c r="B1143" s="39" t="n">
        <v>46265</v>
      </c>
      <c r="C1143" s="3" t="inlineStr">
        <is>
          <t>Bill Payment (Check)</t>
        </is>
      </c>
      <c r="D1143" s="3" t="inlineStr"/>
      <c r="E1143" s="3" t="inlineStr">
        <is>
          <t>Tarrowmere Mutual Insurance</t>
        </is>
      </c>
      <c r="F1143" s="3" t="inlineStr">
        <is>
          <t>Premium installment</t>
        </is>
      </c>
      <c r="G1143" s="3" t="inlineStr">
        <is>
          <t>Accounts Payable</t>
        </is>
      </c>
      <c r="H1143" s="3" t="inlineStr">
        <is>
          <t>Checking – Operating</t>
        </is>
      </c>
      <c r="I1143" s="33" t="n">
        <v>-5473.21</v>
      </c>
      <c r="J1143" s="13">
        <f>+J1142+I1143</f>
        <v>2196712.94</v>
      </c>
      <c r="K1143" s="19">
        <f>+EOMONTH(B1143,0)</f>
        <v>46265</v>
      </c>
      <c r="L1143" s="3" t="inlineStr">
        <is>
          <t>Checking – Operating</t>
        </is>
      </c>
      <c r="M1143" s="3" t="inlineStr">
        <is>
          <t>Balance Sheet</t>
        </is>
      </c>
    </row>
    <row r="1144">
      <c r="B1144" s="39" t="n">
        <v>46265</v>
      </c>
      <c r="C1144" s="3" t="inlineStr">
        <is>
          <t>Expense</t>
        </is>
      </c>
      <c r="D1144" s="3" t="inlineStr"/>
      <c r="E1144" s="3" t="inlineStr">
        <is>
          <t>Union Utilities</t>
        </is>
      </c>
      <c r="F1144" s="3" t="inlineStr">
        <is>
          <t>Fax Service – August</t>
        </is>
      </c>
      <c r="G1144" s="3" t="inlineStr">
        <is>
          <t>Fax Service</t>
        </is>
      </c>
      <c r="H1144" s="3" t="inlineStr">
        <is>
          <t>Checking – Operating</t>
        </is>
      </c>
      <c r="I1144" s="33" t="n">
        <v>-534.9</v>
      </c>
      <c r="J1144" s="13">
        <f>+J1143+I1144</f>
        <v>2196178.04</v>
      </c>
      <c r="K1144" s="19">
        <f>+EOMONTH(B1144,0)</f>
        <v>46265</v>
      </c>
      <c r="L1144" s="3" t="inlineStr">
        <is>
          <t>Checking – Operating</t>
        </is>
      </c>
      <c r="M1144" s="3" t="inlineStr">
        <is>
          <t>Balance Sheet</t>
        </is>
      </c>
    </row>
    <row r="1145">
      <c r="B1145" s="39" t="n">
        <v>46265</v>
      </c>
      <c r="C1145" s="3" t="inlineStr">
        <is>
          <t>Journal Entry</t>
        </is>
      </c>
      <c r="D1145" s="3" t="inlineStr"/>
      <c r="E1145" s="3" t="inlineStr">
        <is>
          <t>Vialtrace Lab Supplies Inc</t>
        </is>
      </c>
      <c r="F1145" s="3" t="inlineStr">
        <is>
          <t>Office Supplies – August</t>
        </is>
      </c>
      <c r="G1145" s="3" t="inlineStr">
        <is>
          <t>Office Supplies</t>
        </is>
      </c>
      <c r="H1145" s="3" t="inlineStr">
        <is>
          <t>Checking – Operating</t>
        </is>
      </c>
      <c r="I1145" s="33" t="n">
        <v>-1592.39</v>
      </c>
      <c r="J1145" s="13">
        <f>+J1144+I1145</f>
        <v>2194585.65</v>
      </c>
      <c r="K1145" s="19">
        <f>+EOMONTH(B1145,0)</f>
        <v>46265</v>
      </c>
      <c r="L1145" s="3" t="inlineStr">
        <is>
          <t>Checking – Operating</t>
        </is>
      </c>
      <c r="M1145" s="3" t="inlineStr">
        <is>
          <t>Balance Sheet</t>
        </is>
      </c>
    </row>
    <row r="1146">
      <c r="B1146" s="39" t="n">
        <v>46266</v>
      </c>
      <c r="C1146" s="3" t="inlineStr">
        <is>
          <t>Bill Payment (Check)</t>
        </is>
      </c>
      <c r="D1146" s="3" t="inlineStr"/>
      <c r="E1146" s="3" t="inlineStr">
        <is>
          <t>Halloway Ridge Realty (rent)</t>
        </is>
      </c>
      <c r="F1146" s="3" t="inlineStr">
        <is>
          <t>Rent – July</t>
        </is>
      </c>
      <c r="G1146" s="3" t="inlineStr">
        <is>
          <t>Accounts Payable</t>
        </is>
      </c>
      <c r="H1146" s="3" t="inlineStr">
        <is>
          <t>Checking – Operating</t>
        </is>
      </c>
      <c r="I1146" s="33" t="n">
        <v>-12225.76</v>
      </c>
      <c r="J1146" s="13">
        <f>+J1145+I1146</f>
        <v>2182359.89</v>
      </c>
      <c r="K1146" s="19">
        <f>+EOMONTH(B1146,0)</f>
        <v>46295</v>
      </c>
      <c r="L1146" s="3" t="inlineStr">
        <is>
          <t>Checking – Operating</t>
        </is>
      </c>
      <c r="M1146" s="3" t="inlineStr">
        <is>
          <t>Balance Sheet</t>
        </is>
      </c>
    </row>
    <row r="1147">
      <c r="B1147" s="39" t="n">
        <v>46266</v>
      </c>
      <c r="C1147" s="3" t="inlineStr">
        <is>
          <t>Credit Card Expense</t>
        </is>
      </c>
      <c r="D1147" s="3" t="inlineStr"/>
      <c r="E1147" s="3" t="inlineStr">
        <is>
          <t>Reagentix Corp</t>
        </is>
      </c>
      <c r="F1147" s="3" t="inlineStr">
        <is>
          <t>QAQC – September</t>
        </is>
      </c>
      <c r="G1147" s="3" t="inlineStr">
        <is>
          <t>QAQC</t>
        </is>
      </c>
      <c r="H1147" s="3" t="inlineStr">
        <is>
          <t>Checking – Operating</t>
        </is>
      </c>
      <c r="I1147" s="33" t="n">
        <v>-2201.64</v>
      </c>
      <c r="J1147" s="13">
        <f>+J1146+I1147</f>
        <v>2180158.25</v>
      </c>
      <c r="K1147" s="19">
        <f>+EOMONTH(B1147,0)</f>
        <v>46295</v>
      </c>
      <c r="L1147" s="3" t="inlineStr">
        <is>
          <t>Checking – Operating</t>
        </is>
      </c>
      <c r="M1147" s="3" t="inlineStr">
        <is>
          <t>Balance Sheet</t>
        </is>
      </c>
    </row>
    <row r="1148">
      <c r="B1148" s="39" t="n">
        <v>46266</v>
      </c>
      <c r="C1148" s="3" t="inlineStr">
        <is>
          <t>Expense</t>
        </is>
      </c>
      <c r="D1148" s="3" t="inlineStr"/>
      <c r="E1148" s="3" t="inlineStr"/>
      <c r="F1148" s="3" t="inlineStr">
        <is>
          <t>Car expense – September</t>
        </is>
      </c>
      <c r="G1148" s="3" t="inlineStr">
        <is>
          <t>Car expense</t>
        </is>
      </c>
      <c r="H1148" s="3" t="inlineStr">
        <is>
          <t>Checking – Operating</t>
        </is>
      </c>
      <c r="I1148" s="33" t="n">
        <v>-1382.89</v>
      </c>
      <c r="J1148" s="13">
        <f>+J1147+I1148</f>
        <v>2178775.36</v>
      </c>
      <c r="K1148" s="19">
        <f>+EOMONTH(B1148,0)</f>
        <v>46295</v>
      </c>
      <c r="L1148" s="3" t="inlineStr">
        <is>
          <t>Checking – Operating</t>
        </is>
      </c>
      <c r="M1148" s="3" t="inlineStr">
        <is>
          <t>Balance Sheet</t>
        </is>
      </c>
    </row>
    <row r="1149">
      <c r="B1149" s="39" t="n">
        <v>46266</v>
      </c>
      <c r="C1149" s="3" t="inlineStr">
        <is>
          <t>Journal Entry</t>
        </is>
      </c>
      <c r="D1149" s="3" t="inlineStr"/>
      <c r="E1149" s="3" t="inlineStr">
        <is>
          <t>Ledgerquill Billing SaaS</t>
        </is>
      </c>
      <c r="F1149" s="3" t="inlineStr">
        <is>
          <t>Dues &amp; Subscriptions – September</t>
        </is>
      </c>
      <c r="G1149" s="3" t="inlineStr">
        <is>
          <t>Dues &amp; Subscriptions</t>
        </is>
      </c>
      <c r="H1149" s="3" t="inlineStr">
        <is>
          <t>Checking – Operating</t>
        </is>
      </c>
      <c r="I1149" s="33" t="n">
        <v>-833.27</v>
      </c>
      <c r="J1149" s="13">
        <f>+J1148+I1149</f>
        <v>2177942.09</v>
      </c>
      <c r="K1149" s="19">
        <f>+EOMONTH(B1149,0)</f>
        <v>46295</v>
      </c>
      <c r="L1149" s="3" t="inlineStr">
        <is>
          <t>Checking – Operating</t>
        </is>
      </c>
      <c r="M1149" s="3" t="inlineStr">
        <is>
          <t>Balance Sheet</t>
        </is>
      </c>
    </row>
    <row r="1150">
      <c r="B1150" s="39" t="n">
        <v>46267</v>
      </c>
      <c r="C1150" s="3" t="inlineStr">
        <is>
          <t>Bill Payment (Check)</t>
        </is>
      </c>
      <c r="D1150" s="3" t="inlineStr"/>
      <c r="E1150" s="3" t="inlineStr">
        <is>
          <t>Halloway Ridge Realty (rent)</t>
        </is>
      </c>
      <c r="F1150" s="3" t="inlineStr">
        <is>
          <t>Rent – July</t>
        </is>
      </c>
      <c r="G1150" s="3" t="inlineStr">
        <is>
          <t>Accounts Payable</t>
        </is>
      </c>
      <c r="H1150" s="3" t="inlineStr">
        <is>
          <t>Checking – Operating</t>
        </is>
      </c>
      <c r="I1150" s="33" t="n">
        <v>-14612.94</v>
      </c>
      <c r="J1150" s="13">
        <f>+J1149+I1150</f>
        <v>2163329.15</v>
      </c>
      <c r="K1150" s="19">
        <f>+EOMONTH(B1150,0)</f>
        <v>46295</v>
      </c>
      <c r="L1150" s="3" t="inlineStr">
        <is>
          <t>Checking – Operating</t>
        </is>
      </c>
      <c r="M1150" s="3" t="inlineStr">
        <is>
          <t>Balance Sheet</t>
        </is>
      </c>
    </row>
    <row r="1151">
      <c r="B1151" s="39" t="n">
        <v>46267</v>
      </c>
      <c r="C1151" s="3" t="inlineStr">
        <is>
          <t>Journal Entry</t>
        </is>
      </c>
      <c r="D1151" s="3" t="inlineStr"/>
      <c r="E1151" s="3" t="inlineStr"/>
      <c r="F1151" s="3" t="inlineStr">
        <is>
          <t>Bank service charges – September</t>
        </is>
      </c>
      <c r="G1151" s="3" t="inlineStr">
        <is>
          <t>Bank Fees</t>
        </is>
      </c>
      <c r="H1151" s="3" t="inlineStr">
        <is>
          <t>Checking – Operating</t>
        </is>
      </c>
      <c r="I1151" s="33" t="n">
        <v>-2272.65</v>
      </c>
      <c r="J1151" s="13">
        <f>+J1150+I1151</f>
        <v>2161056.5</v>
      </c>
      <c r="K1151" s="19">
        <f>+EOMONTH(B1151,0)</f>
        <v>46295</v>
      </c>
      <c r="L1151" s="3" t="inlineStr">
        <is>
          <t>Checking – Operating</t>
        </is>
      </c>
      <c r="M1151" s="3" t="inlineStr">
        <is>
          <t>Balance Sheet</t>
        </is>
      </c>
    </row>
    <row r="1152">
      <c r="B1152" s="39" t="n">
        <v>46267</v>
      </c>
      <c r="C1152" s="3" t="inlineStr">
        <is>
          <t>Payroll Check</t>
        </is>
      </c>
      <c r="D1152" s="3" t="inlineStr"/>
      <c r="E1152" s="3" t="inlineStr">
        <is>
          <t>Tessarand Payroll Services</t>
        </is>
      </c>
      <c r="F1152" s="3" t="inlineStr">
        <is>
          <t>Payroll taxes – biweekly</t>
        </is>
      </c>
      <c r="G1152" s="3" t="inlineStr">
        <is>
          <t>Payroll Taxes</t>
        </is>
      </c>
      <c r="H1152" s="3" t="inlineStr">
        <is>
          <t>Checking – Operating</t>
        </is>
      </c>
      <c r="I1152" s="33" t="n">
        <v>-1305.4</v>
      </c>
      <c r="J1152" s="13">
        <f>+J1151+I1152</f>
        <v>2159751.1</v>
      </c>
      <c r="K1152" s="19">
        <f>+EOMONTH(B1152,0)</f>
        <v>46295</v>
      </c>
      <c r="L1152" s="3" t="inlineStr">
        <is>
          <t>Checking – Operating</t>
        </is>
      </c>
      <c r="M1152" s="3" t="inlineStr">
        <is>
          <t>Balance Sheet</t>
        </is>
      </c>
    </row>
    <row r="1153">
      <c r="B1153" s="39" t="n">
        <v>46268</v>
      </c>
      <c r="C1153" s="3" t="inlineStr">
        <is>
          <t>Bill Payment (Check)</t>
        </is>
      </c>
      <c r="D1153" s="3" t="inlineStr"/>
      <c r="E1153" s="3" t="inlineStr">
        <is>
          <t>Vialtrace Lab Supplies Inc</t>
        </is>
      </c>
      <c r="F1153" s="3" t="inlineStr">
        <is>
          <t>Lab Expenses – August</t>
        </is>
      </c>
      <c r="G1153" s="3" t="inlineStr">
        <is>
          <t>Accounts Payable</t>
        </is>
      </c>
      <c r="H1153" s="3" t="inlineStr">
        <is>
          <t>Checking – Operating</t>
        </is>
      </c>
      <c r="I1153" s="33" t="n">
        <v>-3475.54</v>
      </c>
      <c r="J1153" s="13">
        <f>+J1152+I1153</f>
        <v>2156275.56</v>
      </c>
      <c r="K1153" s="19">
        <f>+EOMONTH(B1153,0)</f>
        <v>46295</v>
      </c>
      <c r="L1153" s="3" t="inlineStr">
        <is>
          <t>Checking – Operating</t>
        </is>
      </c>
      <c r="M1153" s="3" t="inlineStr">
        <is>
          <t>Balance Sheet</t>
        </is>
      </c>
    </row>
    <row r="1154">
      <c r="B1154" s="39" t="n">
        <v>46268</v>
      </c>
      <c r="C1154" s="3" t="inlineStr">
        <is>
          <t>Bill Payment (Check)</t>
        </is>
      </c>
      <c r="D1154" s="3" t="inlineStr"/>
      <c r="E1154" s="3" t="inlineStr">
        <is>
          <t>Northmoor Waste Services</t>
        </is>
      </c>
      <c r="F1154" s="3" t="inlineStr">
        <is>
          <t>Waste Removal – August</t>
        </is>
      </c>
      <c r="G1154" s="3" t="inlineStr">
        <is>
          <t>Accounts Payable</t>
        </is>
      </c>
      <c r="H1154" s="3" t="inlineStr">
        <is>
          <t>Checking – Operating</t>
        </is>
      </c>
      <c r="I1154" s="33" t="n">
        <v>-505.09</v>
      </c>
      <c r="J1154" s="13">
        <f>+J1153+I1154</f>
        <v>2155770.47</v>
      </c>
      <c r="K1154" s="19">
        <f>+EOMONTH(B1154,0)</f>
        <v>46295</v>
      </c>
      <c r="L1154" s="3" t="inlineStr">
        <is>
          <t>Checking – Operating</t>
        </is>
      </c>
      <c r="M1154" s="3" t="inlineStr">
        <is>
          <t>Balance Sheet</t>
        </is>
      </c>
    </row>
    <row r="1155">
      <c r="B1155" s="39" t="n">
        <v>46268</v>
      </c>
      <c r="C1155" s="3" t="inlineStr">
        <is>
          <t>Credit Card Expense</t>
        </is>
      </c>
      <c r="D1155" s="3" t="inlineStr"/>
      <c r="E1155" s="3" t="inlineStr">
        <is>
          <t>Union Utilities</t>
        </is>
      </c>
      <c r="F1155" s="3" t="inlineStr">
        <is>
          <t>Fax Service – September</t>
        </is>
      </c>
      <c r="G1155" s="3" t="inlineStr">
        <is>
          <t>Fax Service</t>
        </is>
      </c>
      <c r="H1155" s="3" t="inlineStr">
        <is>
          <t>Checking – Operating</t>
        </is>
      </c>
      <c r="I1155" s="33" t="n">
        <v>-1578.01</v>
      </c>
      <c r="J1155" s="13">
        <f>+J1154+I1155</f>
        <v>2154192.46</v>
      </c>
      <c r="K1155" s="19">
        <f>+EOMONTH(B1155,0)</f>
        <v>46295</v>
      </c>
      <c r="L1155" s="3" t="inlineStr">
        <is>
          <t>Checking – Operating</t>
        </is>
      </c>
      <c r="M1155" s="3" t="inlineStr">
        <is>
          <t>Balance Sheet</t>
        </is>
      </c>
    </row>
    <row r="1156">
      <c r="B1156" s="39" t="n">
        <v>46268</v>
      </c>
      <c r="C1156" s="3" t="inlineStr">
        <is>
          <t>Deposit</t>
        </is>
      </c>
      <c r="D1156" s="3" t="inlineStr"/>
      <c r="E1156" s="3" t="inlineStr">
        <is>
          <t>Federal Program A</t>
        </is>
      </c>
      <c r="F1156" s="3" t="inlineStr">
        <is>
          <t>ORIG CO NAME:FEDERAL PROG A ORIG ID:XXXXXX6482 DESC DATE:260903 CO ENTRY DESCR:HCCLAIMPMT SEC:CCD TRACE#:XXXXXXXX7366391 EED:260903 IND ID:</t>
        </is>
      </c>
      <c r="G1156" s="3" t="inlineStr">
        <is>
          <t>Service Income</t>
        </is>
      </c>
      <c r="H1156" s="3" t="inlineStr">
        <is>
          <t>Checking – Operating</t>
        </is>
      </c>
      <c r="I1156" s="33" t="n">
        <v>72970.25</v>
      </c>
      <c r="J1156" s="13">
        <f>+J1155+I1156</f>
        <v>2227162.71</v>
      </c>
      <c r="K1156" s="19">
        <f>+EOMONTH(B1156,0)</f>
        <v>46295</v>
      </c>
      <c r="L1156" s="3" t="inlineStr">
        <is>
          <t>Checking – Operating</t>
        </is>
      </c>
      <c r="M1156" s="3" t="inlineStr">
        <is>
          <t>Balance Sheet</t>
        </is>
      </c>
    </row>
    <row r="1157">
      <c r="B1157" s="39" t="n">
        <v>46268</v>
      </c>
      <c r="C1157" s="3" t="inlineStr">
        <is>
          <t>Deposit</t>
        </is>
      </c>
      <c r="D1157" s="3" t="inlineStr"/>
      <c r="E1157" s="3" t="inlineStr">
        <is>
          <t>Silvermoss Senior Living</t>
        </is>
      </c>
      <c r="F1157" s="3" t="inlineStr">
        <is>
          <t>ORIG CO NAME:SILVERMOSS SL ORIG ID:XXXXXX1870 DESC DATE:260903 CO ENTRY DESCR:HCCLAIMPMT SEC:CCD TRACE#:XXXXXXXX1973328 EED:260903 IND ID:</t>
        </is>
      </c>
      <c r="G1157" s="3" t="inlineStr">
        <is>
          <t>Service Income</t>
        </is>
      </c>
      <c r="H1157" s="3" t="inlineStr">
        <is>
          <t>Checking – Operating</t>
        </is>
      </c>
      <c r="I1157" s="33" t="n">
        <v>35252.7</v>
      </c>
      <c r="J1157" s="13">
        <f>+J1156+I1157</f>
        <v>2262415.41</v>
      </c>
      <c r="K1157" s="19">
        <f>+EOMONTH(B1157,0)</f>
        <v>46295</v>
      </c>
      <c r="L1157" s="3" t="inlineStr">
        <is>
          <t>Checking – Operating</t>
        </is>
      </c>
      <c r="M1157" s="3" t="inlineStr">
        <is>
          <t>Balance Sheet</t>
        </is>
      </c>
    </row>
    <row r="1158">
      <c r="B1158" s="39" t="n">
        <v>46269</v>
      </c>
      <c r="C1158" s="3" t="inlineStr">
        <is>
          <t>Bill Payment (Check)</t>
        </is>
      </c>
      <c r="D1158" s="3" t="inlineStr"/>
      <c r="E1158" s="3" t="inlineStr">
        <is>
          <t>Northmoor Waste Services</t>
        </is>
      </c>
      <c r="F1158" s="3" t="inlineStr">
        <is>
          <t>Waste Removal – August</t>
        </is>
      </c>
      <c r="G1158" s="3" t="inlineStr">
        <is>
          <t>Accounts Payable</t>
        </is>
      </c>
      <c r="H1158" s="3" t="inlineStr">
        <is>
          <t>Checking – Operating</t>
        </is>
      </c>
      <c r="I1158" s="33" t="n">
        <v>-694.91</v>
      </c>
      <c r="J1158" s="13">
        <f>+J1157+I1158</f>
        <v>2261720.5</v>
      </c>
      <c r="K1158" s="19">
        <f>+EOMONTH(B1158,0)</f>
        <v>46295</v>
      </c>
      <c r="L1158" s="3" t="inlineStr">
        <is>
          <t>Checking – Operating</t>
        </is>
      </c>
      <c r="M1158" s="3" t="inlineStr">
        <is>
          <t>Balance Sheet</t>
        </is>
      </c>
    </row>
    <row r="1159">
      <c r="B1159" s="39" t="n">
        <v>46269</v>
      </c>
      <c r="C1159" s="3" t="inlineStr">
        <is>
          <t>Deposit</t>
        </is>
      </c>
      <c r="D1159" s="3" t="inlineStr"/>
      <c r="E1159" s="3" t="inlineStr">
        <is>
          <t>Marrowby Mutual</t>
        </is>
      </c>
      <c r="F1159" s="3" t="inlineStr">
        <is>
          <t>ORIG CO NAME:MARROWBY MUTUAL ORIG ID:XXXXXX2188 DESC DATE:260904 CO ENTRY DESCR:HCCLAIMPMT SEC:CCD TRACE#:XXXXXXXX1766897 EED:260904 IND ID:</t>
        </is>
      </c>
      <c r="G1159" s="3" t="inlineStr">
        <is>
          <t>Service Income</t>
        </is>
      </c>
      <c r="H1159" s="3" t="inlineStr">
        <is>
          <t>Checking – Operating</t>
        </is>
      </c>
      <c r="I1159" s="33" t="n">
        <v>84277.75</v>
      </c>
      <c r="J1159" s="13">
        <f>+J1158+I1159</f>
        <v>2345998.25</v>
      </c>
      <c r="K1159" s="19">
        <f>+EOMONTH(B1159,0)</f>
        <v>46295</v>
      </c>
      <c r="L1159" s="3" t="inlineStr">
        <is>
          <t>Checking – Operating</t>
        </is>
      </c>
      <c r="M1159" s="3" t="inlineStr">
        <is>
          <t>Balance Sheet</t>
        </is>
      </c>
    </row>
    <row r="1160">
      <c r="B1160" s="39" t="n">
        <v>46269</v>
      </c>
      <c r="C1160" s="3" t="inlineStr">
        <is>
          <t>Expense</t>
        </is>
      </c>
      <c r="D1160" s="3" t="inlineStr"/>
      <c r="E1160" s="3" t="inlineStr">
        <is>
          <t>Vialtrace Lab Supplies Inc</t>
        </is>
      </c>
      <c r="F1160" s="3" t="inlineStr">
        <is>
          <t>Office Supplies – September</t>
        </is>
      </c>
      <c r="G1160" s="3" t="inlineStr">
        <is>
          <t>Office Supplies</t>
        </is>
      </c>
      <c r="H1160" s="3" t="inlineStr">
        <is>
          <t>Checking – Operating</t>
        </is>
      </c>
      <c r="I1160" s="33" t="n">
        <v>-1254.31</v>
      </c>
      <c r="J1160" s="13">
        <f>+J1159+I1160</f>
        <v>2344743.94</v>
      </c>
      <c r="K1160" s="19">
        <f>+EOMONTH(B1160,0)</f>
        <v>46295</v>
      </c>
      <c r="L1160" s="3" t="inlineStr">
        <is>
          <t>Checking – Operating</t>
        </is>
      </c>
      <c r="M1160" s="3" t="inlineStr">
        <is>
          <t>Balance Sheet</t>
        </is>
      </c>
    </row>
    <row r="1161">
      <c r="B1161" s="39" t="n">
        <v>46269</v>
      </c>
      <c r="C1161" s="3" t="inlineStr">
        <is>
          <t>Expense</t>
        </is>
      </c>
      <c r="D1161" s="3" t="inlineStr"/>
      <c r="E1161" s="3" t="inlineStr">
        <is>
          <t>Vialtrace Lab Supplies Inc</t>
        </is>
      </c>
      <c r="F1161" s="3" t="inlineStr">
        <is>
          <t>QAQC – September</t>
        </is>
      </c>
      <c r="G1161" s="3" t="inlineStr">
        <is>
          <t>QAQC</t>
        </is>
      </c>
      <c r="H1161" s="3" t="inlineStr">
        <is>
          <t>Checking – Operating</t>
        </is>
      </c>
      <c r="I1161" s="33" t="n">
        <v>-1681.34</v>
      </c>
      <c r="J1161" s="13">
        <f>+J1160+I1161</f>
        <v>2343062.6</v>
      </c>
      <c r="K1161" s="19">
        <f>+EOMONTH(B1161,0)</f>
        <v>46295</v>
      </c>
      <c r="L1161" s="3" t="inlineStr">
        <is>
          <t>Checking – Operating</t>
        </is>
      </c>
      <c r="M1161" s="3" t="inlineStr">
        <is>
          <t>Balance Sheet</t>
        </is>
      </c>
    </row>
    <row r="1162">
      <c r="B1162" s="39" t="n">
        <v>46269</v>
      </c>
      <c r="C1162" s="3" t="inlineStr">
        <is>
          <t>Payroll Check</t>
        </is>
      </c>
      <c r="D1162" s="3" t="inlineStr"/>
      <c r="E1162" s="3" t="inlineStr">
        <is>
          <t>Tessarand Payroll Services</t>
        </is>
      </c>
      <c r="F1162" s="3" t="inlineStr">
        <is>
          <t>Payroll processing fee</t>
        </is>
      </c>
      <c r="G1162" s="3" t="inlineStr">
        <is>
          <t>Payroll Processing Fee</t>
        </is>
      </c>
      <c r="H1162" s="3" t="inlineStr">
        <is>
          <t>Checking – Operating</t>
        </is>
      </c>
      <c r="I1162" s="33" t="n">
        <v>-162.07</v>
      </c>
      <c r="J1162" s="13">
        <f>+J1161+I1162</f>
        <v>2342900.53</v>
      </c>
      <c r="K1162" s="19">
        <f>+EOMONTH(B1162,0)</f>
        <v>46295</v>
      </c>
      <c r="L1162" s="3" t="inlineStr">
        <is>
          <t>Checking – Operating</t>
        </is>
      </c>
      <c r="M1162" s="3" t="inlineStr">
        <is>
          <t>Balance Sheet</t>
        </is>
      </c>
    </row>
    <row r="1163">
      <c r="B1163" s="39" t="n">
        <v>46270</v>
      </c>
      <c r="C1163" s="3" t="inlineStr">
        <is>
          <t>Bill Payment (Check)</t>
        </is>
      </c>
      <c r="D1163" s="3" t="inlineStr"/>
      <c r="E1163" s="3" t="inlineStr">
        <is>
          <t>Reference Lab A</t>
        </is>
      </c>
      <c r="F1163" s="3" t="inlineStr">
        <is>
          <t>Send-out testing – August</t>
        </is>
      </c>
      <c r="G1163" s="3" t="inlineStr">
        <is>
          <t>Accounts Payable</t>
        </is>
      </c>
      <c r="H1163" s="3" t="inlineStr">
        <is>
          <t>Checking – Operating</t>
        </is>
      </c>
      <c r="I1163" s="33" t="n">
        <v>-9768.67</v>
      </c>
      <c r="J1163" s="13">
        <f>+J1162+I1163</f>
        <v>2333131.86</v>
      </c>
      <c r="K1163" s="19">
        <f>+EOMONTH(B1163,0)</f>
        <v>46295</v>
      </c>
      <c r="L1163" s="3" t="inlineStr">
        <is>
          <t>Checking – Operating</t>
        </is>
      </c>
      <c r="M1163" s="3" t="inlineStr">
        <is>
          <t>Balance Sheet</t>
        </is>
      </c>
    </row>
    <row r="1164">
      <c r="B1164" s="39" t="n">
        <v>46270</v>
      </c>
      <c r="C1164" s="3" t="inlineStr">
        <is>
          <t>Credit Card Expense</t>
        </is>
      </c>
      <c r="D1164" s="3" t="inlineStr"/>
      <c r="E1164" s="3" t="inlineStr">
        <is>
          <t>Lumenlease Equipment</t>
        </is>
      </c>
      <c r="F1164" s="3" t="inlineStr">
        <is>
          <t>Repairs and Maintenance – September</t>
        </is>
      </c>
      <c r="G1164" s="3" t="inlineStr">
        <is>
          <t>Repairs and Maintenance</t>
        </is>
      </c>
      <c r="H1164" s="3" t="inlineStr">
        <is>
          <t>Checking – Operating</t>
        </is>
      </c>
      <c r="I1164" s="33" t="n">
        <v>-5586.04</v>
      </c>
      <c r="J1164" s="13">
        <f>+J1163+I1164</f>
        <v>2327545.82</v>
      </c>
      <c r="K1164" s="19">
        <f>+EOMONTH(B1164,0)</f>
        <v>46295</v>
      </c>
      <c r="L1164" s="3" t="inlineStr">
        <is>
          <t>Checking – Operating</t>
        </is>
      </c>
      <c r="M1164" s="3" t="inlineStr">
        <is>
          <t>Balance Sheet</t>
        </is>
      </c>
    </row>
    <row r="1165">
      <c r="B1165" s="39" t="n">
        <v>46270</v>
      </c>
      <c r="C1165" s="3" t="inlineStr">
        <is>
          <t>Deposit</t>
        </is>
      </c>
      <c r="D1165" s="3" t="inlineStr"/>
      <c r="E1165" s="3" t="inlineStr">
        <is>
          <t>State Program B</t>
        </is>
      </c>
      <c r="F1165" s="3" t="inlineStr">
        <is>
          <t>ORIG CO NAME:STATE PROG B ORIG ID:XXXXXX5815 DESC DATE:260905 CO ENTRY DESCR:HCCLAIMPMT SEC:CCD TRACE#:XXXXXXXX8337588 EED:260905 IND ID:</t>
        </is>
      </c>
      <c r="G1165" s="3" t="inlineStr">
        <is>
          <t>Service Income</t>
        </is>
      </c>
      <c r="H1165" s="3" t="inlineStr">
        <is>
          <t>Checking – Operating</t>
        </is>
      </c>
      <c r="I1165" s="33" t="n">
        <v>70887.47</v>
      </c>
      <c r="J1165" s="13">
        <f>+J1164+I1165</f>
        <v>2398433.29</v>
      </c>
      <c r="K1165" s="19">
        <f>+EOMONTH(B1165,0)</f>
        <v>46295</v>
      </c>
      <c r="L1165" s="3" t="inlineStr">
        <is>
          <t>Checking – Operating</t>
        </is>
      </c>
      <c r="M1165" s="3" t="inlineStr">
        <is>
          <t>Balance Sheet</t>
        </is>
      </c>
    </row>
    <row r="1166">
      <c r="B1166" s="39" t="n">
        <v>46270</v>
      </c>
      <c r="C1166" s="3" t="inlineStr">
        <is>
          <t>Deposit</t>
        </is>
      </c>
      <c r="D1166" s="3" t="inlineStr"/>
      <c r="E1166" s="3" t="inlineStr">
        <is>
          <t>Quayside Choice Senior Plan</t>
        </is>
      </c>
      <c r="F1166" s="3" t="inlineStr">
        <is>
          <t>ORIG CO NAME:QUAYSIDE CHOICE SP ORIG ID:XXXXXX9306 DESC DATE:260905 CO ENTRY DESCR:HCCLAIMPMT SEC:CCD TRACE#:XXXXXXXX2442632 EED:260905 IND ID:</t>
        </is>
      </c>
      <c r="G1166" s="3" t="inlineStr">
        <is>
          <t>Service Income</t>
        </is>
      </c>
      <c r="H1166" s="3" t="inlineStr">
        <is>
          <t>Checking – Operating</t>
        </is>
      </c>
      <c r="I1166" s="33" t="n">
        <v>59194.89</v>
      </c>
      <c r="J1166" s="13">
        <f>+J1165+I1166</f>
        <v>2457628.18</v>
      </c>
      <c r="K1166" s="19">
        <f>+EOMONTH(B1166,0)</f>
        <v>46295</v>
      </c>
      <c r="L1166" s="3" t="inlineStr">
        <is>
          <t>Checking – Operating</t>
        </is>
      </c>
      <c r="M1166" s="3" t="inlineStr">
        <is>
          <t>Balance Sheet</t>
        </is>
      </c>
    </row>
    <row r="1167">
      <c r="B1167" s="39" t="n">
        <v>46270</v>
      </c>
      <c r="C1167" s="3" t="inlineStr">
        <is>
          <t>Expense</t>
        </is>
      </c>
      <c r="D1167" s="3" t="inlineStr"/>
      <c r="E1167" s="3" t="inlineStr">
        <is>
          <t>Swiftmere Courier</t>
        </is>
      </c>
      <c r="F1167" s="3" t="inlineStr">
        <is>
          <t>Postage and Delivery – September</t>
        </is>
      </c>
      <c r="G1167" s="3" t="inlineStr">
        <is>
          <t>Postage and Delivery</t>
        </is>
      </c>
      <c r="H1167" s="3" t="inlineStr">
        <is>
          <t>Checking – Operating</t>
        </is>
      </c>
      <c r="I1167" s="33" t="n">
        <v>-881.9400000000001</v>
      </c>
      <c r="J1167" s="13">
        <f>+J1166+I1167</f>
        <v>2456746.24</v>
      </c>
      <c r="K1167" s="19">
        <f>+EOMONTH(B1167,0)</f>
        <v>46295</v>
      </c>
      <c r="L1167" s="3" t="inlineStr">
        <is>
          <t>Checking – Operating</t>
        </is>
      </c>
      <c r="M1167" s="3" t="inlineStr">
        <is>
          <t>Balance Sheet</t>
        </is>
      </c>
    </row>
    <row r="1168">
      <c r="B1168" s="39" t="n">
        <v>46270</v>
      </c>
      <c r="C1168" s="3" t="inlineStr">
        <is>
          <t>Expense</t>
        </is>
      </c>
      <c r="D1168" s="3" t="inlineStr"/>
      <c r="E1168" s="3" t="inlineStr">
        <is>
          <t>Ledgerquill Billing SaaS</t>
        </is>
      </c>
      <c r="F1168" s="3" t="inlineStr">
        <is>
          <t>Lab EMR Service – September</t>
        </is>
      </c>
      <c r="G1168" s="3" t="inlineStr">
        <is>
          <t>Lab EMR Service</t>
        </is>
      </c>
      <c r="H1168" s="3" t="inlineStr">
        <is>
          <t>Checking – Operating</t>
        </is>
      </c>
      <c r="I1168" s="33" t="n">
        <v>-3887.07</v>
      </c>
      <c r="J1168" s="13">
        <f>+J1167+I1168</f>
        <v>2452859.17</v>
      </c>
      <c r="K1168" s="19">
        <f>+EOMONTH(B1168,0)</f>
        <v>46295</v>
      </c>
      <c r="L1168" s="3" t="inlineStr">
        <is>
          <t>Checking – Operating</t>
        </is>
      </c>
      <c r="M1168" s="3" t="inlineStr">
        <is>
          <t>Balance Sheet</t>
        </is>
      </c>
    </row>
    <row r="1169">
      <c r="B1169" s="39" t="n">
        <v>46270</v>
      </c>
      <c r="C1169" s="3" t="inlineStr">
        <is>
          <t>Journal Entry</t>
        </is>
      </c>
      <c r="D1169" s="3" t="inlineStr"/>
      <c r="E1169" s="3" t="inlineStr"/>
      <c r="F1169" s="3" t="inlineStr">
        <is>
          <t>Parking – September</t>
        </is>
      </c>
      <c r="G1169" s="3" t="inlineStr">
        <is>
          <t>Parking</t>
        </is>
      </c>
      <c r="H1169" s="3" t="inlineStr">
        <is>
          <t>Checking – Operating</t>
        </is>
      </c>
      <c r="I1169" s="33" t="n">
        <v>-920.04</v>
      </c>
      <c r="J1169" s="13">
        <f>+J1168+I1169</f>
        <v>2451939.13</v>
      </c>
      <c r="K1169" s="19">
        <f>+EOMONTH(B1169,0)</f>
        <v>46295</v>
      </c>
      <c r="L1169" s="3" t="inlineStr">
        <is>
          <t>Checking – Operating</t>
        </is>
      </c>
      <c r="M1169" s="3" t="inlineStr">
        <is>
          <t>Balance Sheet</t>
        </is>
      </c>
    </row>
    <row r="1170">
      <c r="B1170" s="39" t="n">
        <v>46271</v>
      </c>
      <c r="C1170" s="3" t="inlineStr">
        <is>
          <t>Bill Payment (Check)</t>
        </is>
      </c>
      <c r="D1170" s="3" t="inlineStr"/>
      <c r="E1170" s="3" t="inlineStr">
        <is>
          <t>Vialtrace Lab Supplies Inc</t>
        </is>
      </c>
      <c r="F1170" s="3" t="inlineStr">
        <is>
          <t>Lab supplies PO# F2815</t>
        </is>
      </c>
      <c r="G1170" s="3" t="inlineStr">
        <is>
          <t>Accounts Payable</t>
        </is>
      </c>
      <c r="H1170" s="3" t="inlineStr">
        <is>
          <t>Checking – Operating</t>
        </is>
      </c>
      <c r="I1170" s="33" t="n">
        <v>-27095.56</v>
      </c>
      <c r="J1170" s="13">
        <f>+J1169+I1170</f>
        <v>2424843.57</v>
      </c>
      <c r="K1170" s="19">
        <f>+EOMONTH(B1170,0)</f>
        <v>46295</v>
      </c>
      <c r="L1170" s="3" t="inlineStr">
        <is>
          <t>Checking – Operating</t>
        </is>
      </c>
      <c r="M1170" s="3" t="inlineStr">
        <is>
          <t>Balance Sheet</t>
        </is>
      </c>
    </row>
    <row r="1171">
      <c r="B1171" s="39" t="n">
        <v>46271</v>
      </c>
      <c r="C1171" s="3" t="inlineStr">
        <is>
          <t>Bill Payment (Check)</t>
        </is>
      </c>
      <c r="D1171" s="3" t="inlineStr"/>
      <c r="E1171" s="3" t="inlineStr">
        <is>
          <t>Reagentix Corp</t>
        </is>
      </c>
      <c r="F1171" s="3" t="inlineStr">
        <is>
          <t>Lab supplies PO# F2654</t>
        </is>
      </c>
      <c r="G1171" s="3" t="inlineStr">
        <is>
          <t>Accounts Payable</t>
        </is>
      </c>
      <c r="H1171" s="3" t="inlineStr">
        <is>
          <t>Checking – Operating</t>
        </is>
      </c>
      <c r="I1171" s="33" t="n">
        <v>-27771.41</v>
      </c>
      <c r="J1171" s="13">
        <f>+J1170+I1171</f>
        <v>2397072.16</v>
      </c>
      <c r="K1171" s="19">
        <f>+EOMONTH(B1171,0)</f>
        <v>46295</v>
      </c>
      <c r="L1171" s="3" t="inlineStr">
        <is>
          <t>Checking – Operating</t>
        </is>
      </c>
      <c r="M1171" s="3" t="inlineStr">
        <is>
          <t>Balance Sheet</t>
        </is>
      </c>
    </row>
    <row r="1172">
      <c r="B1172" s="39" t="n">
        <v>46272</v>
      </c>
      <c r="C1172" s="3" t="inlineStr">
        <is>
          <t>Bill Payment (Check)</t>
        </is>
      </c>
      <c r="D1172" s="3" t="inlineStr"/>
      <c r="E1172" s="3" t="inlineStr">
        <is>
          <t>Vialtrace Lab Supplies Inc</t>
        </is>
      </c>
      <c r="F1172" s="3" t="inlineStr">
        <is>
          <t>Lab supplies PO# F2341</t>
        </is>
      </c>
      <c r="G1172" s="3" t="inlineStr">
        <is>
          <t>Accounts Payable</t>
        </is>
      </c>
      <c r="H1172" s="3" t="inlineStr">
        <is>
          <t>Checking – Operating</t>
        </is>
      </c>
      <c r="I1172" s="33" t="n">
        <v>-15386.99</v>
      </c>
      <c r="J1172" s="13">
        <f>+J1171+I1172</f>
        <v>2381685.17</v>
      </c>
      <c r="K1172" s="19">
        <f>+EOMONTH(B1172,0)</f>
        <v>46295</v>
      </c>
      <c r="L1172" s="3" t="inlineStr">
        <is>
          <t>Checking – Operating</t>
        </is>
      </c>
      <c r="M1172" s="3" t="inlineStr">
        <is>
          <t>Balance Sheet</t>
        </is>
      </c>
    </row>
    <row r="1173">
      <c r="B1173" s="39" t="n">
        <v>46272</v>
      </c>
      <c r="C1173" s="3" t="inlineStr">
        <is>
          <t>Bill Payment (Check)</t>
        </is>
      </c>
      <c r="D1173" s="3" t="inlineStr"/>
      <c r="E1173" s="3" t="inlineStr">
        <is>
          <t>Swiftmere Courier</t>
        </is>
      </c>
      <c r="F1173" s="3" t="inlineStr">
        <is>
          <t>Delivery and Transportation – August</t>
        </is>
      </c>
      <c r="G1173" s="3" t="inlineStr">
        <is>
          <t>Accounts Payable</t>
        </is>
      </c>
      <c r="H1173" s="3" t="inlineStr">
        <is>
          <t>Checking – Operating</t>
        </is>
      </c>
      <c r="I1173" s="33" t="n">
        <v>-3640.74</v>
      </c>
      <c r="J1173" s="13">
        <f>+J1172+I1173</f>
        <v>2378044.43</v>
      </c>
      <c r="K1173" s="19">
        <f>+EOMONTH(B1173,0)</f>
        <v>46295</v>
      </c>
      <c r="L1173" s="3" t="inlineStr">
        <is>
          <t>Checking – Operating</t>
        </is>
      </c>
      <c r="M1173" s="3" t="inlineStr">
        <is>
          <t>Balance Sheet</t>
        </is>
      </c>
    </row>
    <row r="1174">
      <c r="B1174" s="39" t="n">
        <v>46272</v>
      </c>
      <c r="C1174" s="3" t="inlineStr">
        <is>
          <t>Bill Payment (Check)</t>
        </is>
      </c>
      <c r="D1174" s="3" t="inlineStr"/>
      <c r="E1174" s="3" t="inlineStr">
        <is>
          <t>Ledgerquill Billing SaaS</t>
        </is>
      </c>
      <c r="F1174" s="3" t="inlineStr">
        <is>
          <t>Billing Software as a Service – August</t>
        </is>
      </c>
      <c r="G1174" s="3" t="inlineStr">
        <is>
          <t>Accounts Payable</t>
        </is>
      </c>
      <c r="H1174" s="3" t="inlineStr">
        <is>
          <t>Checking – Operating</t>
        </is>
      </c>
      <c r="I1174" s="33" t="n">
        <v>-14777.1</v>
      </c>
      <c r="J1174" s="13">
        <f>+J1173+I1174</f>
        <v>2363267.33</v>
      </c>
      <c r="K1174" s="19">
        <f>+EOMONTH(B1174,0)</f>
        <v>46295</v>
      </c>
      <c r="L1174" s="3" t="inlineStr">
        <is>
          <t>Checking – Operating</t>
        </is>
      </c>
      <c r="M1174" s="3" t="inlineStr">
        <is>
          <t>Balance Sheet</t>
        </is>
      </c>
    </row>
    <row r="1175">
      <c r="B1175" s="39" t="n">
        <v>46272</v>
      </c>
      <c r="C1175" s="3" t="inlineStr">
        <is>
          <t>Deposit</t>
        </is>
      </c>
      <c r="D1175" s="3" t="inlineStr"/>
      <c r="E1175" s="3" t="inlineStr">
        <is>
          <t>Silvermoss Senior Living</t>
        </is>
      </c>
      <c r="F1175" s="3" t="inlineStr">
        <is>
          <t>ORIG CO NAME:SILVERMOSS SL ORIG ID:XXXXXX2736 DESC DATE:260907 CO ENTRY DESCR:HCCLAIMPMT SEC:CCD TRACE#:XXXXXXXX5010171 EED:260907 IND ID:</t>
        </is>
      </c>
      <c r="G1175" s="3" t="inlineStr">
        <is>
          <t>Service Income</t>
        </is>
      </c>
      <c r="H1175" s="3" t="inlineStr">
        <is>
          <t>Checking – Operating</t>
        </is>
      </c>
      <c r="I1175" s="33" t="n">
        <v>68400.42</v>
      </c>
      <c r="J1175" s="13">
        <f>+J1174+I1175</f>
        <v>2431667.75</v>
      </c>
      <c r="K1175" s="19">
        <f>+EOMONTH(B1175,0)</f>
        <v>46295</v>
      </c>
      <c r="L1175" s="3" t="inlineStr">
        <is>
          <t>Checking – Operating</t>
        </is>
      </c>
      <c r="M1175" s="3" t="inlineStr">
        <is>
          <t>Balance Sheet</t>
        </is>
      </c>
    </row>
    <row r="1176">
      <c r="B1176" s="39" t="n">
        <v>46273</v>
      </c>
      <c r="C1176" s="3" t="inlineStr">
        <is>
          <t>Bill Payment (Check)</t>
        </is>
      </c>
      <c r="D1176" s="3" t="inlineStr"/>
      <c r="E1176" s="3" t="inlineStr">
        <is>
          <t>Reference Lab A</t>
        </is>
      </c>
      <c r="F1176" s="3" t="inlineStr">
        <is>
          <t>Send-out testing – August</t>
        </is>
      </c>
      <c r="G1176" s="3" t="inlineStr">
        <is>
          <t>Accounts Payable</t>
        </is>
      </c>
      <c r="H1176" s="3" t="inlineStr">
        <is>
          <t>Checking – Operating</t>
        </is>
      </c>
      <c r="I1176" s="33" t="n">
        <v>-19933.18</v>
      </c>
      <c r="J1176" s="13">
        <f>+J1175+I1176</f>
        <v>2411734.57</v>
      </c>
      <c r="K1176" s="19">
        <f>+EOMONTH(B1176,0)</f>
        <v>46295</v>
      </c>
      <c r="L1176" s="3" t="inlineStr">
        <is>
          <t>Checking – Operating</t>
        </is>
      </c>
      <c r="M1176" s="3" t="inlineStr">
        <is>
          <t>Balance Sheet</t>
        </is>
      </c>
    </row>
    <row r="1177">
      <c r="B1177" s="39" t="n">
        <v>46273</v>
      </c>
      <c r="C1177" s="3" t="inlineStr">
        <is>
          <t>Bill Payment (Check)</t>
        </is>
      </c>
      <c r="D1177" s="3" t="inlineStr"/>
      <c r="E1177" s="3" t="inlineStr">
        <is>
          <t>Halloway Ridge Realty (rent)</t>
        </is>
      </c>
      <c r="F1177" s="3" t="inlineStr">
        <is>
          <t>Rent – August</t>
        </is>
      </c>
      <c r="G1177" s="3" t="inlineStr">
        <is>
          <t>Accounts Payable</t>
        </is>
      </c>
      <c r="H1177" s="3" t="inlineStr">
        <is>
          <t>Checking – Operating</t>
        </is>
      </c>
      <c r="I1177" s="33" t="n">
        <v>-15539.74</v>
      </c>
      <c r="J1177" s="13">
        <f>+J1176+I1177</f>
        <v>2396194.83</v>
      </c>
      <c r="K1177" s="19">
        <f>+EOMONTH(B1177,0)</f>
        <v>46295</v>
      </c>
      <c r="L1177" s="3" t="inlineStr">
        <is>
          <t>Checking – Operating</t>
        </is>
      </c>
      <c r="M1177" s="3" t="inlineStr">
        <is>
          <t>Balance Sheet</t>
        </is>
      </c>
    </row>
    <row r="1178">
      <c r="B1178" s="39" t="n">
        <v>46273</v>
      </c>
      <c r="C1178" s="3" t="inlineStr">
        <is>
          <t>Credit Card Expense</t>
        </is>
      </c>
      <c r="D1178" s="3" t="inlineStr"/>
      <c r="E1178" s="3" t="inlineStr">
        <is>
          <t>Consultant A</t>
        </is>
      </c>
      <c r="F1178" s="3" t="inlineStr">
        <is>
          <t>Accounting Service – September</t>
        </is>
      </c>
      <c r="G1178" s="3" t="inlineStr">
        <is>
          <t>Accounting Service</t>
        </is>
      </c>
      <c r="H1178" s="3" t="inlineStr">
        <is>
          <t>Checking – Operating</t>
        </is>
      </c>
      <c r="I1178" s="33" t="n">
        <v>-3184.83</v>
      </c>
      <c r="J1178" s="13">
        <f>+J1177+I1178</f>
        <v>2393010</v>
      </c>
      <c r="K1178" s="19">
        <f>+EOMONTH(B1178,0)</f>
        <v>46295</v>
      </c>
      <c r="L1178" s="3" t="inlineStr">
        <is>
          <t>Checking – Operating</t>
        </is>
      </c>
      <c r="M1178" s="3" t="inlineStr">
        <is>
          <t>Balance Sheet</t>
        </is>
      </c>
    </row>
    <row r="1179">
      <c r="B1179" s="39" t="n">
        <v>46273</v>
      </c>
      <c r="C1179" s="3" t="inlineStr">
        <is>
          <t>Journal Entry</t>
        </is>
      </c>
      <c r="D1179" s="3" t="inlineStr"/>
      <c r="E1179" s="3" t="inlineStr">
        <is>
          <t>Lumenlease Equipment</t>
        </is>
      </c>
      <c r="F1179" s="3" t="inlineStr">
        <is>
          <t>Repairs and Maintenance – September</t>
        </is>
      </c>
      <c r="G1179" s="3" t="inlineStr">
        <is>
          <t>Repairs and Maintenance</t>
        </is>
      </c>
      <c r="H1179" s="3" t="inlineStr">
        <is>
          <t>Checking – Operating</t>
        </is>
      </c>
      <c r="I1179" s="33" t="n">
        <v>-1505.54</v>
      </c>
      <c r="J1179" s="13">
        <f>+J1178+I1179</f>
        <v>2391504.46</v>
      </c>
      <c r="K1179" s="19">
        <f>+EOMONTH(B1179,0)</f>
        <v>46295</v>
      </c>
      <c r="L1179" s="3" t="inlineStr">
        <is>
          <t>Checking – Operating</t>
        </is>
      </c>
      <c r="M1179" s="3" t="inlineStr">
        <is>
          <t>Balance Sheet</t>
        </is>
      </c>
    </row>
    <row r="1180">
      <c r="B1180" s="39" t="n">
        <v>46274</v>
      </c>
      <c r="C1180" s="3" t="inlineStr">
        <is>
          <t>Deposit</t>
        </is>
      </c>
      <c r="D1180" s="3" t="inlineStr"/>
      <c r="E1180" s="3" t="inlineStr">
        <is>
          <t>Federal Program A</t>
        </is>
      </c>
      <c r="F1180" s="3" t="inlineStr">
        <is>
          <t>ORIG CO NAME:FEDERAL PROG A ORIG ID:XXXXXX3316 DESC DATE:260909 CO ENTRY DESCR:HCCLAIMPMT SEC:CCD TRACE#:XXXXXXXX3778426 EED:260909 IND ID:</t>
        </is>
      </c>
      <c r="G1180" s="3" t="inlineStr">
        <is>
          <t>Service Income</t>
        </is>
      </c>
      <c r="H1180" s="3" t="inlineStr">
        <is>
          <t>Checking – Operating</t>
        </is>
      </c>
      <c r="I1180" s="33" t="n">
        <v>52653.66</v>
      </c>
      <c r="J1180" s="13">
        <f>+J1179+I1180</f>
        <v>2444158.12</v>
      </c>
      <c r="K1180" s="19">
        <f>+EOMONTH(B1180,0)</f>
        <v>46295</v>
      </c>
      <c r="L1180" s="3" t="inlineStr">
        <is>
          <t>Checking – Operating</t>
        </is>
      </c>
      <c r="M1180" s="3" t="inlineStr">
        <is>
          <t>Balance Sheet</t>
        </is>
      </c>
    </row>
    <row r="1181">
      <c r="B1181" s="39" t="n">
        <v>46274</v>
      </c>
      <c r="C1181" s="3" t="inlineStr">
        <is>
          <t>Expense</t>
        </is>
      </c>
      <c r="D1181" s="3" t="inlineStr"/>
      <c r="E1181" s="3" t="inlineStr">
        <is>
          <t>Ledgerquill Billing SaaS</t>
        </is>
      </c>
      <c r="F1181" s="3" t="inlineStr">
        <is>
          <t>Dues &amp; Subscriptions – September</t>
        </is>
      </c>
      <c r="G1181" s="3" t="inlineStr">
        <is>
          <t>Dues &amp; Subscriptions</t>
        </is>
      </c>
      <c r="H1181" s="3" t="inlineStr">
        <is>
          <t>Checking – Operating</t>
        </is>
      </c>
      <c r="I1181" s="33" t="n">
        <v>-1101.35</v>
      </c>
      <c r="J1181" s="13">
        <f>+J1180+I1181</f>
        <v>2443056.77</v>
      </c>
      <c r="K1181" s="19">
        <f>+EOMONTH(B1181,0)</f>
        <v>46295</v>
      </c>
      <c r="L1181" s="3" t="inlineStr">
        <is>
          <t>Checking – Operating</t>
        </is>
      </c>
      <c r="M1181" s="3" t="inlineStr">
        <is>
          <t>Balance Sheet</t>
        </is>
      </c>
    </row>
    <row r="1182">
      <c r="B1182" s="39" t="n">
        <v>46274</v>
      </c>
      <c r="C1182" s="3" t="inlineStr">
        <is>
          <t>Journal Entry</t>
        </is>
      </c>
      <c r="D1182" s="3" t="inlineStr"/>
      <c r="E1182" s="3" t="inlineStr"/>
      <c r="F1182" s="3" t="inlineStr">
        <is>
          <t>Taxes and Licenses – September</t>
        </is>
      </c>
      <c r="G1182" s="3" t="inlineStr">
        <is>
          <t>Taxes and Licenses</t>
        </is>
      </c>
      <c r="H1182" s="3" t="inlineStr">
        <is>
          <t>Checking – Operating</t>
        </is>
      </c>
      <c r="I1182" s="33" t="n">
        <v>-862.79</v>
      </c>
      <c r="J1182" s="13">
        <f>+J1181+I1182</f>
        <v>2442193.98</v>
      </c>
      <c r="K1182" s="19">
        <f>+EOMONTH(B1182,0)</f>
        <v>46295</v>
      </c>
      <c r="L1182" s="3" t="inlineStr">
        <is>
          <t>Checking – Operating</t>
        </is>
      </c>
      <c r="M1182" s="3" t="inlineStr">
        <is>
          <t>Balance Sheet</t>
        </is>
      </c>
    </row>
    <row r="1183">
      <c r="B1183" s="39" t="n">
        <v>46275</v>
      </c>
      <c r="C1183" s="3" t="inlineStr">
        <is>
          <t>Credit Card Expense</t>
        </is>
      </c>
      <c r="D1183" s="3" t="inlineStr"/>
      <c r="E1183" s="3" t="inlineStr">
        <is>
          <t>Tessarand Payroll Services</t>
        </is>
      </c>
      <c r="F1183" s="3" t="inlineStr">
        <is>
          <t>Contractors – September</t>
        </is>
      </c>
      <c r="G1183" s="3" t="inlineStr">
        <is>
          <t>Contractors</t>
        </is>
      </c>
      <c r="H1183" s="3" t="inlineStr">
        <is>
          <t>Checking – Operating</t>
        </is>
      </c>
      <c r="I1183" s="33" t="n">
        <v>-6852.58</v>
      </c>
      <c r="J1183" s="13">
        <f>+J1182+I1183</f>
        <v>2435341.4</v>
      </c>
      <c r="K1183" s="19">
        <f>+EOMONTH(B1183,0)</f>
        <v>46295</v>
      </c>
      <c r="L1183" s="3" t="inlineStr">
        <is>
          <t>Checking – Operating</t>
        </is>
      </c>
      <c r="M1183" s="3" t="inlineStr">
        <is>
          <t>Balance Sheet</t>
        </is>
      </c>
    </row>
    <row r="1184">
      <c r="B1184" s="39" t="n">
        <v>46275</v>
      </c>
      <c r="C1184" s="3" t="inlineStr">
        <is>
          <t>Expense</t>
        </is>
      </c>
      <c r="D1184" s="3" t="inlineStr"/>
      <c r="E1184" s="3" t="inlineStr"/>
      <c r="F1184" s="3" t="inlineStr">
        <is>
          <t>Bank service charges – September</t>
        </is>
      </c>
      <c r="G1184" s="3" t="inlineStr">
        <is>
          <t>Cash</t>
        </is>
      </c>
      <c r="H1184" s="3" t="inlineStr">
        <is>
          <t>Checking – Operating</t>
        </is>
      </c>
      <c r="I1184" s="33" t="n">
        <v>-1634.59</v>
      </c>
      <c r="J1184" s="13">
        <f>+J1183+I1184</f>
        <v>2433706.81</v>
      </c>
      <c r="K1184" s="19">
        <f>+EOMONTH(B1184,0)</f>
        <v>46295</v>
      </c>
      <c r="L1184" s="3" t="inlineStr">
        <is>
          <t>Checking – Operating</t>
        </is>
      </c>
      <c r="M1184" s="3" t="inlineStr">
        <is>
          <t>Balance Sheet</t>
        </is>
      </c>
    </row>
    <row r="1185">
      <c r="B1185" s="39" t="n">
        <v>46275</v>
      </c>
      <c r="C1185" s="3" t="inlineStr">
        <is>
          <t>Expense</t>
        </is>
      </c>
      <c r="D1185" s="3" t="inlineStr"/>
      <c r="E1185" s="3" t="inlineStr">
        <is>
          <t>Vialtrace Lab Supplies Inc</t>
        </is>
      </c>
      <c r="F1185" s="3" t="inlineStr">
        <is>
          <t>Office Supplies – September</t>
        </is>
      </c>
      <c r="G1185" s="3" t="inlineStr">
        <is>
          <t>Office Supplies</t>
        </is>
      </c>
      <c r="H1185" s="3" t="inlineStr">
        <is>
          <t>Checking – Operating</t>
        </is>
      </c>
      <c r="I1185" s="33" t="n">
        <v>-2273.45</v>
      </c>
      <c r="J1185" s="13">
        <f>+J1184+I1185</f>
        <v>2431433.36</v>
      </c>
      <c r="K1185" s="19">
        <f>+EOMONTH(B1185,0)</f>
        <v>46295</v>
      </c>
      <c r="L1185" s="3" t="inlineStr">
        <is>
          <t>Checking – Operating</t>
        </is>
      </c>
      <c r="M1185" s="3" t="inlineStr">
        <is>
          <t>Balance Sheet</t>
        </is>
      </c>
    </row>
    <row r="1186">
      <c r="B1186" s="39" t="n">
        <v>46276</v>
      </c>
      <c r="C1186" s="3" t="inlineStr">
        <is>
          <t>Bill Payment (Check)</t>
        </is>
      </c>
      <c r="D1186" s="3" t="inlineStr"/>
      <c r="E1186" s="3" t="inlineStr">
        <is>
          <t>Tarrowmere Mutual Insurance</t>
        </is>
      </c>
      <c r="F1186" s="3" t="inlineStr">
        <is>
          <t>Premium installment</t>
        </is>
      </c>
      <c r="G1186" s="3" t="inlineStr">
        <is>
          <t>Accounts Payable</t>
        </is>
      </c>
      <c r="H1186" s="3" t="inlineStr">
        <is>
          <t>Checking – Operating</t>
        </is>
      </c>
      <c r="I1186" s="33" t="n">
        <v>-3048.17</v>
      </c>
      <c r="J1186" s="13">
        <f>+J1185+I1186</f>
        <v>2428385.19</v>
      </c>
      <c r="K1186" s="19">
        <f>+EOMONTH(B1186,0)</f>
        <v>46295</v>
      </c>
      <c r="L1186" s="3" t="inlineStr">
        <is>
          <t>Checking – Operating</t>
        </is>
      </c>
      <c r="M1186" s="3" t="inlineStr">
        <is>
          <t>Balance Sheet</t>
        </is>
      </c>
    </row>
    <row r="1187">
      <c r="B1187" s="39" t="n">
        <v>46276</v>
      </c>
      <c r="C1187" s="3" t="inlineStr">
        <is>
          <t>Bill Payment (Check)</t>
        </is>
      </c>
      <c r="D1187" s="3" t="inlineStr"/>
      <c r="E1187" s="3" t="inlineStr">
        <is>
          <t>Tarrowmere Mutual Insurance</t>
        </is>
      </c>
      <c r="F1187" s="3" t="inlineStr">
        <is>
          <t>Premium installment</t>
        </is>
      </c>
      <c r="G1187" s="3" t="inlineStr">
        <is>
          <t>Accounts Payable</t>
        </is>
      </c>
      <c r="H1187" s="3" t="inlineStr">
        <is>
          <t>Checking – Operating</t>
        </is>
      </c>
      <c r="I1187" s="33" t="n">
        <v>-3337.45</v>
      </c>
      <c r="J1187" s="13">
        <f>+J1186+I1187</f>
        <v>2425047.74</v>
      </c>
      <c r="K1187" s="19">
        <f>+EOMONTH(B1187,0)</f>
        <v>46295</v>
      </c>
      <c r="L1187" s="3" t="inlineStr">
        <is>
          <t>Checking – Operating</t>
        </is>
      </c>
      <c r="M1187" s="3" t="inlineStr">
        <is>
          <t>Balance Sheet</t>
        </is>
      </c>
    </row>
    <row r="1188">
      <c r="B1188" s="39" t="n">
        <v>46276</v>
      </c>
      <c r="C1188" s="3" t="inlineStr">
        <is>
          <t>Bill Payment (Check)</t>
        </is>
      </c>
      <c r="D1188" s="3" t="inlineStr"/>
      <c r="E1188" s="3" t="inlineStr">
        <is>
          <t>Ledgerquill Billing SaaS</t>
        </is>
      </c>
      <c r="F1188" s="3" t="inlineStr">
        <is>
          <t>Billing Software as a Service – August</t>
        </is>
      </c>
      <c r="G1188" s="3" t="inlineStr">
        <is>
          <t>Accounts Payable</t>
        </is>
      </c>
      <c r="H1188" s="3" t="inlineStr">
        <is>
          <t>Checking – Operating</t>
        </is>
      </c>
      <c r="I1188" s="33" t="n">
        <v>-11694.13</v>
      </c>
      <c r="J1188" s="13">
        <f>+J1187+I1188</f>
        <v>2413353.61</v>
      </c>
      <c r="K1188" s="19">
        <f>+EOMONTH(B1188,0)</f>
        <v>46295</v>
      </c>
      <c r="L1188" s="3" t="inlineStr">
        <is>
          <t>Checking – Operating</t>
        </is>
      </c>
      <c r="M1188" s="3" t="inlineStr">
        <is>
          <t>Balance Sheet</t>
        </is>
      </c>
    </row>
    <row r="1189">
      <c r="B1189" s="39" t="n">
        <v>46276</v>
      </c>
      <c r="C1189" s="3" t="inlineStr">
        <is>
          <t>Deposit</t>
        </is>
      </c>
      <c r="D1189" s="3" t="inlineStr"/>
      <c r="E1189" s="3" t="inlineStr">
        <is>
          <t>Marrowby Mutual</t>
        </is>
      </c>
      <c r="F1189" s="3" t="inlineStr">
        <is>
          <t>ORIG CO NAME:MARROWBY MUTUAL ORIG ID:XXXXXX7726 DESC DATE:260911 CO ENTRY DESCR:HCCLAIMPMT SEC:CCD TRACE#:XXXXXXXX1548631 EED:260911 IND ID:</t>
        </is>
      </c>
      <c r="G1189" s="3" t="inlineStr">
        <is>
          <t>Service Income</t>
        </is>
      </c>
      <c r="H1189" s="3" t="inlineStr">
        <is>
          <t>Checking – Operating</t>
        </is>
      </c>
      <c r="I1189" s="33" t="n">
        <v>97115.22</v>
      </c>
      <c r="J1189" s="13">
        <f>+J1188+I1189</f>
        <v>2510468.83</v>
      </c>
      <c r="K1189" s="19">
        <f>+EOMONTH(B1189,0)</f>
        <v>46295</v>
      </c>
      <c r="L1189" s="3" t="inlineStr">
        <is>
          <t>Checking – Operating</t>
        </is>
      </c>
      <c r="M1189" s="3" t="inlineStr">
        <is>
          <t>Balance Sheet</t>
        </is>
      </c>
    </row>
    <row r="1190">
      <c r="B1190" s="39" t="n">
        <v>46277</v>
      </c>
      <c r="C1190" s="3" t="inlineStr">
        <is>
          <t>Bill Payment (Check)</t>
        </is>
      </c>
      <c r="D1190" s="3" t="inlineStr"/>
      <c r="E1190" s="3" t="inlineStr">
        <is>
          <t>Vialtrace Lab Supplies Inc</t>
        </is>
      </c>
      <c r="F1190" s="3" t="inlineStr">
        <is>
          <t>Lab Expenses – September</t>
        </is>
      </c>
      <c r="G1190" s="3" t="inlineStr">
        <is>
          <t>Accounts Payable</t>
        </is>
      </c>
      <c r="H1190" s="3" t="inlineStr">
        <is>
          <t>Checking – Operating</t>
        </is>
      </c>
      <c r="I1190" s="33" t="n">
        <v>-6110.73</v>
      </c>
      <c r="J1190" s="13">
        <f>+J1189+I1190</f>
        <v>2504358.1</v>
      </c>
      <c r="K1190" s="19">
        <f>+EOMONTH(B1190,0)</f>
        <v>46295</v>
      </c>
      <c r="L1190" s="3" t="inlineStr">
        <is>
          <t>Checking – Operating</t>
        </is>
      </c>
      <c r="M1190" s="3" t="inlineStr">
        <is>
          <t>Balance Sheet</t>
        </is>
      </c>
    </row>
    <row r="1191">
      <c r="B1191" s="39" t="n">
        <v>46277</v>
      </c>
      <c r="C1191" s="3" t="inlineStr">
        <is>
          <t>Bill Payment (Check)</t>
        </is>
      </c>
      <c r="D1191" s="3" t="inlineStr"/>
      <c r="E1191" s="3" t="inlineStr">
        <is>
          <t>Reagentix Corp</t>
        </is>
      </c>
      <c r="F1191" s="3" t="inlineStr">
        <is>
          <t>Lab supplies PO# F2733</t>
        </is>
      </c>
      <c r="G1191" s="3" t="inlineStr">
        <is>
          <t>Accounts Payable</t>
        </is>
      </c>
      <c r="H1191" s="3" t="inlineStr">
        <is>
          <t>Checking – Operating</t>
        </is>
      </c>
      <c r="I1191" s="33" t="n">
        <v>-7374.46</v>
      </c>
      <c r="J1191" s="13">
        <f>+J1190+I1191</f>
        <v>2496983.64</v>
      </c>
      <c r="K1191" s="19">
        <f>+EOMONTH(B1191,0)</f>
        <v>46295</v>
      </c>
      <c r="L1191" s="3" t="inlineStr">
        <is>
          <t>Checking – Operating</t>
        </is>
      </c>
      <c r="M1191" s="3" t="inlineStr">
        <is>
          <t>Balance Sheet</t>
        </is>
      </c>
    </row>
    <row r="1192">
      <c r="B1192" s="39" t="n">
        <v>46277</v>
      </c>
      <c r="C1192" s="3" t="inlineStr">
        <is>
          <t>Expense</t>
        </is>
      </c>
      <c r="D1192" s="3" t="inlineStr"/>
      <c r="E1192" s="3" t="inlineStr">
        <is>
          <t>Tessarand Payroll Services</t>
        </is>
      </c>
      <c r="F1192" s="3" t="inlineStr">
        <is>
          <t>Recruitment – September</t>
        </is>
      </c>
      <c r="G1192" s="3" t="inlineStr">
        <is>
          <t>Recruitment</t>
        </is>
      </c>
      <c r="H1192" s="3" t="inlineStr">
        <is>
          <t>Checking – Operating</t>
        </is>
      </c>
      <c r="I1192" s="33" t="n">
        <v>-2625.69</v>
      </c>
      <c r="J1192" s="13">
        <f>+J1191+I1192</f>
        <v>2494357.95</v>
      </c>
      <c r="K1192" s="19">
        <f>+EOMONTH(B1192,0)</f>
        <v>46295</v>
      </c>
      <c r="L1192" s="3" t="inlineStr">
        <is>
          <t>Checking – Operating</t>
        </is>
      </c>
      <c r="M1192" s="3" t="inlineStr">
        <is>
          <t>Balance Sheet</t>
        </is>
      </c>
    </row>
    <row r="1193">
      <c r="B1193" s="39" t="n">
        <v>46277</v>
      </c>
      <c r="C1193" s="3" t="inlineStr">
        <is>
          <t>Expense</t>
        </is>
      </c>
      <c r="D1193" s="3" t="inlineStr"/>
      <c r="E1193" s="3" t="inlineStr"/>
      <c r="F1193" s="3" t="inlineStr">
        <is>
          <t>Gas – September</t>
        </is>
      </c>
      <c r="G1193" s="3" t="inlineStr">
        <is>
          <t>Gas</t>
        </is>
      </c>
      <c r="H1193" s="3" t="inlineStr">
        <is>
          <t>Checking – Operating</t>
        </is>
      </c>
      <c r="I1193" s="33" t="n">
        <v>-1033.22</v>
      </c>
      <c r="J1193" s="13">
        <f>+J1192+I1193</f>
        <v>2493324.73</v>
      </c>
      <c r="K1193" s="19">
        <f>+EOMONTH(B1193,0)</f>
        <v>46295</v>
      </c>
      <c r="L1193" s="3" t="inlineStr">
        <is>
          <t>Checking – Operating</t>
        </is>
      </c>
      <c r="M1193" s="3" t="inlineStr">
        <is>
          <t>Balance Sheet</t>
        </is>
      </c>
    </row>
    <row r="1194">
      <c r="B1194" s="39" t="n">
        <v>46277</v>
      </c>
      <c r="C1194" s="3" t="inlineStr">
        <is>
          <t>Payroll Check</t>
        </is>
      </c>
      <c r="D1194" s="3" t="inlineStr"/>
      <c r="E1194" s="3" t="inlineStr">
        <is>
          <t>Tessarand Payroll Services</t>
        </is>
      </c>
      <c r="F1194" s="3" t="inlineStr">
        <is>
          <t>Payroll – biweekly</t>
        </is>
      </c>
      <c r="G1194" s="3" t="inlineStr">
        <is>
          <t>Salaries and Wages</t>
        </is>
      </c>
      <c r="H1194" s="3" t="inlineStr">
        <is>
          <t>Checking – Operating</t>
        </is>
      </c>
      <c r="I1194" s="33" t="n">
        <v>-151271.98</v>
      </c>
      <c r="J1194" s="13">
        <f>+J1193+I1194</f>
        <v>2342052.75</v>
      </c>
      <c r="K1194" s="19">
        <f>+EOMONTH(B1194,0)</f>
        <v>46295</v>
      </c>
      <c r="L1194" s="3" t="inlineStr">
        <is>
          <t>Checking – Operating</t>
        </is>
      </c>
      <c r="M1194" s="3" t="inlineStr">
        <is>
          <t>Balance Sheet</t>
        </is>
      </c>
    </row>
    <row r="1195">
      <c r="B1195" s="39" t="n">
        <v>46278</v>
      </c>
      <c r="C1195" s="3" t="inlineStr">
        <is>
          <t>Credit Card Expense</t>
        </is>
      </c>
      <c r="D1195" s="3" t="inlineStr"/>
      <c r="E1195" s="3" t="inlineStr">
        <is>
          <t>Consultant A</t>
        </is>
      </c>
      <c r="F1195" s="3" t="inlineStr">
        <is>
          <t>Consulting – September</t>
        </is>
      </c>
      <c r="G1195" s="3" t="inlineStr">
        <is>
          <t>Consulting</t>
        </is>
      </c>
      <c r="H1195" s="3" t="inlineStr">
        <is>
          <t>Checking – Operating</t>
        </is>
      </c>
      <c r="I1195" s="33" t="n">
        <v>-3297.94</v>
      </c>
      <c r="J1195" s="13">
        <f>+J1194+I1195</f>
        <v>2338754.81</v>
      </c>
      <c r="K1195" s="19">
        <f>+EOMONTH(B1195,0)</f>
        <v>46295</v>
      </c>
      <c r="L1195" s="3" t="inlineStr">
        <is>
          <t>Checking – Operating</t>
        </is>
      </c>
      <c r="M1195" s="3" t="inlineStr">
        <is>
          <t>Balance Sheet</t>
        </is>
      </c>
    </row>
    <row r="1196">
      <c r="B1196" s="39" t="n">
        <v>46278</v>
      </c>
      <c r="C1196" s="3" t="inlineStr">
        <is>
          <t>Credit Card Expense</t>
        </is>
      </c>
      <c r="D1196" s="3" t="inlineStr"/>
      <c r="E1196" s="3" t="inlineStr">
        <is>
          <t>Tessarand Payroll Services</t>
        </is>
      </c>
      <c r="F1196" s="3" t="inlineStr">
        <is>
          <t>Sales and Marketing Expenses – September</t>
        </is>
      </c>
      <c r="G1196" s="3" t="inlineStr">
        <is>
          <t>Sales and Marketing Expenses</t>
        </is>
      </c>
      <c r="H1196" s="3" t="inlineStr">
        <is>
          <t>Checking – Operating</t>
        </is>
      </c>
      <c r="I1196" s="33" t="n">
        <v>-23148.99</v>
      </c>
      <c r="J1196" s="13">
        <f>+J1195+I1196</f>
        <v>2315605.82</v>
      </c>
      <c r="K1196" s="19">
        <f>+EOMONTH(B1196,0)</f>
        <v>46295</v>
      </c>
      <c r="L1196" s="3" t="inlineStr">
        <is>
          <t>Checking – Operating</t>
        </is>
      </c>
      <c r="M1196" s="3" t="inlineStr">
        <is>
          <t>Balance Sheet</t>
        </is>
      </c>
    </row>
    <row r="1197">
      <c r="B1197" s="39" t="n">
        <v>46278</v>
      </c>
      <c r="C1197" s="3" t="inlineStr">
        <is>
          <t>Expense</t>
        </is>
      </c>
      <c r="D1197" s="3" t="inlineStr"/>
      <c r="E1197" s="3" t="inlineStr">
        <is>
          <t>Tessarand Payroll Services</t>
        </is>
      </c>
      <c r="F1197" s="3" t="inlineStr">
        <is>
          <t>Contractors – September</t>
        </is>
      </c>
      <c r="G1197" s="3" t="inlineStr">
        <is>
          <t>Contractors</t>
        </is>
      </c>
      <c r="H1197" s="3" t="inlineStr">
        <is>
          <t>Checking – Operating</t>
        </is>
      </c>
      <c r="I1197" s="33" t="n">
        <v>-10431.71</v>
      </c>
      <c r="J1197" s="13">
        <f>+J1196+I1197</f>
        <v>2305174.11</v>
      </c>
      <c r="K1197" s="19">
        <f>+EOMONTH(B1197,0)</f>
        <v>46295</v>
      </c>
      <c r="L1197" s="3" t="inlineStr">
        <is>
          <t>Checking – Operating</t>
        </is>
      </c>
      <c r="M1197" s="3" t="inlineStr">
        <is>
          <t>Balance Sheet</t>
        </is>
      </c>
    </row>
    <row r="1198">
      <c r="B1198" s="39" t="n">
        <v>46279</v>
      </c>
      <c r="C1198" s="3" t="inlineStr">
        <is>
          <t>Bill Payment (Check)</t>
        </is>
      </c>
      <c r="D1198" s="3" t="inlineStr"/>
      <c r="E1198" s="3" t="inlineStr">
        <is>
          <t>Vialtrace Lab Supplies Inc</t>
        </is>
      </c>
      <c r="F1198" s="3" t="inlineStr">
        <is>
          <t>Lab Expenses – August</t>
        </is>
      </c>
      <c r="G1198" s="3" t="inlineStr">
        <is>
          <t>Accounts Payable</t>
        </is>
      </c>
      <c r="H1198" s="3" t="inlineStr">
        <is>
          <t>Checking – Operating</t>
        </is>
      </c>
      <c r="I1198" s="33" t="n">
        <v>-5678.21</v>
      </c>
      <c r="J1198" s="13">
        <f>+J1197+I1198</f>
        <v>2299495.9</v>
      </c>
      <c r="K1198" s="19">
        <f>+EOMONTH(B1198,0)</f>
        <v>46295</v>
      </c>
      <c r="L1198" s="3" t="inlineStr">
        <is>
          <t>Checking – Operating</t>
        </is>
      </c>
      <c r="M1198" s="3" t="inlineStr">
        <is>
          <t>Balance Sheet</t>
        </is>
      </c>
    </row>
    <row r="1199">
      <c r="B1199" s="39" t="n">
        <v>46279</v>
      </c>
      <c r="C1199" s="3" t="inlineStr">
        <is>
          <t>Bill Payment (Check)</t>
        </is>
      </c>
      <c r="D1199" s="3" t="inlineStr"/>
      <c r="E1199" s="3" t="inlineStr">
        <is>
          <t>Tarrowmere Mutual Insurance</t>
        </is>
      </c>
      <c r="F1199" s="3" t="inlineStr">
        <is>
          <t>Premium installment</t>
        </is>
      </c>
      <c r="G1199" s="3" t="inlineStr">
        <is>
          <t>Accounts Payable</t>
        </is>
      </c>
      <c r="H1199" s="3" t="inlineStr">
        <is>
          <t>Checking – Operating</t>
        </is>
      </c>
      <c r="I1199" s="33" t="n">
        <v>-5328.41</v>
      </c>
      <c r="J1199" s="13">
        <f>+J1198+I1199</f>
        <v>2294167.49</v>
      </c>
      <c r="K1199" s="19">
        <f>+EOMONTH(B1199,0)</f>
        <v>46295</v>
      </c>
      <c r="L1199" s="3" t="inlineStr">
        <is>
          <t>Checking – Operating</t>
        </is>
      </c>
      <c r="M1199" s="3" t="inlineStr">
        <is>
          <t>Balance Sheet</t>
        </is>
      </c>
    </row>
    <row r="1200">
      <c r="B1200" s="39" t="n">
        <v>46279</v>
      </c>
      <c r="C1200" s="3" t="inlineStr">
        <is>
          <t>Bill Payment (Check)</t>
        </is>
      </c>
      <c r="D1200" s="3" t="inlineStr"/>
      <c r="E1200" s="3" t="inlineStr">
        <is>
          <t>Ledgerquill Billing SaaS</t>
        </is>
      </c>
      <c r="F1200" s="3" t="inlineStr">
        <is>
          <t>Billing Software as a Service – September</t>
        </is>
      </c>
      <c r="G1200" s="3" t="inlineStr">
        <is>
          <t>Accounts Payable</t>
        </is>
      </c>
      <c r="H1200" s="3" t="inlineStr">
        <is>
          <t>Checking – Operating</t>
        </is>
      </c>
      <c r="I1200" s="33" t="n">
        <v>-11925.89</v>
      </c>
      <c r="J1200" s="13">
        <f>+J1199+I1200</f>
        <v>2282241.6</v>
      </c>
      <c r="K1200" s="19">
        <f>+EOMONTH(B1200,0)</f>
        <v>46295</v>
      </c>
      <c r="L1200" s="3" t="inlineStr">
        <is>
          <t>Checking – Operating</t>
        </is>
      </c>
      <c r="M1200" s="3" t="inlineStr">
        <is>
          <t>Balance Sheet</t>
        </is>
      </c>
    </row>
    <row r="1201">
      <c r="B1201" s="39" t="n">
        <v>46279</v>
      </c>
      <c r="C1201" s="3" t="inlineStr">
        <is>
          <t>Expense</t>
        </is>
      </c>
      <c r="D1201" s="3" t="inlineStr"/>
      <c r="E1201" s="3" t="inlineStr"/>
      <c r="F1201" s="3" t="inlineStr">
        <is>
          <t>Parking – September</t>
        </is>
      </c>
      <c r="G1201" s="3" t="inlineStr">
        <is>
          <t>Parking</t>
        </is>
      </c>
      <c r="H1201" s="3" t="inlineStr">
        <is>
          <t>Checking – Operating</t>
        </is>
      </c>
      <c r="I1201" s="33" t="n">
        <v>-462.85</v>
      </c>
      <c r="J1201" s="13">
        <f>+J1200+I1201</f>
        <v>2281778.75</v>
      </c>
      <c r="K1201" s="19">
        <f>+EOMONTH(B1201,0)</f>
        <v>46295</v>
      </c>
      <c r="L1201" s="3" t="inlineStr">
        <is>
          <t>Checking – Operating</t>
        </is>
      </c>
      <c r="M1201" s="3" t="inlineStr">
        <is>
          <t>Balance Sheet</t>
        </is>
      </c>
    </row>
    <row r="1202">
      <c r="B1202" s="39" t="n">
        <v>46280</v>
      </c>
      <c r="C1202" s="3" t="inlineStr">
        <is>
          <t>Bill Payment (Check)</t>
        </is>
      </c>
      <c r="D1202" s="3" t="inlineStr"/>
      <c r="E1202" s="3" t="inlineStr">
        <is>
          <t>Lumenlease Equipment</t>
        </is>
      </c>
      <c r="F1202" s="3" t="inlineStr">
        <is>
          <t>Equipment Lease – August</t>
        </is>
      </c>
      <c r="G1202" s="3" t="inlineStr">
        <is>
          <t>Accounts Payable</t>
        </is>
      </c>
      <c r="H1202" s="3" t="inlineStr">
        <is>
          <t>Checking – Operating</t>
        </is>
      </c>
      <c r="I1202" s="33" t="n">
        <v>-3972.87</v>
      </c>
      <c r="J1202" s="13">
        <f>+J1201+I1202</f>
        <v>2277805.88</v>
      </c>
      <c r="K1202" s="19">
        <f>+EOMONTH(B1202,0)</f>
        <v>46295</v>
      </c>
      <c r="L1202" s="3" t="inlineStr">
        <is>
          <t>Checking – Operating</t>
        </is>
      </c>
      <c r="M1202" s="3" t="inlineStr">
        <is>
          <t>Balance Sheet</t>
        </is>
      </c>
    </row>
    <row r="1203">
      <c r="B1203" s="39" t="n">
        <v>46280</v>
      </c>
      <c r="C1203" s="3" t="inlineStr">
        <is>
          <t>Credit Card Expense</t>
        </is>
      </c>
      <c r="D1203" s="3" t="inlineStr"/>
      <c r="E1203" s="3" t="inlineStr"/>
      <c r="F1203" s="3" t="inlineStr">
        <is>
          <t>Meals and Entertainment – September</t>
        </is>
      </c>
      <c r="G1203" s="3" t="inlineStr">
        <is>
          <t>Meals and Entertainment</t>
        </is>
      </c>
      <c r="H1203" s="3" t="inlineStr">
        <is>
          <t>Checking – Operating</t>
        </is>
      </c>
      <c r="I1203" s="33" t="n">
        <v>-821.1799999999999</v>
      </c>
      <c r="J1203" s="13">
        <f>+J1202+I1203</f>
        <v>2276984.7</v>
      </c>
      <c r="K1203" s="19">
        <f>+EOMONTH(B1203,0)</f>
        <v>46295</v>
      </c>
      <c r="L1203" s="3" t="inlineStr">
        <is>
          <t>Checking – Operating</t>
        </is>
      </c>
      <c r="M1203" s="3" t="inlineStr">
        <is>
          <t>Balance Sheet</t>
        </is>
      </c>
    </row>
    <row r="1204">
      <c r="B1204" s="39" t="n">
        <v>46280</v>
      </c>
      <c r="C1204" s="3" t="inlineStr">
        <is>
          <t>Deposit</t>
        </is>
      </c>
      <c r="D1204" s="3" t="inlineStr"/>
      <c r="E1204" s="3" t="inlineStr">
        <is>
          <t>State Program B</t>
        </is>
      </c>
      <c r="F1204" s="3" t="inlineStr">
        <is>
          <t>ORIG CO NAME:STATE PROG B ORIG ID:XXXXXX3831 DESC DATE:260915 CO ENTRY DESCR:HCCLAIMPMT SEC:CCD TRACE#:XXXXXXXX3624114 EED:260915 IND ID:</t>
        </is>
      </c>
      <c r="G1204" s="3" t="inlineStr">
        <is>
          <t>Service Income</t>
        </is>
      </c>
      <c r="H1204" s="3" t="inlineStr">
        <is>
          <t>Checking – Operating</t>
        </is>
      </c>
      <c r="I1204" s="33" t="n">
        <v>45722.29</v>
      </c>
      <c r="J1204" s="13">
        <f>+J1203+I1204</f>
        <v>2322706.99</v>
      </c>
      <c r="K1204" s="19">
        <f>+EOMONTH(B1204,0)</f>
        <v>46295</v>
      </c>
      <c r="L1204" s="3" t="inlineStr">
        <is>
          <t>Checking – Operating</t>
        </is>
      </c>
      <c r="M1204" s="3" t="inlineStr">
        <is>
          <t>Balance Sheet</t>
        </is>
      </c>
    </row>
    <row r="1205">
      <c r="B1205" s="39" t="n">
        <v>46280</v>
      </c>
      <c r="C1205" s="3" t="inlineStr">
        <is>
          <t>Deposit</t>
        </is>
      </c>
      <c r="D1205" s="3" t="inlineStr"/>
      <c r="E1205" s="3" t="inlineStr">
        <is>
          <t>Lanternway Benefits</t>
        </is>
      </c>
      <c r="F1205" s="3" t="inlineStr">
        <is>
          <t>ORIG CO NAME:LANTERNWAY BEN ORIG ID:XXXXXX3713 DESC DATE:260915 CO ENTRY DESCR:HCCLAIMPMT SEC:CCD TRACE#:XXXXXXXX7568980 EED:260915 IND ID:</t>
        </is>
      </c>
      <c r="G1205" s="3" t="inlineStr">
        <is>
          <t>Service Income</t>
        </is>
      </c>
      <c r="H1205" s="3" t="inlineStr">
        <is>
          <t>Checking – Operating</t>
        </is>
      </c>
      <c r="I1205" s="33" t="n">
        <v>56389.56</v>
      </c>
      <c r="J1205" s="13">
        <f>+J1204+I1205</f>
        <v>2379096.55</v>
      </c>
      <c r="K1205" s="19">
        <f>+EOMONTH(B1205,0)</f>
        <v>46295</v>
      </c>
      <c r="L1205" s="3" t="inlineStr">
        <is>
          <t>Checking – Operating</t>
        </is>
      </c>
      <c r="M1205" s="3" t="inlineStr">
        <is>
          <t>Balance Sheet</t>
        </is>
      </c>
    </row>
    <row r="1206">
      <c r="B1206" s="39" t="n">
        <v>46280</v>
      </c>
      <c r="C1206" s="3" t="inlineStr">
        <is>
          <t>Expense</t>
        </is>
      </c>
      <c r="D1206" s="3" t="inlineStr"/>
      <c r="E1206" s="3" t="inlineStr"/>
      <c r="F1206" s="3" t="inlineStr">
        <is>
          <t>Property tax installment</t>
        </is>
      </c>
      <c r="G1206" s="3" t="inlineStr">
        <is>
          <t>Property tax</t>
        </is>
      </c>
      <c r="H1206" s="3" t="inlineStr">
        <is>
          <t>Checking – Operating</t>
        </is>
      </c>
      <c r="I1206" s="33" t="n">
        <v>-787.89</v>
      </c>
      <c r="J1206" s="13">
        <f>+J1205+I1206</f>
        <v>2378308.66</v>
      </c>
      <c r="K1206" s="19">
        <f>+EOMONTH(B1206,0)</f>
        <v>46295</v>
      </c>
      <c r="L1206" s="3" t="inlineStr">
        <is>
          <t>Checking – Operating</t>
        </is>
      </c>
      <c r="M1206" s="3" t="inlineStr">
        <is>
          <t>Balance Sheet</t>
        </is>
      </c>
    </row>
    <row r="1207">
      <c r="B1207" s="39" t="n">
        <v>46280</v>
      </c>
      <c r="C1207" s="3" t="inlineStr">
        <is>
          <t>Journal Entry</t>
        </is>
      </c>
      <c r="D1207" s="3" t="inlineStr"/>
      <c r="E1207" s="3" t="inlineStr">
        <is>
          <t>Consultant A</t>
        </is>
      </c>
      <c r="F1207" s="3" t="inlineStr">
        <is>
          <t>Consulting – September</t>
        </is>
      </c>
      <c r="G1207" s="3" t="inlineStr">
        <is>
          <t>Consulting</t>
        </is>
      </c>
      <c r="H1207" s="3" t="inlineStr">
        <is>
          <t>Checking – Operating</t>
        </is>
      </c>
      <c r="I1207" s="33" t="n">
        <v>-2891.51</v>
      </c>
      <c r="J1207" s="13">
        <f>+J1206+I1207</f>
        <v>2375417.15</v>
      </c>
      <c r="K1207" s="19">
        <f>+EOMONTH(B1207,0)</f>
        <v>46295</v>
      </c>
      <c r="L1207" s="3" t="inlineStr">
        <is>
          <t>Checking – Operating</t>
        </is>
      </c>
      <c r="M1207" s="3" t="inlineStr">
        <is>
          <t>Balance Sheet</t>
        </is>
      </c>
    </row>
    <row r="1208">
      <c r="B1208" s="39" t="n">
        <v>46280</v>
      </c>
      <c r="C1208" s="3" t="inlineStr">
        <is>
          <t>Payroll Check</t>
        </is>
      </c>
      <c r="D1208" s="3" t="inlineStr"/>
      <c r="E1208" s="3" t="inlineStr">
        <is>
          <t>Tessarand Payroll Services</t>
        </is>
      </c>
      <c r="F1208" s="3" t="inlineStr">
        <is>
          <t>Payroll processing fee</t>
        </is>
      </c>
      <c r="G1208" s="3" t="inlineStr">
        <is>
          <t>Payroll Processing Fee</t>
        </is>
      </c>
      <c r="H1208" s="3" t="inlineStr">
        <is>
          <t>Checking – Operating</t>
        </is>
      </c>
      <c r="I1208" s="33" t="n">
        <v>-92.78</v>
      </c>
      <c r="J1208" s="13">
        <f>+J1207+I1208</f>
        <v>2375324.37</v>
      </c>
      <c r="K1208" s="19">
        <f>+EOMONTH(B1208,0)</f>
        <v>46295</v>
      </c>
      <c r="L1208" s="3" t="inlineStr">
        <is>
          <t>Checking – Operating</t>
        </is>
      </c>
      <c r="M1208" s="3" t="inlineStr">
        <is>
          <t>Balance Sheet</t>
        </is>
      </c>
    </row>
    <row r="1209">
      <c r="B1209" s="39" t="n">
        <v>46281</v>
      </c>
      <c r="C1209" s="3" t="inlineStr">
        <is>
          <t>Bill Payment (Check)</t>
        </is>
      </c>
      <c r="D1209" s="3" t="inlineStr"/>
      <c r="E1209" s="3" t="inlineStr">
        <is>
          <t>Reference Lab A</t>
        </is>
      </c>
      <c r="F1209" s="3" t="inlineStr">
        <is>
          <t>Send-out testing – August</t>
        </is>
      </c>
      <c r="G1209" s="3" t="inlineStr">
        <is>
          <t>Accounts Payable</t>
        </is>
      </c>
      <c r="H1209" s="3" t="inlineStr">
        <is>
          <t>Checking – Operating</t>
        </is>
      </c>
      <c r="I1209" s="33" t="n">
        <v>-18342.39</v>
      </c>
      <c r="J1209" s="13">
        <f>+J1208+I1209</f>
        <v>2356981.98</v>
      </c>
      <c r="K1209" s="19">
        <f>+EOMONTH(B1209,0)</f>
        <v>46295</v>
      </c>
      <c r="L1209" s="3" t="inlineStr">
        <is>
          <t>Checking – Operating</t>
        </is>
      </c>
      <c r="M1209" s="3" t="inlineStr">
        <is>
          <t>Balance Sheet</t>
        </is>
      </c>
    </row>
    <row r="1210">
      <c r="B1210" s="39" t="n">
        <v>46281</v>
      </c>
      <c r="C1210" s="3" t="inlineStr">
        <is>
          <t>Expense</t>
        </is>
      </c>
      <c r="D1210" s="3" t="inlineStr"/>
      <c r="E1210" s="3" t="inlineStr"/>
      <c r="F1210" s="3" t="inlineStr">
        <is>
          <t>Travel Expense – September</t>
        </is>
      </c>
      <c r="G1210" s="3" t="inlineStr">
        <is>
          <t>Travel Expense</t>
        </is>
      </c>
      <c r="H1210" s="3" t="inlineStr">
        <is>
          <t>Checking – Operating</t>
        </is>
      </c>
      <c r="I1210" s="33" t="n">
        <v>-1040.77</v>
      </c>
      <c r="J1210" s="13">
        <f>+J1209+I1210</f>
        <v>2355941.21</v>
      </c>
      <c r="K1210" s="19">
        <f>+EOMONTH(B1210,0)</f>
        <v>46295</v>
      </c>
      <c r="L1210" s="3" t="inlineStr">
        <is>
          <t>Checking – Operating</t>
        </is>
      </c>
      <c r="M1210" s="3" t="inlineStr">
        <is>
          <t>Balance Sheet</t>
        </is>
      </c>
    </row>
    <row r="1211">
      <c r="B1211" s="39" t="n">
        <v>46281</v>
      </c>
      <c r="C1211" s="3" t="inlineStr">
        <is>
          <t>Payroll Check</t>
        </is>
      </c>
      <c r="D1211" s="3" t="inlineStr"/>
      <c r="E1211" s="3" t="inlineStr">
        <is>
          <t>Tessarand Payroll Services</t>
        </is>
      </c>
      <c r="F1211" s="3" t="inlineStr">
        <is>
          <t>Payroll – biweekly</t>
        </is>
      </c>
      <c r="G1211" s="3" t="inlineStr">
        <is>
          <t>Salaries and Wages</t>
        </is>
      </c>
      <c r="H1211" s="3" t="inlineStr">
        <is>
          <t>Checking – Operating</t>
        </is>
      </c>
      <c r="I1211" s="33" t="n">
        <v>-184826.28</v>
      </c>
      <c r="J1211" s="13">
        <f>+J1210+I1211</f>
        <v>2171114.93</v>
      </c>
      <c r="K1211" s="19">
        <f>+EOMONTH(B1211,0)</f>
        <v>46295</v>
      </c>
      <c r="L1211" s="3" t="inlineStr">
        <is>
          <t>Checking – Operating</t>
        </is>
      </c>
      <c r="M1211" s="3" t="inlineStr">
        <is>
          <t>Balance Sheet</t>
        </is>
      </c>
    </row>
    <row r="1212">
      <c r="B1212" s="39" t="n">
        <v>46282</v>
      </c>
      <c r="C1212" s="3" t="inlineStr">
        <is>
          <t>Deposit</t>
        </is>
      </c>
      <c r="D1212" s="3" t="inlineStr"/>
      <c r="E1212" s="3" t="inlineStr">
        <is>
          <t>Cobaltmere Health</t>
        </is>
      </c>
      <c r="F1212" s="3" t="inlineStr">
        <is>
          <t>ORIG CO NAME:COBALTMERE HEALTH ORIG ID:XXXXXX5272 DESC DATE:260917 CO ENTRY DESCR:HCCLAIMPMT SEC:CCD TRACE#:XXXXXXXX4908236 EED:260917 IND ID:</t>
        </is>
      </c>
      <c r="G1212" s="3" t="inlineStr">
        <is>
          <t>Service Income</t>
        </is>
      </c>
      <c r="H1212" s="3" t="inlineStr">
        <is>
          <t>Checking – Operating</t>
        </is>
      </c>
      <c r="I1212" s="33" t="n">
        <v>30136.06</v>
      </c>
      <c r="J1212" s="13">
        <f>+J1211+I1212</f>
        <v>2201250.99</v>
      </c>
      <c r="K1212" s="19">
        <f>+EOMONTH(B1212,0)</f>
        <v>46295</v>
      </c>
      <c r="L1212" s="3" t="inlineStr">
        <is>
          <t>Checking – Operating</t>
        </is>
      </c>
      <c r="M1212" s="3" t="inlineStr">
        <is>
          <t>Balance Sheet</t>
        </is>
      </c>
    </row>
    <row r="1213">
      <c r="B1213" s="39" t="n">
        <v>46282</v>
      </c>
      <c r="C1213" s="3" t="inlineStr">
        <is>
          <t>Expense</t>
        </is>
      </c>
      <c r="D1213" s="3" t="inlineStr"/>
      <c r="E1213" s="3" t="inlineStr">
        <is>
          <t>Consultant A</t>
        </is>
      </c>
      <c r="F1213" s="3" t="inlineStr">
        <is>
          <t>Professional Fees – September</t>
        </is>
      </c>
      <c r="G1213" s="3" t="inlineStr">
        <is>
          <t>Professional Fees</t>
        </is>
      </c>
      <c r="H1213" s="3" t="inlineStr">
        <is>
          <t>Checking – Operating</t>
        </is>
      </c>
      <c r="I1213" s="33" t="n">
        <v>-6893.15</v>
      </c>
      <c r="J1213" s="13">
        <f>+J1212+I1213</f>
        <v>2194357.84</v>
      </c>
      <c r="K1213" s="19">
        <f>+EOMONTH(B1213,0)</f>
        <v>46295</v>
      </c>
      <c r="L1213" s="3" t="inlineStr">
        <is>
          <t>Checking – Operating</t>
        </is>
      </c>
      <c r="M1213" s="3" t="inlineStr">
        <is>
          <t>Balance Sheet</t>
        </is>
      </c>
    </row>
    <row r="1214">
      <c r="B1214" s="39" t="n">
        <v>46282</v>
      </c>
      <c r="C1214" s="3" t="inlineStr">
        <is>
          <t>Journal Entry</t>
        </is>
      </c>
      <c r="D1214" s="3" t="inlineStr"/>
      <c r="E1214" s="3" t="inlineStr"/>
      <c r="F1214" s="3" t="inlineStr">
        <is>
          <t>Business Meetings &amp; Development – September</t>
        </is>
      </c>
      <c r="G1214" s="3" t="inlineStr">
        <is>
          <t>Business Meetings &amp; Development</t>
        </is>
      </c>
      <c r="H1214" s="3" t="inlineStr">
        <is>
          <t>Checking – Operating</t>
        </is>
      </c>
      <c r="I1214" s="33" t="n">
        <v>-4760.65</v>
      </c>
      <c r="J1214" s="13">
        <f>+J1213+I1214</f>
        <v>2189597.19</v>
      </c>
      <c r="K1214" s="19">
        <f>+EOMONTH(B1214,0)</f>
        <v>46295</v>
      </c>
      <c r="L1214" s="3" t="inlineStr">
        <is>
          <t>Checking – Operating</t>
        </is>
      </c>
      <c r="M1214" s="3" t="inlineStr">
        <is>
          <t>Balance Sheet</t>
        </is>
      </c>
    </row>
    <row r="1215">
      <c r="B1215" s="39" t="n">
        <v>46283</v>
      </c>
      <c r="C1215" s="3" t="inlineStr">
        <is>
          <t>Bill Payment (Check)</t>
        </is>
      </c>
      <c r="D1215" s="3" t="inlineStr"/>
      <c r="E1215" s="3" t="inlineStr">
        <is>
          <t>Vialtrace Lab Supplies Inc</t>
        </is>
      </c>
      <c r="F1215" s="3" t="inlineStr">
        <is>
          <t>Lab Expenses – August</t>
        </is>
      </c>
      <c r="G1215" s="3" t="inlineStr">
        <is>
          <t>Accounts Payable</t>
        </is>
      </c>
      <c r="H1215" s="3" t="inlineStr">
        <is>
          <t>Checking – Operating</t>
        </is>
      </c>
      <c r="I1215" s="33" t="n">
        <v>-3515.64</v>
      </c>
      <c r="J1215" s="13">
        <f>+J1214+I1215</f>
        <v>2186081.55</v>
      </c>
      <c r="K1215" s="19">
        <f>+EOMONTH(B1215,0)</f>
        <v>46295</v>
      </c>
      <c r="L1215" s="3" t="inlineStr">
        <is>
          <t>Checking – Operating</t>
        </is>
      </c>
      <c r="M1215" s="3" t="inlineStr">
        <is>
          <t>Balance Sheet</t>
        </is>
      </c>
    </row>
    <row r="1216">
      <c r="B1216" s="39" t="n">
        <v>46283</v>
      </c>
      <c r="C1216" s="3" t="inlineStr">
        <is>
          <t>Credit Card Expense</t>
        </is>
      </c>
      <c r="D1216" s="3" t="inlineStr"/>
      <c r="E1216" s="3" t="inlineStr"/>
      <c r="F1216" s="3" t="inlineStr">
        <is>
          <t>Automobile Expense – September</t>
        </is>
      </c>
      <c r="G1216" s="3" t="inlineStr">
        <is>
          <t>Automobile Expense</t>
        </is>
      </c>
      <c r="H1216" s="3" t="inlineStr">
        <is>
          <t>Checking – Operating</t>
        </is>
      </c>
      <c r="I1216" s="33" t="n">
        <v>-1843.85</v>
      </c>
      <c r="J1216" s="13">
        <f>+J1215+I1216</f>
        <v>2184237.7</v>
      </c>
      <c r="K1216" s="19">
        <f>+EOMONTH(B1216,0)</f>
        <v>46295</v>
      </c>
      <c r="L1216" s="3" t="inlineStr">
        <is>
          <t>Checking – Operating</t>
        </is>
      </c>
      <c r="M1216" s="3" t="inlineStr">
        <is>
          <t>Balance Sheet</t>
        </is>
      </c>
    </row>
    <row r="1217">
      <c r="B1217" s="39" t="n">
        <v>46283</v>
      </c>
      <c r="C1217" s="3" t="inlineStr">
        <is>
          <t>Deposit</t>
        </is>
      </c>
      <c r="D1217" s="3" t="inlineStr"/>
      <c r="E1217" s="3" t="inlineStr">
        <is>
          <t>Cobaltmere Health</t>
        </is>
      </c>
      <c r="F1217" s="3" t="inlineStr">
        <is>
          <t>ORIG CO NAME:COBALTMERE HEALTH ORIG ID:XXXXXX7097 DESC DATE:260918 CO ENTRY DESCR:HCCLAIMPMT SEC:CCD TRACE#:XXXXXXXX1847897 EED:260918 IND ID:</t>
        </is>
      </c>
      <c r="G1217" s="3" t="inlineStr">
        <is>
          <t>Service Income</t>
        </is>
      </c>
      <c r="H1217" s="3" t="inlineStr">
        <is>
          <t>Checking – Operating</t>
        </is>
      </c>
      <c r="I1217" s="33" t="n">
        <v>23196.19</v>
      </c>
      <c r="J1217" s="13">
        <f>+J1216+I1217</f>
        <v>2207433.89</v>
      </c>
      <c r="K1217" s="19">
        <f>+EOMONTH(B1217,0)</f>
        <v>46295</v>
      </c>
      <c r="L1217" s="3" t="inlineStr">
        <is>
          <t>Checking – Operating</t>
        </is>
      </c>
      <c r="M1217" s="3" t="inlineStr">
        <is>
          <t>Balance Sheet</t>
        </is>
      </c>
    </row>
    <row r="1218">
      <c r="B1218" s="39" t="n">
        <v>46283</v>
      </c>
      <c r="C1218" s="3" t="inlineStr">
        <is>
          <t>Expense</t>
        </is>
      </c>
      <c r="D1218" s="3" t="inlineStr"/>
      <c r="E1218" s="3" t="inlineStr">
        <is>
          <t>Tessarand Payroll Services</t>
        </is>
      </c>
      <c r="F1218" s="3" t="inlineStr">
        <is>
          <t>Sales and Marketing Expenses – September</t>
        </is>
      </c>
      <c r="G1218" s="3" t="inlineStr">
        <is>
          <t>Sales and Marketing Expenses</t>
        </is>
      </c>
      <c r="H1218" s="3" t="inlineStr">
        <is>
          <t>Checking – Operating</t>
        </is>
      </c>
      <c r="I1218" s="33" t="n">
        <v>-20345.02</v>
      </c>
      <c r="J1218" s="13">
        <f>+J1217+I1218</f>
        <v>2187088.87</v>
      </c>
      <c r="K1218" s="19">
        <f>+EOMONTH(B1218,0)</f>
        <v>46295</v>
      </c>
      <c r="L1218" s="3" t="inlineStr">
        <is>
          <t>Checking – Operating</t>
        </is>
      </c>
      <c r="M1218" s="3" t="inlineStr">
        <is>
          <t>Balance Sheet</t>
        </is>
      </c>
    </row>
    <row r="1219">
      <c r="B1219" s="39" t="n">
        <v>46283</v>
      </c>
      <c r="C1219" s="3" t="inlineStr">
        <is>
          <t>Expense</t>
        </is>
      </c>
      <c r="D1219" s="3" t="inlineStr"/>
      <c r="E1219" s="3" t="inlineStr">
        <is>
          <t>Union Utilities</t>
        </is>
      </c>
      <c r="F1219" s="3" t="inlineStr">
        <is>
          <t>Telecom and Internet – September</t>
        </is>
      </c>
      <c r="G1219" s="3" t="inlineStr">
        <is>
          <t>Telecom and Internet</t>
        </is>
      </c>
      <c r="H1219" s="3" t="inlineStr">
        <is>
          <t>Checking – Operating</t>
        </is>
      </c>
      <c r="I1219" s="33" t="n">
        <v>-5610.32</v>
      </c>
      <c r="J1219" s="13">
        <f>+J1218+I1219</f>
        <v>2181478.55</v>
      </c>
      <c r="K1219" s="19">
        <f>+EOMONTH(B1219,0)</f>
        <v>46295</v>
      </c>
      <c r="L1219" s="3" t="inlineStr">
        <is>
          <t>Checking – Operating</t>
        </is>
      </c>
      <c r="M1219" s="3" t="inlineStr">
        <is>
          <t>Balance Sheet</t>
        </is>
      </c>
    </row>
    <row r="1220">
      <c r="B1220" s="39" t="n">
        <v>46284</v>
      </c>
      <c r="C1220" s="3" t="inlineStr">
        <is>
          <t>Bill Payment (Check)</t>
        </is>
      </c>
      <c r="D1220" s="3" t="inlineStr"/>
      <c r="E1220" s="3" t="inlineStr">
        <is>
          <t>Reagentix Corp</t>
        </is>
      </c>
      <c r="F1220" s="3" t="inlineStr">
        <is>
          <t>Lab supplies PO# F2944</t>
        </is>
      </c>
      <c r="G1220" s="3" t="inlineStr">
        <is>
          <t>Accounts Payable</t>
        </is>
      </c>
      <c r="H1220" s="3" t="inlineStr">
        <is>
          <t>Checking – Operating</t>
        </is>
      </c>
      <c r="I1220" s="33" t="n">
        <v>-10953.93</v>
      </c>
      <c r="J1220" s="13">
        <f>+J1219+I1220</f>
        <v>2170524.62</v>
      </c>
      <c r="K1220" s="19">
        <f>+EOMONTH(B1220,0)</f>
        <v>46295</v>
      </c>
      <c r="L1220" s="3" t="inlineStr">
        <is>
          <t>Checking – Operating</t>
        </is>
      </c>
      <c r="M1220" s="3" t="inlineStr">
        <is>
          <t>Balance Sheet</t>
        </is>
      </c>
    </row>
    <row r="1221">
      <c r="B1221" s="39" t="n">
        <v>46284</v>
      </c>
      <c r="C1221" s="3" t="inlineStr">
        <is>
          <t>Bill Payment (Check)</t>
        </is>
      </c>
      <c r="D1221" s="3" t="inlineStr"/>
      <c r="E1221" s="3" t="inlineStr">
        <is>
          <t>Halloway Ridge Realty (rent)</t>
        </is>
      </c>
      <c r="F1221" s="3" t="inlineStr">
        <is>
          <t>Rent – September</t>
        </is>
      </c>
      <c r="G1221" s="3" t="inlineStr">
        <is>
          <t>Accounts Payable</t>
        </is>
      </c>
      <c r="H1221" s="3" t="inlineStr">
        <is>
          <t>Checking – Operating</t>
        </is>
      </c>
      <c r="I1221" s="33" t="n">
        <v>-12754.24</v>
      </c>
      <c r="J1221" s="13">
        <f>+J1220+I1221</f>
        <v>2157770.38</v>
      </c>
      <c r="K1221" s="19">
        <f>+EOMONTH(B1221,0)</f>
        <v>46295</v>
      </c>
      <c r="L1221" s="3" t="inlineStr">
        <is>
          <t>Checking – Operating</t>
        </is>
      </c>
      <c r="M1221" s="3" t="inlineStr">
        <is>
          <t>Balance Sheet</t>
        </is>
      </c>
    </row>
    <row r="1222">
      <c r="B1222" s="39" t="n">
        <v>46284</v>
      </c>
      <c r="C1222" s="3" t="inlineStr">
        <is>
          <t>Bill Payment (Check)</t>
        </is>
      </c>
      <c r="D1222" s="3" t="inlineStr"/>
      <c r="E1222" s="3" t="inlineStr">
        <is>
          <t>Tarrowmere Mutual Insurance</t>
        </is>
      </c>
      <c r="F1222" s="3" t="inlineStr">
        <is>
          <t>Benefits – August</t>
        </is>
      </c>
      <c r="G1222" s="3" t="inlineStr">
        <is>
          <t>Accounts Payable</t>
        </is>
      </c>
      <c r="H1222" s="3" t="inlineStr">
        <is>
          <t>Checking – Operating</t>
        </is>
      </c>
      <c r="I1222" s="33" t="n">
        <v>-4622.81</v>
      </c>
      <c r="J1222" s="13">
        <f>+J1221+I1222</f>
        <v>2153147.57</v>
      </c>
      <c r="K1222" s="19">
        <f>+EOMONTH(B1222,0)</f>
        <v>46295</v>
      </c>
      <c r="L1222" s="3" t="inlineStr">
        <is>
          <t>Checking – Operating</t>
        </is>
      </c>
      <c r="M1222" s="3" t="inlineStr">
        <is>
          <t>Balance Sheet</t>
        </is>
      </c>
    </row>
    <row r="1223">
      <c r="B1223" s="39" t="n">
        <v>46284</v>
      </c>
      <c r="C1223" s="3" t="inlineStr">
        <is>
          <t>Deposit</t>
        </is>
      </c>
      <c r="D1223" s="3" t="inlineStr"/>
      <c r="E1223" s="3" t="inlineStr">
        <is>
          <t>Quayside Choice Senior Plan</t>
        </is>
      </c>
      <c r="F1223" s="3" t="inlineStr">
        <is>
          <t>ORIG CO NAME:QUAYSIDE CHOICE SP ORIG ID:XXXXXX3731 DESC DATE:260919 CO ENTRY DESCR:HCCLAIMPMT SEC:CCD TRACE#:XXXXXXXX4499747 EED:260919 IND ID:</t>
        </is>
      </c>
      <c r="G1223" s="3" t="inlineStr">
        <is>
          <t>Service Income</t>
        </is>
      </c>
      <c r="H1223" s="3" t="inlineStr">
        <is>
          <t>Checking – Operating</t>
        </is>
      </c>
      <c r="I1223" s="33" t="n">
        <v>39397.03</v>
      </c>
      <c r="J1223" s="13">
        <f>+J1222+I1223</f>
        <v>2192544.6</v>
      </c>
      <c r="K1223" s="19">
        <f>+EOMONTH(B1223,0)</f>
        <v>46295</v>
      </c>
      <c r="L1223" s="3" t="inlineStr">
        <is>
          <t>Checking – Operating</t>
        </is>
      </c>
      <c r="M1223" s="3" t="inlineStr">
        <is>
          <t>Balance Sheet</t>
        </is>
      </c>
    </row>
    <row r="1224">
      <c r="B1224" s="39" t="n">
        <v>46284</v>
      </c>
      <c r="C1224" s="3" t="inlineStr">
        <is>
          <t>Expense</t>
        </is>
      </c>
      <c r="D1224" s="3" t="inlineStr"/>
      <c r="E1224" s="3" t="inlineStr"/>
      <c r="F1224" s="3" t="inlineStr">
        <is>
          <t>Patient refund</t>
        </is>
      </c>
      <c r="G1224" s="3" t="inlineStr">
        <is>
          <t>Refunds</t>
        </is>
      </c>
      <c r="H1224" s="3" t="inlineStr">
        <is>
          <t>Checking – Operating</t>
        </is>
      </c>
      <c r="I1224" s="33" t="n">
        <v>-3420.26</v>
      </c>
      <c r="J1224" s="13">
        <f>+J1223+I1224</f>
        <v>2189124.34</v>
      </c>
      <c r="K1224" s="19">
        <f>+EOMONTH(B1224,0)</f>
        <v>46295</v>
      </c>
      <c r="L1224" s="3" t="inlineStr">
        <is>
          <t>Checking – Operating</t>
        </is>
      </c>
      <c r="M1224" s="3" t="inlineStr">
        <is>
          <t>Balance Sheet</t>
        </is>
      </c>
    </row>
    <row r="1225">
      <c r="B1225" s="39" t="n">
        <v>46284</v>
      </c>
      <c r="C1225" s="3" t="inlineStr">
        <is>
          <t>Expense</t>
        </is>
      </c>
      <c r="D1225" s="3" t="inlineStr"/>
      <c r="E1225" s="3" t="inlineStr"/>
      <c r="F1225" s="3" t="inlineStr">
        <is>
          <t>Patient refund</t>
        </is>
      </c>
      <c r="G1225" s="3" t="inlineStr">
        <is>
          <t>Refunds</t>
        </is>
      </c>
      <c r="H1225" s="3" t="inlineStr">
        <is>
          <t>Checking – Operating</t>
        </is>
      </c>
      <c r="I1225" s="33" t="n">
        <v>-4057.47</v>
      </c>
      <c r="J1225" s="13">
        <f>+J1224+I1225</f>
        <v>2185066.87</v>
      </c>
      <c r="K1225" s="19">
        <f>+EOMONTH(B1225,0)</f>
        <v>46295</v>
      </c>
      <c r="L1225" s="3" t="inlineStr">
        <is>
          <t>Checking – Operating</t>
        </is>
      </c>
      <c r="M1225" s="3" t="inlineStr">
        <is>
          <t>Balance Sheet</t>
        </is>
      </c>
    </row>
    <row r="1226">
      <c r="B1226" s="39" t="n">
        <v>46284</v>
      </c>
      <c r="C1226" s="3" t="inlineStr">
        <is>
          <t>Journal Entry</t>
        </is>
      </c>
      <c r="D1226" s="3" t="inlineStr"/>
      <c r="E1226" s="3" t="inlineStr"/>
      <c r="F1226" s="3" t="inlineStr">
        <is>
          <t>Gas – September</t>
        </is>
      </c>
      <c r="G1226" s="3" t="inlineStr">
        <is>
          <t>Gas</t>
        </is>
      </c>
      <c r="H1226" s="3" t="inlineStr">
        <is>
          <t>Checking – Operating</t>
        </is>
      </c>
      <c r="I1226" s="33" t="n">
        <v>-894.23</v>
      </c>
      <c r="J1226" s="13">
        <f>+J1225+I1226</f>
        <v>2184172.64</v>
      </c>
      <c r="K1226" s="19">
        <f>+EOMONTH(B1226,0)</f>
        <v>46295</v>
      </c>
      <c r="L1226" s="3" t="inlineStr">
        <is>
          <t>Checking – Operating</t>
        </is>
      </c>
      <c r="M1226" s="3" t="inlineStr">
        <is>
          <t>Balance Sheet</t>
        </is>
      </c>
    </row>
    <row r="1227">
      <c r="B1227" s="39" t="n">
        <v>46285</v>
      </c>
      <c r="C1227" s="3" t="inlineStr">
        <is>
          <t>Credit Card Expense</t>
        </is>
      </c>
      <c r="D1227" s="3" t="inlineStr"/>
      <c r="E1227" s="3" t="inlineStr">
        <is>
          <t>Ledgerquill Billing SaaS</t>
        </is>
      </c>
      <c r="F1227" s="3" t="inlineStr">
        <is>
          <t>Software – September</t>
        </is>
      </c>
      <c r="G1227" s="3" t="inlineStr">
        <is>
          <t>Software</t>
        </is>
      </c>
      <c r="H1227" s="3" t="inlineStr">
        <is>
          <t>Checking – Operating</t>
        </is>
      </c>
      <c r="I1227" s="33" t="n">
        <v>-5784.9</v>
      </c>
      <c r="J1227" s="13">
        <f>+J1226+I1227</f>
        <v>2178387.74</v>
      </c>
      <c r="K1227" s="19">
        <f>+EOMONTH(B1227,0)</f>
        <v>46295</v>
      </c>
      <c r="L1227" s="3" t="inlineStr">
        <is>
          <t>Checking – Operating</t>
        </is>
      </c>
      <c r="M1227" s="3" t="inlineStr">
        <is>
          <t>Balance Sheet</t>
        </is>
      </c>
    </row>
    <row r="1228">
      <c r="B1228" s="39" t="n">
        <v>46285</v>
      </c>
      <c r="C1228" s="3" t="inlineStr">
        <is>
          <t>Expense</t>
        </is>
      </c>
      <c r="D1228" s="3" t="inlineStr"/>
      <c r="E1228" s="3" t="inlineStr">
        <is>
          <t>Halloway Ridge Realty (rent)</t>
        </is>
      </c>
      <c r="F1228" s="3" t="inlineStr">
        <is>
          <t>Landscaping – September</t>
        </is>
      </c>
      <c r="G1228" s="3" t="inlineStr">
        <is>
          <t>Landscaping</t>
        </is>
      </c>
      <c r="H1228" s="3" t="inlineStr">
        <is>
          <t>Checking – Operating</t>
        </is>
      </c>
      <c r="I1228" s="33" t="n">
        <v>-841.67</v>
      </c>
      <c r="J1228" s="13">
        <f>+J1227+I1228</f>
        <v>2177546.07</v>
      </c>
      <c r="K1228" s="19">
        <f>+EOMONTH(B1228,0)</f>
        <v>46295</v>
      </c>
      <c r="L1228" s="3" t="inlineStr">
        <is>
          <t>Checking – Operating</t>
        </is>
      </c>
      <c r="M1228" s="3" t="inlineStr">
        <is>
          <t>Balance Sheet</t>
        </is>
      </c>
    </row>
    <row r="1229">
      <c r="B1229" s="39" t="n">
        <v>46285</v>
      </c>
      <c r="C1229" s="3" t="inlineStr">
        <is>
          <t>Expense</t>
        </is>
      </c>
      <c r="D1229" s="3" t="inlineStr"/>
      <c r="E1229" s="3" t="inlineStr">
        <is>
          <t>Halloway Ridge Realty (rent)</t>
        </is>
      </c>
      <c r="F1229" s="3" t="inlineStr">
        <is>
          <t>Landscaping – September</t>
        </is>
      </c>
      <c r="G1229" s="3" t="inlineStr">
        <is>
          <t>Landscaping</t>
        </is>
      </c>
      <c r="H1229" s="3" t="inlineStr">
        <is>
          <t>Checking – Operating</t>
        </is>
      </c>
      <c r="I1229" s="33" t="n">
        <v>-1546.59</v>
      </c>
      <c r="J1229" s="13">
        <f>+J1228+I1229</f>
        <v>2175999.48</v>
      </c>
      <c r="K1229" s="19">
        <f>+EOMONTH(B1229,0)</f>
        <v>46295</v>
      </c>
      <c r="L1229" s="3" t="inlineStr">
        <is>
          <t>Checking – Operating</t>
        </is>
      </c>
      <c r="M1229" s="3" t="inlineStr">
        <is>
          <t>Balance Sheet</t>
        </is>
      </c>
    </row>
    <row r="1230">
      <c r="B1230" s="39" t="n">
        <v>46285</v>
      </c>
      <c r="C1230" s="3" t="inlineStr">
        <is>
          <t>Expense</t>
        </is>
      </c>
      <c r="D1230" s="3" t="inlineStr"/>
      <c r="E1230" s="3" t="inlineStr"/>
      <c r="F1230" s="3" t="inlineStr">
        <is>
          <t>Business Licenses and Permits – September</t>
        </is>
      </c>
      <c r="G1230" s="3" t="inlineStr">
        <is>
          <t>Business Licenses and Permits</t>
        </is>
      </c>
      <c r="H1230" s="3" t="inlineStr">
        <is>
          <t>Checking – Operating</t>
        </is>
      </c>
      <c r="I1230" s="33" t="n">
        <v>-841.3200000000001</v>
      </c>
      <c r="J1230" s="13">
        <f>+J1229+I1230</f>
        <v>2175158.16</v>
      </c>
      <c r="K1230" s="19">
        <f>+EOMONTH(B1230,0)</f>
        <v>46295</v>
      </c>
      <c r="L1230" s="3" t="inlineStr">
        <is>
          <t>Checking – Operating</t>
        </is>
      </c>
      <c r="M1230" s="3" t="inlineStr">
        <is>
          <t>Balance Sheet</t>
        </is>
      </c>
    </row>
    <row r="1231">
      <c r="B1231" s="39" t="n">
        <v>46286</v>
      </c>
      <c r="C1231" s="3" t="inlineStr">
        <is>
          <t>Bill Payment (Check)</t>
        </is>
      </c>
      <c r="D1231" s="3" t="inlineStr"/>
      <c r="E1231" s="3" t="inlineStr">
        <is>
          <t>Lumenlease Equipment</t>
        </is>
      </c>
      <c r="F1231" s="3" t="inlineStr">
        <is>
          <t>Lab Equipment – August</t>
        </is>
      </c>
      <c r="G1231" s="3" t="inlineStr">
        <is>
          <t>Accounts Payable</t>
        </is>
      </c>
      <c r="H1231" s="3" t="inlineStr">
        <is>
          <t>Checking – Operating</t>
        </is>
      </c>
      <c r="I1231" s="33" t="n">
        <v>-3659.43</v>
      </c>
      <c r="J1231" s="13">
        <f>+J1230+I1231</f>
        <v>2171498.73</v>
      </c>
      <c r="K1231" s="19">
        <f>+EOMONTH(B1231,0)</f>
        <v>46295</v>
      </c>
      <c r="L1231" s="3" t="inlineStr">
        <is>
          <t>Checking – Operating</t>
        </is>
      </c>
      <c r="M1231" s="3" t="inlineStr">
        <is>
          <t>Balance Sheet</t>
        </is>
      </c>
    </row>
    <row r="1232">
      <c r="B1232" s="39" t="n">
        <v>46286</v>
      </c>
      <c r="C1232" s="3" t="inlineStr">
        <is>
          <t>Bill Payment (Check)</t>
        </is>
      </c>
      <c r="D1232" s="3" t="inlineStr"/>
      <c r="E1232" s="3" t="inlineStr">
        <is>
          <t>Union Utilities</t>
        </is>
      </c>
      <c r="F1232" s="3" t="inlineStr">
        <is>
          <t>Utilities – August</t>
        </is>
      </c>
      <c r="G1232" s="3" t="inlineStr">
        <is>
          <t>Accounts Payable</t>
        </is>
      </c>
      <c r="H1232" s="3" t="inlineStr">
        <is>
          <t>Checking – Operating</t>
        </is>
      </c>
      <c r="I1232" s="33" t="n">
        <v>-3633.57</v>
      </c>
      <c r="J1232" s="13">
        <f>+J1231+I1232</f>
        <v>2167865.16</v>
      </c>
      <c r="K1232" s="19">
        <f>+EOMONTH(B1232,0)</f>
        <v>46295</v>
      </c>
      <c r="L1232" s="3" t="inlineStr">
        <is>
          <t>Checking – Operating</t>
        </is>
      </c>
      <c r="M1232" s="3" t="inlineStr">
        <is>
          <t>Balance Sheet</t>
        </is>
      </c>
    </row>
    <row r="1233">
      <c r="B1233" s="39" t="n">
        <v>46286</v>
      </c>
      <c r="C1233" s="3" t="inlineStr">
        <is>
          <t>Credit Card Expense</t>
        </is>
      </c>
      <c r="D1233" s="3" t="inlineStr"/>
      <c r="E1233" s="3" t="inlineStr"/>
      <c r="F1233" s="3" t="inlineStr">
        <is>
          <t>Business Meetings &amp; Development – September</t>
        </is>
      </c>
      <c r="G1233" s="3" t="inlineStr">
        <is>
          <t>Business Meetings &amp; Development</t>
        </is>
      </c>
      <c r="H1233" s="3" t="inlineStr">
        <is>
          <t>Checking – Operating</t>
        </is>
      </c>
      <c r="I1233" s="33" t="n">
        <v>-2535.03</v>
      </c>
      <c r="J1233" s="13">
        <f>+J1232+I1233</f>
        <v>2165330.13</v>
      </c>
      <c r="K1233" s="19">
        <f>+EOMONTH(B1233,0)</f>
        <v>46295</v>
      </c>
      <c r="L1233" s="3" t="inlineStr">
        <is>
          <t>Checking – Operating</t>
        </is>
      </c>
      <c r="M1233" s="3" t="inlineStr">
        <is>
          <t>Balance Sheet</t>
        </is>
      </c>
    </row>
    <row r="1234">
      <c r="B1234" s="39" t="n">
        <v>46286</v>
      </c>
      <c r="C1234" s="3" t="inlineStr">
        <is>
          <t>Deposit</t>
        </is>
      </c>
      <c r="D1234" s="3" t="inlineStr"/>
      <c r="E1234" s="3" t="inlineStr">
        <is>
          <t>Federal Program A</t>
        </is>
      </c>
      <c r="F1234" s="3" t="inlineStr">
        <is>
          <t>ORIG CO NAME:FEDERAL PROG A ORIG ID:XXXXXX6353 DESC DATE:260921 CO ENTRY DESCR:HCCLAIMPMT SEC:CCD TRACE#:XXXXXXXX3596107 EED:260921 IND ID:</t>
        </is>
      </c>
      <c r="G1234" s="3" t="inlineStr">
        <is>
          <t>Service Income</t>
        </is>
      </c>
      <c r="H1234" s="3" t="inlineStr">
        <is>
          <t>Checking – Operating</t>
        </is>
      </c>
      <c r="I1234" s="33" t="n">
        <v>107595.62</v>
      </c>
      <c r="J1234" s="13">
        <f>+J1233+I1234</f>
        <v>2272925.75</v>
      </c>
      <c r="K1234" s="19">
        <f>+EOMONTH(B1234,0)</f>
        <v>46295</v>
      </c>
      <c r="L1234" s="3" t="inlineStr">
        <is>
          <t>Checking – Operating</t>
        </is>
      </c>
      <c r="M1234" s="3" t="inlineStr">
        <is>
          <t>Balance Sheet</t>
        </is>
      </c>
    </row>
    <row r="1235">
      <c r="B1235" s="39" t="n">
        <v>46286</v>
      </c>
      <c r="C1235" s="3" t="inlineStr">
        <is>
          <t>Expense</t>
        </is>
      </c>
      <c r="D1235" s="3" t="inlineStr"/>
      <c r="E1235" s="3" t="inlineStr">
        <is>
          <t>Tessarand Payroll Services</t>
        </is>
      </c>
      <c r="F1235" s="3" t="inlineStr">
        <is>
          <t>Contractors – September</t>
        </is>
      </c>
      <c r="G1235" s="3" t="inlineStr">
        <is>
          <t>Contractors</t>
        </is>
      </c>
      <c r="H1235" s="3" t="inlineStr">
        <is>
          <t>Checking – Operating</t>
        </is>
      </c>
      <c r="I1235" s="33" t="n">
        <v>-12341.34</v>
      </c>
      <c r="J1235" s="13">
        <f>+J1234+I1235</f>
        <v>2260584.41</v>
      </c>
      <c r="K1235" s="19">
        <f>+EOMONTH(B1235,0)</f>
        <v>46295</v>
      </c>
      <c r="L1235" s="3" t="inlineStr">
        <is>
          <t>Checking – Operating</t>
        </is>
      </c>
      <c r="M1235" s="3" t="inlineStr">
        <is>
          <t>Balance Sheet</t>
        </is>
      </c>
    </row>
    <row r="1236">
      <c r="B1236" s="39" t="n">
        <v>46286</v>
      </c>
      <c r="C1236" s="3" t="inlineStr">
        <is>
          <t>Expense</t>
        </is>
      </c>
      <c r="D1236" s="3" t="inlineStr"/>
      <c r="E1236" s="3" t="inlineStr"/>
      <c r="F1236" s="3" t="inlineStr">
        <is>
          <t>Business Licenses and Permits – September</t>
        </is>
      </c>
      <c r="G1236" s="3" t="inlineStr">
        <is>
          <t>Business Licenses and Permits</t>
        </is>
      </c>
      <c r="H1236" s="3" t="inlineStr">
        <is>
          <t>Checking – Operating</t>
        </is>
      </c>
      <c r="I1236" s="33" t="n">
        <v>-452.86</v>
      </c>
      <c r="J1236" s="13">
        <f>+J1235+I1236</f>
        <v>2260131.55</v>
      </c>
      <c r="K1236" s="19">
        <f>+EOMONTH(B1236,0)</f>
        <v>46295</v>
      </c>
      <c r="L1236" s="3" t="inlineStr">
        <is>
          <t>Checking – Operating</t>
        </is>
      </c>
      <c r="M1236" s="3" t="inlineStr">
        <is>
          <t>Balance Sheet</t>
        </is>
      </c>
    </row>
    <row r="1237">
      <c r="B1237" s="39" t="n">
        <v>46286</v>
      </c>
      <c r="C1237" s="3" t="inlineStr">
        <is>
          <t>Payroll Check</t>
        </is>
      </c>
      <c r="D1237" s="3" t="inlineStr"/>
      <c r="E1237" s="3" t="inlineStr">
        <is>
          <t>Tessarand Payroll Services</t>
        </is>
      </c>
      <c r="F1237" s="3" t="inlineStr">
        <is>
          <t>Payroll taxes – biweekly</t>
        </is>
      </c>
      <c r="G1237" s="3" t="inlineStr">
        <is>
          <t>Payroll Taxes</t>
        </is>
      </c>
      <c r="H1237" s="3" t="inlineStr">
        <is>
          <t>Checking – Operating</t>
        </is>
      </c>
      <c r="I1237" s="33" t="n">
        <v>-1169.07</v>
      </c>
      <c r="J1237" s="13">
        <f>+J1236+I1237</f>
        <v>2258962.48</v>
      </c>
      <c r="K1237" s="19">
        <f>+EOMONTH(B1237,0)</f>
        <v>46295</v>
      </c>
      <c r="L1237" s="3" t="inlineStr">
        <is>
          <t>Checking – Operating</t>
        </is>
      </c>
      <c r="M1237" s="3" t="inlineStr">
        <is>
          <t>Balance Sheet</t>
        </is>
      </c>
    </row>
    <row r="1238">
      <c r="B1238" s="39" t="n">
        <v>46287</v>
      </c>
      <c r="C1238" s="3" t="inlineStr">
        <is>
          <t>Bill Payment (Check)</t>
        </is>
      </c>
      <c r="D1238" s="3" t="inlineStr"/>
      <c r="E1238" s="3" t="inlineStr">
        <is>
          <t>Swiftmere Courier</t>
        </is>
      </c>
      <c r="F1238" s="3" t="inlineStr">
        <is>
          <t>Delivery and Transportation – September</t>
        </is>
      </c>
      <c r="G1238" s="3" t="inlineStr">
        <is>
          <t>Accounts Payable</t>
        </is>
      </c>
      <c r="H1238" s="3" t="inlineStr">
        <is>
          <t>Checking – Operating</t>
        </is>
      </c>
      <c r="I1238" s="33" t="n">
        <v>-3777.76</v>
      </c>
      <c r="J1238" s="13">
        <f>+J1237+I1238</f>
        <v>2255184.72</v>
      </c>
      <c r="K1238" s="19">
        <f>+EOMONTH(B1238,0)</f>
        <v>46295</v>
      </c>
      <c r="L1238" s="3" t="inlineStr">
        <is>
          <t>Checking – Operating</t>
        </is>
      </c>
      <c r="M1238" s="3" t="inlineStr">
        <is>
          <t>Balance Sheet</t>
        </is>
      </c>
    </row>
    <row r="1239">
      <c r="B1239" s="39" t="n">
        <v>46287</v>
      </c>
      <c r="C1239" s="3" t="inlineStr">
        <is>
          <t>Bill Payment (Check)</t>
        </is>
      </c>
      <c r="D1239" s="3" t="inlineStr"/>
      <c r="E1239" s="3" t="inlineStr">
        <is>
          <t>Tarrowmere Mutual Insurance</t>
        </is>
      </c>
      <c r="F1239" s="3" t="inlineStr">
        <is>
          <t>Benefits – August</t>
        </is>
      </c>
      <c r="G1239" s="3" t="inlineStr">
        <is>
          <t>Accounts Payable</t>
        </is>
      </c>
      <c r="H1239" s="3" t="inlineStr">
        <is>
          <t>Checking – Operating</t>
        </is>
      </c>
      <c r="I1239" s="33" t="n">
        <v>-4443.54</v>
      </c>
      <c r="J1239" s="13">
        <f>+J1238+I1239</f>
        <v>2250741.18</v>
      </c>
      <c r="K1239" s="19">
        <f>+EOMONTH(B1239,0)</f>
        <v>46295</v>
      </c>
      <c r="L1239" s="3" t="inlineStr">
        <is>
          <t>Checking – Operating</t>
        </is>
      </c>
      <c r="M1239" s="3" t="inlineStr">
        <is>
          <t>Balance Sheet</t>
        </is>
      </c>
    </row>
    <row r="1240">
      <c r="B1240" s="39" t="n">
        <v>46287</v>
      </c>
      <c r="C1240" s="3" t="inlineStr">
        <is>
          <t>Credit Card Expense</t>
        </is>
      </c>
      <c r="D1240" s="3" t="inlineStr"/>
      <c r="E1240" s="3" t="inlineStr">
        <is>
          <t>Consultant A</t>
        </is>
      </c>
      <c r="F1240" s="3" t="inlineStr">
        <is>
          <t>Legal &amp; Professional Fees – September</t>
        </is>
      </c>
      <c r="G1240" s="3" t="inlineStr">
        <is>
          <t>Legal &amp; Professional Fees</t>
        </is>
      </c>
      <c r="H1240" s="3" t="inlineStr">
        <is>
          <t>Checking – Operating</t>
        </is>
      </c>
      <c r="I1240" s="33" t="n">
        <v>-2496.88</v>
      </c>
      <c r="J1240" s="13">
        <f>+J1239+I1240</f>
        <v>2248244.3</v>
      </c>
      <c r="K1240" s="19">
        <f>+EOMONTH(B1240,0)</f>
        <v>46295</v>
      </c>
      <c r="L1240" s="3" t="inlineStr">
        <is>
          <t>Checking – Operating</t>
        </is>
      </c>
      <c r="M1240" s="3" t="inlineStr">
        <is>
          <t>Balance Sheet</t>
        </is>
      </c>
    </row>
    <row r="1241">
      <c r="B1241" s="39" t="n">
        <v>46287</v>
      </c>
      <c r="C1241" s="3" t="inlineStr">
        <is>
          <t>Credit Card Expense</t>
        </is>
      </c>
      <c r="D1241" s="3" t="inlineStr"/>
      <c r="E1241" s="3" t="inlineStr"/>
      <c r="F1241" s="3" t="inlineStr">
        <is>
          <t>Patient refund</t>
        </is>
      </c>
      <c r="G1241" s="3" t="inlineStr">
        <is>
          <t>Refunds</t>
        </is>
      </c>
      <c r="H1241" s="3" t="inlineStr">
        <is>
          <t>Checking – Operating</t>
        </is>
      </c>
      <c r="I1241" s="33" t="n">
        <v>-3890.51</v>
      </c>
      <c r="J1241" s="13">
        <f>+J1240+I1241</f>
        <v>2244353.79</v>
      </c>
      <c r="K1241" s="19">
        <f>+EOMONTH(B1241,0)</f>
        <v>46295</v>
      </c>
      <c r="L1241" s="3" t="inlineStr">
        <is>
          <t>Checking – Operating</t>
        </is>
      </c>
      <c r="M1241" s="3" t="inlineStr">
        <is>
          <t>Balance Sheet</t>
        </is>
      </c>
    </row>
    <row r="1242">
      <c r="B1242" s="39" t="n">
        <v>46287</v>
      </c>
      <c r="C1242" s="3" t="inlineStr">
        <is>
          <t>Deposit</t>
        </is>
      </c>
      <c r="D1242" s="3" t="inlineStr"/>
      <c r="E1242" s="3" t="inlineStr">
        <is>
          <t>Vantrelle Health Plan</t>
        </is>
      </c>
      <c r="F1242" s="3" t="inlineStr">
        <is>
          <t>ORIG CO NAME:VANTRELLE HP ORIG ID:XXXXXX6698 DESC DATE:260922 CO ENTRY DESCR:HCCLAIMPMT SEC:CCD TRACE#:XXXXXXXX6435096 EED:260922 IND ID:</t>
        </is>
      </c>
      <c r="G1242" s="3" t="inlineStr">
        <is>
          <t>Service Income</t>
        </is>
      </c>
      <c r="H1242" s="3" t="inlineStr">
        <is>
          <t>Checking – Operating</t>
        </is>
      </c>
      <c r="I1242" s="33" t="n">
        <v>185203.61</v>
      </c>
      <c r="J1242" s="13">
        <f>+J1241+I1242</f>
        <v>2429557.4</v>
      </c>
      <c r="K1242" s="19">
        <f>+EOMONTH(B1242,0)</f>
        <v>46295</v>
      </c>
      <c r="L1242" s="3" t="inlineStr">
        <is>
          <t>Checking – Operating</t>
        </is>
      </c>
      <c r="M1242" s="3" t="inlineStr">
        <is>
          <t>Balance Sheet</t>
        </is>
      </c>
    </row>
    <row r="1243">
      <c r="B1243" s="39" t="n">
        <v>46287</v>
      </c>
      <c r="C1243" s="3" t="inlineStr">
        <is>
          <t>Expense</t>
        </is>
      </c>
      <c r="D1243" s="3" t="inlineStr"/>
      <c r="E1243" s="3" t="inlineStr"/>
      <c r="F1243" s="3" t="inlineStr">
        <is>
          <t>Bank service charges – September</t>
        </is>
      </c>
      <c r="G1243" s="3" t="inlineStr">
        <is>
          <t>Bank Fees</t>
        </is>
      </c>
      <c r="H1243" s="3" t="inlineStr">
        <is>
          <t>Checking – Operating</t>
        </is>
      </c>
      <c r="I1243" s="33" t="n">
        <v>-1541.39</v>
      </c>
      <c r="J1243" s="13">
        <f>+J1242+I1243</f>
        <v>2428016.01</v>
      </c>
      <c r="K1243" s="19">
        <f>+EOMONTH(B1243,0)</f>
        <v>46295</v>
      </c>
      <c r="L1243" s="3" t="inlineStr">
        <is>
          <t>Checking – Operating</t>
        </is>
      </c>
      <c r="M1243" s="3" t="inlineStr">
        <is>
          <t>Balance Sheet</t>
        </is>
      </c>
    </row>
    <row r="1244">
      <c r="B1244" s="39" t="n">
        <v>46287</v>
      </c>
      <c r="C1244" s="3" t="inlineStr">
        <is>
          <t>Journal Entry</t>
        </is>
      </c>
      <c r="D1244" s="3" t="inlineStr"/>
      <c r="E1244" s="3" t="inlineStr"/>
      <c r="F1244" s="3" t="inlineStr">
        <is>
          <t>Patient refund</t>
        </is>
      </c>
      <c r="G1244" s="3" t="inlineStr">
        <is>
          <t>Refunds</t>
        </is>
      </c>
      <c r="H1244" s="3" t="inlineStr">
        <is>
          <t>Checking – Operating</t>
        </is>
      </c>
      <c r="I1244" s="33" t="n">
        <v>-2295.03</v>
      </c>
      <c r="J1244" s="13">
        <f>+J1243+I1244</f>
        <v>2425720.98</v>
      </c>
      <c r="K1244" s="19">
        <f>+EOMONTH(B1244,0)</f>
        <v>46295</v>
      </c>
      <c r="L1244" s="3" t="inlineStr">
        <is>
          <t>Checking – Operating</t>
        </is>
      </c>
      <c r="M1244" s="3" t="inlineStr">
        <is>
          <t>Balance Sheet</t>
        </is>
      </c>
    </row>
    <row r="1245">
      <c r="B1245" s="39" t="n">
        <v>46288</v>
      </c>
      <c r="C1245" s="3" t="inlineStr">
        <is>
          <t>Bill Payment (Check)</t>
        </is>
      </c>
      <c r="D1245" s="3" t="inlineStr"/>
      <c r="E1245" s="3" t="inlineStr">
        <is>
          <t>Reagentix Corp</t>
        </is>
      </c>
      <c r="F1245" s="3" t="inlineStr">
        <is>
          <t>Lab Expenses – August</t>
        </is>
      </c>
      <c r="G1245" s="3" t="inlineStr">
        <is>
          <t>Accounts Payable</t>
        </is>
      </c>
      <c r="H1245" s="3" t="inlineStr">
        <is>
          <t>Checking – Operating</t>
        </is>
      </c>
      <c r="I1245" s="33" t="n">
        <v>-3624.29</v>
      </c>
      <c r="J1245" s="13">
        <f>+J1244+I1245</f>
        <v>2422096.69</v>
      </c>
      <c r="K1245" s="19">
        <f>+EOMONTH(B1245,0)</f>
        <v>46295</v>
      </c>
      <c r="L1245" s="3" t="inlineStr">
        <is>
          <t>Checking – Operating</t>
        </is>
      </c>
      <c r="M1245" s="3" t="inlineStr">
        <is>
          <t>Balance Sheet</t>
        </is>
      </c>
    </row>
    <row r="1246">
      <c r="B1246" s="39" t="n">
        <v>46288</v>
      </c>
      <c r="C1246" s="3" t="inlineStr">
        <is>
          <t>Bill Payment (Check)</t>
        </is>
      </c>
      <c r="D1246" s="3" t="inlineStr"/>
      <c r="E1246" s="3" t="inlineStr">
        <is>
          <t>Reagentix Corp</t>
        </is>
      </c>
      <c r="F1246" s="3" t="inlineStr">
        <is>
          <t>Lab supplies PO# F2399</t>
        </is>
      </c>
      <c r="G1246" s="3" t="inlineStr">
        <is>
          <t>Accounts Payable</t>
        </is>
      </c>
      <c r="H1246" s="3" t="inlineStr">
        <is>
          <t>Checking – Operating</t>
        </is>
      </c>
      <c r="I1246" s="33" t="n">
        <v>-12304.5</v>
      </c>
      <c r="J1246" s="13">
        <f>+J1245+I1246</f>
        <v>2409792.19</v>
      </c>
      <c r="K1246" s="19">
        <f>+EOMONTH(B1246,0)</f>
        <v>46295</v>
      </c>
      <c r="L1246" s="3" t="inlineStr">
        <is>
          <t>Checking – Operating</t>
        </is>
      </c>
      <c r="M1246" s="3" t="inlineStr">
        <is>
          <t>Balance Sheet</t>
        </is>
      </c>
    </row>
    <row r="1247">
      <c r="B1247" s="39" t="n">
        <v>46288</v>
      </c>
      <c r="C1247" s="3" t="inlineStr">
        <is>
          <t>Bill Payment (Check)</t>
        </is>
      </c>
      <c r="D1247" s="3" t="inlineStr"/>
      <c r="E1247" s="3" t="inlineStr">
        <is>
          <t>Swiftmere Courier</t>
        </is>
      </c>
      <c r="F1247" s="3" t="inlineStr">
        <is>
          <t>Delivery and Transportation – August</t>
        </is>
      </c>
      <c r="G1247" s="3" t="inlineStr">
        <is>
          <t>Accounts Payable</t>
        </is>
      </c>
      <c r="H1247" s="3" t="inlineStr">
        <is>
          <t>Checking – Operating</t>
        </is>
      </c>
      <c r="I1247" s="33" t="n">
        <v>-3859.26</v>
      </c>
      <c r="J1247" s="13">
        <f>+J1246+I1247</f>
        <v>2405932.93</v>
      </c>
      <c r="K1247" s="19">
        <f>+EOMONTH(B1247,0)</f>
        <v>46295</v>
      </c>
      <c r="L1247" s="3" t="inlineStr">
        <is>
          <t>Checking – Operating</t>
        </is>
      </c>
      <c r="M1247" s="3" t="inlineStr">
        <is>
          <t>Balance Sheet</t>
        </is>
      </c>
    </row>
    <row r="1248">
      <c r="B1248" s="39" t="n">
        <v>46288</v>
      </c>
      <c r="C1248" s="3" t="inlineStr">
        <is>
          <t>Bill Payment (Check)</t>
        </is>
      </c>
      <c r="D1248" s="3" t="inlineStr"/>
      <c r="E1248" s="3" t="inlineStr">
        <is>
          <t>Tarrowmere Mutual Insurance</t>
        </is>
      </c>
      <c r="F1248" s="3" t="inlineStr">
        <is>
          <t>Premium installment</t>
        </is>
      </c>
      <c r="G1248" s="3" t="inlineStr">
        <is>
          <t>Accounts Payable</t>
        </is>
      </c>
      <c r="H1248" s="3" t="inlineStr">
        <is>
          <t>Checking – Operating</t>
        </is>
      </c>
      <c r="I1248" s="33" t="n">
        <v>-2612.76</v>
      </c>
      <c r="J1248" s="13">
        <f>+J1247+I1248</f>
        <v>2403320.17</v>
      </c>
      <c r="K1248" s="19">
        <f>+EOMONTH(B1248,0)</f>
        <v>46295</v>
      </c>
      <c r="L1248" s="3" t="inlineStr">
        <is>
          <t>Checking – Operating</t>
        </is>
      </c>
      <c r="M1248" s="3" t="inlineStr">
        <is>
          <t>Balance Sheet</t>
        </is>
      </c>
    </row>
    <row r="1249">
      <c r="B1249" s="39" t="n">
        <v>46288</v>
      </c>
      <c r="C1249" s="3" t="inlineStr">
        <is>
          <t>Credit Card Expense</t>
        </is>
      </c>
      <c r="D1249" s="3" t="inlineStr"/>
      <c r="E1249" s="3" t="inlineStr">
        <is>
          <t>Ledgerquill Billing SaaS</t>
        </is>
      </c>
      <c r="F1249" s="3" t="inlineStr">
        <is>
          <t>Lab EMR Service – September</t>
        </is>
      </c>
      <c r="G1249" s="3" t="inlineStr">
        <is>
          <t>Lab EMR Service</t>
        </is>
      </c>
      <c r="H1249" s="3" t="inlineStr">
        <is>
          <t>Checking – Operating</t>
        </is>
      </c>
      <c r="I1249" s="33" t="n">
        <v>-3826.13</v>
      </c>
      <c r="J1249" s="13">
        <f>+J1248+I1249</f>
        <v>2399494.04</v>
      </c>
      <c r="K1249" s="19">
        <f>+EOMONTH(B1249,0)</f>
        <v>46295</v>
      </c>
      <c r="L1249" s="3" t="inlineStr">
        <is>
          <t>Checking – Operating</t>
        </is>
      </c>
      <c r="M1249" s="3" t="inlineStr">
        <is>
          <t>Balance Sheet</t>
        </is>
      </c>
    </row>
    <row r="1250">
      <c r="B1250" s="39" t="n">
        <v>46288</v>
      </c>
      <c r="C1250" s="3" t="inlineStr">
        <is>
          <t>Expense</t>
        </is>
      </c>
      <c r="D1250" s="3" t="inlineStr"/>
      <c r="E1250" s="3" t="inlineStr">
        <is>
          <t>Consultant A</t>
        </is>
      </c>
      <c r="F1250" s="3" t="inlineStr">
        <is>
          <t>Professional Fees – September</t>
        </is>
      </c>
      <c r="G1250" s="3" t="inlineStr">
        <is>
          <t>Professional Fees</t>
        </is>
      </c>
      <c r="H1250" s="3" t="inlineStr">
        <is>
          <t>Checking – Operating</t>
        </is>
      </c>
      <c r="I1250" s="33" t="n">
        <v>-3975.27</v>
      </c>
      <c r="J1250" s="13">
        <f>+J1249+I1250</f>
        <v>2395518.77</v>
      </c>
      <c r="K1250" s="19">
        <f>+EOMONTH(B1250,0)</f>
        <v>46295</v>
      </c>
      <c r="L1250" s="3" t="inlineStr">
        <is>
          <t>Checking – Operating</t>
        </is>
      </c>
      <c r="M1250" s="3" t="inlineStr">
        <is>
          <t>Balance Sheet</t>
        </is>
      </c>
    </row>
    <row r="1251">
      <c r="B1251" s="39" t="n">
        <v>46288</v>
      </c>
      <c r="C1251" s="3" t="inlineStr">
        <is>
          <t>Expense</t>
        </is>
      </c>
      <c r="D1251" s="3" t="inlineStr"/>
      <c r="E1251" s="3" t="inlineStr">
        <is>
          <t>Lumenlease Equipment</t>
        </is>
      </c>
      <c r="F1251" s="3" t="inlineStr">
        <is>
          <t>Repairs and Maintenance – September</t>
        </is>
      </c>
      <c r="G1251" s="3" t="inlineStr">
        <is>
          <t>Repairs and Maintenance</t>
        </is>
      </c>
      <c r="H1251" s="3" t="inlineStr">
        <is>
          <t>Checking – Operating</t>
        </is>
      </c>
      <c r="I1251" s="33" t="n">
        <v>-2248.37</v>
      </c>
      <c r="J1251" s="13">
        <f>+J1250+I1251</f>
        <v>2393270.4</v>
      </c>
      <c r="K1251" s="19">
        <f>+EOMONTH(B1251,0)</f>
        <v>46295</v>
      </c>
      <c r="L1251" s="3" t="inlineStr">
        <is>
          <t>Checking – Operating</t>
        </is>
      </c>
      <c r="M1251" s="3" t="inlineStr">
        <is>
          <t>Balance Sheet</t>
        </is>
      </c>
    </row>
    <row r="1252">
      <c r="B1252" s="39" t="n">
        <v>46289</v>
      </c>
      <c r="C1252" s="3" t="inlineStr">
        <is>
          <t>Bill Payment (Check)</t>
        </is>
      </c>
      <c r="D1252" s="3" t="inlineStr"/>
      <c r="E1252" s="3" t="inlineStr">
        <is>
          <t>Vialtrace Lab Supplies Inc</t>
        </is>
      </c>
      <c r="F1252" s="3" t="inlineStr">
        <is>
          <t>Lab supplies PO# F2285</t>
        </is>
      </c>
      <c r="G1252" s="3" t="inlineStr">
        <is>
          <t>Accounts Payable</t>
        </is>
      </c>
      <c r="H1252" s="3" t="inlineStr">
        <is>
          <t>Checking – Operating</t>
        </is>
      </c>
      <c r="I1252" s="33" t="n">
        <v>-40498.84</v>
      </c>
      <c r="J1252" s="13">
        <f>+J1251+I1252</f>
        <v>2352771.56</v>
      </c>
      <c r="K1252" s="19">
        <f>+EOMONTH(B1252,0)</f>
        <v>46295</v>
      </c>
      <c r="L1252" s="3" t="inlineStr">
        <is>
          <t>Checking – Operating</t>
        </is>
      </c>
      <c r="M1252" s="3" t="inlineStr">
        <is>
          <t>Balance Sheet</t>
        </is>
      </c>
    </row>
    <row r="1253">
      <c r="B1253" s="39" t="n">
        <v>46289</v>
      </c>
      <c r="C1253" s="3" t="inlineStr">
        <is>
          <t>Deposit</t>
        </is>
      </c>
      <c r="D1253" s="3" t="inlineStr"/>
      <c r="E1253" s="3" t="inlineStr">
        <is>
          <t>Lanternway Benefits</t>
        </is>
      </c>
      <c r="F1253" s="3" t="inlineStr">
        <is>
          <t>ORIG CO NAME:LANTERNWAY BEN ORIG ID:XXXXXX9068 DESC DATE:260924 CO ENTRY DESCR:HCCLAIMPMT SEC:CCD TRACE#:XXXXXXXX2365864 EED:260924 IND ID:</t>
        </is>
      </c>
      <c r="G1253" s="3" t="inlineStr">
        <is>
          <t>Service Income</t>
        </is>
      </c>
      <c r="H1253" s="3" t="inlineStr">
        <is>
          <t>Checking – Operating</t>
        </is>
      </c>
      <c r="I1253" s="33" t="n">
        <v>73176.85000000001</v>
      </c>
      <c r="J1253" s="13">
        <f>+J1252+I1253</f>
        <v>2425948.41</v>
      </c>
      <c r="K1253" s="19">
        <f>+EOMONTH(B1253,0)</f>
        <v>46295</v>
      </c>
      <c r="L1253" s="3" t="inlineStr">
        <is>
          <t>Checking – Operating</t>
        </is>
      </c>
      <c r="M1253" s="3" t="inlineStr">
        <is>
          <t>Balance Sheet</t>
        </is>
      </c>
    </row>
    <row r="1254">
      <c r="B1254" s="39" t="n">
        <v>46289</v>
      </c>
      <c r="C1254" s="3" t="inlineStr">
        <is>
          <t>Expense</t>
        </is>
      </c>
      <c r="D1254" s="3" t="inlineStr"/>
      <c r="E1254" s="3" t="inlineStr">
        <is>
          <t>Consultant A</t>
        </is>
      </c>
      <c r="F1254" s="3" t="inlineStr">
        <is>
          <t>Accounting Service – September</t>
        </is>
      </c>
      <c r="G1254" s="3" t="inlineStr">
        <is>
          <t>Accounting Service</t>
        </is>
      </c>
      <c r="H1254" s="3" t="inlineStr">
        <is>
          <t>Checking – Operating</t>
        </is>
      </c>
      <c r="I1254" s="33" t="n">
        <v>-3057.37</v>
      </c>
      <c r="J1254" s="13">
        <f>+J1253+I1254</f>
        <v>2422891.04</v>
      </c>
      <c r="K1254" s="19">
        <f>+EOMONTH(B1254,0)</f>
        <v>46295</v>
      </c>
      <c r="L1254" s="3" t="inlineStr">
        <is>
          <t>Checking – Operating</t>
        </is>
      </c>
      <c r="M1254" s="3" t="inlineStr">
        <is>
          <t>Balance Sheet</t>
        </is>
      </c>
    </row>
    <row r="1255">
      <c r="B1255" s="39" t="n">
        <v>46289</v>
      </c>
      <c r="C1255" s="3" t="inlineStr">
        <is>
          <t>Expense</t>
        </is>
      </c>
      <c r="D1255" s="3" t="inlineStr"/>
      <c r="E1255" s="3" t="inlineStr"/>
      <c r="F1255" s="3" t="inlineStr">
        <is>
          <t>Lab Credentialing – September</t>
        </is>
      </c>
      <c r="G1255" s="3" t="inlineStr">
        <is>
          <t>Lab Credentialing</t>
        </is>
      </c>
      <c r="H1255" s="3" t="inlineStr">
        <is>
          <t>Checking – Operating</t>
        </is>
      </c>
      <c r="I1255" s="33" t="n">
        <v>-1907.69</v>
      </c>
      <c r="J1255" s="13">
        <f>+J1254+I1255</f>
        <v>2420983.35</v>
      </c>
      <c r="K1255" s="19">
        <f>+EOMONTH(B1255,0)</f>
        <v>46295</v>
      </c>
      <c r="L1255" s="3" t="inlineStr">
        <is>
          <t>Checking – Operating</t>
        </is>
      </c>
      <c r="M1255" s="3" t="inlineStr">
        <is>
          <t>Balance Sheet</t>
        </is>
      </c>
    </row>
    <row r="1256">
      <c r="B1256" s="39" t="n">
        <v>46289</v>
      </c>
      <c r="C1256" s="3" t="inlineStr">
        <is>
          <t>Journal Entry</t>
        </is>
      </c>
      <c r="D1256" s="3" t="inlineStr"/>
      <c r="E1256" s="3" t="inlineStr">
        <is>
          <t>Ledgerquill Billing SaaS</t>
        </is>
      </c>
      <c r="F1256" s="3" t="inlineStr">
        <is>
          <t>Interface Service – September</t>
        </is>
      </c>
      <c r="G1256" s="3" t="inlineStr">
        <is>
          <t>Interface Service</t>
        </is>
      </c>
      <c r="H1256" s="3" t="inlineStr">
        <is>
          <t>Checking – Operating</t>
        </is>
      </c>
      <c r="I1256" s="33" t="n">
        <v>-3856.6</v>
      </c>
      <c r="J1256" s="13">
        <f>+J1255+I1256</f>
        <v>2417126.75</v>
      </c>
      <c r="K1256" s="19">
        <f>+EOMONTH(B1256,0)</f>
        <v>46295</v>
      </c>
      <c r="L1256" s="3" t="inlineStr">
        <is>
          <t>Checking – Operating</t>
        </is>
      </c>
      <c r="M1256" s="3" t="inlineStr">
        <is>
          <t>Balance Sheet</t>
        </is>
      </c>
    </row>
    <row r="1257">
      <c r="B1257" s="39" t="n">
        <v>46290</v>
      </c>
      <c r="C1257" s="3" t="inlineStr">
        <is>
          <t>Deposit</t>
        </is>
      </c>
      <c r="D1257" s="3" t="inlineStr"/>
      <c r="E1257" s="3" t="inlineStr">
        <is>
          <t>Quayside Choice Senior Plan</t>
        </is>
      </c>
      <c r="F1257" s="3" t="inlineStr">
        <is>
          <t>ORIG CO NAME:QUAYSIDE CHOICE SP ORIG ID:XXXXXX3594 DESC DATE:260925 CO ENTRY DESCR:HCCLAIMPMT SEC:CCD TRACE#:XXXXXXXX2030209 EED:260925 IND ID:</t>
        </is>
      </c>
      <c r="G1257" s="3" t="inlineStr">
        <is>
          <t>Service Income</t>
        </is>
      </c>
      <c r="H1257" s="3" t="inlineStr">
        <is>
          <t>Checking – Operating</t>
        </is>
      </c>
      <c r="I1257" s="33" t="n">
        <v>43931.13</v>
      </c>
      <c r="J1257" s="13">
        <f>+J1256+I1257</f>
        <v>2461057.88</v>
      </c>
      <c r="K1257" s="19">
        <f>+EOMONTH(B1257,0)</f>
        <v>46295</v>
      </c>
      <c r="L1257" s="3" t="inlineStr">
        <is>
          <t>Checking – Operating</t>
        </is>
      </c>
      <c r="M1257" s="3" t="inlineStr">
        <is>
          <t>Balance Sheet</t>
        </is>
      </c>
    </row>
    <row r="1258">
      <c r="B1258" s="39" t="n">
        <v>46290</v>
      </c>
      <c r="C1258" s="3" t="inlineStr">
        <is>
          <t>Expense</t>
        </is>
      </c>
      <c r="D1258" s="3" t="inlineStr"/>
      <c r="E1258" s="3" t="inlineStr"/>
      <c r="F1258" s="3" t="inlineStr">
        <is>
          <t>Reimbursement – September</t>
        </is>
      </c>
      <c r="G1258" s="3" t="inlineStr">
        <is>
          <t>Reimbursement</t>
        </is>
      </c>
      <c r="H1258" s="3" t="inlineStr">
        <is>
          <t>Checking – Operating</t>
        </is>
      </c>
      <c r="I1258" s="33" t="n">
        <v>-1162.08</v>
      </c>
      <c r="J1258" s="13">
        <f>+J1257+I1258</f>
        <v>2459895.8</v>
      </c>
      <c r="K1258" s="19">
        <f>+EOMONTH(B1258,0)</f>
        <v>46295</v>
      </c>
      <c r="L1258" s="3" t="inlineStr">
        <is>
          <t>Checking – Operating</t>
        </is>
      </c>
      <c r="M1258" s="3" t="inlineStr">
        <is>
          <t>Balance Sheet</t>
        </is>
      </c>
    </row>
    <row r="1259">
      <c r="B1259" s="39" t="n">
        <v>46290</v>
      </c>
      <c r="C1259" s="3" t="inlineStr">
        <is>
          <t>Expense</t>
        </is>
      </c>
      <c r="D1259" s="3" t="inlineStr"/>
      <c r="E1259" s="3" t="inlineStr"/>
      <c r="F1259" s="3" t="inlineStr">
        <is>
          <t>Patient refund</t>
        </is>
      </c>
      <c r="G1259" s="3" t="inlineStr">
        <is>
          <t>Refunds</t>
        </is>
      </c>
      <c r="H1259" s="3" t="inlineStr">
        <is>
          <t>Checking – Operating</t>
        </is>
      </c>
      <c r="I1259" s="33" t="n">
        <v>-4219.03</v>
      </c>
      <c r="J1259" s="13">
        <f>+J1258+I1259</f>
        <v>2455676.77</v>
      </c>
      <c r="K1259" s="19">
        <f>+EOMONTH(B1259,0)</f>
        <v>46295</v>
      </c>
      <c r="L1259" s="3" t="inlineStr">
        <is>
          <t>Checking – Operating</t>
        </is>
      </c>
      <c r="M1259" s="3" t="inlineStr">
        <is>
          <t>Balance Sheet</t>
        </is>
      </c>
    </row>
    <row r="1260">
      <c r="B1260" s="39" t="n">
        <v>46291</v>
      </c>
      <c r="C1260" s="3" t="inlineStr">
        <is>
          <t>Bill Payment (Check)</t>
        </is>
      </c>
      <c r="D1260" s="3" t="inlineStr"/>
      <c r="E1260" s="3" t="inlineStr">
        <is>
          <t>Lumenlease Equipment</t>
        </is>
      </c>
      <c r="F1260" s="3" t="inlineStr">
        <is>
          <t>Lab Equipment – September</t>
        </is>
      </c>
      <c r="G1260" s="3" t="inlineStr">
        <is>
          <t>Accounts Payable</t>
        </is>
      </c>
      <c r="H1260" s="3" t="inlineStr">
        <is>
          <t>Checking – Operating</t>
        </is>
      </c>
      <c r="I1260" s="33" t="n">
        <v>-1893.03</v>
      </c>
      <c r="J1260" s="13">
        <f>+J1259+I1260</f>
        <v>2453783.74</v>
      </c>
      <c r="K1260" s="19">
        <f>+EOMONTH(B1260,0)</f>
        <v>46295</v>
      </c>
      <c r="L1260" s="3" t="inlineStr">
        <is>
          <t>Checking – Operating</t>
        </is>
      </c>
      <c r="M1260" s="3" t="inlineStr">
        <is>
          <t>Balance Sheet</t>
        </is>
      </c>
    </row>
    <row r="1261">
      <c r="B1261" s="39" t="n">
        <v>46291</v>
      </c>
      <c r="C1261" s="3" t="inlineStr">
        <is>
          <t>Bill Payment (Check)</t>
        </is>
      </c>
      <c r="D1261" s="3" t="inlineStr"/>
      <c r="E1261" s="3" t="inlineStr">
        <is>
          <t>Ledgerquill Billing SaaS</t>
        </is>
      </c>
      <c r="F1261" s="3" t="inlineStr">
        <is>
          <t>Billing Software as a Service – September</t>
        </is>
      </c>
      <c r="G1261" s="3" t="inlineStr">
        <is>
          <t>Accounts Payable</t>
        </is>
      </c>
      <c r="H1261" s="3" t="inlineStr">
        <is>
          <t>Checking – Operating</t>
        </is>
      </c>
      <c r="I1261" s="33" t="n">
        <v>-10389.61</v>
      </c>
      <c r="J1261" s="13">
        <f>+J1260+I1261</f>
        <v>2443394.13</v>
      </c>
      <c r="K1261" s="19">
        <f>+EOMONTH(B1261,0)</f>
        <v>46295</v>
      </c>
      <c r="L1261" s="3" t="inlineStr">
        <is>
          <t>Checking – Operating</t>
        </is>
      </c>
      <c r="M1261" s="3" t="inlineStr">
        <is>
          <t>Balance Sheet</t>
        </is>
      </c>
    </row>
    <row r="1262">
      <c r="B1262" s="39" t="n">
        <v>46291</v>
      </c>
      <c r="C1262" s="3" t="inlineStr">
        <is>
          <t>Credit Card Expense</t>
        </is>
      </c>
      <c r="D1262" s="3" t="inlineStr"/>
      <c r="E1262" s="3" t="inlineStr"/>
      <c r="F1262" s="3" t="inlineStr">
        <is>
          <t>Property tax installment</t>
        </is>
      </c>
      <c r="G1262" s="3" t="inlineStr">
        <is>
          <t>Property tax</t>
        </is>
      </c>
      <c r="H1262" s="3" t="inlineStr">
        <is>
          <t>Checking – Operating</t>
        </is>
      </c>
      <c r="I1262" s="33" t="n">
        <v>-1369.08</v>
      </c>
      <c r="J1262" s="13">
        <f>+J1261+I1262</f>
        <v>2442025.05</v>
      </c>
      <c r="K1262" s="19">
        <f>+EOMONTH(B1262,0)</f>
        <v>46295</v>
      </c>
      <c r="L1262" s="3" t="inlineStr">
        <is>
          <t>Checking – Operating</t>
        </is>
      </c>
      <c r="M1262" s="3" t="inlineStr">
        <is>
          <t>Balance Sheet</t>
        </is>
      </c>
    </row>
    <row r="1263">
      <c r="B1263" s="39" t="n">
        <v>46291</v>
      </c>
      <c r="C1263" s="3" t="inlineStr">
        <is>
          <t>Expense</t>
        </is>
      </c>
      <c r="D1263" s="3" t="inlineStr"/>
      <c r="E1263" s="3" t="inlineStr"/>
      <c r="F1263" s="3" t="inlineStr">
        <is>
          <t>Reimbursement – September</t>
        </is>
      </c>
      <c r="G1263" s="3" t="inlineStr">
        <is>
          <t>Reimbursement</t>
        </is>
      </c>
      <c r="H1263" s="3" t="inlineStr">
        <is>
          <t>Checking – Operating</t>
        </is>
      </c>
      <c r="I1263" s="33" t="n">
        <v>-1589.37</v>
      </c>
      <c r="J1263" s="13">
        <f>+J1262+I1263</f>
        <v>2440435.68</v>
      </c>
      <c r="K1263" s="19">
        <f>+EOMONTH(B1263,0)</f>
        <v>46295</v>
      </c>
      <c r="L1263" s="3" t="inlineStr">
        <is>
          <t>Checking – Operating</t>
        </is>
      </c>
      <c r="M1263" s="3" t="inlineStr">
        <is>
          <t>Balance Sheet</t>
        </is>
      </c>
    </row>
    <row r="1264">
      <c r="B1264" s="39" t="n">
        <v>46291</v>
      </c>
      <c r="C1264" s="3" t="inlineStr">
        <is>
          <t>Expense</t>
        </is>
      </c>
      <c r="D1264" s="3" t="inlineStr"/>
      <c r="E1264" s="3" t="inlineStr">
        <is>
          <t>Lumenlease Equipment</t>
        </is>
      </c>
      <c r="F1264" s="3" t="inlineStr">
        <is>
          <t>Repairs and Maintenance – September</t>
        </is>
      </c>
      <c r="G1264" s="3" t="inlineStr">
        <is>
          <t>Repairs and Maintenance</t>
        </is>
      </c>
      <c r="H1264" s="3" t="inlineStr">
        <is>
          <t>Checking – Operating</t>
        </is>
      </c>
      <c r="I1264" s="33" t="n">
        <v>-3966.83</v>
      </c>
      <c r="J1264" s="13">
        <f>+J1263+I1264</f>
        <v>2436468.85</v>
      </c>
      <c r="K1264" s="19">
        <f>+EOMONTH(B1264,0)</f>
        <v>46295</v>
      </c>
      <c r="L1264" s="3" t="inlineStr">
        <is>
          <t>Checking – Operating</t>
        </is>
      </c>
      <c r="M1264" s="3" t="inlineStr">
        <is>
          <t>Balance Sheet</t>
        </is>
      </c>
    </row>
    <row r="1265">
      <c r="B1265" s="39" t="n">
        <v>46292</v>
      </c>
      <c r="C1265" s="3" t="inlineStr">
        <is>
          <t>Bill Payment (Check)</t>
        </is>
      </c>
      <c r="D1265" s="3" t="inlineStr"/>
      <c r="E1265" s="3" t="inlineStr">
        <is>
          <t>Northmoor Waste Services</t>
        </is>
      </c>
      <c r="F1265" s="3" t="inlineStr">
        <is>
          <t>Hazard Waste – September</t>
        </is>
      </c>
      <c r="G1265" s="3" t="inlineStr">
        <is>
          <t>Accounts Payable</t>
        </is>
      </c>
      <c r="H1265" s="3" t="inlineStr">
        <is>
          <t>Checking – Operating</t>
        </is>
      </c>
      <c r="I1265" s="33" t="n">
        <v>-1890.13</v>
      </c>
      <c r="J1265" s="13">
        <f>+J1264+I1265</f>
        <v>2434578.72</v>
      </c>
      <c r="K1265" s="19">
        <f>+EOMONTH(B1265,0)</f>
        <v>46295</v>
      </c>
      <c r="L1265" s="3" t="inlineStr">
        <is>
          <t>Checking – Operating</t>
        </is>
      </c>
      <c r="M1265" s="3" t="inlineStr">
        <is>
          <t>Balance Sheet</t>
        </is>
      </c>
    </row>
    <row r="1266">
      <c r="B1266" s="39" t="n">
        <v>46292</v>
      </c>
      <c r="C1266" s="3" t="inlineStr">
        <is>
          <t>Deposit</t>
        </is>
      </c>
      <c r="D1266" s="3" t="inlineStr"/>
      <c r="E1266" s="3" t="inlineStr">
        <is>
          <t>Vantrelle Health Plan</t>
        </is>
      </c>
      <c r="F1266" s="3" t="inlineStr">
        <is>
          <t>ORIG CO NAME:VANTRELLE HP ORIG ID:XXXXXX6566 DESC DATE:260927 CO ENTRY DESCR:HCCLAIMPMT SEC:CCD TRACE#:XXXXXXXX5721345 EED:260927 IND ID:</t>
        </is>
      </c>
      <c r="G1266" s="3" t="inlineStr">
        <is>
          <t>Service Income</t>
        </is>
      </c>
      <c r="H1266" s="3" t="inlineStr">
        <is>
          <t>Checking – Operating</t>
        </is>
      </c>
      <c r="I1266" s="33" t="n">
        <v>125755.76</v>
      </c>
      <c r="J1266" s="13">
        <f>+J1265+I1266</f>
        <v>2560334.48</v>
      </c>
      <c r="K1266" s="19">
        <f>+EOMONTH(B1266,0)</f>
        <v>46295</v>
      </c>
      <c r="L1266" s="3" t="inlineStr">
        <is>
          <t>Checking – Operating</t>
        </is>
      </c>
      <c r="M1266" s="3" t="inlineStr">
        <is>
          <t>Balance Sheet</t>
        </is>
      </c>
    </row>
    <row r="1267">
      <c r="B1267" s="39" t="n">
        <v>46293</v>
      </c>
      <c r="C1267" s="3" t="inlineStr">
        <is>
          <t>Bill Payment (Check)</t>
        </is>
      </c>
      <c r="D1267" s="3" t="inlineStr"/>
      <c r="E1267" s="3" t="inlineStr">
        <is>
          <t>Halloway Ridge Realty (rent)</t>
        </is>
      </c>
      <c r="F1267" s="3" t="inlineStr">
        <is>
          <t>Rent – August</t>
        </is>
      </c>
      <c r="G1267" s="3" t="inlineStr">
        <is>
          <t>Accounts Payable</t>
        </is>
      </c>
      <c r="H1267" s="3" t="inlineStr">
        <is>
          <t>Checking – Operating</t>
        </is>
      </c>
      <c r="I1267" s="33" t="n">
        <v>-11474.47</v>
      </c>
      <c r="J1267" s="13">
        <f>+J1266+I1267</f>
        <v>2548860.01</v>
      </c>
      <c r="K1267" s="19">
        <f>+EOMONTH(B1267,0)</f>
        <v>46295</v>
      </c>
      <c r="L1267" s="3" t="inlineStr">
        <is>
          <t>Checking – Operating</t>
        </is>
      </c>
      <c r="M1267" s="3" t="inlineStr">
        <is>
          <t>Balance Sheet</t>
        </is>
      </c>
    </row>
    <row r="1268">
      <c r="B1268" s="39" t="n">
        <v>46293</v>
      </c>
      <c r="C1268" s="3" t="inlineStr">
        <is>
          <t>Bill Payment (Check)</t>
        </is>
      </c>
      <c r="D1268" s="3" t="inlineStr"/>
      <c r="E1268" s="3" t="inlineStr">
        <is>
          <t>Tarrowmere Mutual Insurance</t>
        </is>
      </c>
      <c r="F1268" s="3" t="inlineStr">
        <is>
          <t>Benefits – August</t>
        </is>
      </c>
      <c r="G1268" s="3" t="inlineStr">
        <is>
          <t>Accounts Payable</t>
        </is>
      </c>
      <c r="H1268" s="3" t="inlineStr">
        <is>
          <t>Checking – Operating</t>
        </is>
      </c>
      <c r="I1268" s="33" t="n">
        <v>-4855.93</v>
      </c>
      <c r="J1268" s="13">
        <f>+J1267+I1268</f>
        <v>2544004.08</v>
      </c>
      <c r="K1268" s="19">
        <f>+EOMONTH(B1268,0)</f>
        <v>46295</v>
      </c>
      <c r="L1268" s="3" t="inlineStr">
        <is>
          <t>Checking – Operating</t>
        </is>
      </c>
      <c r="M1268" s="3" t="inlineStr">
        <is>
          <t>Balance Sheet</t>
        </is>
      </c>
    </row>
    <row r="1269">
      <c r="B1269" s="39" t="n">
        <v>46293</v>
      </c>
      <c r="C1269" s="3" t="inlineStr">
        <is>
          <t>Bill Payment (Check)</t>
        </is>
      </c>
      <c r="D1269" s="3" t="inlineStr"/>
      <c r="E1269" s="3" t="inlineStr">
        <is>
          <t>Tarrowmere Mutual Insurance</t>
        </is>
      </c>
      <c r="F1269" s="3" t="inlineStr">
        <is>
          <t>Benefits – September</t>
        </is>
      </c>
      <c r="G1269" s="3" t="inlineStr">
        <is>
          <t>Accounts Payable</t>
        </is>
      </c>
      <c r="H1269" s="3" t="inlineStr">
        <is>
          <t>Checking – Operating</t>
        </is>
      </c>
      <c r="I1269" s="33" t="n">
        <v>-3450.84</v>
      </c>
      <c r="J1269" s="13">
        <f>+J1268+I1269</f>
        <v>2540553.24</v>
      </c>
      <c r="K1269" s="19">
        <f>+EOMONTH(B1269,0)</f>
        <v>46295</v>
      </c>
      <c r="L1269" s="3" t="inlineStr">
        <is>
          <t>Checking – Operating</t>
        </is>
      </c>
      <c r="M1269" s="3" t="inlineStr">
        <is>
          <t>Balance Sheet</t>
        </is>
      </c>
    </row>
    <row r="1270">
      <c r="B1270" s="39" t="n">
        <v>46293</v>
      </c>
      <c r="C1270" s="3" t="inlineStr">
        <is>
          <t>Bill Payment (Check)</t>
        </is>
      </c>
      <c r="D1270" s="3" t="inlineStr"/>
      <c r="E1270" s="3" t="inlineStr">
        <is>
          <t>Tarrowmere Mutual Insurance</t>
        </is>
      </c>
      <c r="F1270" s="3" t="inlineStr">
        <is>
          <t>Benefits – September</t>
        </is>
      </c>
      <c r="G1270" s="3" t="inlineStr">
        <is>
          <t>Accounts Payable</t>
        </is>
      </c>
      <c r="H1270" s="3" t="inlineStr">
        <is>
          <t>Checking – Operating</t>
        </is>
      </c>
      <c r="I1270" s="33" t="n">
        <v>-4217.08</v>
      </c>
      <c r="J1270" s="13">
        <f>+J1269+I1270</f>
        <v>2536336.16</v>
      </c>
      <c r="K1270" s="19">
        <f>+EOMONTH(B1270,0)</f>
        <v>46295</v>
      </c>
      <c r="L1270" s="3" t="inlineStr">
        <is>
          <t>Checking – Operating</t>
        </is>
      </c>
      <c r="M1270" s="3" t="inlineStr">
        <is>
          <t>Balance Sheet</t>
        </is>
      </c>
    </row>
    <row r="1271">
      <c r="B1271" s="39" t="n">
        <v>46293</v>
      </c>
      <c r="C1271" s="3" t="inlineStr">
        <is>
          <t>Expense</t>
        </is>
      </c>
      <c r="D1271" s="3" t="inlineStr"/>
      <c r="E1271" s="3" t="inlineStr"/>
      <c r="F1271" s="3" t="inlineStr">
        <is>
          <t>Meals and Entertainment – September</t>
        </is>
      </c>
      <c r="G1271" s="3" t="inlineStr">
        <is>
          <t>Meals and Entertainment</t>
        </is>
      </c>
      <c r="H1271" s="3" t="inlineStr">
        <is>
          <t>Checking – Operating</t>
        </is>
      </c>
      <c r="I1271" s="33" t="n">
        <v>-737.64</v>
      </c>
      <c r="J1271" s="13">
        <f>+J1270+I1271</f>
        <v>2535598.52</v>
      </c>
      <c r="K1271" s="19">
        <f>+EOMONTH(B1271,0)</f>
        <v>46295</v>
      </c>
      <c r="L1271" s="3" t="inlineStr">
        <is>
          <t>Checking – Operating</t>
        </is>
      </c>
      <c r="M1271" s="3" t="inlineStr">
        <is>
          <t>Balance Sheet</t>
        </is>
      </c>
    </row>
    <row r="1272">
      <c r="B1272" s="39" t="n">
        <v>46293</v>
      </c>
      <c r="C1272" s="3" t="inlineStr">
        <is>
          <t>Expense</t>
        </is>
      </c>
      <c r="D1272" s="3" t="inlineStr"/>
      <c r="E1272" s="3" t="inlineStr"/>
      <c r="F1272" s="3" t="inlineStr">
        <is>
          <t>Travel Expense – September</t>
        </is>
      </c>
      <c r="G1272" s="3" t="inlineStr">
        <is>
          <t>Travel Expense</t>
        </is>
      </c>
      <c r="H1272" s="3" t="inlineStr">
        <is>
          <t>Checking – Operating</t>
        </is>
      </c>
      <c r="I1272" s="33" t="n">
        <v>-1297.46</v>
      </c>
      <c r="J1272" s="13">
        <f>+J1271+I1272</f>
        <v>2534301.06</v>
      </c>
      <c r="K1272" s="19">
        <f>+EOMONTH(B1272,0)</f>
        <v>46295</v>
      </c>
      <c r="L1272" s="3" t="inlineStr">
        <is>
          <t>Checking – Operating</t>
        </is>
      </c>
      <c r="M1272" s="3" t="inlineStr">
        <is>
          <t>Balance Sheet</t>
        </is>
      </c>
    </row>
    <row r="1273">
      <c r="B1273" s="39" t="n">
        <v>46294</v>
      </c>
      <c r="C1273" s="3" t="inlineStr">
        <is>
          <t>Bill Payment (Check)</t>
        </is>
      </c>
      <c r="D1273" s="3" t="inlineStr"/>
      <c r="E1273" s="3" t="inlineStr">
        <is>
          <t>Reference Lab A</t>
        </is>
      </c>
      <c r="F1273" s="3" t="inlineStr">
        <is>
          <t>Send-out testing – September</t>
        </is>
      </c>
      <c r="G1273" s="3" t="inlineStr">
        <is>
          <t>Accounts Payable</t>
        </is>
      </c>
      <c r="H1273" s="3" t="inlineStr">
        <is>
          <t>Checking – Operating</t>
        </is>
      </c>
      <c r="I1273" s="33" t="n">
        <v>-31821.69</v>
      </c>
      <c r="J1273" s="13">
        <f>+J1272+I1273</f>
        <v>2502479.37</v>
      </c>
      <c r="K1273" s="19">
        <f>+EOMONTH(B1273,0)</f>
        <v>46295</v>
      </c>
      <c r="L1273" s="3" t="inlineStr">
        <is>
          <t>Checking – Operating</t>
        </is>
      </c>
      <c r="M1273" s="3" t="inlineStr">
        <is>
          <t>Balance Sheet</t>
        </is>
      </c>
    </row>
    <row r="1274">
      <c r="B1274" s="39" t="n">
        <v>46294</v>
      </c>
      <c r="C1274" s="3" t="inlineStr">
        <is>
          <t>Bill Payment (Check)</t>
        </is>
      </c>
      <c r="D1274" s="3" t="inlineStr"/>
      <c r="E1274" s="3" t="inlineStr">
        <is>
          <t>Reference Lab A</t>
        </is>
      </c>
      <c r="F1274" s="3" t="inlineStr">
        <is>
          <t>Send-out testing – September</t>
        </is>
      </c>
      <c r="G1274" s="3" t="inlineStr">
        <is>
          <t>Accounts Payable</t>
        </is>
      </c>
      <c r="H1274" s="3" t="inlineStr">
        <is>
          <t>Checking – Operating</t>
        </is>
      </c>
      <c r="I1274" s="33" t="n">
        <v>-23880.59</v>
      </c>
      <c r="J1274" s="13">
        <f>+J1273+I1274</f>
        <v>2478598.78</v>
      </c>
      <c r="K1274" s="19">
        <f>+EOMONTH(B1274,0)</f>
        <v>46295</v>
      </c>
      <c r="L1274" s="3" t="inlineStr">
        <is>
          <t>Checking – Operating</t>
        </is>
      </c>
      <c r="M1274" s="3" t="inlineStr">
        <is>
          <t>Balance Sheet</t>
        </is>
      </c>
    </row>
    <row r="1275">
      <c r="B1275" s="39" t="n">
        <v>46294</v>
      </c>
      <c r="C1275" s="3" t="inlineStr">
        <is>
          <t>Bill Payment (Check)</t>
        </is>
      </c>
      <c r="D1275" s="3" t="inlineStr"/>
      <c r="E1275" s="3" t="inlineStr">
        <is>
          <t>Tarrowmere Mutual Insurance</t>
        </is>
      </c>
      <c r="F1275" s="3" t="inlineStr">
        <is>
          <t>Premium installment</t>
        </is>
      </c>
      <c r="G1275" s="3" t="inlineStr">
        <is>
          <t>Accounts Payable</t>
        </is>
      </c>
      <c r="H1275" s="3" t="inlineStr">
        <is>
          <t>Checking – Operating</t>
        </is>
      </c>
      <c r="I1275" s="33" t="n">
        <v>-8709.85</v>
      </c>
      <c r="J1275" s="13">
        <f>+J1274+I1275</f>
        <v>2469888.93</v>
      </c>
      <c r="K1275" s="19">
        <f>+EOMONTH(B1275,0)</f>
        <v>46295</v>
      </c>
      <c r="L1275" s="3" t="inlineStr">
        <is>
          <t>Checking – Operating</t>
        </is>
      </c>
      <c r="M1275" s="3" t="inlineStr">
        <is>
          <t>Balance Sheet</t>
        </is>
      </c>
    </row>
    <row r="1276">
      <c r="B1276" s="39" t="n">
        <v>46294</v>
      </c>
      <c r="C1276" s="3" t="inlineStr">
        <is>
          <t>Expense</t>
        </is>
      </c>
      <c r="D1276" s="3" t="inlineStr"/>
      <c r="E1276" s="3" t="inlineStr"/>
      <c r="F1276" s="3" t="inlineStr">
        <is>
          <t>Interest – equipment note</t>
        </is>
      </c>
      <c r="G1276" s="3" t="inlineStr">
        <is>
          <t>Interest Expense</t>
        </is>
      </c>
      <c r="H1276" s="3" t="inlineStr">
        <is>
          <t>Checking – Operating</t>
        </is>
      </c>
      <c r="I1276" s="33" t="n">
        <v>-3128.52</v>
      </c>
      <c r="J1276" s="13">
        <f>+J1275+I1276</f>
        <v>2466760.41</v>
      </c>
      <c r="K1276" s="19">
        <f>+EOMONTH(B1276,0)</f>
        <v>46295</v>
      </c>
      <c r="L1276" s="3" t="inlineStr">
        <is>
          <t>Checking – Operating</t>
        </is>
      </c>
      <c r="M1276" s="3" t="inlineStr">
        <is>
          <t>Balance Sheet</t>
        </is>
      </c>
    </row>
    <row r="1277">
      <c r="B1277" s="39" t="n">
        <v>46294</v>
      </c>
      <c r="C1277" s="3" t="inlineStr">
        <is>
          <t>Journal Entry</t>
        </is>
      </c>
      <c r="D1277" s="3" t="inlineStr"/>
      <c r="E1277" s="3" t="inlineStr">
        <is>
          <t>Tessarand Payroll Services</t>
        </is>
      </c>
      <c r="F1277" s="3" t="inlineStr">
        <is>
          <t>Sales and Marketing Expenses – September</t>
        </is>
      </c>
      <c r="G1277" s="3" t="inlineStr">
        <is>
          <t>Sales and Marketing Expenses</t>
        </is>
      </c>
      <c r="H1277" s="3" t="inlineStr">
        <is>
          <t>Checking – Operating</t>
        </is>
      </c>
      <c r="I1277" s="33" t="n">
        <v>-19712.6</v>
      </c>
      <c r="J1277" s="13">
        <f>+J1276+I1277</f>
        <v>2447047.81</v>
      </c>
      <c r="K1277" s="19">
        <f>+EOMONTH(B1277,0)</f>
        <v>46295</v>
      </c>
      <c r="L1277" s="3" t="inlineStr">
        <is>
          <t>Checking – Operating</t>
        </is>
      </c>
      <c r="M1277" s="3" t="inlineStr">
        <is>
          <t>Balance Sheet</t>
        </is>
      </c>
    </row>
    <row r="1278">
      <c r="B1278" s="39" t="n">
        <v>46295</v>
      </c>
      <c r="C1278" s="3" t="inlineStr">
        <is>
          <t>Deposit</t>
        </is>
      </c>
      <c r="D1278" s="3" t="inlineStr"/>
      <c r="E1278" s="3" t="inlineStr">
        <is>
          <t>Cobaltmere Health</t>
        </is>
      </c>
      <c r="F1278" s="3" t="inlineStr">
        <is>
          <t>ORIG CO NAME:COBALTMERE HEALTH ORIG ID:XXXXXX1424 DESC DATE:260930 CO ENTRY DESCR:HCCLAIMPMT SEC:CCD TRACE#:XXXXXXXX6687732 EED:260930 IND ID:</t>
        </is>
      </c>
      <c r="G1278" s="3" t="inlineStr">
        <is>
          <t>Service Income</t>
        </is>
      </c>
      <c r="H1278" s="3" t="inlineStr">
        <is>
          <t>Checking – Operating</t>
        </is>
      </c>
      <c r="I1278" s="33" t="n">
        <v>24407.59</v>
      </c>
      <c r="J1278" s="13">
        <f>+J1277+I1278</f>
        <v>2471455.4</v>
      </c>
      <c r="K1278" s="19">
        <f>+EOMONTH(B1278,0)</f>
        <v>46295</v>
      </c>
      <c r="L1278" s="3" t="inlineStr">
        <is>
          <t>Checking – Operating</t>
        </is>
      </c>
      <c r="M1278" s="3" t="inlineStr">
        <is>
          <t>Balance Sheet</t>
        </is>
      </c>
    </row>
    <row r="1279">
      <c r="B1279" s="39" t="n">
        <v>46296</v>
      </c>
      <c r="C1279" s="3" t="inlineStr">
        <is>
          <t>Credit Card Expense</t>
        </is>
      </c>
      <c r="D1279" s="3" t="inlineStr"/>
      <c r="E1279" s="3" t="inlineStr">
        <is>
          <t>Tessarand Payroll Services</t>
        </is>
      </c>
      <c r="F1279" s="3" t="inlineStr">
        <is>
          <t>Contractors – October</t>
        </is>
      </c>
      <c r="G1279" s="3" t="inlineStr">
        <is>
          <t>Contractors</t>
        </is>
      </c>
      <c r="H1279" s="3" t="inlineStr">
        <is>
          <t>Checking – Operating</t>
        </is>
      </c>
      <c r="I1279" s="33" t="n">
        <v>-7433.03</v>
      </c>
      <c r="J1279" s="13">
        <f>+J1278+I1279</f>
        <v>2464022.37</v>
      </c>
      <c r="K1279" s="19">
        <f>+EOMONTH(B1279,0)</f>
        <v>46326</v>
      </c>
      <c r="L1279" s="3" t="inlineStr">
        <is>
          <t>Checking – Operating</t>
        </is>
      </c>
      <c r="M1279" s="3" t="inlineStr">
        <is>
          <t>Balance Sheet</t>
        </is>
      </c>
    </row>
    <row r="1280">
      <c r="B1280" s="39" t="n">
        <v>46296</v>
      </c>
      <c r="C1280" s="3" t="inlineStr">
        <is>
          <t>Journal Entry</t>
        </is>
      </c>
      <c r="D1280" s="3" t="inlineStr"/>
      <c r="E1280" s="3" t="inlineStr"/>
      <c r="F1280" s="3" t="inlineStr">
        <is>
          <t>Patient refund</t>
        </is>
      </c>
      <c r="G1280" s="3" t="inlineStr">
        <is>
          <t>Refunds</t>
        </is>
      </c>
      <c r="H1280" s="3" t="inlineStr">
        <is>
          <t>Checking – Operating</t>
        </is>
      </c>
      <c r="I1280" s="33" t="n">
        <v>-5359.58</v>
      </c>
      <c r="J1280" s="13">
        <f>+J1279+I1280</f>
        <v>2458662.79</v>
      </c>
      <c r="K1280" s="19">
        <f>+EOMONTH(B1280,0)</f>
        <v>46326</v>
      </c>
      <c r="L1280" s="3" t="inlineStr">
        <is>
          <t>Checking – Operating</t>
        </is>
      </c>
      <c r="M1280" s="3" t="inlineStr">
        <is>
          <t>Balance Sheet</t>
        </is>
      </c>
    </row>
    <row r="1281">
      <c r="B1281" s="39" t="n">
        <v>46296</v>
      </c>
      <c r="C1281" s="3" t="inlineStr">
        <is>
          <t>Payroll Check</t>
        </is>
      </c>
      <c r="D1281" s="3" t="inlineStr"/>
      <c r="E1281" s="3" t="inlineStr">
        <is>
          <t>Tessarand Payroll Services</t>
        </is>
      </c>
      <c r="F1281" s="3" t="inlineStr">
        <is>
          <t>Payroll – biweekly</t>
        </is>
      </c>
      <c r="G1281" s="3" t="inlineStr">
        <is>
          <t>Salaries and Wages</t>
        </is>
      </c>
      <c r="H1281" s="3" t="inlineStr">
        <is>
          <t>Checking – Operating</t>
        </is>
      </c>
      <c r="I1281" s="33" t="n">
        <v>-115392.11</v>
      </c>
      <c r="J1281" s="13">
        <f>+J1280+I1281</f>
        <v>2343270.68</v>
      </c>
      <c r="K1281" s="19">
        <f>+EOMONTH(B1281,0)</f>
        <v>46326</v>
      </c>
      <c r="L1281" s="3" t="inlineStr">
        <is>
          <t>Checking – Operating</t>
        </is>
      </c>
      <c r="M1281" s="3" t="inlineStr">
        <is>
          <t>Balance Sheet</t>
        </is>
      </c>
    </row>
    <row r="1282">
      <c r="B1282" s="39" t="n">
        <v>46296</v>
      </c>
      <c r="C1282" s="3" t="inlineStr">
        <is>
          <t>Payroll Check</t>
        </is>
      </c>
      <c r="D1282" s="3" t="inlineStr"/>
      <c r="E1282" s="3" t="inlineStr">
        <is>
          <t>Tessarand Payroll Services</t>
        </is>
      </c>
      <c r="F1282" s="3" t="inlineStr">
        <is>
          <t>Payroll processing fee</t>
        </is>
      </c>
      <c r="G1282" s="3" t="inlineStr">
        <is>
          <t>Payroll Processing Fee</t>
        </is>
      </c>
      <c r="H1282" s="3" t="inlineStr">
        <is>
          <t>Checking – Operating</t>
        </is>
      </c>
      <c r="I1282" s="33" t="n">
        <v>-153.48</v>
      </c>
      <c r="J1282" s="13">
        <f>+J1281+I1282</f>
        <v>2343117.2</v>
      </c>
      <c r="K1282" s="19">
        <f>+EOMONTH(B1282,0)</f>
        <v>46326</v>
      </c>
      <c r="L1282" s="3" t="inlineStr">
        <is>
          <t>Checking – Operating</t>
        </is>
      </c>
      <c r="M1282" s="3" t="inlineStr">
        <is>
          <t>Balance Sheet</t>
        </is>
      </c>
    </row>
    <row r="1283">
      <c r="B1283" s="39" t="n">
        <v>46297</v>
      </c>
      <c r="C1283" s="3" t="inlineStr">
        <is>
          <t>Bill Payment (Check)</t>
        </is>
      </c>
      <c r="D1283" s="3" t="inlineStr"/>
      <c r="E1283" s="3" t="inlineStr">
        <is>
          <t>Tarrowmere Mutual Insurance</t>
        </is>
      </c>
      <c r="F1283" s="3" t="inlineStr">
        <is>
          <t>Premium installment</t>
        </is>
      </c>
      <c r="G1283" s="3" t="inlineStr">
        <is>
          <t>Accounts Payable</t>
        </is>
      </c>
      <c r="H1283" s="3" t="inlineStr">
        <is>
          <t>Checking – Operating</t>
        </is>
      </c>
      <c r="I1283" s="33" t="n">
        <v>-5269.35</v>
      </c>
      <c r="J1283" s="13">
        <f>+J1282+I1283</f>
        <v>2337847.85</v>
      </c>
      <c r="K1283" s="19">
        <f>+EOMONTH(B1283,0)</f>
        <v>46326</v>
      </c>
      <c r="L1283" s="3" t="inlineStr">
        <is>
          <t>Checking – Operating</t>
        </is>
      </c>
      <c r="M1283" s="3" t="inlineStr">
        <is>
          <t>Balance Sheet</t>
        </is>
      </c>
    </row>
    <row r="1284">
      <c r="B1284" s="39" t="n">
        <v>46297</v>
      </c>
      <c r="C1284" s="3" t="inlineStr">
        <is>
          <t>Deposit</t>
        </is>
      </c>
      <c r="D1284" s="3" t="inlineStr"/>
      <c r="E1284" s="3" t="inlineStr">
        <is>
          <t>Marrowby Mutual</t>
        </is>
      </c>
      <c r="F1284" s="3" t="inlineStr">
        <is>
          <t>ORIG CO NAME:MARROWBY MUTUAL ORIG ID:XXXXXX2523 DESC DATE:261002 CO ENTRY DESCR:HCCLAIMPMT SEC:CCD TRACE#:XXXXXXXX3012905 EED:261002 IND ID:</t>
        </is>
      </c>
      <c r="G1284" s="3" t="inlineStr">
        <is>
          <t>Service Income</t>
        </is>
      </c>
      <c r="H1284" s="3" t="inlineStr">
        <is>
          <t>Checking – Operating</t>
        </is>
      </c>
      <c r="I1284" s="33" t="n">
        <v>93288.53999999999</v>
      </c>
      <c r="J1284" s="13">
        <f>+J1283+I1284</f>
        <v>2431136.39</v>
      </c>
      <c r="K1284" s="19">
        <f>+EOMONTH(B1284,0)</f>
        <v>46326</v>
      </c>
      <c r="L1284" s="3" t="inlineStr">
        <is>
          <t>Checking – Operating</t>
        </is>
      </c>
      <c r="M1284" s="3" t="inlineStr">
        <is>
          <t>Balance Sheet</t>
        </is>
      </c>
    </row>
    <row r="1285">
      <c r="B1285" s="39" t="n">
        <v>46297</v>
      </c>
      <c r="C1285" s="3" t="inlineStr">
        <is>
          <t>Expense</t>
        </is>
      </c>
      <c r="D1285" s="3" t="inlineStr"/>
      <c r="E1285" s="3" t="inlineStr"/>
      <c r="F1285" s="3" t="inlineStr">
        <is>
          <t>Patient refund</t>
        </is>
      </c>
      <c r="G1285" s="3" t="inlineStr">
        <is>
          <t>Refunds</t>
        </is>
      </c>
      <c r="H1285" s="3" t="inlineStr">
        <is>
          <t>Checking – Operating</t>
        </is>
      </c>
      <c r="I1285" s="33" t="n">
        <v>-4021.19</v>
      </c>
      <c r="J1285" s="13">
        <f>+J1284+I1285</f>
        <v>2427115.2</v>
      </c>
      <c r="K1285" s="19">
        <f>+EOMONTH(B1285,0)</f>
        <v>46326</v>
      </c>
      <c r="L1285" s="3" t="inlineStr">
        <is>
          <t>Checking – Operating</t>
        </is>
      </c>
      <c r="M1285" s="3" t="inlineStr">
        <is>
          <t>Balance Sheet</t>
        </is>
      </c>
    </row>
    <row r="1286">
      <c r="B1286" s="39" t="n">
        <v>46297</v>
      </c>
      <c r="C1286" s="3" t="inlineStr">
        <is>
          <t>Journal Entry</t>
        </is>
      </c>
      <c r="D1286" s="3" t="inlineStr"/>
      <c r="E1286" s="3" t="inlineStr"/>
      <c r="F1286" s="3" t="inlineStr">
        <is>
          <t>Patient refund</t>
        </is>
      </c>
      <c r="G1286" s="3" t="inlineStr">
        <is>
          <t>Refunds</t>
        </is>
      </c>
      <c r="H1286" s="3" t="inlineStr">
        <is>
          <t>Checking – Operating</t>
        </is>
      </c>
      <c r="I1286" s="33" t="n">
        <v>-4793.32</v>
      </c>
      <c r="J1286" s="13">
        <f>+J1285+I1286</f>
        <v>2422321.88</v>
      </c>
      <c r="K1286" s="19">
        <f>+EOMONTH(B1286,0)</f>
        <v>46326</v>
      </c>
      <c r="L1286" s="3" t="inlineStr">
        <is>
          <t>Checking – Operating</t>
        </is>
      </c>
      <c r="M1286" s="3" t="inlineStr">
        <is>
          <t>Balance Sheet</t>
        </is>
      </c>
    </row>
    <row r="1287">
      <c r="B1287" s="39" t="n">
        <v>46298</v>
      </c>
      <c r="C1287" s="3" t="inlineStr">
        <is>
          <t>Credit Card Expense</t>
        </is>
      </c>
      <c r="D1287" s="3" t="inlineStr"/>
      <c r="E1287" s="3" t="inlineStr"/>
      <c r="F1287" s="3" t="inlineStr">
        <is>
          <t>Taxes and Licenses – October</t>
        </is>
      </c>
      <c r="G1287" s="3" t="inlineStr">
        <is>
          <t>Taxes and Licenses</t>
        </is>
      </c>
      <c r="H1287" s="3" t="inlineStr">
        <is>
          <t>Checking – Operating</t>
        </is>
      </c>
      <c r="I1287" s="33" t="n">
        <v>-427.13</v>
      </c>
      <c r="J1287" s="13">
        <f>+J1286+I1287</f>
        <v>2421894.75</v>
      </c>
      <c r="K1287" s="19">
        <f>+EOMONTH(B1287,0)</f>
        <v>46326</v>
      </c>
      <c r="L1287" s="3" t="inlineStr">
        <is>
          <t>Checking – Operating</t>
        </is>
      </c>
      <c r="M1287" s="3" t="inlineStr">
        <is>
          <t>Balance Sheet</t>
        </is>
      </c>
    </row>
    <row r="1288">
      <c r="B1288" s="39" t="n">
        <v>46298</v>
      </c>
      <c r="C1288" s="3" t="inlineStr">
        <is>
          <t>Expense</t>
        </is>
      </c>
      <c r="D1288" s="3" t="inlineStr"/>
      <c r="E1288" s="3" t="inlineStr">
        <is>
          <t>Tessarand Payroll Services</t>
        </is>
      </c>
      <c r="F1288" s="3" t="inlineStr">
        <is>
          <t>Contractors – October</t>
        </is>
      </c>
      <c r="G1288" s="3" t="inlineStr">
        <is>
          <t>Contractors</t>
        </is>
      </c>
      <c r="H1288" s="3" t="inlineStr">
        <is>
          <t>Checking – Operating</t>
        </is>
      </c>
      <c r="I1288" s="33" t="n">
        <v>-6102.73</v>
      </c>
      <c r="J1288" s="13">
        <f>+J1287+I1288</f>
        <v>2415792.02</v>
      </c>
      <c r="K1288" s="19">
        <f>+EOMONTH(B1288,0)</f>
        <v>46326</v>
      </c>
      <c r="L1288" s="3" t="inlineStr">
        <is>
          <t>Checking – Operating</t>
        </is>
      </c>
      <c r="M1288" s="3" t="inlineStr">
        <is>
          <t>Balance Sheet</t>
        </is>
      </c>
    </row>
    <row r="1289">
      <c r="B1289" s="39" t="n">
        <v>46298</v>
      </c>
      <c r="C1289" s="3" t="inlineStr">
        <is>
          <t>Expense</t>
        </is>
      </c>
      <c r="D1289" s="3" t="inlineStr"/>
      <c r="E1289" s="3" t="inlineStr"/>
      <c r="F1289" s="3" t="inlineStr">
        <is>
          <t>Parking – October</t>
        </is>
      </c>
      <c r="G1289" s="3" t="inlineStr">
        <is>
          <t>Parking</t>
        </is>
      </c>
      <c r="H1289" s="3" t="inlineStr">
        <is>
          <t>Checking – Operating</t>
        </is>
      </c>
      <c r="I1289" s="33" t="n">
        <v>-631.1799999999999</v>
      </c>
      <c r="J1289" s="13">
        <f>+J1288+I1289</f>
        <v>2415160.84</v>
      </c>
      <c r="K1289" s="19">
        <f>+EOMONTH(B1289,0)</f>
        <v>46326</v>
      </c>
      <c r="L1289" s="3" t="inlineStr">
        <is>
          <t>Checking – Operating</t>
        </is>
      </c>
      <c r="M1289" s="3" t="inlineStr">
        <is>
          <t>Balance Sheet</t>
        </is>
      </c>
    </row>
    <row r="1290">
      <c r="B1290" s="39" t="n">
        <v>46299</v>
      </c>
      <c r="C1290" s="3" t="inlineStr">
        <is>
          <t>Bill Payment (Check)</t>
        </is>
      </c>
      <c r="D1290" s="3" t="inlineStr"/>
      <c r="E1290" s="3" t="inlineStr">
        <is>
          <t>Tarrowmere Mutual Insurance</t>
        </is>
      </c>
      <c r="F1290" s="3" t="inlineStr">
        <is>
          <t>Benefits – September</t>
        </is>
      </c>
      <c r="G1290" s="3" t="inlineStr">
        <is>
          <t>Accounts Payable</t>
        </is>
      </c>
      <c r="H1290" s="3" t="inlineStr">
        <is>
          <t>Checking – Operating</t>
        </is>
      </c>
      <c r="I1290" s="33" t="n">
        <v>-5846.32</v>
      </c>
      <c r="J1290" s="13">
        <f>+J1289+I1290</f>
        <v>2409314.52</v>
      </c>
      <c r="K1290" s="19">
        <f>+EOMONTH(B1290,0)</f>
        <v>46326</v>
      </c>
      <c r="L1290" s="3" t="inlineStr">
        <is>
          <t>Checking – Operating</t>
        </is>
      </c>
      <c r="M1290" s="3" t="inlineStr">
        <is>
          <t>Balance Sheet</t>
        </is>
      </c>
    </row>
    <row r="1291">
      <c r="B1291" s="39" t="n">
        <v>46299</v>
      </c>
      <c r="C1291" s="3" t="inlineStr">
        <is>
          <t>Credit Card Expense</t>
        </is>
      </c>
      <c r="D1291" s="3" t="inlineStr"/>
      <c r="E1291" s="3" t="inlineStr">
        <is>
          <t>Ledgerquill Billing SaaS</t>
        </is>
      </c>
      <c r="F1291" s="3" t="inlineStr">
        <is>
          <t>Software – October</t>
        </is>
      </c>
      <c r="G1291" s="3" t="inlineStr">
        <is>
          <t>Software</t>
        </is>
      </c>
      <c r="H1291" s="3" t="inlineStr">
        <is>
          <t>Checking – Operating</t>
        </is>
      </c>
      <c r="I1291" s="33" t="n">
        <v>-2879.82</v>
      </c>
      <c r="J1291" s="13">
        <f>+J1290+I1291</f>
        <v>2406434.7</v>
      </c>
      <c r="K1291" s="19">
        <f>+EOMONTH(B1291,0)</f>
        <v>46326</v>
      </c>
      <c r="L1291" s="3" t="inlineStr">
        <is>
          <t>Checking – Operating</t>
        </is>
      </c>
      <c r="M1291" s="3" t="inlineStr">
        <is>
          <t>Balance Sheet</t>
        </is>
      </c>
    </row>
    <row r="1292">
      <c r="B1292" s="39" t="n">
        <v>46299</v>
      </c>
      <c r="C1292" s="3" t="inlineStr">
        <is>
          <t>Expense</t>
        </is>
      </c>
      <c r="D1292" s="3" t="inlineStr"/>
      <c r="E1292" s="3" t="inlineStr">
        <is>
          <t>Ledgerquill Billing SaaS</t>
        </is>
      </c>
      <c r="F1292" s="3" t="inlineStr">
        <is>
          <t>Interface Service – October</t>
        </is>
      </c>
      <c r="G1292" s="3" t="inlineStr">
        <is>
          <t>Interface Service</t>
        </is>
      </c>
      <c r="H1292" s="3" t="inlineStr">
        <is>
          <t>Checking – Operating</t>
        </is>
      </c>
      <c r="I1292" s="33" t="n">
        <v>-1377.97</v>
      </c>
      <c r="J1292" s="13">
        <f>+J1291+I1292</f>
        <v>2405056.73</v>
      </c>
      <c r="K1292" s="19">
        <f>+EOMONTH(B1292,0)</f>
        <v>46326</v>
      </c>
      <c r="L1292" s="3" t="inlineStr">
        <is>
          <t>Checking – Operating</t>
        </is>
      </c>
      <c r="M1292" s="3" t="inlineStr">
        <is>
          <t>Balance Sheet</t>
        </is>
      </c>
    </row>
    <row r="1293">
      <c r="B1293" s="39" t="n">
        <v>46300</v>
      </c>
      <c r="C1293" s="3" t="inlineStr">
        <is>
          <t>Bill Payment (Check)</t>
        </is>
      </c>
      <c r="D1293" s="3" t="inlineStr"/>
      <c r="E1293" s="3" t="inlineStr">
        <is>
          <t>Reagentix Corp</t>
        </is>
      </c>
      <c r="F1293" s="3" t="inlineStr">
        <is>
          <t>Lab supplies PO# F2839</t>
        </is>
      </c>
      <c r="G1293" s="3" t="inlineStr">
        <is>
          <t>Accounts Payable</t>
        </is>
      </c>
      <c r="H1293" s="3" t="inlineStr">
        <is>
          <t>Checking – Operating</t>
        </is>
      </c>
      <c r="I1293" s="33" t="n">
        <v>-13374.27</v>
      </c>
      <c r="J1293" s="13">
        <f>+J1292+I1293</f>
        <v>2391682.46</v>
      </c>
      <c r="K1293" s="19">
        <f>+EOMONTH(B1293,0)</f>
        <v>46326</v>
      </c>
      <c r="L1293" s="3" t="inlineStr">
        <is>
          <t>Checking – Operating</t>
        </is>
      </c>
      <c r="M1293" s="3" t="inlineStr">
        <is>
          <t>Balance Sheet</t>
        </is>
      </c>
    </row>
    <row r="1294">
      <c r="B1294" s="39" t="n">
        <v>46300</v>
      </c>
      <c r="C1294" s="3" t="inlineStr">
        <is>
          <t>Journal Entry</t>
        </is>
      </c>
      <c r="D1294" s="3" t="inlineStr"/>
      <c r="E1294" s="3" t="inlineStr"/>
      <c r="F1294" s="3" t="inlineStr">
        <is>
          <t>Parking – October</t>
        </is>
      </c>
      <c r="G1294" s="3" t="inlineStr">
        <is>
          <t>Parking</t>
        </is>
      </c>
      <c r="H1294" s="3" t="inlineStr">
        <is>
          <t>Checking – Operating</t>
        </is>
      </c>
      <c r="I1294" s="33" t="n">
        <v>-627.14</v>
      </c>
      <c r="J1294" s="13">
        <f>+J1293+I1294</f>
        <v>2391055.32</v>
      </c>
      <c r="K1294" s="19">
        <f>+EOMONTH(B1294,0)</f>
        <v>46326</v>
      </c>
      <c r="L1294" s="3" t="inlineStr">
        <is>
          <t>Checking – Operating</t>
        </is>
      </c>
      <c r="M1294" s="3" t="inlineStr">
        <is>
          <t>Balance Sheet</t>
        </is>
      </c>
    </row>
    <row r="1295">
      <c r="B1295" s="39" t="n">
        <v>46300</v>
      </c>
      <c r="C1295" s="3" t="inlineStr">
        <is>
          <t>Journal Entry</t>
        </is>
      </c>
      <c r="D1295" s="3" t="inlineStr"/>
      <c r="E1295" s="3" t="inlineStr"/>
      <c r="F1295" s="3" t="inlineStr">
        <is>
          <t>Patient refund</t>
        </is>
      </c>
      <c r="G1295" s="3" t="inlineStr">
        <is>
          <t>Refunds</t>
        </is>
      </c>
      <c r="H1295" s="3" t="inlineStr">
        <is>
          <t>Checking – Operating</t>
        </is>
      </c>
      <c r="I1295" s="33" t="n">
        <v>-4397.48</v>
      </c>
      <c r="J1295" s="13">
        <f>+J1294+I1295</f>
        <v>2386657.84</v>
      </c>
      <c r="K1295" s="19">
        <f>+EOMONTH(B1295,0)</f>
        <v>46326</v>
      </c>
      <c r="L1295" s="3" t="inlineStr">
        <is>
          <t>Checking – Operating</t>
        </is>
      </c>
      <c r="M1295" s="3" t="inlineStr">
        <is>
          <t>Balance Sheet</t>
        </is>
      </c>
    </row>
    <row r="1296">
      <c r="B1296" s="39" t="n">
        <v>46301</v>
      </c>
      <c r="C1296" s="3" t="inlineStr">
        <is>
          <t>Bill Payment (Check)</t>
        </is>
      </c>
      <c r="D1296" s="3" t="inlineStr"/>
      <c r="E1296" s="3" t="inlineStr">
        <is>
          <t>Vialtrace Lab Supplies Inc</t>
        </is>
      </c>
      <c r="F1296" s="3" t="inlineStr">
        <is>
          <t>Lab supplies PO# F2913</t>
        </is>
      </c>
      <c r="G1296" s="3" t="inlineStr">
        <is>
          <t>Accounts Payable</t>
        </is>
      </c>
      <c r="H1296" s="3" t="inlineStr">
        <is>
          <t>Checking – Operating</t>
        </is>
      </c>
      <c r="I1296" s="33" t="n">
        <v>-33544.08</v>
      </c>
      <c r="J1296" s="13">
        <f>+J1295+I1296</f>
        <v>2353113.76</v>
      </c>
      <c r="K1296" s="19">
        <f>+EOMONTH(B1296,0)</f>
        <v>46326</v>
      </c>
      <c r="L1296" s="3" t="inlineStr">
        <is>
          <t>Checking – Operating</t>
        </is>
      </c>
      <c r="M1296" s="3" t="inlineStr">
        <is>
          <t>Balance Sheet</t>
        </is>
      </c>
    </row>
    <row r="1297">
      <c r="B1297" s="39" t="n">
        <v>46301</v>
      </c>
      <c r="C1297" s="3" t="inlineStr">
        <is>
          <t>Bill Payment (Check)</t>
        </is>
      </c>
      <c r="D1297" s="3" t="inlineStr"/>
      <c r="E1297" s="3" t="inlineStr">
        <is>
          <t>Halloway Ridge Realty (rent)</t>
        </is>
      </c>
      <c r="F1297" s="3" t="inlineStr">
        <is>
          <t>Rent – September</t>
        </is>
      </c>
      <c r="G1297" s="3" t="inlineStr">
        <is>
          <t>Accounts Payable</t>
        </is>
      </c>
      <c r="H1297" s="3" t="inlineStr">
        <is>
          <t>Checking – Operating</t>
        </is>
      </c>
      <c r="I1297" s="33" t="n">
        <v>-11469.45</v>
      </c>
      <c r="J1297" s="13">
        <f>+J1296+I1297</f>
        <v>2341644.31</v>
      </c>
      <c r="K1297" s="19">
        <f>+EOMONTH(B1297,0)</f>
        <v>46326</v>
      </c>
      <c r="L1297" s="3" t="inlineStr">
        <is>
          <t>Checking – Operating</t>
        </is>
      </c>
      <c r="M1297" s="3" t="inlineStr">
        <is>
          <t>Balance Sheet</t>
        </is>
      </c>
    </row>
    <row r="1298">
      <c r="B1298" s="39" t="n">
        <v>46302</v>
      </c>
      <c r="C1298" s="3" t="inlineStr">
        <is>
          <t>Deposit</t>
        </is>
      </c>
      <c r="D1298" s="3" t="inlineStr"/>
      <c r="E1298" s="3" t="inlineStr">
        <is>
          <t>State Program B</t>
        </is>
      </c>
      <c r="F1298" s="3" t="inlineStr">
        <is>
          <t>ORIG CO NAME:STATE PROG B ORIG ID:XXXXXX2904 DESC DATE:261007 CO ENTRY DESCR:HCCLAIMPMT SEC:CCD TRACE#:XXXXXXXX4274779 EED:261007 IND ID:</t>
        </is>
      </c>
      <c r="G1298" s="3" t="inlineStr">
        <is>
          <t>Service Income</t>
        </is>
      </c>
      <c r="H1298" s="3" t="inlineStr">
        <is>
          <t>Checking – Operating</t>
        </is>
      </c>
      <c r="I1298" s="33" t="n">
        <v>31502.99</v>
      </c>
      <c r="J1298" s="13">
        <f>+J1297+I1298</f>
        <v>2373147.3</v>
      </c>
      <c r="K1298" s="19">
        <f>+EOMONTH(B1298,0)</f>
        <v>46326</v>
      </c>
      <c r="L1298" s="3" t="inlineStr">
        <is>
          <t>Checking – Operating</t>
        </is>
      </c>
      <c r="M1298" s="3" t="inlineStr">
        <is>
          <t>Balance Sheet</t>
        </is>
      </c>
    </row>
    <row r="1299">
      <c r="B1299" s="39" t="n">
        <v>46302</v>
      </c>
      <c r="C1299" s="3" t="inlineStr">
        <is>
          <t>Deposit</t>
        </is>
      </c>
      <c r="D1299" s="3" t="inlineStr"/>
      <c r="E1299" s="3" t="inlineStr">
        <is>
          <t>Cobaltmere Health</t>
        </is>
      </c>
      <c r="F1299" s="3" t="inlineStr">
        <is>
          <t>ORIG CO NAME:COBALTMERE HEALTH ORIG ID:XXXXXX7343 DESC DATE:261007 CO ENTRY DESCR:HCCLAIMPMT SEC:CCD TRACE#:XXXXXXXX8088600 EED:261007 IND ID:</t>
        </is>
      </c>
      <c r="G1299" s="3" t="inlineStr">
        <is>
          <t>Service Income</t>
        </is>
      </c>
      <c r="H1299" s="3" t="inlineStr">
        <is>
          <t>Checking – Operating</t>
        </is>
      </c>
      <c r="I1299" s="33" t="n">
        <v>48144.05</v>
      </c>
      <c r="J1299" s="13">
        <f>+J1298+I1299</f>
        <v>2421291.35</v>
      </c>
      <c r="K1299" s="19">
        <f>+EOMONTH(B1299,0)</f>
        <v>46326</v>
      </c>
      <c r="L1299" s="3" t="inlineStr">
        <is>
          <t>Checking – Operating</t>
        </is>
      </c>
      <c r="M1299" s="3" t="inlineStr">
        <is>
          <t>Balance Sheet</t>
        </is>
      </c>
    </row>
    <row r="1300">
      <c r="B1300" s="39" t="n">
        <v>46302</v>
      </c>
      <c r="C1300" s="3" t="inlineStr">
        <is>
          <t>Expense</t>
        </is>
      </c>
      <c r="D1300" s="3" t="inlineStr"/>
      <c r="E1300" s="3" t="inlineStr">
        <is>
          <t>Swiftmere Courier</t>
        </is>
      </c>
      <c r="F1300" s="3" t="inlineStr">
        <is>
          <t>Postage and Delivery – October</t>
        </is>
      </c>
      <c r="G1300" s="3" t="inlineStr">
        <is>
          <t>Postage and Delivery</t>
        </is>
      </c>
      <c r="H1300" s="3" t="inlineStr">
        <is>
          <t>Checking – Operating</t>
        </is>
      </c>
      <c r="I1300" s="33" t="n">
        <v>-368.55</v>
      </c>
      <c r="J1300" s="13">
        <f>+J1299+I1300</f>
        <v>2420922.8</v>
      </c>
      <c r="K1300" s="19">
        <f>+EOMONTH(B1300,0)</f>
        <v>46326</v>
      </c>
      <c r="L1300" s="3" t="inlineStr">
        <is>
          <t>Checking – Operating</t>
        </is>
      </c>
      <c r="M1300" s="3" t="inlineStr">
        <is>
          <t>Balance Sheet</t>
        </is>
      </c>
    </row>
    <row r="1301">
      <c r="B1301" s="39" t="n">
        <v>46302</v>
      </c>
      <c r="C1301" s="3" t="inlineStr">
        <is>
          <t>Expense</t>
        </is>
      </c>
      <c r="D1301" s="3" t="inlineStr"/>
      <c r="E1301" s="3" t="inlineStr">
        <is>
          <t>Swiftmere Courier</t>
        </is>
      </c>
      <c r="F1301" s="3" t="inlineStr">
        <is>
          <t>Postage and Delivery – October</t>
        </is>
      </c>
      <c r="G1301" s="3" t="inlineStr">
        <is>
          <t>Postage and Delivery</t>
        </is>
      </c>
      <c r="H1301" s="3" t="inlineStr">
        <is>
          <t>Checking – Operating</t>
        </is>
      </c>
      <c r="I1301" s="33" t="n">
        <v>-553.66</v>
      </c>
      <c r="J1301" s="13">
        <f>+J1300+I1301</f>
        <v>2420369.14</v>
      </c>
      <c r="K1301" s="19">
        <f>+EOMONTH(B1301,0)</f>
        <v>46326</v>
      </c>
      <c r="L1301" s="3" t="inlineStr">
        <is>
          <t>Checking – Operating</t>
        </is>
      </c>
      <c r="M1301" s="3" t="inlineStr">
        <is>
          <t>Balance Sheet</t>
        </is>
      </c>
    </row>
    <row r="1302">
      <c r="B1302" s="39" t="n">
        <v>46302</v>
      </c>
      <c r="C1302" s="3" t="inlineStr">
        <is>
          <t>Payroll Check</t>
        </is>
      </c>
      <c r="D1302" s="3" t="inlineStr"/>
      <c r="E1302" s="3" t="inlineStr">
        <is>
          <t>Tessarand Payroll Services</t>
        </is>
      </c>
      <c r="F1302" s="3" t="inlineStr">
        <is>
          <t>Payroll taxes – biweekly</t>
        </is>
      </c>
      <c r="G1302" s="3" t="inlineStr">
        <is>
          <t>Payroll Taxes</t>
        </is>
      </c>
      <c r="H1302" s="3" t="inlineStr">
        <is>
          <t>Checking – Operating</t>
        </is>
      </c>
      <c r="I1302" s="33" t="n">
        <v>-1064.64</v>
      </c>
      <c r="J1302" s="13">
        <f>+J1301+I1302</f>
        <v>2419304.5</v>
      </c>
      <c r="K1302" s="19">
        <f>+EOMONTH(B1302,0)</f>
        <v>46326</v>
      </c>
      <c r="L1302" s="3" t="inlineStr">
        <is>
          <t>Checking – Operating</t>
        </is>
      </c>
      <c r="M1302" s="3" t="inlineStr">
        <is>
          <t>Balance Sheet</t>
        </is>
      </c>
    </row>
    <row r="1303">
      <c r="B1303" s="39" t="n">
        <v>46303</v>
      </c>
      <c r="C1303" s="3" t="inlineStr">
        <is>
          <t>Credit Card Expense</t>
        </is>
      </c>
      <c r="D1303" s="3" t="inlineStr"/>
      <c r="E1303" s="3" t="inlineStr">
        <is>
          <t>Ledgerquill Billing SaaS</t>
        </is>
      </c>
      <c r="F1303" s="3" t="inlineStr">
        <is>
          <t>Software – October</t>
        </is>
      </c>
      <c r="G1303" s="3" t="inlineStr">
        <is>
          <t>Software</t>
        </is>
      </c>
      <c r="H1303" s="3" t="inlineStr">
        <is>
          <t>Checking – Operating</t>
        </is>
      </c>
      <c r="I1303" s="33" t="n">
        <v>-2416.04</v>
      </c>
      <c r="J1303" s="13">
        <f>+J1302+I1303</f>
        <v>2416888.46</v>
      </c>
      <c r="K1303" s="19">
        <f>+EOMONTH(B1303,0)</f>
        <v>46326</v>
      </c>
      <c r="L1303" s="3" t="inlineStr">
        <is>
          <t>Checking – Operating</t>
        </is>
      </c>
      <c r="M1303" s="3" t="inlineStr">
        <is>
          <t>Balance Sheet</t>
        </is>
      </c>
    </row>
    <row r="1304">
      <c r="B1304" s="39" t="n">
        <v>46303</v>
      </c>
      <c r="C1304" s="3" t="inlineStr">
        <is>
          <t>Expense</t>
        </is>
      </c>
      <c r="D1304" s="3" t="inlineStr"/>
      <c r="E1304" s="3" t="inlineStr"/>
      <c r="F1304" s="3" t="inlineStr">
        <is>
          <t>Lab Credentialing – October</t>
        </is>
      </c>
      <c r="G1304" s="3" t="inlineStr">
        <is>
          <t>Lab Credentialing</t>
        </is>
      </c>
      <c r="H1304" s="3" t="inlineStr">
        <is>
          <t>Checking – Operating</t>
        </is>
      </c>
      <c r="I1304" s="33" t="n">
        <v>-1839.54</v>
      </c>
      <c r="J1304" s="13">
        <f>+J1303+I1304</f>
        <v>2415048.92</v>
      </c>
      <c r="K1304" s="19">
        <f>+EOMONTH(B1304,0)</f>
        <v>46326</v>
      </c>
      <c r="L1304" s="3" t="inlineStr">
        <is>
          <t>Checking – Operating</t>
        </is>
      </c>
      <c r="M1304" s="3" t="inlineStr">
        <is>
          <t>Balance Sheet</t>
        </is>
      </c>
    </row>
    <row r="1305">
      <c r="B1305" s="39" t="n">
        <v>46304</v>
      </c>
      <c r="C1305" s="3" t="inlineStr">
        <is>
          <t>Bill Payment (Check)</t>
        </is>
      </c>
      <c r="D1305" s="3" t="inlineStr"/>
      <c r="E1305" s="3" t="inlineStr">
        <is>
          <t>Reagentix Corp</t>
        </is>
      </c>
      <c r="F1305" s="3" t="inlineStr">
        <is>
          <t>Lab supplies PO# F2759</t>
        </is>
      </c>
      <c r="G1305" s="3" t="inlineStr">
        <is>
          <t>Accounts Payable</t>
        </is>
      </c>
      <c r="H1305" s="3" t="inlineStr">
        <is>
          <t>Checking – Operating</t>
        </is>
      </c>
      <c r="I1305" s="33" t="n">
        <v>-32171.16</v>
      </c>
      <c r="J1305" s="13">
        <f>+J1304+I1305</f>
        <v>2382877.76</v>
      </c>
      <c r="K1305" s="19">
        <f>+EOMONTH(B1305,0)</f>
        <v>46326</v>
      </c>
      <c r="L1305" s="3" t="inlineStr">
        <is>
          <t>Checking – Operating</t>
        </is>
      </c>
      <c r="M1305" s="3" t="inlineStr">
        <is>
          <t>Balance Sheet</t>
        </is>
      </c>
    </row>
    <row r="1306">
      <c r="B1306" s="39" t="n">
        <v>46304</v>
      </c>
      <c r="C1306" s="3" t="inlineStr">
        <is>
          <t>Bill Payment (Check)</t>
        </is>
      </c>
      <c r="D1306" s="3" t="inlineStr"/>
      <c r="E1306" s="3" t="inlineStr">
        <is>
          <t>Tarrowmere Mutual Insurance</t>
        </is>
      </c>
      <c r="F1306" s="3" t="inlineStr">
        <is>
          <t>Premium installment</t>
        </is>
      </c>
      <c r="G1306" s="3" t="inlineStr">
        <is>
          <t>Accounts Payable</t>
        </is>
      </c>
      <c r="H1306" s="3" t="inlineStr">
        <is>
          <t>Checking – Operating</t>
        </is>
      </c>
      <c r="I1306" s="33" t="n">
        <v>-6424.17</v>
      </c>
      <c r="J1306" s="13">
        <f>+J1305+I1306</f>
        <v>2376453.59</v>
      </c>
      <c r="K1306" s="19">
        <f>+EOMONTH(B1306,0)</f>
        <v>46326</v>
      </c>
      <c r="L1306" s="3" t="inlineStr">
        <is>
          <t>Checking – Operating</t>
        </is>
      </c>
      <c r="M1306" s="3" t="inlineStr">
        <is>
          <t>Balance Sheet</t>
        </is>
      </c>
    </row>
    <row r="1307">
      <c r="B1307" s="39" t="n">
        <v>46304</v>
      </c>
      <c r="C1307" s="3" t="inlineStr">
        <is>
          <t>Bill Payment (Check)</t>
        </is>
      </c>
      <c r="D1307" s="3" t="inlineStr"/>
      <c r="E1307" s="3" t="inlineStr">
        <is>
          <t>Lumenlease Equipment</t>
        </is>
      </c>
      <c r="F1307" s="3" t="inlineStr">
        <is>
          <t>Equipment Lease – September</t>
        </is>
      </c>
      <c r="G1307" s="3" t="inlineStr">
        <is>
          <t>Accounts Payable</t>
        </is>
      </c>
      <c r="H1307" s="3" t="inlineStr">
        <is>
          <t>Checking – Operating</t>
        </is>
      </c>
      <c r="I1307" s="33" t="n">
        <v>-7426.4</v>
      </c>
      <c r="J1307" s="13">
        <f>+J1306+I1307</f>
        <v>2369027.19</v>
      </c>
      <c r="K1307" s="19">
        <f>+EOMONTH(B1307,0)</f>
        <v>46326</v>
      </c>
      <c r="L1307" s="3" t="inlineStr">
        <is>
          <t>Checking – Operating</t>
        </is>
      </c>
      <c r="M1307" s="3" t="inlineStr">
        <is>
          <t>Balance Sheet</t>
        </is>
      </c>
    </row>
    <row r="1308">
      <c r="B1308" s="39" t="n">
        <v>46304</v>
      </c>
      <c r="C1308" s="3" t="inlineStr">
        <is>
          <t>Credit Card Expense</t>
        </is>
      </c>
      <c r="D1308" s="3" t="inlineStr"/>
      <c r="E1308" s="3" t="inlineStr">
        <is>
          <t>Tessarand Payroll Services</t>
        </is>
      </c>
      <c r="F1308" s="3" t="inlineStr">
        <is>
          <t>Recruitment – October</t>
        </is>
      </c>
      <c r="G1308" s="3" t="inlineStr">
        <is>
          <t>Recruitment</t>
        </is>
      </c>
      <c r="H1308" s="3" t="inlineStr">
        <is>
          <t>Checking – Operating</t>
        </is>
      </c>
      <c r="I1308" s="33" t="n">
        <v>-1474.24</v>
      </c>
      <c r="J1308" s="13">
        <f>+J1307+I1308</f>
        <v>2367552.95</v>
      </c>
      <c r="K1308" s="19">
        <f>+EOMONTH(B1308,0)</f>
        <v>46326</v>
      </c>
      <c r="L1308" s="3" t="inlineStr">
        <is>
          <t>Checking – Operating</t>
        </is>
      </c>
      <c r="M1308" s="3" t="inlineStr">
        <is>
          <t>Balance Sheet</t>
        </is>
      </c>
    </row>
    <row r="1309">
      <c r="B1309" s="39" t="n">
        <v>46304</v>
      </c>
      <c r="C1309" s="3" t="inlineStr">
        <is>
          <t>Journal Entry</t>
        </is>
      </c>
      <c r="D1309" s="3" t="inlineStr"/>
      <c r="E1309" s="3" t="inlineStr"/>
      <c r="F1309" s="3" t="inlineStr">
        <is>
          <t>Automobile Expense – October</t>
        </is>
      </c>
      <c r="G1309" s="3" t="inlineStr">
        <is>
          <t>Automobile Expense</t>
        </is>
      </c>
      <c r="H1309" s="3" t="inlineStr">
        <is>
          <t>Checking – Operating</t>
        </is>
      </c>
      <c r="I1309" s="33" t="n">
        <v>-914.45</v>
      </c>
      <c r="J1309" s="13">
        <f>+J1308+I1309</f>
        <v>2366638.5</v>
      </c>
      <c r="K1309" s="19">
        <f>+EOMONTH(B1309,0)</f>
        <v>46326</v>
      </c>
      <c r="L1309" s="3" t="inlineStr">
        <is>
          <t>Checking – Operating</t>
        </is>
      </c>
      <c r="M1309" s="3" t="inlineStr">
        <is>
          <t>Balance Sheet</t>
        </is>
      </c>
    </row>
    <row r="1310">
      <c r="B1310" s="39" t="n">
        <v>46305</v>
      </c>
      <c r="C1310" s="3" t="inlineStr">
        <is>
          <t>Bill Payment (Check)</t>
        </is>
      </c>
      <c r="D1310" s="3" t="inlineStr"/>
      <c r="E1310" s="3" t="inlineStr">
        <is>
          <t>Tarrowmere Mutual Insurance</t>
        </is>
      </c>
      <c r="F1310" s="3" t="inlineStr">
        <is>
          <t>Benefits – September</t>
        </is>
      </c>
      <c r="G1310" s="3" t="inlineStr">
        <is>
          <t>Accounts Payable</t>
        </is>
      </c>
      <c r="H1310" s="3" t="inlineStr">
        <is>
          <t>Checking – Operating</t>
        </is>
      </c>
      <c r="I1310" s="33" t="n">
        <v>-4944.08</v>
      </c>
      <c r="J1310" s="13">
        <f>+J1309+I1310</f>
        <v>2361694.42</v>
      </c>
      <c r="K1310" s="19">
        <f>+EOMONTH(B1310,0)</f>
        <v>46326</v>
      </c>
      <c r="L1310" s="3" t="inlineStr">
        <is>
          <t>Checking – Operating</t>
        </is>
      </c>
      <c r="M1310" s="3" t="inlineStr">
        <is>
          <t>Balance Sheet</t>
        </is>
      </c>
    </row>
    <row r="1311">
      <c r="B1311" s="39" t="n">
        <v>46305</v>
      </c>
      <c r="C1311" s="3" t="inlineStr">
        <is>
          <t>Bill Payment (Check)</t>
        </is>
      </c>
      <c r="D1311" s="3" t="inlineStr"/>
      <c r="E1311" s="3" t="inlineStr">
        <is>
          <t>Ledgerquill Billing SaaS</t>
        </is>
      </c>
      <c r="F1311" s="3" t="inlineStr">
        <is>
          <t>Billing Software as a Service – September</t>
        </is>
      </c>
      <c r="G1311" s="3" t="inlineStr">
        <is>
          <t>Accounts Payable</t>
        </is>
      </c>
      <c r="H1311" s="3" t="inlineStr">
        <is>
          <t>Checking – Operating</t>
        </is>
      </c>
      <c r="I1311" s="33" t="n">
        <v>-16338.97</v>
      </c>
      <c r="J1311" s="13">
        <f>+J1310+I1311</f>
        <v>2345355.45</v>
      </c>
      <c r="K1311" s="19">
        <f>+EOMONTH(B1311,0)</f>
        <v>46326</v>
      </c>
      <c r="L1311" s="3" t="inlineStr">
        <is>
          <t>Checking – Operating</t>
        </is>
      </c>
      <c r="M1311" s="3" t="inlineStr">
        <is>
          <t>Balance Sheet</t>
        </is>
      </c>
    </row>
    <row r="1312">
      <c r="B1312" s="39" t="n">
        <v>46305</v>
      </c>
      <c r="C1312" s="3" t="inlineStr">
        <is>
          <t>Deposit</t>
        </is>
      </c>
      <c r="D1312" s="3" t="inlineStr"/>
      <c r="E1312" s="3" t="inlineStr">
        <is>
          <t>Lanternway Benefits</t>
        </is>
      </c>
      <c r="F1312" s="3" t="inlineStr">
        <is>
          <t>ORIG CO NAME:LANTERNWAY BEN ORIG ID:XXXXXX7479 DESC DATE:261010 CO ENTRY DESCR:HCCLAIMPMT SEC:CCD TRACE#:XXXXXXXX8446945 EED:261010 IND ID:</t>
        </is>
      </c>
      <c r="G1312" s="3" t="inlineStr">
        <is>
          <t>Service Income</t>
        </is>
      </c>
      <c r="H1312" s="3" t="inlineStr">
        <is>
          <t>Checking – Operating</t>
        </is>
      </c>
      <c r="I1312" s="33" t="n">
        <v>40319.16</v>
      </c>
      <c r="J1312" s="13">
        <f>+J1311+I1312</f>
        <v>2385674.61</v>
      </c>
      <c r="K1312" s="19">
        <f>+EOMONTH(B1312,0)</f>
        <v>46326</v>
      </c>
      <c r="L1312" s="3" t="inlineStr">
        <is>
          <t>Checking – Operating</t>
        </is>
      </c>
      <c r="M1312" s="3" t="inlineStr">
        <is>
          <t>Balance Sheet</t>
        </is>
      </c>
    </row>
    <row r="1313">
      <c r="B1313" s="39" t="n">
        <v>46305</v>
      </c>
      <c r="C1313" s="3" t="inlineStr">
        <is>
          <t>Deposit</t>
        </is>
      </c>
      <c r="D1313" s="3" t="inlineStr"/>
      <c r="E1313" s="3" t="inlineStr">
        <is>
          <t>Lanternway Benefits</t>
        </is>
      </c>
      <c r="F1313" s="3" t="inlineStr">
        <is>
          <t>ORIG CO NAME:LANTERNWAY BEN ORIG ID:XXXXXX7958 DESC DATE:261010 CO ENTRY DESCR:HCCLAIMPMT SEC:CCD TRACE#:XXXXXXXX9951735 EED:261010 IND ID:</t>
        </is>
      </c>
      <c r="G1313" s="3" t="inlineStr">
        <is>
          <t>Service Income</t>
        </is>
      </c>
      <c r="H1313" s="3" t="inlineStr">
        <is>
          <t>Checking – Operating</t>
        </is>
      </c>
      <c r="I1313" s="33" t="n">
        <v>45477.41</v>
      </c>
      <c r="J1313" s="13">
        <f>+J1312+I1313</f>
        <v>2431152.02</v>
      </c>
      <c r="K1313" s="19">
        <f>+EOMONTH(B1313,0)</f>
        <v>46326</v>
      </c>
      <c r="L1313" s="3" t="inlineStr">
        <is>
          <t>Checking – Operating</t>
        </is>
      </c>
      <c r="M1313" s="3" t="inlineStr">
        <is>
          <t>Balance Sheet</t>
        </is>
      </c>
    </row>
    <row r="1314">
      <c r="B1314" s="39" t="n">
        <v>46305</v>
      </c>
      <c r="C1314" s="3" t="inlineStr">
        <is>
          <t>Expense</t>
        </is>
      </c>
      <c r="D1314" s="3" t="inlineStr"/>
      <c r="E1314" s="3" t="inlineStr">
        <is>
          <t>Ledgerquill Billing SaaS</t>
        </is>
      </c>
      <c r="F1314" s="3" t="inlineStr">
        <is>
          <t>Lab EMR Service – October</t>
        </is>
      </c>
      <c r="G1314" s="3" t="inlineStr">
        <is>
          <t>Lab EMR Service</t>
        </is>
      </c>
      <c r="H1314" s="3" t="inlineStr">
        <is>
          <t>Checking – Operating</t>
        </is>
      </c>
      <c r="I1314" s="33" t="n">
        <v>-4082.59</v>
      </c>
      <c r="J1314" s="13">
        <f>+J1313+I1314</f>
        <v>2427069.43</v>
      </c>
      <c r="K1314" s="19">
        <f>+EOMONTH(B1314,0)</f>
        <v>46326</v>
      </c>
      <c r="L1314" s="3" t="inlineStr">
        <is>
          <t>Checking – Operating</t>
        </is>
      </c>
      <c r="M1314" s="3" t="inlineStr">
        <is>
          <t>Balance Sheet</t>
        </is>
      </c>
    </row>
    <row r="1315">
      <c r="B1315" s="39" t="n">
        <v>46306</v>
      </c>
      <c r="C1315" s="3" t="inlineStr">
        <is>
          <t>Bill Payment (Check)</t>
        </is>
      </c>
      <c r="D1315" s="3" t="inlineStr"/>
      <c r="E1315" s="3" t="inlineStr">
        <is>
          <t>Reagentix Corp</t>
        </is>
      </c>
      <c r="F1315" s="3" t="inlineStr">
        <is>
          <t>Lab supplies PO# F2313</t>
        </is>
      </c>
      <c r="G1315" s="3" t="inlineStr">
        <is>
          <t>Accounts Payable</t>
        </is>
      </c>
      <c r="H1315" s="3" t="inlineStr">
        <is>
          <t>Checking – Operating</t>
        </is>
      </c>
      <c r="I1315" s="33" t="n">
        <v>-14127.2</v>
      </c>
      <c r="J1315" s="13">
        <f>+J1314+I1315</f>
        <v>2412942.23</v>
      </c>
      <c r="K1315" s="19">
        <f>+EOMONTH(B1315,0)</f>
        <v>46326</v>
      </c>
      <c r="L1315" s="3" t="inlineStr">
        <is>
          <t>Checking – Operating</t>
        </is>
      </c>
      <c r="M1315" s="3" t="inlineStr">
        <is>
          <t>Balance Sheet</t>
        </is>
      </c>
    </row>
    <row r="1316">
      <c r="B1316" s="39" t="n">
        <v>46306</v>
      </c>
      <c r="C1316" s="3" t="inlineStr">
        <is>
          <t>Credit Card Expense</t>
        </is>
      </c>
      <c r="D1316" s="3" t="inlineStr"/>
      <c r="E1316" s="3" t="inlineStr">
        <is>
          <t>Consultant A</t>
        </is>
      </c>
      <c r="F1316" s="3" t="inlineStr">
        <is>
          <t>Legal &amp; Professional Fees – October</t>
        </is>
      </c>
      <c r="G1316" s="3" t="inlineStr">
        <is>
          <t>Legal &amp; Professional Fees</t>
        </is>
      </c>
      <c r="H1316" s="3" t="inlineStr">
        <is>
          <t>Checking – Operating</t>
        </is>
      </c>
      <c r="I1316" s="33" t="n">
        <v>-1693.92</v>
      </c>
      <c r="J1316" s="13">
        <f>+J1315+I1316</f>
        <v>2411248.31</v>
      </c>
      <c r="K1316" s="19">
        <f>+EOMONTH(B1316,0)</f>
        <v>46326</v>
      </c>
      <c r="L1316" s="3" t="inlineStr">
        <is>
          <t>Checking – Operating</t>
        </is>
      </c>
      <c r="M1316" s="3" t="inlineStr">
        <is>
          <t>Balance Sheet</t>
        </is>
      </c>
    </row>
    <row r="1317">
      <c r="B1317" s="39" t="n">
        <v>46307</v>
      </c>
      <c r="C1317" s="3" t="inlineStr">
        <is>
          <t>Expense</t>
        </is>
      </c>
      <c r="D1317" s="3" t="inlineStr"/>
      <c r="E1317" s="3" t="inlineStr">
        <is>
          <t>Reagentix Corp</t>
        </is>
      </c>
      <c r="F1317" s="3" t="inlineStr">
        <is>
          <t>QAQC – October</t>
        </is>
      </c>
      <c r="G1317" s="3" t="inlineStr">
        <is>
          <t>QAQC</t>
        </is>
      </c>
      <c r="H1317" s="3" t="inlineStr">
        <is>
          <t>Checking – Operating</t>
        </is>
      </c>
      <c r="I1317" s="33" t="n">
        <v>-3777.36</v>
      </c>
      <c r="J1317" s="13">
        <f>+J1316+I1317</f>
        <v>2407470.95</v>
      </c>
      <c r="K1317" s="19">
        <f>+EOMONTH(B1317,0)</f>
        <v>46326</v>
      </c>
      <c r="L1317" s="3" t="inlineStr">
        <is>
          <t>Checking – Operating</t>
        </is>
      </c>
      <c r="M1317" s="3" t="inlineStr">
        <is>
          <t>Balance Sheet</t>
        </is>
      </c>
    </row>
    <row r="1318">
      <c r="B1318" s="39" t="n">
        <v>46308</v>
      </c>
      <c r="C1318" s="3" t="inlineStr">
        <is>
          <t>Bill Payment (Check)</t>
        </is>
      </c>
      <c r="D1318" s="3" t="inlineStr"/>
      <c r="E1318" s="3" t="inlineStr">
        <is>
          <t>Reference Lab A</t>
        </is>
      </c>
      <c r="F1318" s="3" t="inlineStr">
        <is>
          <t>Send-out testing – September</t>
        </is>
      </c>
      <c r="G1318" s="3" t="inlineStr">
        <is>
          <t>Accounts Payable</t>
        </is>
      </c>
      <c r="H1318" s="3" t="inlineStr">
        <is>
          <t>Checking – Operating</t>
        </is>
      </c>
      <c r="I1318" s="33" t="n">
        <v>-19056.42</v>
      </c>
      <c r="J1318" s="13">
        <f>+J1317+I1318</f>
        <v>2388414.53</v>
      </c>
      <c r="K1318" s="19">
        <f>+EOMONTH(B1318,0)</f>
        <v>46326</v>
      </c>
      <c r="L1318" s="3" t="inlineStr">
        <is>
          <t>Checking – Operating</t>
        </is>
      </c>
      <c r="M1318" s="3" t="inlineStr">
        <is>
          <t>Balance Sheet</t>
        </is>
      </c>
    </row>
    <row r="1319">
      <c r="B1319" s="39" t="n">
        <v>46308</v>
      </c>
      <c r="C1319" s="3" t="inlineStr">
        <is>
          <t>Bill Payment (Check)</t>
        </is>
      </c>
      <c r="D1319" s="3" t="inlineStr"/>
      <c r="E1319" s="3" t="inlineStr">
        <is>
          <t>Reagentix Corp</t>
        </is>
      </c>
      <c r="F1319" s="3" t="inlineStr">
        <is>
          <t>Lab supplies PO# F2770</t>
        </is>
      </c>
      <c r="G1319" s="3" t="inlineStr">
        <is>
          <t>Accounts Payable</t>
        </is>
      </c>
      <c r="H1319" s="3" t="inlineStr">
        <is>
          <t>Checking – Operating</t>
        </is>
      </c>
      <c r="I1319" s="33" t="n">
        <v>-11226.84</v>
      </c>
      <c r="J1319" s="13">
        <f>+J1318+I1319</f>
        <v>2377187.69</v>
      </c>
      <c r="K1319" s="19">
        <f>+EOMONTH(B1319,0)</f>
        <v>46326</v>
      </c>
      <c r="L1319" s="3" t="inlineStr">
        <is>
          <t>Checking – Operating</t>
        </is>
      </c>
      <c r="M1319" s="3" t="inlineStr">
        <is>
          <t>Balance Sheet</t>
        </is>
      </c>
    </row>
    <row r="1320">
      <c r="B1320" s="39" t="n">
        <v>46308</v>
      </c>
      <c r="C1320" s="3" t="inlineStr">
        <is>
          <t>Bill Payment (Check)</t>
        </is>
      </c>
      <c r="D1320" s="3" t="inlineStr"/>
      <c r="E1320" s="3" t="inlineStr">
        <is>
          <t>Tarrowmere Mutual Insurance</t>
        </is>
      </c>
      <c r="F1320" s="3" t="inlineStr">
        <is>
          <t>Benefits – September</t>
        </is>
      </c>
      <c r="G1320" s="3" t="inlineStr">
        <is>
          <t>Accounts Payable</t>
        </is>
      </c>
      <c r="H1320" s="3" t="inlineStr">
        <is>
          <t>Checking – Operating</t>
        </is>
      </c>
      <c r="I1320" s="33" t="n">
        <v>-4662.9</v>
      </c>
      <c r="J1320" s="13">
        <f>+J1319+I1320</f>
        <v>2372524.79</v>
      </c>
      <c r="K1320" s="19">
        <f>+EOMONTH(B1320,0)</f>
        <v>46326</v>
      </c>
      <c r="L1320" s="3" t="inlineStr">
        <is>
          <t>Checking – Operating</t>
        </is>
      </c>
      <c r="M1320" s="3" t="inlineStr">
        <is>
          <t>Balance Sheet</t>
        </is>
      </c>
    </row>
    <row r="1321">
      <c r="B1321" s="39" t="n">
        <v>46308</v>
      </c>
      <c r="C1321" s="3" t="inlineStr">
        <is>
          <t>Deposit</t>
        </is>
      </c>
      <c r="D1321" s="3" t="inlineStr"/>
      <c r="E1321" s="3" t="inlineStr">
        <is>
          <t>Quayside Choice Senior Plan</t>
        </is>
      </c>
      <c r="F1321" s="3" t="inlineStr">
        <is>
          <t>ORIG CO NAME:QUAYSIDE CHOICE SP ORIG ID:XXXXXX8612 DESC DATE:261013 CO ENTRY DESCR:HCCLAIMPMT SEC:CCD TRACE#:XXXXXXXX7639592 EED:261013 IND ID:</t>
        </is>
      </c>
      <c r="G1321" s="3" t="inlineStr">
        <is>
          <t>Service Income</t>
        </is>
      </c>
      <c r="H1321" s="3" t="inlineStr">
        <is>
          <t>Checking – Operating</t>
        </is>
      </c>
      <c r="I1321" s="33" t="n">
        <v>33968.92</v>
      </c>
      <c r="J1321" s="13">
        <f>+J1320+I1321</f>
        <v>2406493.71</v>
      </c>
      <c r="K1321" s="19">
        <f>+EOMONTH(B1321,0)</f>
        <v>46326</v>
      </c>
      <c r="L1321" s="3" t="inlineStr">
        <is>
          <t>Checking – Operating</t>
        </is>
      </c>
      <c r="M1321" s="3" t="inlineStr">
        <is>
          <t>Balance Sheet</t>
        </is>
      </c>
    </row>
    <row r="1322">
      <c r="B1322" s="39" t="n">
        <v>46309</v>
      </c>
      <c r="C1322" s="3" t="inlineStr">
        <is>
          <t>Deposit</t>
        </is>
      </c>
      <c r="D1322" s="3" t="inlineStr"/>
      <c r="E1322" s="3" t="inlineStr">
        <is>
          <t>State Program B</t>
        </is>
      </c>
      <c r="F1322" s="3" t="inlineStr">
        <is>
          <t>ORIG CO NAME:STATE PROG B ORIG ID:XXXXXX1904 DESC DATE:261014 CO ENTRY DESCR:HCCLAIMPMT SEC:CCD TRACE#:XXXXXXXX8633451 EED:261014 IND ID:</t>
        </is>
      </c>
      <c r="G1322" s="3" t="inlineStr">
        <is>
          <t>Service Income</t>
        </is>
      </c>
      <c r="H1322" s="3" t="inlineStr">
        <is>
          <t>Checking – Operating</t>
        </is>
      </c>
      <c r="I1322" s="33" t="n">
        <v>41769.42</v>
      </c>
      <c r="J1322" s="13">
        <f>+J1321+I1322</f>
        <v>2448263.13</v>
      </c>
      <c r="K1322" s="19">
        <f>+EOMONTH(B1322,0)</f>
        <v>46326</v>
      </c>
      <c r="L1322" s="3" t="inlineStr">
        <is>
          <t>Checking – Operating</t>
        </is>
      </c>
      <c r="M1322" s="3" t="inlineStr">
        <is>
          <t>Balance Sheet</t>
        </is>
      </c>
    </row>
    <row r="1323">
      <c r="B1323" s="39" t="n">
        <v>46309</v>
      </c>
      <c r="C1323" s="3" t="inlineStr">
        <is>
          <t>Deposit</t>
        </is>
      </c>
      <c r="D1323" s="3" t="inlineStr"/>
      <c r="E1323" s="3" t="inlineStr">
        <is>
          <t>Cobaltmere Health</t>
        </is>
      </c>
      <c r="F1323" s="3" t="inlineStr">
        <is>
          <t>ORIG CO NAME:COBALTMERE HEALTH ORIG ID:XXXXXX5902 DESC DATE:261014 CO ENTRY DESCR:HCCLAIMPMT SEC:CCD TRACE#:XXXXXXXX2248600 EED:261014 IND ID:</t>
        </is>
      </c>
      <c r="G1323" s="3" t="inlineStr">
        <is>
          <t>Service Income</t>
        </is>
      </c>
      <c r="H1323" s="3" t="inlineStr">
        <is>
          <t>Checking – Operating</t>
        </is>
      </c>
      <c r="I1323" s="33" t="n">
        <v>34570.8</v>
      </c>
      <c r="J1323" s="13">
        <f>+J1322+I1323</f>
        <v>2482833.93</v>
      </c>
      <c r="K1323" s="19">
        <f>+EOMONTH(B1323,0)</f>
        <v>46326</v>
      </c>
      <c r="L1323" s="3" t="inlineStr">
        <is>
          <t>Checking – Operating</t>
        </is>
      </c>
      <c r="M1323" s="3" t="inlineStr">
        <is>
          <t>Balance Sheet</t>
        </is>
      </c>
    </row>
    <row r="1324">
      <c r="B1324" s="39" t="n">
        <v>46309</v>
      </c>
      <c r="C1324" s="3" t="inlineStr">
        <is>
          <t>Expense</t>
        </is>
      </c>
      <c r="D1324" s="3" t="inlineStr"/>
      <c r="E1324" s="3" t="inlineStr">
        <is>
          <t>Tessarand Payroll Services</t>
        </is>
      </c>
      <c r="F1324" s="3" t="inlineStr">
        <is>
          <t>Sales and Marketing Expenses – October</t>
        </is>
      </c>
      <c r="G1324" s="3" t="inlineStr">
        <is>
          <t>Sales and Marketing Expenses</t>
        </is>
      </c>
      <c r="H1324" s="3" t="inlineStr">
        <is>
          <t>Checking – Operating</t>
        </is>
      </c>
      <c r="I1324" s="33" t="n">
        <v>-23304.61</v>
      </c>
      <c r="J1324" s="13">
        <f>+J1323+I1324</f>
        <v>2459529.32</v>
      </c>
      <c r="K1324" s="19">
        <f>+EOMONTH(B1324,0)</f>
        <v>46326</v>
      </c>
      <c r="L1324" s="3" t="inlineStr">
        <is>
          <t>Checking – Operating</t>
        </is>
      </c>
      <c r="M1324" s="3" t="inlineStr">
        <is>
          <t>Balance Sheet</t>
        </is>
      </c>
    </row>
    <row r="1325">
      <c r="B1325" s="39" t="n">
        <v>46309</v>
      </c>
      <c r="C1325" s="3" t="inlineStr">
        <is>
          <t>Journal Entry</t>
        </is>
      </c>
      <c r="D1325" s="3" t="inlineStr"/>
      <c r="E1325" s="3" t="inlineStr"/>
      <c r="F1325" s="3" t="inlineStr">
        <is>
          <t>Property tax installment</t>
        </is>
      </c>
      <c r="G1325" s="3" t="inlineStr">
        <is>
          <t>Property tax</t>
        </is>
      </c>
      <c r="H1325" s="3" t="inlineStr">
        <is>
          <t>Checking – Operating</t>
        </is>
      </c>
      <c r="I1325" s="33" t="n">
        <v>-1269.35</v>
      </c>
      <c r="J1325" s="13">
        <f>+J1324+I1325</f>
        <v>2458259.97</v>
      </c>
      <c r="K1325" s="19">
        <f>+EOMONTH(B1325,0)</f>
        <v>46326</v>
      </c>
      <c r="L1325" s="3" t="inlineStr">
        <is>
          <t>Checking – Operating</t>
        </is>
      </c>
      <c r="M1325" s="3" t="inlineStr">
        <is>
          <t>Balance Sheet</t>
        </is>
      </c>
    </row>
    <row r="1326">
      <c r="B1326" s="39" t="n">
        <v>46309</v>
      </c>
      <c r="C1326" s="3" t="inlineStr">
        <is>
          <t>Journal Entry</t>
        </is>
      </c>
      <c r="D1326" s="3" t="inlineStr"/>
      <c r="E1326" s="3" t="inlineStr">
        <is>
          <t>Lumenlease Equipment</t>
        </is>
      </c>
      <c r="F1326" s="3" t="inlineStr">
        <is>
          <t>Repairs and Maintenance – October</t>
        </is>
      </c>
      <c r="G1326" s="3" t="inlineStr">
        <is>
          <t>Repairs and Maintenance</t>
        </is>
      </c>
      <c r="H1326" s="3" t="inlineStr">
        <is>
          <t>Checking – Operating</t>
        </is>
      </c>
      <c r="I1326" s="33" t="n">
        <v>-3766.24</v>
      </c>
      <c r="J1326" s="13">
        <f>+J1325+I1326</f>
        <v>2454493.73</v>
      </c>
      <c r="K1326" s="19">
        <f>+EOMONTH(B1326,0)</f>
        <v>46326</v>
      </c>
      <c r="L1326" s="3" t="inlineStr">
        <is>
          <t>Checking – Operating</t>
        </is>
      </c>
      <c r="M1326" s="3" t="inlineStr">
        <is>
          <t>Balance Sheet</t>
        </is>
      </c>
    </row>
    <row r="1327">
      <c r="B1327" s="39" t="n">
        <v>46309</v>
      </c>
      <c r="C1327" s="3" t="inlineStr">
        <is>
          <t>Journal Entry</t>
        </is>
      </c>
      <c r="D1327" s="3" t="inlineStr"/>
      <c r="E1327" s="3" t="inlineStr"/>
      <c r="F1327" s="3" t="inlineStr">
        <is>
          <t>Travel Expense – October</t>
        </is>
      </c>
      <c r="G1327" s="3" t="inlineStr">
        <is>
          <t>Travel Expense</t>
        </is>
      </c>
      <c r="H1327" s="3" t="inlineStr">
        <is>
          <t>Checking – Operating</t>
        </is>
      </c>
      <c r="I1327" s="33" t="n">
        <v>-2360.25</v>
      </c>
      <c r="J1327" s="13">
        <f>+J1326+I1327</f>
        <v>2452133.48</v>
      </c>
      <c r="K1327" s="19">
        <f>+EOMONTH(B1327,0)</f>
        <v>46326</v>
      </c>
      <c r="L1327" s="3" t="inlineStr">
        <is>
          <t>Checking – Operating</t>
        </is>
      </c>
      <c r="M1327" s="3" t="inlineStr">
        <is>
          <t>Balance Sheet</t>
        </is>
      </c>
    </row>
    <row r="1328">
      <c r="B1328" s="39" t="n">
        <v>46310</v>
      </c>
      <c r="C1328" s="3" t="inlineStr">
        <is>
          <t>Credit Card Expense</t>
        </is>
      </c>
      <c r="D1328" s="3" t="inlineStr"/>
      <c r="E1328" s="3" t="inlineStr"/>
      <c r="F1328" s="3" t="inlineStr">
        <is>
          <t>Business Licenses and Permits – October</t>
        </is>
      </c>
      <c r="G1328" s="3" t="inlineStr">
        <is>
          <t>Business Licenses and Permits</t>
        </is>
      </c>
      <c r="H1328" s="3" t="inlineStr">
        <is>
          <t>Checking – Operating</t>
        </is>
      </c>
      <c r="I1328" s="33" t="n">
        <v>-1349.54</v>
      </c>
      <c r="J1328" s="13">
        <f>+J1327+I1328</f>
        <v>2450783.94</v>
      </c>
      <c r="K1328" s="19">
        <f>+EOMONTH(B1328,0)</f>
        <v>46326</v>
      </c>
      <c r="L1328" s="3" t="inlineStr">
        <is>
          <t>Checking – Operating</t>
        </is>
      </c>
      <c r="M1328" s="3" t="inlineStr">
        <is>
          <t>Balance Sheet</t>
        </is>
      </c>
    </row>
    <row r="1329">
      <c r="B1329" s="39" t="n">
        <v>46310</v>
      </c>
      <c r="C1329" s="3" t="inlineStr">
        <is>
          <t>Deposit</t>
        </is>
      </c>
      <c r="D1329" s="3" t="inlineStr"/>
      <c r="E1329" s="3" t="inlineStr">
        <is>
          <t>Federal Program A</t>
        </is>
      </c>
      <c r="F1329" s="3" t="inlineStr">
        <is>
          <t>ORIG CO NAME:FEDERAL PROG A ORIG ID:XXXXXX2473 DESC DATE:261015 CO ENTRY DESCR:HCCLAIMPMT SEC:CCD TRACE#:XXXXXXXX6118184 EED:261015 IND ID:</t>
        </is>
      </c>
      <c r="G1329" s="3" t="inlineStr">
        <is>
          <t>Service Income</t>
        </is>
      </c>
      <c r="H1329" s="3" t="inlineStr">
        <is>
          <t>Checking – Operating</t>
        </is>
      </c>
      <c r="I1329" s="33" t="n">
        <v>109796.6</v>
      </c>
      <c r="J1329" s="13">
        <f>+J1328+I1329</f>
        <v>2560580.54</v>
      </c>
      <c r="K1329" s="19">
        <f>+EOMONTH(B1329,0)</f>
        <v>46326</v>
      </c>
      <c r="L1329" s="3" t="inlineStr">
        <is>
          <t>Checking – Operating</t>
        </is>
      </c>
      <c r="M1329" s="3" t="inlineStr">
        <is>
          <t>Balance Sheet</t>
        </is>
      </c>
    </row>
    <row r="1330">
      <c r="B1330" s="39" t="n">
        <v>46310</v>
      </c>
      <c r="C1330" s="3" t="inlineStr">
        <is>
          <t>Expense</t>
        </is>
      </c>
      <c r="D1330" s="3" t="inlineStr"/>
      <c r="E1330" s="3" t="inlineStr"/>
      <c r="F1330" s="3" t="inlineStr">
        <is>
          <t>Car expense – October</t>
        </is>
      </c>
      <c r="G1330" s="3" t="inlineStr">
        <is>
          <t>Car expense</t>
        </is>
      </c>
      <c r="H1330" s="3" t="inlineStr">
        <is>
          <t>Checking – Operating</t>
        </is>
      </c>
      <c r="I1330" s="33" t="n">
        <v>-1258.32</v>
      </c>
      <c r="J1330" s="13">
        <f>+J1329+I1330</f>
        <v>2559322.22</v>
      </c>
      <c r="K1330" s="19">
        <f>+EOMONTH(B1330,0)</f>
        <v>46326</v>
      </c>
      <c r="L1330" s="3" t="inlineStr">
        <is>
          <t>Checking – Operating</t>
        </is>
      </c>
      <c r="M1330" s="3" t="inlineStr">
        <is>
          <t>Balance Sheet</t>
        </is>
      </c>
    </row>
    <row r="1331">
      <c r="B1331" s="39" t="n">
        <v>46310</v>
      </c>
      <c r="C1331" s="3" t="inlineStr">
        <is>
          <t>Expense</t>
        </is>
      </c>
      <c r="D1331" s="3" t="inlineStr"/>
      <c r="E1331" s="3" t="inlineStr">
        <is>
          <t>Lumenlease Equipment</t>
        </is>
      </c>
      <c r="F1331" s="3" t="inlineStr">
        <is>
          <t>Repairs and Maintenance – October</t>
        </is>
      </c>
      <c r="G1331" s="3" t="inlineStr">
        <is>
          <t>Repairs and Maintenance</t>
        </is>
      </c>
      <c r="H1331" s="3" t="inlineStr">
        <is>
          <t>Checking – Operating</t>
        </is>
      </c>
      <c r="I1331" s="33" t="n">
        <v>-5750.02</v>
      </c>
      <c r="J1331" s="13">
        <f>+J1330+I1331</f>
        <v>2553572.2</v>
      </c>
      <c r="K1331" s="19">
        <f>+EOMONTH(B1331,0)</f>
        <v>46326</v>
      </c>
      <c r="L1331" s="3" t="inlineStr">
        <is>
          <t>Checking – Operating</t>
        </is>
      </c>
      <c r="M1331" s="3" t="inlineStr">
        <is>
          <t>Balance Sheet</t>
        </is>
      </c>
    </row>
    <row r="1332">
      <c r="B1332" s="39" t="n">
        <v>46310</v>
      </c>
      <c r="C1332" s="3" t="inlineStr">
        <is>
          <t>Payroll Check</t>
        </is>
      </c>
      <c r="D1332" s="3" t="inlineStr"/>
      <c r="E1332" s="3" t="inlineStr">
        <is>
          <t>Tessarand Payroll Services</t>
        </is>
      </c>
      <c r="F1332" s="3" t="inlineStr">
        <is>
          <t>Payroll – biweekly</t>
        </is>
      </c>
      <c r="G1332" s="3" t="inlineStr">
        <is>
          <t>Salaries and Wages</t>
        </is>
      </c>
      <c r="H1332" s="3" t="inlineStr">
        <is>
          <t>Checking – Operating</t>
        </is>
      </c>
      <c r="I1332" s="33" t="n">
        <v>-225111.72</v>
      </c>
      <c r="J1332" s="13">
        <f>+J1331+I1332</f>
        <v>2328460.48</v>
      </c>
      <c r="K1332" s="19">
        <f>+EOMONTH(B1332,0)</f>
        <v>46326</v>
      </c>
      <c r="L1332" s="3" t="inlineStr">
        <is>
          <t>Checking – Operating</t>
        </is>
      </c>
      <c r="M1332" s="3" t="inlineStr">
        <is>
          <t>Balance Sheet</t>
        </is>
      </c>
    </row>
    <row r="1333">
      <c r="B1333" s="39" t="n">
        <v>46310</v>
      </c>
      <c r="C1333" s="3" t="inlineStr">
        <is>
          <t>Payroll Check</t>
        </is>
      </c>
      <c r="D1333" s="3" t="inlineStr"/>
      <c r="E1333" s="3" t="inlineStr">
        <is>
          <t>Tessarand Payroll Services</t>
        </is>
      </c>
      <c r="F1333" s="3" t="inlineStr">
        <is>
          <t>Payroll processing fee</t>
        </is>
      </c>
      <c r="G1333" s="3" t="inlineStr">
        <is>
          <t>Payroll Processing Fee</t>
        </is>
      </c>
      <c r="H1333" s="3" t="inlineStr">
        <is>
          <t>Checking – Operating</t>
        </is>
      </c>
      <c r="I1333" s="33" t="n">
        <v>-98.22</v>
      </c>
      <c r="J1333" s="13">
        <f>+J1332+I1333</f>
        <v>2328362.26</v>
      </c>
      <c r="K1333" s="19">
        <f>+EOMONTH(B1333,0)</f>
        <v>46326</v>
      </c>
      <c r="L1333" s="3" t="inlineStr">
        <is>
          <t>Checking – Operating</t>
        </is>
      </c>
      <c r="M1333" s="3" t="inlineStr">
        <is>
          <t>Balance Sheet</t>
        </is>
      </c>
    </row>
    <row r="1334">
      <c r="B1334" s="39" t="n">
        <v>46311</v>
      </c>
      <c r="C1334" s="3" t="inlineStr">
        <is>
          <t>Bill Payment (Check)</t>
        </is>
      </c>
      <c r="D1334" s="3" t="inlineStr"/>
      <c r="E1334" s="3" t="inlineStr">
        <is>
          <t>Swiftmere Courier</t>
        </is>
      </c>
      <c r="F1334" s="3" t="inlineStr">
        <is>
          <t>Delivery and Transportation – September</t>
        </is>
      </c>
      <c r="G1334" s="3" t="inlineStr">
        <is>
          <t>Accounts Payable</t>
        </is>
      </c>
      <c r="H1334" s="3" t="inlineStr">
        <is>
          <t>Checking – Operating</t>
        </is>
      </c>
      <c r="I1334" s="33" t="n">
        <v>-3792.33</v>
      </c>
      <c r="J1334" s="13">
        <f>+J1333+I1334</f>
        <v>2324569.93</v>
      </c>
      <c r="K1334" s="19">
        <f>+EOMONTH(B1334,0)</f>
        <v>46326</v>
      </c>
      <c r="L1334" s="3" t="inlineStr">
        <is>
          <t>Checking – Operating</t>
        </is>
      </c>
      <c r="M1334" s="3" t="inlineStr">
        <is>
          <t>Balance Sheet</t>
        </is>
      </c>
    </row>
    <row r="1335">
      <c r="B1335" s="39" t="n">
        <v>46311</v>
      </c>
      <c r="C1335" s="3" t="inlineStr">
        <is>
          <t>Deposit</t>
        </is>
      </c>
      <c r="D1335" s="3" t="inlineStr"/>
      <c r="E1335" s="3" t="inlineStr">
        <is>
          <t>Vantrelle Health Plan</t>
        </is>
      </c>
      <c r="F1335" s="3" t="inlineStr">
        <is>
          <t>ORIG CO NAME:VANTRELLE HP ORIG ID:XXXXXX4620 DESC DATE:261016 CO ENTRY DESCR:HCCLAIMPMT SEC:CCD TRACE#:XXXXXXXX2412260 EED:261016 IND ID:</t>
        </is>
      </c>
      <c r="G1335" s="3" t="inlineStr">
        <is>
          <t>Service Income</t>
        </is>
      </c>
      <c r="H1335" s="3" t="inlineStr">
        <is>
          <t>Checking – Operating</t>
        </is>
      </c>
      <c r="I1335" s="33" t="n">
        <v>98329.24000000001</v>
      </c>
      <c r="J1335" s="13">
        <f>+J1334+I1335</f>
        <v>2422899.17</v>
      </c>
      <c r="K1335" s="19">
        <f>+EOMONTH(B1335,0)</f>
        <v>46326</v>
      </c>
      <c r="L1335" s="3" t="inlineStr">
        <is>
          <t>Checking – Operating</t>
        </is>
      </c>
      <c r="M1335" s="3" t="inlineStr">
        <is>
          <t>Balance Sheet</t>
        </is>
      </c>
    </row>
    <row r="1336">
      <c r="B1336" s="39" t="n">
        <v>46311</v>
      </c>
      <c r="C1336" s="3" t="inlineStr">
        <is>
          <t>Deposit</t>
        </is>
      </c>
      <c r="D1336" s="3" t="inlineStr"/>
      <c r="E1336" s="3" t="inlineStr">
        <is>
          <t>Quayside Choice Senior Plan</t>
        </is>
      </c>
      <c r="F1336" s="3" t="inlineStr">
        <is>
          <t>ORIG CO NAME:QUAYSIDE CHOICE SP ORIG ID:XXXXXX9682 DESC DATE:261016 CO ENTRY DESCR:HCCLAIMPMT SEC:CCD TRACE#:XXXXXXXX7547596 EED:261016 IND ID:</t>
        </is>
      </c>
      <c r="G1336" s="3" t="inlineStr">
        <is>
          <t>Service Income</t>
        </is>
      </c>
      <c r="H1336" s="3" t="inlineStr">
        <is>
          <t>Checking – Operating</t>
        </is>
      </c>
      <c r="I1336" s="33" t="n">
        <v>42240.61</v>
      </c>
      <c r="J1336" s="13">
        <f>+J1335+I1336</f>
        <v>2465139.78</v>
      </c>
      <c r="K1336" s="19">
        <f>+EOMONTH(B1336,0)</f>
        <v>46326</v>
      </c>
      <c r="L1336" s="3" t="inlineStr">
        <is>
          <t>Checking – Operating</t>
        </is>
      </c>
      <c r="M1336" s="3" t="inlineStr">
        <is>
          <t>Balance Sheet</t>
        </is>
      </c>
    </row>
    <row r="1337">
      <c r="B1337" s="39" t="n">
        <v>46311</v>
      </c>
      <c r="C1337" s="3" t="inlineStr">
        <is>
          <t>Expense</t>
        </is>
      </c>
      <c r="D1337" s="3" t="inlineStr"/>
      <c r="E1337" s="3" t="inlineStr">
        <is>
          <t>Consultant A</t>
        </is>
      </c>
      <c r="F1337" s="3" t="inlineStr">
        <is>
          <t>Consulting – October</t>
        </is>
      </c>
      <c r="G1337" s="3" t="inlineStr">
        <is>
          <t>Consulting</t>
        </is>
      </c>
      <c r="H1337" s="3" t="inlineStr">
        <is>
          <t>Checking – Operating</t>
        </is>
      </c>
      <c r="I1337" s="33" t="n">
        <v>-3178.5</v>
      </c>
      <c r="J1337" s="13">
        <f>+J1336+I1337</f>
        <v>2461961.28</v>
      </c>
      <c r="K1337" s="19">
        <f>+EOMONTH(B1337,0)</f>
        <v>46326</v>
      </c>
      <c r="L1337" s="3" t="inlineStr">
        <is>
          <t>Checking – Operating</t>
        </is>
      </c>
      <c r="M1337" s="3" t="inlineStr">
        <is>
          <t>Balance Sheet</t>
        </is>
      </c>
    </row>
    <row r="1338">
      <c r="B1338" s="39" t="n">
        <v>46311</v>
      </c>
      <c r="C1338" s="3" t="inlineStr">
        <is>
          <t>Expense</t>
        </is>
      </c>
      <c r="D1338" s="3" t="inlineStr"/>
      <c r="E1338" s="3" t="inlineStr">
        <is>
          <t>Ledgerquill Billing SaaS</t>
        </is>
      </c>
      <c r="F1338" s="3" t="inlineStr">
        <is>
          <t>Dues &amp; Subscriptions – October</t>
        </is>
      </c>
      <c r="G1338" s="3" t="inlineStr">
        <is>
          <t>Dues &amp; Subscriptions</t>
        </is>
      </c>
      <c r="H1338" s="3" t="inlineStr">
        <is>
          <t>Checking – Operating</t>
        </is>
      </c>
      <c r="I1338" s="33" t="n">
        <v>-1819.25</v>
      </c>
      <c r="J1338" s="13">
        <f>+J1337+I1338</f>
        <v>2460142.03</v>
      </c>
      <c r="K1338" s="19">
        <f>+EOMONTH(B1338,0)</f>
        <v>46326</v>
      </c>
      <c r="L1338" s="3" t="inlineStr">
        <is>
          <t>Checking – Operating</t>
        </is>
      </c>
      <c r="M1338" s="3" t="inlineStr">
        <is>
          <t>Balance Sheet</t>
        </is>
      </c>
    </row>
    <row r="1339">
      <c r="B1339" s="39" t="n">
        <v>46312</v>
      </c>
      <c r="C1339" s="3" t="inlineStr">
        <is>
          <t>Bill Payment (Check)</t>
        </is>
      </c>
      <c r="D1339" s="3" t="inlineStr"/>
      <c r="E1339" s="3" t="inlineStr">
        <is>
          <t>Vialtrace Lab Supplies Inc</t>
        </is>
      </c>
      <c r="F1339" s="3" t="inlineStr">
        <is>
          <t>Lab Expenses – September</t>
        </is>
      </c>
      <c r="G1339" s="3" t="inlineStr">
        <is>
          <t>Accounts Payable</t>
        </is>
      </c>
      <c r="H1339" s="3" t="inlineStr">
        <is>
          <t>Checking – Operating</t>
        </is>
      </c>
      <c r="I1339" s="33" t="n">
        <v>-5566.56</v>
      </c>
      <c r="J1339" s="13">
        <f>+J1338+I1339</f>
        <v>2454575.47</v>
      </c>
      <c r="K1339" s="19">
        <f>+EOMONTH(B1339,0)</f>
        <v>46326</v>
      </c>
      <c r="L1339" s="3" t="inlineStr">
        <is>
          <t>Checking – Operating</t>
        </is>
      </c>
      <c r="M1339" s="3" t="inlineStr">
        <is>
          <t>Balance Sheet</t>
        </is>
      </c>
    </row>
    <row r="1340">
      <c r="B1340" s="39" t="n">
        <v>46312</v>
      </c>
      <c r="C1340" s="3" t="inlineStr">
        <is>
          <t>Bill Payment (Check)</t>
        </is>
      </c>
      <c r="D1340" s="3" t="inlineStr"/>
      <c r="E1340" s="3" t="inlineStr">
        <is>
          <t>Northmoor Waste Services</t>
        </is>
      </c>
      <c r="F1340" s="3" t="inlineStr">
        <is>
          <t>Waste Removal – September</t>
        </is>
      </c>
      <c r="G1340" s="3" t="inlineStr">
        <is>
          <t>Accounts Payable</t>
        </is>
      </c>
      <c r="H1340" s="3" t="inlineStr">
        <is>
          <t>Checking – Operating</t>
        </is>
      </c>
      <c r="I1340" s="33" t="n">
        <v>-1260.09</v>
      </c>
      <c r="J1340" s="13">
        <f>+J1339+I1340</f>
        <v>2453315.38</v>
      </c>
      <c r="K1340" s="19">
        <f>+EOMONTH(B1340,0)</f>
        <v>46326</v>
      </c>
      <c r="L1340" s="3" t="inlineStr">
        <is>
          <t>Checking – Operating</t>
        </is>
      </c>
      <c r="M1340" s="3" t="inlineStr">
        <is>
          <t>Balance Sheet</t>
        </is>
      </c>
    </row>
    <row r="1341">
      <c r="B1341" s="39" t="n">
        <v>46313</v>
      </c>
      <c r="C1341" s="3" t="inlineStr">
        <is>
          <t>Bill Payment (Check)</t>
        </is>
      </c>
      <c r="D1341" s="3" t="inlineStr"/>
      <c r="E1341" s="3" t="inlineStr">
        <is>
          <t>Vialtrace Lab Supplies Inc</t>
        </is>
      </c>
      <c r="F1341" s="3" t="inlineStr">
        <is>
          <t>Lab supplies PO# F2741</t>
        </is>
      </c>
      <c r="G1341" s="3" t="inlineStr">
        <is>
          <t>Accounts Payable</t>
        </is>
      </c>
      <c r="H1341" s="3" t="inlineStr">
        <is>
          <t>Checking – Operating</t>
        </is>
      </c>
      <c r="I1341" s="33" t="n">
        <v>-29847.56</v>
      </c>
      <c r="J1341" s="13">
        <f>+J1340+I1341</f>
        <v>2423467.82</v>
      </c>
      <c r="K1341" s="19">
        <f>+EOMONTH(B1341,0)</f>
        <v>46326</v>
      </c>
      <c r="L1341" s="3" t="inlineStr">
        <is>
          <t>Checking – Operating</t>
        </is>
      </c>
      <c r="M1341" s="3" t="inlineStr">
        <is>
          <t>Balance Sheet</t>
        </is>
      </c>
    </row>
    <row r="1342">
      <c r="B1342" s="39" t="n">
        <v>46313</v>
      </c>
      <c r="C1342" s="3" t="inlineStr">
        <is>
          <t>Credit Card Expense</t>
        </is>
      </c>
      <c r="D1342" s="3" t="inlineStr"/>
      <c r="E1342" s="3" t="inlineStr">
        <is>
          <t>Vialtrace Lab Supplies Inc</t>
        </is>
      </c>
      <c r="F1342" s="3" t="inlineStr">
        <is>
          <t>Office Supplies – October</t>
        </is>
      </c>
      <c r="G1342" s="3" t="inlineStr">
        <is>
          <t>Office Supplies</t>
        </is>
      </c>
      <c r="H1342" s="3" t="inlineStr">
        <is>
          <t>Checking – Operating</t>
        </is>
      </c>
      <c r="I1342" s="33" t="n">
        <v>-1743.24</v>
      </c>
      <c r="J1342" s="13">
        <f>+J1341+I1342</f>
        <v>2421724.58</v>
      </c>
      <c r="K1342" s="19">
        <f>+EOMONTH(B1342,0)</f>
        <v>46326</v>
      </c>
      <c r="L1342" s="3" t="inlineStr">
        <is>
          <t>Checking – Operating</t>
        </is>
      </c>
      <c r="M1342" s="3" t="inlineStr">
        <is>
          <t>Balance Sheet</t>
        </is>
      </c>
    </row>
    <row r="1343">
      <c r="B1343" s="39" t="n">
        <v>46313</v>
      </c>
      <c r="C1343" s="3" t="inlineStr">
        <is>
          <t>Expense</t>
        </is>
      </c>
      <c r="D1343" s="3" t="inlineStr"/>
      <c r="E1343" s="3" t="inlineStr">
        <is>
          <t>Ledgerquill Billing SaaS</t>
        </is>
      </c>
      <c r="F1343" s="3" t="inlineStr">
        <is>
          <t>Interface Service – October</t>
        </is>
      </c>
      <c r="G1343" s="3" t="inlineStr">
        <is>
          <t>Interface Service</t>
        </is>
      </c>
      <c r="H1343" s="3" t="inlineStr">
        <is>
          <t>Checking – Operating</t>
        </is>
      </c>
      <c r="I1343" s="33" t="n">
        <v>-2152.6</v>
      </c>
      <c r="J1343" s="13">
        <f>+J1342+I1343</f>
        <v>2419571.98</v>
      </c>
      <c r="K1343" s="19">
        <f>+EOMONTH(B1343,0)</f>
        <v>46326</v>
      </c>
      <c r="L1343" s="3" t="inlineStr">
        <is>
          <t>Checking – Operating</t>
        </is>
      </c>
      <c r="M1343" s="3" t="inlineStr">
        <is>
          <t>Balance Sheet</t>
        </is>
      </c>
    </row>
    <row r="1344">
      <c r="B1344" s="39" t="n">
        <v>46314</v>
      </c>
      <c r="C1344" s="3" t="inlineStr">
        <is>
          <t>Deposit</t>
        </is>
      </c>
      <c r="D1344" s="3" t="inlineStr"/>
      <c r="E1344" s="3" t="inlineStr">
        <is>
          <t>Lanternway Benefits</t>
        </is>
      </c>
      <c r="F1344" s="3" t="inlineStr">
        <is>
          <t>ORIG CO NAME:LANTERNWAY BEN ORIG ID:XXXXXX5232 DESC DATE:261019 CO ENTRY DESCR:HCCLAIMPMT SEC:CCD TRACE#:XXXXXXXX5051941 EED:261019 IND ID:</t>
        </is>
      </c>
      <c r="G1344" s="3" t="inlineStr">
        <is>
          <t>Service Income</t>
        </is>
      </c>
      <c r="H1344" s="3" t="inlineStr">
        <is>
          <t>Checking – Operating</t>
        </is>
      </c>
      <c r="I1344" s="33" t="n">
        <v>52061.51</v>
      </c>
      <c r="J1344" s="13">
        <f>+J1343+I1344</f>
        <v>2471633.49</v>
      </c>
      <c r="K1344" s="19">
        <f>+EOMONTH(B1344,0)</f>
        <v>46326</v>
      </c>
      <c r="L1344" s="3" t="inlineStr">
        <is>
          <t>Checking – Operating</t>
        </is>
      </c>
      <c r="M1344" s="3" t="inlineStr">
        <is>
          <t>Balance Sheet</t>
        </is>
      </c>
    </row>
    <row r="1345">
      <c r="B1345" s="39" t="n">
        <v>46314</v>
      </c>
      <c r="C1345" s="3" t="inlineStr">
        <is>
          <t>Expense</t>
        </is>
      </c>
      <c r="D1345" s="3" t="inlineStr"/>
      <c r="E1345" s="3" t="inlineStr">
        <is>
          <t>Union Utilities</t>
        </is>
      </c>
      <c r="F1345" s="3" t="inlineStr">
        <is>
          <t>Telecom and Internet – October</t>
        </is>
      </c>
      <c r="G1345" s="3" t="inlineStr">
        <is>
          <t>Telecom and Internet</t>
        </is>
      </c>
      <c r="H1345" s="3" t="inlineStr">
        <is>
          <t>Checking – Operating</t>
        </is>
      </c>
      <c r="I1345" s="33" t="n">
        <v>-3106.24</v>
      </c>
      <c r="J1345" s="13">
        <f>+J1344+I1345</f>
        <v>2468527.25</v>
      </c>
      <c r="K1345" s="19">
        <f>+EOMONTH(B1345,0)</f>
        <v>46326</v>
      </c>
      <c r="L1345" s="3" t="inlineStr">
        <is>
          <t>Checking – Operating</t>
        </is>
      </c>
      <c r="M1345" s="3" t="inlineStr">
        <is>
          <t>Balance Sheet</t>
        </is>
      </c>
    </row>
    <row r="1346">
      <c r="B1346" s="39" t="n">
        <v>46315</v>
      </c>
      <c r="C1346" s="3" t="inlineStr">
        <is>
          <t>Bill Payment (Check)</t>
        </is>
      </c>
      <c r="D1346" s="3" t="inlineStr"/>
      <c r="E1346" s="3" t="inlineStr">
        <is>
          <t>Vialtrace Lab Supplies Inc</t>
        </is>
      </c>
      <c r="F1346" s="3" t="inlineStr">
        <is>
          <t>Lab Expenses – September</t>
        </is>
      </c>
      <c r="G1346" s="3" t="inlineStr">
        <is>
          <t>Accounts Payable</t>
        </is>
      </c>
      <c r="H1346" s="3" t="inlineStr">
        <is>
          <t>Checking – Operating</t>
        </is>
      </c>
      <c r="I1346" s="33" t="n">
        <v>-4236.8</v>
      </c>
      <c r="J1346" s="13">
        <f>+J1345+I1346</f>
        <v>2464290.45</v>
      </c>
      <c r="K1346" s="19">
        <f>+EOMONTH(B1346,0)</f>
        <v>46326</v>
      </c>
      <c r="L1346" s="3" t="inlineStr">
        <is>
          <t>Checking – Operating</t>
        </is>
      </c>
      <c r="M1346" s="3" t="inlineStr">
        <is>
          <t>Balance Sheet</t>
        </is>
      </c>
    </row>
    <row r="1347">
      <c r="B1347" s="39" t="n">
        <v>46315</v>
      </c>
      <c r="C1347" s="3" t="inlineStr">
        <is>
          <t>Bill Payment (Check)</t>
        </is>
      </c>
      <c r="D1347" s="3" t="inlineStr"/>
      <c r="E1347" s="3" t="inlineStr">
        <is>
          <t>Northmoor Waste Services</t>
        </is>
      </c>
      <c r="F1347" s="3" t="inlineStr">
        <is>
          <t>Hazard Waste – October</t>
        </is>
      </c>
      <c r="G1347" s="3" t="inlineStr">
        <is>
          <t>Accounts Payable</t>
        </is>
      </c>
      <c r="H1347" s="3" t="inlineStr">
        <is>
          <t>Checking – Operating</t>
        </is>
      </c>
      <c r="I1347" s="33" t="n">
        <v>-1978.98</v>
      </c>
      <c r="J1347" s="13">
        <f>+J1346+I1347</f>
        <v>2462311.47</v>
      </c>
      <c r="K1347" s="19">
        <f>+EOMONTH(B1347,0)</f>
        <v>46326</v>
      </c>
      <c r="L1347" s="3" t="inlineStr">
        <is>
          <t>Checking – Operating</t>
        </is>
      </c>
      <c r="M1347" s="3" t="inlineStr">
        <is>
          <t>Balance Sheet</t>
        </is>
      </c>
    </row>
    <row r="1348">
      <c r="B1348" s="39" t="n">
        <v>46315</v>
      </c>
      <c r="C1348" s="3" t="inlineStr">
        <is>
          <t>Bill Payment (Check)</t>
        </is>
      </c>
      <c r="D1348" s="3" t="inlineStr"/>
      <c r="E1348" s="3" t="inlineStr">
        <is>
          <t>Tarrowmere Mutual Insurance</t>
        </is>
      </c>
      <c r="F1348" s="3" t="inlineStr">
        <is>
          <t>Benefits – October</t>
        </is>
      </c>
      <c r="G1348" s="3" t="inlineStr">
        <is>
          <t>Accounts Payable</t>
        </is>
      </c>
      <c r="H1348" s="3" t="inlineStr">
        <is>
          <t>Checking – Operating</t>
        </is>
      </c>
      <c r="I1348" s="33" t="n">
        <v>-3767.86</v>
      </c>
      <c r="J1348" s="13">
        <f>+J1347+I1348</f>
        <v>2458543.61</v>
      </c>
      <c r="K1348" s="19">
        <f>+EOMONTH(B1348,0)</f>
        <v>46326</v>
      </c>
      <c r="L1348" s="3" t="inlineStr">
        <is>
          <t>Checking – Operating</t>
        </is>
      </c>
      <c r="M1348" s="3" t="inlineStr">
        <is>
          <t>Balance Sheet</t>
        </is>
      </c>
    </row>
    <row r="1349">
      <c r="B1349" s="39" t="n">
        <v>46315</v>
      </c>
      <c r="C1349" s="3" t="inlineStr">
        <is>
          <t>Credit Card Expense</t>
        </is>
      </c>
      <c r="D1349" s="3" t="inlineStr"/>
      <c r="E1349" s="3" t="inlineStr">
        <is>
          <t>Tessarand Payroll Services</t>
        </is>
      </c>
      <c r="F1349" s="3" t="inlineStr">
        <is>
          <t>Recruitment – October</t>
        </is>
      </c>
      <c r="G1349" s="3" t="inlineStr">
        <is>
          <t>Recruitment</t>
        </is>
      </c>
      <c r="H1349" s="3" t="inlineStr">
        <is>
          <t>Checking – Operating</t>
        </is>
      </c>
      <c r="I1349" s="33" t="n">
        <v>-932.79</v>
      </c>
      <c r="J1349" s="13">
        <f>+J1348+I1349</f>
        <v>2457610.82</v>
      </c>
      <c r="K1349" s="19">
        <f>+EOMONTH(B1349,0)</f>
        <v>46326</v>
      </c>
      <c r="L1349" s="3" t="inlineStr">
        <is>
          <t>Checking – Operating</t>
        </is>
      </c>
      <c r="M1349" s="3" t="inlineStr">
        <is>
          <t>Balance Sheet</t>
        </is>
      </c>
    </row>
    <row r="1350">
      <c r="B1350" s="39" t="n">
        <v>46315</v>
      </c>
      <c r="C1350" s="3" t="inlineStr">
        <is>
          <t>Expense</t>
        </is>
      </c>
      <c r="D1350" s="3" t="inlineStr"/>
      <c r="E1350" s="3" t="inlineStr"/>
      <c r="F1350" s="3" t="inlineStr">
        <is>
          <t>Interest – equipment note</t>
        </is>
      </c>
      <c r="G1350" s="3" t="inlineStr">
        <is>
          <t>Interest Expense</t>
        </is>
      </c>
      <c r="H1350" s="3" t="inlineStr">
        <is>
          <t>Checking – Operating</t>
        </is>
      </c>
      <c r="I1350" s="33" t="n">
        <v>-1268.38</v>
      </c>
      <c r="J1350" s="13">
        <f>+J1349+I1350</f>
        <v>2456342.44</v>
      </c>
      <c r="K1350" s="19">
        <f>+EOMONTH(B1350,0)</f>
        <v>46326</v>
      </c>
      <c r="L1350" s="3" t="inlineStr">
        <is>
          <t>Checking – Operating</t>
        </is>
      </c>
      <c r="M1350" s="3" t="inlineStr">
        <is>
          <t>Balance Sheet</t>
        </is>
      </c>
    </row>
    <row r="1351">
      <c r="B1351" s="39" t="n">
        <v>46315</v>
      </c>
      <c r="C1351" s="3" t="inlineStr">
        <is>
          <t>Expense</t>
        </is>
      </c>
      <c r="D1351" s="3" t="inlineStr"/>
      <c r="E1351" s="3" t="inlineStr">
        <is>
          <t>Consultant A</t>
        </is>
      </c>
      <c r="F1351" s="3" t="inlineStr">
        <is>
          <t>Accounting Service – October</t>
        </is>
      </c>
      <c r="G1351" s="3" t="inlineStr">
        <is>
          <t>Accounting Service</t>
        </is>
      </c>
      <c r="H1351" s="3" t="inlineStr">
        <is>
          <t>Checking – Operating</t>
        </is>
      </c>
      <c r="I1351" s="33" t="n">
        <v>-4564.28</v>
      </c>
      <c r="J1351" s="13">
        <f>+J1350+I1351</f>
        <v>2451778.16</v>
      </c>
      <c r="K1351" s="19">
        <f>+EOMONTH(B1351,0)</f>
        <v>46326</v>
      </c>
      <c r="L1351" s="3" t="inlineStr">
        <is>
          <t>Checking – Operating</t>
        </is>
      </c>
      <c r="M1351" s="3" t="inlineStr">
        <is>
          <t>Balance Sheet</t>
        </is>
      </c>
    </row>
    <row r="1352">
      <c r="B1352" s="39" t="n">
        <v>46315</v>
      </c>
      <c r="C1352" s="3" t="inlineStr">
        <is>
          <t>Expense</t>
        </is>
      </c>
      <c r="D1352" s="3" t="inlineStr"/>
      <c r="E1352" s="3" t="inlineStr">
        <is>
          <t>Lumenlease Equipment</t>
        </is>
      </c>
      <c r="F1352" s="3" t="inlineStr">
        <is>
          <t>Repairs and Maintenance – October</t>
        </is>
      </c>
      <c r="G1352" s="3" t="inlineStr">
        <is>
          <t>Repairs and Maintenance</t>
        </is>
      </c>
      <c r="H1352" s="3" t="inlineStr">
        <is>
          <t>Checking – Operating</t>
        </is>
      </c>
      <c r="I1352" s="33" t="n">
        <v>-3921.35</v>
      </c>
      <c r="J1352" s="13">
        <f>+J1351+I1352</f>
        <v>2447856.81</v>
      </c>
      <c r="K1352" s="19">
        <f>+EOMONTH(B1352,0)</f>
        <v>46326</v>
      </c>
      <c r="L1352" s="3" t="inlineStr">
        <is>
          <t>Checking – Operating</t>
        </is>
      </c>
      <c r="M1352" s="3" t="inlineStr">
        <is>
          <t>Balance Sheet</t>
        </is>
      </c>
    </row>
    <row r="1353">
      <c r="B1353" s="39" t="n">
        <v>46315</v>
      </c>
      <c r="C1353" s="3" t="inlineStr">
        <is>
          <t>Payroll Check</t>
        </is>
      </c>
      <c r="D1353" s="3" t="inlineStr"/>
      <c r="E1353" s="3" t="inlineStr">
        <is>
          <t>Tessarand Payroll Services</t>
        </is>
      </c>
      <c r="F1353" s="3" t="inlineStr">
        <is>
          <t>Payroll taxes – biweekly</t>
        </is>
      </c>
      <c r="G1353" s="3" t="inlineStr">
        <is>
          <t>Payroll Taxes</t>
        </is>
      </c>
      <c r="H1353" s="3" t="inlineStr">
        <is>
          <t>Checking – Operating</t>
        </is>
      </c>
      <c r="I1353" s="33" t="n">
        <v>-1415.32</v>
      </c>
      <c r="J1353" s="13">
        <f>+J1352+I1353</f>
        <v>2446441.49</v>
      </c>
      <c r="K1353" s="19">
        <f>+EOMONTH(B1353,0)</f>
        <v>46326</v>
      </c>
      <c r="L1353" s="3" t="inlineStr">
        <is>
          <t>Checking – Operating</t>
        </is>
      </c>
      <c r="M1353" s="3" t="inlineStr">
        <is>
          <t>Balance Sheet</t>
        </is>
      </c>
    </row>
    <row r="1354">
      <c r="B1354" s="39" t="n">
        <v>46316</v>
      </c>
      <c r="C1354" s="3" t="inlineStr">
        <is>
          <t>Bill Payment (Check)</t>
        </is>
      </c>
      <c r="D1354" s="3" t="inlineStr"/>
      <c r="E1354" s="3" t="inlineStr">
        <is>
          <t>Tarrowmere Mutual Insurance</t>
        </is>
      </c>
      <c r="F1354" s="3" t="inlineStr">
        <is>
          <t>Benefits – October</t>
        </is>
      </c>
      <c r="G1354" s="3" t="inlineStr">
        <is>
          <t>Accounts Payable</t>
        </is>
      </c>
      <c r="H1354" s="3" t="inlineStr">
        <is>
          <t>Checking – Operating</t>
        </is>
      </c>
      <c r="I1354" s="33" t="n">
        <v>-5042.87</v>
      </c>
      <c r="J1354" s="13">
        <f>+J1353+I1354</f>
        <v>2441398.62</v>
      </c>
      <c r="K1354" s="19">
        <f>+EOMONTH(B1354,0)</f>
        <v>46326</v>
      </c>
      <c r="L1354" s="3" t="inlineStr">
        <is>
          <t>Checking – Operating</t>
        </is>
      </c>
      <c r="M1354" s="3" t="inlineStr">
        <is>
          <t>Balance Sheet</t>
        </is>
      </c>
    </row>
    <row r="1355">
      <c r="B1355" s="39" t="n">
        <v>46317</v>
      </c>
      <c r="C1355" s="3" t="inlineStr">
        <is>
          <t>Credit Card Expense</t>
        </is>
      </c>
      <c r="D1355" s="3" t="inlineStr"/>
      <c r="E1355" s="3" t="inlineStr">
        <is>
          <t>Ledgerquill Billing SaaS</t>
        </is>
      </c>
      <c r="F1355" s="3" t="inlineStr">
        <is>
          <t>Lab EMR Service – October</t>
        </is>
      </c>
      <c r="G1355" s="3" t="inlineStr">
        <is>
          <t>Lab EMR Service</t>
        </is>
      </c>
      <c r="H1355" s="3" t="inlineStr">
        <is>
          <t>Checking – Operating</t>
        </is>
      </c>
      <c r="I1355" s="33" t="n">
        <v>-2978.55</v>
      </c>
      <c r="J1355" s="13">
        <f>+J1354+I1355</f>
        <v>2438420.07</v>
      </c>
      <c r="K1355" s="19">
        <f>+EOMONTH(B1355,0)</f>
        <v>46326</v>
      </c>
      <c r="L1355" s="3" t="inlineStr">
        <is>
          <t>Checking – Operating</t>
        </is>
      </c>
      <c r="M1355" s="3" t="inlineStr">
        <is>
          <t>Balance Sheet</t>
        </is>
      </c>
    </row>
    <row r="1356">
      <c r="B1356" s="39" t="n">
        <v>46317</v>
      </c>
      <c r="C1356" s="3" t="inlineStr">
        <is>
          <t>Deposit</t>
        </is>
      </c>
      <c r="D1356" s="3" t="inlineStr"/>
      <c r="E1356" s="3" t="inlineStr">
        <is>
          <t>Silvermoss Senior Living</t>
        </is>
      </c>
      <c r="F1356" s="3" t="inlineStr">
        <is>
          <t>ORIG CO NAME:SILVERMOSS SL ORIG ID:XXXXXX2193 DESC DATE:261022 CO ENTRY DESCR:HCCLAIMPMT SEC:CCD TRACE#:XXXXXXXX9077686 EED:261022 IND ID:</t>
        </is>
      </c>
      <c r="G1356" s="3" t="inlineStr">
        <is>
          <t>Service Income</t>
        </is>
      </c>
      <c r="H1356" s="3" t="inlineStr">
        <is>
          <t>Checking – Operating</t>
        </is>
      </c>
      <c r="I1356" s="33" t="n">
        <v>32471.69</v>
      </c>
      <c r="J1356" s="13">
        <f>+J1355+I1356</f>
        <v>2470891.76</v>
      </c>
      <c r="K1356" s="19">
        <f>+EOMONTH(B1356,0)</f>
        <v>46326</v>
      </c>
      <c r="L1356" s="3" t="inlineStr">
        <is>
          <t>Checking – Operating</t>
        </is>
      </c>
      <c r="M1356" s="3" t="inlineStr">
        <is>
          <t>Balance Sheet</t>
        </is>
      </c>
    </row>
    <row r="1357">
      <c r="B1357" s="39" t="n">
        <v>46317</v>
      </c>
      <c r="C1357" s="3" t="inlineStr">
        <is>
          <t>Deposit</t>
        </is>
      </c>
      <c r="D1357" s="3" t="inlineStr"/>
      <c r="E1357" s="3" t="inlineStr">
        <is>
          <t>Quayside Choice Senior Plan</t>
        </is>
      </c>
      <c r="F1357" s="3" t="inlineStr">
        <is>
          <t>ORIG CO NAME:QUAYSIDE CHOICE SP ORIG ID:XXXXXX1480 DESC DATE:261022 CO ENTRY DESCR:HCCLAIMPMT SEC:CCD TRACE#:XXXXXXXX7258981 EED:261022 IND ID:</t>
        </is>
      </c>
      <c r="G1357" s="3" t="inlineStr">
        <is>
          <t>Service Income</t>
        </is>
      </c>
      <c r="H1357" s="3" t="inlineStr">
        <is>
          <t>Checking – Operating</t>
        </is>
      </c>
      <c r="I1357" s="33" t="n">
        <v>75434.36</v>
      </c>
      <c r="J1357" s="13">
        <f>+J1356+I1357</f>
        <v>2546326.12</v>
      </c>
      <c r="K1357" s="19">
        <f>+EOMONTH(B1357,0)</f>
        <v>46326</v>
      </c>
      <c r="L1357" s="3" t="inlineStr">
        <is>
          <t>Checking – Operating</t>
        </is>
      </c>
      <c r="M1357" s="3" t="inlineStr">
        <is>
          <t>Balance Sheet</t>
        </is>
      </c>
    </row>
    <row r="1358">
      <c r="B1358" s="39" t="n">
        <v>46317</v>
      </c>
      <c r="C1358" s="3" t="inlineStr">
        <is>
          <t>Expense</t>
        </is>
      </c>
      <c r="D1358" s="3" t="inlineStr"/>
      <c r="E1358" s="3" t="inlineStr"/>
      <c r="F1358" s="3" t="inlineStr">
        <is>
          <t>Gas – October</t>
        </is>
      </c>
      <c r="G1358" s="3" t="inlineStr">
        <is>
          <t>Gas</t>
        </is>
      </c>
      <c r="H1358" s="3" t="inlineStr">
        <is>
          <t>Checking – Operating</t>
        </is>
      </c>
      <c r="I1358" s="33" t="n">
        <v>-971.02</v>
      </c>
      <c r="J1358" s="13">
        <f>+J1357+I1358</f>
        <v>2545355.1</v>
      </c>
      <c r="K1358" s="19">
        <f>+EOMONTH(B1358,0)</f>
        <v>46326</v>
      </c>
      <c r="L1358" s="3" t="inlineStr">
        <is>
          <t>Checking – Operating</t>
        </is>
      </c>
      <c r="M1358" s="3" t="inlineStr">
        <is>
          <t>Balance Sheet</t>
        </is>
      </c>
    </row>
    <row r="1359">
      <c r="B1359" s="39" t="n">
        <v>46317</v>
      </c>
      <c r="C1359" s="3" t="inlineStr">
        <is>
          <t>Expense</t>
        </is>
      </c>
      <c r="D1359" s="3" t="inlineStr"/>
      <c r="E1359" s="3" t="inlineStr"/>
      <c r="F1359" s="3" t="inlineStr">
        <is>
          <t>Taxes and Licenses – October</t>
        </is>
      </c>
      <c r="G1359" s="3" t="inlineStr">
        <is>
          <t>Taxes and Licenses</t>
        </is>
      </c>
      <c r="H1359" s="3" t="inlineStr">
        <is>
          <t>Checking – Operating</t>
        </is>
      </c>
      <c r="I1359" s="33" t="n">
        <v>-472.56</v>
      </c>
      <c r="J1359" s="13">
        <f>+J1358+I1359</f>
        <v>2544882.54</v>
      </c>
      <c r="K1359" s="19">
        <f>+EOMONTH(B1359,0)</f>
        <v>46326</v>
      </c>
      <c r="L1359" s="3" t="inlineStr">
        <is>
          <t>Checking – Operating</t>
        </is>
      </c>
      <c r="M1359" s="3" t="inlineStr">
        <is>
          <t>Balance Sheet</t>
        </is>
      </c>
    </row>
    <row r="1360">
      <c r="B1360" s="39" t="n">
        <v>46318</v>
      </c>
      <c r="C1360" s="3" t="inlineStr">
        <is>
          <t>Deposit</t>
        </is>
      </c>
      <c r="D1360" s="3" t="inlineStr"/>
      <c r="E1360" s="3" t="inlineStr">
        <is>
          <t>Vantrelle Health Plan</t>
        </is>
      </c>
      <c r="F1360" s="3" t="inlineStr">
        <is>
          <t>ORIG CO NAME:VANTRELLE HP ORIG ID:XXXXXX8217 DESC DATE:261023 CO ENTRY DESCR:HCCLAIMPMT SEC:CCD TRACE#:XXXXXXXX1531854 EED:261023 IND ID:</t>
        </is>
      </c>
      <c r="G1360" s="3" t="inlineStr">
        <is>
          <t>Service Income</t>
        </is>
      </c>
      <c r="H1360" s="3" t="inlineStr">
        <is>
          <t>Checking – Operating</t>
        </is>
      </c>
      <c r="I1360" s="33" t="n">
        <v>128408.5</v>
      </c>
      <c r="J1360" s="13">
        <f>+J1359+I1360</f>
        <v>2673291.04</v>
      </c>
      <c r="K1360" s="19">
        <f>+EOMONTH(B1360,0)</f>
        <v>46326</v>
      </c>
      <c r="L1360" s="3" t="inlineStr">
        <is>
          <t>Checking – Operating</t>
        </is>
      </c>
      <c r="M1360" s="3" t="inlineStr">
        <is>
          <t>Balance Sheet</t>
        </is>
      </c>
    </row>
    <row r="1361">
      <c r="B1361" s="39" t="n">
        <v>46318</v>
      </c>
      <c r="C1361" s="3" t="inlineStr">
        <is>
          <t>Expense</t>
        </is>
      </c>
      <c r="D1361" s="3" t="inlineStr"/>
      <c r="E1361" s="3" t="inlineStr">
        <is>
          <t>Tessarand Payroll Services</t>
        </is>
      </c>
      <c r="F1361" s="3" t="inlineStr">
        <is>
          <t>Contractors – October</t>
        </is>
      </c>
      <c r="G1361" s="3" t="inlineStr">
        <is>
          <t>Contractors</t>
        </is>
      </c>
      <c r="H1361" s="3" t="inlineStr">
        <is>
          <t>Checking – Operating</t>
        </is>
      </c>
      <c r="I1361" s="33" t="n">
        <v>-7285.06</v>
      </c>
      <c r="J1361" s="13">
        <f>+J1360+I1361</f>
        <v>2666005.98</v>
      </c>
      <c r="K1361" s="19">
        <f>+EOMONTH(B1361,0)</f>
        <v>46326</v>
      </c>
      <c r="L1361" s="3" t="inlineStr">
        <is>
          <t>Checking – Operating</t>
        </is>
      </c>
      <c r="M1361" s="3" t="inlineStr">
        <is>
          <t>Balance Sheet</t>
        </is>
      </c>
    </row>
    <row r="1362">
      <c r="B1362" s="39" t="n">
        <v>46318</v>
      </c>
      <c r="C1362" s="3" t="inlineStr">
        <is>
          <t>Expense</t>
        </is>
      </c>
      <c r="D1362" s="3" t="inlineStr"/>
      <c r="E1362" s="3" t="inlineStr">
        <is>
          <t>Union Utilities</t>
        </is>
      </c>
      <c r="F1362" s="3" t="inlineStr">
        <is>
          <t>Telecom and Internet – October</t>
        </is>
      </c>
      <c r="G1362" s="3" t="inlineStr">
        <is>
          <t>Telecom and Internet</t>
        </is>
      </c>
      <c r="H1362" s="3" t="inlineStr">
        <is>
          <t>Checking – Operating</t>
        </is>
      </c>
      <c r="I1362" s="33" t="n">
        <v>-2300.05</v>
      </c>
      <c r="J1362" s="13">
        <f>+J1361+I1362</f>
        <v>2663705.93</v>
      </c>
      <c r="K1362" s="19">
        <f>+EOMONTH(B1362,0)</f>
        <v>46326</v>
      </c>
      <c r="L1362" s="3" t="inlineStr">
        <is>
          <t>Checking – Operating</t>
        </is>
      </c>
      <c r="M1362" s="3" t="inlineStr">
        <is>
          <t>Balance Sheet</t>
        </is>
      </c>
    </row>
    <row r="1363">
      <c r="B1363" s="39" t="n">
        <v>46319</v>
      </c>
      <c r="C1363" s="3" t="inlineStr">
        <is>
          <t>Bill Payment (Check)</t>
        </is>
      </c>
      <c r="D1363" s="3" t="inlineStr"/>
      <c r="E1363" s="3" t="inlineStr">
        <is>
          <t>Reagentix Corp</t>
        </is>
      </c>
      <c r="F1363" s="3" t="inlineStr">
        <is>
          <t>Lab supplies PO# F2302</t>
        </is>
      </c>
      <c r="G1363" s="3" t="inlineStr">
        <is>
          <t>Accounts Payable</t>
        </is>
      </c>
      <c r="H1363" s="3" t="inlineStr">
        <is>
          <t>Checking – Operating</t>
        </is>
      </c>
      <c r="I1363" s="33" t="n">
        <v>-13311.19</v>
      </c>
      <c r="J1363" s="13">
        <f>+J1362+I1363</f>
        <v>2650394.74</v>
      </c>
      <c r="K1363" s="19">
        <f>+EOMONTH(B1363,0)</f>
        <v>46326</v>
      </c>
      <c r="L1363" s="3" t="inlineStr">
        <is>
          <t>Checking – Operating</t>
        </is>
      </c>
      <c r="M1363" s="3" t="inlineStr">
        <is>
          <t>Balance Sheet</t>
        </is>
      </c>
    </row>
    <row r="1364">
      <c r="B1364" s="39" t="n">
        <v>46319</v>
      </c>
      <c r="C1364" s="3" t="inlineStr">
        <is>
          <t>Deposit</t>
        </is>
      </c>
      <c r="D1364" s="3" t="inlineStr"/>
      <c r="E1364" s="3" t="inlineStr">
        <is>
          <t>Silvermoss Senior Living</t>
        </is>
      </c>
      <c r="F1364" s="3" t="inlineStr">
        <is>
          <t>ORIG CO NAME:SILVERMOSS SL ORIG ID:XXXXXX8640 DESC DATE:261024 CO ENTRY DESCR:HCCLAIMPMT SEC:CCD TRACE#:XXXXXXXX7354265 EED:261024 IND ID:</t>
        </is>
      </c>
      <c r="G1364" s="3" t="inlineStr">
        <is>
          <t>Service Income</t>
        </is>
      </c>
      <c r="H1364" s="3" t="inlineStr">
        <is>
          <t>Checking – Operating</t>
        </is>
      </c>
      <c r="I1364" s="33" t="n">
        <v>30537.1</v>
      </c>
      <c r="J1364" s="13">
        <f>+J1363+I1364</f>
        <v>2680931.84</v>
      </c>
      <c r="K1364" s="19">
        <f>+EOMONTH(B1364,0)</f>
        <v>46326</v>
      </c>
      <c r="L1364" s="3" t="inlineStr">
        <is>
          <t>Checking – Operating</t>
        </is>
      </c>
      <c r="M1364" s="3" t="inlineStr">
        <is>
          <t>Balance Sheet</t>
        </is>
      </c>
    </row>
    <row r="1365">
      <c r="B1365" s="39" t="n">
        <v>46320</v>
      </c>
      <c r="C1365" s="3" t="inlineStr">
        <is>
          <t>Bill Payment (Check)</t>
        </is>
      </c>
      <c r="D1365" s="3" t="inlineStr"/>
      <c r="E1365" s="3" t="inlineStr">
        <is>
          <t>Ledgerquill Billing SaaS</t>
        </is>
      </c>
      <c r="F1365" s="3" t="inlineStr">
        <is>
          <t>Billing Software as a Service – September</t>
        </is>
      </c>
      <c r="G1365" s="3" t="inlineStr">
        <is>
          <t>Accounts Payable</t>
        </is>
      </c>
      <c r="H1365" s="3" t="inlineStr">
        <is>
          <t>Checking – Operating</t>
        </is>
      </c>
      <c r="I1365" s="33" t="n">
        <v>-16348.36</v>
      </c>
      <c r="J1365" s="13">
        <f>+J1364+I1365</f>
        <v>2664583.48</v>
      </c>
      <c r="K1365" s="19">
        <f>+EOMONTH(B1365,0)</f>
        <v>46326</v>
      </c>
      <c r="L1365" s="3" t="inlineStr">
        <is>
          <t>Checking – Operating</t>
        </is>
      </c>
      <c r="M1365" s="3" t="inlineStr">
        <is>
          <t>Balance Sheet</t>
        </is>
      </c>
    </row>
    <row r="1366">
      <c r="B1366" s="39" t="n">
        <v>46320</v>
      </c>
      <c r="C1366" s="3" t="inlineStr">
        <is>
          <t>Deposit</t>
        </is>
      </c>
      <c r="D1366" s="3" t="inlineStr"/>
      <c r="E1366" s="3" t="inlineStr">
        <is>
          <t>Silvermoss Senior Living</t>
        </is>
      </c>
      <c r="F1366" s="3" t="inlineStr">
        <is>
          <t>ORIG CO NAME:SILVERMOSS SL ORIG ID:XXXXXX8742 DESC DATE:261025 CO ENTRY DESCR:HCCLAIMPMT SEC:CCD TRACE#:XXXXXXXX8564663 EED:261025 IND ID:</t>
        </is>
      </c>
      <c r="G1366" s="3" t="inlineStr">
        <is>
          <t>Service Income</t>
        </is>
      </c>
      <c r="H1366" s="3" t="inlineStr">
        <is>
          <t>Checking – Operating</t>
        </is>
      </c>
      <c r="I1366" s="33" t="n">
        <v>47277.68</v>
      </c>
      <c r="J1366" s="13">
        <f>+J1365+I1366</f>
        <v>2711861.16</v>
      </c>
      <c r="K1366" s="19">
        <f>+EOMONTH(B1366,0)</f>
        <v>46326</v>
      </c>
      <c r="L1366" s="3" t="inlineStr">
        <is>
          <t>Checking – Operating</t>
        </is>
      </c>
      <c r="M1366" s="3" t="inlineStr">
        <is>
          <t>Balance Sheet</t>
        </is>
      </c>
    </row>
    <row r="1367">
      <c r="B1367" s="39" t="n">
        <v>46320</v>
      </c>
      <c r="C1367" s="3" t="inlineStr">
        <is>
          <t>Journal Entry</t>
        </is>
      </c>
      <c r="D1367" s="3" t="inlineStr"/>
      <c r="E1367" s="3" t="inlineStr">
        <is>
          <t>Tessarand Payroll Services</t>
        </is>
      </c>
      <c r="F1367" s="3" t="inlineStr">
        <is>
          <t>Sales and Marketing Expenses – October</t>
        </is>
      </c>
      <c r="G1367" s="3" t="inlineStr">
        <is>
          <t>Sales and Marketing Expenses</t>
        </is>
      </c>
      <c r="H1367" s="3" t="inlineStr">
        <is>
          <t>Checking – Operating</t>
        </is>
      </c>
      <c r="I1367" s="33" t="n">
        <v>-30214.41</v>
      </c>
      <c r="J1367" s="13">
        <f>+J1366+I1367</f>
        <v>2681646.75</v>
      </c>
      <c r="K1367" s="19">
        <f>+EOMONTH(B1367,0)</f>
        <v>46326</v>
      </c>
      <c r="L1367" s="3" t="inlineStr">
        <is>
          <t>Checking – Operating</t>
        </is>
      </c>
      <c r="M1367" s="3" t="inlineStr">
        <is>
          <t>Balance Sheet</t>
        </is>
      </c>
    </row>
    <row r="1368">
      <c r="B1368" s="39" t="n">
        <v>46321</v>
      </c>
      <c r="C1368" s="3" t="inlineStr">
        <is>
          <t>Bill Payment (Check)</t>
        </is>
      </c>
      <c r="D1368" s="3" t="inlineStr"/>
      <c r="E1368" s="3" t="inlineStr">
        <is>
          <t>Halloway Ridge Realty (rent)</t>
        </is>
      </c>
      <c r="F1368" s="3" t="inlineStr">
        <is>
          <t>Rent – September</t>
        </is>
      </c>
      <c r="G1368" s="3" t="inlineStr">
        <is>
          <t>Accounts Payable</t>
        </is>
      </c>
      <c r="H1368" s="3" t="inlineStr">
        <is>
          <t>Checking – Operating</t>
        </is>
      </c>
      <c r="I1368" s="33" t="n">
        <v>-19130.3</v>
      </c>
      <c r="J1368" s="13">
        <f>+J1367+I1368</f>
        <v>2662516.45</v>
      </c>
      <c r="K1368" s="19">
        <f>+EOMONTH(B1368,0)</f>
        <v>46326</v>
      </c>
      <c r="L1368" s="3" t="inlineStr">
        <is>
          <t>Checking – Operating</t>
        </is>
      </c>
      <c r="M1368" s="3" t="inlineStr">
        <is>
          <t>Balance Sheet</t>
        </is>
      </c>
    </row>
    <row r="1369">
      <c r="B1369" s="39" t="n">
        <v>46321</v>
      </c>
      <c r="C1369" s="3" t="inlineStr">
        <is>
          <t>Credit Card Expense</t>
        </is>
      </c>
      <c r="D1369" s="3" t="inlineStr"/>
      <c r="E1369" s="3" t="inlineStr"/>
      <c r="F1369" s="3" t="inlineStr">
        <is>
          <t>Gas – October</t>
        </is>
      </c>
      <c r="G1369" s="3" t="inlineStr">
        <is>
          <t>Gas</t>
        </is>
      </c>
      <c r="H1369" s="3" t="inlineStr">
        <is>
          <t>Checking – Operating</t>
        </is>
      </c>
      <c r="I1369" s="33" t="n">
        <v>-921.46</v>
      </c>
      <c r="J1369" s="13">
        <f>+J1368+I1369</f>
        <v>2661594.99</v>
      </c>
      <c r="K1369" s="19">
        <f>+EOMONTH(B1369,0)</f>
        <v>46326</v>
      </c>
      <c r="L1369" s="3" t="inlineStr">
        <is>
          <t>Checking – Operating</t>
        </is>
      </c>
      <c r="M1369" s="3" t="inlineStr">
        <is>
          <t>Balance Sheet</t>
        </is>
      </c>
    </row>
    <row r="1370">
      <c r="B1370" s="39" t="n">
        <v>46321</v>
      </c>
      <c r="C1370" s="3" t="inlineStr">
        <is>
          <t>Expense</t>
        </is>
      </c>
      <c r="D1370" s="3" t="inlineStr"/>
      <c r="E1370" s="3" t="inlineStr"/>
      <c r="F1370" s="3" t="inlineStr">
        <is>
          <t>Bank service charges – October</t>
        </is>
      </c>
      <c r="G1370" s="3" t="inlineStr">
        <is>
          <t>Bank Fees</t>
        </is>
      </c>
      <c r="H1370" s="3" t="inlineStr">
        <is>
          <t>Checking – Operating</t>
        </is>
      </c>
      <c r="I1370" s="33" t="n">
        <v>-3962.16</v>
      </c>
      <c r="J1370" s="13">
        <f>+J1369+I1370</f>
        <v>2657632.83</v>
      </c>
      <c r="K1370" s="19">
        <f>+EOMONTH(B1370,0)</f>
        <v>46326</v>
      </c>
      <c r="L1370" s="3" t="inlineStr">
        <is>
          <t>Checking – Operating</t>
        </is>
      </c>
      <c r="M1370" s="3" t="inlineStr">
        <is>
          <t>Balance Sheet</t>
        </is>
      </c>
    </row>
    <row r="1371">
      <c r="B1371" s="39" t="n">
        <v>46321</v>
      </c>
      <c r="C1371" s="3" t="inlineStr">
        <is>
          <t>Expense</t>
        </is>
      </c>
      <c r="D1371" s="3" t="inlineStr"/>
      <c r="E1371" s="3" t="inlineStr"/>
      <c r="F1371" s="3" t="inlineStr">
        <is>
          <t>Meals and Entertainment – October</t>
        </is>
      </c>
      <c r="G1371" s="3" t="inlineStr">
        <is>
          <t>Meals and Entertainment</t>
        </is>
      </c>
      <c r="H1371" s="3" t="inlineStr">
        <is>
          <t>Checking – Operating</t>
        </is>
      </c>
      <c r="I1371" s="33" t="n">
        <v>-1573.5</v>
      </c>
      <c r="J1371" s="13">
        <f>+J1370+I1371</f>
        <v>2656059.33</v>
      </c>
      <c r="K1371" s="19">
        <f>+EOMONTH(B1371,0)</f>
        <v>46326</v>
      </c>
      <c r="L1371" s="3" t="inlineStr">
        <is>
          <t>Checking – Operating</t>
        </is>
      </c>
      <c r="M1371" s="3" t="inlineStr">
        <is>
          <t>Balance Sheet</t>
        </is>
      </c>
    </row>
    <row r="1372">
      <c r="B1372" s="39" t="n">
        <v>46321</v>
      </c>
      <c r="C1372" s="3" t="inlineStr">
        <is>
          <t>Expense</t>
        </is>
      </c>
      <c r="D1372" s="3" t="inlineStr"/>
      <c r="E1372" s="3" t="inlineStr"/>
      <c r="F1372" s="3" t="inlineStr">
        <is>
          <t>Reimbursement – October</t>
        </is>
      </c>
      <c r="G1372" s="3" t="inlineStr">
        <is>
          <t>Reimbursement</t>
        </is>
      </c>
      <c r="H1372" s="3" t="inlineStr">
        <is>
          <t>Checking – Operating</t>
        </is>
      </c>
      <c r="I1372" s="33" t="n">
        <v>-1314.77</v>
      </c>
      <c r="J1372" s="13">
        <f>+J1371+I1372</f>
        <v>2654744.56</v>
      </c>
      <c r="K1372" s="19">
        <f>+EOMONTH(B1372,0)</f>
        <v>46326</v>
      </c>
      <c r="L1372" s="3" t="inlineStr">
        <is>
          <t>Checking – Operating</t>
        </is>
      </c>
      <c r="M1372" s="3" t="inlineStr">
        <is>
          <t>Balance Sheet</t>
        </is>
      </c>
    </row>
    <row r="1373">
      <c r="B1373" s="39" t="n">
        <v>46321</v>
      </c>
      <c r="C1373" s="3" t="inlineStr">
        <is>
          <t>Expense</t>
        </is>
      </c>
      <c r="D1373" s="3" t="inlineStr"/>
      <c r="E1373" s="3" t="inlineStr">
        <is>
          <t>Tessarand Payroll Services</t>
        </is>
      </c>
      <c r="F1373" s="3" t="inlineStr">
        <is>
          <t>Sales and Marketing Expenses – October</t>
        </is>
      </c>
      <c r="G1373" s="3" t="inlineStr">
        <is>
          <t>Sales and Marketing Expenses</t>
        </is>
      </c>
      <c r="H1373" s="3" t="inlineStr">
        <is>
          <t>Checking – Operating</t>
        </is>
      </c>
      <c r="I1373" s="33" t="n">
        <v>-15743.94</v>
      </c>
      <c r="J1373" s="13">
        <f>+J1372+I1373</f>
        <v>2639000.62</v>
      </c>
      <c r="K1373" s="19">
        <f>+EOMONTH(B1373,0)</f>
        <v>46326</v>
      </c>
      <c r="L1373" s="3" t="inlineStr">
        <is>
          <t>Checking – Operating</t>
        </is>
      </c>
      <c r="M1373" s="3" t="inlineStr">
        <is>
          <t>Balance Sheet</t>
        </is>
      </c>
    </row>
    <row r="1374">
      <c r="B1374" s="39" t="n">
        <v>46321</v>
      </c>
      <c r="C1374" s="3" t="inlineStr">
        <is>
          <t>Journal Entry</t>
        </is>
      </c>
      <c r="D1374" s="3" t="inlineStr"/>
      <c r="E1374" s="3" t="inlineStr"/>
      <c r="F1374" s="3" t="inlineStr">
        <is>
          <t>Bank service charges – October</t>
        </is>
      </c>
      <c r="G1374" s="3" t="inlineStr">
        <is>
          <t>Cash</t>
        </is>
      </c>
      <c r="H1374" s="3" t="inlineStr">
        <is>
          <t>Checking – Operating</t>
        </is>
      </c>
      <c r="I1374" s="33" t="n">
        <v>-1698.07</v>
      </c>
      <c r="J1374" s="13">
        <f>+J1373+I1374</f>
        <v>2637302.55</v>
      </c>
      <c r="K1374" s="19">
        <f>+EOMONTH(B1374,0)</f>
        <v>46326</v>
      </c>
      <c r="L1374" s="3" t="inlineStr">
        <is>
          <t>Checking – Operating</t>
        </is>
      </c>
      <c r="M1374" s="3" t="inlineStr">
        <is>
          <t>Balance Sheet</t>
        </is>
      </c>
    </row>
    <row r="1375">
      <c r="B1375" s="39" t="n">
        <v>46321</v>
      </c>
      <c r="C1375" s="3" t="inlineStr">
        <is>
          <t>Journal Entry</t>
        </is>
      </c>
      <c r="D1375" s="3" t="inlineStr"/>
      <c r="E1375" s="3" t="inlineStr">
        <is>
          <t>Consultant A</t>
        </is>
      </c>
      <c r="F1375" s="3" t="inlineStr">
        <is>
          <t>Accounting Service – October</t>
        </is>
      </c>
      <c r="G1375" s="3" t="inlineStr">
        <is>
          <t>Accounting Service</t>
        </is>
      </c>
      <c r="H1375" s="3" t="inlineStr">
        <is>
          <t>Checking – Operating</t>
        </is>
      </c>
      <c r="I1375" s="33" t="n">
        <v>-2055.65</v>
      </c>
      <c r="J1375" s="13">
        <f>+J1374+I1375</f>
        <v>2635246.9</v>
      </c>
      <c r="K1375" s="19">
        <f>+EOMONTH(B1375,0)</f>
        <v>46326</v>
      </c>
      <c r="L1375" s="3" t="inlineStr">
        <is>
          <t>Checking – Operating</t>
        </is>
      </c>
      <c r="M1375" s="3" t="inlineStr">
        <is>
          <t>Balance Sheet</t>
        </is>
      </c>
    </row>
    <row r="1376">
      <c r="B1376" s="39" t="n">
        <v>46321</v>
      </c>
      <c r="C1376" s="3" t="inlineStr">
        <is>
          <t>Journal Entry</t>
        </is>
      </c>
      <c r="D1376" s="3" t="inlineStr"/>
      <c r="E1376" s="3" t="inlineStr"/>
      <c r="F1376" s="3" t="inlineStr">
        <is>
          <t>Reimbursement – October</t>
        </is>
      </c>
      <c r="G1376" s="3" t="inlineStr">
        <is>
          <t>Reimbursement</t>
        </is>
      </c>
      <c r="H1376" s="3" t="inlineStr">
        <is>
          <t>Checking – Operating</t>
        </is>
      </c>
      <c r="I1376" s="33" t="n">
        <v>-1668.99</v>
      </c>
      <c r="J1376" s="13">
        <f>+J1375+I1376</f>
        <v>2633577.91</v>
      </c>
      <c r="K1376" s="19">
        <f>+EOMONTH(B1376,0)</f>
        <v>46326</v>
      </c>
      <c r="L1376" s="3" t="inlineStr">
        <is>
          <t>Checking – Operating</t>
        </is>
      </c>
      <c r="M1376" s="3" t="inlineStr">
        <is>
          <t>Balance Sheet</t>
        </is>
      </c>
    </row>
    <row r="1377">
      <c r="B1377" s="39" t="n">
        <v>46322</v>
      </c>
      <c r="C1377" s="3" t="inlineStr">
        <is>
          <t>Bill Payment (Check)</t>
        </is>
      </c>
      <c r="D1377" s="3" t="inlineStr"/>
      <c r="E1377" s="3" t="inlineStr">
        <is>
          <t>Vialtrace Lab Supplies Inc</t>
        </is>
      </c>
      <c r="F1377" s="3" t="inlineStr">
        <is>
          <t>Lab Expenses – September</t>
        </is>
      </c>
      <c r="G1377" s="3" t="inlineStr">
        <is>
          <t>Accounts Payable</t>
        </is>
      </c>
      <c r="H1377" s="3" t="inlineStr">
        <is>
          <t>Checking – Operating</t>
        </is>
      </c>
      <c r="I1377" s="33" t="n">
        <v>-5064.22</v>
      </c>
      <c r="J1377" s="13">
        <f>+J1376+I1377</f>
        <v>2628513.69</v>
      </c>
      <c r="K1377" s="19">
        <f>+EOMONTH(B1377,0)</f>
        <v>46326</v>
      </c>
      <c r="L1377" s="3" t="inlineStr">
        <is>
          <t>Checking – Operating</t>
        </is>
      </c>
      <c r="M1377" s="3" t="inlineStr">
        <is>
          <t>Balance Sheet</t>
        </is>
      </c>
    </row>
    <row r="1378">
      <c r="B1378" s="39" t="n">
        <v>46322</v>
      </c>
      <c r="C1378" s="3" t="inlineStr">
        <is>
          <t>Bill Payment (Check)</t>
        </is>
      </c>
      <c r="D1378" s="3" t="inlineStr"/>
      <c r="E1378" s="3" t="inlineStr">
        <is>
          <t>Union Utilities</t>
        </is>
      </c>
      <c r="F1378" s="3" t="inlineStr">
        <is>
          <t>Utilities – September</t>
        </is>
      </c>
      <c r="G1378" s="3" t="inlineStr">
        <is>
          <t>Accounts Payable</t>
        </is>
      </c>
      <c r="H1378" s="3" t="inlineStr">
        <is>
          <t>Checking – Operating</t>
        </is>
      </c>
      <c r="I1378" s="33" t="n">
        <v>-7569.46</v>
      </c>
      <c r="J1378" s="13">
        <f>+J1377+I1378</f>
        <v>2620944.23</v>
      </c>
      <c r="K1378" s="19">
        <f>+EOMONTH(B1378,0)</f>
        <v>46326</v>
      </c>
      <c r="L1378" s="3" t="inlineStr">
        <is>
          <t>Checking – Operating</t>
        </is>
      </c>
      <c r="M1378" s="3" t="inlineStr">
        <is>
          <t>Balance Sheet</t>
        </is>
      </c>
    </row>
    <row r="1379">
      <c r="B1379" s="39" t="n">
        <v>46322</v>
      </c>
      <c r="C1379" s="3" t="inlineStr">
        <is>
          <t>Credit Card Expense</t>
        </is>
      </c>
      <c r="D1379" s="3" t="inlineStr"/>
      <c r="E1379" s="3" t="inlineStr"/>
      <c r="F1379" s="3" t="inlineStr">
        <is>
          <t>Business Meetings &amp; Development – October</t>
        </is>
      </c>
      <c r="G1379" s="3" t="inlineStr">
        <is>
          <t>Business Meetings &amp; Development</t>
        </is>
      </c>
      <c r="H1379" s="3" t="inlineStr">
        <is>
          <t>Checking – Operating</t>
        </is>
      </c>
      <c r="I1379" s="33" t="n">
        <v>-7411.76</v>
      </c>
      <c r="J1379" s="13">
        <f>+J1378+I1379</f>
        <v>2613532.47</v>
      </c>
      <c r="K1379" s="19">
        <f>+EOMONTH(B1379,0)</f>
        <v>46326</v>
      </c>
      <c r="L1379" s="3" t="inlineStr">
        <is>
          <t>Checking – Operating</t>
        </is>
      </c>
      <c r="M1379" s="3" t="inlineStr">
        <is>
          <t>Balance Sheet</t>
        </is>
      </c>
    </row>
    <row r="1380">
      <c r="B1380" s="39" t="n">
        <v>46322</v>
      </c>
      <c r="C1380" s="3" t="inlineStr">
        <is>
          <t>Deposit</t>
        </is>
      </c>
      <c r="D1380" s="3" t="inlineStr"/>
      <c r="E1380" s="3" t="inlineStr">
        <is>
          <t>Vantrelle Health Plan</t>
        </is>
      </c>
      <c r="F1380" s="3" t="inlineStr">
        <is>
          <t>ORIG CO NAME:VANTRELLE HP ORIG ID:XXXXXX5408 DESC DATE:261027 CO ENTRY DESCR:HCCLAIMPMT SEC:CCD TRACE#:XXXXXXXX2572839 EED:261027 IND ID:</t>
        </is>
      </c>
      <c r="G1380" s="3" t="inlineStr">
        <is>
          <t>Service Income</t>
        </is>
      </c>
      <c r="H1380" s="3" t="inlineStr">
        <is>
          <t>Checking – Operating</t>
        </is>
      </c>
      <c r="I1380" s="33" t="n">
        <v>104121.66</v>
      </c>
      <c r="J1380" s="13">
        <f>+J1379+I1380</f>
        <v>2717654.13</v>
      </c>
      <c r="K1380" s="19">
        <f>+EOMONTH(B1380,0)</f>
        <v>46326</v>
      </c>
      <c r="L1380" s="3" t="inlineStr">
        <is>
          <t>Checking – Operating</t>
        </is>
      </c>
      <c r="M1380" s="3" t="inlineStr">
        <is>
          <t>Balance Sheet</t>
        </is>
      </c>
    </row>
    <row r="1381">
      <c r="B1381" s="39" t="n">
        <v>46322</v>
      </c>
      <c r="C1381" s="3" t="inlineStr">
        <is>
          <t>Journal Entry</t>
        </is>
      </c>
      <c r="D1381" s="3" t="inlineStr"/>
      <c r="E1381" s="3" t="inlineStr">
        <is>
          <t>Halloway Ridge Realty (rent)</t>
        </is>
      </c>
      <c r="F1381" s="3" t="inlineStr">
        <is>
          <t>Landscaping – October</t>
        </is>
      </c>
      <c r="G1381" s="3" t="inlineStr">
        <is>
          <t>Landscaping</t>
        </is>
      </c>
      <c r="H1381" s="3" t="inlineStr">
        <is>
          <t>Checking – Operating</t>
        </is>
      </c>
      <c r="I1381" s="33" t="n">
        <v>-2510.58</v>
      </c>
      <c r="J1381" s="13">
        <f>+J1380+I1381</f>
        <v>2715143.55</v>
      </c>
      <c r="K1381" s="19">
        <f>+EOMONTH(B1381,0)</f>
        <v>46326</v>
      </c>
      <c r="L1381" s="3" t="inlineStr">
        <is>
          <t>Checking – Operating</t>
        </is>
      </c>
      <c r="M1381" s="3" t="inlineStr">
        <is>
          <t>Balance Sheet</t>
        </is>
      </c>
    </row>
    <row r="1382">
      <c r="B1382" s="39" t="n">
        <v>46323</v>
      </c>
      <c r="C1382" s="3" t="inlineStr">
        <is>
          <t>Bill Payment (Check)</t>
        </is>
      </c>
      <c r="D1382" s="3" t="inlineStr"/>
      <c r="E1382" s="3" t="inlineStr">
        <is>
          <t>Lumenlease Equipment</t>
        </is>
      </c>
      <c r="F1382" s="3" t="inlineStr">
        <is>
          <t>Lab Equipment – September</t>
        </is>
      </c>
      <c r="G1382" s="3" t="inlineStr">
        <is>
          <t>Accounts Payable</t>
        </is>
      </c>
      <c r="H1382" s="3" t="inlineStr">
        <is>
          <t>Checking – Operating</t>
        </is>
      </c>
      <c r="I1382" s="33" t="n">
        <v>-3624.67</v>
      </c>
      <c r="J1382" s="13">
        <f>+J1381+I1382</f>
        <v>2711518.88</v>
      </c>
      <c r="K1382" s="19">
        <f>+EOMONTH(B1382,0)</f>
        <v>46326</v>
      </c>
      <c r="L1382" s="3" t="inlineStr">
        <is>
          <t>Checking – Operating</t>
        </is>
      </c>
      <c r="M1382" s="3" t="inlineStr">
        <is>
          <t>Balance Sheet</t>
        </is>
      </c>
    </row>
    <row r="1383">
      <c r="B1383" s="39" t="n">
        <v>46323</v>
      </c>
      <c r="C1383" s="3" t="inlineStr">
        <is>
          <t>Bill Payment (Check)</t>
        </is>
      </c>
      <c r="D1383" s="3" t="inlineStr"/>
      <c r="E1383" s="3" t="inlineStr">
        <is>
          <t>Ledgerquill Billing SaaS</t>
        </is>
      </c>
      <c r="F1383" s="3" t="inlineStr">
        <is>
          <t>Billing Software as a Service – October</t>
        </is>
      </c>
      <c r="G1383" s="3" t="inlineStr">
        <is>
          <t>Accounts Payable</t>
        </is>
      </c>
      <c r="H1383" s="3" t="inlineStr">
        <is>
          <t>Checking – Operating</t>
        </is>
      </c>
      <c r="I1383" s="33" t="n">
        <v>-19451.35</v>
      </c>
      <c r="J1383" s="13">
        <f>+J1382+I1383</f>
        <v>2692067.53</v>
      </c>
      <c r="K1383" s="19">
        <f>+EOMONTH(B1383,0)</f>
        <v>46326</v>
      </c>
      <c r="L1383" s="3" t="inlineStr">
        <is>
          <t>Checking – Operating</t>
        </is>
      </c>
      <c r="M1383" s="3" t="inlineStr">
        <is>
          <t>Balance Sheet</t>
        </is>
      </c>
    </row>
    <row r="1384">
      <c r="B1384" s="39" t="n">
        <v>46323</v>
      </c>
      <c r="C1384" s="3" t="inlineStr">
        <is>
          <t>Credit Card Expense</t>
        </is>
      </c>
      <c r="D1384" s="3" t="inlineStr"/>
      <c r="E1384" s="3" t="inlineStr">
        <is>
          <t>Vialtrace Lab Supplies Inc</t>
        </is>
      </c>
      <c r="F1384" s="3" t="inlineStr">
        <is>
          <t>Office Supplies – October</t>
        </is>
      </c>
      <c r="G1384" s="3" t="inlineStr">
        <is>
          <t>Office Supplies</t>
        </is>
      </c>
      <c r="H1384" s="3" t="inlineStr">
        <is>
          <t>Checking – Operating</t>
        </is>
      </c>
      <c r="I1384" s="33" t="n">
        <v>-1945.62</v>
      </c>
      <c r="J1384" s="13">
        <f>+J1383+I1384</f>
        <v>2690121.91</v>
      </c>
      <c r="K1384" s="19">
        <f>+EOMONTH(B1384,0)</f>
        <v>46326</v>
      </c>
      <c r="L1384" s="3" t="inlineStr">
        <is>
          <t>Checking – Operating</t>
        </is>
      </c>
      <c r="M1384" s="3" t="inlineStr">
        <is>
          <t>Balance Sheet</t>
        </is>
      </c>
    </row>
    <row r="1385">
      <c r="B1385" s="39" t="n">
        <v>46323</v>
      </c>
      <c r="C1385" s="3" t="inlineStr">
        <is>
          <t>Deposit</t>
        </is>
      </c>
      <c r="D1385" s="3" t="inlineStr"/>
      <c r="E1385" s="3" t="inlineStr">
        <is>
          <t>Marrowby Mutual</t>
        </is>
      </c>
      <c r="F1385" s="3" t="inlineStr">
        <is>
          <t>ORIG CO NAME:MARROWBY MUTUAL ORIG ID:XXXXXX4665 DESC DATE:261028 CO ENTRY DESCR:HCCLAIMPMT SEC:CCD TRACE#:XXXXXXXX9743360 EED:261028 IND ID:</t>
        </is>
      </c>
      <c r="G1385" s="3" t="inlineStr">
        <is>
          <t>Service Income</t>
        </is>
      </c>
      <c r="H1385" s="3" t="inlineStr">
        <is>
          <t>Checking – Operating</t>
        </is>
      </c>
      <c r="I1385" s="33" t="n">
        <v>99712.77</v>
      </c>
      <c r="J1385" s="13">
        <f>+J1384+I1385</f>
        <v>2789834.68</v>
      </c>
      <c r="K1385" s="19">
        <f>+EOMONTH(B1385,0)</f>
        <v>46326</v>
      </c>
      <c r="L1385" s="3" t="inlineStr">
        <is>
          <t>Checking – Operating</t>
        </is>
      </c>
      <c r="M1385" s="3" t="inlineStr">
        <is>
          <t>Balance Sheet</t>
        </is>
      </c>
    </row>
    <row r="1386">
      <c r="B1386" s="39" t="n">
        <v>46323</v>
      </c>
      <c r="C1386" s="3" t="inlineStr">
        <is>
          <t>Expense</t>
        </is>
      </c>
      <c r="D1386" s="3" t="inlineStr"/>
      <c r="E1386" s="3" t="inlineStr">
        <is>
          <t>Tessarand Payroll Services</t>
        </is>
      </c>
      <c r="F1386" s="3" t="inlineStr">
        <is>
          <t>Contractors – October</t>
        </is>
      </c>
      <c r="G1386" s="3" t="inlineStr">
        <is>
          <t>Contractors</t>
        </is>
      </c>
      <c r="H1386" s="3" t="inlineStr">
        <is>
          <t>Checking – Operating</t>
        </is>
      </c>
      <c r="I1386" s="33" t="n">
        <v>-9356.379999999999</v>
      </c>
      <c r="J1386" s="13">
        <f>+J1385+I1386</f>
        <v>2780478.3</v>
      </c>
      <c r="K1386" s="19">
        <f>+EOMONTH(B1386,0)</f>
        <v>46326</v>
      </c>
      <c r="L1386" s="3" t="inlineStr">
        <is>
          <t>Checking – Operating</t>
        </is>
      </c>
      <c r="M1386" s="3" t="inlineStr">
        <is>
          <t>Balance Sheet</t>
        </is>
      </c>
    </row>
    <row r="1387">
      <c r="B1387" s="39" t="n">
        <v>46323</v>
      </c>
      <c r="C1387" s="3" t="inlineStr">
        <is>
          <t>Expense</t>
        </is>
      </c>
      <c r="D1387" s="3" t="inlineStr"/>
      <c r="E1387" s="3" t="inlineStr"/>
      <c r="F1387" s="3" t="inlineStr">
        <is>
          <t>Interest – equipment note</t>
        </is>
      </c>
      <c r="G1387" s="3" t="inlineStr">
        <is>
          <t>Interest Expense</t>
        </is>
      </c>
      <c r="H1387" s="3" t="inlineStr">
        <is>
          <t>Checking – Operating</t>
        </is>
      </c>
      <c r="I1387" s="33" t="n">
        <v>-1884.52</v>
      </c>
      <c r="J1387" s="13">
        <f>+J1386+I1387</f>
        <v>2778593.78</v>
      </c>
      <c r="K1387" s="19">
        <f>+EOMONTH(B1387,0)</f>
        <v>46326</v>
      </c>
      <c r="L1387" s="3" t="inlineStr">
        <is>
          <t>Checking – Operating</t>
        </is>
      </c>
      <c r="M1387" s="3" t="inlineStr">
        <is>
          <t>Balance Sheet</t>
        </is>
      </c>
    </row>
    <row r="1388">
      <c r="B1388" s="39" t="n">
        <v>46323</v>
      </c>
      <c r="C1388" s="3" t="inlineStr">
        <is>
          <t>Journal Entry</t>
        </is>
      </c>
      <c r="D1388" s="3" t="inlineStr"/>
      <c r="E1388" s="3" t="inlineStr">
        <is>
          <t>Consultant A</t>
        </is>
      </c>
      <c r="F1388" s="3" t="inlineStr">
        <is>
          <t>Professional Fees – October</t>
        </is>
      </c>
      <c r="G1388" s="3" t="inlineStr">
        <is>
          <t>Professional Fees</t>
        </is>
      </c>
      <c r="H1388" s="3" t="inlineStr">
        <is>
          <t>Checking – Operating</t>
        </is>
      </c>
      <c r="I1388" s="33" t="n">
        <v>-5217.92</v>
      </c>
      <c r="J1388" s="13">
        <f>+J1387+I1388</f>
        <v>2773375.86</v>
      </c>
      <c r="K1388" s="19">
        <f>+EOMONTH(B1388,0)</f>
        <v>46326</v>
      </c>
      <c r="L1388" s="3" t="inlineStr">
        <is>
          <t>Checking – Operating</t>
        </is>
      </c>
      <c r="M1388" s="3" t="inlineStr">
        <is>
          <t>Balance Sheet</t>
        </is>
      </c>
    </row>
    <row r="1389">
      <c r="B1389" s="39" t="n">
        <v>46324</v>
      </c>
      <c r="C1389" s="3" t="inlineStr">
        <is>
          <t>Bill Payment (Check)</t>
        </is>
      </c>
      <c r="D1389" s="3" t="inlineStr"/>
      <c r="E1389" s="3" t="inlineStr">
        <is>
          <t>Reagentix Corp</t>
        </is>
      </c>
      <c r="F1389" s="3" t="inlineStr">
        <is>
          <t>Lab supplies PO# F2457</t>
        </is>
      </c>
      <c r="G1389" s="3" t="inlineStr">
        <is>
          <t>Accounts Payable</t>
        </is>
      </c>
      <c r="H1389" s="3" t="inlineStr">
        <is>
          <t>Checking – Operating</t>
        </is>
      </c>
      <c r="I1389" s="33" t="n">
        <v>-13538.38</v>
      </c>
      <c r="J1389" s="13">
        <f>+J1388+I1389</f>
        <v>2759837.48</v>
      </c>
      <c r="K1389" s="19">
        <f>+EOMONTH(B1389,0)</f>
        <v>46326</v>
      </c>
      <c r="L1389" s="3" t="inlineStr">
        <is>
          <t>Checking – Operating</t>
        </is>
      </c>
      <c r="M1389" s="3" t="inlineStr">
        <is>
          <t>Balance Sheet</t>
        </is>
      </c>
    </row>
    <row r="1390">
      <c r="B1390" s="39" t="n">
        <v>46324</v>
      </c>
      <c r="C1390" s="3" t="inlineStr">
        <is>
          <t>Journal Entry</t>
        </is>
      </c>
      <c r="D1390" s="3" t="inlineStr"/>
      <c r="E1390" s="3" t="inlineStr"/>
      <c r="F1390" s="3" t="inlineStr">
        <is>
          <t>Property tax installment</t>
        </is>
      </c>
      <c r="G1390" s="3" t="inlineStr">
        <is>
          <t>Property tax</t>
        </is>
      </c>
      <c r="H1390" s="3" t="inlineStr">
        <is>
          <t>Checking – Operating</t>
        </is>
      </c>
      <c r="I1390" s="33" t="n">
        <v>-979.88</v>
      </c>
      <c r="J1390" s="13">
        <f>+J1389+I1390</f>
        <v>2758857.6</v>
      </c>
      <c r="K1390" s="19">
        <f>+EOMONTH(B1390,0)</f>
        <v>46326</v>
      </c>
      <c r="L1390" s="3" t="inlineStr">
        <is>
          <t>Checking – Operating</t>
        </is>
      </c>
      <c r="M1390" s="3" t="inlineStr">
        <is>
          <t>Balance Sheet</t>
        </is>
      </c>
    </row>
    <row r="1391">
      <c r="B1391" s="39" t="n">
        <v>46324</v>
      </c>
      <c r="C1391" s="3" t="inlineStr">
        <is>
          <t>Journal Entry</t>
        </is>
      </c>
      <c r="D1391" s="3" t="inlineStr"/>
      <c r="E1391" s="3" t="inlineStr">
        <is>
          <t>Union Utilities</t>
        </is>
      </c>
      <c r="F1391" s="3" t="inlineStr">
        <is>
          <t>Fax Service – October</t>
        </is>
      </c>
      <c r="G1391" s="3" t="inlineStr">
        <is>
          <t>Fax Service</t>
        </is>
      </c>
      <c r="H1391" s="3" t="inlineStr">
        <is>
          <t>Checking – Operating</t>
        </is>
      </c>
      <c r="I1391" s="33" t="n">
        <v>-1560.43</v>
      </c>
      <c r="J1391" s="13">
        <f>+J1390+I1391</f>
        <v>2757297.17</v>
      </c>
      <c r="K1391" s="19">
        <f>+EOMONTH(B1391,0)</f>
        <v>46326</v>
      </c>
      <c r="L1391" s="3" t="inlineStr">
        <is>
          <t>Checking – Operating</t>
        </is>
      </c>
      <c r="M1391" s="3" t="inlineStr">
        <is>
          <t>Balance Sheet</t>
        </is>
      </c>
    </row>
    <row r="1392">
      <c r="B1392" s="39" t="n">
        <v>46325</v>
      </c>
      <c r="C1392" s="3" t="inlineStr">
        <is>
          <t>Expense</t>
        </is>
      </c>
      <c r="D1392" s="3" t="inlineStr"/>
      <c r="E1392" s="3" t="inlineStr">
        <is>
          <t>Consultant A</t>
        </is>
      </c>
      <c r="F1392" s="3" t="inlineStr">
        <is>
          <t>Professional Fees – October</t>
        </is>
      </c>
      <c r="G1392" s="3" t="inlineStr">
        <is>
          <t>Professional Fees</t>
        </is>
      </c>
      <c r="H1392" s="3" t="inlineStr">
        <is>
          <t>Checking – Operating</t>
        </is>
      </c>
      <c r="I1392" s="33" t="n">
        <v>-6151.79</v>
      </c>
      <c r="J1392" s="13">
        <f>+J1391+I1392</f>
        <v>2751145.38</v>
      </c>
      <c r="K1392" s="19">
        <f>+EOMONTH(B1392,0)</f>
        <v>46326</v>
      </c>
      <c r="L1392" s="3" t="inlineStr">
        <is>
          <t>Checking – Operating</t>
        </is>
      </c>
      <c r="M1392" s="3" t="inlineStr">
        <is>
          <t>Balance Sheet</t>
        </is>
      </c>
    </row>
    <row r="1393">
      <c r="B1393" s="39" t="n">
        <v>46325</v>
      </c>
      <c r="C1393" s="3" t="inlineStr">
        <is>
          <t>Journal Entry</t>
        </is>
      </c>
      <c r="D1393" s="3" t="inlineStr"/>
      <c r="E1393" s="3" t="inlineStr">
        <is>
          <t>Consultant A</t>
        </is>
      </c>
      <c r="F1393" s="3" t="inlineStr">
        <is>
          <t>Legal &amp; Professional Fees – October</t>
        </is>
      </c>
      <c r="G1393" s="3" t="inlineStr">
        <is>
          <t>Legal &amp; Professional Fees</t>
        </is>
      </c>
      <c r="H1393" s="3" t="inlineStr">
        <is>
          <t>Checking – Operating</t>
        </is>
      </c>
      <c r="I1393" s="33" t="n">
        <v>-954.05</v>
      </c>
      <c r="J1393" s="13">
        <f>+J1392+I1393</f>
        <v>2750191.33</v>
      </c>
      <c r="K1393" s="19">
        <f>+EOMONTH(B1393,0)</f>
        <v>46326</v>
      </c>
      <c r="L1393" s="3" t="inlineStr">
        <is>
          <t>Checking – Operating</t>
        </is>
      </c>
      <c r="M1393" s="3" t="inlineStr">
        <is>
          <t>Balance Sheet</t>
        </is>
      </c>
    </row>
    <row r="1394">
      <c r="B1394" s="39" t="n">
        <v>46326</v>
      </c>
      <c r="C1394" s="3" t="inlineStr">
        <is>
          <t>Bill Payment (Check)</t>
        </is>
      </c>
      <c r="D1394" s="3" t="inlineStr"/>
      <c r="E1394" s="3" t="inlineStr">
        <is>
          <t>Vialtrace Lab Supplies Inc</t>
        </is>
      </c>
      <c r="F1394" s="3" t="inlineStr">
        <is>
          <t>Lab supplies PO# F2007</t>
        </is>
      </c>
      <c r="G1394" s="3" t="inlineStr">
        <is>
          <t>Accounts Payable</t>
        </is>
      </c>
      <c r="H1394" s="3" t="inlineStr">
        <is>
          <t>Checking – Operating</t>
        </is>
      </c>
      <c r="I1394" s="33" t="n">
        <v>-23331.1</v>
      </c>
      <c r="J1394" s="13">
        <f>+J1393+I1394</f>
        <v>2726860.23</v>
      </c>
      <c r="K1394" s="19">
        <f>+EOMONTH(B1394,0)</f>
        <v>46326</v>
      </c>
      <c r="L1394" s="3" t="inlineStr">
        <is>
          <t>Checking – Operating</t>
        </is>
      </c>
      <c r="M1394" s="3" t="inlineStr">
        <is>
          <t>Balance Sheet</t>
        </is>
      </c>
    </row>
    <row r="1395">
      <c r="B1395" s="39" t="n">
        <v>46326</v>
      </c>
      <c r="C1395" s="3" t="inlineStr">
        <is>
          <t>Bill Payment (Check)</t>
        </is>
      </c>
      <c r="D1395" s="3" t="inlineStr"/>
      <c r="E1395" s="3" t="inlineStr">
        <is>
          <t>Reagentix Corp</t>
        </is>
      </c>
      <c r="F1395" s="3" t="inlineStr">
        <is>
          <t>Lab supplies PO# F2906</t>
        </is>
      </c>
      <c r="G1395" s="3" t="inlineStr">
        <is>
          <t>Accounts Payable</t>
        </is>
      </c>
      <c r="H1395" s="3" t="inlineStr">
        <is>
          <t>Checking – Operating</t>
        </is>
      </c>
      <c r="I1395" s="33" t="n">
        <v>-18349.75</v>
      </c>
      <c r="J1395" s="13">
        <f>+J1394+I1395</f>
        <v>2708510.48</v>
      </c>
      <c r="K1395" s="19">
        <f>+EOMONTH(B1395,0)</f>
        <v>46326</v>
      </c>
      <c r="L1395" s="3" t="inlineStr">
        <is>
          <t>Checking – Operating</t>
        </is>
      </c>
      <c r="M1395" s="3" t="inlineStr">
        <is>
          <t>Balance Sheet</t>
        </is>
      </c>
    </row>
    <row r="1396">
      <c r="B1396" s="39" t="n">
        <v>46326</v>
      </c>
      <c r="C1396" s="3" t="inlineStr">
        <is>
          <t>Bill Payment (Check)</t>
        </is>
      </c>
      <c r="D1396" s="3" t="inlineStr"/>
      <c r="E1396" s="3" t="inlineStr">
        <is>
          <t>Ledgerquill Billing SaaS</t>
        </is>
      </c>
      <c r="F1396" s="3" t="inlineStr">
        <is>
          <t>Billing Software as a Service – September</t>
        </is>
      </c>
      <c r="G1396" s="3" t="inlineStr">
        <is>
          <t>Accounts Payable</t>
        </is>
      </c>
      <c r="H1396" s="3" t="inlineStr">
        <is>
          <t>Checking – Operating</t>
        </is>
      </c>
      <c r="I1396" s="33" t="n">
        <v>-10889.15</v>
      </c>
      <c r="J1396" s="13">
        <f>+J1395+I1396</f>
        <v>2697621.33</v>
      </c>
      <c r="K1396" s="19">
        <f>+EOMONTH(B1396,0)</f>
        <v>46326</v>
      </c>
      <c r="L1396" s="3" t="inlineStr">
        <is>
          <t>Checking – Operating</t>
        </is>
      </c>
      <c r="M1396" s="3" t="inlineStr">
        <is>
          <t>Balance Sheet</t>
        </is>
      </c>
    </row>
    <row r="1397">
      <c r="B1397" s="39" t="n">
        <v>46326</v>
      </c>
      <c r="C1397" s="3" t="inlineStr">
        <is>
          <t>Deposit</t>
        </is>
      </c>
      <c r="D1397" s="3" t="inlineStr"/>
      <c r="E1397" s="3" t="inlineStr">
        <is>
          <t>Federal Program A</t>
        </is>
      </c>
      <c r="F1397" s="3" t="inlineStr">
        <is>
          <t>ORIG CO NAME:FEDERAL PROG A ORIG ID:XXXXXX5808 DESC DATE:261031 CO ENTRY DESCR:HCCLAIMPMT SEC:CCD TRACE#:XXXXXXXX7753458 EED:261031 IND ID:</t>
        </is>
      </c>
      <c r="G1397" s="3" t="inlineStr">
        <is>
          <t>Service Income</t>
        </is>
      </c>
      <c r="H1397" s="3" t="inlineStr">
        <is>
          <t>Checking – Operating</t>
        </is>
      </c>
      <c r="I1397" s="33" t="n">
        <v>138347.95</v>
      </c>
      <c r="J1397" s="13">
        <f>+J1396+I1397</f>
        <v>2835969.28</v>
      </c>
      <c r="K1397" s="19">
        <f>+EOMONTH(B1397,0)</f>
        <v>46326</v>
      </c>
      <c r="L1397" s="3" t="inlineStr">
        <is>
          <t>Checking – Operating</t>
        </is>
      </c>
      <c r="M1397" s="3" t="inlineStr">
        <is>
          <t>Balance Sheet</t>
        </is>
      </c>
    </row>
    <row r="1398">
      <c r="B1398" s="39" t="n">
        <v>46326</v>
      </c>
      <c r="C1398" s="3" t="inlineStr">
        <is>
          <t>Deposit</t>
        </is>
      </c>
      <c r="D1398" s="3" t="inlineStr"/>
      <c r="E1398" s="3" t="inlineStr">
        <is>
          <t>State Program B</t>
        </is>
      </c>
      <c r="F1398" s="3" t="inlineStr">
        <is>
          <t>ORIG CO NAME:STATE PROG B ORIG ID:XXXXXX9163 DESC DATE:261031 CO ENTRY DESCR:HCCLAIMPMT SEC:CCD TRACE#:XXXXXXXX7519181 EED:261031 IND ID:</t>
        </is>
      </c>
      <c r="G1398" s="3" t="inlineStr">
        <is>
          <t>Service Income</t>
        </is>
      </c>
      <c r="H1398" s="3" t="inlineStr">
        <is>
          <t>Checking – Operating</t>
        </is>
      </c>
      <c r="I1398" s="33" t="n">
        <v>50799.86</v>
      </c>
      <c r="J1398" s="13">
        <f>+J1397+I1398</f>
        <v>2886769.14</v>
      </c>
      <c r="K1398" s="19">
        <f>+EOMONTH(B1398,0)</f>
        <v>46326</v>
      </c>
      <c r="L1398" s="3" t="inlineStr">
        <is>
          <t>Checking – Operating</t>
        </is>
      </c>
      <c r="M1398" s="3" t="inlineStr">
        <is>
          <t>Balance Sheet</t>
        </is>
      </c>
    </row>
    <row r="1399">
      <c r="B1399" s="39" t="n">
        <v>46326</v>
      </c>
      <c r="C1399" s="3" t="inlineStr">
        <is>
          <t>Expense</t>
        </is>
      </c>
      <c r="D1399" s="3" t="inlineStr"/>
      <c r="E1399" s="3" t="inlineStr">
        <is>
          <t>Consultant A</t>
        </is>
      </c>
      <c r="F1399" s="3" t="inlineStr">
        <is>
          <t>Consulting – October</t>
        </is>
      </c>
      <c r="G1399" s="3" t="inlineStr">
        <is>
          <t>Consulting</t>
        </is>
      </c>
      <c r="H1399" s="3" t="inlineStr">
        <is>
          <t>Checking – Operating</t>
        </is>
      </c>
      <c r="I1399" s="33" t="n">
        <v>-3111.42</v>
      </c>
      <c r="J1399" s="13">
        <f>+J1398+I1399</f>
        <v>2883657.72</v>
      </c>
      <c r="K1399" s="19">
        <f>+EOMONTH(B1399,0)</f>
        <v>46326</v>
      </c>
      <c r="L1399" s="3" t="inlineStr">
        <is>
          <t>Checking – Operating</t>
        </is>
      </c>
      <c r="M1399" s="3" t="inlineStr">
        <is>
          <t>Balance Sheet</t>
        </is>
      </c>
    </row>
    <row r="1400">
      <c r="B1400" s="39" t="n">
        <v>46326</v>
      </c>
      <c r="C1400" s="3" t="inlineStr">
        <is>
          <t>Journal Entry</t>
        </is>
      </c>
      <c r="D1400" s="3" t="inlineStr"/>
      <c r="E1400" s="3" t="inlineStr"/>
      <c r="F1400" s="3" t="inlineStr">
        <is>
          <t>Automobile Expense – October</t>
        </is>
      </c>
      <c r="G1400" s="3" t="inlineStr">
        <is>
          <t>Automobile Expense</t>
        </is>
      </c>
      <c r="H1400" s="3" t="inlineStr">
        <is>
          <t>Checking – Operating</t>
        </is>
      </c>
      <c r="I1400" s="33" t="n">
        <v>-763.3099999999999</v>
      </c>
      <c r="J1400" s="13">
        <f>+J1399+I1400</f>
        <v>2882894.41</v>
      </c>
      <c r="K1400" s="19">
        <f>+EOMONTH(B1400,0)</f>
        <v>46326</v>
      </c>
      <c r="L1400" s="3" t="inlineStr">
        <is>
          <t>Checking – Operating</t>
        </is>
      </c>
      <c r="M1400" s="3" t="inlineStr">
        <is>
          <t>Balance Sheet</t>
        </is>
      </c>
    </row>
    <row r="1401">
      <c r="B1401" s="39" t="n">
        <v>46327</v>
      </c>
      <c r="C1401" s="3" t="inlineStr">
        <is>
          <t>Expense</t>
        </is>
      </c>
      <c r="D1401" s="3" t="inlineStr"/>
      <c r="E1401" s="3" t="inlineStr">
        <is>
          <t>Lumenlease Equipment</t>
        </is>
      </c>
      <c r="F1401" s="3" t="inlineStr">
        <is>
          <t>Repairs and Maintenance – November</t>
        </is>
      </c>
      <c r="G1401" s="3" t="inlineStr">
        <is>
          <t>Repairs and Maintenance</t>
        </is>
      </c>
      <c r="H1401" s="3" t="inlineStr">
        <is>
          <t>Checking – Operating</t>
        </is>
      </c>
      <c r="I1401" s="33" t="n">
        <v>-4720.88</v>
      </c>
      <c r="J1401" s="13">
        <f>+J1400+I1401</f>
        <v>2878173.53</v>
      </c>
      <c r="K1401" s="19">
        <f>+EOMONTH(B1401,0)</f>
        <v>46356</v>
      </c>
      <c r="L1401" s="3" t="inlineStr">
        <is>
          <t>Checking – Operating</t>
        </is>
      </c>
      <c r="M1401" s="3" t="inlineStr">
        <is>
          <t>Balance Sheet</t>
        </is>
      </c>
    </row>
    <row r="1402">
      <c r="B1402" s="39" t="n">
        <v>46327</v>
      </c>
      <c r="C1402" s="3" t="inlineStr">
        <is>
          <t>Expense</t>
        </is>
      </c>
      <c r="D1402" s="3" t="inlineStr"/>
      <c r="E1402" s="3" t="inlineStr">
        <is>
          <t>Tessarand Payroll Services</t>
        </is>
      </c>
      <c r="F1402" s="3" t="inlineStr">
        <is>
          <t>Sales and Marketing Expenses – November</t>
        </is>
      </c>
      <c r="G1402" s="3" t="inlineStr">
        <is>
          <t>Sales and Marketing Expenses</t>
        </is>
      </c>
      <c r="H1402" s="3" t="inlineStr">
        <is>
          <t>Checking – Operating</t>
        </is>
      </c>
      <c r="I1402" s="33" t="n">
        <v>-8786.690000000001</v>
      </c>
      <c r="J1402" s="13">
        <f>+J1401+I1402</f>
        <v>2869386.84</v>
      </c>
      <c r="K1402" s="19">
        <f>+EOMONTH(B1402,0)</f>
        <v>46356</v>
      </c>
      <c r="L1402" s="3" t="inlineStr">
        <is>
          <t>Checking – Operating</t>
        </is>
      </c>
      <c r="M1402" s="3" t="inlineStr">
        <is>
          <t>Balance Sheet</t>
        </is>
      </c>
    </row>
    <row r="1403">
      <c r="B1403" s="39" t="n">
        <v>46328</v>
      </c>
      <c r="C1403" s="3" t="inlineStr">
        <is>
          <t>Bill Payment (Check)</t>
        </is>
      </c>
      <c r="D1403" s="3" t="inlineStr"/>
      <c r="E1403" s="3" t="inlineStr">
        <is>
          <t>Reference Lab A</t>
        </is>
      </c>
      <c r="F1403" s="3" t="inlineStr">
        <is>
          <t>Send-out testing – October</t>
        </is>
      </c>
      <c r="G1403" s="3" t="inlineStr">
        <is>
          <t>Accounts Payable</t>
        </is>
      </c>
      <c r="H1403" s="3" t="inlineStr">
        <is>
          <t>Checking – Operating</t>
        </is>
      </c>
      <c r="I1403" s="33" t="n">
        <v>-12479.86</v>
      </c>
      <c r="J1403" s="13">
        <f>+J1402+I1403</f>
        <v>2856906.98</v>
      </c>
      <c r="K1403" s="19">
        <f>+EOMONTH(B1403,0)</f>
        <v>46356</v>
      </c>
      <c r="L1403" s="3" t="inlineStr">
        <is>
          <t>Checking – Operating</t>
        </is>
      </c>
      <c r="M1403" s="3" t="inlineStr">
        <is>
          <t>Balance Sheet</t>
        </is>
      </c>
    </row>
    <row r="1404">
      <c r="B1404" s="39" t="n">
        <v>46328</v>
      </c>
      <c r="C1404" s="3" t="inlineStr">
        <is>
          <t>Deposit</t>
        </is>
      </c>
      <c r="D1404" s="3" t="inlineStr"/>
      <c r="E1404" s="3" t="inlineStr">
        <is>
          <t>Lanternway Benefits</t>
        </is>
      </c>
      <c r="F1404" s="3" t="inlineStr">
        <is>
          <t>ORIG CO NAME:LANTERNWAY BEN ORIG ID:XXXXXX1583 DESC DATE:261102 CO ENTRY DESCR:HCCLAIMPMT SEC:CCD TRACE#:XXXXXXXX1986781 EED:261102 IND ID:</t>
        </is>
      </c>
      <c r="G1404" s="3" t="inlineStr">
        <is>
          <t>Service Income</t>
        </is>
      </c>
      <c r="H1404" s="3" t="inlineStr">
        <is>
          <t>Checking – Operating</t>
        </is>
      </c>
      <c r="I1404" s="33" t="n">
        <v>42763.05</v>
      </c>
      <c r="J1404" s="13">
        <f>+J1403+I1404</f>
        <v>2899670.03</v>
      </c>
      <c r="K1404" s="19">
        <f>+EOMONTH(B1404,0)</f>
        <v>46356</v>
      </c>
      <c r="L1404" s="3" t="inlineStr">
        <is>
          <t>Checking – Operating</t>
        </is>
      </c>
      <c r="M1404" s="3" t="inlineStr">
        <is>
          <t>Balance Sheet</t>
        </is>
      </c>
    </row>
    <row r="1405">
      <c r="B1405" s="39" t="n">
        <v>46328</v>
      </c>
      <c r="C1405" s="3" t="inlineStr">
        <is>
          <t>Deposit</t>
        </is>
      </c>
      <c r="D1405" s="3" t="inlineStr"/>
      <c r="E1405" s="3" t="inlineStr">
        <is>
          <t>Cobaltmere Health</t>
        </is>
      </c>
      <c r="F1405" s="3" t="inlineStr">
        <is>
          <t>ORIG CO NAME:COBALTMERE HEALTH ORIG ID:XXXXXX6613 DESC DATE:261102 CO ENTRY DESCR:HCCLAIMPMT SEC:CCD TRACE#:XXXXXXXX6557907 EED:261102 IND ID:</t>
        </is>
      </c>
      <c r="G1405" s="3" t="inlineStr">
        <is>
          <t>Service Income</t>
        </is>
      </c>
      <c r="H1405" s="3" t="inlineStr">
        <is>
          <t>Checking – Operating</t>
        </is>
      </c>
      <c r="I1405" s="33" t="n">
        <v>24470.59</v>
      </c>
      <c r="J1405" s="13">
        <f>+J1404+I1405</f>
        <v>2924140.62</v>
      </c>
      <c r="K1405" s="19">
        <f>+EOMONTH(B1405,0)</f>
        <v>46356</v>
      </c>
      <c r="L1405" s="3" t="inlineStr">
        <is>
          <t>Checking – Operating</t>
        </is>
      </c>
      <c r="M1405" s="3" t="inlineStr">
        <is>
          <t>Balance Sheet</t>
        </is>
      </c>
    </row>
    <row r="1406">
      <c r="B1406" s="39" t="n">
        <v>46328</v>
      </c>
      <c r="C1406" s="3" t="inlineStr">
        <is>
          <t>Expense</t>
        </is>
      </c>
      <c r="D1406" s="3" t="inlineStr"/>
      <c r="E1406" s="3" t="inlineStr"/>
      <c r="F1406" s="3" t="inlineStr">
        <is>
          <t>Lab Credentialing – November</t>
        </is>
      </c>
      <c r="G1406" s="3" t="inlineStr">
        <is>
          <t>Lab Credentialing</t>
        </is>
      </c>
      <c r="H1406" s="3" t="inlineStr">
        <is>
          <t>Checking – Operating</t>
        </is>
      </c>
      <c r="I1406" s="33" t="n">
        <v>-827.64</v>
      </c>
      <c r="J1406" s="13">
        <f>+J1405+I1406</f>
        <v>2923312.98</v>
      </c>
      <c r="K1406" s="19">
        <f>+EOMONTH(B1406,0)</f>
        <v>46356</v>
      </c>
      <c r="L1406" s="3" t="inlineStr">
        <is>
          <t>Checking – Operating</t>
        </is>
      </c>
      <c r="M1406" s="3" t="inlineStr">
        <is>
          <t>Balance Sheet</t>
        </is>
      </c>
    </row>
    <row r="1407">
      <c r="B1407" s="39" t="n">
        <v>46329</v>
      </c>
      <c r="C1407" s="3" t="inlineStr">
        <is>
          <t>Bill Payment (Check)</t>
        </is>
      </c>
      <c r="D1407" s="3" t="inlineStr"/>
      <c r="E1407" s="3" t="inlineStr">
        <is>
          <t>Union Utilities</t>
        </is>
      </c>
      <c r="F1407" s="3" t="inlineStr">
        <is>
          <t>Utilities – October</t>
        </is>
      </c>
      <c r="G1407" s="3" t="inlineStr">
        <is>
          <t>Accounts Payable</t>
        </is>
      </c>
      <c r="H1407" s="3" t="inlineStr">
        <is>
          <t>Checking – Operating</t>
        </is>
      </c>
      <c r="I1407" s="33" t="n">
        <v>-7723.55</v>
      </c>
      <c r="J1407" s="13">
        <f>+J1406+I1407</f>
        <v>2915589.43</v>
      </c>
      <c r="K1407" s="19">
        <f>+EOMONTH(B1407,0)</f>
        <v>46356</v>
      </c>
      <c r="L1407" s="3" t="inlineStr">
        <is>
          <t>Checking – Operating</t>
        </is>
      </c>
      <c r="M1407" s="3" t="inlineStr">
        <is>
          <t>Balance Sheet</t>
        </is>
      </c>
    </row>
    <row r="1408">
      <c r="B1408" s="39" t="n">
        <v>46330</v>
      </c>
      <c r="C1408" s="3" t="inlineStr">
        <is>
          <t>Expense</t>
        </is>
      </c>
      <c r="D1408" s="3" t="inlineStr"/>
      <c r="E1408" s="3" t="inlineStr"/>
      <c r="F1408" s="3" t="inlineStr">
        <is>
          <t>Car expense – November</t>
        </is>
      </c>
      <c r="G1408" s="3" t="inlineStr">
        <is>
          <t>Car expense</t>
        </is>
      </c>
      <c r="H1408" s="3" t="inlineStr">
        <is>
          <t>Checking – Operating</t>
        </is>
      </c>
      <c r="I1408" s="33" t="n">
        <v>-690.55</v>
      </c>
      <c r="J1408" s="13">
        <f>+J1407+I1408</f>
        <v>2914898.88</v>
      </c>
      <c r="K1408" s="19">
        <f>+EOMONTH(B1408,0)</f>
        <v>46356</v>
      </c>
      <c r="L1408" s="3" t="inlineStr">
        <is>
          <t>Checking – Operating</t>
        </is>
      </c>
      <c r="M1408" s="3" t="inlineStr">
        <is>
          <t>Balance Sheet</t>
        </is>
      </c>
    </row>
    <row r="1409">
      <c r="B1409" s="39" t="n">
        <v>46330</v>
      </c>
      <c r="C1409" s="3" t="inlineStr">
        <is>
          <t>Expense</t>
        </is>
      </c>
      <c r="D1409" s="3" t="inlineStr"/>
      <c r="E1409" s="3" t="inlineStr"/>
      <c r="F1409" s="3" t="inlineStr">
        <is>
          <t>Business Meetings &amp; Development – November</t>
        </is>
      </c>
      <c r="G1409" s="3" t="inlineStr">
        <is>
          <t>Business Meetings &amp; Development</t>
        </is>
      </c>
      <c r="H1409" s="3" t="inlineStr">
        <is>
          <t>Checking – Operating</t>
        </is>
      </c>
      <c r="I1409" s="33" t="n">
        <v>-3177.44</v>
      </c>
      <c r="J1409" s="13">
        <f>+J1408+I1409</f>
        <v>2911721.44</v>
      </c>
      <c r="K1409" s="19">
        <f>+EOMONTH(B1409,0)</f>
        <v>46356</v>
      </c>
      <c r="L1409" s="3" t="inlineStr">
        <is>
          <t>Checking – Operating</t>
        </is>
      </c>
      <c r="M1409" s="3" t="inlineStr">
        <is>
          <t>Balance Sheet</t>
        </is>
      </c>
    </row>
    <row r="1410">
      <c r="B1410" s="39" t="n">
        <v>46330</v>
      </c>
      <c r="C1410" s="3" t="inlineStr">
        <is>
          <t>Payroll Check</t>
        </is>
      </c>
      <c r="D1410" s="3" t="inlineStr"/>
      <c r="E1410" s="3" t="inlineStr">
        <is>
          <t>Tessarand Payroll Services</t>
        </is>
      </c>
      <c r="F1410" s="3" t="inlineStr">
        <is>
          <t>Payroll taxes – biweekly</t>
        </is>
      </c>
      <c r="G1410" s="3" t="inlineStr">
        <is>
          <t>Payroll Taxes</t>
        </is>
      </c>
      <c r="H1410" s="3" t="inlineStr">
        <is>
          <t>Checking – Operating</t>
        </is>
      </c>
      <c r="I1410" s="33" t="n">
        <v>-1253.55</v>
      </c>
      <c r="J1410" s="13">
        <f>+J1409+I1410</f>
        <v>2910467.89</v>
      </c>
      <c r="K1410" s="19">
        <f>+EOMONTH(B1410,0)</f>
        <v>46356</v>
      </c>
      <c r="L1410" s="3" t="inlineStr">
        <is>
          <t>Checking – Operating</t>
        </is>
      </c>
      <c r="M1410" s="3" t="inlineStr">
        <is>
          <t>Balance Sheet</t>
        </is>
      </c>
    </row>
    <row r="1411">
      <c r="B1411" s="39" t="n">
        <v>46331</v>
      </c>
      <c r="C1411" s="3" t="inlineStr">
        <is>
          <t>Bill Payment (Check)</t>
        </is>
      </c>
      <c r="D1411" s="3" t="inlineStr"/>
      <c r="E1411" s="3" t="inlineStr">
        <is>
          <t>Reference Lab A</t>
        </is>
      </c>
      <c r="F1411" s="3" t="inlineStr">
        <is>
          <t>Send-out testing – October</t>
        </is>
      </c>
      <c r="G1411" s="3" t="inlineStr">
        <is>
          <t>Accounts Payable</t>
        </is>
      </c>
      <c r="H1411" s="3" t="inlineStr">
        <is>
          <t>Checking – Operating</t>
        </is>
      </c>
      <c r="I1411" s="33" t="n">
        <v>-13986.9</v>
      </c>
      <c r="J1411" s="13">
        <f>+J1410+I1411</f>
        <v>2896480.99</v>
      </c>
      <c r="K1411" s="19">
        <f>+EOMONTH(B1411,0)</f>
        <v>46356</v>
      </c>
      <c r="L1411" s="3" t="inlineStr">
        <is>
          <t>Checking – Operating</t>
        </is>
      </c>
      <c r="M1411" s="3" t="inlineStr">
        <is>
          <t>Balance Sheet</t>
        </is>
      </c>
    </row>
    <row r="1412">
      <c r="B1412" s="39" t="n">
        <v>46331</v>
      </c>
      <c r="C1412" s="3" t="inlineStr">
        <is>
          <t>Expense</t>
        </is>
      </c>
      <c r="D1412" s="3" t="inlineStr"/>
      <c r="E1412" s="3" t="inlineStr">
        <is>
          <t>Ledgerquill Billing SaaS</t>
        </is>
      </c>
      <c r="F1412" s="3" t="inlineStr">
        <is>
          <t>Dues &amp; Subscriptions – November</t>
        </is>
      </c>
      <c r="G1412" s="3" t="inlineStr">
        <is>
          <t>Dues &amp; Subscriptions</t>
        </is>
      </c>
      <c r="H1412" s="3" t="inlineStr">
        <is>
          <t>Checking – Operating</t>
        </is>
      </c>
      <c r="I1412" s="33" t="n">
        <v>-1919.04</v>
      </c>
      <c r="J1412" s="13">
        <f>+J1411+I1412</f>
        <v>2894561.95</v>
      </c>
      <c r="K1412" s="19">
        <f>+EOMONTH(B1412,0)</f>
        <v>46356</v>
      </c>
      <c r="L1412" s="3" t="inlineStr">
        <is>
          <t>Checking – Operating</t>
        </is>
      </c>
      <c r="M1412" s="3" t="inlineStr">
        <is>
          <t>Balance Sheet</t>
        </is>
      </c>
    </row>
    <row r="1413">
      <c r="B1413" s="39" t="n">
        <v>46331</v>
      </c>
      <c r="C1413" s="3" t="inlineStr">
        <is>
          <t>Expense</t>
        </is>
      </c>
      <c r="D1413" s="3" t="inlineStr"/>
      <c r="E1413" s="3" t="inlineStr">
        <is>
          <t>Tessarand Payroll Services</t>
        </is>
      </c>
      <c r="F1413" s="3" t="inlineStr">
        <is>
          <t>Recruitment – November</t>
        </is>
      </c>
      <c r="G1413" s="3" t="inlineStr">
        <is>
          <t>Recruitment</t>
        </is>
      </c>
      <c r="H1413" s="3" t="inlineStr">
        <is>
          <t>Checking – Operating</t>
        </is>
      </c>
      <c r="I1413" s="33" t="n">
        <v>-2431.66</v>
      </c>
      <c r="J1413" s="13">
        <f>+J1412+I1413</f>
        <v>2892130.29</v>
      </c>
      <c r="K1413" s="19">
        <f>+EOMONTH(B1413,0)</f>
        <v>46356</v>
      </c>
      <c r="L1413" s="3" t="inlineStr">
        <is>
          <t>Checking – Operating</t>
        </is>
      </c>
      <c r="M1413" s="3" t="inlineStr">
        <is>
          <t>Balance Sheet</t>
        </is>
      </c>
    </row>
    <row r="1414">
      <c r="B1414" s="39" t="n">
        <v>46332</v>
      </c>
      <c r="C1414" s="3" t="inlineStr">
        <is>
          <t>Bill Payment (Check)</t>
        </is>
      </c>
      <c r="D1414" s="3" t="inlineStr"/>
      <c r="E1414" s="3" t="inlineStr">
        <is>
          <t>Reagentix Corp</t>
        </is>
      </c>
      <c r="F1414" s="3" t="inlineStr">
        <is>
          <t>Lab Expenses – October</t>
        </is>
      </c>
      <c r="G1414" s="3" t="inlineStr">
        <is>
          <t>Accounts Payable</t>
        </is>
      </c>
      <c r="H1414" s="3" t="inlineStr">
        <is>
          <t>Checking – Operating</t>
        </is>
      </c>
      <c r="I1414" s="33" t="n">
        <v>-7114.65</v>
      </c>
      <c r="J1414" s="13">
        <f>+J1413+I1414</f>
        <v>2885015.64</v>
      </c>
      <c r="K1414" s="19">
        <f>+EOMONTH(B1414,0)</f>
        <v>46356</v>
      </c>
      <c r="L1414" s="3" t="inlineStr">
        <is>
          <t>Checking – Operating</t>
        </is>
      </c>
      <c r="M1414" s="3" t="inlineStr">
        <is>
          <t>Balance Sheet</t>
        </is>
      </c>
    </row>
    <row r="1415">
      <c r="B1415" s="39" t="n">
        <v>46332</v>
      </c>
      <c r="C1415" s="3" t="inlineStr">
        <is>
          <t>Bill Payment (Check)</t>
        </is>
      </c>
      <c r="D1415" s="3" t="inlineStr"/>
      <c r="E1415" s="3" t="inlineStr">
        <is>
          <t>Reagentix Corp</t>
        </is>
      </c>
      <c r="F1415" s="3" t="inlineStr">
        <is>
          <t>Lab supplies PO# F2808</t>
        </is>
      </c>
      <c r="G1415" s="3" t="inlineStr">
        <is>
          <t>Accounts Payable</t>
        </is>
      </c>
      <c r="H1415" s="3" t="inlineStr">
        <is>
          <t>Checking – Operating</t>
        </is>
      </c>
      <c r="I1415" s="33" t="n">
        <v>-24329.83</v>
      </c>
      <c r="J1415" s="13">
        <f>+J1414+I1415</f>
        <v>2860685.81</v>
      </c>
      <c r="K1415" s="19">
        <f>+EOMONTH(B1415,0)</f>
        <v>46356</v>
      </c>
      <c r="L1415" s="3" t="inlineStr">
        <is>
          <t>Checking – Operating</t>
        </is>
      </c>
      <c r="M1415" s="3" t="inlineStr">
        <is>
          <t>Balance Sheet</t>
        </is>
      </c>
    </row>
    <row r="1416">
      <c r="B1416" s="39" t="n">
        <v>46332</v>
      </c>
      <c r="C1416" s="3" t="inlineStr">
        <is>
          <t>Bill Payment (Check)</t>
        </is>
      </c>
      <c r="D1416" s="3" t="inlineStr"/>
      <c r="E1416" s="3" t="inlineStr">
        <is>
          <t>Ledgerquill Billing SaaS</t>
        </is>
      </c>
      <c r="F1416" s="3" t="inlineStr">
        <is>
          <t>Billing Software as a Service – October</t>
        </is>
      </c>
      <c r="G1416" s="3" t="inlineStr">
        <is>
          <t>Accounts Payable</t>
        </is>
      </c>
      <c r="H1416" s="3" t="inlineStr">
        <is>
          <t>Checking – Operating</t>
        </is>
      </c>
      <c r="I1416" s="33" t="n">
        <v>-21685.61</v>
      </c>
      <c r="J1416" s="13">
        <f>+J1415+I1416</f>
        <v>2839000.2</v>
      </c>
      <c r="K1416" s="19">
        <f>+EOMONTH(B1416,0)</f>
        <v>46356</v>
      </c>
      <c r="L1416" s="3" t="inlineStr">
        <is>
          <t>Checking – Operating</t>
        </is>
      </c>
      <c r="M1416" s="3" t="inlineStr">
        <is>
          <t>Balance Sheet</t>
        </is>
      </c>
    </row>
    <row r="1417">
      <c r="B1417" s="39" t="n">
        <v>46332</v>
      </c>
      <c r="C1417" s="3" t="inlineStr">
        <is>
          <t>Deposit</t>
        </is>
      </c>
      <c r="D1417" s="3" t="inlineStr"/>
      <c r="E1417" s="3" t="inlineStr">
        <is>
          <t>State Program B</t>
        </is>
      </c>
      <c r="F1417" s="3" t="inlineStr">
        <is>
          <t>ORIG CO NAME:STATE PROG B ORIG ID:XXXXXX5039 DESC DATE:261106 CO ENTRY DESCR:HCCLAIMPMT SEC:CCD TRACE#:XXXXXXXX3313113 EED:261106 IND ID:</t>
        </is>
      </c>
      <c r="G1417" s="3" t="inlineStr">
        <is>
          <t>Service Income</t>
        </is>
      </c>
      <c r="H1417" s="3" t="inlineStr">
        <is>
          <t>Checking – Operating</t>
        </is>
      </c>
      <c r="I1417" s="33" t="n">
        <v>61461.25</v>
      </c>
      <c r="J1417" s="13">
        <f>+J1416+I1417</f>
        <v>2900461.45</v>
      </c>
      <c r="K1417" s="19">
        <f>+EOMONTH(B1417,0)</f>
        <v>46356</v>
      </c>
      <c r="L1417" s="3" t="inlineStr">
        <is>
          <t>Checking – Operating</t>
        </is>
      </c>
      <c r="M1417" s="3" t="inlineStr">
        <is>
          <t>Balance Sheet</t>
        </is>
      </c>
    </row>
    <row r="1418">
      <c r="B1418" s="39" t="n">
        <v>46332</v>
      </c>
      <c r="C1418" s="3" t="inlineStr">
        <is>
          <t>Expense</t>
        </is>
      </c>
      <c r="D1418" s="3" t="inlineStr"/>
      <c r="E1418" s="3" t="inlineStr"/>
      <c r="F1418" s="3" t="inlineStr">
        <is>
          <t>Gas – November</t>
        </is>
      </c>
      <c r="G1418" s="3" t="inlineStr">
        <is>
          <t>Gas</t>
        </is>
      </c>
      <c r="H1418" s="3" t="inlineStr">
        <is>
          <t>Checking – Operating</t>
        </is>
      </c>
      <c r="I1418" s="33" t="n">
        <v>-683.6</v>
      </c>
      <c r="J1418" s="13">
        <f>+J1417+I1418</f>
        <v>2899777.85</v>
      </c>
      <c r="K1418" s="19">
        <f>+EOMONTH(B1418,0)</f>
        <v>46356</v>
      </c>
      <c r="L1418" s="3" t="inlineStr">
        <is>
          <t>Checking – Operating</t>
        </is>
      </c>
      <c r="M1418" s="3" t="inlineStr">
        <is>
          <t>Balance Sheet</t>
        </is>
      </c>
    </row>
    <row r="1419">
      <c r="B1419" s="39" t="n">
        <v>46332</v>
      </c>
      <c r="C1419" s="3" t="inlineStr">
        <is>
          <t>Expense</t>
        </is>
      </c>
      <c r="D1419" s="3" t="inlineStr"/>
      <c r="E1419" s="3" t="inlineStr">
        <is>
          <t>Ledgerquill Billing SaaS</t>
        </is>
      </c>
      <c r="F1419" s="3" t="inlineStr">
        <is>
          <t>Software – November</t>
        </is>
      </c>
      <c r="G1419" s="3" t="inlineStr">
        <is>
          <t>Software</t>
        </is>
      </c>
      <c r="H1419" s="3" t="inlineStr">
        <is>
          <t>Checking – Operating</t>
        </is>
      </c>
      <c r="I1419" s="33" t="n">
        <v>-3342.27</v>
      </c>
      <c r="J1419" s="13">
        <f>+J1418+I1419</f>
        <v>2896435.58</v>
      </c>
      <c r="K1419" s="19">
        <f>+EOMONTH(B1419,0)</f>
        <v>46356</v>
      </c>
      <c r="L1419" s="3" t="inlineStr">
        <is>
          <t>Checking – Operating</t>
        </is>
      </c>
      <c r="M1419" s="3" t="inlineStr">
        <is>
          <t>Balance Sheet</t>
        </is>
      </c>
    </row>
    <row r="1420">
      <c r="B1420" s="39" t="n">
        <v>46332</v>
      </c>
      <c r="C1420" s="3" t="inlineStr">
        <is>
          <t>Payroll Check</t>
        </is>
      </c>
      <c r="D1420" s="3" t="inlineStr"/>
      <c r="E1420" s="3" t="inlineStr">
        <is>
          <t>Tessarand Payroll Services</t>
        </is>
      </c>
      <c r="F1420" s="3" t="inlineStr">
        <is>
          <t>Payroll – biweekly</t>
        </is>
      </c>
      <c r="G1420" s="3" t="inlineStr">
        <is>
          <t>Salaries and Wages</t>
        </is>
      </c>
      <c r="H1420" s="3" t="inlineStr">
        <is>
          <t>Checking – Operating</t>
        </is>
      </c>
      <c r="I1420" s="33" t="n">
        <v>-147877.1</v>
      </c>
      <c r="J1420" s="13">
        <f>+J1419+I1420</f>
        <v>2748558.48</v>
      </c>
      <c r="K1420" s="19">
        <f>+EOMONTH(B1420,0)</f>
        <v>46356</v>
      </c>
      <c r="L1420" s="3" t="inlineStr">
        <is>
          <t>Checking – Operating</t>
        </is>
      </c>
      <c r="M1420" s="3" t="inlineStr">
        <is>
          <t>Balance Sheet</t>
        </is>
      </c>
    </row>
    <row r="1421">
      <c r="B1421" s="39" t="n">
        <v>46332</v>
      </c>
      <c r="C1421" s="3" t="inlineStr">
        <is>
          <t>Payroll Check</t>
        </is>
      </c>
      <c r="D1421" s="3" t="inlineStr"/>
      <c r="E1421" s="3" t="inlineStr">
        <is>
          <t>Tessarand Payroll Services</t>
        </is>
      </c>
      <c r="F1421" s="3" t="inlineStr">
        <is>
          <t>Payroll processing fee</t>
        </is>
      </c>
      <c r="G1421" s="3" t="inlineStr">
        <is>
          <t>Payroll Processing Fee</t>
        </is>
      </c>
      <c r="H1421" s="3" t="inlineStr">
        <is>
          <t>Checking – Operating</t>
        </is>
      </c>
      <c r="I1421" s="33" t="n">
        <v>-143.71</v>
      </c>
      <c r="J1421" s="13">
        <f>+J1420+I1421</f>
        <v>2748414.77</v>
      </c>
      <c r="K1421" s="19">
        <f>+EOMONTH(B1421,0)</f>
        <v>46356</v>
      </c>
      <c r="L1421" s="3" t="inlineStr">
        <is>
          <t>Checking – Operating</t>
        </is>
      </c>
      <c r="M1421" s="3" t="inlineStr">
        <is>
          <t>Balance Sheet</t>
        </is>
      </c>
    </row>
    <row r="1422">
      <c r="B1422" s="39" t="n">
        <v>46333</v>
      </c>
      <c r="C1422" s="3" t="inlineStr">
        <is>
          <t>Bill Payment (Check)</t>
        </is>
      </c>
      <c r="D1422" s="3" t="inlineStr"/>
      <c r="E1422" s="3" t="inlineStr">
        <is>
          <t>Tarrowmere Mutual Insurance</t>
        </is>
      </c>
      <c r="F1422" s="3" t="inlineStr">
        <is>
          <t>Premium installment</t>
        </is>
      </c>
      <c r="G1422" s="3" t="inlineStr">
        <is>
          <t>Accounts Payable</t>
        </is>
      </c>
      <c r="H1422" s="3" t="inlineStr">
        <is>
          <t>Checking – Operating</t>
        </is>
      </c>
      <c r="I1422" s="33" t="n">
        <v>-7081.07</v>
      </c>
      <c r="J1422" s="13">
        <f>+J1421+I1422</f>
        <v>2741333.7</v>
      </c>
      <c r="K1422" s="19">
        <f>+EOMONTH(B1422,0)</f>
        <v>46356</v>
      </c>
      <c r="L1422" s="3" t="inlineStr">
        <is>
          <t>Checking – Operating</t>
        </is>
      </c>
      <c r="M1422" s="3" t="inlineStr">
        <is>
          <t>Balance Sheet</t>
        </is>
      </c>
    </row>
    <row r="1423">
      <c r="B1423" s="39" t="n">
        <v>46333</v>
      </c>
      <c r="C1423" s="3" t="inlineStr">
        <is>
          <t>Credit Card Expense</t>
        </is>
      </c>
      <c r="D1423" s="3" t="inlineStr"/>
      <c r="E1423" s="3" t="inlineStr">
        <is>
          <t>Tessarand Payroll Services</t>
        </is>
      </c>
      <c r="F1423" s="3" t="inlineStr">
        <is>
          <t>Sales and Marketing Expenses – November</t>
        </is>
      </c>
      <c r="G1423" s="3" t="inlineStr">
        <is>
          <t>Sales and Marketing Expenses</t>
        </is>
      </c>
      <c r="H1423" s="3" t="inlineStr">
        <is>
          <t>Checking – Operating</t>
        </is>
      </c>
      <c r="I1423" s="33" t="n">
        <v>-13503.67</v>
      </c>
      <c r="J1423" s="13">
        <f>+J1422+I1423</f>
        <v>2727830.03</v>
      </c>
      <c r="K1423" s="19">
        <f>+EOMONTH(B1423,0)</f>
        <v>46356</v>
      </c>
      <c r="L1423" s="3" t="inlineStr">
        <is>
          <t>Checking – Operating</t>
        </is>
      </c>
      <c r="M1423" s="3" t="inlineStr">
        <is>
          <t>Balance Sheet</t>
        </is>
      </c>
    </row>
    <row r="1424">
      <c r="B1424" s="39" t="n">
        <v>46333</v>
      </c>
      <c r="C1424" s="3" t="inlineStr">
        <is>
          <t>Expense</t>
        </is>
      </c>
      <c r="D1424" s="3" t="inlineStr"/>
      <c r="E1424" s="3" t="inlineStr">
        <is>
          <t>Tessarand Payroll Services</t>
        </is>
      </c>
      <c r="F1424" s="3" t="inlineStr">
        <is>
          <t>Contractors – November</t>
        </is>
      </c>
      <c r="G1424" s="3" t="inlineStr">
        <is>
          <t>Contractors</t>
        </is>
      </c>
      <c r="H1424" s="3" t="inlineStr">
        <is>
          <t>Checking – Operating</t>
        </is>
      </c>
      <c r="I1424" s="33" t="n">
        <v>-11446.96</v>
      </c>
      <c r="J1424" s="13">
        <f>+J1423+I1424</f>
        <v>2716383.07</v>
      </c>
      <c r="K1424" s="19">
        <f>+EOMONTH(B1424,0)</f>
        <v>46356</v>
      </c>
      <c r="L1424" s="3" t="inlineStr">
        <is>
          <t>Checking – Operating</t>
        </is>
      </c>
      <c r="M1424" s="3" t="inlineStr">
        <is>
          <t>Balance Sheet</t>
        </is>
      </c>
    </row>
    <row r="1425">
      <c r="B1425" s="39" t="n">
        <v>46333</v>
      </c>
      <c r="C1425" s="3" t="inlineStr">
        <is>
          <t>Journal Entry</t>
        </is>
      </c>
      <c r="D1425" s="3" t="inlineStr"/>
      <c r="E1425" s="3" t="inlineStr">
        <is>
          <t>Union Utilities</t>
        </is>
      </c>
      <c r="F1425" s="3" t="inlineStr">
        <is>
          <t>Telecom and Internet – November</t>
        </is>
      </c>
      <c r="G1425" s="3" t="inlineStr">
        <is>
          <t>Telecom and Internet</t>
        </is>
      </c>
      <c r="H1425" s="3" t="inlineStr">
        <is>
          <t>Checking – Operating</t>
        </is>
      </c>
      <c r="I1425" s="33" t="n">
        <v>-2889.57</v>
      </c>
      <c r="J1425" s="13">
        <f>+J1424+I1425</f>
        <v>2713493.5</v>
      </c>
      <c r="K1425" s="19">
        <f>+EOMONTH(B1425,0)</f>
        <v>46356</v>
      </c>
      <c r="L1425" s="3" t="inlineStr">
        <is>
          <t>Checking – Operating</t>
        </is>
      </c>
      <c r="M1425" s="3" t="inlineStr">
        <is>
          <t>Balance Sheet</t>
        </is>
      </c>
    </row>
    <row r="1426">
      <c r="B1426" s="39" t="n">
        <v>46334</v>
      </c>
      <c r="C1426" s="3" t="inlineStr">
        <is>
          <t>Bill Payment (Check)</t>
        </is>
      </c>
      <c r="D1426" s="3" t="inlineStr"/>
      <c r="E1426" s="3" t="inlineStr">
        <is>
          <t>Reagentix Corp</t>
        </is>
      </c>
      <c r="F1426" s="3" t="inlineStr">
        <is>
          <t>Lab Expenses – October</t>
        </is>
      </c>
      <c r="G1426" s="3" t="inlineStr">
        <is>
          <t>Accounts Payable</t>
        </is>
      </c>
      <c r="H1426" s="3" t="inlineStr">
        <is>
          <t>Checking – Operating</t>
        </is>
      </c>
      <c r="I1426" s="33" t="n">
        <v>-5662.31</v>
      </c>
      <c r="J1426" s="13">
        <f>+J1425+I1426</f>
        <v>2707831.19</v>
      </c>
      <c r="K1426" s="19">
        <f>+EOMONTH(B1426,0)</f>
        <v>46356</v>
      </c>
      <c r="L1426" s="3" t="inlineStr">
        <is>
          <t>Checking – Operating</t>
        </is>
      </c>
      <c r="M1426" s="3" t="inlineStr">
        <is>
          <t>Balance Sheet</t>
        </is>
      </c>
    </row>
    <row r="1427">
      <c r="B1427" s="39" t="n">
        <v>46334</v>
      </c>
      <c r="C1427" s="3" t="inlineStr">
        <is>
          <t>Bill Payment (Check)</t>
        </is>
      </c>
      <c r="D1427" s="3" t="inlineStr"/>
      <c r="E1427" s="3" t="inlineStr">
        <is>
          <t>Reagentix Corp</t>
        </is>
      </c>
      <c r="F1427" s="3" t="inlineStr">
        <is>
          <t>Lab supplies PO# F2610</t>
        </is>
      </c>
      <c r="G1427" s="3" t="inlineStr">
        <is>
          <t>Accounts Payable</t>
        </is>
      </c>
      <c r="H1427" s="3" t="inlineStr">
        <is>
          <t>Checking – Operating</t>
        </is>
      </c>
      <c r="I1427" s="33" t="n">
        <v>-18790.47</v>
      </c>
      <c r="J1427" s="13">
        <f>+J1426+I1427</f>
        <v>2689040.72</v>
      </c>
      <c r="K1427" s="19">
        <f>+EOMONTH(B1427,0)</f>
        <v>46356</v>
      </c>
      <c r="L1427" s="3" t="inlineStr">
        <is>
          <t>Checking – Operating</t>
        </is>
      </c>
      <c r="M1427" s="3" t="inlineStr">
        <is>
          <t>Balance Sheet</t>
        </is>
      </c>
    </row>
    <row r="1428">
      <c r="B1428" s="39" t="n">
        <v>46334</v>
      </c>
      <c r="C1428" s="3" t="inlineStr">
        <is>
          <t>Bill Payment (Check)</t>
        </is>
      </c>
      <c r="D1428" s="3" t="inlineStr"/>
      <c r="E1428" s="3" t="inlineStr">
        <is>
          <t>Swiftmere Courier</t>
        </is>
      </c>
      <c r="F1428" s="3" t="inlineStr">
        <is>
          <t>Delivery and Transportation – October</t>
        </is>
      </c>
      <c r="G1428" s="3" t="inlineStr">
        <is>
          <t>Accounts Payable</t>
        </is>
      </c>
      <c r="H1428" s="3" t="inlineStr">
        <is>
          <t>Checking – Operating</t>
        </is>
      </c>
      <c r="I1428" s="33" t="n">
        <v>-8438.76</v>
      </c>
      <c r="J1428" s="13">
        <f>+J1427+I1428</f>
        <v>2680601.96</v>
      </c>
      <c r="K1428" s="19">
        <f>+EOMONTH(B1428,0)</f>
        <v>46356</v>
      </c>
      <c r="L1428" s="3" t="inlineStr">
        <is>
          <t>Checking – Operating</t>
        </is>
      </c>
      <c r="M1428" s="3" t="inlineStr">
        <is>
          <t>Balance Sheet</t>
        </is>
      </c>
    </row>
    <row r="1429">
      <c r="B1429" s="39" t="n">
        <v>46334</v>
      </c>
      <c r="C1429" s="3" t="inlineStr">
        <is>
          <t>Bill Payment (Check)</t>
        </is>
      </c>
      <c r="D1429" s="3" t="inlineStr"/>
      <c r="E1429" s="3" t="inlineStr">
        <is>
          <t>Northmoor Waste Services</t>
        </is>
      </c>
      <c r="F1429" s="3" t="inlineStr">
        <is>
          <t>Waste Removal – October</t>
        </is>
      </c>
      <c r="G1429" s="3" t="inlineStr">
        <is>
          <t>Accounts Payable</t>
        </is>
      </c>
      <c r="H1429" s="3" t="inlineStr">
        <is>
          <t>Checking – Operating</t>
        </is>
      </c>
      <c r="I1429" s="33" t="n">
        <v>-1319.32</v>
      </c>
      <c r="J1429" s="13">
        <f>+J1428+I1429</f>
        <v>2679282.64</v>
      </c>
      <c r="K1429" s="19">
        <f>+EOMONTH(B1429,0)</f>
        <v>46356</v>
      </c>
      <c r="L1429" s="3" t="inlineStr">
        <is>
          <t>Checking – Operating</t>
        </is>
      </c>
      <c r="M1429" s="3" t="inlineStr">
        <is>
          <t>Balance Sheet</t>
        </is>
      </c>
    </row>
    <row r="1430">
      <c r="B1430" s="39" t="n">
        <v>46334</v>
      </c>
      <c r="C1430" s="3" t="inlineStr">
        <is>
          <t>Bill Payment (Check)</t>
        </is>
      </c>
      <c r="D1430" s="3" t="inlineStr"/>
      <c r="E1430" s="3" t="inlineStr">
        <is>
          <t>Tarrowmere Mutual Insurance</t>
        </is>
      </c>
      <c r="F1430" s="3" t="inlineStr">
        <is>
          <t>Benefits – October</t>
        </is>
      </c>
      <c r="G1430" s="3" t="inlineStr">
        <is>
          <t>Accounts Payable</t>
        </is>
      </c>
      <c r="H1430" s="3" t="inlineStr">
        <is>
          <t>Checking – Operating</t>
        </is>
      </c>
      <c r="I1430" s="33" t="n">
        <v>-5011.87</v>
      </c>
      <c r="J1430" s="13">
        <f>+J1429+I1430</f>
        <v>2674270.77</v>
      </c>
      <c r="K1430" s="19">
        <f>+EOMONTH(B1430,0)</f>
        <v>46356</v>
      </c>
      <c r="L1430" s="3" t="inlineStr">
        <is>
          <t>Checking – Operating</t>
        </is>
      </c>
      <c r="M1430" s="3" t="inlineStr">
        <is>
          <t>Balance Sheet</t>
        </is>
      </c>
    </row>
    <row r="1431">
      <c r="B1431" s="39" t="n">
        <v>46334</v>
      </c>
      <c r="C1431" s="3" t="inlineStr">
        <is>
          <t>Deposit</t>
        </is>
      </c>
      <c r="D1431" s="3" t="inlineStr"/>
      <c r="E1431" s="3" t="inlineStr">
        <is>
          <t>Silvermoss Senior Living</t>
        </is>
      </c>
      <c r="F1431" s="3" t="inlineStr">
        <is>
          <t>ORIG CO NAME:SILVERMOSS SL ORIG ID:XXXXXX5825 DESC DATE:261108 CO ENTRY DESCR:HCCLAIMPMT SEC:CCD TRACE#:XXXXXXXX9993982 EED:261108 IND ID:</t>
        </is>
      </c>
      <c r="G1431" s="3" t="inlineStr">
        <is>
          <t>Service Income</t>
        </is>
      </c>
      <c r="H1431" s="3" t="inlineStr">
        <is>
          <t>Checking – Operating</t>
        </is>
      </c>
      <c r="I1431" s="33" t="n">
        <v>24357.84</v>
      </c>
      <c r="J1431" s="13">
        <f>+J1430+I1431</f>
        <v>2698628.61</v>
      </c>
      <c r="K1431" s="19">
        <f>+EOMONTH(B1431,0)</f>
        <v>46356</v>
      </c>
      <c r="L1431" s="3" t="inlineStr">
        <is>
          <t>Checking – Operating</t>
        </is>
      </c>
      <c r="M1431" s="3" t="inlineStr">
        <is>
          <t>Balance Sheet</t>
        </is>
      </c>
    </row>
    <row r="1432">
      <c r="B1432" s="39" t="n">
        <v>46334</v>
      </c>
      <c r="C1432" s="3" t="inlineStr">
        <is>
          <t>Expense</t>
        </is>
      </c>
      <c r="D1432" s="3" t="inlineStr"/>
      <c r="E1432" s="3" t="inlineStr"/>
      <c r="F1432" s="3" t="inlineStr">
        <is>
          <t>Business Meetings &amp; Development – November</t>
        </is>
      </c>
      <c r="G1432" s="3" t="inlineStr">
        <is>
          <t>Business Meetings &amp; Development</t>
        </is>
      </c>
      <c r="H1432" s="3" t="inlineStr">
        <is>
          <t>Checking – Operating</t>
        </is>
      </c>
      <c r="I1432" s="33" t="n">
        <v>-4042.99</v>
      </c>
      <c r="J1432" s="13">
        <f>+J1431+I1432</f>
        <v>2694585.62</v>
      </c>
      <c r="K1432" s="19">
        <f>+EOMONTH(B1432,0)</f>
        <v>46356</v>
      </c>
      <c r="L1432" s="3" t="inlineStr">
        <is>
          <t>Checking – Operating</t>
        </is>
      </c>
      <c r="M1432" s="3" t="inlineStr">
        <is>
          <t>Balance Sheet</t>
        </is>
      </c>
    </row>
    <row r="1433">
      <c r="B1433" s="39" t="n">
        <v>46334</v>
      </c>
      <c r="C1433" s="3" t="inlineStr">
        <is>
          <t>Expense</t>
        </is>
      </c>
      <c r="D1433" s="3" t="inlineStr"/>
      <c r="E1433" s="3" t="inlineStr">
        <is>
          <t>Ledgerquill Billing SaaS</t>
        </is>
      </c>
      <c r="F1433" s="3" t="inlineStr">
        <is>
          <t>Software – November</t>
        </is>
      </c>
      <c r="G1433" s="3" t="inlineStr">
        <is>
          <t>Software</t>
        </is>
      </c>
      <c r="H1433" s="3" t="inlineStr">
        <is>
          <t>Checking – Operating</t>
        </is>
      </c>
      <c r="I1433" s="33" t="n">
        <v>-2006.65</v>
      </c>
      <c r="J1433" s="13">
        <f>+J1432+I1433</f>
        <v>2692578.97</v>
      </c>
      <c r="K1433" s="19">
        <f>+EOMONTH(B1433,0)</f>
        <v>46356</v>
      </c>
      <c r="L1433" s="3" t="inlineStr">
        <is>
          <t>Checking – Operating</t>
        </is>
      </c>
      <c r="M1433" s="3" t="inlineStr">
        <is>
          <t>Balance Sheet</t>
        </is>
      </c>
    </row>
    <row r="1434">
      <c r="B1434" s="39" t="n">
        <v>46335</v>
      </c>
      <c r="C1434" s="3" t="inlineStr">
        <is>
          <t>Bill Payment (Check)</t>
        </is>
      </c>
      <c r="D1434" s="3" t="inlineStr"/>
      <c r="E1434" s="3" t="inlineStr">
        <is>
          <t>Lumenlease Equipment</t>
        </is>
      </c>
      <c r="F1434" s="3" t="inlineStr">
        <is>
          <t>Lab Equipment – October</t>
        </is>
      </c>
      <c r="G1434" s="3" t="inlineStr">
        <is>
          <t>Accounts Payable</t>
        </is>
      </c>
      <c r="H1434" s="3" t="inlineStr">
        <is>
          <t>Checking – Operating</t>
        </is>
      </c>
      <c r="I1434" s="33" t="n">
        <v>-2761.11</v>
      </c>
      <c r="J1434" s="13">
        <f>+J1433+I1434</f>
        <v>2689817.86</v>
      </c>
      <c r="K1434" s="19">
        <f>+EOMONTH(B1434,0)</f>
        <v>46356</v>
      </c>
      <c r="L1434" s="3" t="inlineStr">
        <is>
          <t>Checking – Operating</t>
        </is>
      </c>
      <c r="M1434" s="3" t="inlineStr">
        <is>
          <t>Balance Sheet</t>
        </is>
      </c>
    </row>
    <row r="1435">
      <c r="B1435" s="39" t="n">
        <v>46335</v>
      </c>
      <c r="C1435" s="3" t="inlineStr">
        <is>
          <t>Deposit</t>
        </is>
      </c>
      <c r="D1435" s="3" t="inlineStr"/>
      <c r="E1435" s="3" t="inlineStr">
        <is>
          <t>Federal Program A</t>
        </is>
      </c>
      <c r="F1435" s="3" t="inlineStr">
        <is>
          <t>ORIG CO NAME:FEDERAL PROG A ORIG ID:XXXXXX9951 DESC DATE:261109 CO ENTRY DESCR:HCCLAIMPMT SEC:CCD TRACE#:XXXXXXXX2589373 EED:261109 IND ID:</t>
        </is>
      </c>
      <c r="G1435" s="3" t="inlineStr">
        <is>
          <t>Service Income</t>
        </is>
      </c>
      <c r="H1435" s="3" t="inlineStr">
        <is>
          <t>Checking – Operating</t>
        </is>
      </c>
      <c r="I1435" s="33" t="n">
        <v>121878.88</v>
      </c>
      <c r="J1435" s="13">
        <f>+J1434+I1435</f>
        <v>2811696.74</v>
      </c>
      <c r="K1435" s="19">
        <f>+EOMONTH(B1435,0)</f>
        <v>46356</v>
      </c>
      <c r="L1435" s="3" t="inlineStr">
        <is>
          <t>Checking – Operating</t>
        </is>
      </c>
      <c r="M1435" s="3" t="inlineStr">
        <is>
          <t>Balance Sheet</t>
        </is>
      </c>
    </row>
    <row r="1436">
      <c r="B1436" s="39" t="n">
        <v>46335</v>
      </c>
      <c r="C1436" s="3" t="inlineStr">
        <is>
          <t>Deposit</t>
        </is>
      </c>
      <c r="D1436" s="3" t="inlineStr"/>
      <c r="E1436" s="3" t="inlineStr">
        <is>
          <t>Silvermoss Senior Living</t>
        </is>
      </c>
      <c r="F1436" s="3" t="inlineStr">
        <is>
          <t>ORIG CO NAME:SILVERMOSS SL ORIG ID:XXXXXX3895 DESC DATE:261109 CO ENTRY DESCR:HCCLAIMPMT SEC:CCD TRACE#:XXXXXXXX1892928 EED:261109 IND ID:</t>
        </is>
      </c>
      <c r="G1436" s="3" t="inlineStr">
        <is>
          <t>Service Income</t>
        </is>
      </c>
      <c r="H1436" s="3" t="inlineStr">
        <is>
          <t>Checking – Operating</t>
        </is>
      </c>
      <c r="I1436" s="33" t="n">
        <v>45637.11</v>
      </c>
      <c r="J1436" s="13">
        <f>+J1435+I1436</f>
        <v>2857333.85</v>
      </c>
      <c r="K1436" s="19">
        <f>+EOMONTH(B1436,0)</f>
        <v>46356</v>
      </c>
      <c r="L1436" s="3" t="inlineStr">
        <is>
          <t>Checking – Operating</t>
        </is>
      </c>
      <c r="M1436" s="3" t="inlineStr">
        <is>
          <t>Balance Sheet</t>
        </is>
      </c>
    </row>
    <row r="1437">
      <c r="B1437" s="39" t="n">
        <v>46336</v>
      </c>
      <c r="C1437" s="3" t="inlineStr">
        <is>
          <t>Bill Payment (Check)</t>
        </is>
      </c>
      <c r="D1437" s="3" t="inlineStr"/>
      <c r="E1437" s="3" t="inlineStr">
        <is>
          <t>Tarrowmere Mutual Insurance</t>
        </is>
      </c>
      <c r="F1437" s="3" t="inlineStr">
        <is>
          <t>Premium installment</t>
        </is>
      </c>
      <c r="G1437" s="3" t="inlineStr">
        <is>
          <t>Accounts Payable</t>
        </is>
      </c>
      <c r="H1437" s="3" t="inlineStr">
        <is>
          <t>Checking – Operating</t>
        </is>
      </c>
      <c r="I1437" s="33" t="n">
        <v>-6620.72</v>
      </c>
      <c r="J1437" s="13">
        <f>+J1436+I1437</f>
        <v>2850713.13</v>
      </c>
      <c r="K1437" s="19">
        <f>+EOMONTH(B1437,0)</f>
        <v>46356</v>
      </c>
      <c r="L1437" s="3" t="inlineStr">
        <is>
          <t>Checking – Operating</t>
        </is>
      </c>
      <c r="M1437" s="3" t="inlineStr">
        <is>
          <t>Balance Sheet</t>
        </is>
      </c>
    </row>
    <row r="1438">
      <c r="B1438" s="39" t="n">
        <v>46336</v>
      </c>
      <c r="C1438" s="3" t="inlineStr">
        <is>
          <t>Deposit</t>
        </is>
      </c>
      <c r="D1438" s="3" t="inlineStr"/>
      <c r="E1438" s="3" t="inlineStr">
        <is>
          <t>Lanternway Benefits</t>
        </is>
      </c>
      <c r="F1438" s="3" t="inlineStr">
        <is>
          <t>ORIG CO NAME:LANTERNWAY BEN ORIG ID:XXXXXX3713 DESC DATE:261110 CO ENTRY DESCR:HCCLAIMPMT SEC:CCD TRACE#:XXXXXXXX7309014 EED:261110 IND ID:</t>
        </is>
      </c>
      <c r="G1438" s="3" t="inlineStr">
        <is>
          <t>Service Income</t>
        </is>
      </c>
      <c r="H1438" s="3" t="inlineStr">
        <is>
          <t>Checking – Operating</t>
        </is>
      </c>
      <c r="I1438" s="33" t="n">
        <v>33577.77</v>
      </c>
      <c r="J1438" s="13">
        <f>+J1437+I1438</f>
        <v>2884290.9</v>
      </c>
      <c r="K1438" s="19">
        <f>+EOMONTH(B1438,0)</f>
        <v>46356</v>
      </c>
      <c r="L1438" s="3" t="inlineStr">
        <is>
          <t>Checking – Operating</t>
        </is>
      </c>
      <c r="M1438" s="3" t="inlineStr">
        <is>
          <t>Balance Sheet</t>
        </is>
      </c>
    </row>
    <row r="1439">
      <c r="B1439" s="39" t="n">
        <v>46336</v>
      </c>
      <c r="C1439" s="3" t="inlineStr">
        <is>
          <t>Expense</t>
        </is>
      </c>
      <c r="D1439" s="3" t="inlineStr"/>
      <c r="E1439" s="3" t="inlineStr">
        <is>
          <t>Ledgerquill Billing SaaS</t>
        </is>
      </c>
      <c r="F1439" s="3" t="inlineStr">
        <is>
          <t>Interface Service – November</t>
        </is>
      </c>
      <c r="G1439" s="3" t="inlineStr">
        <is>
          <t>Interface Service</t>
        </is>
      </c>
      <c r="H1439" s="3" t="inlineStr">
        <is>
          <t>Checking – Operating</t>
        </is>
      </c>
      <c r="I1439" s="33" t="n">
        <v>-2260.89</v>
      </c>
      <c r="J1439" s="13">
        <f>+J1438+I1439</f>
        <v>2882030.01</v>
      </c>
      <c r="K1439" s="19">
        <f>+EOMONTH(B1439,0)</f>
        <v>46356</v>
      </c>
      <c r="L1439" s="3" t="inlineStr">
        <is>
          <t>Checking – Operating</t>
        </is>
      </c>
      <c r="M1439" s="3" t="inlineStr">
        <is>
          <t>Balance Sheet</t>
        </is>
      </c>
    </row>
    <row r="1440">
      <c r="B1440" s="39" t="n">
        <v>46336</v>
      </c>
      <c r="C1440" s="3" t="inlineStr">
        <is>
          <t>Journal Entry</t>
        </is>
      </c>
      <c r="D1440" s="3" t="inlineStr"/>
      <c r="E1440" s="3" t="inlineStr">
        <is>
          <t>Lumenlease Equipment</t>
        </is>
      </c>
      <c r="F1440" s="3" t="inlineStr">
        <is>
          <t>Repairs and Maintenance – November</t>
        </is>
      </c>
      <c r="G1440" s="3" t="inlineStr">
        <is>
          <t>Repairs and Maintenance</t>
        </is>
      </c>
      <c r="H1440" s="3" t="inlineStr">
        <is>
          <t>Checking – Operating</t>
        </is>
      </c>
      <c r="I1440" s="33" t="n">
        <v>-2089.25</v>
      </c>
      <c r="J1440" s="13">
        <f>+J1439+I1440</f>
        <v>2879940.76</v>
      </c>
      <c r="K1440" s="19">
        <f>+EOMONTH(B1440,0)</f>
        <v>46356</v>
      </c>
      <c r="L1440" s="3" t="inlineStr">
        <is>
          <t>Checking – Operating</t>
        </is>
      </c>
      <c r="M1440" s="3" t="inlineStr">
        <is>
          <t>Balance Sheet</t>
        </is>
      </c>
    </row>
    <row r="1441">
      <c r="B1441" s="39" t="n">
        <v>46337</v>
      </c>
      <c r="C1441" s="3" t="inlineStr">
        <is>
          <t>Bill Payment (Check)</t>
        </is>
      </c>
      <c r="D1441" s="3" t="inlineStr"/>
      <c r="E1441" s="3" t="inlineStr">
        <is>
          <t>Reference Lab A</t>
        </is>
      </c>
      <c r="F1441" s="3" t="inlineStr">
        <is>
          <t>Send-out testing – October</t>
        </is>
      </c>
      <c r="G1441" s="3" t="inlineStr">
        <is>
          <t>Accounts Payable</t>
        </is>
      </c>
      <c r="H1441" s="3" t="inlineStr">
        <is>
          <t>Checking – Operating</t>
        </is>
      </c>
      <c r="I1441" s="33" t="n">
        <v>-21065.03</v>
      </c>
      <c r="J1441" s="13">
        <f>+J1440+I1441</f>
        <v>2858875.73</v>
      </c>
      <c r="K1441" s="19">
        <f>+EOMONTH(B1441,0)</f>
        <v>46356</v>
      </c>
      <c r="L1441" s="3" t="inlineStr">
        <is>
          <t>Checking – Operating</t>
        </is>
      </c>
      <c r="M1441" s="3" t="inlineStr">
        <is>
          <t>Balance Sheet</t>
        </is>
      </c>
    </row>
    <row r="1442">
      <c r="B1442" s="39" t="n">
        <v>46337</v>
      </c>
      <c r="C1442" s="3" t="inlineStr">
        <is>
          <t>Bill Payment (Check)</t>
        </is>
      </c>
      <c r="D1442" s="3" t="inlineStr"/>
      <c r="E1442" s="3" t="inlineStr">
        <is>
          <t>Halloway Ridge Realty (rent)</t>
        </is>
      </c>
      <c r="F1442" s="3" t="inlineStr">
        <is>
          <t>Rent – October</t>
        </is>
      </c>
      <c r="G1442" s="3" t="inlineStr">
        <is>
          <t>Accounts Payable</t>
        </is>
      </c>
      <c r="H1442" s="3" t="inlineStr">
        <is>
          <t>Checking – Operating</t>
        </is>
      </c>
      <c r="I1442" s="33" t="n">
        <v>-12718.39</v>
      </c>
      <c r="J1442" s="13">
        <f>+J1441+I1442</f>
        <v>2846157.34</v>
      </c>
      <c r="K1442" s="19">
        <f>+EOMONTH(B1442,0)</f>
        <v>46356</v>
      </c>
      <c r="L1442" s="3" t="inlineStr">
        <is>
          <t>Checking – Operating</t>
        </is>
      </c>
      <c r="M1442" s="3" t="inlineStr">
        <is>
          <t>Balance Sheet</t>
        </is>
      </c>
    </row>
    <row r="1443">
      <c r="B1443" s="39" t="n">
        <v>46337</v>
      </c>
      <c r="C1443" s="3" t="inlineStr">
        <is>
          <t>Credit Card Expense</t>
        </is>
      </c>
      <c r="D1443" s="3" t="inlineStr"/>
      <c r="E1443" s="3" t="inlineStr">
        <is>
          <t>Tessarand Payroll Services</t>
        </is>
      </c>
      <c r="F1443" s="3" t="inlineStr">
        <is>
          <t>Sales and Marketing Expenses – November</t>
        </is>
      </c>
      <c r="G1443" s="3" t="inlineStr">
        <is>
          <t>Sales and Marketing Expenses</t>
        </is>
      </c>
      <c r="H1443" s="3" t="inlineStr">
        <is>
          <t>Checking – Operating</t>
        </is>
      </c>
      <c r="I1443" s="33" t="n">
        <v>-13539.14</v>
      </c>
      <c r="J1443" s="13">
        <f>+J1442+I1443</f>
        <v>2832618.2</v>
      </c>
      <c r="K1443" s="19">
        <f>+EOMONTH(B1443,0)</f>
        <v>46356</v>
      </c>
      <c r="L1443" s="3" t="inlineStr">
        <is>
          <t>Checking – Operating</t>
        </is>
      </c>
      <c r="M1443" s="3" t="inlineStr">
        <is>
          <t>Balance Sheet</t>
        </is>
      </c>
    </row>
    <row r="1444">
      <c r="B1444" s="39" t="n">
        <v>46337</v>
      </c>
      <c r="C1444" s="3" t="inlineStr">
        <is>
          <t>Expense</t>
        </is>
      </c>
      <c r="D1444" s="3" t="inlineStr"/>
      <c r="E1444" s="3" t="inlineStr"/>
      <c r="F1444" s="3" t="inlineStr">
        <is>
          <t>Business Licenses and Permits – November</t>
        </is>
      </c>
      <c r="G1444" s="3" t="inlineStr">
        <is>
          <t>Business Licenses and Permits</t>
        </is>
      </c>
      <c r="H1444" s="3" t="inlineStr">
        <is>
          <t>Checking – Operating</t>
        </is>
      </c>
      <c r="I1444" s="33" t="n">
        <v>-1305.21</v>
      </c>
      <c r="J1444" s="13">
        <f>+J1443+I1444</f>
        <v>2831312.99</v>
      </c>
      <c r="K1444" s="19">
        <f>+EOMONTH(B1444,0)</f>
        <v>46356</v>
      </c>
      <c r="L1444" s="3" t="inlineStr">
        <is>
          <t>Checking – Operating</t>
        </is>
      </c>
      <c r="M1444" s="3" t="inlineStr">
        <is>
          <t>Balance Sheet</t>
        </is>
      </c>
    </row>
    <row r="1445">
      <c r="B1445" s="39" t="n">
        <v>46337</v>
      </c>
      <c r="C1445" s="3" t="inlineStr">
        <is>
          <t>Journal Entry</t>
        </is>
      </c>
      <c r="D1445" s="3" t="inlineStr"/>
      <c r="E1445" s="3" t="inlineStr"/>
      <c r="F1445" s="3" t="inlineStr">
        <is>
          <t>Bank service charges – November</t>
        </is>
      </c>
      <c r="G1445" s="3" t="inlineStr">
        <is>
          <t>Bank Fees</t>
        </is>
      </c>
      <c r="H1445" s="3" t="inlineStr">
        <is>
          <t>Checking – Operating</t>
        </is>
      </c>
      <c r="I1445" s="33" t="n">
        <v>-3418.78</v>
      </c>
      <c r="J1445" s="13">
        <f>+J1444+I1445</f>
        <v>2827894.21</v>
      </c>
      <c r="K1445" s="19">
        <f>+EOMONTH(B1445,0)</f>
        <v>46356</v>
      </c>
      <c r="L1445" s="3" t="inlineStr">
        <is>
          <t>Checking – Operating</t>
        </is>
      </c>
      <c r="M1445" s="3" t="inlineStr">
        <is>
          <t>Balance Sheet</t>
        </is>
      </c>
    </row>
    <row r="1446">
      <c r="B1446" s="39" t="n">
        <v>46337</v>
      </c>
      <c r="C1446" s="3" t="inlineStr">
        <is>
          <t>Journal Entry</t>
        </is>
      </c>
      <c r="D1446" s="3" t="inlineStr"/>
      <c r="E1446" s="3" t="inlineStr"/>
      <c r="F1446" s="3" t="inlineStr">
        <is>
          <t>Patient refund</t>
        </is>
      </c>
      <c r="G1446" s="3" t="inlineStr">
        <is>
          <t>Refunds</t>
        </is>
      </c>
      <c r="H1446" s="3" t="inlineStr">
        <is>
          <t>Checking – Operating</t>
        </is>
      </c>
      <c r="I1446" s="33" t="n">
        <v>-2933.04</v>
      </c>
      <c r="J1446" s="13">
        <f>+J1445+I1446</f>
        <v>2824961.17</v>
      </c>
      <c r="K1446" s="19">
        <f>+EOMONTH(B1446,0)</f>
        <v>46356</v>
      </c>
      <c r="L1446" s="3" t="inlineStr">
        <is>
          <t>Checking – Operating</t>
        </is>
      </c>
      <c r="M1446" s="3" t="inlineStr">
        <is>
          <t>Balance Sheet</t>
        </is>
      </c>
    </row>
    <row r="1447">
      <c r="B1447" s="39" t="n">
        <v>46338</v>
      </c>
      <c r="C1447" s="3" t="inlineStr">
        <is>
          <t>Bill Payment (Check)</t>
        </is>
      </c>
      <c r="D1447" s="3" t="inlineStr"/>
      <c r="E1447" s="3" t="inlineStr">
        <is>
          <t>Vialtrace Lab Supplies Inc</t>
        </is>
      </c>
      <c r="F1447" s="3" t="inlineStr">
        <is>
          <t>Lab supplies PO# F2630</t>
        </is>
      </c>
      <c r="G1447" s="3" t="inlineStr">
        <is>
          <t>Accounts Payable</t>
        </is>
      </c>
      <c r="H1447" s="3" t="inlineStr">
        <is>
          <t>Checking – Operating</t>
        </is>
      </c>
      <c r="I1447" s="33" t="n">
        <v>-32401.18</v>
      </c>
      <c r="J1447" s="13">
        <f>+J1446+I1447</f>
        <v>2792559.99</v>
      </c>
      <c r="K1447" s="19">
        <f>+EOMONTH(B1447,0)</f>
        <v>46356</v>
      </c>
      <c r="L1447" s="3" t="inlineStr">
        <is>
          <t>Checking – Operating</t>
        </is>
      </c>
      <c r="M1447" s="3" t="inlineStr">
        <is>
          <t>Balance Sheet</t>
        </is>
      </c>
    </row>
    <row r="1448">
      <c r="B1448" s="39" t="n">
        <v>46338</v>
      </c>
      <c r="C1448" s="3" t="inlineStr">
        <is>
          <t>Credit Card Expense</t>
        </is>
      </c>
      <c r="D1448" s="3" t="inlineStr"/>
      <c r="E1448" s="3" t="inlineStr">
        <is>
          <t>Consultant A</t>
        </is>
      </c>
      <c r="F1448" s="3" t="inlineStr">
        <is>
          <t>Accounting Service – November</t>
        </is>
      </c>
      <c r="G1448" s="3" t="inlineStr">
        <is>
          <t>Accounting Service</t>
        </is>
      </c>
      <c r="H1448" s="3" t="inlineStr">
        <is>
          <t>Checking – Operating</t>
        </is>
      </c>
      <c r="I1448" s="33" t="n">
        <v>-6099.68</v>
      </c>
      <c r="J1448" s="13">
        <f>+J1447+I1448</f>
        <v>2786460.31</v>
      </c>
      <c r="K1448" s="19">
        <f>+EOMONTH(B1448,0)</f>
        <v>46356</v>
      </c>
      <c r="L1448" s="3" t="inlineStr">
        <is>
          <t>Checking – Operating</t>
        </is>
      </c>
      <c r="M1448" s="3" t="inlineStr">
        <is>
          <t>Balance Sheet</t>
        </is>
      </c>
    </row>
    <row r="1449">
      <c r="B1449" s="39" t="n">
        <v>46338</v>
      </c>
      <c r="C1449" s="3" t="inlineStr">
        <is>
          <t>Credit Card Expense</t>
        </is>
      </c>
      <c r="D1449" s="3" t="inlineStr"/>
      <c r="E1449" s="3" t="inlineStr"/>
      <c r="F1449" s="3" t="inlineStr">
        <is>
          <t>Reimbursement – November</t>
        </is>
      </c>
      <c r="G1449" s="3" t="inlineStr">
        <is>
          <t>Reimbursement</t>
        </is>
      </c>
      <c r="H1449" s="3" t="inlineStr">
        <is>
          <t>Checking – Operating</t>
        </is>
      </c>
      <c r="I1449" s="33" t="n">
        <v>-2822.72</v>
      </c>
      <c r="J1449" s="13">
        <f>+J1448+I1449</f>
        <v>2783637.59</v>
      </c>
      <c r="K1449" s="19">
        <f>+EOMONTH(B1449,0)</f>
        <v>46356</v>
      </c>
      <c r="L1449" s="3" t="inlineStr">
        <is>
          <t>Checking – Operating</t>
        </is>
      </c>
      <c r="M1449" s="3" t="inlineStr">
        <is>
          <t>Balance Sheet</t>
        </is>
      </c>
    </row>
    <row r="1450">
      <c r="B1450" s="39" t="n">
        <v>46338</v>
      </c>
      <c r="C1450" s="3" t="inlineStr">
        <is>
          <t>Credit Card Expense</t>
        </is>
      </c>
      <c r="D1450" s="3" t="inlineStr"/>
      <c r="E1450" s="3" t="inlineStr"/>
      <c r="F1450" s="3" t="inlineStr">
        <is>
          <t>Automobile Expense – November</t>
        </is>
      </c>
      <c r="G1450" s="3" t="inlineStr">
        <is>
          <t>Automobile Expense</t>
        </is>
      </c>
      <c r="H1450" s="3" t="inlineStr">
        <is>
          <t>Checking – Operating</t>
        </is>
      </c>
      <c r="I1450" s="33" t="n">
        <v>-1134.25</v>
      </c>
      <c r="J1450" s="13">
        <f>+J1449+I1450</f>
        <v>2782503.34</v>
      </c>
      <c r="K1450" s="19">
        <f>+EOMONTH(B1450,0)</f>
        <v>46356</v>
      </c>
      <c r="L1450" s="3" t="inlineStr">
        <is>
          <t>Checking – Operating</t>
        </is>
      </c>
      <c r="M1450" s="3" t="inlineStr">
        <is>
          <t>Balance Sheet</t>
        </is>
      </c>
    </row>
    <row r="1451">
      <c r="B1451" s="39" t="n">
        <v>46338</v>
      </c>
      <c r="C1451" s="3" t="inlineStr">
        <is>
          <t>Expense</t>
        </is>
      </c>
      <c r="D1451" s="3" t="inlineStr"/>
      <c r="E1451" s="3" t="inlineStr"/>
      <c r="F1451" s="3" t="inlineStr">
        <is>
          <t>Meals and Entertainment – November</t>
        </is>
      </c>
      <c r="G1451" s="3" t="inlineStr">
        <is>
          <t>Meals and Entertainment</t>
        </is>
      </c>
      <c r="H1451" s="3" t="inlineStr">
        <is>
          <t>Checking – Operating</t>
        </is>
      </c>
      <c r="I1451" s="33" t="n">
        <v>-781.4400000000001</v>
      </c>
      <c r="J1451" s="13">
        <f>+J1450+I1451</f>
        <v>2781721.9</v>
      </c>
      <c r="K1451" s="19">
        <f>+EOMONTH(B1451,0)</f>
        <v>46356</v>
      </c>
      <c r="L1451" s="3" t="inlineStr">
        <is>
          <t>Checking – Operating</t>
        </is>
      </c>
      <c r="M1451" s="3" t="inlineStr">
        <is>
          <t>Balance Sheet</t>
        </is>
      </c>
    </row>
    <row r="1452">
      <c r="B1452" s="39" t="n">
        <v>46339</v>
      </c>
      <c r="C1452" s="3" t="inlineStr">
        <is>
          <t>Deposit</t>
        </is>
      </c>
      <c r="D1452" s="3" t="inlineStr"/>
      <c r="E1452" s="3" t="inlineStr">
        <is>
          <t>Silvermoss Senior Living</t>
        </is>
      </c>
      <c r="F1452" s="3" t="inlineStr">
        <is>
          <t>ORIG CO NAME:SILVERMOSS SL ORIG ID:XXXXXX4985 DESC DATE:261113 CO ENTRY DESCR:HCCLAIMPMT SEC:CCD TRACE#:XXXXXXXX1441261 EED:261113 IND ID:</t>
        </is>
      </c>
      <c r="G1452" s="3" t="inlineStr">
        <is>
          <t>Service Income</t>
        </is>
      </c>
      <c r="H1452" s="3" t="inlineStr">
        <is>
          <t>Checking – Operating</t>
        </is>
      </c>
      <c r="I1452" s="33" t="n">
        <v>23490.02</v>
      </c>
      <c r="J1452" s="13">
        <f>+J1451+I1452</f>
        <v>2805211.92</v>
      </c>
      <c r="K1452" s="19">
        <f>+EOMONTH(B1452,0)</f>
        <v>46356</v>
      </c>
      <c r="L1452" s="3" t="inlineStr">
        <is>
          <t>Checking – Operating</t>
        </is>
      </c>
      <c r="M1452" s="3" t="inlineStr">
        <is>
          <t>Balance Sheet</t>
        </is>
      </c>
    </row>
    <row r="1453">
      <c r="B1453" s="39" t="n">
        <v>46339</v>
      </c>
      <c r="C1453" s="3" t="inlineStr">
        <is>
          <t>Expense</t>
        </is>
      </c>
      <c r="D1453" s="3" t="inlineStr"/>
      <c r="E1453" s="3" t="inlineStr">
        <is>
          <t>Consultant A</t>
        </is>
      </c>
      <c r="F1453" s="3" t="inlineStr">
        <is>
          <t>Legal &amp; Professional Fees – November</t>
        </is>
      </c>
      <c r="G1453" s="3" t="inlineStr">
        <is>
          <t>Legal &amp; Professional Fees</t>
        </is>
      </c>
      <c r="H1453" s="3" t="inlineStr">
        <is>
          <t>Checking – Operating</t>
        </is>
      </c>
      <c r="I1453" s="33" t="n">
        <v>-1214.11</v>
      </c>
      <c r="J1453" s="13">
        <f>+J1452+I1453</f>
        <v>2803997.81</v>
      </c>
      <c r="K1453" s="19">
        <f>+EOMONTH(B1453,0)</f>
        <v>46356</v>
      </c>
      <c r="L1453" s="3" t="inlineStr">
        <is>
          <t>Checking – Operating</t>
        </is>
      </c>
      <c r="M1453" s="3" t="inlineStr">
        <is>
          <t>Balance Sheet</t>
        </is>
      </c>
    </row>
    <row r="1454">
      <c r="B1454" s="39" t="n">
        <v>46339</v>
      </c>
      <c r="C1454" s="3" t="inlineStr">
        <is>
          <t>Journal Entry</t>
        </is>
      </c>
      <c r="D1454" s="3" t="inlineStr"/>
      <c r="E1454" s="3" t="inlineStr">
        <is>
          <t>Swiftmere Courier</t>
        </is>
      </c>
      <c r="F1454" s="3" t="inlineStr">
        <is>
          <t>Postage and Delivery – November</t>
        </is>
      </c>
      <c r="G1454" s="3" t="inlineStr">
        <is>
          <t>Postage and Delivery</t>
        </is>
      </c>
      <c r="H1454" s="3" t="inlineStr">
        <is>
          <t>Checking – Operating</t>
        </is>
      </c>
      <c r="I1454" s="33" t="n">
        <v>-845.83</v>
      </c>
      <c r="J1454" s="13">
        <f>+J1453+I1454</f>
        <v>2803151.98</v>
      </c>
      <c r="K1454" s="19">
        <f>+EOMONTH(B1454,0)</f>
        <v>46356</v>
      </c>
      <c r="L1454" s="3" t="inlineStr">
        <is>
          <t>Checking – Operating</t>
        </is>
      </c>
      <c r="M1454" s="3" t="inlineStr">
        <is>
          <t>Balance Sheet</t>
        </is>
      </c>
    </row>
    <row r="1455">
      <c r="B1455" s="39" t="n">
        <v>46339</v>
      </c>
      <c r="C1455" s="3" t="inlineStr">
        <is>
          <t>Journal Entry</t>
        </is>
      </c>
      <c r="D1455" s="3" t="inlineStr"/>
      <c r="E1455" s="3" t="inlineStr">
        <is>
          <t>Reagentix Corp</t>
        </is>
      </c>
      <c r="F1455" s="3" t="inlineStr">
        <is>
          <t>QAQC – November</t>
        </is>
      </c>
      <c r="G1455" s="3" t="inlineStr">
        <is>
          <t>QAQC</t>
        </is>
      </c>
      <c r="H1455" s="3" t="inlineStr">
        <is>
          <t>Checking – Operating</t>
        </is>
      </c>
      <c r="I1455" s="33" t="n">
        <v>-2328.27</v>
      </c>
      <c r="J1455" s="13">
        <f>+J1454+I1455</f>
        <v>2800823.71</v>
      </c>
      <c r="K1455" s="19">
        <f>+EOMONTH(B1455,0)</f>
        <v>46356</v>
      </c>
      <c r="L1455" s="3" t="inlineStr">
        <is>
          <t>Checking – Operating</t>
        </is>
      </c>
      <c r="M1455" s="3" t="inlineStr">
        <is>
          <t>Balance Sheet</t>
        </is>
      </c>
    </row>
    <row r="1456">
      <c r="B1456" s="39" t="n">
        <v>46340</v>
      </c>
      <c r="C1456" s="3" t="inlineStr">
        <is>
          <t>Bill Payment (Check)</t>
        </is>
      </c>
      <c r="D1456" s="3" t="inlineStr"/>
      <c r="E1456" s="3" t="inlineStr">
        <is>
          <t>Tarrowmere Mutual Insurance</t>
        </is>
      </c>
      <c r="F1456" s="3" t="inlineStr">
        <is>
          <t>Premium installment</t>
        </is>
      </c>
      <c r="G1456" s="3" t="inlineStr">
        <is>
          <t>Accounts Payable</t>
        </is>
      </c>
      <c r="H1456" s="3" t="inlineStr">
        <is>
          <t>Checking – Operating</t>
        </is>
      </c>
      <c r="I1456" s="33" t="n">
        <v>-6255.32</v>
      </c>
      <c r="J1456" s="13">
        <f>+J1455+I1456</f>
        <v>2794568.39</v>
      </c>
      <c r="K1456" s="19">
        <f>+EOMONTH(B1456,0)</f>
        <v>46356</v>
      </c>
      <c r="L1456" s="3" t="inlineStr">
        <is>
          <t>Checking – Operating</t>
        </is>
      </c>
      <c r="M1456" s="3" t="inlineStr">
        <is>
          <t>Balance Sheet</t>
        </is>
      </c>
    </row>
    <row r="1457">
      <c r="B1457" s="39" t="n">
        <v>46340</v>
      </c>
      <c r="C1457" s="3" t="inlineStr">
        <is>
          <t>Bill Payment (Check)</t>
        </is>
      </c>
      <c r="D1457" s="3" t="inlineStr"/>
      <c r="E1457" s="3" t="inlineStr">
        <is>
          <t>Tarrowmere Mutual Insurance</t>
        </is>
      </c>
      <c r="F1457" s="3" t="inlineStr">
        <is>
          <t>Benefits – October</t>
        </is>
      </c>
      <c r="G1457" s="3" t="inlineStr">
        <is>
          <t>Accounts Payable</t>
        </is>
      </c>
      <c r="H1457" s="3" t="inlineStr">
        <is>
          <t>Checking – Operating</t>
        </is>
      </c>
      <c r="I1457" s="33" t="n">
        <v>-4315.8</v>
      </c>
      <c r="J1457" s="13">
        <f>+J1456+I1457</f>
        <v>2790252.59</v>
      </c>
      <c r="K1457" s="19">
        <f>+EOMONTH(B1457,0)</f>
        <v>46356</v>
      </c>
      <c r="L1457" s="3" t="inlineStr">
        <is>
          <t>Checking – Operating</t>
        </is>
      </c>
      <c r="M1457" s="3" t="inlineStr">
        <is>
          <t>Balance Sheet</t>
        </is>
      </c>
    </row>
    <row r="1458">
      <c r="B1458" s="39" t="n">
        <v>46340</v>
      </c>
      <c r="C1458" s="3" t="inlineStr">
        <is>
          <t>Credit Card Expense</t>
        </is>
      </c>
      <c r="D1458" s="3" t="inlineStr"/>
      <c r="E1458" s="3" t="inlineStr"/>
      <c r="F1458" s="3" t="inlineStr">
        <is>
          <t>Parking – November</t>
        </is>
      </c>
      <c r="G1458" s="3" t="inlineStr">
        <is>
          <t>Parking</t>
        </is>
      </c>
      <c r="H1458" s="3" t="inlineStr">
        <is>
          <t>Checking – Operating</t>
        </is>
      </c>
      <c r="I1458" s="33" t="n">
        <v>-908.66</v>
      </c>
      <c r="J1458" s="13">
        <f>+J1457+I1458</f>
        <v>2789343.93</v>
      </c>
      <c r="K1458" s="19">
        <f>+EOMONTH(B1458,0)</f>
        <v>46356</v>
      </c>
      <c r="L1458" s="3" t="inlineStr">
        <is>
          <t>Checking – Operating</t>
        </is>
      </c>
      <c r="M1458" s="3" t="inlineStr">
        <is>
          <t>Balance Sheet</t>
        </is>
      </c>
    </row>
    <row r="1459">
      <c r="B1459" s="39" t="n">
        <v>46341</v>
      </c>
      <c r="C1459" s="3" t="inlineStr">
        <is>
          <t>Bill Payment (Check)</t>
        </is>
      </c>
      <c r="D1459" s="3" t="inlineStr"/>
      <c r="E1459" s="3" t="inlineStr">
        <is>
          <t>Vialtrace Lab Supplies Inc</t>
        </is>
      </c>
      <c r="F1459" s="3" t="inlineStr">
        <is>
          <t>Lab Expenses – October</t>
        </is>
      </c>
      <c r="G1459" s="3" t="inlineStr">
        <is>
          <t>Accounts Payable</t>
        </is>
      </c>
      <c r="H1459" s="3" t="inlineStr">
        <is>
          <t>Checking – Operating</t>
        </is>
      </c>
      <c r="I1459" s="33" t="n">
        <v>-9027.120000000001</v>
      </c>
      <c r="J1459" s="13">
        <f>+J1458+I1459</f>
        <v>2780316.81</v>
      </c>
      <c r="K1459" s="19">
        <f>+EOMONTH(B1459,0)</f>
        <v>46356</v>
      </c>
      <c r="L1459" s="3" t="inlineStr">
        <is>
          <t>Checking – Operating</t>
        </is>
      </c>
      <c r="M1459" s="3" t="inlineStr">
        <is>
          <t>Balance Sheet</t>
        </is>
      </c>
    </row>
    <row r="1460">
      <c r="B1460" s="39" t="n">
        <v>46341</v>
      </c>
      <c r="C1460" s="3" t="inlineStr">
        <is>
          <t>Bill Payment (Check)</t>
        </is>
      </c>
      <c r="D1460" s="3" t="inlineStr"/>
      <c r="E1460" s="3" t="inlineStr">
        <is>
          <t>Lumenlease Equipment</t>
        </is>
      </c>
      <c r="F1460" s="3" t="inlineStr">
        <is>
          <t>Equipment Lease – October</t>
        </is>
      </c>
      <c r="G1460" s="3" t="inlineStr">
        <is>
          <t>Accounts Payable</t>
        </is>
      </c>
      <c r="H1460" s="3" t="inlineStr">
        <is>
          <t>Checking – Operating</t>
        </is>
      </c>
      <c r="I1460" s="33" t="n">
        <v>-7102.3</v>
      </c>
      <c r="J1460" s="13">
        <f>+J1459+I1460</f>
        <v>2773214.51</v>
      </c>
      <c r="K1460" s="19">
        <f>+EOMONTH(B1460,0)</f>
        <v>46356</v>
      </c>
      <c r="L1460" s="3" t="inlineStr">
        <is>
          <t>Checking – Operating</t>
        </is>
      </c>
      <c r="M1460" s="3" t="inlineStr">
        <is>
          <t>Balance Sheet</t>
        </is>
      </c>
    </row>
    <row r="1461">
      <c r="B1461" s="39" t="n">
        <v>46341</v>
      </c>
      <c r="C1461" s="3" t="inlineStr">
        <is>
          <t>Bill Payment (Check)</t>
        </is>
      </c>
      <c r="D1461" s="3" t="inlineStr"/>
      <c r="E1461" s="3" t="inlineStr">
        <is>
          <t>Halloway Ridge Realty (rent)</t>
        </is>
      </c>
      <c r="F1461" s="3" t="inlineStr">
        <is>
          <t>Rent – October</t>
        </is>
      </c>
      <c r="G1461" s="3" t="inlineStr">
        <is>
          <t>Accounts Payable</t>
        </is>
      </c>
      <c r="H1461" s="3" t="inlineStr">
        <is>
          <t>Checking – Operating</t>
        </is>
      </c>
      <c r="I1461" s="33" t="n">
        <v>-10941.39</v>
      </c>
      <c r="J1461" s="13">
        <f>+J1460+I1461</f>
        <v>2762273.12</v>
      </c>
      <c r="K1461" s="19">
        <f>+EOMONTH(B1461,0)</f>
        <v>46356</v>
      </c>
      <c r="L1461" s="3" t="inlineStr">
        <is>
          <t>Checking – Operating</t>
        </is>
      </c>
      <c r="M1461" s="3" t="inlineStr">
        <is>
          <t>Balance Sheet</t>
        </is>
      </c>
    </row>
    <row r="1462">
      <c r="B1462" s="39" t="n">
        <v>46341</v>
      </c>
      <c r="C1462" s="3" t="inlineStr">
        <is>
          <t>Expense</t>
        </is>
      </c>
      <c r="D1462" s="3" t="inlineStr"/>
      <c r="E1462" s="3" t="inlineStr">
        <is>
          <t>Union Utilities</t>
        </is>
      </c>
      <c r="F1462" s="3" t="inlineStr">
        <is>
          <t>Fax Service – November</t>
        </is>
      </c>
      <c r="G1462" s="3" t="inlineStr">
        <is>
          <t>Fax Service</t>
        </is>
      </c>
      <c r="H1462" s="3" t="inlineStr">
        <is>
          <t>Checking – Operating</t>
        </is>
      </c>
      <c r="I1462" s="33" t="n">
        <v>-1484.13</v>
      </c>
      <c r="J1462" s="13">
        <f>+J1461+I1462</f>
        <v>2760788.99</v>
      </c>
      <c r="K1462" s="19">
        <f>+EOMONTH(B1462,0)</f>
        <v>46356</v>
      </c>
      <c r="L1462" s="3" t="inlineStr">
        <is>
          <t>Checking – Operating</t>
        </is>
      </c>
      <c r="M1462" s="3" t="inlineStr">
        <is>
          <t>Balance Sheet</t>
        </is>
      </c>
    </row>
    <row r="1463">
      <c r="B1463" s="39" t="n">
        <v>46342</v>
      </c>
      <c r="C1463" s="3" t="inlineStr">
        <is>
          <t>Bill Payment (Check)</t>
        </is>
      </c>
      <c r="D1463" s="3" t="inlineStr"/>
      <c r="E1463" s="3" t="inlineStr">
        <is>
          <t>Halloway Ridge Realty (rent)</t>
        </is>
      </c>
      <c r="F1463" s="3" t="inlineStr">
        <is>
          <t>Rent – October</t>
        </is>
      </c>
      <c r="G1463" s="3" t="inlineStr">
        <is>
          <t>Accounts Payable</t>
        </is>
      </c>
      <c r="H1463" s="3" t="inlineStr">
        <is>
          <t>Checking – Operating</t>
        </is>
      </c>
      <c r="I1463" s="33" t="n">
        <v>-10048.35</v>
      </c>
      <c r="J1463" s="13">
        <f>+J1462+I1463</f>
        <v>2750740.64</v>
      </c>
      <c r="K1463" s="19">
        <f>+EOMONTH(B1463,0)</f>
        <v>46356</v>
      </c>
      <c r="L1463" s="3" t="inlineStr">
        <is>
          <t>Checking – Operating</t>
        </is>
      </c>
      <c r="M1463" s="3" t="inlineStr">
        <is>
          <t>Balance Sheet</t>
        </is>
      </c>
    </row>
    <row r="1464">
      <c r="B1464" s="39" t="n">
        <v>46342</v>
      </c>
      <c r="C1464" s="3" t="inlineStr">
        <is>
          <t>Credit Card Expense</t>
        </is>
      </c>
      <c r="D1464" s="3" t="inlineStr"/>
      <c r="E1464" s="3" t="inlineStr">
        <is>
          <t>Ledgerquill Billing SaaS</t>
        </is>
      </c>
      <c r="F1464" s="3" t="inlineStr">
        <is>
          <t>Lab EMR Service – November</t>
        </is>
      </c>
      <c r="G1464" s="3" t="inlineStr">
        <is>
          <t>Lab EMR Service</t>
        </is>
      </c>
      <c r="H1464" s="3" t="inlineStr">
        <is>
          <t>Checking – Operating</t>
        </is>
      </c>
      <c r="I1464" s="33" t="n">
        <v>-7131.9</v>
      </c>
      <c r="J1464" s="13">
        <f>+J1463+I1464</f>
        <v>2743608.74</v>
      </c>
      <c r="K1464" s="19">
        <f>+EOMONTH(B1464,0)</f>
        <v>46356</v>
      </c>
      <c r="L1464" s="3" t="inlineStr">
        <is>
          <t>Checking – Operating</t>
        </is>
      </c>
      <c r="M1464" s="3" t="inlineStr">
        <is>
          <t>Balance Sheet</t>
        </is>
      </c>
    </row>
    <row r="1465">
      <c r="B1465" s="39" t="n">
        <v>46342</v>
      </c>
      <c r="C1465" s="3" t="inlineStr">
        <is>
          <t>Deposit</t>
        </is>
      </c>
      <c r="D1465" s="3" t="inlineStr"/>
      <c r="E1465" s="3" t="inlineStr">
        <is>
          <t>Quayside Choice Senior Plan</t>
        </is>
      </c>
      <c r="F1465" s="3" t="inlineStr">
        <is>
          <t>ORIG CO NAME:QUAYSIDE CHOICE SP ORIG ID:XXXXXX2851 DESC DATE:261116 CO ENTRY DESCR:HCCLAIMPMT SEC:CCD TRACE#:XXXXXXXX8296704 EED:261116 IND ID:</t>
        </is>
      </c>
      <c r="G1465" s="3" t="inlineStr">
        <is>
          <t>Service Income</t>
        </is>
      </c>
      <c r="H1465" s="3" t="inlineStr">
        <is>
          <t>Checking – Operating</t>
        </is>
      </c>
      <c r="I1465" s="33" t="n">
        <v>59980.33</v>
      </c>
      <c r="J1465" s="13">
        <f>+J1464+I1465</f>
        <v>2803589.07</v>
      </c>
      <c r="K1465" s="19">
        <f>+EOMONTH(B1465,0)</f>
        <v>46356</v>
      </c>
      <c r="L1465" s="3" t="inlineStr">
        <is>
          <t>Checking – Operating</t>
        </is>
      </c>
      <c r="M1465" s="3" t="inlineStr">
        <is>
          <t>Balance Sheet</t>
        </is>
      </c>
    </row>
    <row r="1466">
      <c r="B1466" s="39" t="n">
        <v>46342</v>
      </c>
      <c r="C1466" s="3" t="inlineStr">
        <is>
          <t>Expense</t>
        </is>
      </c>
      <c r="D1466" s="3" t="inlineStr"/>
      <c r="E1466" s="3" t="inlineStr">
        <is>
          <t>Consultant A</t>
        </is>
      </c>
      <c r="F1466" s="3" t="inlineStr">
        <is>
          <t>Legal &amp; Professional Fees – November</t>
        </is>
      </c>
      <c r="G1466" s="3" t="inlineStr">
        <is>
          <t>Legal &amp; Professional Fees</t>
        </is>
      </c>
      <c r="H1466" s="3" t="inlineStr">
        <is>
          <t>Checking – Operating</t>
        </is>
      </c>
      <c r="I1466" s="33" t="n">
        <v>-1225.76</v>
      </c>
      <c r="J1466" s="13">
        <f>+J1465+I1466</f>
        <v>2802363.31</v>
      </c>
      <c r="K1466" s="19">
        <f>+EOMONTH(B1466,0)</f>
        <v>46356</v>
      </c>
      <c r="L1466" s="3" t="inlineStr">
        <is>
          <t>Checking – Operating</t>
        </is>
      </c>
      <c r="M1466" s="3" t="inlineStr">
        <is>
          <t>Balance Sheet</t>
        </is>
      </c>
    </row>
    <row r="1467">
      <c r="B1467" s="39" t="n">
        <v>46342</v>
      </c>
      <c r="C1467" s="3" t="inlineStr">
        <is>
          <t>Expense</t>
        </is>
      </c>
      <c r="D1467" s="3" t="inlineStr"/>
      <c r="E1467" s="3" t="inlineStr">
        <is>
          <t>Consultant A</t>
        </is>
      </c>
      <c r="F1467" s="3" t="inlineStr">
        <is>
          <t>Professional Fees – November</t>
        </is>
      </c>
      <c r="G1467" s="3" t="inlineStr">
        <is>
          <t>Professional Fees</t>
        </is>
      </c>
      <c r="H1467" s="3" t="inlineStr">
        <is>
          <t>Checking – Operating</t>
        </is>
      </c>
      <c r="I1467" s="33" t="n">
        <v>-6034.04</v>
      </c>
      <c r="J1467" s="13">
        <f>+J1466+I1467</f>
        <v>2796329.27</v>
      </c>
      <c r="K1467" s="19">
        <f>+EOMONTH(B1467,0)</f>
        <v>46356</v>
      </c>
      <c r="L1467" s="3" t="inlineStr">
        <is>
          <t>Checking – Operating</t>
        </is>
      </c>
      <c r="M1467" s="3" t="inlineStr">
        <is>
          <t>Balance Sheet</t>
        </is>
      </c>
    </row>
    <row r="1468">
      <c r="B1468" s="39" t="n">
        <v>46342</v>
      </c>
      <c r="C1468" s="3" t="inlineStr">
        <is>
          <t>Journal Entry</t>
        </is>
      </c>
      <c r="D1468" s="3" t="inlineStr"/>
      <c r="E1468" s="3" t="inlineStr"/>
      <c r="F1468" s="3" t="inlineStr">
        <is>
          <t>Meals and Entertainment – November</t>
        </is>
      </c>
      <c r="G1468" s="3" t="inlineStr">
        <is>
          <t>Meals and Entertainment</t>
        </is>
      </c>
      <c r="H1468" s="3" t="inlineStr">
        <is>
          <t>Checking – Operating</t>
        </is>
      </c>
      <c r="I1468" s="33" t="n">
        <v>-732.26</v>
      </c>
      <c r="J1468" s="13">
        <f>+J1467+I1468</f>
        <v>2795597.01</v>
      </c>
      <c r="K1468" s="19">
        <f>+EOMONTH(B1468,0)</f>
        <v>46356</v>
      </c>
      <c r="L1468" s="3" t="inlineStr">
        <is>
          <t>Checking – Operating</t>
        </is>
      </c>
      <c r="M1468" s="3" t="inlineStr">
        <is>
          <t>Balance Sheet</t>
        </is>
      </c>
    </row>
    <row r="1469">
      <c r="B1469" s="39" t="n">
        <v>46343</v>
      </c>
      <c r="C1469" s="3" t="inlineStr">
        <is>
          <t>Deposit</t>
        </is>
      </c>
      <c r="D1469" s="3" t="inlineStr"/>
      <c r="E1469" s="3" t="inlineStr">
        <is>
          <t>Cobaltmere Health</t>
        </is>
      </c>
      <c r="F1469" s="3" t="inlineStr">
        <is>
          <t>ORIG CO NAME:COBALTMERE HEALTH ORIG ID:XXXXXX5435 DESC DATE:261117 CO ENTRY DESCR:HCCLAIMPMT SEC:CCD TRACE#:XXXXXXXX9095155 EED:261117 IND ID:</t>
        </is>
      </c>
      <c r="G1469" s="3" t="inlineStr">
        <is>
          <t>Service Income</t>
        </is>
      </c>
      <c r="H1469" s="3" t="inlineStr">
        <is>
          <t>Checking – Operating</t>
        </is>
      </c>
      <c r="I1469" s="33" t="n">
        <v>23048.94</v>
      </c>
      <c r="J1469" s="13">
        <f>+J1468+I1469</f>
        <v>2818645.95</v>
      </c>
      <c r="K1469" s="19">
        <f>+EOMONTH(B1469,0)</f>
        <v>46356</v>
      </c>
      <c r="L1469" s="3" t="inlineStr">
        <is>
          <t>Checking – Operating</t>
        </is>
      </c>
      <c r="M1469" s="3" t="inlineStr">
        <is>
          <t>Balance Sheet</t>
        </is>
      </c>
    </row>
    <row r="1470">
      <c r="B1470" s="39" t="n">
        <v>46343</v>
      </c>
      <c r="C1470" s="3" t="inlineStr">
        <is>
          <t>Expense</t>
        </is>
      </c>
      <c r="D1470" s="3" t="inlineStr"/>
      <c r="E1470" s="3" t="inlineStr">
        <is>
          <t>Tessarand Payroll Services</t>
        </is>
      </c>
      <c r="F1470" s="3" t="inlineStr">
        <is>
          <t>Contractors – November</t>
        </is>
      </c>
      <c r="G1470" s="3" t="inlineStr">
        <is>
          <t>Contractors</t>
        </is>
      </c>
      <c r="H1470" s="3" t="inlineStr">
        <is>
          <t>Checking – Operating</t>
        </is>
      </c>
      <c r="I1470" s="33" t="n">
        <v>-7785.24</v>
      </c>
      <c r="J1470" s="13">
        <f>+J1469+I1470</f>
        <v>2810860.71</v>
      </c>
      <c r="K1470" s="19">
        <f>+EOMONTH(B1470,0)</f>
        <v>46356</v>
      </c>
      <c r="L1470" s="3" t="inlineStr">
        <is>
          <t>Checking – Operating</t>
        </is>
      </c>
      <c r="M1470" s="3" t="inlineStr">
        <is>
          <t>Balance Sheet</t>
        </is>
      </c>
    </row>
    <row r="1471">
      <c r="B1471" s="39" t="n">
        <v>46344</v>
      </c>
      <c r="C1471" s="3" t="inlineStr">
        <is>
          <t>Expense</t>
        </is>
      </c>
      <c r="D1471" s="3" t="inlineStr"/>
      <c r="E1471" s="3" t="inlineStr"/>
      <c r="F1471" s="3" t="inlineStr">
        <is>
          <t>Lab Credentialing – November</t>
        </is>
      </c>
      <c r="G1471" s="3" t="inlineStr">
        <is>
          <t>Lab Credentialing</t>
        </is>
      </c>
      <c r="H1471" s="3" t="inlineStr">
        <is>
          <t>Checking – Operating</t>
        </is>
      </c>
      <c r="I1471" s="33" t="n">
        <v>-1059.92</v>
      </c>
      <c r="J1471" s="13">
        <f>+J1470+I1471</f>
        <v>2809800.79</v>
      </c>
      <c r="K1471" s="19">
        <f>+EOMONTH(B1471,0)</f>
        <v>46356</v>
      </c>
      <c r="L1471" s="3" t="inlineStr">
        <is>
          <t>Checking – Operating</t>
        </is>
      </c>
      <c r="M1471" s="3" t="inlineStr">
        <is>
          <t>Balance Sheet</t>
        </is>
      </c>
    </row>
    <row r="1472">
      <c r="B1472" s="39" t="n">
        <v>46344</v>
      </c>
      <c r="C1472" s="3" t="inlineStr">
        <is>
          <t>Expense</t>
        </is>
      </c>
      <c r="D1472" s="3" t="inlineStr"/>
      <c r="E1472" s="3" t="inlineStr"/>
      <c r="F1472" s="3" t="inlineStr">
        <is>
          <t>Patient refund</t>
        </is>
      </c>
      <c r="G1472" s="3" t="inlineStr">
        <is>
          <t>Refunds</t>
        </is>
      </c>
      <c r="H1472" s="3" t="inlineStr">
        <is>
          <t>Checking – Operating</t>
        </is>
      </c>
      <c r="I1472" s="33" t="n">
        <v>-3728.17</v>
      </c>
      <c r="J1472" s="13">
        <f>+J1471+I1472</f>
        <v>2806072.62</v>
      </c>
      <c r="K1472" s="19">
        <f>+EOMONTH(B1472,0)</f>
        <v>46356</v>
      </c>
      <c r="L1472" s="3" t="inlineStr">
        <is>
          <t>Checking – Operating</t>
        </is>
      </c>
      <c r="M1472" s="3" t="inlineStr">
        <is>
          <t>Balance Sheet</t>
        </is>
      </c>
    </row>
    <row r="1473">
      <c r="B1473" s="39" t="n">
        <v>46344</v>
      </c>
      <c r="C1473" s="3" t="inlineStr">
        <is>
          <t>Payroll Check</t>
        </is>
      </c>
      <c r="D1473" s="3" t="inlineStr"/>
      <c r="E1473" s="3" t="inlineStr">
        <is>
          <t>Tessarand Payroll Services</t>
        </is>
      </c>
      <c r="F1473" s="3" t="inlineStr">
        <is>
          <t>Payroll processing fee</t>
        </is>
      </c>
      <c r="G1473" s="3" t="inlineStr">
        <is>
          <t>Payroll Processing Fee</t>
        </is>
      </c>
      <c r="H1473" s="3" t="inlineStr">
        <is>
          <t>Checking – Operating</t>
        </is>
      </c>
      <c r="I1473" s="33" t="n">
        <v>-112.59</v>
      </c>
      <c r="J1473" s="13">
        <f>+J1472+I1473</f>
        <v>2805960.03</v>
      </c>
      <c r="K1473" s="19">
        <f>+EOMONTH(B1473,0)</f>
        <v>46356</v>
      </c>
      <c r="L1473" s="3" t="inlineStr">
        <is>
          <t>Checking – Operating</t>
        </is>
      </c>
      <c r="M1473" s="3" t="inlineStr">
        <is>
          <t>Balance Sheet</t>
        </is>
      </c>
    </row>
    <row r="1474">
      <c r="B1474" s="39" t="n">
        <v>46345</v>
      </c>
      <c r="C1474" s="3" t="inlineStr">
        <is>
          <t>Bill Payment (Check)</t>
        </is>
      </c>
      <c r="D1474" s="3" t="inlineStr"/>
      <c r="E1474" s="3" t="inlineStr">
        <is>
          <t>Vialtrace Lab Supplies Inc</t>
        </is>
      </c>
      <c r="F1474" s="3" t="inlineStr">
        <is>
          <t>Lab supplies PO# F2444</t>
        </is>
      </c>
      <c r="G1474" s="3" t="inlineStr">
        <is>
          <t>Accounts Payable</t>
        </is>
      </c>
      <c r="H1474" s="3" t="inlineStr">
        <is>
          <t>Checking – Operating</t>
        </is>
      </c>
      <c r="I1474" s="33" t="n">
        <v>-27020.96</v>
      </c>
      <c r="J1474" s="13">
        <f>+J1473+I1474</f>
        <v>2778939.07</v>
      </c>
      <c r="K1474" s="19">
        <f>+EOMONTH(B1474,0)</f>
        <v>46356</v>
      </c>
      <c r="L1474" s="3" t="inlineStr">
        <is>
          <t>Checking – Operating</t>
        </is>
      </c>
      <c r="M1474" s="3" t="inlineStr">
        <is>
          <t>Balance Sheet</t>
        </is>
      </c>
    </row>
    <row r="1475">
      <c r="B1475" s="39" t="n">
        <v>46345</v>
      </c>
      <c r="C1475" s="3" t="inlineStr">
        <is>
          <t>Bill Payment (Check)</t>
        </is>
      </c>
      <c r="D1475" s="3" t="inlineStr"/>
      <c r="E1475" s="3" t="inlineStr">
        <is>
          <t>Lumenlease Equipment</t>
        </is>
      </c>
      <c r="F1475" s="3" t="inlineStr">
        <is>
          <t>Lab Equipment – October</t>
        </is>
      </c>
      <c r="G1475" s="3" t="inlineStr">
        <is>
          <t>Accounts Payable</t>
        </is>
      </c>
      <c r="H1475" s="3" t="inlineStr">
        <is>
          <t>Checking – Operating</t>
        </is>
      </c>
      <c r="I1475" s="33" t="n">
        <v>-2979.35</v>
      </c>
      <c r="J1475" s="13">
        <f>+J1474+I1475</f>
        <v>2775959.72</v>
      </c>
      <c r="K1475" s="19">
        <f>+EOMONTH(B1475,0)</f>
        <v>46356</v>
      </c>
      <c r="L1475" s="3" t="inlineStr">
        <is>
          <t>Checking – Operating</t>
        </is>
      </c>
      <c r="M1475" s="3" t="inlineStr">
        <is>
          <t>Balance Sheet</t>
        </is>
      </c>
    </row>
    <row r="1476">
      <c r="B1476" s="39" t="n">
        <v>46345</v>
      </c>
      <c r="C1476" s="3" t="inlineStr">
        <is>
          <t>Bill Payment (Check)</t>
        </is>
      </c>
      <c r="D1476" s="3" t="inlineStr"/>
      <c r="E1476" s="3" t="inlineStr">
        <is>
          <t>Halloway Ridge Realty (rent)</t>
        </is>
      </c>
      <c r="F1476" s="3" t="inlineStr">
        <is>
          <t>Rent – October</t>
        </is>
      </c>
      <c r="G1476" s="3" t="inlineStr">
        <is>
          <t>Accounts Payable</t>
        </is>
      </c>
      <c r="H1476" s="3" t="inlineStr">
        <is>
          <t>Checking – Operating</t>
        </is>
      </c>
      <c r="I1476" s="33" t="n">
        <v>-10034.77</v>
      </c>
      <c r="J1476" s="13">
        <f>+J1475+I1476</f>
        <v>2765924.95</v>
      </c>
      <c r="K1476" s="19">
        <f>+EOMONTH(B1476,0)</f>
        <v>46356</v>
      </c>
      <c r="L1476" s="3" t="inlineStr">
        <is>
          <t>Checking – Operating</t>
        </is>
      </c>
      <c r="M1476" s="3" t="inlineStr">
        <is>
          <t>Balance Sheet</t>
        </is>
      </c>
    </row>
    <row r="1477">
      <c r="B1477" s="39" t="n">
        <v>46345</v>
      </c>
      <c r="C1477" s="3" t="inlineStr">
        <is>
          <t>Bill Payment (Check)</t>
        </is>
      </c>
      <c r="D1477" s="3" t="inlineStr"/>
      <c r="E1477" s="3" t="inlineStr">
        <is>
          <t>Halloway Ridge Realty (rent)</t>
        </is>
      </c>
      <c r="F1477" s="3" t="inlineStr">
        <is>
          <t>Rent – November</t>
        </is>
      </c>
      <c r="G1477" s="3" t="inlineStr">
        <is>
          <t>Accounts Payable</t>
        </is>
      </c>
      <c r="H1477" s="3" t="inlineStr">
        <is>
          <t>Checking – Operating</t>
        </is>
      </c>
      <c r="I1477" s="33" t="n">
        <v>-10289.73</v>
      </c>
      <c r="J1477" s="13">
        <f>+J1476+I1477</f>
        <v>2755635.22</v>
      </c>
      <c r="K1477" s="19">
        <f>+EOMONTH(B1477,0)</f>
        <v>46356</v>
      </c>
      <c r="L1477" s="3" t="inlineStr">
        <is>
          <t>Checking – Operating</t>
        </is>
      </c>
      <c r="M1477" s="3" t="inlineStr">
        <is>
          <t>Balance Sheet</t>
        </is>
      </c>
    </row>
    <row r="1478">
      <c r="B1478" s="39" t="n">
        <v>46345</v>
      </c>
      <c r="C1478" s="3" t="inlineStr">
        <is>
          <t>Bill Payment (Check)</t>
        </is>
      </c>
      <c r="D1478" s="3" t="inlineStr"/>
      <c r="E1478" s="3" t="inlineStr">
        <is>
          <t>Ledgerquill Billing SaaS</t>
        </is>
      </c>
      <c r="F1478" s="3" t="inlineStr">
        <is>
          <t>Billing Software as a Service – October</t>
        </is>
      </c>
      <c r="G1478" s="3" t="inlineStr">
        <is>
          <t>Accounts Payable</t>
        </is>
      </c>
      <c r="H1478" s="3" t="inlineStr">
        <is>
          <t>Checking – Operating</t>
        </is>
      </c>
      <c r="I1478" s="33" t="n">
        <v>-26598.95</v>
      </c>
      <c r="J1478" s="13">
        <f>+J1477+I1478</f>
        <v>2729036.27</v>
      </c>
      <c r="K1478" s="19">
        <f>+EOMONTH(B1478,0)</f>
        <v>46356</v>
      </c>
      <c r="L1478" s="3" t="inlineStr">
        <is>
          <t>Checking – Operating</t>
        </is>
      </c>
      <c r="M1478" s="3" t="inlineStr">
        <is>
          <t>Balance Sheet</t>
        </is>
      </c>
    </row>
    <row r="1479">
      <c r="B1479" s="39" t="n">
        <v>46345</v>
      </c>
      <c r="C1479" s="3" t="inlineStr">
        <is>
          <t>Deposit</t>
        </is>
      </c>
      <c r="D1479" s="3" t="inlineStr"/>
      <c r="E1479" s="3" t="inlineStr">
        <is>
          <t>Marrowby Mutual</t>
        </is>
      </c>
      <c r="F1479" s="3" t="inlineStr">
        <is>
          <t>ORIG CO NAME:MARROWBY MUTUAL ORIG ID:XXXXXX5062 DESC DATE:261119 CO ENTRY DESCR:HCCLAIMPMT SEC:CCD TRACE#:XXXXXXXX5074116 EED:261119 IND ID:</t>
        </is>
      </c>
      <c r="G1479" s="3" t="inlineStr">
        <is>
          <t>Service Income</t>
        </is>
      </c>
      <c r="H1479" s="3" t="inlineStr">
        <is>
          <t>Checking – Operating</t>
        </is>
      </c>
      <c r="I1479" s="33" t="n">
        <v>54994.46</v>
      </c>
      <c r="J1479" s="13">
        <f>+J1478+I1479</f>
        <v>2784030.73</v>
      </c>
      <c r="K1479" s="19">
        <f>+EOMONTH(B1479,0)</f>
        <v>46356</v>
      </c>
      <c r="L1479" s="3" t="inlineStr">
        <is>
          <t>Checking – Operating</t>
        </is>
      </c>
      <c r="M1479" s="3" t="inlineStr">
        <is>
          <t>Balance Sheet</t>
        </is>
      </c>
    </row>
    <row r="1480">
      <c r="B1480" s="39" t="n">
        <v>46345</v>
      </c>
      <c r="C1480" s="3" t="inlineStr">
        <is>
          <t>Journal Entry</t>
        </is>
      </c>
      <c r="D1480" s="3" t="inlineStr"/>
      <c r="E1480" s="3" t="inlineStr"/>
      <c r="F1480" s="3" t="inlineStr">
        <is>
          <t>Patient refund</t>
        </is>
      </c>
      <c r="G1480" s="3" t="inlineStr">
        <is>
          <t>Refunds</t>
        </is>
      </c>
      <c r="H1480" s="3" t="inlineStr">
        <is>
          <t>Checking – Operating</t>
        </is>
      </c>
      <c r="I1480" s="33" t="n">
        <v>-2173.35</v>
      </c>
      <c r="J1480" s="13">
        <f>+J1479+I1480</f>
        <v>2781857.38</v>
      </c>
      <c r="K1480" s="19">
        <f>+EOMONTH(B1480,0)</f>
        <v>46356</v>
      </c>
      <c r="L1480" s="3" t="inlineStr">
        <is>
          <t>Checking – Operating</t>
        </is>
      </c>
      <c r="M1480" s="3" t="inlineStr">
        <is>
          <t>Balance Sheet</t>
        </is>
      </c>
    </row>
    <row r="1481">
      <c r="B1481" s="39" t="n">
        <v>46345</v>
      </c>
      <c r="C1481" s="3" t="inlineStr">
        <is>
          <t>Payroll Check</t>
        </is>
      </c>
      <c r="D1481" s="3" t="inlineStr"/>
      <c r="E1481" s="3" t="inlineStr">
        <is>
          <t>Tessarand Payroll Services</t>
        </is>
      </c>
      <c r="F1481" s="3" t="inlineStr">
        <is>
          <t>Payroll – biweekly</t>
        </is>
      </c>
      <c r="G1481" s="3" t="inlineStr">
        <is>
          <t>Salaries and Wages</t>
        </is>
      </c>
      <c r="H1481" s="3" t="inlineStr">
        <is>
          <t>Checking – Operating</t>
        </is>
      </c>
      <c r="I1481" s="33" t="n">
        <v>-187955.18</v>
      </c>
      <c r="J1481" s="13">
        <f>+J1480+I1481</f>
        <v>2593902.2</v>
      </c>
      <c r="K1481" s="19">
        <f>+EOMONTH(B1481,0)</f>
        <v>46356</v>
      </c>
      <c r="L1481" s="3" t="inlineStr">
        <is>
          <t>Checking – Operating</t>
        </is>
      </c>
      <c r="M1481" s="3" t="inlineStr">
        <is>
          <t>Balance Sheet</t>
        </is>
      </c>
    </row>
    <row r="1482">
      <c r="B1482" s="39" t="n">
        <v>46346</v>
      </c>
      <c r="C1482" s="3" t="inlineStr">
        <is>
          <t>Bill Payment (Check)</t>
        </is>
      </c>
      <c r="D1482" s="3" t="inlineStr"/>
      <c r="E1482" s="3" t="inlineStr">
        <is>
          <t>Vialtrace Lab Supplies Inc</t>
        </is>
      </c>
      <c r="F1482" s="3" t="inlineStr">
        <is>
          <t>Lab supplies PO# F2626</t>
        </is>
      </c>
      <c r="G1482" s="3" t="inlineStr">
        <is>
          <t>Accounts Payable</t>
        </is>
      </c>
      <c r="H1482" s="3" t="inlineStr">
        <is>
          <t>Checking – Operating</t>
        </is>
      </c>
      <c r="I1482" s="33" t="n">
        <v>-15594.02</v>
      </c>
      <c r="J1482" s="13">
        <f>+J1481+I1482</f>
        <v>2578308.18</v>
      </c>
      <c r="K1482" s="19">
        <f>+EOMONTH(B1482,0)</f>
        <v>46356</v>
      </c>
      <c r="L1482" s="3" t="inlineStr">
        <is>
          <t>Checking – Operating</t>
        </is>
      </c>
      <c r="M1482" s="3" t="inlineStr">
        <is>
          <t>Balance Sheet</t>
        </is>
      </c>
    </row>
    <row r="1483">
      <c r="B1483" s="39" t="n">
        <v>46346</v>
      </c>
      <c r="C1483" s="3" t="inlineStr">
        <is>
          <t>Bill Payment (Check)</t>
        </is>
      </c>
      <c r="D1483" s="3" t="inlineStr"/>
      <c r="E1483" s="3" t="inlineStr">
        <is>
          <t>Reference Lab A</t>
        </is>
      </c>
      <c r="F1483" s="3" t="inlineStr">
        <is>
          <t>Send-out testing – November</t>
        </is>
      </c>
      <c r="G1483" s="3" t="inlineStr">
        <is>
          <t>Accounts Payable</t>
        </is>
      </c>
      <c r="H1483" s="3" t="inlineStr">
        <is>
          <t>Checking – Operating</t>
        </is>
      </c>
      <c r="I1483" s="33" t="n">
        <v>-15885.3</v>
      </c>
      <c r="J1483" s="13">
        <f>+J1482+I1483</f>
        <v>2562422.88</v>
      </c>
      <c r="K1483" s="19">
        <f>+EOMONTH(B1483,0)</f>
        <v>46356</v>
      </c>
      <c r="L1483" s="3" t="inlineStr">
        <is>
          <t>Checking – Operating</t>
        </is>
      </c>
      <c r="M1483" s="3" t="inlineStr">
        <is>
          <t>Balance Sheet</t>
        </is>
      </c>
    </row>
    <row r="1484">
      <c r="B1484" s="39" t="n">
        <v>46346</v>
      </c>
      <c r="C1484" s="3" t="inlineStr">
        <is>
          <t>Bill Payment (Check)</t>
        </is>
      </c>
      <c r="D1484" s="3" t="inlineStr"/>
      <c r="E1484" s="3" t="inlineStr">
        <is>
          <t>Reagentix Corp</t>
        </is>
      </c>
      <c r="F1484" s="3" t="inlineStr">
        <is>
          <t>Lab supplies PO# F2836</t>
        </is>
      </c>
      <c r="G1484" s="3" t="inlineStr">
        <is>
          <t>Accounts Payable</t>
        </is>
      </c>
      <c r="H1484" s="3" t="inlineStr">
        <is>
          <t>Checking – Operating</t>
        </is>
      </c>
      <c r="I1484" s="33" t="n">
        <v>-13950.87</v>
      </c>
      <c r="J1484" s="13">
        <f>+J1483+I1484</f>
        <v>2548472.01</v>
      </c>
      <c r="K1484" s="19">
        <f>+EOMONTH(B1484,0)</f>
        <v>46356</v>
      </c>
      <c r="L1484" s="3" t="inlineStr">
        <is>
          <t>Checking – Operating</t>
        </is>
      </c>
      <c r="M1484" s="3" t="inlineStr">
        <is>
          <t>Balance Sheet</t>
        </is>
      </c>
    </row>
    <row r="1485">
      <c r="B1485" s="39" t="n">
        <v>46346</v>
      </c>
      <c r="C1485" s="3" t="inlineStr">
        <is>
          <t>Bill Payment (Check)</t>
        </is>
      </c>
      <c r="D1485" s="3" t="inlineStr"/>
      <c r="E1485" s="3" t="inlineStr">
        <is>
          <t>Tarrowmere Mutual Insurance</t>
        </is>
      </c>
      <c r="F1485" s="3" t="inlineStr">
        <is>
          <t>Premium installment</t>
        </is>
      </c>
      <c r="G1485" s="3" t="inlineStr">
        <is>
          <t>Accounts Payable</t>
        </is>
      </c>
      <c r="H1485" s="3" t="inlineStr">
        <is>
          <t>Checking – Operating</t>
        </is>
      </c>
      <c r="I1485" s="33" t="n">
        <v>-4652.65</v>
      </c>
      <c r="J1485" s="13">
        <f>+J1484+I1485</f>
        <v>2543819.36</v>
      </c>
      <c r="K1485" s="19">
        <f>+EOMONTH(B1485,0)</f>
        <v>46356</v>
      </c>
      <c r="L1485" s="3" t="inlineStr">
        <is>
          <t>Checking – Operating</t>
        </is>
      </c>
      <c r="M1485" s="3" t="inlineStr">
        <is>
          <t>Balance Sheet</t>
        </is>
      </c>
    </row>
    <row r="1486">
      <c r="B1486" s="39" t="n">
        <v>46346</v>
      </c>
      <c r="C1486" s="3" t="inlineStr">
        <is>
          <t>Journal Entry</t>
        </is>
      </c>
      <c r="D1486" s="3" t="inlineStr"/>
      <c r="E1486" s="3" t="inlineStr">
        <is>
          <t>Consultant A</t>
        </is>
      </c>
      <c r="F1486" s="3" t="inlineStr">
        <is>
          <t>Professional Fees – November</t>
        </is>
      </c>
      <c r="G1486" s="3" t="inlineStr">
        <is>
          <t>Professional Fees</t>
        </is>
      </c>
      <c r="H1486" s="3" t="inlineStr">
        <is>
          <t>Checking – Operating</t>
        </is>
      </c>
      <c r="I1486" s="33" t="n">
        <v>-5531.26</v>
      </c>
      <c r="J1486" s="13">
        <f>+J1485+I1486</f>
        <v>2538288.1</v>
      </c>
      <c r="K1486" s="19">
        <f>+EOMONTH(B1486,0)</f>
        <v>46356</v>
      </c>
      <c r="L1486" s="3" t="inlineStr">
        <is>
          <t>Checking – Operating</t>
        </is>
      </c>
      <c r="M1486" s="3" t="inlineStr">
        <is>
          <t>Balance Sheet</t>
        </is>
      </c>
    </row>
    <row r="1487">
      <c r="B1487" s="39" t="n">
        <v>46347</v>
      </c>
      <c r="C1487" s="3" t="inlineStr">
        <is>
          <t>Bill Payment (Check)</t>
        </is>
      </c>
      <c r="D1487" s="3" t="inlineStr"/>
      <c r="E1487" s="3" t="inlineStr">
        <is>
          <t>Reference Lab A</t>
        </is>
      </c>
      <c r="F1487" s="3" t="inlineStr">
        <is>
          <t>Send-out testing – October</t>
        </is>
      </c>
      <c r="G1487" s="3" t="inlineStr">
        <is>
          <t>Accounts Payable</t>
        </is>
      </c>
      <c r="H1487" s="3" t="inlineStr">
        <is>
          <t>Checking – Operating</t>
        </is>
      </c>
      <c r="I1487" s="33" t="n">
        <v>-18117.29</v>
      </c>
      <c r="J1487" s="13">
        <f>+J1486+I1487</f>
        <v>2520170.81</v>
      </c>
      <c r="K1487" s="19">
        <f>+EOMONTH(B1487,0)</f>
        <v>46356</v>
      </c>
      <c r="L1487" s="3" t="inlineStr">
        <is>
          <t>Checking – Operating</t>
        </is>
      </c>
      <c r="M1487" s="3" t="inlineStr">
        <is>
          <t>Balance Sheet</t>
        </is>
      </c>
    </row>
    <row r="1488">
      <c r="B1488" s="39" t="n">
        <v>46347</v>
      </c>
      <c r="C1488" s="3" t="inlineStr">
        <is>
          <t>Bill Payment (Check)</t>
        </is>
      </c>
      <c r="D1488" s="3" t="inlineStr"/>
      <c r="E1488" s="3" t="inlineStr">
        <is>
          <t>Halloway Ridge Realty (rent)</t>
        </is>
      </c>
      <c r="F1488" s="3" t="inlineStr">
        <is>
          <t>Rent – November</t>
        </is>
      </c>
      <c r="G1488" s="3" t="inlineStr">
        <is>
          <t>Accounts Payable</t>
        </is>
      </c>
      <c r="H1488" s="3" t="inlineStr">
        <is>
          <t>Checking – Operating</t>
        </is>
      </c>
      <c r="I1488" s="33" t="n">
        <v>-5635.31</v>
      </c>
      <c r="J1488" s="13">
        <f>+J1487+I1488</f>
        <v>2514535.5</v>
      </c>
      <c r="K1488" s="19">
        <f>+EOMONTH(B1488,0)</f>
        <v>46356</v>
      </c>
      <c r="L1488" s="3" t="inlineStr">
        <is>
          <t>Checking – Operating</t>
        </is>
      </c>
      <c r="M1488" s="3" t="inlineStr">
        <is>
          <t>Balance Sheet</t>
        </is>
      </c>
    </row>
    <row r="1489">
      <c r="B1489" s="39" t="n">
        <v>46347</v>
      </c>
      <c r="C1489" s="3" t="inlineStr">
        <is>
          <t>Credit Card Expense</t>
        </is>
      </c>
      <c r="D1489" s="3" t="inlineStr"/>
      <c r="E1489" s="3" t="inlineStr">
        <is>
          <t>Vialtrace Lab Supplies Inc</t>
        </is>
      </c>
      <c r="F1489" s="3" t="inlineStr">
        <is>
          <t>Office Supplies – November</t>
        </is>
      </c>
      <c r="G1489" s="3" t="inlineStr">
        <is>
          <t>Office Supplies</t>
        </is>
      </c>
      <c r="H1489" s="3" t="inlineStr">
        <is>
          <t>Checking – Operating</t>
        </is>
      </c>
      <c r="I1489" s="33" t="n">
        <v>-3383.31</v>
      </c>
      <c r="J1489" s="13">
        <f>+J1488+I1489</f>
        <v>2511152.19</v>
      </c>
      <c r="K1489" s="19">
        <f>+EOMONTH(B1489,0)</f>
        <v>46356</v>
      </c>
      <c r="L1489" s="3" t="inlineStr">
        <is>
          <t>Checking – Operating</t>
        </is>
      </c>
      <c r="M1489" s="3" t="inlineStr">
        <is>
          <t>Balance Sheet</t>
        </is>
      </c>
    </row>
    <row r="1490">
      <c r="B1490" s="39" t="n">
        <v>46347</v>
      </c>
      <c r="C1490" s="3" t="inlineStr">
        <is>
          <t>Deposit</t>
        </is>
      </c>
      <c r="D1490" s="3" t="inlineStr"/>
      <c r="E1490" s="3" t="inlineStr">
        <is>
          <t>Marrowby Mutual</t>
        </is>
      </c>
      <c r="F1490" s="3" t="inlineStr">
        <is>
          <t>ORIG CO NAME:MARROWBY MUTUAL ORIG ID:XXXXXX3946 DESC DATE:261121 CO ENTRY DESCR:HCCLAIMPMT SEC:CCD TRACE#:XXXXXXXX5127367 EED:261121 IND ID:</t>
        </is>
      </c>
      <c r="G1490" s="3" t="inlineStr">
        <is>
          <t>Service Income</t>
        </is>
      </c>
      <c r="H1490" s="3" t="inlineStr">
        <is>
          <t>Checking – Operating</t>
        </is>
      </c>
      <c r="I1490" s="33" t="n">
        <v>62835.17</v>
      </c>
      <c r="J1490" s="13">
        <f>+J1489+I1490</f>
        <v>2573987.36</v>
      </c>
      <c r="K1490" s="19">
        <f>+EOMONTH(B1490,0)</f>
        <v>46356</v>
      </c>
      <c r="L1490" s="3" t="inlineStr">
        <is>
          <t>Checking – Operating</t>
        </is>
      </c>
      <c r="M1490" s="3" t="inlineStr">
        <is>
          <t>Balance Sheet</t>
        </is>
      </c>
    </row>
    <row r="1491">
      <c r="B1491" s="39" t="n">
        <v>46347</v>
      </c>
      <c r="C1491" s="3" t="inlineStr">
        <is>
          <t>Expense</t>
        </is>
      </c>
      <c r="D1491" s="3" t="inlineStr"/>
      <c r="E1491" s="3" t="inlineStr"/>
      <c r="F1491" s="3" t="inlineStr">
        <is>
          <t>Bank service charges – November</t>
        </is>
      </c>
      <c r="G1491" s="3" t="inlineStr">
        <is>
          <t>Cash</t>
        </is>
      </c>
      <c r="H1491" s="3" t="inlineStr">
        <is>
          <t>Checking – Operating</t>
        </is>
      </c>
      <c r="I1491" s="33" t="n">
        <v>-1465.19</v>
      </c>
      <c r="J1491" s="13">
        <f>+J1490+I1491</f>
        <v>2572522.17</v>
      </c>
      <c r="K1491" s="19">
        <f>+EOMONTH(B1491,0)</f>
        <v>46356</v>
      </c>
      <c r="L1491" s="3" t="inlineStr">
        <is>
          <t>Checking – Operating</t>
        </is>
      </c>
      <c r="M1491" s="3" t="inlineStr">
        <is>
          <t>Balance Sheet</t>
        </is>
      </c>
    </row>
    <row r="1492">
      <c r="B1492" s="39" t="n">
        <v>46347</v>
      </c>
      <c r="C1492" s="3" t="inlineStr">
        <is>
          <t>Expense</t>
        </is>
      </c>
      <c r="D1492" s="3" t="inlineStr"/>
      <c r="E1492" s="3" t="inlineStr">
        <is>
          <t>Tessarand Payroll Services</t>
        </is>
      </c>
      <c r="F1492" s="3" t="inlineStr">
        <is>
          <t>Sales and Marketing Expenses – November</t>
        </is>
      </c>
      <c r="G1492" s="3" t="inlineStr">
        <is>
          <t>Sales and Marketing Expenses</t>
        </is>
      </c>
      <c r="H1492" s="3" t="inlineStr">
        <is>
          <t>Checking – Operating</t>
        </is>
      </c>
      <c r="I1492" s="33" t="n">
        <v>-14432.81</v>
      </c>
      <c r="J1492" s="13">
        <f>+J1491+I1492</f>
        <v>2558089.36</v>
      </c>
      <c r="K1492" s="19">
        <f>+EOMONTH(B1492,0)</f>
        <v>46356</v>
      </c>
      <c r="L1492" s="3" t="inlineStr">
        <is>
          <t>Checking – Operating</t>
        </is>
      </c>
      <c r="M1492" s="3" t="inlineStr">
        <is>
          <t>Balance Sheet</t>
        </is>
      </c>
    </row>
    <row r="1493">
      <c r="B1493" s="39" t="n">
        <v>46347</v>
      </c>
      <c r="C1493" s="3" t="inlineStr">
        <is>
          <t>Expense</t>
        </is>
      </c>
      <c r="D1493" s="3" t="inlineStr"/>
      <c r="E1493" s="3" t="inlineStr">
        <is>
          <t>Union Utilities</t>
        </is>
      </c>
      <c r="F1493" s="3" t="inlineStr">
        <is>
          <t>Telecom and Internet – November</t>
        </is>
      </c>
      <c r="G1493" s="3" t="inlineStr">
        <is>
          <t>Telecom and Internet</t>
        </is>
      </c>
      <c r="H1493" s="3" t="inlineStr">
        <is>
          <t>Checking – Operating</t>
        </is>
      </c>
      <c r="I1493" s="33" t="n">
        <v>-2356.36</v>
      </c>
      <c r="J1493" s="13">
        <f>+J1492+I1493</f>
        <v>2555733</v>
      </c>
      <c r="K1493" s="19">
        <f>+EOMONTH(B1493,0)</f>
        <v>46356</v>
      </c>
      <c r="L1493" s="3" t="inlineStr">
        <is>
          <t>Checking – Operating</t>
        </is>
      </c>
      <c r="M1493" s="3" t="inlineStr">
        <is>
          <t>Balance Sheet</t>
        </is>
      </c>
    </row>
    <row r="1494">
      <c r="B1494" s="39" t="n">
        <v>46347</v>
      </c>
      <c r="C1494" s="3" t="inlineStr">
        <is>
          <t>Payroll Check</t>
        </is>
      </c>
      <c r="D1494" s="3" t="inlineStr"/>
      <c r="E1494" s="3" t="inlineStr">
        <is>
          <t>Tessarand Payroll Services</t>
        </is>
      </c>
      <c r="F1494" s="3" t="inlineStr">
        <is>
          <t>Payroll taxes – biweekly</t>
        </is>
      </c>
      <c r="G1494" s="3" t="inlineStr">
        <is>
          <t>Payroll Taxes</t>
        </is>
      </c>
      <c r="H1494" s="3" t="inlineStr">
        <is>
          <t>Checking – Operating</t>
        </is>
      </c>
      <c r="I1494" s="33" t="n">
        <v>-1219.05</v>
      </c>
      <c r="J1494" s="13">
        <f>+J1493+I1494</f>
        <v>2554513.95</v>
      </c>
      <c r="K1494" s="19">
        <f>+EOMONTH(B1494,0)</f>
        <v>46356</v>
      </c>
      <c r="L1494" s="3" t="inlineStr">
        <is>
          <t>Checking – Operating</t>
        </is>
      </c>
      <c r="M1494" s="3" t="inlineStr">
        <is>
          <t>Balance Sheet</t>
        </is>
      </c>
    </row>
    <row r="1495">
      <c r="B1495" s="39" t="n">
        <v>46348</v>
      </c>
      <c r="C1495" s="3" t="inlineStr">
        <is>
          <t>Deposit</t>
        </is>
      </c>
      <c r="D1495" s="3" t="inlineStr"/>
      <c r="E1495" s="3" t="inlineStr">
        <is>
          <t>State Program B</t>
        </is>
      </c>
      <c r="F1495" s="3" t="inlineStr">
        <is>
          <t>ORIG CO NAME:STATE PROG B ORIG ID:XXXXXX2711 DESC DATE:261122 CO ENTRY DESCR:HCCLAIMPMT SEC:CCD TRACE#:XXXXXXXX7163777 EED:261122 IND ID:</t>
        </is>
      </c>
      <c r="G1495" s="3" t="inlineStr">
        <is>
          <t>Service Income</t>
        </is>
      </c>
      <c r="H1495" s="3" t="inlineStr">
        <is>
          <t>Checking – Operating</t>
        </is>
      </c>
      <c r="I1495" s="33" t="n">
        <v>43709.35</v>
      </c>
      <c r="J1495" s="13">
        <f>+J1494+I1495</f>
        <v>2598223.3</v>
      </c>
      <c r="K1495" s="19">
        <f>+EOMONTH(B1495,0)</f>
        <v>46356</v>
      </c>
      <c r="L1495" s="3" t="inlineStr">
        <is>
          <t>Checking – Operating</t>
        </is>
      </c>
      <c r="M1495" s="3" t="inlineStr">
        <is>
          <t>Balance Sheet</t>
        </is>
      </c>
    </row>
    <row r="1496">
      <c r="B1496" s="39" t="n">
        <v>46348</v>
      </c>
      <c r="C1496" s="3" t="inlineStr">
        <is>
          <t>Expense</t>
        </is>
      </c>
      <c r="D1496" s="3" t="inlineStr"/>
      <c r="E1496" s="3" t="inlineStr"/>
      <c r="F1496" s="3" t="inlineStr">
        <is>
          <t>Property tax installment</t>
        </is>
      </c>
      <c r="G1496" s="3" t="inlineStr">
        <is>
          <t>Property tax</t>
        </is>
      </c>
      <c r="H1496" s="3" t="inlineStr">
        <is>
          <t>Checking – Operating</t>
        </is>
      </c>
      <c r="I1496" s="33" t="n">
        <v>-2175.35</v>
      </c>
      <c r="J1496" s="13">
        <f>+J1495+I1496</f>
        <v>2596047.95</v>
      </c>
      <c r="K1496" s="19">
        <f>+EOMONTH(B1496,0)</f>
        <v>46356</v>
      </c>
      <c r="L1496" s="3" t="inlineStr">
        <is>
          <t>Checking – Operating</t>
        </is>
      </c>
      <c r="M1496" s="3" t="inlineStr">
        <is>
          <t>Balance Sheet</t>
        </is>
      </c>
    </row>
    <row r="1497">
      <c r="B1497" s="39" t="n">
        <v>46349</v>
      </c>
      <c r="C1497" s="3" t="inlineStr">
        <is>
          <t>Bill Payment (Check)</t>
        </is>
      </c>
      <c r="D1497" s="3" t="inlineStr"/>
      <c r="E1497" s="3" t="inlineStr">
        <is>
          <t>Tarrowmere Mutual Insurance</t>
        </is>
      </c>
      <c r="F1497" s="3" t="inlineStr">
        <is>
          <t>Premium installment</t>
        </is>
      </c>
      <c r="G1497" s="3" t="inlineStr">
        <is>
          <t>Accounts Payable</t>
        </is>
      </c>
      <c r="H1497" s="3" t="inlineStr">
        <is>
          <t>Checking – Operating</t>
        </is>
      </c>
      <c r="I1497" s="33" t="n">
        <v>-7747.85</v>
      </c>
      <c r="J1497" s="13">
        <f>+J1496+I1497</f>
        <v>2588300.1</v>
      </c>
      <c r="K1497" s="19">
        <f>+EOMONTH(B1497,0)</f>
        <v>46356</v>
      </c>
      <c r="L1497" s="3" t="inlineStr">
        <is>
          <t>Checking – Operating</t>
        </is>
      </c>
      <c r="M1497" s="3" t="inlineStr">
        <is>
          <t>Balance Sheet</t>
        </is>
      </c>
    </row>
    <row r="1498">
      <c r="B1498" s="39" t="n">
        <v>46350</v>
      </c>
      <c r="C1498" s="3" t="inlineStr">
        <is>
          <t>Deposit</t>
        </is>
      </c>
      <c r="D1498" s="3" t="inlineStr"/>
      <c r="E1498" s="3" t="inlineStr">
        <is>
          <t>Vantrelle Health Plan</t>
        </is>
      </c>
      <c r="F1498" s="3" t="inlineStr">
        <is>
          <t>ORIG CO NAME:VANTRELLE HP ORIG ID:XXXXXX1029 DESC DATE:261124 CO ENTRY DESCR:HCCLAIMPMT SEC:CCD TRACE#:XXXXXXXX8237327 EED:261124 IND ID:</t>
        </is>
      </c>
      <c r="G1498" s="3" t="inlineStr">
        <is>
          <t>Service Income</t>
        </is>
      </c>
      <c r="H1498" s="3" t="inlineStr">
        <is>
          <t>Checking – Operating</t>
        </is>
      </c>
      <c r="I1498" s="33" t="n">
        <v>139900.21</v>
      </c>
      <c r="J1498" s="13">
        <f>+J1497+I1498</f>
        <v>2728200.31</v>
      </c>
      <c r="K1498" s="19">
        <f>+EOMONTH(B1498,0)</f>
        <v>46356</v>
      </c>
      <c r="L1498" s="3" t="inlineStr">
        <is>
          <t>Checking – Operating</t>
        </is>
      </c>
      <c r="M1498" s="3" t="inlineStr">
        <is>
          <t>Balance Sheet</t>
        </is>
      </c>
    </row>
    <row r="1499">
      <c r="B1499" s="39" t="n">
        <v>46350</v>
      </c>
      <c r="C1499" s="3" t="inlineStr">
        <is>
          <t>Expense</t>
        </is>
      </c>
      <c r="D1499" s="3" t="inlineStr"/>
      <c r="E1499" s="3" t="inlineStr"/>
      <c r="F1499" s="3" t="inlineStr">
        <is>
          <t>Patient refund</t>
        </is>
      </c>
      <c r="G1499" s="3" t="inlineStr">
        <is>
          <t>Refunds</t>
        </is>
      </c>
      <c r="H1499" s="3" t="inlineStr">
        <is>
          <t>Checking – Operating</t>
        </is>
      </c>
      <c r="I1499" s="33" t="n">
        <v>-3240.35</v>
      </c>
      <c r="J1499" s="13">
        <f>+J1498+I1499</f>
        <v>2724959.96</v>
      </c>
      <c r="K1499" s="19">
        <f>+EOMONTH(B1499,0)</f>
        <v>46356</v>
      </c>
      <c r="L1499" s="3" t="inlineStr">
        <is>
          <t>Checking – Operating</t>
        </is>
      </c>
      <c r="M1499" s="3" t="inlineStr">
        <is>
          <t>Balance Sheet</t>
        </is>
      </c>
    </row>
    <row r="1500">
      <c r="B1500" s="39" t="n">
        <v>46350</v>
      </c>
      <c r="C1500" s="3" t="inlineStr">
        <is>
          <t>Expense</t>
        </is>
      </c>
      <c r="D1500" s="3" t="inlineStr"/>
      <c r="E1500" s="3" t="inlineStr">
        <is>
          <t>Lumenlease Equipment</t>
        </is>
      </c>
      <c r="F1500" s="3" t="inlineStr">
        <is>
          <t>Repairs and Maintenance – November</t>
        </is>
      </c>
      <c r="G1500" s="3" t="inlineStr">
        <is>
          <t>Repairs and Maintenance</t>
        </is>
      </c>
      <c r="H1500" s="3" t="inlineStr">
        <is>
          <t>Checking – Operating</t>
        </is>
      </c>
      <c r="I1500" s="33" t="n">
        <v>-4787.47</v>
      </c>
      <c r="J1500" s="13">
        <f>+J1499+I1500</f>
        <v>2720172.49</v>
      </c>
      <c r="K1500" s="19">
        <f>+EOMONTH(B1500,0)</f>
        <v>46356</v>
      </c>
      <c r="L1500" s="3" t="inlineStr">
        <is>
          <t>Checking – Operating</t>
        </is>
      </c>
      <c r="M1500" s="3" t="inlineStr">
        <is>
          <t>Balance Sheet</t>
        </is>
      </c>
    </row>
    <row r="1501">
      <c r="B1501" s="39" t="n">
        <v>46351</v>
      </c>
      <c r="C1501" s="3" t="inlineStr">
        <is>
          <t>Bill Payment (Check)</t>
        </is>
      </c>
      <c r="D1501" s="3" t="inlineStr"/>
      <c r="E1501" s="3" t="inlineStr">
        <is>
          <t>Vialtrace Lab Supplies Inc</t>
        </is>
      </c>
      <c r="F1501" s="3" t="inlineStr">
        <is>
          <t>Lab Expenses – November</t>
        </is>
      </c>
      <c r="G1501" s="3" t="inlineStr">
        <is>
          <t>Accounts Payable</t>
        </is>
      </c>
      <c r="H1501" s="3" t="inlineStr">
        <is>
          <t>Checking – Operating</t>
        </is>
      </c>
      <c r="I1501" s="33" t="n">
        <v>-7152.05</v>
      </c>
      <c r="J1501" s="13">
        <f>+J1500+I1501</f>
        <v>2713020.44</v>
      </c>
      <c r="K1501" s="19">
        <f>+EOMONTH(B1501,0)</f>
        <v>46356</v>
      </c>
      <c r="L1501" s="3" t="inlineStr">
        <is>
          <t>Checking – Operating</t>
        </is>
      </c>
      <c r="M1501" s="3" t="inlineStr">
        <is>
          <t>Balance Sheet</t>
        </is>
      </c>
    </row>
    <row r="1502">
      <c r="B1502" s="39" t="n">
        <v>46351</v>
      </c>
      <c r="C1502" s="3" t="inlineStr">
        <is>
          <t>Bill Payment (Check)</t>
        </is>
      </c>
      <c r="D1502" s="3" t="inlineStr"/>
      <c r="E1502" s="3" t="inlineStr">
        <is>
          <t>Halloway Ridge Realty (rent)</t>
        </is>
      </c>
      <c r="F1502" s="3" t="inlineStr">
        <is>
          <t>Rent – November</t>
        </is>
      </c>
      <c r="G1502" s="3" t="inlineStr">
        <is>
          <t>Accounts Payable</t>
        </is>
      </c>
      <c r="H1502" s="3" t="inlineStr">
        <is>
          <t>Checking – Operating</t>
        </is>
      </c>
      <c r="I1502" s="33" t="n">
        <v>-8863.25</v>
      </c>
      <c r="J1502" s="13">
        <f>+J1501+I1502</f>
        <v>2704157.19</v>
      </c>
      <c r="K1502" s="19">
        <f>+EOMONTH(B1502,0)</f>
        <v>46356</v>
      </c>
      <c r="L1502" s="3" t="inlineStr">
        <is>
          <t>Checking – Operating</t>
        </is>
      </c>
      <c r="M1502" s="3" t="inlineStr">
        <is>
          <t>Balance Sheet</t>
        </is>
      </c>
    </row>
    <row r="1503">
      <c r="B1503" s="39" t="n">
        <v>46351</v>
      </c>
      <c r="C1503" s="3" t="inlineStr">
        <is>
          <t>Credit Card Expense</t>
        </is>
      </c>
      <c r="D1503" s="3" t="inlineStr"/>
      <c r="E1503" s="3" t="inlineStr"/>
      <c r="F1503" s="3" t="inlineStr">
        <is>
          <t>Patient refund</t>
        </is>
      </c>
      <c r="G1503" s="3" t="inlineStr">
        <is>
          <t>Refunds</t>
        </is>
      </c>
      <c r="H1503" s="3" t="inlineStr">
        <is>
          <t>Checking – Operating</t>
        </is>
      </c>
      <c r="I1503" s="33" t="n">
        <v>-3060.51</v>
      </c>
      <c r="J1503" s="13">
        <f>+J1502+I1503</f>
        <v>2701096.68</v>
      </c>
      <c r="K1503" s="19">
        <f>+EOMONTH(B1503,0)</f>
        <v>46356</v>
      </c>
      <c r="L1503" s="3" t="inlineStr">
        <is>
          <t>Checking – Operating</t>
        </is>
      </c>
      <c r="M1503" s="3" t="inlineStr">
        <is>
          <t>Balance Sheet</t>
        </is>
      </c>
    </row>
    <row r="1504">
      <c r="B1504" s="39" t="n">
        <v>46351</v>
      </c>
      <c r="C1504" s="3" t="inlineStr">
        <is>
          <t>Credit Card Expense</t>
        </is>
      </c>
      <c r="D1504" s="3" t="inlineStr"/>
      <c r="E1504" s="3" t="inlineStr"/>
      <c r="F1504" s="3" t="inlineStr">
        <is>
          <t>Gas – November</t>
        </is>
      </c>
      <c r="G1504" s="3" t="inlineStr">
        <is>
          <t>Gas</t>
        </is>
      </c>
      <c r="H1504" s="3" t="inlineStr">
        <is>
          <t>Checking – Operating</t>
        </is>
      </c>
      <c r="I1504" s="33" t="n">
        <v>-1208.5</v>
      </c>
      <c r="J1504" s="13">
        <f>+J1503+I1504</f>
        <v>2699888.18</v>
      </c>
      <c r="K1504" s="19">
        <f>+EOMONTH(B1504,0)</f>
        <v>46356</v>
      </c>
      <c r="L1504" s="3" t="inlineStr">
        <is>
          <t>Checking – Operating</t>
        </is>
      </c>
      <c r="M1504" s="3" t="inlineStr">
        <is>
          <t>Balance Sheet</t>
        </is>
      </c>
    </row>
    <row r="1505">
      <c r="B1505" s="39" t="n">
        <v>46351</v>
      </c>
      <c r="C1505" s="3" t="inlineStr">
        <is>
          <t>Deposit</t>
        </is>
      </c>
      <c r="D1505" s="3" t="inlineStr"/>
      <c r="E1505" s="3" t="inlineStr">
        <is>
          <t>Lanternway Benefits</t>
        </is>
      </c>
      <c r="F1505" s="3" t="inlineStr">
        <is>
          <t>ORIG CO NAME:LANTERNWAY BEN ORIG ID:XXXXXX1648 DESC DATE:261125 CO ENTRY DESCR:HCCLAIMPMT SEC:CCD TRACE#:XXXXXXXX4354816 EED:261125 IND ID:</t>
        </is>
      </c>
      <c r="G1505" s="3" t="inlineStr">
        <is>
          <t>Service Income</t>
        </is>
      </c>
      <c r="H1505" s="3" t="inlineStr">
        <is>
          <t>Checking – Operating</t>
        </is>
      </c>
      <c r="I1505" s="33" t="n">
        <v>40515.4</v>
      </c>
      <c r="J1505" s="13">
        <f>+J1504+I1505</f>
        <v>2740403.58</v>
      </c>
      <c r="K1505" s="19">
        <f>+EOMONTH(B1505,0)</f>
        <v>46356</v>
      </c>
      <c r="L1505" s="3" t="inlineStr">
        <is>
          <t>Checking – Operating</t>
        </is>
      </c>
      <c r="M1505" s="3" t="inlineStr">
        <is>
          <t>Balance Sheet</t>
        </is>
      </c>
    </row>
    <row r="1506">
      <c r="B1506" s="39" t="n">
        <v>46351</v>
      </c>
      <c r="C1506" s="3" t="inlineStr">
        <is>
          <t>Expense</t>
        </is>
      </c>
      <c r="D1506" s="3" t="inlineStr"/>
      <c r="E1506" s="3" t="inlineStr">
        <is>
          <t>Halloway Ridge Realty (rent)</t>
        </is>
      </c>
      <c r="F1506" s="3" t="inlineStr">
        <is>
          <t>Landscaping – November</t>
        </is>
      </c>
      <c r="G1506" s="3" t="inlineStr">
        <is>
          <t>Landscaping</t>
        </is>
      </c>
      <c r="H1506" s="3" t="inlineStr">
        <is>
          <t>Checking – Operating</t>
        </is>
      </c>
      <c r="I1506" s="33" t="n">
        <v>-1453.68</v>
      </c>
      <c r="J1506" s="13">
        <f>+J1505+I1506</f>
        <v>2738949.9</v>
      </c>
      <c r="K1506" s="19">
        <f>+EOMONTH(B1506,0)</f>
        <v>46356</v>
      </c>
      <c r="L1506" s="3" t="inlineStr">
        <is>
          <t>Checking – Operating</t>
        </is>
      </c>
      <c r="M1506" s="3" t="inlineStr">
        <is>
          <t>Balance Sheet</t>
        </is>
      </c>
    </row>
    <row r="1507">
      <c r="B1507" s="39" t="n">
        <v>46351</v>
      </c>
      <c r="C1507" s="3" t="inlineStr">
        <is>
          <t>Expense</t>
        </is>
      </c>
      <c r="D1507" s="3" t="inlineStr"/>
      <c r="E1507" s="3" t="inlineStr">
        <is>
          <t>Tessarand Payroll Services</t>
        </is>
      </c>
      <c r="F1507" s="3" t="inlineStr">
        <is>
          <t>Sales and Marketing Expenses – November</t>
        </is>
      </c>
      <c r="G1507" s="3" t="inlineStr">
        <is>
          <t>Sales and Marketing Expenses</t>
        </is>
      </c>
      <c r="H1507" s="3" t="inlineStr">
        <is>
          <t>Checking – Operating</t>
        </is>
      </c>
      <c r="I1507" s="33" t="n">
        <v>-9413.41</v>
      </c>
      <c r="J1507" s="13">
        <f>+J1506+I1507</f>
        <v>2729536.49</v>
      </c>
      <c r="K1507" s="19">
        <f>+EOMONTH(B1507,0)</f>
        <v>46356</v>
      </c>
      <c r="L1507" s="3" t="inlineStr">
        <is>
          <t>Checking – Operating</t>
        </is>
      </c>
      <c r="M1507" s="3" t="inlineStr">
        <is>
          <t>Balance Sheet</t>
        </is>
      </c>
    </row>
    <row r="1508">
      <c r="B1508" s="39" t="n">
        <v>46351</v>
      </c>
      <c r="C1508" s="3" t="inlineStr">
        <is>
          <t>Expense</t>
        </is>
      </c>
      <c r="D1508" s="3" t="inlineStr"/>
      <c r="E1508" s="3" t="inlineStr"/>
      <c r="F1508" s="3" t="inlineStr">
        <is>
          <t>Travel Expense – November</t>
        </is>
      </c>
      <c r="G1508" s="3" t="inlineStr">
        <is>
          <t>Travel Expense</t>
        </is>
      </c>
      <c r="H1508" s="3" t="inlineStr">
        <is>
          <t>Checking – Operating</t>
        </is>
      </c>
      <c r="I1508" s="33" t="n">
        <v>-2270.55</v>
      </c>
      <c r="J1508" s="13">
        <f>+J1507+I1508</f>
        <v>2727265.94</v>
      </c>
      <c r="K1508" s="19">
        <f>+EOMONTH(B1508,0)</f>
        <v>46356</v>
      </c>
      <c r="L1508" s="3" t="inlineStr">
        <is>
          <t>Checking – Operating</t>
        </is>
      </c>
      <c r="M1508" s="3" t="inlineStr">
        <is>
          <t>Balance Sheet</t>
        </is>
      </c>
    </row>
    <row r="1509">
      <c r="B1509" s="39" t="n">
        <v>46351</v>
      </c>
      <c r="C1509" s="3" t="inlineStr">
        <is>
          <t>Journal Entry</t>
        </is>
      </c>
      <c r="D1509" s="3" t="inlineStr"/>
      <c r="E1509" s="3" t="inlineStr">
        <is>
          <t>Consultant A</t>
        </is>
      </c>
      <c r="F1509" s="3" t="inlineStr">
        <is>
          <t>Consulting – November</t>
        </is>
      </c>
      <c r="G1509" s="3" t="inlineStr">
        <is>
          <t>Consulting</t>
        </is>
      </c>
      <c r="H1509" s="3" t="inlineStr">
        <is>
          <t>Checking – Operating</t>
        </is>
      </c>
      <c r="I1509" s="33" t="n">
        <v>-3741.57</v>
      </c>
      <c r="J1509" s="13">
        <f>+J1508+I1509</f>
        <v>2723524.37</v>
      </c>
      <c r="K1509" s="19">
        <f>+EOMONTH(B1509,0)</f>
        <v>46356</v>
      </c>
      <c r="L1509" s="3" t="inlineStr">
        <is>
          <t>Checking – Operating</t>
        </is>
      </c>
      <c r="M1509" s="3" t="inlineStr">
        <is>
          <t>Balance Sheet</t>
        </is>
      </c>
    </row>
    <row r="1510">
      <c r="B1510" s="39" t="n">
        <v>46351</v>
      </c>
      <c r="C1510" s="3" t="inlineStr">
        <is>
          <t>Journal Entry</t>
        </is>
      </c>
      <c r="D1510" s="3" t="inlineStr"/>
      <c r="E1510" s="3" t="inlineStr"/>
      <c r="F1510" s="3" t="inlineStr">
        <is>
          <t>Interest – equipment note</t>
        </is>
      </c>
      <c r="G1510" s="3" t="inlineStr">
        <is>
          <t>Interest Expense</t>
        </is>
      </c>
      <c r="H1510" s="3" t="inlineStr">
        <is>
          <t>Checking – Operating</t>
        </is>
      </c>
      <c r="I1510" s="33" t="n">
        <v>-2803.22</v>
      </c>
      <c r="J1510" s="13">
        <f>+J1509+I1510</f>
        <v>2720721.15</v>
      </c>
      <c r="K1510" s="19">
        <f>+EOMONTH(B1510,0)</f>
        <v>46356</v>
      </c>
      <c r="L1510" s="3" t="inlineStr">
        <is>
          <t>Checking – Operating</t>
        </is>
      </c>
      <c r="M1510" s="3" t="inlineStr">
        <is>
          <t>Balance Sheet</t>
        </is>
      </c>
    </row>
    <row r="1511">
      <c r="B1511" s="39" t="n">
        <v>46352</v>
      </c>
      <c r="C1511" s="3" t="inlineStr">
        <is>
          <t>Deposit</t>
        </is>
      </c>
      <c r="D1511" s="3" t="inlineStr"/>
      <c r="E1511" s="3" t="inlineStr">
        <is>
          <t>Quayside Choice Senior Plan</t>
        </is>
      </c>
      <c r="F1511" s="3" t="inlineStr">
        <is>
          <t>ORIG CO NAME:QUAYSIDE CHOICE SP ORIG ID:XXXXXX3158 DESC DATE:261126 CO ENTRY DESCR:HCCLAIMPMT SEC:CCD TRACE#:XXXXXXXX9222840 EED:261126 IND ID:</t>
        </is>
      </c>
      <c r="G1511" s="3" t="inlineStr">
        <is>
          <t>Service Income</t>
        </is>
      </c>
      <c r="H1511" s="3" t="inlineStr">
        <is>
          <t>Checking – Operating</t>
        </is>
      </c>
      <c r="I1511" s="33" t="n">
        <v>68561.50999999999</v>
      </c>
      <c r="J1511" s="13">
        <f>+J1510+I1511</f>
        <v>2789282.66</v>
      </c>
      <c r="K1511" s="19">
        <f>+EOMONTH(B1511,0)</f>
        <v>46356</v>
      </c>
      <c r="L1511" s="3" t="inlineStr">
        <is>
          <t>Checking – Operating</t>
        </is>
      </c>
      <c r="M1511" s="3" t="inlineStr">
        <is>
          <t>Balance Sheet</t>
        </is>
      </c>
    </row>
    <row r="1512">
      <c r="B1512" s="39" t="n">
        <v>46352</v>
      </c>
      <c r="C1512" s="3" t="inlineStr">
        <is>
          <t>Expense</t>
        </is>
      </c>
      <c r="D1512" s="3" t="inlineStr"/>
      <c r="E1512" s="3" t="inlineStr">
        <is>
          <t>Consultant A</t>
        </is>
      </c>
      <c r="F1512" s="3" t="inlineStr">
        <is>
          <t>Consulting – November</t>
        </is>
      </c>
      <c r="G1512" s="3" t="inlineStr">
        <is>
          <t>Consulting</t>
        </is>
      </c>
      <c r="H1512" s="3" t="inlineStr">
        <is>
          <t>Checking – Operating</t>
        </is>
      </c>
      <c r="I1512" s="33" t="n">
        <v>-2719.54</v>
      </c>
      <c r="J1512" s="13">
        <f>+J1511+I1512</f>
        <v>2786563.12</v>
      </c>
      <c r="K1512" s="19">
        <f>+EOMONTH(B1512,0)</f>
        <v>46356</v>
      </c>
      <c r="L1512" s="3" t="inlineStr">
        <is>
          <t>Checking – Operating</t>
        </is>
      </c>
      <c r="M1512" s="3" t="inlineStr">
        <is>
          <t>Balance Sheet</t>
        </is>
      </c>
    </row>
    <row r="1513">
      <c r="B1513" s="39" t="n">
        <v>46352</v>
      </c>
      <c r="C1513" s="3" t="inlineStr">
        <is>
          <t>Journal Entry</t>
        </is>
      </c>
      <c r="D1513" s="3" t="inlineStr"/>
      <c r="E1513" s="3" t="inlineStr"/>
      <c r="F1513" s="3" t="inlineStr">
        <is>
          <t>Taxes and Licenses – November</t>
        </is>
      </c>
      <c r="G1513" s="3" t="inlineStr">
        <is>
          <t>Taxes and Licenses</t>
        </is>
      </c>
      <c r="H1513" s="3" t="inlineStr">
        <is>
          <t>Checking – Operating</t>
        </is>
      </c>
      <c r="I1513" s="33" t="n">
        <v>-870.14</v>
      </c>
      <c r="J1513" s="13">
        <f>+J1512+I1513</f>
        <v>2785692.98</v>
      </c>
      <c r="K1513" s="19">
        <f>+EOMONTH(B1513,0)</f>
        <v>46356</v>
      </c>
      <c r="L1513" s="3" t="inlineStr">
        <is>
          <t>Checking – Operating</t>
        </is>
      </c>
      <c r="M1513" s="3" t="inlineStr">
        <is>
          <t>Balance Sheet</t>
        </is>
      </c>
    </row>
    <row r="1514">
      <c r="B1514" s="39" t="n">
        <v>46353</v>
      </c>
      <c r="C1514" s="3" t="inlineStr">
        <is>
          <t>Credit Card Expense</t>
        </is>
      </c>
      <c r="D1514" s="3" t="inlineStr"/>
      <c r="E1514" s="3" t="inlineStr">
        <is>
          <t>Ledgerquill Billing SaaS</t>
        </is>
      </c>
      <c r="F1514" s="3" t="inlineStr">
        <is>
          <t>Interface Service – November</t>
        </is>
      </c>
      <c r="G1514" s="3" t="inlineStr">
        <is>
          <t>Interface Service</t>
        </is>
      </c>
      <c r="H1514" s="3" t="inlineStr">
        <is>
          <t>Checking – Operating</t>
        </is>
      </c>
      <c r="I1514" s="33" t="n">
        <v>-1305.06</v>
      </c>
      <c r="J1514" s="13">
        <f>+J1513+I1514</f>
        <v>2784387.92</v>
      </c>
      <c r="K1514" s="19">
        <f>+EOMONTH(B1514,0)</f>
        <v>46356</v>
      </c>
      <c r="L1514" s="3" t="inlineStr">
        <is>
          <t>Checking – Operating</t>
        </is>
      </c>
      <c r="M1514" s="3" t="inlineStr">
        <is>
          <t>Balance Sheet</t>
        </is>
      </c>
    </row>
    <row r="1515">
      <c r="B1515" s="39" t="n">
        <v>46353</v>
      </c>
      <c r="C1515" s="3" t="inlineStr">
        <is>
          <t>Journal Entry</t>
        </is>
      </c>
      <c r="D1515" s="3" t="inlineStr"/>
      <c r="E1515" s="3" t="inlineStr"/>
      <c r="F1515" s="3" t="inlineStr">
        <is>
          <t>Automobile Expense – November</t>
        </is>
      </c>
      <c r="G1515" s="3" t="inlineStr">
        <is>
          <t>Automobile Expense</t>
        </is>
      </c>
      <c r="H1515" s="3" t="inlineStr">
        <is>
          <t>Checking – Operating</t>
        </is>
      </c>
      <c r="I1515" s="33" t="n">
        <v>-742.17</v>
      </c>
      <c r="J1515" s="13">
        <f>+J1514+I1515</f>
        <v>2783645.75</v>
      </c>
      <c r="K1515" s="19">
        <f>+EOMONTH(B1515,0)</f>
        <v>46356</v>
      </c>
      <c r="L1515" s="3" t="inlineStr">
        <is>
          <t>Checking – Operating</t>
        </is>
      </c>
      <c r="M1515" s="3" t="inlineStr">
        <is>
          <t>Balance Sheet</t>
        </is>
      </c>
    </row>
    <row r="1516">
      <c r="B1516" s="39" t="n">
        <v>46354</v>
      </c>
      <c r="C1516" s="3" t="inlineStr">
        <is>
          <t>Bill Payment (Check)</t>
        </is>
      </c>
      <c r="D1516" s="3" t="inlineStr"/>
      <c r="E1516" s="3" t="inlineStr">
        <is>
          <t>Vialtrace Lab Supplies Inc</t>
        </is>
      </c>
      <c r="F1516" s="3" t="inlineStr">
        <is>
          <t>Lab Expenses – November</t>
        </is>
      </c>
      <c r="G1516" s="3" t="inlineStr">
        <is>
          <t>Accounts Payable</t>
        </is>
      </c>
      <c r="H1516" s="3" t="inlineStr">
        <is>
          <t>Checking – Operating</t>
        </is>
      </c>
      <c r="I1516" s="33" t="n">
        <v>-6973.13</v>
      </c>
      <c r="J1516" s="13">
        <f>+J1515+I1516</f>
        <v>2776672.62</v>
      </c>
      <c r="K1516" s="19">
        <f>+EOMONTH(B1516,0)</f>
        <v>46356</v>
      </c>
      <c r="L1516" s="3" t="inlineStr">
        <is>
          <t>Checking – Operating</t>
        </is>
      </c>
      <c r="M1516" s="3" t="inlineStr">
        <is>
          <t>Balance Sheet</t>
        </is>
      </c>
    </row>
    <row r="1517">
      <c r="B1517" s="39" t="n">
        <v>46354</v>
      </c>
      <c r="C1517" s="3" t="inlineStr">
        <is>
          <t>Deposit</t>
        </is>
      </c>
      <c r="D1517" s="3" t="inlineStr"/>
      <c r="E1517" s="3" t="inlineStr">
        <is>
          <t>Marrowby Mutual</t>
        </is>
      </c>
      <c r="F1517" s="3" t="inlineStr">
        <is>
          <t>ORIG CO NAME:MARROWBY MUTUAL ORIG ID:XXXXXX1319 DESC DATE:261128 CO ENTRY DESCR:HCCLAIMPMT SEC:CCD TRACE#:XXXXXXXX9093741 EED:261128 IND ID:</t>
        </is>
      </c>
      <c r="G1517" s="3" t="inlineStr">
        <is>
          <t>Service Income</t>
        </is>
      </c>
      <c r="H1517" s="3" t="inlineStr">
        <is>
          <t>Checking – Operating</t>
        </is>
      </c>
      <c r="I1517" s="33" t="n">
        <v>45769.07</v>
      </c>
      <c r="J1517" s="13">
        <f>+J1516+I1517</f>
        <v>2822441.69</v>
      </c>
      <c r="K1517" s="19">
        <f>+EOMONTH(B1517,0)</f>
        <v>46356</v>
      </c>
      <c r="L1517" s="3" t="inlineStr">
        <is>
          <t>Checking – Operating</t>
        </is>
      </c>
      <c r="M1517" s="3" t="inlineStr">
        <is>
          <t>Balance Sheet</t>
        </is>
      </c>
    </row>
    <row r="1518">
      <c r="B1518" s="39" t="n">
        <v>46354</v>
      </c>
      <c r="C1518" s="3" t="inlineStr">
        <is>
          <t>Deposit</t>
        </is>
      </c>
      <c r="D1518" s="3" t="inlineStr"/>
      <c r="E1518" s="3" t="inlineStr">
        <is>
          <t>Cobaltmere Health</t>
        </is>
      </c>
      <c r="F1518" s="3" t="inlineStr">
        <is>
          <t>ORIG CO NAME:COBALTMERE HEALTH ORIG ID:XXXXXX3125 DESC DATE:261128 CO ENTRY DESCR:HCCLAIMPMT SEC:CCD TRACE#:XXXXXXXX8058679 EED:261128 IND ID:</t>
        </is>
      </c>
      <c r="G1518" s="3" t="inlineStr">
        <is>
          <t>Service Income</t>
        </is>
      </c>
      <c r="H1518" s="3" t="inlineStr">
        <is>
          <t>Checking – Operating</t>
        </is>
      </c>
      <c r="I1518" s="33" t="n">
        <v>22594.2</v>
      </c>
      <c r="J1518" s="13">
        <f>+J1517+I1518</f>
        <v>2845035.89</v>
      </c>
      <c r="K1518" s="19">
        <f>+EOMONTH(B1518,0)</f>
        <v>46356</v>
      </c>
      <c r="L1518" s="3" t="inlineStr">
        <is>
          <t>Checking – Operating</t>
        </is>
      </c>
      <c r="M1518" s="3" t="inlineStr">
        <is>
          <t>Balance Sheet</t>
        </is>
      </c>
    </row>
    <row r="1519">
      <c r="B1519" s="39" t="n">
        <v>46354</v>
      </c>
      <c r="C1519" s="3" t="inlineStr">
        <is>
          <t>Journal Entry</t>
        </is>
      </c>
      <c r="D1519" s="3" t="inlineStr"/>
      <c r="E1519" s="3" t="inlineStr">
        <is>
          <t>Halloway Ridge Realty (rent)</t>
        </is>
      </c>
      <c r="F1519" s="3" t="inlineStr">
        <is>
          <t>Landscaping – November</t>
        </is>
      </c>
      <c r="G1519" s="3" t="inlineStr">
        <is>
          <t>Landscaping</t>
        </is>
      </c>
      <c r="H1519" s="3" t="inlineStr">
        <is>
          <t>Checking – Operating</t>
        </is>
      </c>
      <c r="I1519" s="33" t="n">
        <v>-1058.07</v>
      </c>
      <c r="J1519" s="13">
        <f>+J1518+I1519</f>
        <v>2843977.82</v>
      </c>
      <c r="K1519" s="19">
        <f>+EOMONTH(B1519,0)</f>
        <v>46356</v>
      </c>
      <c r="L1519" s="3" t="inlineStr">
        <is>
          <t>Checking – Operating</t>
        </is>
      </c>
      <c r="M1519" s="3" t="inlineStr">
        <is>
          <t>Balance Sheet</t>
        </is>
      </c>
    </row>
    <row r="1520">
      <c r="B1520" s="39" t="n">
        <v>46355</v>
      </c>
      <c r="C1520" s="3" t="inlineStr">
        <is>
          <t>Bill Payment (Check)</t>
        </is>
      </c>
      <c r="D1520" s="3" t="inlineStr"/>
      <c r="E1520" s="3" t="inlineStr">
        <is>
          <t>Reference Lab A</t>
        </is>
      </c>
      <c r="F1520" s="3" t="inlineStr">
        <is>
          <t>Send-out testing – October</t>
        </is>
      </c>
      <c r="G1520" s="3" t="inlineStr">
        <is>
          <t>Accounts Payable</t>
        </is>
      </c>
      <c r="H1520" s="3" t="inlineStr">
        <is>
          <t>Checking – Operating</t>
        </is>
      </c>
      <c r="I1520" s="33" t="n">
        <v>-11352.28</v>
      </c>
      <c r="J1520" s="13">
        <f>+J1519+I1520</f>
        <v>2832625.54</v>
      </c>
      <c r="K1520" s="19">
        <f>+EOMONTH(B1520,0)</f>
        <v>46356</v>
      </c>
      <c r="L1520" s="3" t="inlineStr">
        <is>
          <t>Checking – Operating</t>
        </is>
      </c>
      <c r="M1520" s="3" t="inlineStr">
        <is>
          <t>Balance Sheet</t>
        </is>
      </c>
    </row>
    <row r="1521">
      <c r="B1521" s="39" t="n">
        <v>46355</v>
      </c>
      <c r="C1521" s="3" t="inlineStr">
        <is>
          <t>Bill Payment (Check)</t>
        </is>
      </c>
      <c r="D1521" s="3" t="inlineStr"/>
      <c r="E1521" s="3" t="inlineStr">
        <is>
          <t>Tarrowmere Mutual Insurance</t>
        </is>
      </c>
      <c r="F1521" s="3" t="inlineStr">
        <is>
          <t>Premium installment</t>
        </is>
      </c>
      <c r="G1521" s="3" t="inlineStr">
        <is>
          <t>Accounts Payable</t>
        </is>
      </c>
      <c r="H1521" s="3" t="inlineStr">
        <is>
          <t>Checking – Operating</t>
        </is>
      </c>
      <c r="I1521" s="33" t="n">
        <v>-8781.33</v>
      </c>
      <c r="J1521" s="13">
        <f>+J1520+I1521</f>
        <v>2823844.21</v>
      </c>
      <c r="K1521" s="19">
        <f>+EOMONTH(B1521,0)</f>
        <v>46356</v>
      </c>
      <c r="L1521" s="3" t="inlineStr">
        <is>
          <t>Checking – Operating</t>
        </is>
      </c>
      <c r="M1521" s="3" t="inlineStr">
        <is>
          <t>Balance Sheet</t>
        </is>
      </c>
    </row>
    <row r="1522">
      <c r="B1522" s="39" t="n">
        <v>46355</v>
      </c>
      <c r="C1522" s="3" t="inlineStr">
        <is>
          <t>Bill Payment (Check)</t>
        </is>
      </c>
      <c r="D1522" s="3" t="inlineStr"/>
      <c r="E1522" s="3" t="inlineStr">
        <is>
          <t>Northmoor Waste Services</t>
        </is>
      </c>
      <c r="F1522" s="3" t="inlineStr">
        <is>
          <t>Waste Removal – November</t>
        </is>
      </c>
      <c r="G1522" s="3" t="inlineStr">
        <is>
          <t>Accounts Payable</t>
        </is>
      </c>
      <c r="H1522" s="3" t="inlineStr">
        <is>
          <t>Checking – Operating</t>
        </is>
      </c>
      <c r="I1522" s="33" t="n">
        <v>-1204.2</v>
      </c>
      <c r="J1522" s="13">
        <f>+J1521+I1522</f>
        <v>2822640.01</v>
      </c>
      <c r="K1522" s="19">
        <f>+EOMONTH(B1522,0)</f>
        <v>46356</v>
      </c>
      <c r="L1522" s="3" t="inlineStr">
        <is>
          <t>Checking – Operating</t>
        </is>
      </c>
      <c r="M1522" s="3" t="inlineStr">
        <is>
          <t>Balance Sheet</t>
        </is>
      </c>
    </row>
    <row r="1523">
      <c r="B1523" s="39" t="n">
        <v>46355</v>
      </c>
      <c r="C1523" s="3" t="inlineStr">
        <is>
          <t>Bill Payment (Check)</t>
        </is>
      </c>
      <c r="D1523" s="3" t="inlineStr"/>
      <c r="E1523" s="3" t="inlineStr">
        <is>
          <t>Tarrowmere Mutual Insurance</t>
        </is>
      </c>
      <c r="F1523" s="3" t="inlineStr">
        <is>
          <t>Benefits – October</t>
        </is>
      </c>
      <c r="G1523" s="3" t="inlineStr">
        <is>
          <t>Accounts Payable</t>
        </is>
      </c>
      <c r="H1523" s="3" t="inlineStr">
        <is>
          <t>Checking – Operating</t>
        </is>
      </c>
      <c r="I1523" s="33" t="n">
        <v>-5145.32</v>
      </c>
      <c r="J1523" s="13">
        <f>+J1522+I1523</f>
        <v>2817494.69</v>
      </c>
      <c r="K1523" s="19">
        <f>+EOMONTH(B1523,0)</f>
        <v>46356</v>
      </c>
      <c r="L1523" s="3" t="inlineStr">
        <is>
          <t>Checking – Operating</t>
        </is>
      </c>
      <c r="M1523" s="3" t="inlineStr">
        <is>
          <t>Balance Sheet</t>
        </is>
      </c>
    </row>
    <row r="1524">
      <c r="B1524" s="39" t="n">
        <v>46355</v>
      </c>
      <c r="C1524" s="3" t="inlineStr">
        <is>
          <t>Expense</t>
        </is>
      </c>
      <c r="D1524" s="3" t="inlineStr"/>
      <c r="E1524" s="3" t="inlineStr"/>
      <c r="F1524" s="3" t="inlineStr">
        <is>
          <t>Parking – November</t>
        </is>
      </c>
      <c r="G1524" s="3" t="inlineStr">
        <is>
          <t>Parking</t>
        </is>
      </c>
      <c r="H1524" s="3" t="inlineStr">
        <is>
          <t>Checking – Operating</t>
        </is>
      </c>
      <c r="I1524" s="33" t="n">
        <v>-498.66</v>
      </c>
      <c r="J1524" s="13">
        <f>+J1523+I1524</f>
        <v>2816996.03</v>
      </c>
      <c r="K1524" s="19">
        <f>+EOMONTH(B1524,0)</f>
        <v>46356</v>
      </c>
      <c r="L1524" s="3" t="inlineStr">
        <is>
          <t>Checking – Operating</t>
        </is>
      </c>
      <c r="M1524" s="3" t="inlineStr">
        <is>
          <t>Balance Sheet</t>
        </is>
      </c>
    </row>
    <row r="1525">
      <c r="B1525" s="39" t="n">
        <v>46355</v>
      </c>
      <c r="C1525" s="3" t="inlineStr">
        <is>
          <t>Expense</t>
        </is>
      </c>
      <c r="D1525" s="3" t="inlineStr"/>
      <c r="E1525" s="3" t="inlineStr">
        <is>
          <t>Lumenlease Equipment</t>
        </is>
      </c>
      <c r="F1525" s="3" t="inlineStr">
        <is>
          <t>Repairs and Maintenance – November</t>
        </is>
      </c>
      <c r="G1525" s="3" t="inlineStr">
        <is>
          <t>Repairs and Maintenance</t>
        </is>
      </c>
      <c r="H1525" s="3" t="inlineStr">
        <is>
          <t>Checking – Operating</t>
        </is>
      </c>
      <c r="I1525" s="33" t="n">
        <v>-1473.2</v>
      </c>
      <c r="J1525" s="13">
        <f>+J1524+I1525</f>
        <v>2815522.83</v>
      </c>
      <c r="K1525" s="19">
        <f>+EOMONTH(B1525,0)</f>
        <v>46356</v>
      </c>
      <c r="L1525" s="3" t="inlineStr">
        <is>
          <t>Checking – Operating</t>
        </is>
      </c>
      <c r="M1525" s="3" t="inlineStr">
        <is>
          <t>Balance Sheet</t>
        </is>
      </c>
    </row>
    <row r="1526">
      <c r="B1526" s="39" t="n">
        <v>46356</v>
      </c>
      <c r="C1526" s="3" t="inlineStr">
        <is>
          <t>Bill Payment (Check)</t>
        </is>
      </c>
      <c r="D1526" s="3" t="inlineStr"/>
      <c r="E1526" s="3" t="inlineStr">
        <is>
          <t>Vialtrace Lab Supplies Inc</t>
        </is>
      </c>
      <c r="F1526" s="3" t="inlineStr">
        <is>
          <t>Lab supplies PO# F2225</t>
        </is>
      </c>
      <c r="G1526" s="3" t="inlineStr">
        <is>
          <t>Accounts Payable</t>
        </is>
      </c>
      <c r="H1526" s="3" t="inlineStr">
        <is>
          <t>Checking – Operating</t>
        </is>
      </c>
      <c r="I1526" s="33" t="n">
        <v>-36956.71</v>
      </c>
      <c r="J1526" s="13">
        <f>+J1525+I1526</f>
        <v>2778566.12</v>
      </c>
      <c r="K1526" s="19">
        <f>+EOMONTH(B1526,0)</f>
        <v>46356</v>
      </c>
      <c r="L1526" s="3" t="inlineStr">
        <is>
          <t>Checking – Operating</t>
        </is>
      </c>
      <c r="M1526" s="3" t="inlineStr">
        <is>
          <t>Balance Sheet</t>
        </is>
      </c>
    </row>
    <row r="1527">
      <c r="B1527" s="39" t="n">
        <v>46356</v>
      </c>
      <c r="C1527" s="3" t="inlineStr">
        <is>
          <t>Credit Card Expense</t>
        </is>
      </c>
      <c r="D1527" s="3" t="inlineStr"/>
      <c r="E1527" s="3" t="inlineStr"/>
      <c r="F1527" s="3" t="inlineStr">
        <is>
          <t>Car expense – November</t>
        </is>
      </c>
      <c r="G1527" s="3" t="inlineStr">
        <is>
          <t>Car expense</t>
        </is>
      </c>
      <c r="H1527" s="3" t="inlineStr">
        <is>
          <t>Checking – Operating</t>
        </is>
      </c>
      <c r="I1527" s="33" t="n">
        <v>-716.77</v>
      </c>
      <c r="J1527" s="13">
        <f>+J1526+I1527</f>
        <v>2777849.35</v>
      </c>
      <c r="K1527" s="19">
        <f>+EOMONTH(B1527,0)</f>
        <v>46356</v>
      </c>
      <c r="L1527" s="3" t="inlineStr">
        <is>
          <t>Checking – Operating</t>
        </is>
      </c>
      <c r="M1527" s="3" t="inlineStr">
        <is>
          <t>Balance Sheet</t>
        </is>
      </c>
    </row>
    <row r="1528">
      <c r="B1528" s="39" t="n">
        <v>46356</v>
      </c>
      <c r="C1528" s="3" t="inlineStr">
        <is>
          <t>Deposit</t>
        </is>
      </c>
      <c r="D1528" s="3" t="inlineStr"/>
      <c r="E1528" s="3" t="inlineStr">
        <is>
          <t>Vantrelle Health Plan</t>
        </is>
      </c>
      <c r="F1528" s="3" t="inlineStr">
        <is>
          <t>ORIG CO NAME:VANTRELLE HP ORIG ID:XXXXXX8989 DESC DATE:261130 CO ENTRY DESCR:HCCLAIMPMT SEC:CCD TRACE#:XXXXXXXX5656025 EED:261130 IND ID:</t>
        </is>
      </c>
      <c r="G1528" s="3" t="inlineStr">
        <is>
          <t>Service Income</t>
        </is>
      </c>
      <c r="H1528" s="3" t="inlineStr">
        <is>
          <t>Checking – Operating</t>
        </is>
      </c>
      <c r="I1528" s="33" t="n">
        <v>140554.71</v>
      </c>
      <c r="J1528" s="13">
        <f>+J1527+I1528</f>
        <v>2918404.06</v>
      </c>
      <c r="K1528" s="19">
        <f>+EOMONTH(B1528,0)</f>
        <v>46356</v>
      </c>
      <c r="L1528" s="3" t="inlineStr">
        <is>
          <t>Checking – Operating</t>
        </is>
      </c>
      <c r="M1528" s="3" t="inlineStr">
        <is>
          <t>Balance Sheet</t>
        </is>
      </c>
    </row>
    <row r="1529">
      <c r="B1529" s="39" t="n">
        <v>46356</v>
      </c>
      <c r="C1529" s="3" t="inlineStr">
        <is>
          <t>Deposit</t>
        </is>
      </c>
      <c r="D1529" s="3" t="inlineStr"/>
      <c r="E1529" s="3" t="inlineStr">
        <is>
          <t>Federal Program A</t>
        </is>
      </c>
      <c r="F1529" s="3" t="inlineStr">
        <is>
          <t>ORIG CO NAME:FEDERAL PROG A ORIG ID:XXXXXX4499 DESC DATE:261130 CO ENTRY DESCR:HCCLAIMPMT SEC:CCD TRACE#:XXXXXXXX4171502 EED:261130 IND ID:</t>
        </is>
      </c>
      <c r="G1529" s="3" t="inlineStr">
        <is>
          <t>Service Income</t>
        </is>
      </c>
      <c r="H1529" s="3" t="inlineStr">
        <is>
          <t>Checking – Operating</t>
        </is>
      </c>
      <c r="I1529" s="33" t="n">
        <v>88462.31</v>
      </c>
      <c r="J1529" s="13">
        <f>+J1528+I1529</f>
        <v>3006866.37</v>
      </c>
      <c r="K1529" s="19">
        <f>+EOMONTH(B1529,0)</f>
        <v>46356</v>
      </c>
      <c r="L1529" s="3" t="inlineStr">
        <is>
          <t>Checking – Operating</t>
        </is>
      </c>
      <c r="M1529" s="3" t="inlineStr">
        <is>
          <t>Balance Sheet</t>
        </is>
      </c>
    </row>
    <row r="1530">
      <c r="B1530" s="39" t="n">
        <v>46356</v>
      </c>
      <c r="C1530" s="3" t="inlineStr">
        <is>
          <t>Expense</t>
        </is>
      </c>
      <c r="D1530" s="3" t="inlineStr"/>
      <c r="E1530" s="3" t="inlineStr">
        <is>
          <t>Reagentix Corp</t>
        </is>
      </c>
      <c r="F1530" s="3" t="inlineStr">
        <is>
          <t>QAQC – November</t>
        </is>
      </c>
      <c r="G1530" s="3" t="inlineStr">
        <is>
          <t>QAQC</t>
        </is>
      </c>
      <c r="H1530" s="3" t="inlineStr">
        <is>
          <t>Checking – Operating</t>
        </is>
      </c>
      <c r="I1530" s="33" t="n">
        <v>-1696.54</v>
      </c>
      <c r="J1530" s="13">
        <f>+J1529+I1530</f>
        <v>3005169.83</v>
      </c>
      <c r="K1530" s="19">
        <f>+EOMONTH(B1530,0)</f>
        <v>46356</v>
      </c>
      <c r="L1530" s="3" t="inlineStr">
        <is>
          <t>Checking – Operating</t>
        </is>
      </c>
      <c r="M1530" s="3" t="inlineStr">
        <is>
          <t>Balance Sheet</t>
        </is>
      </c>
    </row>
    <row r="1531">
      <c r="B1531" s="39" t="n">
        <v>46356</v>
      </c>
      <c r="C1531" s="3" t="inlineStr">
        <is>
          <t>Journal Entry</t>
        </is>
      </c>
      <c r="D1531" s="3" t="inlineStr"/>
      <c r="E1531" s="3" t="inlineStr">
        <is>
          <t>Tessarand Payroll Services</t>
        </is>
      </c>
      <c r="F1531" s="3" t="inlineStr">
        <is>
          <t>Contractors – November</t>
        </is>
      </c>
      <c r="G1531" s="3" t="inlineStr">
        <is>
          <t>Contractors</t>
        </is>
      </c>
      <c r="H1531" s="3" t="inlineStr">
        <is>
          <t>Checking – Operating</t>
        </is>
      </c>
      <c r="I1531" s="33" t="n">
        <v>-7065.93</v>
      </c>
      <c r="J1531" s="13">
        <f>+J1530+I1531</f>
        <v>2998103.9</v>
      </c>
      <c r="K1531" s="19">
        <f>+EOMONTH(B1531,0)</f>
        <v>46356</v>
      </c>
      <c r="L1531" s="3" t="inlineStr">
        <is>
          <t>Checking – Operating</t>
        </is>
      </c>
      <c r="M1531" s="3" t="inlineStr">
        <is>
          <t>Balance Sheet</t>
        </is>
      </c>
    </row>
    <row r="1532">
      <c r="A1532" s="2" t="inlineStr">
        <is>
          <t>Total for Checking – Operating</t>
        </is>
      </c>
      <c r="I1532" s="35">
        <f>SUM(I7:I1531)</f>
        <v>2998103.9</v>
      </c>
    </row>
    <row r="1534">
      <c r="A1534" s="2" t="inlineStr">
        <is>
          <t>Accounts Receivable</t>
        </is>
      </c>
    </row>
    <row r="1535">
      <c r="B1535" s="39" t="n">
        <v>46024</v>
      </c>
      <c r="C1535" s="3" t="inlineStr">
        <is>
          <t>Invoice</t>
        </is>
      </c>
      <c r="D1535" s="3" t="inlineStr">
        <is>
          <t>INV-26003</t>
        </is>
      </c>
      <c r="E1535" s="3" t="inlineStr">
        <is>
          <t>Marrowby Mutual</t>
        </is>
      </c>
      <c r="F1535" s="3" t="inlineStr">
        <is>
          <t>Claims batch – January</t>
        </is>
      </c>
      <c r="G1535" s="3" t="inlineStr">
        <is>
          <t>Service Income</t>
        </is>
      </c>
      <c r="H1535" s="3" t="inlineStr">
        <is>
          <t>Accounts Receivable</t>
        </is>
      </c>
      <c r="I1535" s="33" t="n">
        <v>169735.31</v>
      </c>
      <c r="J1535" s="13">
        <f>+I1535</f>
        <v>169735.31</v>
      </c>
      <c r="K1535" s="19">
        <f>+EOMONTH(B1535,0)</f>
        <v>46053</v>
      </c>
      <c r="L1535" s="3" t="inlineStr">
        <is>
          <t>Accounts Receivable</t>
        </is>
      </c>
      <c r="M1535" s="3" t="inlineStr">
        <is>
          <t>Balance Sheet</t>
        </is>
      </c>
    </row>
    <row r="1536">
      <c r="B1536" s="39" t="n">
        <v>46024</v>
      </c>
      <c r="C1536" s="3" t="inlineStr">
        <is>
          <t>Invoice</t>
        </is>
      </c>
      <c r="D1536" s="3" t="inlineStr">
        <is>
          <t>INV-26006</t>
        </is>
      </c>
      <c r="E1536" s="3" t="inlineStr">
        <is>
          <t>Silvermoss Senior Living</t>
        </is>
      </c>
      <c r="F1536" s="3" t="inlineStr">
        <is>
          <t>Claims batch – January</t>
        </is>
      </c>
      <c r="G1536" s="3" t="inlineStr">
        <is>
          <t>Service Income</t>
        </is>
      </c>
      <c r="H1536" s="3" t="inlineStr">
        <is>
          <t>Accounts Receivable</t>
        </is>
      </c>
      <c r="I1536" s="33" t="n">
        <v>98208.89999999999</v>
      </c>
      <c r="J1536" s="13">
        <f>+J1535+I1536</f>
        <v>267944.21</v>
      </c>
      <c r="K1536" s="19">
        <f>+EOMONTH(B1536,0)</f>
        <v>46053</v>
      </c>
      <c r="L1536" s="3" t="inlineStr">
        <is>
          <t>Accounts Receivable</t>
        </is>
      </c>
      <c r="M1536" s="3" t="inlineStr">
        <is>
          <t>Balance Sheet</t>
        </is>
      </c>
    </row>
    <row r="1537">
      <c r="B1537" s="39" t="n">
        <v>46024</v>
      </c>
      <c r="C1537" s="3" t="inlineStr">
        <is>
          <t>Payment</t>
        </is>
      </c>
      <c r="D1537" s="3" t="inlineStr"/>
      <c r="E1537" s="3" t="inlineStr">
        <is>
          <t>Silvermoss Senior Living</t>
        </is>
      </c>
      <c r="F1537" s="3" t="inlineStr">
        <is>
          <t>Remittance applied</t>
        </is>
      </c>
      <c r="G1537" s="3" t="inlineStr">
        <is>
          <t>Checking – Operating</t>
        </is>
      </c>
      <c r="H1537" s="3" t="inlineStr">
        <is>
          <t>Accounts Receivable</t>
        </is>
      </c>
      <c r="I1537" s="33" t="n">
        <v>-41213.01</v>
      </c>
      <c r="J1537" s="13">
        <f>+J1536+I1537</f>
        <v>226731.2</v>
      </c>
      <c r="K1537" s="19">
        <f>+EOMONTH(B1537,0)</f>
        <v>46053</v>
      </c>
      <c r="L1537" s="3" t="inlineStr">
        <is>
          <t>Accounts Receivable</t>
        </is>
      </c>
      <c r="M1537" s="3" t="inlineStr">
        <is>
          <t>Balance Sheet</t>
        </is>
      </c>
    </row>
    <row r="1538">
      <c r="B1538" s="39" t="n">
        <v>46024</v>
      </c>
      <c r="C1538" s="3" t="inlineStr">
        <is>
          <t>Payment</t>
        </is>
      </c>
      <c r="D1538" s="3" t="inlineStr"/>
      <c r="E1538" s="3" t="inlineStr">
        <is>
          <t>Lanternway Benefits</t>
        </is>
      </c>
      <c r="F1538" s="3" t="inlineStr">
        <is>
          <t>Remittance applied</t>
        </is>
      </c>
      <c r="G1538" s="3" t="inlineStr">
        <is>
          <t>Checking – Operating</t>
        </is>
      </c>
      <c r="H1538" s="3" t="inlineStr">
        <is>
          <t>Accounts Receivable</t>
        </is>
      </c>
      <c r="I1538" s="33" t="n">
        <v>-54034.1</v>
      </c>
      <c r="J1538" s="13">
        <f>+J1537+I1538</f>
        <v>172697.1</v>
      </c>
      <c r="K1538" s="19">
        <f>+EOMONTH(B1538,0)</f>
        <v>46053</v>
      </c>
      <c r="L1538" s="3" t="inlineStr">
        <is>
          <t>Accounts Receivable</t>
        </is>
      </c>
      <c r="M1538" s="3" t="inlineStr">
        <is>
          <t>Balance Sheet</t>
        </is>
      </c>
    </row>
    <row r="1539">
      <c r="B1539" s="39" t="n">
        <v>46025</v>
      </c>
      <c r="C1539" s="3" t="inlineStr">
        <is>
          <t>Invoice</t>
        </is>
      </c>
      <c r="D1539" s="3" t="inlineStr">
        <is>
          <t>INV-26005</t>
        </is>
      </c>
      <c r="E1539" s="3" t="inlineStr">
        <is>
          <t>State Program B</t>
        </is>
      </c>
      <c r="F1539" s="3" t="inlineStr">
        <is>
          <t>Claims batch – January</t>
        </is>
      </c>
      <c r="G1539" s="3" t="inlineStr">
        <is>
          <t>Service Income</t>
        </is>
      </c>
      <c r="H1539" s="3" t="inlineStr">
        <is>
          <t>Accounts Receivable</t>
        </is>
      </c>
      <c r="I1539" s="33" t="n">
        <v>110709.14</v>
      </c>
      <c r="J1539" s="13">
        <f>+J1538+I1539</f>
        <v>283406.24</v>
      </c>
      <c r="K1539" s="19">
        <f>+EOMONTH(B1539,0)</f>
        <v>46053</v>
      </c>
      <c r="L1539" s="3" t="inlineStr">
        <is>
          <t>Accounts Receivable</t>
        </is>
      </c>
      <c r="M1539" s="3" t="inlineStr">
        <is>
          <t>Balance Sheet</t>
        </is>
      </c>
    </row>
    <row r="1540">
      <c r="B1540" s="39" t="n">
        <v>46025</v>
      </c>
      <c r="C1540" s="3" t="inlineStr">
        <is>
          <t>Invoice</t>
        </is>
      </c>
      <c r="D1540" s="3" t="inlineStr">
        <is>
          <t>INV-26008</t>
        </is>
      </c>
      <c r="E1540" s="3" t="inlineStr">
        <is>
          <t>Quayside Choice Senior Plan</t>
        </is>
      </c>
      <c r="F1540" s="3" t="inlineStr">
        <is>
          <t>Claims batch – January</t>
        </is>
      </c>
      <c r="G1540" s="3" t="inlineStr">
        <is>
          <t>Service Income</t>
        </is>
      </c>
      <c r="H1540" s="3" t="inlineStr">
        <is>
          <t>Accounts Receivable</t>
        </is>
      </c>
      <c r="I1540" s="33" t="n">
        <v>134448.24</v>
      </c>
      <c r="J1540" s="13">
        <f>+J1539+I1540</f>
        <v>417854.48</v>
      </c>
      <c r="K1540" s="19">
        <f>+EOMONTH(B1540,0)</f>
        <v>46053</v>
      </c>
      <c r="L1540" s="3" t="inlineStr">
        <is>
          <t>Accounts Receivable</t>
        </is>
      </c>
      <c r="M1540" s="3" t="inlineStr">
        <is>
          <t>Balance Sheet</t>
        </is>
      </c>
    </row>
    <row r="1541">
      <c r="B1541" s="39" t="n">
        <v>46025</v>
      </c>
      <c r="C1541" s="3" t="inlineStr">
        <is>
          <t>Payment</t>
        </is>
      </c>
      <c r="D1541" s="3" t="inlineStr"/>
      <c r="E1541" s="3" t="inlineStr">
        <is>
          <t>Quayside Choice Senior Plan</t>
        </is>
      </c>
      <c r="F1541" s="3" t="inlineStr">
        <is>
          <t>Remittance applied</t>
        </is>
      </c>
      <c r="G1541" s="3" t="inlineStr">
        <is>
          <t>Checking – Operating</t>
        </is>
      </c>
      <c r="H1541" s="3" t="inlineStr">
        <is>
          <t>Accounts Receivable</t>
        </is>
      </c>
      <c r="I1541" s="33" t="n">
        <v>-35891.36</v>
      </c>
      <c r="J1541" s="13">
        <f>+J1540+I1541</f>
        <v>381963.12</v>
      </c>
      <c r="K1541" s="19">
        <f>+EOMONTH(B1541,0)</f>
        <v>46053</v>
      </c>
      <c r="L1541" s="3" t="inlineStr">
        <is>
          <t>Accounts Receivable</t>
        </is>
      </c>
      <c r="M1541" s="3" t="inlineStr">
        <is>
          <t>Balance Sheet</t>
        </is>
      </c>
    </row>
    <row r="1542">
      <c r="B1542" s="39" t="n">
        <v>46027</v>
      </c>
      <c r="C1542" s="3" t="inlineStr">
        <is>
          <t>Invoice</t>
        </is>
      </c>
      <c r="D1542" s="3" t="inlineStr">
        <is>
          <t>INV-26007</t>
        </is>
      </c>
      <c r="E1542" s="3" t="inlineStr">
        <is>
          <t>Lanternway Benefits</t>
        </is>
      </c>
      <c r="F1542" s="3" t="inlineStr">
        <is>
          <t>Claims batch – January</t>
        </is>
      </c>
      <c r="G1542" s="3" t="inlineStr">
        <is>
          <t>Service Income</t>
        </is>
      </c>
      <c r="H1542" s="3" t="inlineStr">
        <is>
          <t>Accounts Receivable</t>
        </is>
      </c>
      <c r="I1542" s="33" t="n">
        <v>123702.1</v>
      </c>
      <c r="J1542" s="13">
        <f>+J1541+I1542</f>
        <v>505665.22</v>
      </c>
      <c r="K1542" s="19">
        <f>+EOMONTH(B1542,0)</f>
        <v>46053</v>
      </c>
      <c r="L1542" s="3" t="inlineStr">
        <is>
          <t>Accounts Receivable</t>
        </is>
      </c>
      <c r="M1542" s="3" t="inlineStr">
        <is>
          <t>Balance Sheet</t>
        </is>
      </c>
    </row>
    <row r="1543">
      <c r="B1543" s="39" t="n">
        <v>46029</v>
      </c>
      <c r="C1543" s="3" t="inlineStr">
        <is>
          <t>Invoice</t>
        </is>
      </c>
      <c r="D1543" s="3" t="inlineStr">
        <is>
          <t>INV-26002</t>
        </is>
      </c>
      <c r="E1543" s="3" t="inlineStr">
        <is>
          <t>Vantrelle Health Plan</t>
        </is>
      </c>
      <c r="F1543" s="3" t="inlineStr">
        <is>
          <t>Claims batch – January</t>
        </is>
      </c>
      <c r="G1543" s="3" t="inlineStr">
        <is>
          <t>Service Income</t>
        </is>
      </c>
      <c r="H1543" s="3" t="inlineStr">
        <is>
          <t>Accounts Receivable</t>
        </is>
      </c>
      <c r="I1543" s="33" t="n">
        <v>275447.24</v>
      </c>
      <c r="J1543" s="13">
        <f>+J1542+I1543</f>
        <v>781112.46</v>
      </c>
      <c r="K1543" s="19">
        <f>+EOMONTH(B1543,0)</f>
        <v>46053</v>
      </c>
      <c r="L1543" s="3" t="inlineStr">
        <is>
          <t>Accounts Receivable</t>
        </is>
      </c>
      <c r="M1543" s="3" t="inlineStr">
        <is>
          <t>Balance Sheet</t>
        </is>
      </c>
    </row>
    <row r="1544">
      <c r="B1544" s="39" t="n">
        <v>46030</v>
      </c>
      <c r="C1544" s="3" t="inlineStr">
        <is>
          <t>Invoice</t>
        </is>
      </c>
      <c r="D1544" s="3" t="inlineStr">
        <is>
          <t>INV-26004</t>
        </is>
      </c>
      <c r="E1544" s="3" t="inlineStr">
        <is>
          <t>Federal Program A</t>
        </is>
      </c>
      <c r="F1544" s="3" t="inlineStr">
        <is>
          <t>Claims batch – January</t>
        </is>
      </c>
      <c r="G1544" s="3" t="inlineStr">
        <is>
          <t>Service Income</t>
        </is>
      </c>
      <c r="H1544" s="3" t="inlineStr">
        <is>
          <t>Accounts Receivable</t>
        </is>
      </c>
      <c r="I1544" s="33" t="n">
        <v>236417.15</v>
      </c>
      <c r="J1544" s="13">
        <f>+J1543+I1544</f>
        <v>1017529.61</v>
      </c>
      <c r="K1544" s="19">
        <f>+EOMONTH(B1544,0)</f>
        <v>46053</v>
      </c>
      <c r="L1544" s="3" t="inlineStr">
        <is>
          <t>Accounts Receivable</t>
        </is>
      </c>
      <c r="M1544" s="3" t="inlineStr">
        <is>
          <t>Balance Sheet</t>
        </is>
      </c>
    </row>
    <row r="1545">
      <c r="B1545" s="39" t="n">
        <v>46030</v>
      </c>
      <c r="C1545" s="3" t="inlineStr">
        <is>
          <t>Invoice</t>
        </is>
      </c>
      <c r="D1545" s="3" t="inlineStr">
        <is>
          <t>INV-26009</t>
        </is>
      </c>
      <c r="E1545" s="3" t="inlineStr">
        <is>
          <t>Cobaltmere Health</t>
        </is>
      </c>
      <c r="F1545" s="3" t="inlineStr">
        <is>
          <t>Claims batch – January</t>
        </is>
      </c>
      <c r="G1545" s="3" t="inlineStr">
        <is>
          <t>Service Income</t>
        </is>
      </c>
      <c r="H1545" s="3" t="inlineStr">
        <is>
          <t>Accounts Receivable</t>
        </is>
      </c>
      <c r="I1545" s="33" t="n">
        <v>76972.22</v>
      </c>
      <c r="J1545" s="13">
        <f>+J1544+I1545</f>
        <v>1094501.83</v>
      </c>
      <c r="K1545" s="19">
        <f>+EOMONTH(B1545,0)</f>
        <v>46053</v>
      </c>
      <c r="L1545" s="3" t="inlineStr">
        <is>
          <t>Accounts Receivable</t>
        </is>
      </c>
      <c r="M1545" s="3" t="inlineStr">
        <is>
          <t>Balance Sheet</t>
        </is>
      </c>
    </row>
    <row r="1546">
      <c r="B1546" s="39" t="n">
        <v>46030</v>
      </c>
      <c r="C1546" s="3" t="inlineStr">
        <is>
          <t>Payment</t>
        </is>
      </c>
      <c r="D1546" s="3" t="inlineStr"/>
      <c r="E1546" s="3" t="inlineStr">
        <is>
          <t>Quayside Choice Senior Plan</t>
        </is>
      </c>
      <c r="F1546" s="3" t="inlineStr">
        <is>
          <t>Remittance applied</t>
        </is>
      </c>
      <c r="G1546" s="3" t="inlineStr">
        <is>
          <t>Checking – Operating</t>
        </is>
      </c>
      <c r="H1546" s="3" t="inlineStr">
        <is>
          <t>Accounts Receivable</t>
        </is>
      </c>
      <c r="I1546" s="33" t="n">
        <v>-61228.14</v>
      </c>
      <c r="J1546" s="13">
        <f>+J1545+I1546</f>
        <v>1033273.69</v>
      </c>
      <c r="K1546" s="19">
        <f>+EOMONTH(B1546,0)</f>
        <v>46053</v>
      </c>
      <c r="L1546" s="3" t="inlineStr">
        <is>
          <t>Accounts Receivable</t>
        </is>
      </c>
      <c r="M1546" s="3" t="inlineStr">
        <is>
          <t>Balance Sheet</t>
        </is>
      </c>
    </row>
    <row r="1547">
      <c r="B1547" s="39" t="n">
        <v>46033</v>
      </c>
      <c r="C1547" s="3" t="inlineStr">
        <is>
          <t>Payment</t>
        </is>
      </c>
      <c r="D1547" s="3" t="inlineStr"/>
      <c r="E1547" s="3" t="inlineStr">
        <is>
          <t>Marrowby Mutual</t>
        </is>
      </c>
      <c r="F1547" s="3" t="inlineStr">
        <is>
          <t>Remittance applied</t>
        </is>
      </c>
      <c r="G1547" s="3" t="inlineStr">
        <is>
          <t>Checking – Operating</t>
        </is>
      </c>
      <c r="H1547" s="3" t="inlineStr">
        <is>
          <t>Accounts Receivable</t>
        </is>
      </c>
      <c r="I1547" s="33" t="n">
        <v>-79687.48</v>
      </c>
      <c r="J1547" s="13">
        <f>+J1546+I1547</f>
        <v>953586.21</v>
      </c>
      <c r="K1547" s="19">
        <f>+EOMONTH(B1547,0)</f>
        <v>46053</v>
      </c>
      <c r="L1547" s="3" t="inlineStr">
        <is>
          <t>Accounts Receivable</t>
        </is>
      </c>
      <c r="M1547" s="3" t="inlineStr">
        <is>
          <t>Balance Sheet</t>
        </is>
      </c>
    </row>
    <row r="1548">
      <c r="B1548" s="39" t="n">
        <v>46034</v>
      </c>
      <c r="C1548" s="3" t="inlineStr">
        <is>
          <t>Payment</t>
        </is>
      </c>
      <c r="D1548" s="3" t="inlineStr"/>
      <c r="E1548" s="3" t="inlineStr">
        <is>
          <t>Federal Program A</t>
        </is>
      </c>
      <c r="F1548" s="3" t="inlineStr">
        <is>
          <t>Remittance applied</t>
        </is>
      </c>
      <c r="G1548" s="3" t="inlineStr">
        <is>
          <t>Checking – Operating</t>
        </is>
      </c>
      <c r="H1548" s="3" t="inlineStr">
        <is>
          <t>Accounts Receivable</t>
        </is>
      </c>
      <c r="I1548" s="33" t="n">
        <v>-92474.10000000001</v>
      </c>
      <c r="J1548" s="13">
        <f>+J1547+I1548</f>
        <v>861112.11</v>
      </c>
      <c r="K1548" s="19">
        <f>+EOMONTH(B1548,0)</f>
        <v>46053</v>
      </c>
      <c r="L1548" s="3" t="inlineStr">
        <is>
          <t>Accounts Receivable</t>
        </is>
      </c>
      <c r="M1548" s="3" t="inlineStr">
        <is>
          <t>Balance Sheet</t>
        </is>
      </c>
    </row>
    <row r="1549">
      <c r="B1549" s="39" t="n">
        <v>46034</v>
      </c>
      <c r="C1549" s="3" t="inlineStr">
        <is>
          <t>Payment</t>
        </is>
      </c>
      <c r="D1549" s="3" t="inlineStr"/>
      <c r="E1549" s="3" t="inlineStr">
        <is>
          <t>Quayside Choice Senior Plan</t>
        </is>
      </c>
      <c r="F1549" s="3" t="inlineStr">
        <is>
          <t>Remittance applied</t>
        </is>
      </c>
      <c r="G1549" s="3" t="inlineStr">
        <is>
          <t>Checking – Operating</t>
        </is>
      </c>
      <c r="H1549" s="3" t="inlineStr">
        <is>
          <t>Accounts Receivable</t>
        </is>
      </c>
      <c r="I1549" s="33" t="n">
        <v>-36946.09</v>
      </c>
      <c r="J1549" s="13">
        <f>+J1548+I1549</f>
        <v>824166.02</v>
      </c>
      <c r="K1549" s="19">
        <f>+EOMONTH(B1549,0)</f>
        <v>46053</v>
      </c>
      <c r="L1549" s="3" t="inlineStr">
        <is>
          <t>Accounts Receivable</t>
        </is>
      </c>
      <c r="M1549" s="3" t="inlineStr">
        <is>
          <t>Balance Sheet</t>
        </is>
      </c>
    </row>
    <row r="1550">
      <c r="B1550" s="39" t="n">
        <v>46037</v>
      </c>
      <c r="C1550" s="3" t="inlineStr">
        <is>
          <t>Payment</t>
        </is>
      </c>
      <c r="D1550" s="3" t="inlineStr"/>
      <c r="E1550" s="3" t="inlineStr">
        <is>
          <t>Vantrelle Health Plan</t>
        </is>
      </c>
      <c r="F1550" s="3" t="inlineStr">
        <is>
          <t>Remittance applied</t>
        </is>
      </c>
      <c r="G1550" s="3" t="inlineStr">
        <is>
          <t>Checking – Operating</t>
        </is>
      </c>
      <c r="H1550" s="3" t="inlineStr">
        <is>
          <t>Accounts Receivable</t>
        </is>
      </c>
      <c r="I1550" s="33" t="n">
        <v>-72489.84</v>
      </c>
      <c r="J1550" s="13">
        <f>+J1549+I1550</f>
        <v>751676.18</v>
      </c>
      <c r="K1550" s="19">
        <f>+EOMONTH(B1550,0)</f>
        <v>46053</v>
      </c>
      <c r="L1550" s="3" t="inlineStr">
        <is>
          <t>Accounts Receivable</t>
        </is>
      </c>
      <c r="M1550" s="3" t="inlineStr">
        <is>
          <t>Balance Sheet</t>
        </is>
      </c>
    </row>
    <row r="1551">
      <c r="B1551" s="39" t="n">
        <v>46038</v>
      </c>
      <c r="C1551" s="3" t="inlineStr">
        <is>
          <t>Payment</t>
        </is>
      </c>
      <c r="D1551" s="3" t="inlineStr"/>
      <c r="E1551" s="3" t="inlineStr">
        <is>
          <t>Marrowby Mutual</t>
        </is>
      </c>
      <c r="F1551" s="3" t="inlineStr">
        <is>
          <t>Remittance applied</t>
        </is>
      </c>
      <c r="G1551" s="3" t="inlineStr">
        <is>
          <t>Checking – Operating</t>
        </is>
      </c>
      <c r="H1551" s="3" t="inlineStr">
        <is>
          <t>Accounts Receivable</t>
        </is>
      </c>
      <c r="I1551" s="33" t="n">
        <v>-90941.46000000001</v>
      </c>
      <c r="J1551" s="13">
        <f>+J1550+I1551</f>
        <v>660734.72</v>
      </c>
      <c r="K1551" s="19">
        <f>+EOMONTH(B1551,0)</f>
        <v>46053</v>
      </c>
      <c r="L1551" s="3" t="inlineStr">
        <is>
          <t>Accounts Receivable</t>
        </is>
      </c>
      <c r="M1551" s="3" t="inlineStr">
        <is>
          <t>Balance Sheet</t>
        </is>
      </c>
    </row>
    <row r="1552">
      <c r="B1552" s="39" t="n">
        <v>46039</v>
      </c>
      <c r="C1552" s="3" t="inlineStr">
        <is>
          <t>Payment</t>
        </is>
      </c>
      <c r="D1552" s="3" t="inlineStr"/>
      <c r="E1552" s="3" t="inlineStr">
        <is>
          <t>State Program B</t>
        </is>
      </c>
      <c r="F1552" s="3" t="inlineStr">
        <is>
          <t>Remittance applied</t>
        </is>
      </c>
      <c r="G1552" s="3" t="inlineStr">
        <is>
          <t>Checking – Operating</t>
        </is>
      </c>
      <c r="H1552" s="3" t="inlineStr">
        <is>
          <t>Accounts Receivable</t>
        </is>
      </c>
      <c r="I1552" s="33" t="n">
        <v>-49535.86</v>
      </c>
      <c r="J1552" s="13">
        <f>+J1551+I1552</f>
        <v>611198.86</v>
      </c>
      <c r="K1552" s="19">
        <f>+EOMONTH(B1552,0)</f>
        <v>46053</v>
      </c>
      <c r="L1552" s="3" t="inlineStr">
        <is>
          <t>Accounts Receivable</t>
        </is>
      </c>
      <c r="M1552" s="3" t="inlineStr">
        <is>
          <t>Balance Sheet</t>
        </is>
      </c>
    </row>
    <row r="1553">
      <c r="B1553" s="39" t="n">
        <v>46039</v>
      </c>
      <c r="C1553" s="3" t="inlineStr">
        <is>
          <t>Payment</t>
        </is>
      </c>
      <c r="D1553" s="3" t="inlineStr"/>
      <c r="E1553" s="3" t="inlineStr">
        <is>
          <t>Silvermoss Senior Living</t>
        </is>
      </c>
      <c r="F1553" s="3" t="inlineStr">
        <is>
          <t>Remittance applied</t>
        </is>
      </c>
      <c r="G1553" s="3" t="inlineStr">
        <is>
          <t>Checking – Operating</t>
        </is>
      </c>
      <c r="H1553" s="3" t="inlineStr">
        <is>
          <t>Accounts Receivable</t>
        </is>
      </c>
      <c r="I1553" s="33" t="n">
        <v>-56289.24</v>
      </c>
      <c r="J1553" s="13">
        <f>+J1552+I1553</f>
        <v>554909.62</v>
      </c>
      <c r="K1553" s="19">
        <f>+EOMONTH(B1553,0)</f>
        <v>46053</v>
      </c>
      <c r="L1553" s="3" t="inlineStr">
        <is>
          <t>Accounts Receivable</t>
        </is>
      </c>
      <c r="M1553" s="3" t="inlineStr">
        <is>
          <t>Balance Sheet</t>
        </is>
      </c>
    </row>
    <row r="1554">
      <c r="B1554" s="39" t="n">
        <v>46041</v>
      </c>
      <c r="C1554" s="3" t="inlineStr">
        <is>
          <t>Payment</t>
        </is>
      </c>
      <c r="D1554" s="3" t="inlineStr"/>
      <c r="E1554" s="3" t="inlineStr">
        <is>
          <t>Lanternway Benefits</t>
        </is>
      </c>
      <c r="F1554" s="3" t="inlineStr">
        <is>
          <t>Remittance applied</t>
        </is>
      </c>
      <c r="G1554" s="3" t="inlineStr">
        <is>
          <t>Checking – Operating</t>
        </is>
      </c>
      <c r="H1554" s="3" t="inlineStr">
        <is>
          <t>Accounts Receivable</t>
        </is>
      </c>
      <c r="I1554" s="33" t="n">
        <v>-40133.88</v>
      </c>
      <c r="J1554" s="13">
        <f>+J1553+I1554</f>
        <v>514775.74</v>
      </c>
      <c r="K1554" s="19">
        <f>+EOMONTH(B1554,0)</f>
        <v>46053</v>
      </c>
      <c r="L1554" s="3" t="inlineStr">
        <is>
          <t>Accounts Receivable</t>
        </is>
      </c>
      <c r="M1554" s="3" t="inlineStr">
        <is>
          <t>Balance Sheet</t>
        </is>
      </c>
    </row>
    <row r="1555">
      <c r="B1555" s="39" t="n">
        <v>46048</v>
      </c>
      <c r="C1555" s="3" t="inlineStr">
        <is>
          <t>Payment</t>
        </is>
      </c>
      <c r="D1555" s="3" t="inlineStr"/>
      <c r="E1555" s="3" t="inlineStr">
        <is>
          <t>Lanternway Benefits</t>
        </is>
      </c>
      <c r="F1555" s="3" t="inlineStr">
        <is>
          <t>Remittance applied</t>
        </is>
      </c>
      <c r="G1555" s="3" t="inlineStr">
        <is>
          <t>Checking – Operating</t>
        </is>
      </c>
      <c r="H1555" s="3" t="inlineStr">
        <is>
          <t>Accounts Receivable</t>
        </is>
      </c>
      <c r="I1555" s="33" t="n">
        <v>-27709.83</v>
      </c>
      <c r="J1555" s="13">
        <f>+J1554+I1555</f>
        <v>487065.91</v>
      </c>
      <c r="K1555" s="19">
        <f>+EOMONTH(B1555,0)</f>
        <v>46053</v>
      </c>
      <c r="L1555" s="3" t="inlineStr">
        <is>
          <t>Accounts Receivable</t>
        </is>
      </c>
      <c r="M1555" s="3" t="inlineStr">
        <is>
          <t>Balance Sheet</t>
        </is>
      </c>
    </row>
    <row r="1556">
      <c r="B1556" s="39" t="n">
        <v>46050</v>
      </c>
      <c r="C1556" s="3" t="inlineStr">
        <is>
          <t>Payment</t>
        </is>
      </c>
      <c r="D1556" s="3" t="inlineStr"/>
      <c r="E1556" s="3" t="inlineStr">
        <is>
          <t>Cobaltmere Health</t>
        </is>
      </c>
      <c r="F1556" s="3" t="inlineStr">
        <is>
          <t>Remittance applied</t>
        </is>
      </c>
      <c r="G1556" s="3" t="inlineStr">
        <is>
          <t>Checking – Operating</t>
        </is>
      </c>
      <c r="H1556" s="3" t="inlineStr">
        <is>
          <t>Accounts Receivable</t>
        </is>
      </c>
      <c r="I1556" s="33" t="n">
        <v>-47009.47</v>
      </c>
      <c r="J1556" s="13">
        <f>+J1555+I1556</f>
        <v>440056.44</v>
      </c>
      <c r="K1556" s="19">
        <f>+EOMONTH(B1556,0)</f>
        <v>46053</v>
      </c>
      <c r="L1556" s="3" t="inlineStr">
        <is>
          <t>Accounts Receivable</t>
        </is>
      </c>
      <c r="M1556" s="3" t="inlineStr">
        <is>
          <t>Balance Sheet</t>
        </is>
      </c>
    </row>
    <row r="1557">
      <c r="B1557" s="39" t="n">
        <v>46050</v>
      </c>
      <c r="C1557" s="3" t="inlineStr">
        <is>
          <t>Payment</t>
        </is>
      </c>
      <c r="D1557" s="3" t="inlineStr"/>
      <c r="E1557" s="3" t="inlineStr">
        <is>
          <t>Cobaltmere Health</t>
        </is>
      </c>
      <c r="F1557" s="3" t="inlineStr">
        <is>
          <t>Remittance applied</t>
        </is>
      </c>
      <c r="G1557" s="3" t="inlineStr">
        <is>
          <t>Checking – Operating</t>
        </is>
      </c>
      <c r="H1557" s="3" t="inlineStr">
        <is>
          <t>Accounts Receivable</t>
        </is>
      </c>
      <c r="I1557" s="33" t="n">
        <v>-26117.22</v>
      </c>
      <c r="J1557" s="13">
        <f>+J1556+I1557</f>
        <v>413939.22</v>
      </c>
      <c r="K1557" s="19">
        <f>+EOMONTH(B1557,0)</f>
        <v>46053</v>
      </c>
      <c r="L1557" s="3" t="inlineStr">
        <is>
          <t>Accounts Receivable</t>
        </is>
      </c>
      <c r="M1557" s="3" t="inlineStr">
        <is>
          <t>Balance Sheet</t>
        </is>
      </c>
    </row>
    <row r="1558">
      <c r="B1558" s="39" t="n">
        <v>46051</v>
      </c>
      <c r="C1558" s="3" t="inlineStr">
        <is>
          <t>Payment</t>
        </is>
      </c>
      <c r="D1558" s="3" t="inlineStr"/>
      <c r="E1558" s="3" t="inlineStr">
        <is>
          <t>Vantrelle Health Plan</t>
        </is>
      </c>
      <c r="F1558" s="3" t="inlineStr">
        <is>
          <t>Remittance applied</t>
        </is>
      </c>
      <c r="G1558" s="3" t="inlineStr">
        <is>
          <t>Checking – Operating</t>
        </is>
      </c>
      <c r="H1558" s="3" t="inlineStr">
        <is>
          <t>Accounts Receivable</t>
        </is>
      </c>
      <c r="I1558" s="33" t="n">
        <v>-89038.67</v>
      </c>
      <c r="J1558" s="13">
        <f>+J1557+I1558</f>
        <v>324900.55</v>
      </c>
      <c r="K1558" s="19">
        <f>+EOMONTH(B1558,0)</f>
        <v>46053</v>
      </c>
      <c r="L1558" s="3" t="inlineStr">
        <is>
          <t>Accounts Receivable</t>
        </is>
      </c>
      <c r="M1558" s="3" t="inlineStr">
        <is>
          <t>Balance Sheet</t>
        </is>
      </c>
    </row>
    <row r="1559">
      <c r="B1559" s="39" t="n">
        <v>46051</v>
      </c>
      <c r="C1559" s="3" t="inlineStr">
        <is>
          <t>Payment</t>
        </is>
      </c>
      <c r="D1559" s="3" t="inlineStr"/>
      <c r="E1559" s="3" t="inlineStr">
        <is>
          <t>Vantrelle Health Plan</t>
        </is>
      </c>
      <c r="F1559" s="3" t="inlineStr">
        <is>
          <t>Remittance applied</t>
        </is>
      </c>
      <c r="G1559" s="3" t="inlineStr">
        <is>
          <t>Checking – Operating</t>
        </is>
      </c>
      <c r="H1559" s="3" t="inlineStr">
        <is>
          <t>Accounts Receivable</t>
        </is>
      </c>
      <c r="I1559" s="33" t="n">
        <v>-130978.24</v>
      </c>
      <c r="J1559" s="13">
        <f>+J1558+I1559</f>
        <v>193922.31</v>
      </c>
      <c r="K1559" s="19">
        <f>+EOMONTH(B1559,0)</f>
        <v>46053</v>
      </c>
      <c r="L1559" s="3" t="inlineStr">
        <is>
          <t>Accounts Receivable</t>
        </is>
      </c>
      <c r="M1559" s="3" t="inlineStr">
        <is>
          <t>Balance Sheet</t>
        </is>
      </c>
    </row>
    <row r="1560">
      <c r="B1560" s="39" t="n">
        <v>46051</v>
      </c>
      <c r="C1560" s="3" t="inlineStr">
        <is>
          <t>Payment</t>
        </is>
      </c>
      <c r="D1560" s="3" t="inlineStr"/>
      <c r="E1560" s="3" t="inlineStr">
        <is>
          <t>State Program B</t>
        </is>
      </c>
      <c r="F1560" s="3" t="inlineStr">
        <is>
          <t>Remittance applied</t>
        </is>
      </c>
      <c r="G1560" s="3" t="inlineStr">
        <is>
          <t>Checking – Operating</t>
        </is>
      </c>
      <c r="H1560" s="3" t="inlineStr">
        <is>
          <t>Accounts Receivable</t>
        </is>
      </c>
      <c r="I1560" s="33" t="n">
        <v>-60154.17</v>
      </c>
      <c r="J1560" s="13">
        <f>+J1559+I1560</f>
        <v>133768.14</v>
      </c>
      <c r="K1560" s="19">
        <f>+EOMONTH(B1560,0)</f>
        <v>46053</v>
      </c>
      <c r="L1560" s="3" t="inlineStr">
        <is>
          <t>Accounts Receivable</t>
        </is>
      </c>
      <c r="M1560" s="3" t="inlineStr">
        <is>
          <t>Balance Sheet</t>
        </is>
      </c>
    </row>
    <row r="1561">
      <c r="B1561" s="39" t="n">
        <v>46052</v>
      </c>
      <c r="C1561" s="3" t="inlineStr">
        <is>
          <t>Payment</t>
        </is>
      </c>
      <c r="D1561" s="3" t="inlineStr"/>
      <c r="E1561" s="3" t="inlineStr">
        <is>
          <t>Federal Program A</t>
        </is>
      </c>
      <c r="F1561" s="3" t="inlineStr">
        <is>
          <t>Remittance applied</t>
        </is>
      </c>
      <c r="G1561" s="3" t="inlineStr">
        <is>
          <t>Checking – Operating</t>
        </is>
      </c>
      <c r="H1561" s="3" t="inlineStr">
        <is>
          <t>Accounts Receivable</t>
        </is>
      </c>
      <c r="I1561" s="33" t="n">
        <v>-126905.96</v>
      </c>
      <c r="J1561" s="13">
        <f>+J1560+I1561</f>
        <v>6862.18000000024</v>
      </c>
      <c r="K1561" s="19">
        <f>+EOMONTH(B1561,0)</f>
        <v>46053</v>
      </c>
      <c r="L1561" s="3" t="inlineStr">
        <is>
          <t>Accounts Receivable</t>
        </is>
      </c>
      <c r="M1561" s="3" t="inlineStr">
        <is>
          <t>Balance Sheet</t>
        </is>
      </c>
    </row>
    <row r="1562">
      <c r="B1562" s="39" t="n">
        <v>46055</v>
      </c>
      <c r="C1562" s="3" t="inlineStr">
        <is>
          <t>Invoice</t>
        </is>
      </c>
      <c r="D1562" s="3" t="inlineStr">
        <is>
          <t>INV-26010</t>
        </is>
      </c>
      <c r="E1562" s="3" t="inlineStr">
        <is>
          <t>Vantrelle Health Plan</t>
        </is>
      </c>
      <c r="F1562" s="3" t="inlineStr">
        <is>
          <t>Claims batch – February</t>
        </is>
      </c>
      <c r="G1562" s="3" t="inlineStr">
        <is>
          <t>Service Income</t>
        </is>
      </c>
      <c r="H1562" s="3" t="inlineStr">
        <is>
          <t>Accounts Receivable</t>
        </is>
      </c>
      <c r="I1562" s="33" t="n">
        <v>231853.6</v>
      </c>
      <c r="J1562" s="13">
        <f>+J1561+I1562</f>
        <v>238715.78</v>
      </c>
      <c r="K1562" s="19">
        <f>+EOMONTH(B1562,0)</f>
        <v>46081</v>
      </c>
      <c r="L1562" s="3" t="inlineStr">
        <is>
          <t>Accounts Receivable</t>
        </is>
      </c>
      <c r="M1562" s="3" t="inlineStr">
        <is>
          <t>Balance Sheet</t>
        </is>
      </c>
    </row>
    <row r="1563">
      <c r="B1563" s="39" t="n">
        <v>46057</v>
      </c>
      <c r="C1563" s="3" t="inlineStr">
        <is>
          <t>Invoice</t>
        </is>
      </c>
      <c r="D1563" s="3" t="inlineStr">
        <is>
          <t>INV-26016</t>
        </is>
      </c>
      <c r="E1563" s="3" t="inlineStr">
        <is>
          <t>Quayside Choice Senior Plan</t>
        </is>
      </c>
      <c r="F1563" s="3" t="inlineStr">
        <is>
          <t>Claims batch – February</t>
        </is>
      </c>
      <c r="G1563" s="3" t="inlineStr">
        <is>
          <t>Service Income</t>
        </is>
      </c>
      <c r="H1563" s="3" t="inlineStr">
        <is>
          <t>Accounts Receivable</t>
        </is>
      </c>
      <c r="I1563" s="33" t="n">
        <v>117785.05</v>
      </c>
      <c r="J1563" s="13">
        <f>+J1562+I1563</f>
        <v>356500.83</v>
      </c>
      <c r="K1563" s="19">
        <f>+EOMONTH(B1563,0)</f>
        <v>46081</v>
      </c>
      <c r="L1563" s="3" t="inlineStr">
        <is>
          <t>Accounts Receivable</t>
        </is>
      </c>
      <c r="M1563" s="3" t="inlineStr">
        <is>
          <t>Balance Sheet</t>
        </is>
      </c>
    </row>
    <row r="1564">
      <c r="B1564" s="39" t="n">
        <v>46057</v>
      </c>
      <c r="C1564" s="3" t="inlineStr">
        <is>
          <t>Invoice</t>
        </is>
      </c>
      <c r="D1564" s="3" t="inlineStr">
        <is>
          <t>INV-26017</t>
        </is>
      </c>
      <c r="E1564" s="3" t="inlineStr">
        <is>
          <t>Cobaltmere Health</t>
        </is>
      </c>
      <c r="F1564" s="3" t="inlineStr">
        <is>
          <t>Claims batch – February</t>
        </is>
      </c>
      <c r="G1564" s="3" t="inlineStr">
        <is>
          <t>Service Income</t>
        </is>
      </c>
      <c r="H1564" s="3" t="inlineStr">
        <is>
          <t>Accounts Receivable</t>
        </is>
      </c>
      <c r="I1564" s="33" t="n">
        <v>59829.92</v>
      </c>
      <c r="J1564" s="13">
        <f>+J1563+I1564</f>
        <v>416330.75</v>
      </c>
      <c r="K1564" s="19">
        <f>+EOMONTH(B1564,0)</f>
        <v>46081</v>
      </c>
      <c r="L1564" s="3" t="inlineStr">
        <is>
          <t>Accounts Receivable</t>
        </is>
      </c>
      <c r="M1564" s="3" t="inlineStr">
        <is>
          <t>Balance Sheet</t>
        </is>
      </c>
    </row>
    <row r="1565">
      <c r="B1565" s="39" t="n">
        <v>46057</v>
      </c>
      <c r="C1565" s="3" t="inlineStr">
        <is>
          <t>Payment</t>
        </is>
      </c>
      <c r="D1565" s="3" t="inlineStr"/>
      <c r="E1565" s="3" t="inlineStr">
        <is>
          <t>Federal Program A</t>
        </is>
      </c>
      <c r="F1565" s="3" t="inlineStr">
        <is>
          <t>Remittance applied</t>
        </is>
      </c>
      <c r="G1565" s="3" t="inlineStr">
        <is>
          <t>Checking – Operating</t>
        </is>
      </c>
      <c r="H1565" s="3" t="inlineStr">
        <is>
          <t>Accounts Receivable</t>
        </is>
      </c>
      <c r="I1565" s="33" t="n">
        <v>-74922.23</v>
      </c>
      <c r="J1565" s="13">
        <f>+J1564+I1565</f>
        <v>341408.52</v>
      </c>
      <c r="K1565" s="19">
        <f>+EOMONTH(B1565,0)</f>
        <v>46081</v>
      </c>
      <c r="L1565" s="3" t="inlineStr">
        <is>
          <t>Accounts Receivable</t>
        </is>
      </c>
      <c r="M1565" s="3" t="inlineStr">
        <is>
          <t>Balance Sheet</t>
        </is>
      </c>
    </row>
    <row r="1566">
      <c r="B1566" s="39" t="n">
        <v>46059</v>
      </c>
      <c r="C1566" s="3" t="inlineStr">
        <is>
          <t>Invoice</t>
        </is>
      </c>
      <c r="D1566" s="3" t="inlineStr">
        <is>
          <t>INV-26013</t>
        </is>
      </c>
      <c r="E1566" s="3" t="inlineStr">
        <is>
          <t>State Program B</t>
        </is>
      </c>
      <c r="F1566" s="3" t="inlineStr">
        <is>
          <t>Claims batch – February</t>
        </is>
      </c>
      <c r="G1566" s="3" t="inlineStr">
        <is>
          <t>Service Income</t>
        </is>
      </c>
      <c r="H1566" s="3" t="inlineStr">
        <is>
          <t>Accounts Receivable</t>
        </is>
      </c>
      <c r="I1566" s="33" t="n">
        <v>86905.21000000001</v>
      </c>
      <c r="J1566" s="13">
        <f>+J1565+I1566</f>
        <v>428313.73</v>
      </c>
      <c r="K1566" s="19">
        <f>+EOMONTH(B1566,0)</f>
        <v>46081</v>
      </c>
      <c r="L1566" s="3" t="inlineStr">
        <is>
          <t>Accounts Receivable</t>
        </is>
      </c>
      <c r="M1566" s="3" t="inlineStr">
        <is>
          <t>Balance Sheet</t>
        </is>
      </c>
    </row>
    <row r="1567">
      <c r="B1567" s="39" t="n">
        <v>46060</v>
      </c>
      <c r="C1567" s="3" t="inlineStr">
        <is>
          <t>Invoice</t>
        </is>
      </c>
      <c r="D1567" s="3" t="inlineStr">
        <is>
          <t>INV-26012</t>
        </is>
      </c>
      <c r="E1567" s="3" t="inlineStr">
        <is>
          <t>Federal Program A</t>
        </is>
      </c>
      <c r="F1567" s="3" t="inlineStr">
        <is>
          <t>Claims batch – February</t>
        </is>
      </c>
      <c r="G1567" s="3" t="inlineStr">
        <is>
          <t>Service Income</t>
        </is>
      </c>
      <c r="H1567" s="3" t="inlineStr">
        <is>
          <t>Accounts Receivable</t>
        </is>
      </c>
      <c r="I1567" s="33" t="n">
        <v>174779.91</v>
      </c>
      <c r="J1567" s="13">
        <f>+J1566+I1567</f>
        <v>603093.64</v>
      </c>
      <c r="K1567" s="19">
        <f>+EOMONTH(B1567,0)</f>
        <v>46081</v>
      </c>
      <c r="L1567" s="3" t="inlineStr">
        <is>
          <t>Accounts Receivable</t>
        </is>
      </c>
      <c r="M1567" s="3" t="inlineStr">
        <is>
          <t>Balance Sheet</t>
        </is>
      </c>
    </row>
    <row r="1568">
      <c r="B1568" s="39" t="n">
        <v>46060</v>
      </c>
      <c r="C1568" s="3" t="inlineStr">
        <is>
          <t>Invoice</t>
        </is>
      </c>
      <c r="D1568" s="3" t="inlineStr">
        <is>
          <t>INV-26014</t>
        </is>
      </c>
      <c r="E1568" s="3" t="inlineStr">
        <is>
          <t>Silvermoss Senior Living</t>
        </is>
      </c>
      <c r="F1568" s="3" t="inlineStr">
        <is>
          <t>Claims batch – February</t>
        </is>
      </c>
      <c r="G1568" s="3" t="inlineStr">
        <is>
          <t>Service Income</t>
        </is>
      </c>
      <c r="H1568" s="3" t="inlineStr">
        <is>
          <t>Accounts Receivable</t>
        </is>
      </c>
      <c r="I1568" s="33" t="n">
        <v>84417.08</v>
      </c>
      <c r="J1568" s="13">
        <f>+J1567+I1568</f>
        <v>687510.72</v>
      </c>
      <c r="K1568" s="19">
        <f>+EOMONTH(B1568,0)</f>
        <v>46081</v>
      </c>
      <c r="L1568" s="3" t="inlineStr">
        <is>
          <t>Accounts Receivable</t>
        </is>
      </c>
      <c r="M1568" s="3" t="inlineStr">
        <is>
          <t>Balance Sheet</t>
        </is>
      </c>
    </row>
    <row r="1569">
      <c r="B1569" s="39" t="n">
        <v>46060</v>
      </c>
      <c r="C1569" s="3" t="inlineStr">
        <is>
          <t>Invoice</t>
        </is>
      </c>
      <c r="D1569" s="3" t="inlineStr">
        <is>
          <t>INV-26015</t>
        </is>
      </c>
      <c r="E1569" s="3" t="inlineStr">
        <is>
          <t>Lanternway Benefits</t>
        </is>
      </c>
      <c r="F1569" s="3" t="inlineStr">
        <is>
          <t>Claims batch – February</t>
        </is>
      </c>
      <c r="G1569" s="3" t="inlineStr">
        <is>
          <t>Service Income</t>
        </is>
      </c>
      <c r="H1569" s="3" t="inlineStr">
        <is>
          <t>Accounts Receivable</t>
        </is>
      </c>
      <c r="I1569" s="33" t="n">
        <v>102611.39</v>
      </c>
      <c r="J1569" s="13">
        <f>+J1568+I1569</f>
        <v>790122.11</v>
      </c>
      <c r="K1569" s="19">
        <f>+EOMONTH(B1569,0)</f>
        <v>46081</v>
      </c>
      <c r="L1569" s="3" t="inlineStr">
        <is>
          <t>Accounts Receivable</t>
        </is>
      </c>
      <c r="M1569" s="3" t="inlineStr">
        <is>
          <t>Balance Sheet</t>
        </is>
      </c>
    </row>
    <row r="1570">
      <c r="B1570" s="39" t="n">
        <v>46060</v>
      </c>
      <c r="C1570" s="3" t="inlineStr">
        <is>
          <t>Payment</t>
        </is>
      </c>
      <c r="D1570" s="3" t="inlineStr"/>
      <c r="E1570" s="3" t="inlineStr">
        <is>
          <t>Quayside Choice Senior Plan</t>
        </is>
      </c>
      <c r="F1570" s="3" t="inlineStr">
        <is>
          <t>Remittance applied</t>
        </is>
      </c>
      <c r="G1570" s="3" t="inlineStr">
        <is>
          <t>Checking – Operating</t>
        </is>
      </c>
      <c r="H1570" s="3" t="inlineStr">
        <is>
          <t>Accounts Receivable</t>
        </is>
      </c>
      <c r="I1570" s="33" t="n">
        <v>-47467.15</v>
      </c>
      <c r="J1570" s="13">
        <f>+J1569+I1570</f>
        <v>742654.96</v>
      </c>
      <c r="K1570" s="19">
        <f>+EOMONTH(B1570,0)</f>
        <v>46081</v>
      </c>
      <c r="L1570" s="3" t="inlineStr">
        <is>
          <t>Accounts Receivable</t>
        </is>
      </c>
      <c r="M1570" s="3" t="inlineStr">
        <is>
          <t>Balance Sheet</t>
        </is>
      </c>
    </row>
    <row r="1571">
      <c r="B1571" s="39" t="n">
        <v>46061</v>
      </c>
      <c r="C1571" s="3" t="inlineStr">
        <is>
          <t>Invoice</t>
        </is>
      </c>
      <c r="D1571" s="3" t="inlineStr">
        <is>
          <t>INV-26011</t>
        </is>
      </c>
      <c r="E1571" s="3" t="inlineStr">
        <is>
          <t>Marrowby Mutual</t>
        </is>
      </c>
      <c r="F1571" s="3" t="inlineStr">
        <is>
          <t>Claims batch – February</t>
        </is>
      </c>
      <c r="G1571" s="3" t="inlineStr">
        <is>
          <t>Service Income</t>
        </is>
      </c>
      <c r="H1571" s="3" t="inlineStr">
        <is>
          <t>Accounts Receivable</t>
        </is>
      </c>
      <c r="I1571" s="33" t="n">
        <v>139707.62</v>
      </c>
      <c r="J1571" s="13">
        <f>+J1570+I1571</f>
        <v>882362.58</v>
      </c>
      <c r="K1571" s="19">
        <f>+EOMONTH(B1571,0)</f>
        <v>46081</v>
      </c>
      <c r="L1571" s="3" t="inlineStr">
        <is>
          <t>Accounts Receivable</t>
        </is>
      </c>
      <c r="M1571" s="3" t="inlineStr">
        <is>
          <t>Balance Sheet</t>
        </is>
      </c>
    </row>
    <row r="1572">
      <c r="B1572" s="39" t="n">
        <v>46061</v>
      </c>
      <c r="C1572" s="3" t="inlineStr">
        <is>
          <t>Payment</t>
        </is>
      </c>
      <c r="D1572" s="3" t="inlineStr"/>
      <c r="E1572" s="3" t="inlineStr">
        <is>
          <t>Silvermoss Senior Living</t>
        </is>
      </c>
      <c r="F1572" s="3" t="inlineStr">
        <is>
          <t>Remittance applied</t>
        </is>
      </c>
      <c r="G1572" s="3" t="inlineStr">
        <is>
          <t>Checking – Operating</t>
        </is>
      </c>
      <c r="H1572" s="3" t="inlineStr">
        <is>
          <t>Accounts Receivable</t>
        </is>
      </c>
      <c r="I1572" s="33" t="n">
        <v>-25833.03</v>
      </c>
      <c r="J1572" s="13">
        <f>+J1571+I1572</f>
        <v>856529.55</v>
      </c>
      <c r="K1572" s="19">
        <f>+EOMONTH(B1572,0)</f>
        <v>46081</v>
      </c>
      <c r="L1572" s="3" t="inlineStr">
        <is>
          <t>Accounts Receivable</t>
        </is>
      </c>
      <c r="M1572" s="3" t="inlineStr">
        <is>
          <t>Balance Sheet</t>
        </is>
      </c>
    </row>
    <row r="1573">
      <c r="B1573" s="39" t="n">
        <v>46062</v>
      </c>
      <c r="C1573" s="3" t="inlineStr">
        <is>
          <t>Payment</t>
        </is>
      </c>
      <c r="D1573" s="3" t="inlineStr"/>
      <c r="E1573" s="3" t="inlineStr">
        <is>
          <t>Vantrelle Health Plan</t>
        </is>
      </c>
      <c r="F1573" s="3" t="inlineStr">
        <is>
          <t>Remittance applied</t>
        </is>
      </c>
      <c r="G1573" s="3" t="inlineStr">
        <is>
          <t>Checking – Operating</t>
        </is>
      </c>
      <c r="H1573" s="3" t="inlineStr">
        <is>
          <t>Accounts Receivable</t>
        </is>
      </c>
      <c r="I1573" s="33" t="n">
        <v>-105574.02</v>
      </c>
      <c r="J1573" s="13">
        <f>+J1572+I1573</f>
        <v>750955.53</v>
      </c>
      <c r="K1573" s="19">
        <f>+EOMONTH(B1573,0)</f>
        <v>46081</v>
      </c>
      <c r="L1573" s="3" t="inlineStr">
        <is>
          <t>Accounts Receivable</t>
        </is>
      </c>
      <c r="M1573" s="3" t="inlineStr">
        <is>
          <t>Balance Sheet</t>
        </is>
      </c>
    </row>
    <row r="1574">
      <c r="B1574" s="39" t="n">
        <v>46063</v>
      </c>
      <c r="C1574" s="3" t="inlineStr">
        <is>
          <t>Payment</t>
        </is>
      </c>
      <c r="D1574" s="3" t="inlineStr"/>
      <c r="E1574" s="3" t="inlineStr">
        <is>
          <t>Silvermoss Senior Living</t>
        </is>
      </c>
      <c r="F1574" s="3" t="inlineStr">
        <is>
          <t>Remittance applied</t>
        </is>
      </c>
      <c r="G1574" s="3" t="inlineStr">
        <is>
          <t>Checking – Operating</t>
        </is>
      </c>
      <c r="H1574" s="3" t="inlineStr">
        <is>
          <t>Accounts Receivable</t>
        </is>
      </c>
      <c r="I1574" s="33" t="n">
        <v>-22222.8</v>
      </c>
      <c r="J1574" s="13">
        <f>+J1573+I1574</f>
        <v>728732.73</v>
      </c>
      <c r="K1574" s="19">
        <f>+EOMONTH(B1574,0)</f>
        <v>46081</v>
      </c>
      <c r="L1574" s="3" t="inlineStr">
        <is>
          <t>Accounts Receivable</t>
        </is>
      </c>
      <c r="M1574" s="3" t="inlineStr">
        <is>
          <t>Balance Sheet</t>
        </is>
      </c>
    </row>
    <row r="1575">
      <c r="B1575" s="39" t="n">
        <v>46063</v>
      </c>
      <c r="C1575" s="3" t="inlineStr">
        <is>
          <t>Payment</t>
        </is>
      </c>
      <c r="D1575" s="3" t="inlineStr"/>
      <c r="E1575" s="3" t="inlineStr">
        <is>
          <t>Quayside Choice Senior Plan</t>
        </is>
      </c>
      <c r="F1575" s="3" t="inlineStr">
        <is>
          <t>Remittance applied</t>
        </is>
      </c>
      <c r="G1575" s="3" t="inlineStr">
        <is>
          <t>Checking – Operating</t>
        </is>
      </c>
      <c r="H1575" s="3" t="inlineStr">
        <is>
          <t>Accounts Receivable</t>
        </is>
      </c>
      <c r="I1575" s="33" t="n">
        <v>-31577.13</v>
      </c>
      <c r="J1575" s="13">
        <f>+J1574+I1575</f>
        <v>697155.6</v>
      </c>
      <c r="K1575" s="19">
        <f>+EOMONTH(B1575,0)</f>
        <v>46081</v>
      </c>
      <c r="L1575" s="3" t="inlineStr">
        <is>
          <t>Accounts Receivable</t>
        </is>
      </c>
      <c r="M1575" s="3" t="inlineStr">
        <is>
          <t>Balance Sheet</t>
        </is>
      </c>
    </row>
    <row r="1576">
      <c r="B1576" s="39" t="n">
        <v>46064</v>
      </c>
      <c r="C1576" s="3" t="inlineStr">
        <is>
          <t>Payment</t>
        </is>
      </c>
      <c r="D1576" s="3" t="inlineStr"/>
      <c r="E1576" s="3" t="inlineStr">
        <is>
          <t>State Program B</t>
        </is>
      </c>
      <c r="F1576" s="3" t="inlineStr">
        <is>
          <t>Remittance applied</t>
        </is>
      </c>
      <c r="G1576" s="3" t="inlineStr">
        <is>
          <t>Checking – Operating</t>
        </is>
      </c>
      <c r="H1576" s="3" t="inlineStr">
        <is>
          <t>Accounts Receivable</t>
        </is>
      </c>
      <c r="I1576" s="33" t="n">
        <v>-29653.82</v>
      </c>
      <c r="J1576" s="13">
        <f>+J1575+I1576</f>
        <v>667501.78</v>
      </c>
      <c r="K1576" s="19">
        <f>+EOMONTH(B1576,0)</f>
        <v>46081</v>
      </c>
      <c r="L1576" s="3" t="inlineStr">
        <is>
          <t>Accounts Receivable</t>
        </is>
      </c>
      <c r="M1576" s="3" t="inlineStr">
        <is>
          <t>Balance Sheet</t>
        </is>
      </c>
    </row>
    <row r="1577">
      <c r="B1577" s="39" t="n">
        <v>46065</v>
      </c>
      <c r="C1577" s="3" t="inlineStr">
        <is>
          <t>Payment</t>
        </is>
      </c>
      <c r="D1577" s="3" t="inlineStr"/>
      <c r="E1577" s="3" t="inlineStr">
        <is>
          <t>Vantrelle Health Plan</t>
        </is>
      </c>
      <c r="F1577" s="3" t="inlineStr">
        <is>
          <t>Remittance applied</t>
        </is>
      </c>
      <c r="G1577" s="3" t="inlineStr">
        <is>
          <t>Checking – Operating</t>
        </is>
      </c>
      <c r="H1577" s="3" t="inlineStr">
        <is>
          <t>Accounts Receivable</t>
        </is>
      </c>
      <c r="I1577" s="33" t="n">
        <v>-142083.11</v>
      </c>
      <c r="J1577" s="13">
        <f>+J1576+I1577</f>
        <v>525418.67</v>
      </c>
      <c r="K1577" s="19">
        <f>+EOMONTH(B1577,0)</f>
        <v>46081</v>
      </c>
      <c r="L1577" s="3" t="inlineStr">
        <is>
          <t>Accounts Receivable</t>
        </is>
      </c>
      <c r="M1577" s="3" t="inlineStr">
        <is>
          <t>Balance Sheet</t>
        </is>
      </c>
    </row>
    <row r="1578">
      <c r="B1578" s="39" t="n">
        <v>46065</v>
      </c>
      <c r="C1578" s="3" t="inlineStr">
        <is>
          <t>Payment</t>
        </is>
      </c>
      <c r="D1578" s="3" t="inlineStr"/>
      <c r="E1578" s="3" t="inlineStr">
        <is>
          <t>Marrowby Mutual</t>
        </is>
      </c>
      <c r="F1578" s="3" t="inlineStr">
        <is>
          <t>Remittance applied</t>
        </is>
      </c>
      <c r="G1578" s="3" t="inlineStr">
        <is>
          <t>Checking – Operating</t>
        </is>
      </c>
      <c r="H1578" s="3" t="inlineStr">
        <is>
          <t>Accounts Receivable</t>
        </is>
      </c>
      <c r="I1578" s="33" t="n">
        <v>-72223.64</v>
      </c>
      <c r="J1578" s="13">
        <f>+J1577+I1578</f>
        <v>453195.03</v>
      </c>
      <c r="K1578" s="19">
        <f>+EOMONTH(B1578,0)</f>
        <v>46081</v>
      </c>
      <c r="L1578" s="3" t="inlineStr">
        <is>
          <t>Accounts Receivable</t>
        </is>
      </c>
      <c r="M1578" s="3" t="inlineStr">
        <is>
          <t>Balance Sheet</t>
        </is>
      </c>
    </row>
    <row r="1579">
      <c r="B1579" s="39" t="n">
        <v>46065</v>
      </c>
      <c r="C1579" s="3" t="inlineStr">
        <is>
          <t>Payment</t>
        </is>
      </c>
      <c r="D1579" s="3" t="inlineStr"/>
      <c r="E1579" s="3" t="inlineStr">
        <is>
          <t>Lanternway Benefits</t>
        </is>
      </c>
      <c r="F1579" s="3" t="inlineStr">
        <is>
          <t>Remittance applied</t>
        </is>
      </c>
      <c r="G1579" s="3" t="inlineStr">
        <is>
          <t>Checking – Operating</t>
        </is>
      </c>
      <c r="H1579" s="3" t="inlineStr">
        <is>
          <t>Accounts Receivable</t>
        </is>
      </c>
      <c r="I1579" s="33" t="n">
        <v>-28901.28</v>
      </c>
      <c r="J1579" s="13">
        <f>+J1578+I1579</f>
        <v>424293.75</v>
      </c>
      <c r="K1579" s="19">
        <f>+EOMONTH(B1579,0)</f>
        <v>46081</v>
      </c>
      <c r="L1579" s="3" t="inlineStr">
        <is>
          <t>Accounts Receivable</t>
        </is>
      </c>
      <c r="M1579" s="3" t="inlineStr">
        <is>
          <t>Balance Sheet</t>
        </is>
      </c>
    </row>
    <row r="1580">
      <c r="B1580" s="39" t="n">
        <v>46067</v>
      </c>
      <c r="C1580" s="3" t="inlineStr">
        <is>
          <t>Payment</t>
        </is>
      </c>
      <c r="D1580" s="3" t="inlineStr"/>
      <c r="E1580" s="3" t="inlineStr">
        <is>
          <t>Lanternway Benefits</t>
        </is>
      </c>
      <c r="F1580" s="3" t="inlineStr">
        <is>
          <t>Remittance applied</t>
        </is>
      </c>
      <c r="G1580" s="3" t="inlineStr">
        <is>
          <t>Checking – Operating</t>
        </is>
      </c>
      <c r="H1580" s="3" t="inlineStr">
        <is>
          <t>Accounts Receivable</t>
        </is>
      </c>
      <c r="I1580" s="33" t="n">
        <v>-37458.18</v>
      </c>
      <c r="J1580" s="13">
        <f>+J1579+I1580</f>
        <v>386835.57</v>
      </c>
      <c r="K1580" s="19">
        <f>+EOMONTH(B1580,0)</f>
        <v>46081</v>
      </c>
      <c r="L1580" s="3" t="inlineStr">
        <is>
          <t>Accounts Receivable</t>
        </is>
      </c>
      <c r="M1580" s="3" t="inlineStr">
        <is>
          <t>Balance Sheet</t>
        </is>
      </c>
    </row>
    <row r="1581">
      <c r="B1581" s="39" t="n">
        <v>46067</v>
      </c>
      <c r="C1581" s="3" t="inlineStr">
        <is>
          <t>Payment</t>
        </is>
      </c>
      <c r="D1581" s="3" t="inlineStr"/>
      <c r="E1581" s="3" t="inlineStr">
        <is>
          <t>Quayside Choice Senior Plan</t>
        </is>
      </c>
      <c r="F1581" s="3" t="inlineStr">
        <is>
          <t>Remittance applied</t>
        </is>
      </c>
      <c r="G1581" s="3" t="inlineStr">
        <is>
          <t>Checking – Operating</t>
        </is>
      </c>
      <c r="H1581" s="3" t="inlineStr">
        <is>
          <t>Accounts Receivable</t>
        </is>
      </c>
      <c r="I1581" s="33" t="n">
        <v>-34465.24</v>
      </c>
      <c r="J1581" s="13">
        <f>+J1580+I1581</f>
        <v>352370.33</v>
      </c>
      <c r="K1581" s="19">
        <f>+EOMONTH(B1581,0)</f>
        <v>46081</v>
      </c>
      <c r="L1581" s="3" t="inlineStr">
        <is>
          <t>Accounts Receivable</t>
        </is>
      </c>
      <c r="M1581" s="3" t="inlineStr">
        <is>
          <t>Balance Sheet</t>
        </is>
      </c>
    </row>
    <row r="1582">
      <c r="B1582" s="39" t="n">
        <v>46071</v>
      </c>
      <c r="C1582" s="3" t="inlineStr">
        <is>
          <t>Payment</t>
        </is>
      </c>
      <c r="D1582" s="3" t="inlineStr"/>
      <c r="E1582" s="3" t="inlineStr">
        <is>
          <t>State Program B</t>
        </is>
      </c>
      <c r="F1582" s="3" t="inlineStr">
        <is>
          <t>Remittance applied</t>
        </is>
      </c>
      <c r="G1582" s="3" t="inlineStr">
        <is>
          <t>Checking – Operating</t>
        </is>
      </c>
      <c r="H1582" s="3" t="inlineStr">
        <is>
          <t>Accounts Receivable</t>
        </is>
      </c>
      <c r="I1582" s="33" t="n">
        <v>-29904.81</v>
      </c>
      <c r="J1582" s="13">
        <f>+J1581+I1582</f>
        <v>322465.52</v>
      </c>
      <c r="K1582" s="19">
        <f>+EOMONTH(B1582,0)</f>
        <v>46081</v>
      </c>
      <c r="L1582" s="3" t="inlineStr">
        <is>
          <t>Accounts Receivable</t>
        </is>
      </c>
      <c r="M1582" s="3" t="inlineStr">
        <is>
          <t>Balance Sheet</t>
        </is>
      </c>
    </row>
    <row r="1583">
      <c r="B1583" s="39" t="n">
        <v>46073</v>
      </c>
      <c r="C1583" s="3" t="inlineStr">
        <is>
          <t>Payment</t>
        </is>
      </c>
      <c r="D1583" s="3" t="inlineStr"/>
      <c r="E1583" s="3" t="inlineStr">
        <is>
          <t>Federal Program A</t>
        </is>
      </c>
      <c r="F1583" s="3" t="inlineStr">
        <is>
          <t>Remittance applied</t>
        </is>
      </c>
      <c r="G1583" s="3" t="inlineStr">
        <is>
          <t>Checking – Operating</t>
        </is>
      </c>
      <c r="H1583" s="3" t="inlineStr">
        <is>
          <t>Accounts Receivable</t>
        </is>
      </c>
      <c r="I1583" s="33" t="n">
        <v>-55015.92</v>
      </c>
      <c r="J1583" s="13">
        <f>+J1582+I1583</f>
        <v>267449.6</v>
      </c>
      <c r="K1583" s="19">
        <f>+EOMONTH(B1583,0)</f>
        <v>46081</v>
      </c>
      <c r="L1583" s="3" t="inlineStr">
        <is>
          <t>Accounts Receivable</t>
        </is>
      </c>
      <c r="M1583" s="3" t="inlineStr">
        <is>
          <t>Balance Sheet</t>
        </is>
      </c>
    </row>
    <row r="1584">
      <c r="B1584" s="39" t="n">
        <v>46074</v>
      </c>
      <c r="C1584" s="3" t="inlineStr">
        <is>
          <t>Payment</t>
        </is>
      </c>
      <c r="D1584" s="3" t="inlineStr"/>
      <c r="E1584" s="3" t="inlineStr">
        <is>
          <t>State Program B</t>
        </is>
      </c>
      <c r="F1584" s="3" t="inlineStr">
        <is>
          <t>Remittance applied</t>
        </is>
      </c>
      <c r="G1584" s="3" t="inlineStr">
        <is>
          <t>Checking – Operating</t>
        </is>
      </c>
      <c r="H1584" s="3" t="inlineStr">
        <is>
          <t>Accounts Receivable</t>
        </is>
      </c>
      <c r="I1584" s="33" t="n">
        <v>-33312.79</v>
      </c>
      <c r="J1584" s="13">
        <f>+J1583+I1584</f>
        <v>234136.81</v>
      </c>
      <c r="K1584" s="19">
        <f>+EOMONTH(B1584,0)</f>
        <v>46081</v>
      </c>
      <c r="L1584" s="3" t="inlineStr">
        <is>
          <t>Accounts Receivable</t>
        </is>
      </c>
      <c r="M1584" s="3" t="inlineStr">
        <is>
          <t>Balance Sheet</t>
        </is>
      </c>
    </row>
    <row r="1585">
      <c r="B1585" s="39" t="n">
        <v>46074</v>
      </c>
      <c r="C1585" s="3" t="inlineStr">
        <is>
          <t>Payment</t>
        </is>
      </c>
      <c r="D1585" s="3" t="inlineStr"/>
      <c r="E1585" s="3" t="inlineStr">
        <is>
          <t>Silvermoss Senior Living</t>
        </is>
      </c>
      <c r="F1585" s="3" t="inlineStr">
        <is>
          <t>Remittance applied</t>
        </is>
      </c>
      <c r="G1585" s="3" t="inlineStr">
        <is>
          <t>Checking – Operating</t>
        </is>
      </c>
      <c r="H1585" s="3" t="inlineStr">
        <is>
          <t>Accounts Receivable</t>
        </is>
      </c>
      <c r="I1585" s="33" t="n">
        <v>-34496.55</v>
      </c>
      <c r="J1585" s="13">
        <f>+J1584+I1585</f>
        <v>199640.26</v>
      </c>
      <c r="K1585" s="19">
        <f>+EOMONTH(B1585,0)</f>
        <v>46081</v>
      </c>
      <c r="L1585" s="3" t="inlineStr">
        <is>
          <t>Accounts Receivable</t>
        </is>
      </c>
      <c r="M1585" s="3" t="inlineStr">
        <is>
          <t>Balance Sheet</t>
        </is>
      </c>
    </row>
    <row r="1586">
      <c r="B1586" s="39" t="n">
        <v>46074</v>
      </c>
      <c r="C1586" s="3" t="inlineStr">
        <is>
          <t>Payment</t>
        </is>
      </c>
      <c r="D1586" s="3" t="inlineStr"/>
      <c r="E1586" s="3" t="inlineStr">
        <is>
          <t>Cobaltmere Health</t>
        </is>
      </c>
      <c r="F1586" s="3" t="inlineStr">
        <is>
          <t>Remittance applied</t>
        </is>
      </c>
      <c r="G1586" s="3" t="inlineStr">
        <is>
          <t>Checking – Operating</t>
        </is>
      </c>
      <c r="H1586" s="3" t="inlineStr">
        <is>
          <t>Accounts Receivable</t>
        </is>
      </c>
      <c r="I1586" s="33" t="n">
        <v>-25327.82</v>
      </c>
      <c r="J1586" s="13">
        <f>+J1585+I1586</f>
        <v>174312.44</v>
      </c>
      <c r="K1586" s="19">
        <f>+EOMONTH(B1586,0)</f>
        <v>46081</v>
      </c>
      <c r="L1586" s="3" t="inlineStr">
        <is>
          <t>Accounts Receivable</t>
        </is>
      </c>
      <c r="M1586" s="3" t="inlineStr">
        <is>
          <t>Balance Sheet</t>
        </is>
      </c>
    </row>
    <row r="1587">
      <c r="B1587" s="39" t="n">
        <v>46075</v>
      </c>
      <c r="C1587" s="3" t="inlineStr">
        <is>
          <t>Payment</t>
        </is>
      </c>
      <c r="D1587" s="3" t="inlineStr"/>
      <c r="E1587" s="3" t="inlineStr">
        <is>
          <t>Federal Program A</t>
        </is>
      </c>
      <c r="F1587" s="3" t="inlineStr">
        <is>
          <t>Remittance applied</t>
        </is>
      </c>
      <c r="G1587" s="3" t="inlineStr">
        <is>
          <t>Checking – Operating</t>
        </is>
      </c>
      <c r="H1587" s="3" t="inlineStr">
        <is>
          <t>Accounts Receivable</t>
        </is>
      </c>
      <c r="I1587" s="33" t="n">
        <v>-55804.7</v>
      </c>
      <c r="J1587" s="13">
        <f>+J1586+I1587</f>
        <v>118507.74</v>
      </c>
      <c r="K1587" s="19">
        <f>+EOMONTH(B1587,0)</f>
        <v>46081</v>
      </c>
      <c r="L1587" s="3" t="inlineStr">
        <is>
          <t>Accounts Receivable</t>
        </is>
      </c>
      <c r="M1587" s="3" t="inlineStr">
        <is>
          <t>Balance Sheet</t>
        </is>
      </c>
    </row>
    <row r="1588">
      <c r="B1588" s="39" t="n">
        <v>46075</v>
      </c>
      <c r="C1588" s="3" t="inlineStr">
        <is>
          <t>Payment</t>
        </is>
      </c>
      <c r="D1588" s="3" t="inlineStr"/>
      <c r="E1588" s="3" t="inlineStr">
        <is>
          <t>Cobaltmere Health</t>
        </is>
      </c>
      <c r="F1588" s="3" t="inlineStr">
        <is>
          <t>Remittance applied</t>
        </is>
      </c>
      <c r="G1588" s="3" t="inlineStr">
        <is>
          <t>Checking – Operating</t>
        </is>
      </c>
      <c r="H1588" s="3" t="inlineStr">
        <is>
          <t>Accounts Receivable</t>
        </is>
      </c>
      <c r="I1588" s="33" t="n">
        <v>-18938.85</v>
      </c>
      <c r="J1588" s="13">
        <f>+J1587+I1588</f>
        <v>99568.8900000001</v>
      </c>
      <c r="K1588" s="19">
        <f>+EOMONTH(B1588,0)</f>
        <v>46081</v>
      </c>
      <c r="L1588" s="3" t="inlineStr">
        <is>
          <t>Accounts Receivable</t>
        </is>
      </c>
      <c r="M1588" s="3" t="inlineStr">
        <is>
          <t>Balance Sheet</t>
        </is>
      </c>
    </row>
    <row r="1589">
      <c r="B1589" s="39" t="n">
        <v>46077</v>
      </c>
      <c r="C1589" s="3" t="inlineStr">
        <is>
          <t>Payment</t>
        </is>
      </c>
      <c r="D1589" s="3" t="inlineStr"/>
      <c r="E1589" s="3" t="inlineStr">
        <is>
          <t>Marrowby Mutual</t>
        </is>
      </c>
      <c r="F1589" s="3" t="inlineStr">
        <is>
          <t>Remittance applied</t>
        </is>
      </c>
      <c r="G1589" s="3" t="inlineStr">
        <is>
          <t>Checking – Operating</t>
        </is>
      </c>
      <c r="H1589" s="3" t="inlineStr">
        <is>
          <t>Accounts Receivable</t>
        </is>
      </c>
      <c r="I1589" s="33" t="n">
        <v>-72243.02</v>
      </c>
      <c r="J1589" s="13">
        <f>+J1588+I1589</f>
        <v>27325.8700000001</v>
      </c>
      <c r="K1589" s="19">
        <f>+EOMONTH(B1589,0)</f>
        <v>46081</v>
      </c>
      <c r="L1589" s="3" t="inlineStr">
        <is>
          <t>Accounts Receivable</t>
        </is>
      </c>
      <c r="M1589" s="3" t="inlineStr">
        <is>
          <t>Balance Sheet</t>
        </is>
      </c>
    </row>
    <row r="1590">
      <c r="B1590" s="39" t="n">
        <v>46079</v>
      </c>
      <c r="C1590" s="3" t="inlineStr">
        <is>
          <t>Payment</t>
        </is>
      </c>
      <c r="D1590" s="3" t="inlineStr"/>
      <c r="E1590" s="3" t="inlineStr">
        <is>
          <t>Cobaltmere Health</t>
        </is>
      </c>
      <c r="F1590" s="3" t="inlineStr">
        <is>
          <t>Remittance applied</t>
        </is>
      </c>
      <c r="G1590" s="3" t="inlineStr">
        <is>
          <t>Checking – Operating</t>
        </is>
      </c>
      <c r="H1590" s="3" t="inlineStr">
        <is>
          <t>Accounts Receivable</t>
        </is>
      </c>
      <c r="I1590" s="33" t="n">
        <v>-17647.61</v>
      </c>
      <c r="J1590" s="13">
        <f>+J1589+I1590</f>
        <v>9678.26000000013</v>
      </c>
      <c r="K1590" s="19">
        <f>+EOMONTH(B1590,0)</f>
        <v>46081</v>
      </c>
      <c r="L1590" s="3" t="inlineStr">
        <is>
          <t>Accounts Receivable</t>
        </is>
      </c>
      <c r="M1590" s="3" t="inlineStr">
        <is>
          <t>Balance Sheet</t>
        </is>
      </c>
    </row>
    <row r="1591">
      <c r="B1591" s="39" t="n">
        <v>46080</v>
      </c>
      <c r="C1591" s="3" t="inlineStr">
        <is>
          <t>Payment</t>
        </is>
      </c>
      <c r="D1591" s="3" t="inlineStr"/>
      <c r="E1591" s="3" t="inlineStr">
        <is>
          <t>Lanternway Benefits</t>
        </is>
      </c>
      <c r="F1591" s="3" t="inlineStr">
        <is>
          <t>Remittance applied</t>
        </is>
      </c>
      <c r="G1591" s="3" t="inlineStr">
        <is>
          <t>Checking – Operating</t>
        </is>
      </c>
      <c r="H1591" s="3" t="inlineStr">
        <is>
          <t>Accounts Receivable</t>
        </is>
      </c>
      <c r="I1591" s="33" t="n">
        <v>-36831.01</v>
      </c>
      <c r="J1591" s="13">
        <f>+J1590+I1591</f>
        <v>-27152.7499999999</v>
      </c>
      <c r="K1591" s="19">
        <f>+EOMONTH(B1591,0)</f>
        <v>46081</v>
      </c>
      <c r="L1591" s="3" t="inlineStr">
        <is>
          <t>Accounts Receivable</t>
        </is>
      </c>
      <c r="M1591" s="3" t="inlineStr">
        <is>
          <t>Balance Sheet</t>
        </is>
      </c>
    </row>
    <row r="1592">
      <c r="B1592" s="39" t="n">
        <v>46082</v>
      </c>
      <c r="C1592" s="3" t="inlineStr">
        <is>
          <t>Invoice</t>
        </is>
      </c>
      <c r="D1592" s="3" t="inlineStr">
        <is>
          <t>INV-26019</t>
        </is>
      </c>
      <c r="E1592" s="3" t="inlineStr">
        <is>
          <t>Marrowby Mutual</t>
        </is>
      </c>
      <c r="F1592" s="3" t="inlineStr">
        <is>
          <t>Claims batch – March</t>
        </is>
      </c>
      <c r="G1592" s="3" t="inlineStr">
        <is>
          <t>Service Income</t>
        </is>
      </c>
      <c r="H1592" s="3" t="inlineStr">
        <is>
          <t>Accounts Receivable</t>
        </is>
      </c>
      <c r="I1592" s="33" t="n">
        <v>173881.79</v>
      </c>
      <c r="J1592" s="13">
        <f>+J1591+I1592</f>
        <v>146729.04</v>
      </c>
      <c r="K1592" s="19">
        <f>+EOMONTH(B1592,0)</f>
        <v>46112</v>
      </c>
      <c r="L1592" s="3" t="inlineStr">
        <is>
          <t>Accounts Receivable</t>
        </is>
      </c>
      <c r="M1592" s="3" t="inlineStr">
        <is>
          <t>Balance Sheet</t>
        </is>
      </c>
    </row>
    <row r="1593">
      <c r="B1593" s="39" t="n">
        <v>46082</v>
      </c>
      <c r="C1593" s="3" t="inlineStr">
        <is>
          <t>Invoice</t>
        </is>
      </c>
      <c r="D1593" s="3" t="inlineStr">
        <is>
          <t>INV-26020</t>
        </is>
      </c>
      <c r="E1593" s="3" t="inlineStr">
        <is>
          <t>Federal Program A</t>
        </is>
      </c>
      <c r="F1593" s="3" t="inlineStr">
        <is>
          <t>Claims batch – March</t>
        </is>
      </c>
      <c r="G1593" s="3" t="inlineStr">
        <is>
          <t>Service Income</t>
        </is>
      </c>
      <c r="H1593" s="3" t="inlineStr">
        <is>
          <t>Accounts Receivable</t>
        </is>
      </c>
      <c r="I1593" s="33" t="n">
        <v>233889.2</v>
      </c>
      <c r="J1593" s="13">
        <f>+J1592+I1593</f>
        <v>380618.24</v>
      </c>
      <c r="K1593" s="19">
        <f>+EOMONTH(B1593,0)</f>
        <v>46112</v>
      </c>
      <c r="L1593" s="3" t="inlineStr">
        <is>
          <t>Accounts Receivable</t>
        </is>
      </c>
      <c r="M1593" s="3" t="inlineStr">
        <is>
          <t>Balance Sheet</t>
        </is>
      </c>
    </row>
    <row r="1594">
      <c r="B1594" s="39" t="n">
        <v>46082</v>
      </c>
      <c r="C1594" s="3" t="inlineStr">
        <is>
          <t>Invoice</t>
        </is>
      </c>
      <c r="D1594" s="3" t="inlineStr">
        <is>
          <t>INV-26025</t>
        </is>
      </c>
      <c r="E1594" s="3" t="inlineStr">
        <is>
          <t>Cobaltmere Health</t>
        </is>
      </c>
      <c r="F1594" s="3" t="inlineStr">
        <is>
          <t>Claims batch – March</t>
        </is>
      </c>
      <c r="G1594" s="3" t="inlineStr">
        <is>
          <t>Service Income</t>
        </is>
      </c>
      <c r="H1594" s="3" t="inlineStr">
        <is>
          <t>Accounts Receivable</t>
        </is>
      </c>
      <c r="I1594" s="33" t="n">
        <v>73025.2</v>
      </c>
      <c r="J1594" s="13">
        <f>+J1593+I1594</f>
        <v>453643.44</v>
      </c>
      <c r="K1594" s="19">
        <f>+EOMONTH(B1594,0)</f>
        <v>46112</v>
      </c>
      <c r="L1594" s="3" t="inlineStr">
        <is>
          <t>Accounts Receivable</t>
        </is>
      </c>
      <c r="M1594" s="3" t="inlineStr">
        <is>
          <t>Balance Sheet</t>
        </is>
      </c>
    </row>
    <row r="1595">
      <c r="B1595" s="39" t="n">
        <v>46082</v>
      </c>
      <c r="C1595" s="3" t="inlineStr">
        <is>
          <t>Payment</t>
        </is>
      </c>
      <c r="D1595" s="3" t="inlineStr"/>
      <c r="E1595" s="3" t="inlineStr">
        <is>
          <t>State Program B</t>
        </is>
      </c>
      <c r="F1595" s="3" t="inlineStr">
        <is>
          <t>Remittance applied</t>
        </is>
      </c>
      <c r="G1595" s="3" t="inlineStr">
        <is>
          <t>Checking – Operating</t>
        </is>
      </c>
      <c r="H1595" s="3" t="inlineStr">
        <is>
          <t>Accounts Receivable</t>
        </is>
      </c>
      <c r="I1595" s="33" t="n">
        <v>-51923.81</v>
      </c>
      <c r="J1595" s="13">
        <f>+J1594+I1595</f>
        <v>401719.63</v>
      </c>
      <c r="K1595" s="19">
        <f>+EOMONTH(B1595,0)</f>
        <v>46112</v>
      </c>
      <c r="L1595" s="3" t="inlineStr">
        <is>
          <t>Accounts Receivable</t>
        </is>
      </c>
      <c r="M1595" s="3" t="inlineStr">
        <is>
          <t>Balance Sheet</t>
        </is>
      </c>
    </row>
    <row r="1596">
      <c r="B1596" s="39" t="n">
        <v>46084</v>
      </c>
      <c r="C1596" s="3" t="inlineStr">
        <is>
          <t>Invoice</t>
        </is>
      </c>
      <c r="D1596" s="3" t="inlineStr">
        <is>
          <t>INV-26021</t>
        </is>
      </c>
      <c r="E1596" s="3" t="inlineStr">
        <is>
          <t>State Program B</t>
        </is>
      </c>
      <c r="F1596" s="3" t="inlineStr">
        <is>
          <t>Claims batch – March</t>
        </is>
      </c>
      <c r="G1596" s="3" t="inlineStr">
        <is>
          <t>Service Income</t>
        </is>
      </c>
      <c r="H1596" s="3" t="inlineStr">
        <is>
          <t>Accounts Receivable</t>
        </is>
      </c>
      <c r="I1596" s="33" t="n">
        <v>114026.69</v>
      </c>
      <c r="J1596" s="13">
        <f>+J1595+I1596</f>
        <v>515746.32</v>
      </c>
      <c r="K1596" s="19">
        <f>+EOMONTH(B1596,0)</f>
        <v>46112</v>
      </c>
      <c r="L1596" s="3" t="inlineStr">
        <is>
          <t>Accounts Receivable</t>
        </is>
      </c>
      <c r="M1596" s="3" t="inlineStr">
        <is>
          <t>Balance Sheet</t>
        </is>
      </c>
    </row>
    <row r="1597">
      <c r="B1597" s="39" t="n">
        <v>46085</v>
      </c>
      <c r="C1597" s="3" t="inlineStr">
        <is>
          <t>Invoice</t>
        </is>
      </c>
      <c r="D1597" s="3" t="inlineStr">
        <is>
          <t>INV-26018</t>
        </is>
      </c>
      <c r="E1597" s="3" t="inlineStr">
        <is>
          <t>Vantrelle Health Plan</t>
        </is>
      </c>
      <c r="F1597" s="3" t="inlineStr">
        <is>
          <t>Claims batch – March</t>
        </is>
      </c>
      <c r="G1597" s="3" t="inlineStr">
        <is>
          <t>Service Income</t>
        </is>
      </c>
      <c r="H1597" s="3" t="inlineStr">
        <is>
          <t>Accounts Receivable</t>
        </is>
      </c>
      <c r="I1597" s="33" t="n">
        <v>306202.13</v>
      </c>
      <c r="J1597" s="13">
        <f>+J1596+I1597</f>
        <v>821948.45</v>
      </c>
      <c r="K1597" s="19">
        <f>+EOMONTH(B1597,0)</f>
        <v>46112</v>
      </c>
      <c r="L1597" s="3" t="inlineStr">
        <is>
          <t>Accounts Receivable</t>
        </is>
      </c>
      <c r="M1597" s="3" t="inlineStr">
        <is>
          <t>Balance Sheet</t>
        </is>
      </c>
    </row>
    <row r="1598">
      <c r="B1598" s="39" t="n">
        <v>46085</v>
      </c>
      <c r="C1598" s="3" t="inlineStr">
        <is>
          <t>Payment</t>
        </is>
      </c>
      <c r="D1598" s="3" t="inlineStr"/>
      <c r="E1598" s="3" t="inlineStr">
        <is>
          <t>Vantrelle Health Plan</t>
        </is>
      </c>
      <c r="F1598" s="3" t="inlineStr">
        <is>
          <t>Remittance applied</t>
        </is>
      </c>
      <c r="G1598" s="3" t="inlineStr">
        <is>
          <t>Checking – Operating</t>
        </is>
      </c>
      <c r="H1598" s="3" t="inlineStr">
        <is>
          <t>Accounts Receivable</t>
        </is>
      </c>
      <c r="I1598" s="33" t="n">
        <v>-142128.56</v>
      </c>
      <c r="J1598" s="13">
        <f>+J1597+I1598</f>
        <v>679819.89</v>
      </c>
      <c r="K1598" s="19">
        <f>+EOMONTH(B1598,0)</f>
        <v>46112</v>
      </c>
      <c r="L1598" s="3" t="inlineStr">
        <is>
          <t>Accounts Receivable</t>
        </is>
      </c>
      <c r="M1598" s="3" t="inlineStr">
        <is>
          <t>Balance Sheet</t>
        </is>
      </c>
    </row>
    <row r="1599">
      <c r="B1599" s="39" t="n">
        <v>46086</v>
      </c>
      <c r="C1599" s="3" t="inlineStr">
        <is>
          <t>Invoice</t>
        </is>
      </c>
      <c r="D1599" s="3" t="inlineStr">
        <is>
          <t>INV-26022</t>
        </is>
      </c>
      <c r="E1599" s="3" t="inlineStr">
        <is>
          <t>Silvermoss Senior Living</t>
        </is>
      </c>
      <c r="F1599" s="3" t="inlineStr">
        <is>
          <t>Claims batch – March</t>
        </is>
      </c>
      <c r="G1599" s="3" t="inlineStr">
        <is>
          <t>Service Income</t>
        </is>
      </c>
      <c r="H1599" s="3" t="inlineStr">
        <is>
          <t>Accounts Receivable</t>
        </is>
      </c>
      <c r="I1599" s="33" t="n">
        <v>97041.28999999999</v>
      </c>
      <c r="J1599" s="13">
        <f>+J1598+I1599</f>
        <v>776861.18</v>
      </c>
      <c r="K1599" s="19">
        <f>+EOMONTH(B1599,0)</f>
        <v>46112</v>
      </c>
      <c r="L1599" s="3" t="inlineStr">
        <is>
          <t>Accounts Receivable</t>
        </is>
      </c>
      <c r="M1599" s="3" t="inlineStr">
        <is>
          <t>Balance Sheet</t>
        </is>
      </c>
    </row>
    <row r="1600">
      <c r="B1600" s="39" t="n">
        <v>46086</v>
      </c>
      <c r="C1600" s="3" t="inlineStr">
        <is>
          <t>Invoice</t>
        </is>
      </c>
      <c r="D1600" s="3" t="inlineStr">
        <is>
          <t>INV-26024</t>
        </is>
      </c>
      <c r="E1600" s="3" t="inlineStr">
        <is>
          <t>Quayside Choice Senior Plan</t>
        </is>
      </c>
      <c r="F1600" s="3" t="inlineStr">
        <is>
          <t>Claims batch – March</t>
        </is>
      </c>
      <c r="G1600" s="3" t="inlineStr">
        <is>
          <t>Service Income</t>
        </is>
      </c>
      <c r="H1600" s="3" t="inlineStr">
        <is>
          <t>Accounts Receivable</t>
        </is>
      </c>
      <c r="I1600" s="33" t="n">
        <v>136128.34</v>
      </c>
      <c r="J1600" s="13">
        <f>+J1599+I1600</f>
        <v>912989.52</v>
      </c>
      <c r="K1600" s="19">
        <f>+EOMONTH(B1600,0)</f>
        <v>46112</v>
      </c>
      <c r="L1600" s="3" t="inlineStr">
        <is>
          <t>Accounts Receivable</t>
        </is>
      </c>
      <c r="M1600" s="3" t="inlineStr">
        <is>
          <t>Balance Sheet</t>
        </is>
      </c>
    </row>
    <row r="1601">
      <c r="B1601" s="39" t="n">
        <v>46087</v>
      </c>
      <c r="C1601" s="3" t="inlineStr">
        <is>
          <t>Invoice</t>
        </is>
      </c>
      <c r="D1601" s="3" t="inlineStr">
        <is>
          <t>INV-26023</t>
        </is>
      </c>
      <c r="E1601" s="3" t="inlineStr">
        <is>
          <t>Lanternway Benefits</t>
        </is>
      </c>
      <c r="F1601" s="3" t="inlineStr">
        <is>
          <t>Claims batch – March</t>
        </is>
      </c>
      <c r="G1601" s="3" t="inlineStr">
        <is>
          <t>Service Income</t>
        </is>
      </c>
      <c r="H1601" s="3" t="inlineStr">
        <is>
          <t>Accounts Receivable</t>
        </is>
      </c>
      <c r="I1601" s="33" t="n">
        <v>116214.56</v>
      </c>
      <c r="J1601" s="13">
        <f>+J1600+I1601</f>
        <v>1029204.08</v>
      </c>
      <c r="K1601" s="19">
        <f>+EOMONTH(B1601,0)</f>
        <v>46112</v>
      </c>
      <c r="L1601" s="3" t="inlineStr">
        <is>
          <t>Accounts Receivable</t>
        </is>
      </c>
      <c r="M1601" s="3" t="inlineStr">
        <is>
          <t>Balance Sheet</t>
        </is>
      </c>
    </row>
    <row r="1602">
      <c r="B1602" s="39" t="n">
        <v>46090</v>
      </c>
      <c r="C1602" s="3" t="inlineStr">
        <is>
          <t>Payment</t>
        </is>
      </c>
      <c r="D1602" s="3" t="inlineStr"/>
      <c r="E1602" s="3" t="inlineStr">
        <is>
          <t>Silvermoss Senior Living</t>
        </is>
      </c>
      <c r="F1602" s="3" t="inlineStr">
        <is>
          <t>Remittance applied</t>
        </is>
      </c>
      <c r="G1602" s="3" t="inlineStr">
        <is>
          <t>Checking – Operating</t>
        </is>
      </c>
      <c r="H1602" s="3" t="inlineStr">
        <is>
          <t>Accounts Receivable</t>
        </is>
      </c>
      <c r="I1602" s="33" t="n">
        <v>-50589.99</v>
      </c>
      <c r="J1602" s="13">
        <f>+J1601+I1602</f>
        <v>978614.09</v>
      </c>
      <c r="K1602" s="19">
        <f>+EOMONTH(B1602,0)</f>
        <v>46112</v>
      </c>
      <c r="L1602" s="3" t="inlineStr">
        <is>
          <t>Accounts Receivable</t>
        </is>
      </c>
      <c r="M1602" s="3" t="inlineStr">
        <is>
          <t>Balance Sheet</t>
        </is>
      </c>
    </row>
    <row r="1603">
      <c r="B1603" s="39" t="n">
        <v>46093</v>
      </c>
      <c r="C1603" s="3" t="inlineStr">
        <is>
          <t>Payment</t>
        </is>
      </c>
      <c r="D1603" s="3" t="inlineStr"/>
      <c r="E1603" s="3" t="inlineStr">
        <is>
          <t>Quayside Choice Senior Plan</t>
        </is>
      </c>
      <c r="F1603" s="3" t="inlineStr">
        <is>
          <t>Remittance applied</t>
        </is>
      </c>
      <c r="G1603" s="3" t="inlineStr">
        <is>
          <t>Checking – Operating</t>
        </is>
      </c>
      <c r="H1603" s="3" t="inlineStr">
        <is>
          <t>Accounts Receivable</t>
        </is>
      </c>
      <c r="I1603" s="33" t="n">
        <v>-53595.34</v>
      </c>
      <c r="J1603" s="13">
        <f>+J1602+I1603</f>
        <v>925018.75</v>
      </c>
      <c r="K1603" s="19">
        <f>+EOMONTH(B1603,0)</f>
        <v>46112</v>
      </c>
      <c r="L1603" s="3" t="inlineStr">
        <is>
          <t>Accounts Receivable</t>
        </is>
      </c>
      <c r="M1603" s="3" t="inlineStr">
        <is>
          <t>Balance Sheet</t>
        </is>
      </c>
    </row>
    <row r="1604">
      <c r="B1604" s="39" t="n">
        <v>46095</v>
      </c>
      <c r="C1604" s="3" t="inlineStr">
        <is>
          <t>Payment</t>
        </is>
      </c>
      <c r="D1604" s="3" t="inlineStr"/>
      <c r="E1604" s="3" t="inlineStr">
        <is>
          <t>State Program B</t>
        </is>
      </c>
      <c r="F1604" s="3" t="inlineStr">
        <is>
          <t>Remittance applied</t>
        </is>
      </c>
      <c r="G1604" s="3" t="inlineStr">
        <is>
          <t>Checking – Operating</t>
        </is>
      </c>
      <c r="H1604" s="3" t="inlineStr">
        <is>
          <t>Accounts Receivable</t>
        </is>
      </c>
      <c r="I1604" s="33" t="n">
        <v>-58249.86</v>
      </c>
      <c r="J1604" s="13">
        <f>+J1603+I1604</f>
        <v>866768.89</v>
      </c>
      <c r="K1604" s="19">
        <f>+EOMONTH(B1604,0)</f>
        <v>46112</v>
      </c>
      <c r="L1604" s="3" t="inlineStr">
        <is>
          <t>Accounts Receivable</t>
        </is>
      </c>
      <c r="M1604" s="3" t="inlineStr">
        <is>
          <t>Balance Sheet</t>
        </is>
      </c>
    </row>
    <row r="1605">
      <c r="B1605" s="39" t="n">
        <v>46097</v>
      </c>
      <c r="C1605" s="3" t="inlineStr">
        <is>
          <t>Payment</t>
        </is>
      </c>
      <c r="D1605" s="3" t="inlineStr"/>
      <c r="E1605" s="3" t="inlineStr">
        <is>
          <t>Cobaltmere Health</t>
        </is>
      </c>
      <c r="F1605" s="3" t="inlineStr">
        <is>
          <t>Remittance applied</t>
        </is>
      </c>
      <c r="G1605" s="3" t="inlineStr">
        <is>
          <t>Checking – Operating</t>
        </is>
      </c>
      <c r="H1605" s="3" t="inlineStr">
        <is>
          <t>Accounts Receivable</t>
        </is>
      </c>
      <c r="I1605" s="33" t="n">
        <v>-19160.3</v>
      </c>
      <c r="J1605" s="13">
        <f>+J1604+I1605</f>
        <v>847608.59</v>
      </c>
      <c r="K1605" s="19">
        <f>+EOMONTH(B1605,0)</f>
        <v>46112</v>
      </c>
      <c r="L1605" s="3" t="inlineStr">
        <is>
          <t>Accounts Receivable</t>
        </is>
      </c>
      <c r="M1605" s="3" t="inlineStr">
        <is>
          <t>Balance Sheet</t>
        </is>
      </c>
    </row>
    <row r="1606">
      <c r="B1606" s="39" t="n">
        <v>46100</v>
      </c>
      <c r="C1606" s="3" t="inlineStr">
        <is>
          <t>Payment</t>
        </is>
      </c>
      <c r="D1606" s="3" t="inlineStr"/>
      <c r="E1606" s="3" t="inlineStr">
        <is>
          <t>Lanternway Benefits</t>
        </is>
      </c>
      <c r="F1606" s="3" t="inlineStr">
        <is>
          <t>Remittance applied</t>
        </is>
      </c>
      <c r="G1606" s="3" t="inlineStr">
        <is>
          <t>Checking – Operating</t>
        </is>
      </c>
      <c r="H1606" s="3" t="inlineStr">
        <is>
          <t>Accounts Receivable</t>
        </is>
      </c>
      <c r="I1606" s="33" t="n">
        <v>-29344.02</v>
      </c>
      <c r="J1606" s="13">
        <f>+J1605+I1606</f>
        <v>818264.57</v>
      </c>
      <c r="K1606" s="19">
        <f>+EOMONTH(B1606,0)</f>
        <v>46112</v>
      </c>
      <c r="L1606" s="3" t="inlineStr">
        <is>
          <t>Accounts Receivable</t>
        </is>
      </c>
      <c r="M1606" s="3" t="inlineStr">
        <is>
          <t>Balance Sheet</t>
        </is>
      </c>
    </row>
    <row r="1607">
      <c r="B1607" s="39" t="n">
        <v>46100</v>
      </c>
      <c r="C1607" s="3" t="inlineStr">
        <is>
          <t>Payment</t>
        </is>
      </c>
      <c r="D1607" s="3" t="inlineStr"/>
      <c r="E1607" s="3" t="inlineStr">
        <is>
          <t>Cobaltmere Health</t>
        </is>
      </c>
      <c r="F1607" s="3" t="inlineStr">
        <is>
          <t>Remittance applied</t>
        </is>
      </c>
      <c r="G1607" s="3" t="inlineStr">
        <is>
          <t>Checking – Operating</t>
        </is>
      </c>
      <c r="H1607" s="3" t="inlineStr">
        <is>
          <t>Accounts Receivable</t>
        </is>
      </c>
      <c r="I1607" s="33" t="n">
        <v>-34884.22</v>
      </c>
      <c r="J1607" s="13">
        <f>+J1606+I1607</f>
        <v>783380.35</v>
      </c>
      <c r="K1607" s="19">
        <f>+EOMONTH(B1607,0)</f>
        <v>46112</v>
      </c>
      <c r="L1607" s="3" t="inlineStr">
        <is>
          <t>Accounts Receivable</t>
        </is>
      </c>
      <c r="M1607" s="3" t="inlineStr">
        <is>
          <t>Balance Sheet</t>
        </is>
      </c>
    </row>
    <row r="1608">
      <c r="B1608" s="39" t="n">
        <v>46103</v>
      </c>
      <c r="C1608" s="3" t="inlineStr">
        <is>
          <t>Payment</t>
        </is>
      </c>
      <c r="D1608" s="3" t="inlineStr"/>
      <c r="E1608" s="3" t="inlineStr">
        <is>
          <t>Silvermoss Senior Living</t>
        </is>
      </c>
      <c r="F1608" s="3" t="inlineStr">
        <is>
          <t>Remittance applied</t>
        </is>
      </c>
      <c r="G1608" s="3" t="inlineStr">
        <is>
          <t>Checking – Operating</t>
        </is>
      </c>
      <c r="H1608" s="3" t="inlineStr">
        <is>
          <t>Accounts Receivable</t>
        </is>
      </c>
      <c r="I1608" s="33" t="n">
        <v>-47342.16</v>
      </c>
      <c r="J1608" s="13">
        <f>+J1607+I1608</f>
        <v>736038.19</v>
      </c>
      <c r="K1608" s="19">
        <f>+EOMONTH(B1608,0)</f>
        <v>46112</v>
      </c>
      <c r="L1608" s="3" t="inlineStr">
        <is>
          <t>Accounts Receivable</t>
        </is>
      </c>
      <c r="M1608" s="3" t="inlineStr">
        <is>
          <t>Balance Sheet</t>
        </is>
      </c>
    </row>
    <row r="1609">
      <c r="B1609" s="39" t="n">
        <v>46103</v>
      </c>
      <c r="C1609" s="3" t="inlineStr">
        <is>
          <t>Payment</t>
        </is>
      </c>
      <c r="D1609" s="3" t="inlineStr"/>
      <c r="E1609" s="3" t="inlineStr">
        <is>
          <t>Lanternway Benefits</t>
        </is>
      </c>
      <c r="F1609" s="3" t="inlineStr">
        <is>
          <t>Remittance applied</t>
        </is>
      </c>
      <c r="G1609" s="3" t="inlineStr">
        <is>
          <t>Checking – Operating</t>
        </is>
      </c>
      <c r="H1609" s="3" t="inlineStr">
        <is>
          <t>Accounts Receivable</t>
        </is>
      </c>
      <c r="I1609" s="33" t="n">
        <v>-38074.97</v>
      </c>
      <c r="J1609" s="13">
        <f>+J1608+I1609</f>
        <v>697963.22</v>
      </c>
      <c r="K1609" s="19">
        <f>+EOMONTH(B1609,0)</f>
        <v>46112</v>
      </c>
      <c r="L1609" s="3" t="inlineStr">
        <is>
          <t>Accounts Receivable</t>
        </is>
      </c>
      <c r="M1609" s="3" t="inlineStr">
        <is>
          <t>Balance Sheet</t>
        </is>
      </c>
    </row>
    <row r="1610">
      <c r="B1610" s="39" t="n">
        <v>46104</v>
      </c>
      <c r="C1610" s="3" t="inlineStr">
        <is>
          <t>Payment</t>
        </is>
      </c>
      <c r="D1610" s="3" t="inlineStr"/>
      <c r="E1610" s="3" t="inlineStr">
        <is>
          <t>Vantrelle Health Plan</t>
        </is>
      </c>
      <c r="F1610" s="3" t="inlineStr">
        <is>
          <t>Remittance applied</t>
        </is>
      </c>
      <c r="G1610" s="3" t="inlineStr">
        <is>
          <t>Checking – Operating</t>
        </is>
      </c>
      <c r="H1610" s="3" t="inlineStr">
        <is>
          <t>Accounts Receivable</t>
        </is>
      </c>
      <c r="I1610" s="33" t="n">
        <v>-151667.9</v>
      </c>
      <c r="J1610" s="13">
        <f>+J1609+I1610</f>
        <v>546295.32</v>
      </c>
      <c r="K1610" s="19">
        <f>+EOMONTH(B1610,0)</f>
        <v>46112</v>
      </c>
      <c r="L1610" s="3" t="inlineStr">
        <is>
          <t>Accounts Receivable</t>
        </is>
      </c>
      <c r="M1610" s="3" t="inlineStr">
        <is>
          <t>Balance Sheet</t>
        </is>
      </c>
    </row>
    <row r="1611">
      <c r="B1611" s="39" t="n">
        <v>46104</v>
      </c>
      <c r="C1611" s="3" t="inlineStr">
        <is>
          <t>Payment</t>
        </is>
      </c>
      <c r="D1611" s="3" t="inlineStr"/>
      <c r="E1611" s="3" t="inlineStr">
        <is>
          <t>Lanternway Benefits</t>
        </is>
      </c>
      <c r="F1611" s="3" t="inlineStr">
        <is>
          <t>Remittance applied</t>
        </is>
      </c>
      <c r="G1611" s="3" t="inlineStr">
        <is>
          <t>Checking – Operating</t>
        </is>
      </c>
      <c r="H1611" s="3" t="inlineStr">
        <is>
          <t>Accounts Receivable</t>
        </is>
      </c>
      <c r="I1611" s="33" t="n">
        <v>-54996.2</v>
      </c>
      <c r="J1611" s="13">
        <f>+J1610+I1611</f>
        <v>491299.12</v>
      </c>
      <c r="K1611" s="19">
        <f>+EOMONTH(B1611,0)</f>
        <v>46112</v>
      </c>
      <c r="L1611" s="3" t="inlineStr">
        <is>
          <t>Accounts Receivable</t>
        </is>
      </c>
      <c r="M1611" s="3" t="inlineStr">
        <is>
          <t>Balance Sheet</t>
        </is>
      </c>
    </row>
    <row r="1612">
      <c r="B1612" s="39" t="n">
        <v>46104</v>
      </c>
      <c r="C1612" s="3" t="inlineStr">
        <is>
          <t>Payment</t>
        </is>
      </c>
      <c r="D1612" s="3" t="inlineStr"/>
      <c r="E1612" s="3" t="inlineStr">
        <is>
          <t>Quayside Choice Senior Plan</t>
        </is>
      </c>
      <c r="F1612" s="3" t="inlineStr">
        <is>
          <t>Remittance applied</t>
        </is>
      </c>
      <c r="G1612" s="3" t="inlineStr">
        <is>
          <t>Checking – Operating</t>
        </is>
      </c>
      <c r="H1612" s="3" t="inlineStr">
        <is>
          <t>Accounts Receivable</t>
        </is>
      </c>
      <c r="I1612" s="33" t="n">
        <v>-81061.37</v>
      </c>
      <c r="J1612" s="13">
        <f>+J1611+I1612</f>
        <v>410237.75</v>
      </c>
      <c r="K1612" s="19">
        <f>+EOMONTH(B1612,0)</f>
        <v>46112</v>
      </c>
      <c r="L1612" s="3" t="inlineStr">
        <is>
          <t>Accounts Receivable</t>
        </is>
      </c>
      <c r="M1612" s="3" t="inlineStr">
        <is>
          <t>Balance Sheet</t>
        </is>
      </c>
    </row>
    <row r="1613">
      <c r="B1613" s="39" t="n">
        <v>46104</v>
      </c>
      <c r="C1613" s="3" t="inlineStr">
        <is>
          <t>Payment</t>
        </is>
      </c>
      <c r="D1613" s="3" t="inlineStr"/>
      <c r="E1613" s="3" t="inlineStr">
        <is>
          <t>Cobaltmere Health</t>
        </is>
      </c>
      <c r="F1613" s="3" t="inlineStr">
        <is>
          <t>Remittance applied</t>
        </is>
      </c>
      <c r="G1613" s="3" t="inlineStr">
        <is>
          <t>Checking – Operating</t>
        </is>
      </c>
      <c r="H1613" s="3" t="inlineStr">
        <is>
          <t>Accounts Receivable</t>
        </is>
      </c>
      <c r="I1613" s="33" t="n">
        <v>-19404.6</v>
      </c>
      <c r="J1613" s="13">
        <f>+J1612+I1613</f>
        <v>390833.15</v>
      </c>
      <c r="K1613" s="19">
        <f>+EOMONTH(B1613,0)</f>
        <v>46112</v>
      </c>
      <c r="L1613" s="3" t="inlineStr">
        <is>
          <t>Accounts Receivable</t>
        </is>
      </c>
      <c r="M1613" s="3" t="inlineStr">
        <is>
          <t>Balance Sheet</t>
        </is>
      </c>
    </row>
    <row r="1614">
      <c r="B1614" s="39" t="n">
        <v>46105</v>
      </c>
      <c r="C1614" s="3" t="inlineStr">
        <is>
          <t>Payment</t>
        </is>
      </c>
      <c r="D1614" s="3" t="inlineStr"/>
      <c r="E1614" s="3" t="inlineStr">
        <is>
          <t>Federal Program A</t>
        </is>
      </c>
      <c r="F1614" s="3" t="inlineStr">
        <is>
          <t>Remittance applied</t>
        </is>
      </c>
      <c r="G1614" s="3" t="inlineStr">
        <is>
          <t>Checking – Operating</t>
        </is>
      </c>
      <c r="H1614" s="3" t="inlineStr">
        <is>
          <t>Accounts Receivable</t>
        </is>
      </c>
      <c r="I1614" s="33" t="n">
        <v>-72499.92</v>
      </c>
      <c r="J1614" s="13">
        <f>+J1613+I1614</f>
        <v>318333.23</v>
      </c>
      <c r="K1614" s="19">
        <f>+EOMONTH(B1614,0)</f>
        <v>46112</v>
      </c>
      <c r="L1614" s="3" t="inlineStr">
        <is>
          <t>Accounts Receivable</t>
        </is>
      </c>
      <c r="M1614" s="3" t="inlineStr">
        <is>
          <t>Balance Sheet</t>
        </is>
      </c>
    </row>
    <row r="1615">
      <c r="B1615" s="39" t="n">
        <v>46109</v>
      </c>
      <c r="C1615" s="3" t="inlineStr">
        <is>
          <t>Payment</t>
        </is>
      </c>
      <c r="D1615" s="3" t="inlineStr"/>
      <c r="E1615" s="3" t="inlineStr">
        <is>
          <t>Marrowby Mutual</t>
        </is>
      </c>
      <c r="F1615" s="3" t="inlineStr">
        <is>
          <t>Remittance applied</t>
        </is>
      </c>
      <c r="G1615" s="3" t="inlineStr">
        <is>
          <t>Checking – Operating</t>
        </is>
      </c>
      <c r="H1615" s="3" t="inlineStr">
        <is>
          <t>Accounts Receivable</t>
        </is>
      </c>
      <c r="I1615" s="33" t="n">
        <v>-80917.11</v>
      </c>
      <c r="J1615" s="13">
        <f>+J1614+I1615</f>
        <v>237416.12</v>
      </c>
      <c r="K1615" s="19">
        <f>+EOMONTH(B1615,0)</f>
        <v>46112</v>
      </c>
      <c r="L1615" s="3" t="inlineStr">
        <is>
          <t>Accounts Receivable</t>
        </is>
      </c>
      <c r="M1615" s="3" t="inlineStr">
        <is>
          <t>Balance Sheet</t>
        </is>
      </c>
    </row>
    <row r="1616">
      <c r="B1616" s="39" t="n">
        <v>46110</v>
      </c>
      <c r="C1616" s="3" t="inlineStr">
        <is>
          <t>Payment</t>
        </is>
      </c>
      <c r="D1616" s="3" t="inlineStr"/>
      <c r="E1616" s="3" t="inlineStr">
        <is>
          <t>Federal Program A</t>
        </is>
      </c>
      <c r="F1616" s="3" t="inlineStr">
        <is>
          <t>Remittance applied</t>
        </is>
      </c>
      <c r="G1616" s="3" t="inlineStr">
        <is>
          <t>Checking – Operating</t>
        </is>
      </c>
      <c r="H1616" s="3" t="inlineStr">
        <is>
          <t>Accounts Receivable</t>
        </is>
      </c>
      <c r="I1616" s="33" t="n">
        <v>-87201.96000000001</v>
      </c>
      <c r="J1616" s="13">
        <f>+J1615+I1616</f>
        <v>150214.16</v>
      </c>
      <c r="K1616" s="19">
        <f>+EOMONTH(B1616,0)</f>
        <v>46112</v>
      </c>
      <c r="L1616" s="3" t="inlineStr">
        <is>
          <t>Accounts Receivable</t>
        </is>
      </c>
      <c r="M1616" s="3" t="inlineStr">
        <is>
          <t>Balance Sheet</t>
        </is>
      </c>
    </row>
    <row r="1617">
      <c r="B1617" s="39" t="n">
        <v>46111</v>
      </c>
      <c r="C1617" s="3" t="inlineStr">
        <is>
          <t>Payment</t>
        </is>
      </c>
      <c r="D1617" s="3" t="inlineStr"/>
      <c r="E1617" s="3" t="inlineStr">
        <is>
          <t>Marrowby Mutual</t>
        </is>
      </c>
      <c r="F1617" s="3" t="inlineStr">
        <is>
          <t>Remittance applied</t>
        </is>
      </c>
      <c r="G1617" s="3" t="inlineStr">
        <is>
          <t>Checking – Operating</t>
        </is>
      </c>
      <c r="H1617" s="3" t="inlineStr">
        <is>
          <t>Accounts Receivable</t>
        </is>
      </c>
      <c r="I1617" s="33" t="n">
        <v>-90464.16</v>
      </c>
      <c r="J1617" s="13">
        <f>+J1616+I1617</f>
        <v>59750.0000000001</v>
      </c>
      <c r="K1617" s="19">
        <f>+EOMONTH(B1617,0)</f>
        <v>46112</v>
      </c>
      <c r="L1617" s="3" t="inlineStr">
        <is>
          <t>Accounts Receivable</t>
        </is>
      </c>
      <c r="M1617" s="3" t="inlineStr">
        <is>
          <t>Balance Sheet</t>
        </is>
      </c>
    </row>
    <row r="1618">
      <c r="B1618" s="39" t="n">
        <v>46112</v>
      </c>
      <c r="C1618" s="3" t="inlineStr">
        <is>
          <t>Payment</t>
        </is>
      </c>
      <c r="D1618" s="3" t="inlineStr"/>
      <c r="E1618" s="3" t="inlineStr">
        <is>
          <t>Federal Program A</t>
        </is>
      </c>
      <c r="F1618" s="3" t="inlineStr">
        <is>
          <t>Remittance applied</t>
        </is>
      </c>
      <c r="G1618" s="3" t="inlineStr">
        <is>
          <t>Checking – Operating</t>
        </is>
      </c>
      <c r="H1618" s="3" t="inlineStr">
        <is>
          <t>Accounts Receivable</t>
        </is>
      </c>
      <c r="I1618" s="33" t="n">
        <v>-60645.47</v>
      </c>
      <c r="J1618" s="13">
        <f>+J1617+I1618</f>
        <v>-895.469999999914</v>
      </c>
      <c r="K1618" s="19">
        <f>+EOMONTH(B1618,0)</f>
        <v>46112</v>
      </c>
      <c r="L1618" s="3" t="inlineStr">
        <is>
          <t>Accounts Receivable</t>
        </is>
      </c>
      <c r="M1618" s="3" t="inlineStr">
        <is>
          <t>Balance Sheet</t>
        </is>
      </c>
    </row>
    <row r="1619">
      <c r="B1619" s="39" t="n">
        <v>46113</v>
      </c>
      <c r="C1619" s="3" t="inlineStr">
        <is>
          <t>Invoice</t>
        </is>
      </c>
      <c r="D1619" s="3" t="inlineStr">
        <is>
          <t>INV-26029</t>
        </is>
      </c>
      <c r="E1619" s="3" t="inlineStr">
        <is>
          <t>State Program B</t>
        </is>
      </c>
      <c r="F1619" s="3" t="inlineStr">
        <is>
          <t>Claims batch – April</t>
        </is>
      </c>
      <c r="G1619" s="3" t="inlineStr">
        <is>
          <t>Service Income</t>
        </is>
      </c>
      <c r="H1619" s="3" t="inlineStr">
        <is>
          <t>Accounts Receivable</t>
        </is>
      </c>
      <c r="I1619" s="33" t="n">
        <v>107685.91</v>
      </c>
      <c r="J1619" s="13">
        <f>+J1618+I1619</f>
        <v>106790.44</v>
      </c>
      <c r="K1619" s="19">
        <f>+EOMONTH(B1619,0)</f>
        <v>46142</v>
      </c>
      <c r="L1619" s="3" t="inlineStr">
        <is>
          <t>Accounts Receivable</t>
        </is>
      </c>
      <c r="M1619" s="3" t="inlineStr">
        <is>
          <t>Balance Sheet</t>
        </is>
      </c>
    </row>
    <row r="1620">
      <c r="B1620" s="39" t="n">
        <v>46113</v>
      </c>
      <c r="C1620" s="3" t="inlineStr">
        <is>
          <t>Payment</t>
        </is>
      </c>
      <c r="D1620" s="3" t="inlineStr"/>
      <c r="E1620" s="3" t="inlineStr">
        <is>
          <t>Cobaltmere Health</t>
        </is>
      </c>
      <c r="F1620" s="3" t="inlineStr">
        <is>
          <t>Remittance applied</t>
        </is>
      </c>
      <c r="G1620" s="3" t="inlineStr">
        <is>
          <t>Checking – Operating</t>
        </is>
      </c>
      <c r="H1620" s="3" t="inlineStr">
        <is>
          <t>Accounts Receivable</t>
        </is>
      </c>
      <c r="I1620" s="33" t="n">
        <v>-37434.17</v>
      </c>
      <c r="J1620" s="13">
        <f>+J1619+I1620</f>
        <v>69356.2700000001</v>
      </c>
      <c r="K1620" s="19">
        <f>+EOMONTH(B1620,0)</f>
        <v>46142</v>
      </c>
      <c r="L1620" s="3" t="inlineStr">
        <is>
          <t>Accounts Receivable</t>
        </is>
      </c>
      <c r="M1620" s="3" t="inlineStr">
        <is>
          <t>Balance Sheet</t>
        </is>
      </c>
    </row>
    <row r="1621">
      <c r="B1621" s="39" t="n">
        <v>46114</v>
      </c>
      <c r="C1621" s="3" t="inlineStr">
        <is>
          <t>Invoice</t>
        </is>
      </c>
      <c r="D1621" s="3" t="inlineStr">
        <is>
          <t>INV-26030</t>
        </is>
      </c>
      <c r="E1621" s="3" t="inlineStr">
        <is>
          <t>Silvermoss Senior Living</t>
        </is>
      </c>
      <c r="F1621" s="3" t="inlineStr">
        <is>
          <t>Claims batch – April</t>
        </is>
      </c>
      <c r="G1621" s="3" t="inlineStr">
        <is>
          <t>Service Income</t>
        </is>
      </c>
      <c r="H1621" s="3" t="inlineStr">
        <is>
          <t>Accounts Receivable</t>
        </is>
      </c>
      <c r="I1621" s="33" t="n">
        <v>107107.65</v>
      </c>
      <c r="J1621" s="13">
        <f>+J1620+I1621</f>
        <v>176463.92</v>
      </c>
      <c r="K1621" s="19">
        <f>+EOMONTH(B1621,0)</f>
        <v>46142</v>
      </c>
      <c r="L1621" s="3" t="inlineStr">
        <is>
          <t>Accounts Receivable</t>
        </is>
      </c>
      <c r="M1621" s="3" t="inlineStr">
        <is>
          <t>Balance Sheet</t>
        </is>
      </c>
    </row>
    <row r="1622">
      <c r="B1622" s="39" t="n">
        <v>46114</v>
      </c>
      <c r="C1622" s="3" t="inlineStr">
        <is>
          <t>Payment</t>
        </is>
      </c>
      <c r="D1622" s="3" t="inlineStr"/>
      <c r="E1622" s="3" t="inlineStr">
        <is>
          <t>Federal Program A</t>
        </is>
      </c>
      <c r="F1622" s="3" t="inlineStr">
        <is>
          <t>Remittance applied</t>
        </is>
      </c>
      <c r="G1622" s="3" t="inlineStr">
        <is>
          <t>Checking – Operating</t>
        </is>
      </c>
      <c r="H1622" s="3" t="inlineStr">
        <is>
          <t>Accounts Receivable</t>
        </is>
      </c>
      <c r="I1622" s="33" t="n">
        <v>-113998.32</v>
      </c>
      <c r="J1622" s="13">
        <f>+J1621+I1622</f>
        <v>62465.6000000001</v>
      </c>
      <c r="K1622" s="19">
        <f>+EOMONTH(B1622,0)</f>
        <v>46142</v>
      </c>
      <c r="L1622" s="3" t="inlineStr">
        <is>
          <t>Accounts Receivable</t>
        </is>
      </c>
      <c r="M1622" s="3" t="inlineStr">
        <is>
          <t>Balance Sheet</t>
        </is>
      </c>
    </row>
    <row r="1623">
      <c r="B1623" s="39" t="n">
        <v>46115</v>
      </c>
      <c r="C1623" s="3" t="inlineStr">
        <is>
          <t>Invoice</t>
        </is>
      </c>
      <c r="D1623" s="3" t="inlineStr">
        <is>
          <t>INV-26026</t>
        </is>
      </c>
      <c r="E1623" s="3" t="inlineStr">
        <is>
          <t>Vantrelle Health Plan</t>
        </is>
      </c>
      <c r="F1623" s="3" t="inlineStr">
        <is>
          <t>Claims batch – April</t>
        </is>
      </c>
      <c r="G1623" s="3" t="inlineStr">
        <is>
          <t>Service Income</t>
        </is>
      </c>
      <c r="H1623" s="3" t="inlineStr">
        <is>
          <t>Accounts Receivable</t>
        </is>
      </c>
      <c r="I1623" s="33" t="n">
        <v>302072.53</v>
      </c>
      <c r="J1623" s="13">
        <f>+J1622+I1623</f>
        <v>364538.13</v>
      </c>
      <c r="K1623" s="19">
        <f>+EOMONTH(B1623,0)</f>
        <v>46142</v>
      </c>
      <c r="L1623" s="3" t="inlineStr">
        <is>
          <t>Accounts Receivable</t>
        </is>
      </c>
      <c r="M1623" s="3" t="inlineStr">
        <is>
          <t>Balance Sheet</t>
        </is>
      </c>
    </row>
    <row r="1624">
      <c r="B1624" s="39" t="n">
        <v>46115</v>
      </c>
      <c r="C1624" s="3" t="inlineStr">
        <is>
          <t>Payment</t>
        </is>
      </c>
      <c r="D1624" s="3" t="inlineStr"/>
      <c r="E1624" s="3" t="inlineStr">
        <is>
          <t>Marrowby Mutual</t>
        </is>
      </c>
      <c r="F1624" s="3" t="inlineStr">
        <is>
          <t>Remittance applied</t>
        </is>
      </c>
      <c r="G1624" s="3" t="inlineStr">
        <is>
          <t>Checking – Operating</t>
        </is>
      </c>
      <c r="H1624" s="3" t="inlineStr">
        <is>
          <t>Accounts Receivable</t>
        </is>
      </c>
      <c r="I1624" s="33" t="n">
        <v>-70809.64999999999</v>
      </c>
      <c r="J1624" s="13">
        <f>+J1623+I1624</f>
        <v>293728.48</v>
      </c>
      <c r="K1624" s="19">
        <f>+EOMONTH(B1624,0)</f>
        <v>46142</v>
      </c>
      <c r="L1624" s="3" t="inlineStr">
        <is>
          <t>Accounts Receivable</t>
        </is>
      </c>
      <c r="M1624" s="3" t="inlineStr">
        <is>
          <t>Balance Sheet</t>
        </is>
      </c>
    </row>
    <row r="1625">
      <c r="B1625" s="39" t="n">
        <v>46116</v>
      </c>
      <c r="C1625" s="3" t="inlineStr">
        <is>
          <t>Payment</t>
        </is>
      </c>
      <c r="D1625" s="3" t="inlineStr"/>
      <c r="E1625" s="3" t="inlineStr">
        <is>
          <t>Vantrelle Health Plan</t>
        </is>
      </c>
      <c r="F1625" s="3" t="inlineStr">
        <is>
          <t>Remittance applied</t>
        </is>
      </c>
      <c r="G1625" s="3" t="inlineStr">
        <is>
          <t>Checking – Operating</t>
        </is>
      </c>
      <c r="H1625" s="3" t="inlineStr">
        <is>
          <t>Accounts Receivable</t>
        </is>
      </c>
      <c r="I1625" s="33" t="n">
        <v>-129407.29</v>
      </c>
      <c r="J1625" s="13">
        <f>+J1624+I1625</f>
        <v>164321.19</v>
      </c>
      <c r="K1625" s="19">
        <f>+EOMONTH(B1625,0)</f>
        <v>46142</v>
      </c>
      <c r="L1625" s="3" t="inlineStr">
        <is>
          <t>Accounts Receivable</t>
        </is>
      </c>
      <c r="M1625" s="3" t="inlineStr">
        <is>
          <t>Balance Sheet</t>
        </is>
      </c>
    </row>
    <row r="1626">
      <c r="B1626" s="39" t="n">
        <v>46117</v>
      </c>
      <c r="C1626" s="3" t="inlineStr">
        <is>
          <t>Payment</t>
        </is>
      </c>
      <c r="D1626" s="3" t="inlineStr"/>
      <c r="E1626" s="3" t="inlineStr">
        <is>
          <t>Quayside Choice Senior Plan</t>
        </is>
      </c>
      <c r="F1626" s="3" t="inlineStr">
        <is>
          <t>Remittance applied</t>
        </is>
      </c>
      <c r="G1626" s="3" t="inlineStr">
        <is>
          <t>Checking – Operating</t>
        </is>
      </c>
      <c r="H1626" s="3" t="inlineStr">
        <is>
          <t>Accounts Receivable</t>
        </is>
      </c>
      <c r="I1626" s="33" t="n">
        <v>-61510.33</v>
      </c>
      <c r="J1626" s="13">
        <f>+J1625+I1626</f>
        <v>102810.86</v>
      </c>
      <c r="K1626" s="19">
        <f>+EOMONTH(B1626,0)</f>
        <v>46142</v>
      </c>
      <c r="L1626" s="3" t="inlineStr">
        <is>
          <t>Accounts Receivable</t>
        </is>
      </c>
      <c r="M1626" s="3" t="inlineStr">
        <is>
          <t>Balance Sheet</t>
        </is>
      </c>
    </row>
    <row r="1627">
      <c r="B1627" s="39" t="n">
        <v>46118</v>
      </c>
      <c r="C1627" s="3" t="inlineStr">
        <is>
          <t>Invoice</t>
        </is>
      </c>
      <c r="D1627" s="3" t="inlineStr">
        <is>
          <t>INV-26027</t>
        </is>
      </c>
      <c r="E1627" s="3" t="inlineStr">
        <is>
          <t>Marrowby Mutual</t>
        </is>
      </c>
      <c r="F1627" s="3" t="inlineStr">
        <is>
          <t>Claims batch – April</t>
        </is>
      </c>
      <c r="G1627" s="3" t="inlineStr">
        <is>
          <t>Service Income</t>
        </is>
      </c>
      <c r="H1627" s="3" t="inlineStr">
        <is>
          <t>Accounts Receivable</t>
        </is>
      </c>
      <c r="I1627" s="33" t="n">
        <v>189704.76</v>
      </c>
      <c r="J1627" s="13">
        <f>+J1626+I1627</f>
        <v>292515.62</v>
      </c>
      <c r="K1627" s="19">
        <f>+EOMONTH(B1627,0)</f>
        <v>46142</v>
      </c>
      <c r="L1627" s="3" t="inlineStr">
        <is>
          <t>Accounts Receivable</t>
        </is>
      </c>
      <c r="M1627" s="3" t="inlineStr">
        <is>
          <t>Balance Sheet</t>
        </is>
      </c>
    </row>
    <row r="1628">
      <c r="B1628" s="39" t="n">
        <v>46119</v>
      </c>
      <c r="C1628" s="3" t="inlineStr">
        <is>
          <t>Invoice</t>
        </is>
      </c>
      <c r="D1628" s="3" t="inlineStr">
        <is>
          <t>INV-26032</t>
        </is>
      </c>
      <c r="E1628" s="3" t="inlineStr">
        <is>
          <t>Quayside Choice Senior Plan</t>
        </is>
      </c>
      <c r="F1628" s="3" t="inlineStr">
        <is>
          <t>Claims batch – April</t>
        </is>
      </c>
      <c r="G1628" s="3" t="inlineStr">
        <is>
          <t>Service Income</t>
        </is>
      </c>
      <c r="H1628" s="3" t="inlineStr">
        <is>
          <t>Accounts Receivable</t>
        </is>
      </c>
      <c r="I1628" s="33" t="n">
        <v>143813.98</v>
      </c>
      <c r="J1628" s="13">
        <f>+J1627+I1628</f>
        <v>436329.6</v>
      </c>
      <c r="K1628" s="19">
        <f>+EOMONTH(B1628,0)</f>
        <v>46142</v>
      </c>
      <c r="L1628" s="3" t="inlineStr">
        <is>
          <t>Accounts Receivable</t>
        </is>
      </c>
      <c r="M1628" s="3" t="inlineStr">
        <is>
          <t>Balance Sheet</t>
        </is>
      </c>
    </row>
    <row r="1629">
      <c r="B1629" s="39" t="n">
        <v>46120</v>
      </c>
      <c r="C1629" s="3" t="inlineStr">
        <is>
          <t>Invoice</t>
        </is>
      </c>
      <c r="D1629" s="3" t="inlineStr">
        <is>
          <t>INV-26028</t>
        </is>
      </c>
      <c r="E1629" s="3" t="inlineStr">
        <is>
          <t>Federal Program A</t>
        </is>
      </c>
      <c r="F1629" s="3" t="inlineStr">
        <is>
          <t>Claims batch – April</t>
        </is>
      </c>
      <c r="G1629" s="3" t="inlineStr">
        <is>
          <t>Service Income</t>
        </is>
      </c>
      <c r="H1629" s="3" t="inlineStr">
        <is>
          <t>Accounts Receivable</t>
        </is>
      </c>
      <c r="I1629" s="33" t="n">
        <v>218658.38</v>
      </c>
      <c r="J1629" s="13">
        <f>+J1628+I1629</f>
        <v>654987.98</v>
      </c>
      <c r="K1629" s="19">
        <f>+EOMONTH(B1629,0)</f>
        <v>46142</v>
      </c>
      <c r="L1629" s="3" t="inlineStr">
        <is>
          <t>Accounts Receivable</t>
        </is>
      </c>
      <c r="M1629" s="3" t="inlineStr">
        <is>
          <t>Balance Sheet</t>
        </is>
      </c>
    </row>
    <row r="1630">
      <c r="B1630" s="39" t="n">
        <v>46120</v>
      </c>
      <c r="C1630" s="3" t="inlineStr">
        <is>
          <t>Invoice</t>
        </is>
      </c>
      <c r="D1630" s="3" t="inlineStr">
        <is>
          <t>INV-26031</t>
        </is>
      </c>
      <c r="E1630" s="3" t="inlineStr">
        <is>
          <t>Lanternway Benefits</t>
        </is>
      </c>
      <c r="F1630" s="3" t="inlineStr">
        <is>
          <t>Claims batch – April</t>
        </is>
      </c>
      <c r="G1630" s="3" t="inlineStr">
        <is>
          <t>Service Income</t>
        </is>
      </c>
      <c r="H1630" s="3" t="inlineStr">
        <is>
          <t>Accounts Receivable</t>
        </is>
      </c>
      <c r="I1630" s="33" t="n">
        <v>122558.99</v>
      </c>
      <c r="J1630" s="13">
        <f>+J1629+I1630</f>
        <v>777546.97</v>
      </c>
      <c r="K1630" s="19">
        <f>+EOMONTH(B1630,0)</f>
        <v>46142</v>
      </c>
      <c r="L1630" s="3" t="inlineStr">
        <is>
          <t>Accounts Receivable</t>
        </is>
      </c>
      <c r="M1630" s="3" t="inlineStr">
        <is>
          <t>Balance Sheet</t>
        </is>
      </c>
    </row>
    <row r="1631">
      <c r="B1631" s="39" t="n">
        <v>46120</v>
      </c>
      <c r="C1631" s="3" t="inlineStr">
        <is>
          <t>Invoice</t>
        </is>
      </c>
      <c r="D1631" s="3" t="inlineStr">
        <is>
          <t>INV-26033</t>
        </is>
      </c>
      <c r="E1631" s="3" t="inlineStr">
        <is>
          <t>Cobaltmere Health</t>
        </is>
      </c>
      <c r="F1631" s="3" t="inlineStr">
        <is>
          <t>Claims batch – April</t>
        </is>
      </c>
      <c r="G1631" s="3" t="inlineStr">
        <is>
          <t>Service Income</t>
        </is>
      </c>
      <c r="H1631" s="3" t="inlineStr">
        <is>
          <t>Accounts Receivable</t>
        </is>
      </c>
      <c r="I1631" s="33" t="n">
        <v>78712.05</v>
      </c>
      <c r="J1631" s="13">
        <f>+J1630+I1631</f>
        <v>856259.02</v>
      </c>
      <c r="K1631" s="19">
        <f>+EOMONTH(B1631,0)</f>
        <v>46142</v>
      </c>
      <c r="L1631" s="3" t="inlineStr">
        <is>
          <t>Accounts Receivable</t>
        </is>
      </c>
      <c r="M1631" s="3" t="inlineStr">
        <is>
          <t>Balance Sheet</t>
        </is>
      </c>
    </row>
    <row r="1632">
      <c r="B1632" s="39" t="n">
        <v>46121</v>
      </c>
      <c r="C1632" s="3" t="inlineStr">
        <is>
          <t>Payment</t>
        </is>
      </c>
      <c r="D1632" s="3" t="inlineStr"/>
      <c r="E1632" s="3" t="inlineStr">
        <is>
          <t>Vantrelle Health Plan</t>
        </is>
      </c>
      <c r="F1632" s="3" t="inlineStr">
        <is>
          <t>Remittance applied</t>
        </is>
      </c>
      <c r="G1632" s="3" t="inlineStr">
        <is>
          <t>Checking – Operating</t>
        </is>
      </c>
      <c r="H1632" s="3" t="inlineStr">
        <is>
          <t>Accounts Receivable</t>
        </is>
      </c>
      <c r="I1632" s="33" t="n">
        <v>-82910.39999999999</v>
      </c>
      <c r="J1632" s="13">
        <f>+J1631+I1632</f>
        <v>773348.62</v>
      </c>
      <c r="K1632" s="19">
        <f>+EOMONTH(B1632,0)</f>
        <v>46142</v>
      </c>
      <c r="L1632" s="3" t="inlineStr">
        <is>
          <t>Accounts Receivable</t>
        </is>
      </c>
      <c r="M1632" s="3" t="inlineStr">
        <is>
          <t>Balance Sheet</t>
        </is>
      </c>
    </row>
    <row r="1633">
      <c r="B1633" s="39" t="n">
        <v>46121</v>
      </c>
      <c r="C1633" s="3" t="inlineStr">
        <is>
          <t>Payment</t>
        </is>
      </c>
      <c r="D1633" s="3" t="inlineStr"/>
      <c r="E1633" s="3" t="inlineStr">
        <is>
          <t>Vantrelle Health Plan</t>
        </is>
      </c>
      <c r="F1633" s="3" t="inlineStr">
        <is>
          <t>Remittance applied</t>
        </is>
      </c>
      <c r="G1633" s="3" t="inlineStr">
        <is>
          <t>Checking – Operating</t>
        </is>
      </c>
      <c r="H1633" s="3" t="inlineStr">
        <is>
          <t>Accounts Receivable</t>
        </is>
      </c>
      <c r="I1633" s="33" t="n">
        <v>-93042.06</v>
      </c>
      <c r="J1633" s="13">
        <f>+J1632+I1633</f>
        <v>680306.56</v>
      </c>
      <c r="K1633" s="19">
        <f>+EOMONTH(B1633,0)</f>
        <v>46142</v>
      </c>
      <c r="L1633" s="3" t="inlineStr">
        <is>
          <t>Accounts Receivable</t>
        </is>
      </c>
      <c r="M1633" s="3" t="inlineStr">
        <is>
          <t>Balance Sheet</t>
        </is>
      </c>
    </row>
    <row r="1634">
      <c r="B1634" s="39" t="n">
        <v>46122</v>
      </c>
      <c r="C1634" s="3" t="inlineStr">
        <is>
          <t>Payment</t>
        </is>
      </c>
      <c r="D1634" s="3" t="inlineStr"/>
      <c r="E1634" s="3" t="inlineStr">
        <is>
          <t>State Program B</t>
        </is>
      </c>
      <c r="F1634" s="3" t="inlineStr">
        <is>
          <t>Remittance applied</t>
        </is>
      </c>
      <c r="G1634" s="3" t="inlineStr">
        <is>
          <t>Checking – Operating</t>
        </is>
      </c>
      <c r="H1634" s="3" t="inlineStr">
        <is>
          <t>Accounts Receivable</t>
        </is>
      </c>
      <c r="I1634" s="33" t="n">
        <v>-38731.49</v>
      </c>
      <c r="J1634" s="13">
        <f>+J1633+I1634</f>
        <v>641575.07</v>
      </c>
      <c r="K1634" s="19">
        <f>+EOMONTH(B1634,0)</f>
        <v>46142</v>
      </c>
      <c r="L1634" s="3" t="inlineStr">
        <is>
          <t>Accounts Receivable</t>
        </is>
      </c>
      <c r="M1634" s="3" t="inlineStr">
        <is>
          <t>Balance Sheet</t>
        </is>
      </c>
    </row>
    <row r="1635">
      <c r="B1635" s="39" t="n">
        <v>46122</v>
      </c>
      <c r="C1635" s="3" t="inlineStr">
        <is>
          <t>Payment</t>
        </is>
      </c>
      <c r="D1635" s="3" t="inlineStr"/>
      <c r="E1635" s="3" t="inlineStr">
        <is>
          <t>Silvermoss Senior Living</t>
        </is>
      </c>
      <c r="F1635" s="3" t="inlineStr">
        <is>
          <t>Remittance applied</t>
        </is>
      </c>
      <c r="G1635" s="3" t="inlineStr">
        <is>
          <t>Checking – Operating</t>
        </is>
      </c>
      <c r="H1635" s="3" t="inlineStr">
        <is>
          <t>Accounts Receivable</t>
        </is>
      </c>
      <c r="I1635" s="33" t="n">
        <v>-28779.14</v>
      </c>
      <c r="J1635" s="13">
        <f>+J1634+I1635</f>
        <v>612795.93</v>
      </c>
      <c r="K1635" s="19">
        <f>+EOMONTH(B1635,0)</f>
        <v>46142</v>
      </c>
      <c r="L1635" s="3" t="inlineStr">
        <is>
          <t>Accounts Receivable</t>
        </is>
      </c>
      <c r="M1635" s="3" t="inlineStr">
        <is>
          <t>Balance Sheet</t>
        </is>
      </c>
    </row>
    <row r="1636">
      <c r="B1636" s="39" t="n">
        <v>46123</v>
      </c>
      <c r="C1636" s="3" t="inlineStr">
        <is>
          <t>Payment</t>
        </is>
      </c>
      <c r="D1636" s="3" t="inlineStr"/>
      <c r="E1636" s="3" t="inlineStr">
        <is>
          <t>State Program B</t>
        </is>
      </c>
      <c r="F1636" s="3" t="inlineStr">
        <is>
          <t>Remittance applied</t>
        </is>
      </c>
      <c r="G1636" s="3" t="inlineStr">
        <is>
          <t>Checking – Operating</t>
        </is>
      </c>
      <c r="H1636" s="3" t="inlineStr">
        <is>
          <t>Accounts Receivable</t>
        </is>
      </c>
      <c r="I1636" s="33" t="n">
        <v>-36576.17</v>
      </c>
      <c r="J1636" s="13">
        <f>+J1635+I1636</f>
        <v>576219.76</v>
      </c>
      <c r="K1636" s="19">
        <f>+EOMONTH(B1636,0)</f>
        <v>46142</v>
      </c>
      <c r="L1636" s="3" t="inlineStr">
        <is>
          <t>Accounts Receivable</t>
        </is>
      </c>
      <c r="M1636" s="3" t="inlineStr">
        <is>
          <t>Balance Sheet</t>
        </is>
      </c>
    </row>
    <row r="1637">
      <c r="B1637" s="39" t="n">
        <v>46123</v>
      </c>
      <c r="C1637" s="3" t="inlineStr">
        <is>
          <t>Payment</t>
        </is>
      </c>
      <c r="D1637" s="3" t="inlineStr"/>
      <c r="E1637" s="3" t="inlineStr">
        <is>
          <t>Quayside Choice Senior Plan</t>
        </is>
      </c>
      <c r="F1637" s="3" t="inlineStr">
        <is>
          <t>Remittance applied</t>
        </is>
      </c>
      <c r="G1637" s="3" t="inlineStr">
        <is>
          <t>Checking – Operating</t>
        </is>
      </c>
      <c r="H1637" s="3" t="inlineStr">
        <is>
          <t>Accounts Receivable</t>
        </is>
      </c>
      <c r="I1637" s="33" t="n">
        <v>-50629.97</v>
      </c>
      <c r="J1637" s="13">
        <f>+J1636+I1637</f>
        <v>525589.79</v>
      </c>
      <c r="K1637" s="19">
        <f>+EOMONTH(B1637,0)</f>
        <v>46142</v>
      </c>
      <c r="L1637" s="3" t="inlineStr">
        <is>
          <t>Accounts Receivable</t>
        </is>
      </c>
      <c r="M1637" s="3" t="inlineStr">
        <is>
          <t>Balance Sheet</t>
        </is>
      </c>
    </row>
    <row r="1638">
      <c r="B1638" s="39" t="n">
        <v>46125</v>
      </c>
      <c r="C1638" s="3" t="inlineStr">
        <is>
          <t>Payment</t>
        </is>
      </c>
      <c r="D1638" s="3" t="inlineStr"/>
      <c r="E1638" s="3" t="inlineStr">
        <is>
          <t>Marrowby Mutual</t>
        </is>
      </c>
      <c r="F1638" s="3" t="inlineStr">
        <is>
          <t>Remittance applied</t>
        </is>
      </c>
      <c r="G1638" s="3" t="inlineStr">
        <is>
          <t>Checking – Operating</t>
        </is>
      </c>
      <c r="H1638" s="3" t="inlineStr">
        <is>
          <t>Accounts Receivable</t>
        </is>
      </c>
      <c r="I1638" s="33" t="n">
        <v>-43537.53</v>
      </c>
      <c r="J1638" s="13">
        <f>+J1637+I1638</f>
        <v>482052.26</v>
      </c>
      <c r="K1638" s="19">
        <f>+EOMONTH(B1638,0)</f>
        <v>46142</v>
      </c>
      <c r="L1638" s="3" t="inlineStr">
        <is>
          <t>Accounts Receivable</t>
        </is>
      </c>
      <c r="M1638" s="3" t="inlineStr">
        <is>
          <t>Balance Sheet</t>
        </is>
      </c>
    </row>
    <row r="1639">
      <c r="B1639" s="39" t="n">
        <v>46125</v>
      </c>
      <c r="C1639" s="3" t="inlineStr">
        <is>
          <t>Payment</t>
        </is>
      </c>
      <c r="D1639" s="3" t="inlineStr"/>
      <c r="E1639" s="3" t="inlineStr">
        <is>
          <t>State Program B</t>
        </is>
      </c>
      <c r="F1639" s="3" t="inlineStr">
        <is>
          <t>Remittance applied</t>
        </is>
      </c>
      <c r="G1639" s="3" t="inlineStr">
        <is>
          <t>Checking – Operating</t>
        </is>
      </c>
      <c r="H1639" s="3" t="inlineStr">
        <is>
          <t>Accounts Receivable</t>
        </is>
      </c>
      <c r="I1639" s="33" t="n">
        <v>-39202.25</v>
      </c>
      <c r="J1639" s="13">
        <f>+J1638+I1639</f>
        <v>442850.01</v>
      </c>
      <c r="K1639" s="19">
        <f>+EOMONTH(B1639,0)</f>
        <v>46142</v>
      </c>
      <c r="L1639" s="3" t="inlineStr">
        <is>
          <t>Accounts Receivable</t>
        </is>
      </c>
      <c r="M1639" s="3" t="inlineStr">
        <is>
          <t>Balance Sheet</t>
        </is>
      </c>
    </row>
    <row r="1640">
      <c r="B1640" s="39" t="n">
        <v>46126</v>
      </c>
      <c r="C1640" s="3" t="inlineStr">
        <is>
          <t>Payment</t>
        </is>
      </c>
      <c r="D1640" s="3" t="inlineStr"/>
      <c r="E1640" s="3" t="inlineStr">
        <is>
          <t>Cobaltmere Health</t>
        </is>
      </c>
      <c r="F1640" s="3" t="inlineStr">
        <is>
          <t>Remittance applied</t>
        </is>
      </c>
      <c r="G1640" s="3" t="inlineStr">
        <is>
          <t>Checking – Operating</t>
        </is>
      </c>
      <c r="H1640" s="3" t="inlineStr">
        <is>
          <t>Accounts Receivable</t>
        </is>
      </c>
      <c r="I1640" s="33" t="n">
        <v>-21419.78</v>
      </c>
      <c r="J1640" s="13">
        <f>+J1639+I1640</f>
        <v>421430.23</v>
      </c>
      <c r="K1640" s="19">
        <f>+EOMONTH(B1640,0)</f>
        <v>46142</v>
      </c>
      <c r="L1640" s="3" t="inlineStr">
        <is>
          <t>Accounts Receivable</t>
        </is>
      </c>
      <c r="M1640" s="3" t="inlineStr">
        <is>
          <t>Balance Sheet</t>
        </is>
      </c>
    </row>
    <row r="1641">
      <c r="B1641" s="39" t="n">
        <v>46128</v>
      </c>
      <c r="C1641" s="3" t="inlineStr">
        <is>
          <t>Payment</t>
        </is>
      </c>
      <c r="D1641" s="3" t="inlineStr"/>
      <c r="E1641" s="3" t="inlineStr">
        <is>
          <t>Federal Program A</t>
        </is>
      </c>
      <c r="F1641" s="3" t="inlineStr">
        <is>
          <t>Remittance applied</t>
        </is>
      </c>
      <c r="G1641" s="3" t="inlineStr">
        <is>
          <t>Checking – Operating</t>
        </is>
      </c>
      <c r="H1641" s="3" t="inlineStr">
        <is>
          <t>Accounts Receivable</t>
        </is>
      </c>
      <c r="I1641" s="33" t="n">
        <v>-115021.49</v>
      </c>
      <c r="J1641" s="13">
        <f>+J1640+I1641</f>
        <v>306408.74</v>
      </c>
      <c r="K1641" s="19">
        <f>+EOMONTH(B1641,0)</f>
        <v>46142</v>
      </c>
      <c r="L1641" s="3" t="inlineStr">
        <is>
          <t>Accounts Receivable</t>
        </is>
      </c>
      <c r="M1641" s="3" t="inlineStr">
        <is>
          <t>Balance Sheet</t>
        </is>
      </c>
    </row>
    <row r="1642">
      <c r="B1642" s="39" t="n">
        <v>46131</v>
      </c>
      <c r="C1642" s="3" t="inlineStr">
        <is>
          <t>Payment</t>
        </is>
      </c>
      <c r="D1642" s="3" t="inlineStr"/>
      <c r="E1642" s="3" t="inlineStr">
        <is>
          <t>Silvermoss Senior Living</t>
        </is>
      </c>
      <c r="F1642" s="3" t="inlineStr">
        <is>
          <t>Remittance applied</t>
        </is>
      </c>
      <c r="G1642" s="3" t="inlineStr">
        <is>
          <t>Checking – Operating</t>
        </is>
      </c>
      <c r="H1642" s="3" t="inlineStr">
        <is>
          <t>Accounts Receivable</t>
        </is>
      </c>
      <c r="I1642" s="33" t="n">
        <v>-38059.27</v>
      </c>
      <c r="J1642" s="13">
        <f>+J1641+I1642</f>
        <v>268349.47</v>
      </c>
      <c r="K1642" s="19">
        <f>+EOMONTH(B1642,0)</f>
        <v>46142</v>
      </c>
      <c r="L1642" s="3" t="inlineStr">
        <is>
          <t>Accounts Receivable</t>
        </is>
      </c>
      <c r="M1642" s="3" t="inlineStr">
        <is>
          <t>Balance Sheet</t>
        </is>
      </c>
    </row>
    <row r="1643">
      <c r="B1643" s="39" t="n">
        <v>46132</v>
      </c>
      <c r="C1643" s="3" t="inlineStr">
        <is>
          <t>Payment</t>
        </is>
      </c>
      <c r="D1643" s="3" t="inlineStr"/>
      <c r="E1643" s="3" t="inlineStr">
        <is>
          <t>Lanternway Benefits</t>
        </is>
      </c>
      <c r="F1643" s="3" t="inlineStr">
        <is>
          <t>Remittance applied</t>
        </is>
      </c>
      <c r="G1643" s="3" t="inlineStr">
        <is>
          <t>Checking – Operating</t>
        </is>
      </c>
      <c r="H1643" s="3" t="inlineStr">
        <is>
          <t>Accounts Receivable</t>
        </is>
      </c>
      <c r="I1643" s="33" t="n">
        <v>-58836.3</v>
      </c>
      <c r="J1643" s="13">
        <f>+J1642+I1643</f>
        <v>209513.17</v>
      </c>
      <c r="K1643" s="19">
        <f>+EOMONTH(B1643,0)</f>
        <v>46142</v>
      </c>
      <c r="L1643" s="3" t="inlineStr">
        <is>
          <t>Accounts Receivable</t>
        </is>
      </c>
      <c r="M1643" s="3" t="inlineStr">
        <is>
          <t>Balance Sheet</t>
        </is>
      </c>
    </row>
    <row r="1644">
      <c r="B1644" s="39" t="n">
        <v>46132</v>
      </c>
      <c r="C1644" s="3" t="inlineStr">
        <is>
          <t>Payment</t>
        </is>
      </c>
      <c r="D1644" s="3" t="inlineStr"/>
      <c r="E1644" s="3" t="inlineStr">
        <is>
          <t>Quayside Choice Senior Plan</t>
        </is>
      </c>
      <c r="F1644" s="3" t="inlineStr">
        <is>
          <t>Remittance applied</t>
        </is>
      </c>
      <c r="G1644" s="3" t="inlineStr">
        <is>
          <t>Checking – Operating</t>
        </is>
      </c>
      <c r="H1644" s="3" t="inlineStr">
        <is>
          <t>Accounts Receivable</t>
        </is>
      </c>
      <c r="I1644" s="33" t="n">
        <v>-27816.25</v>
      </c>
      <c r="J1644" s="13">
        <f>+J1643+I1644</f>
        <v>181696.92</v>
      </c>
      <c r="K1644" s="19">
        <f>+EOMONTH(B1644,0)</f>
        <v>46142</v>
      </c>
      <c r="L1644" s="3" t="inlineStr">
        <is>
          <t>Accounts Receivable</t>
        </is>
      </c>
      <c r="M1644" s="3" t="inlineStr">
        <is>
          <t>Balance Sheet</t>
        </is>
      </c>
    </row>
    <row r="1645">
      <c r="B1645" s="39" t="n">
        <v>46136</v>
      </c>
      <c r="C1645" s="3" t="inlineStr">
        <is>
          <t>Payment</t>
        </is>
      </c>
      <c r="D1645" s="3" t="inlineStr"/>
      <c r="E1645" s="3" t="inlineStr">
        <is>
          <t>Silvermoss Senior Living</t>
        </is>
      </c>
      <c r="F1645" s="3" t="inlineStr">
        <is>
          <t>Remittance applied</t>
        </is>
      </c>
      <c r="G1645" s="3" t="inlineStr">
        <is>
          <t>Checking – Operating</t>
        </is>
      </c>
      <c r="H1645" s="3" t="inlineStr">
        <is>
          <t>Accounts Receivable</t>
        </is>
      </c>
      <c r="I1645" s="33" t="n">
        <v>-34948.17</v>
      </c>
      <c r="J1645" s="13">
        <f>+J1644+I1645</f>
        <v>146748.75</v>
      </c>
      <c r="K1645" s="19">
        <f>+EOMONTH(B1645,0)</f>
        <v>46142</v>
      </c>
      <c r="L1645" s="3" t="inlineStr">
        <is>
          <t>Accounts Receivable</t>
        </is>
      </c>
      <c r="M1645" s="3" t="inlineStr">
        <is>
          <t>Balance Sheet</t>
        </is>
      </c>
    </row>
    <row r="1646">
      <c r="B1646" s="39" t="n">
        <v>46137</v>
      </c>
      <c r="C1646" s="3" t="inlineStr">
        <is>
          <t>Payment</t>
        </is>
      </c>
      <c r="D1646" s="3" t="inlineStr"/>
      <c r="E1646" s="3" t="inlineStr">
        <is>
          <t>Cobaltmere Health</t>
        </is>
      </c>
      <c r="F1646" s="3" t="inlineStr">
        <is>
          <t>Remittance applied</t>
        </is>
      </c>
      <c r="G1646" s="3" t="inlineStr">
        <is>
          <t>Checking – Operating</t>
        </is>
      </c>
      <c r="H1646" s="3" t="inlineStr">
        <is>
          <t>Accounts Receivable</t>
        </is>
      </c>
      <c r="I1646" s="33" t="n">
        <v>-17485.99</v>
      </c>
      <c r="J1646" s="13">
        <f>+J1645+I1646</f>
        <v>129262.76</v>
      </c>
      <c r="K1646" s="19">
        <f>+EOMONTH(B1646,0)</f>
        <v>46142</v>
      </c>
      <c r="L1646" s="3" t="inlineStr">
        <is>
          <t>Accounts Receivable</t>
        </is>
      </c>
      <c r="M1646" s="3" t="inlineStr">
        <is>
          <t>Balance Sheet</t>
        </is>
      </c>
    </row>
    <row r="1647">
      <c r="B1647" s="39" t="n">
        <v>46140</v>
      </c>
      <c r="C1647" s="3" t="inlineStr">
        <is>
          <t>Payment</t>
        </is>
      </c>
      <c r="D1647" s="3" t="inlineStr"/>
      <c r="E1647" s="3" t="inlineStr">
        <is>
          <t>Marrowby Mutual</t>
        </is>
      </c>
      <c r="F1647" s="3" t="inlineStr">
        <is>
          <t>Remittance applied</t>
        </is>
      </c>
      <c r="G1647" s="3" t="inlineStr">
        <is>
          <t>Checking – Operating</t>
        </is>
      </c>
      <c r="H1647" s="3" t="inlineStr">
        <is>
          <t>Accounts Receivable</t>
        </is>
      </c>
      <c r="I1647" s="33" t="n">
        <v>-63779.34</v>
      </c>
      <c r="J1647" s="13">
        <f>+J1646+I1647</f>
        <v>65483.42</v>
      </c>
      <c r="K1647" s="19">
        <f>+EOMONTH(B1647,0)</f>
        <v>46142</v>
      </c>
      <c r="L1647" s="3" t="inlineStr">
        <is>
          <t>Accounts Receivable</t>
        </is>
      </c>
      <c r="M1647" s="3" t="inlineStr">
        <is>
          <t>Balance Sheet</t>
        </is>
      </c>
    </row>
    <row r="1648">
      <c r="B1648" s="39" t="n">
        <v>46140</v>
      </c>
      <c r="C1648" s="3" t="inlineStr">
        <is>
          <t>Payment</t>
        </is>
      </c>
      <c r="D1648" s="3" t="inlineStr"/>
      <c r="E1648" s="3" t="inlineStr">
        <is>
          <t>Lanternway Benefits</t>
        </is>
      </c>
      <c r="F1648" s="3" t="inlineStr">
        <is>
          <t>Remittance applied</t>
        </is>
      </c>
      <c r="G1648" s="3" t="inlineStr">
        <is>
          <t>Checking – Operating</t>
        </is>
      </c>
      <c r="H1648" s="3" t="inlineStr">
        <is>
          <t>Accounts Receivable</t>
        </is>
      </c>
      <c r="I1648" s="33" t="n">
        <v>-68396.92999999999</v>
      </c>
      <c r="J1648" s="13">
        <f>+J1647+I1648</f>
        <v>-2913.50999999999</v>
      </c>
      <c r="K1648" s="19">
        <f>+EOMONTH(B1648,0)</f>
        <v>46142</v>
      </c>
      <c r="L1648" s="3" t="inlineStr">
        <is>
          <t>Accounts Receivable</t>
        </is>
      </c>
      <c r="M1648" s="3" t="inlineStr">
        <is>
          <t>Balance Sheet</t>
        </is>
      </c>
    </row>
    <row r="1649">
      <c r="B1649" s="39" t="n">
        <v>46143</v>
      </c>
      <c r="C1649" s="3" t="inlineStr">
        <is>
          <t>Invoice</t>
        </is>
      </c>
      <c r="D1649" s="3" t="inlineStr">
        <is>
          <t>INV-26038</t>
        </is>
      </c>
      <c r="E1649" s="3" t="inlineStr">
        <is>
          <t>Silvermoss Senior Living</t>
        </is>
      </c>
      <c r="F1649" s="3" t="inlineStr">
        <is>
          <t>Claims batch – May</t>
        </is>
      </c>
      <c r="G1649" s="3" t="inlineStr">
        <is>
          <t>Service Income</t>
        </is>
      </c>
      <c r="H1649" s="3" t="inlineStr">
        <is>
          <t>Accounts Receivable</t>
        </is>
      </c>
      <c r="I1649" s="33" t="n">
        <v>97789.08</v>
      </c>
      <c r="J1649" s="13">
        <f>+J1648+I1649</f>
        <v>94875.57</v>
      </c>
      <c r="K1649" s="19">
        <f>+EOMONTH(B1649,0)</f>
        <v>46173</v>
      </c>
      <c r="L1649" s="3" t="inlineStr">
        <is>
          <t>Accounts Receivable</t>
        </is>
      </c>
      <c r="M1649" s="3" t="inlineStr">
        <is>
          <t>Balance Sheet</t>
        </is>
      </c>
    </row>
    <row r="1650">
      <c r="B1650" s="39" t="n">
        <v>46144</v>
      </c>
      <c r="C1650" s="3" t="inlineStr">
        <is>
          <t>Payment</t>
        </is>
      </c>
      <c r="D1650" s="3" t="inlineStr"/>
      <c r="E1650" s="3" t="inlineStr">
        <is>
          <t>State Program B</t>
        </is>
      </c>
      <c r="F1650" s="3" t="inlineStr">
        <is>
          <t>Remittance applied</t>
        </is>
      </c>
      <c r="G1650" s="3" t="inlineStr">
        <is>
          <t>Checking – Operating</t>
        </is>
      </c>
      <c r="H1650" s="3" t="inlineStr">
        <is>
          <t>Accounts Receivable</t>
        </is>
      </c>
      <c r="I1650" s="33" t="n">
        <v>-34184.07</v>
      </c>
      <c r="J1650" s="13">
        <f>+J1649+I1650</f>
        <v>60691.5</v>
      </c>
      <c r="K1650" s="19">
        <f>+EOMONTH(B1650,0)</f>
        <v>46173</v>
      </c>
      <c r="L1650" s="3" t="inlineStr">
        <is>
          <t>Accounts Receivable</t>
        </is>
      </c>
      <c r="M1650" s="3" t="inlineStr">
        <is>
          <t>Balance Sheet</t>
        </is>
      </c>
    </row>
    <row r="1651">
      <c r="B1651" s="39" t="n">
        <v>46145</v>
      </c>
      <c r="C1651" s="3" t="inlineStr">
        <is>
          <t>Invoice</t>
        </is>
      </c>
      <c r="D1651" s="3" t="inlineStr">
        <is>
          <t>INV-26034</t>
        </is>
      </c>
      <c r="E1651" s="3" t="inlineStr">
        <is>
          <t>Vantrelle Health Plan</t>
        </is>
      </c>
      <c r="F1651" s="3" t="inlineStr">
        <is>
          <t>Claims batch – May</t>
        </is>
      </c>
      <c r="G1651" s="3" t="inlineStr">
        <is>
          <t>Service Income</t>
        </is>
      </c>
      <c r="H1651" s="3" t="inlineStr">
        <is>
          <t>Accounts Receivable</t>
        </is>
      </c>
      <c r="I1651" s="33" t="n">
        <v>293613.14</v>
      </c>
      <c r="J1651" s="13">
        <f>+J1650+I1651</f>
        <v>354304.64</v>
      </c>
      <c r="K1651" s="19">
        <f>+EOMONTH(B1651,0)</f>
        <v>46173</v>
      </c>
      <c r="L1651" s="3" t="inlineStr">
        <is>
          <t>Accounts Receivable</t>
        </is>
      </c>
      <c r="M1651" s="3" t="inlineStr">
        <is>
          <t>Balance Sheet</t>
        </is>
      </c>
    </row>
    <row r="1652">
      <c r="B1652" s="39" t="n">
        <v>46145</v>
      </c>
      <c r="C1652" s="3" t="inlineStr">
        <is>
          <t>Payment</t>
        </is>
      </c>
      <c r="D1652" s="3" t="inlineStr"/>
      <c r="E1652" s="3" t="inlineStr">
        <is>
          <t>Lanternway Benefits</t>
        </is>
      </c>
      <c r="F1652" s="3" t="inlineStr">
        <is>
          <t>Remittance applied</t>
        </is>
      </c>
      <c r="G1652" s="3" t="inlineStr">
        <is>
          <t>Checking – Operating</t>
        </is>
      </c>
      <c r="H1652" s="3" t="inlineStr">
        <is>
          <t>Accounts Receivable</t>
        </is>
      </c>
      <c r="I1652" s="33" t="n">
        <v>-48262.55</v>
      </c>
      <c r="J1652" s="13">
        <f>+J1651+I1652</f>
        <v>306042.09</v>
      </c>
      <c r="K1652" s="19">
        <f>+EOMONTH(B1652,0)</f>
        <v>46173</v>
      </c>
      <c r="L1652" s="3" t="inlineStr">
        <is>
          <t>Accounts Receivable</t>
        </is>
      </c>
      <c r="M1652" s="3" t="inlineStr">
        <is>
          <t>Balance Sheet</t>
        </is>
      </c>
    </row>
    <row r="1653">
      <c r="B1653" s="39" t="n">
        <v>46145</v>
      </c>
      <c r="C1653" s="3" t="inlineStr">
        <is>
          <t>Payment</t>
        </is>
      </c>
      <c r="D1653" s="3" t="inlineStr"/>
      <c r="E1653" s="3" t="inlineStr">
        <is>
          <t>Cobaltmere Health</t>
        </is>
      </c>
      <c r="F1653" s="3" t="inlineStr">
        <is>
          <t>Remittance applied</t>
        </is>
      </c>
      <c r="G1653" s="3" t="inlineStr">
        <is>
          <t>Checking – Operating</t>
        </is>
      </c>
      <c r="H1653" s="3" t="inlineStr">
        <is>
          <t>Accounts Receivable</t>
        </is>
      </c>
      <c r="I1653" s="33" t="n">
        <v>-28942.46</v>
      </c>
      <c r="J1653" s="13">
        <f>+J1652+I1653</f>
        <v>277099.63</v>
      </c>
      <c r="K1653" s="19">
        <f>+EOMONTH(B1653,0)</f>
        <v>46173</v>
      </c>
      <c r="L1653" s="3" t="inlineStr">
        <is>
          <t>Accounts Receivable</t>
        </is>
      </c>
      <c r="M1653" s="3" t="inlineStr">
        <is>
          <t>Balance Sheet</t>
        </is>
      </c>
    </row>
    <row r="1654">
      <c r="B1654" s="39" t="n">
        <v>46146</v>
      </c>
      <c r="C1654" s="3" t="inlineStr">
        <is>
          <t>Invoice</t>
        </is>
      </c>
      <c r="D1654" s="3" t="inlineStr">
        <is>
          <t>INV-26041</t>
        </is>
      </c>
      <c r="E1654" s="3" t="inlineStr">
        <is>
          <t>Cobaltmere Health</t>
        </is>
      </c>
      <c r="F1654" s="3" t="inlineStr">
        <is>
          <t>Claims batch – May</t>
        </is>
      </c>
      <c r="G1654" s="3" t="inlineStr">
        <is>
          <t>Service Income</t>
        </is>
      </c>
      <c r="H1654" s="3" t="inlineStr">
        <is>
          <t>Accounts Receivable</t>
        </is>
      </c>
      <c r="I1654" s="33" t="n">
        <v>76694.73</v>
      </c>
      <c r="J1654" s="13">
        <f>+J1653+I1654</f>
        <v>353794.36</v>
      </c>
      <c r="K1654" s="19">
        <f>+EOMONTH(B1654,0)</f>
        <v>46173</v>
      </c>
      <c r="L1654" s="3" t="inlineStr">
        <is>
          <t>Accounts Receivable</t>
        </is>
      </c>
      <c r="M1654" s="3" t="inlineStr">
        <is>
          <t>Balance Sheet</t>
        </is>
      </c>
    </row>
    <row r="1655">
      <c r="B1655" s="39" t="n">
        <v>46147</v>
      </c>
      <c r="C1655" s="3" t="inlineStr">
        <is>
          <t>Invoice</t>
        </is>
      </c>
      <c r="D1655" s="3" t="inlineStr">
        <is>
          <t>INV-26040</t>
        </is>
      </c>
      <c r="E1655" s="3" t="inlineStr">
        <is>
          <t>Quayside Choice Senior Plan</t>
        </is>
      </c>
      <c r="F1655" s="3" t="inlineStr">
        <is>
          <t>Claims batch – May</t>
        </is>
      </c>
      <c r="G1655" s="3" t="inlineStr">
        <is>
          <t>Service Income</t>
        </is>
      </c>
      <c r="H1655" s="3" t="inlineStr">
        <is>
          <t>Accounts Receivable</t>
        </is>
      </c>
      <c r="I1655" s="33" t="n">
        <v>139438.05</v>
      </c>
      <c r="J1655" s="13">
        <f>+J1654+I1655</f>
        <v>493232.41</v>
      </c>
      <c r="K1655" s="19">
        <f>+EOMONTH(B1655,0)</f>
        <v>46173</v>
      </c>
      <c r="L1655" s="3" t="inlineStr">
        <is>
          <t>Accounts Receivable</t>
        </is>
      </c>
      <c r="M1655" s="3" t="inlineStr">
        <is>
          <t>Balance Sheet</t>
        </is>
      </c>
    </row>
    <row r="1656">
      <c r="B1656" s="39" t="n">
        <v>46147</v>
      </c>
      <c r="C1656" s="3" t="inlineStr">
        <is>
          <t>Payment</t>
        </is>
      </c>
      <c r="D1656" s="3" t="inlineStr"/>
      <c r="E1656" s="3" t="inlineStr">
        <is>
          <t>State Program B</t>
        </is>
      </c>
      <c r="F1656" s="3" t="inlineStr">
        <is>
          <t>Remittance applied</t>
        </is>
      </c>
      <c r="G1656" s="3" t="inlineStr">
        <is>
          <t>Checking – Operating</t>
        </is>
      </c>
      <c r="H1656" s="3" t="inlineStr">
        <is>
          <t>Accounts Receivable</t>
        </is>
      </c>
      <c r="I1656" s="33" t="n">
        <v>-44314.16</v>
      </c>
      <c r="J1656" s="13">
        <f>+J1655+I1656</f>
        <v>448918.25</v>
      </c>
      <c r="K1656" s="19">
        <f>+EOMONTH(B1656,0)</f>
        <v>46173</v>
      </c>
      <c r="L1656" s="3" t="inlineStr">
        <is>
          <t>Accounts Receivable</t>
        </is>
      </c>
      <c r="M1656" s="3" t="inlineStr">
        <is>
          <t>Balance Sheet</t>
        </is>
      </c>
    </row>
    <row r="1657">
      <c r="B1657" s="39" t="n">
        <v>46148</v>
      </c>
      <c r="C1657" s="3" t="inlineStr">
        <is>
          <t>Invoice</t>
        </is>
      </c>
      <c r="D1657" s="3" t="inlineStr">
        <is>
          <t>INV-26036</t>
        </is>
      </c>
      <c r="E1657" s="3" t="inlineStr">
        <is>
          <t>Federal Program A</t>
        </is>
      </c>
      <c r="F1657" s="3" t="inlineStr">
        <is>
          <t>Claims batch – May</t>
        </is>
      </c>
      <c r="G1657" s="3" t="inlineStr">
        <is>
          <t>Service Income</t>
        </is>
      </c>
      <c r="H1657" s="3" t="inlineStr">
        <is>
          <t>Accounts Receivable</t>
        </is>
      </c>
      <c r="I1657" s="33" t="n">
        <v>219954.79</v>
      </c>
      <c r="J1657" s="13">
        <f>+J1656+I1657</f>
        <v>668873.04</v>
      </c>
      <c r="K1657" s="19">
        <f>+EOMONTH(B1657,0)</f>
        <v>46173</v>
      </c>
      <c r="L1657" s="3" t="inlineStr">
        <is>
          <t>Accounts Receivable</t>
        </is>
      </c>
      <c r="M1657" s="3" t="inlineStr">
        <is>
          <t>Balance Sheet</t>
        </is>
      </c>
    </row>
    <row r="1658">
      <c r="B1658" s="39" t="n">
        <v>46148</v>
      </c>
      <c r="C1658" s="3" t="inlineStr">
        <is>
          <t>Invoice</t>
        </is>
      </c>
      <c r="D1658" s="3" t="inlineStr">
        <is>
          <t>INV-26039</t>
        </is>
      </c>
      <c r="E1658" s="3" t="inlineStr">
        <is>
          <t>Lanternway Benefits</t>
        </is>
      </c>
      <c r="F1658" s="3" t="inlineStr">
        <is>
          <t>Claims batch – May</t>
        </is>
      </c>
      <c r="G1658" s="3" t="inlineStr">
        <is>
          <t>Service Income</t>
        </is>
      </c>
      <c r="H1658" s="3" t="inlineStr">
        <is>
          <t>Accounts Receivable</t>
        </is>
      </c>
      <c r="I1658" s="33" t="n">
        <v>123101.62</v>
      </c>
      <c r="J1658" s="13">
        <f>+J1657+I1658</f>
        <v>791974.66</v>
      </c>
      <c r="K1658" s="19">
        <f>+EOMONTH(B1658,0)</f>
        <v>46173</v>
      </c>
      <c r="L1658" s="3" t="inlineStr">
        <is>
          <t>Accounts Receivable</t>
        </is>
      </c>
      <c r="M1658" s="3" t="inlineStr">
        <is>
          <t>Balance Sheet</t>
        </is>
      </c>
    </row>
    <row r="1659">
      <c r="B1659" s="39" t="n">
        <v>46149</v>
      </c>
      <c r="C1659" s="3" t="inlineStr">
        <is>
          <t>Invoice</t>
        </is>
      </c>
      <c r="D1659" s="3" t="inlineStr">
        <is>
          <t>INV-26037</t>
        </is>
      </c>
      <c r="E1659" s="3" t="inlineStr">
        <is>
          <t>State Program B</t>
        </is>
      </c>
      <c r="F1659" s="3" t="inlineStr">
        <is>
          <t>Claims batch – May</t>
        </is>
      </c>
      <c r="G1659" s="3" t="inlineStr">
        <is>
          <t>Service Income</t>
        </is>
      </c>
      <c r="H1659" s="3" t="inlineStr">
        <is>
          <t>Accounts Receivable</t>
        </is>
      </c>
      <c r="I1659" s="33" t="n">
        <v>106701.05</v>
      </c>
      <c r="J1659" s="13">
        <f>+J1658+I1659</f>
        <v>898675.71</v>
      </c>
      <c r="K1659" s="19">
        <f>+EOMONTH(B1659,0)</f>
        <v>46173</v>
      </c>
      <c r="L1659" s="3" t="inlineStr">
        <is>
          <t>Accounts Receivable</t>
        </is>
      </c>
      <c r="M1659" s="3" t="inlineStr">
        <is>
          <t>Balance Sheet</t>
        </is>
      </c>
    </row>
    <row r="1660">
      <c r="B1660" s="39" t="n">
        <v>46150</v>
      </c>
      <c r="C1660" s="3" t="inlineStr">
        <is>
          <t>Invoice</t>
        </is>
      </c>
      <c r="D1660" s="3" t="inlineStr">
        <is>
          <t>INV-26035</t>
        </is>
      </c>
      <c r="E1660" s="3" t="inlineStr">
        <is>
          <t>Marrowby Mutual</t>
        </is>
      </c>
      <c r="F1660" s="3" t="inlineStr">
        <is>
          <t>Claims batch – May</t>
        </is>
      </c>
      <c r="G1660" s="3" t="inlineStr">
        <is>
          <t>Service Income</t>
        </is>
      </c>
      <c r="H1660" s="3" t="inlineStr">
        <is>
          <t>Accounts Receivable</t>
        </is>
      </c>
      <c r="I1660" s="33" t="n">
        <v>182334.21</v>
      </c>
      <c r="J1660" s="13">
        <f>+J1659+I1660</f>
        <v>1081009.92</v>
      </c>
      <c r="K1660" s="19">
        <f>+EOMONTH(B1660,0)</f>
        <v>46173</v>
      </c>
      <c r="L1660" s="3" t="inlineStr">
        <is>
          <t>Accounts Receivable</t>
        </is>
      </c>
      <c r="M1660" s="3" t="inlineStr">
        <is>
          <t>Balance Sheet</t>
        </is>
      </c>
    </row>
    <row r="1661">
      <c r="B1661" s="39" t="n">
        <v>46151</v>
      </c>
      <c r="C1661" s="3" t="inlineStr">
        <is>
          <t>Payment</t>
        </is>
      </c>
      <c r="D1661" s="3" t="inlineStr"/>
      <c r="E1661" s="3" t="inlineStr">
        <is>
          <t>Federal Program A</t>
        </is>
      </c>
      <c r="F1661" s="3" t="inlineStr">
        <is>
          <t>Remittance applied</t>
        </is>
      </c>
      <c r="G1661" s="3" t="inlineStr">
        <is>
          <t>Checking – Operating</t>
        </is>
      </c>
      <c r="H1661" s="3" t="inlineStr">
        <is>
          <t>Accounts Receivable</t>
        </is>
      </c>
      <c r="I1661" s="33" t="n">
        <v>-48905.76</v>
      </c>
      <c r="J1661" s="13">
        <f>+J1660+I1661</f>
        <v>1032104.16</v>
      </c>
      <c r="K1661" s="19">
        <f>+EOMONTH(B1661,0)</f>
        <v>46173</v>
      </c>
      <c r="L1661" s="3" t="inlineStr">
        <is>
          <t>Accounts Receivable</t>
        </is>
      </c>
      <c r="M1661" s="3" t="inlineStr">
        <is>
          <t>Balance Sheet</t>
        </is>
      </c>
    </row>
    <row r="1662">
      <c r="B1662" s="39" t="n">
        <v>46153</v>
      </c>
      <c r="C1662" s="3" t="inlineStr">
        <is>
          <t>Payment</t>
        </is>
      </c>
      <c r="D1662" s="3" t="inlineStr"/>
      <c r="E1662" s="3" t="inlineStr">
        <is>
          <t>Silvermoss Senior Living</t>
        </is>
      </c>
      <c r="F1662" s="3" t="inlineStr">
        <is>
          <t>Remittance applied</t>
        </is>
      </c>
      <c r="G1662" s="3" t="inlineStr">
        <is>
          <t>Checking – Operating</t>
        </is>
      </c>
      <c r="H1662" s="3" t="inlineStr">
        <is>
          <t>Accounts Receivable</t>
        </is>
      </c>
      <c r="I1662" s="33" t="n">
        <v>-32380.84</v>
      </c>
      <c r="J1662" s="13">
        <f>+J1661+I1662</f>
        <v>999723.32</v>
      </c>
      <c r="K1662" s="19">
        <f>+EOMONTH(B1662,0)</f>
        <v>46173</v>
      </c>
      <c r="L1662" s="3" t="inlineStr">
        <is>
          <t>Accounts Receivable</t>
        </is>
      </c>
      <c r="M1662" s="3" t="inlineStr">
        <is>
          <t>Balance Sheet</t>
        </is>
      </c>
    </row>
    <row r="1663">
      <c r="B1663" s="39" t="n">
        <v>46155</v>
      </c>
      <c r="C1663" s="3" t="inlineStr">
        <is>
          <t>Payment</t>
        </is>
      </c>
      <c r="D1663" s="3" t="inlineStr"/>
      <c r="E1663" s="3" t="inlineStr">
        <is>
          <t>Marrowby Mutual</t>
        </is>
      </c>
      <c r="F1663" s="3" t="inlineStr">
        <is>
          <t>Remittance applied</t>
        </is>
      </c>
      <c r="G1663" s="3" t="inlineStr">
        <is>
          <t>Checking – Operating</t>
        </is>
      </c>
      <c r="H1663" s="3" t="inlineStr">
        <is>
          <t>Accounts Receivable</t>
        </is>
      </c>
      <c r="I1663" s="33" t="n">
        <v>-72881.60000000001</v>
      </c>
      <c r="J1663" s="13">
        <f>+J1662+I1663</f>
        <v>926841.72</v>
      </c>
      <c r="K1663" s="19">
        <f>+EOMONTH(B1663,0)</f>
        <v>46173</v>
      </c>
      <c r="L1663" s="3" t="inlineStr">
        <is>
          <t>Accounts Receivable</t>
        </is>
      </c>
      <c r="M1663" s="3" t="inlineStr">
        <is>
          <t>Balance Sheet</t>
        </is>
      </c>
    </row>
    <row r="1664">
      <c r="B1664" s="39" t="n">
        <v>46155</v>
      </c>
      <c r="C1664" s="3" t="inlineStr">
        <is>
          <t>Payment</t>
        </is>
      </c>
      <c r="D1664" s="3" t="inlineStr"/>
      <c r="E1664" s="3" t="inlineStr">
        <is>
          <t>Quayside Choice Senior Plan</t>
        </is>
      </c>
      <c r="F1664" s="3" t="inlineStr">
        <is>
          <t>Remittance applied</t>
        </is>
      </c>
      <c r="G1664" s="3" t="inlineStr">
        <is>
          <t>Checking – Operating</t>
        </is>
      </c>
      <c r="H1664" s="3" t="inlineStr">
        <is>
          <t>Accounts Receivable</t>
        </is>
      </c>
      <c r="I1664" s="33" t="n">
        <v>-53580.53</v>
      </c>
      <c r="J1664" s="13">
        <f>+J1663+I1664</f>
        <v>873261.19</v>
      </c>
      <c r="K1664" s="19">
        <f>+EOMONTH(B1664,0)</f>
        <v>46173</v>
      </c>
      <c r="L1664" s="3" t="inlineStr">
        <is>
          <t>Accounts Receivable</t>
        </is>
      </c>
      <c r="M1664" s="3" t="inlineStr">
        <is>
          <t>Balance Sheet</t>
        </is>
      </c>
    </row>
    <row r="1665">
      <c r="B1665" s="39" t="n">
        <v>46156</v>
      </c>
      <c r="C1665" s="3" t="inlineStr">
        <is>
          <t>Payment</t>
        </is>
      </c>
      <c r="D1665" s="3" t="inlineStr"/>
      <c r="E1665" s="3" t="inlineStr">
        <is>
          <t>Federal Program A</t>
        </is>
      </c>
      <c r="F1665" s="3" t="inlineStr">
        <is>
          <t>Remittance applied</t>
        </is>
      </c>
      <c r="G1665" s="3" t="inlineStr">
        <is>
          <t>Checking – Operating</t>
        </is>
      </c>
      <c r="H1665" s="3" t="inlineStr">
        <is>
          <t>Accounts Receivable</t>
        </is>
      </c>
      <c r="I1665" s="33" t="n">
        <v>-75769.64999999999</v>
      </c>
      <c r="J1665" s="13">
        <f>+J1664+I1665</f>
        <v>797491.54</v>
      </c>
      <c r="K1665" s="19">
        <f>+EOMONTH(B1665,0)</f>
        <v>46173</v>
      </c>
      <c r="L1665" s="3" t="inlineStr">
        <is>
          <t>Accounts Receivable</t>
        </is>
      </c>
      <c r="M1665" s="3" t="inlineStr">
        <is>
          <t>Balance Sheet</t>
        </is>
      </c>
    </row>
    <row r="1666">
      <c r="B1666" s="39" t="n">
        <v>46157</v>
      </c>
      <c r="C1666" s="3" t="inlineStr">
        <is>
          <t>Payment</t>
        </is>
      </c>
      <c r="D1666" s="3" t="inlineStr"/>
      <c r="E1666" s="3" t="inlineStr">
        <is>
          <t>Quayside Choice Senior Plan</t>
        </is>
      </c>
      <c r="F1666" s="3" t="inlineStr">
        <is>
          <t>Remittance applied</t>
        </is>
      </c>
      <c r="G1666" s="3" t="inlineStr">
        <is>
          <t>Checking – Operating</t>
        </is>
      </c>
      <c r="H1666" s="3" t="inlineStr">
        <is>
          <t>Accounts Receivable</t>
        </is>
      </c>
      <c r="I1666" s="33" t="n">
        <v>-32907.23</v>
      </c>
      <c r="J1666" s="13">
        <f>+J1665+I1666</f>
        <v>764584.31</v>
      </c>
      <c r="K1666" s="19">
        <f>+EOMONTH(B1666,0)</f>
        <v>46173</v>
      </c>
      <c r="L1666" s="3" t="inlineStr">
        <is>
          <t>Accounts Receivable</t>
        </is>
      </c>
      <c r="M1666" s="3" t="inlineStr">
        <is>
          <t>Balance Sheet</t>
        </is>
      </c>
    </row>
    <row r="1667">
      <c r="B1667" s="39" t="n">
        <v>46158</v>
      </c>
      <c r="C1667" s="3" t="inlineStr">
        <is>
          <t>Payment</t>
        </is>
      </c>
      <c r="D1667" s="3" t="inlineStr"/>
      <c r="E1667" s="3" t="inlineStr">
        <is>
          <t>Silvermoss Senior Living</t>
        </is>
      </c>
      <c r="F1667" s="3" t="inlineStr">
        <is>
          <t>Remittance applied</t>
        </is>
      </c>
      <c r="G1667" s="3" t="inlineStr">
        <is>
          <t>Checking – Operating</t>
        </is>
      </c>
      <c r="H1667" s="3" t="inlineStr">
        <is>
          <t>Accounts Receivable</t>
        </is>
      </c>
      <c r="I1667" s="33" t="n">
        <v>-31944.29</v>
      </c>
      <c r="J1667" s="13">
        <f>+J1666+I1667</f>
        <v>732640.02</v>
      </c>
      <c r="K1667" s="19">
        <f>+EOMONTH(B1667,0)</f>
        <v>46173</v>
      </c>
      <c r="L1667" s="3" t="inlineStr">
        <is>
          <t>Accounts Receivable</t>
        </is>
      </c>
      <c r="M1667" s="3" t="inlineStr">
        <is>
          <t>Balance Sheet</t>
        </is>
      </c>
    </row>
    <row r="1668">
      <c r="B1668" s="39" t="n">
        <v>46159</v>
      </c>
      <c r="C1668" s="3" t="inlineStr">
        <is>
          <t>Payment</t>
        </is>
      </c>
      <c r="D1668" s="3" t="inlineStr"/>
      <c r="E1668" s="3" t="inlineStr">
        <is>
          <t>Vantrelle Health Plan</t>
        </is>
      </c>
      <c r="F1668" s="3" t="inlineStr">
        <is>
          <t>Remittance applied</t>
        </is>
      </c>
      <c r="G1668" s="3" t="inlineStr">
        <is>
          <t>Checking – Operating</t>
        </is>
      </c>
      <c r="H1668" s="3" t="inlineStr">
        <is>
          <t>Accounts Receivable</t>
        </is>
      </c>
      <c r="I1668" s="33" t="n">
        <v>-83056.92</v>
      </c>
      <c r="J1668" s="13">
        <f>+J1667+I1668</f>
        <v>649583.1</v>
      </c>
      <c r="K1668" s="19">
        <f>+EOMONTH(B1668,0)</f>
        <v>46173</v>
      </c>
      <c r="L1668" s="3" t="inlineStr">
        <is>
          <t>Accounts Receivable</t>
        </is>
      </c>
      <c r="M1668" s="3" t="inlineStr">
        <is>
          <t>Balance Sheet</t>
        </is>
      </c>
    </row>
    <row r="1669">
      <c r="B1669" s="39" t="n">
        <v>46161</v>
      </c>
      <c r="C1669" s="3" t="inlineStr">
        <is>
          <t>Payment</t>
        </is>
      </c>
      <c r="D1669" s="3" t="inlineStr"/>
      <c r="E1669" s="3" t="inlineStr">
        <is>
          <t>Marrowby Mutual</t>
        </is>
      </c>
      <c r="F1669" s="3" t="inlineStr">
        <is>
          <t>Remittance applied</t>
        </is>
      </c>
      <c r="G1669" s="3" t="inlineStr">
        <is>
          <t>Checking – Operating</t>
        </is>
      </c>
      <c r="H1669" s="3" t="inlineStr">
        <is>
          <t>Accounts Receivable</t>
        </is>
      </c>
      <c r="I1669" s="33" t="n">
        <v>-99845.67999999999</v>
      </c>
      <c r="J1669" s="13">
        <f>+J1668+I1669</f>
        <v>549737.42</v>
      </c>
      <c r="K1669" s="19">
        <f>+EOMONTH(B1669,0)</f>
        <v>46173</v>
      </c>
      <c r="L1669" s="3" t="inlineStr">
        <is>
          <t>Accounts Receivable</t>
        </is>
      </c>
      <c r="M1669" s="3" t="inlineStr">
        <is>
          <t>Balance Sheet</t>
        </is>
      </c>
    </row>
    <row r="1670">
      <c r="B1670" s="39" t="n">
        <v>46164</v>
      </c>
      <c r="C1670" s="3" t="inlineStr">
        <is>
          <t>Payment</t>
        </is>
      </c>
      <c r="D1670" s="3" t="inlineStr"/>
      <c r="E1670" s="3" t="inlineStr">
        <is>
          <t>Federal Program A</t>
        </is>
      </c>
      <c r="F1670" s="3" t="inlineStr">
        <is>
          <t>Remittance applied</t>
        </is>
      </c>
      <c r="G1670" s="3" t="inlineStr">
        <is>
          <t>Checking – Operating</t>
        </is>
      </c>
      <c r="H1670" s="3" t="inlineStr">
        <is>
          <t>Accounts Receivable</t>
        </is>
      </c>
      <c r="I1670" s="33" t="n">
        <v>-97402.52</v>
      </c>
      <c r="J1670" s="13">
        <f>+J1669+I1670</f>
        <v>452334.9</v>
      </c>
      <c r="K1670" s="19">
        <f>+EOMONTH(B1670,0)</f>
        <v>46173</v>
      </c>
      <c r="L1670" s="3" t="inlineStr">
        <is>
          <t>Accounts Receivable</t>
        </is>
      </c>
      <c r="M1670" s="3" t="inlineStr">
        <is>
          <t>Balance Sheet</t>
        </is>
      </c>
    </row>
    <row r="1671">
      <c r="B1671" s="39" t="n">
        <v>46165</v>
      </c>
      <c r="C1671" s="3" t="inlineStr">
        <is>
          <t>Payment</t>
        </is>
      </c>
      <c r="D1671" s="3" t="inlineStr"/>
      <c r="E1671" s="3" t="inlineStr">
        <is>
          <t>Vantrelle Health Plan</t>
        </is>
      </c>
      <c r="F1671" s="3" t="inlineStr">
        <is>
          <t>Remittance applied</t>
        </is>
      </c>
      <c r="G1671" s="3" t="inlineStr">
        <is>
          <t>Checking – Operating</t>
        </is>
      </c>
      <c r="H1671" s="3" t="inlineStr">
        <is>
          <t>Accounts Receivable</t>
        </is>
      </c>
      <c r="I1671" s="33" t="n">
        <v>-87709.35000000001</v>
      </c>
      <c r="J1671" s="13">
        <f>+J1670+I1671</f>
        <v>364625.55</v>
      </c>
      <c r="K1671" s="19">
        <f>+EOMONTH(B1671,0)</f>
        <v>46173</v>
      </c>
      <c r="L1671" s="3" t="inlineStr">
        <is>
          <t>Accounts Receivable</t>
        </is>
      </c>
      <c r="M1671" s="3" t="inlineStr">
        <is>
          <t>Balance Sheet</t>
        </is>
      </c>
    </row>
    <row r="1672">
      <c r="B1672" s="39" t="n">
        <v>46165</v>
      </c>
      <c r="C1672" s="3" t="inlineStr">
        <is>
          <t>Payment</t>
        </is>
      </c>
      <c r="D1672" s="3" t="inlineStr"/>
      <c r="E1672" s="3" t="inlineStr">
        <is>
          <t>Lanternway Benefits</t>
        </is>
      </c>
      <c r="F1672" s="3" t="inlineStr">
        <is>
          <t>Remittance applied</t>
        </is>
      </c>
      <c r="G1672" s="3" t="inlineStr">
        <is>
          <t>Checking – Operating</t>
        </is>
      </c>
      <c r="H1672" s="3" t="inlineStr">
        <is>
          <t>Accounts Receivable</t>
        </is>
      </c>
      <c r="I1672" s="33" t="n">
        <v>-40272.11</v>
      </c>
      <c r="J1672" s="13">
        <f>+J1671+I1672</f>
        <v>324353.44</v>
      </c>
      <c r="K1672" s="19">
        <f>+EOMONTH(B1672,0)</f>
        <v>46173</v>
      </c>
      <c r="L1672" s="3" t="inlineStr">
        <is>
          <t>Accounts Receivable</t>
        </is>
      </c>
      <c r="M1672" s="3" t="inlineStr">
        <is>
          <t>Balance Sheet</t>
        </is>
      </c>
    </row>
    <row r="1673">
      <c r="B1673" s="39" t="n">
        <v>46168</v>
      </c>
      <c r="C1673" s="3" t="inlineStr">
        <is>
          <t>Payment</t>
        </is>
      </c>
      <c r="D1673" s="3" t="inlineStr"/>
      <c r="E1673" s="3" t="inlineStr">
        <is>
          <t>Silvermoss Senior Living</t>
        </is>
      </c>
      <c r="F1673" s="3" t="inlineStr">
        <is>
          <t>Remittance applied</t>
        </is>
      </c>
      <c r="G1673" s="3" t="inlineStr">
        <is>
          <t>Checking – Operating</t>
        </is>
      </c>
      <c r="H1673" s="3" t="inlineStr">
        <is>
          <t>Accounts Receivable</t>
        </is>
      </c>
      <c r="I1673" s="33" t="n">
        <v>-34376.17</v>
      </c>
      <c r="J1673" s="13">
        <f>+J1672+I1673</f>
        <v>289977.27</v>
      </c>
      <c r="K1673" s="19">
        <f>+EOMONTH(B1673,0)</f>
        <v>46173</v>
      </c>
      <c r="L1673" s="3" t="inlineStr">
        <is>
          <t>Accounts Receivable</t>
        </is>
      </c>
      <c r="M1673" s="3" t="inlineStr">
        <is>
          <t>Balance Sheet</t>
        </is>
      </c>
    </row>
    <row r="1674">
      <c r="B1674" s="39" t="n">
        <v>46168</v>
      </c>
      <c r="C1674" s="3" t="inlineStr">
        <is>
          <t>Payment</t>
        </is>
      </c>
      <c r="D1674" s="3" t="inlineStr"/>
      <c r="E1674" s="3" t="inlineStr">
        <is>
          <t>Quayside Choice Senior Plan</t>
        </is>
      </c>
      <c r="F1674" s="3" t="inlineStr">
        <is>
          <t>Remittance applied</t>
        </is>
      </c>
      <c r="G1674" s="3" t="inlineStr">
        <is>
          <t>Checking – Operating</t>
        </is>
      </c>
      <c r="H1674" s="3" t="inlineStr">
        <is>
          <t>Accounts Receivable</t>
        </is>
      </c>
      <c r="I1674" s="33" t="n">
        <v>-49226.53</v>
      </c>
      <c r="J1674" s="13">
        <f>+J1673+I1674</f>
        <v>240750.74</v>
      </c>
      <c r="K1674" s="19">
        <f>+EOMONTH(B1674,0)</f>
        <v>46173</v>
      </c>
      <c r="L1674" s="3" t="inlineStr">
        <is>
          <t>Accounts Receivable</t>
        </is>
      </c>
      <c r="M1674" s="3" t="inlineStr">
        <is>
          <t>Balance Sheet</t>
        </is>
      </c>
    </row>
    <row r="1675">
      <c r="B1675" s="39" t="n">
        <v>46170</v>
      </c>
      <c r="C1675" s="3" t="inlineStr">
        <is>
          <t>Payment</t>
        </is>
      </c>
      <c r="D1675" s="3" t="inlineStr"/>
      <c r="E1675" s="3" t="inlineStr">
        <is>
          <t>State Program B</t>
        </is>
      </c>
      <c r="F1675" s="3" t="inlineStr">
        <is>
          <t>Remittance applied</t>
        </is>
      </c>
      <c r="G1675" s="3" t="inlineStr">
        <is>
          <t>Checking – Operating</t>
        </is>
      </c>
      <c r="H1675" s="3" t="inlineStr">
        <is>
          <t>Accounts Receivable</t>
        </is>
      </c>
      <c r="I1675" s="33" t="n">
        <v>-32540.74</v>
      </c>
      <c r="J1675" s="13">
        <f>+J1674+I1675</f>
        <v>208210</v>
      </c>
      <c r="K1675" s="19">
        <f>+EOMONTH(B1675,0)</f>
        <v>46173</v>
      </c>
      <c r="L1675" s="3" t="inlineStr">
        <is>
          <t>Accounts Receivable</t>
        </is>
      </c>
      <c r="M1675" s="3" t="inlineStr">
        <is>
          <t>Balance Sheet</t>
        </is>
      </c>
    </row>
    <row r="1676">
      <c r="B1676" s="39" t="n">
        <v>46170</v>
      </c>
      <c r="C1676" s="3" t="inlineStr">
        <is>
          <t>Payment</t>
        </is>
      </c>
      <c r="D1676" s="3" t="inlineStr"/>
      <c r="E1676" s="3" t="inlineStr">
        <is>
          <t>Lanternway Benefits</t>
        </is>
      </c>
      <c r="F1676" s="3" t="inlineStr">
        <is>
          <t>Remittance applied</t>
        </is>
      </c>
      <c r="G1676" s="3" t="inlineStr">
        <is>
          <t>Checking – Operating</t>
        </is>
      </c>
      <c r="H1676" s="3" t="inlineStr">
        <is>
          <t>Accounts Receivable</t>
        </is>
      </c>
      <c r="I1676" s="33" t="n">
        <v>-34841.97</v>
      </c>
      <c r="J1676" s="13">
        <f>+J1675+I1676</f>
        <v>173368.03</v>
      </c>
      <c r="K1676" s="19">
        <f>+EOMONTH(B1676,0)</f>
        <v>46173</v>
      </c>
      <c r="L1676" s="3" t="inlineStr">
        <is>
          <t>Accounts Receivable</t>
        </is>
      </c>
      <c r="M1676" s="3" t="inlineStr">
        <is>
          <t>Balance Sheet</t>
        </is>
      </c>
    </row>
    <row r="1677">
      <c r="B1677" s="39" t="n">
        <v>46172</v>
      </c>
      <c r="C1677" s="3" t="inlineStr">
        <is>
          <t>Payment</t>
        </is>
      </c>
      <c r="D1677" s="3" t="inlineStr"/>
      <c r="E1677" s="3" t="inlineStr">
        <is>
          <t>Vantrelle Health Plan</t>
        </is>
      </c>
      <c r="F1677" s="3" t="inlineStr">
        <is>
          <t>Remittance applied</t>
        </is>
      </c>
      <c r="G1677" s="3" t="inlineStr">
        <is>
          <t>Checking – Operating</t>
        </is>
      </c>
      <c r="H1677" s="3" t="inlineStr">
        <is>
          <t>Accounts Receivable</t>
        </is>
      </c>
      <c r="I1677" s="33" t="n">
        <v>-125337.64</v>
      </c>
      <c r="J1677" s="13">
        <f>+J1676+I1677</f>
        <v>48030.3900000002</v>
      </c>
      <c r="K1677" s="19">
        <f>+EOMONTH(B1677,0)</f>
        <v>46173</v>
      </c>
      <c r="L1677" s="3" t="inlineStr">
        <is>
          <t>Accounts Receivable</t>
        </is>
      </c>
      <c r="M1677" s="3" t="inlineStr">
        <is>
          <t>Balance Sheet</t>
        </is>
      </c>
    </row>
    <row r="1678">
      <c r="B1678" s="39" t="n">
        <v>46172</v>
      </c>
      <c r="C1678" s="3" t="inlineStr">
        <is>
          <t>Payment</t>
        </is>
      </c>
      <c r="D1678" s="3" t="inlineStr"/>
      <c r="E1678" s="3" t="inlineStr">
        <is>
          <t>Cobaltmere Health</t>
        </is>
      </c>
      <c r="F1678" s="3" t="inlineStr">
        <is>
          <t>Remittance applied</t>
        </is>
      </c>
      <c r="G1678" s="3" t="inlineStr">
        <is>
          <t>Checking – Operating</t>
        </is>
      </c>
      <c r="H1678" s="3" t="inlineStr">
        <is>
          <t>Accounts Receivable</t>
        </is>
      </c>
      <c r="I1678" s="33" t="n">
        <v>-14282.99</v>
      </c>
      <c r="J1678" s="13">
        <f>+J1677+I1678</f>
        <v>33747.4000000002</v>
      </c>
      <c r="K1678" s="19">
        <f>+EOMONTH(B1678,0)</f>
        <v>46173</v>
      </c>
      <c r="L1678" s="3" t="inlineStr">
        <is>
          <t>Accounts Receivable</t>
        </is>
      </c>
      <c r="M1678" s="3" t="inlineStr">
        <is>
          <t>Balance Sheet</t>
        </is>
      </c>
    </row>
    <row r="1679">
      <c r="B1679" s="39" t="n">
        <v>46173</v>
      </c>
      <c r="C1679" s="3" t="inlineStr">
        <is>
          <t>Payment</t>
        </is>
      </c>
      <c r="D1679" s="3" t="inlineStr"/>
      <c r="E1679" s="3" t="inlineStr">
        <is>
          <t>Cobaltmere Health</t>
        </is>
      </c>
      <c r="F1679" s="3" t="inlineStr">
        <is>
          <t>Remittance applied</t>
        </is>
      </c>
      <c r="G1679" s="3" t="inlineStr">
        <is>
          <t>Checking – Operating</t>
        </is>
      </c>
      <c r="H1679" s="3" t="inlineStr">
        <is>
          <t>Accounts Receivable</t>
        </is>
      </c>
      <c r="I1679" s="33" t="n">
        <v>-30800.53</v>
      </c>
      <c r="J1679" s="13">
        <f>+J1678+I1679</f>
        <v>2946.87000000021</v>
      </c>
      <c r="K1679" s="19">
        <f>+EOMONTH(B1679,0)</f>
        <v>46173</v>
      </c>
      <c r="L1679" s="3" t="inlineStr">
        <is>
          <t>Accounts Receivable</t>
        </is>
      </c>
      <c r="M1679" s="3" t="inlineStr">
        <is>
          <t>Balance Sheet</t>
        </is>
      </c>
    </row>
    <row r="1680">
      <c r="B1680" s="39" t="n">
        <v>46174</v>
      </c>
      <c r="C1680" s="3" t="inlineStr">
        <is>
          <t>Invoice</t>
        </is>
      </c>
      <c r="D1680" s="3" t="inlineStr">
        <is>
          <t>INV-26043</t>
        </is>
      </c>
      <c r="E1680" s="3" t="inlineStr">
        <is>
          <t>Marrowby Mutual</t>
        </is>
      </c>
      <c r="F1680" s="3" t="inlineStr">
        <is>
          <t>Claims batch – June</t>
        </is>
      </c>
      <c r="G1680" s="3" t="inlineStr">
        <is>
          <t>Service Income</t>
        </is>
      </c>
      <c r="H1680" s="3" t="inlineStr">
        <is>
          <t>Accounts Receivable</t>
        </is>
      </c>
      <c r="I1680" s="33" t="n">
        <v>165971.84</v>
      </c>
      <c r="J1680" s="13">
        <f>+J1679+I1680</f>
        <v>168918.71</v>
      </c>
      <c r="K1680" s="19">
        <f>+EOMONTH(B1680,0)</f>
        <v>46203</v>
      </c>
      <c r="L1680" s="3" t="inlineStr">
        <is>
          <t>Accounts Receivable</t>
        </is>
      </c>
      <c r="M1680" s="3" t="inlineStr">
        <is>
          <t>Balance Sheet</t>
        </is>
      </c>
    </row>
    <row r="1681">
      <c r="B1681" s="39" t="n">
        <v>46174</v>
      </c>
      <c r="C1681" s="3" t="inlineStr">
        <is>
          <t>Invoice</t>
        </is>
      </c>
      <c r="D1681" s="3" t="inlineStr">
        <is>
          <t>INV-26046</t>
        </is>
      </c>
      <c r="E1681" s="3" t="inlineStr">
        <is>
          <t>Silvermoss Senior Living</t>
        </is>
      </c>
      <c r="F1681" s="3" t="inlineStr">
        <is>
          <t>Claims batch – June</t>
        </is>
      </c>
      <c r="G1681" s="3" t="inlineStr">
        <is>
          <t>Service Income</t>
        </is>
      </c>
      <c r="H1681" s="3" t="inlineStr">
        <is>
          <t>Accounts Receivable</t>
        </is>
      </c>
      <c r="I1681" s="33" t="n">
        <v>91493.09</v>
      </c>
      <c r="J1681" s="13">
        <f>+J1680+I1681</f>
        <v>260411.8</v>
      </c>
      <c r="K1681" s="19">
        <f>+EOMONTH(B1681,0)</f>
        <v>46203</v>
      </c>
      <c r="L1681" s="3" t="inlineStr">
        <is>
          <t>Accounts Receivable</t>
        </is>
      </c>
      <c r="M1681" s="3" t="inlineStr">
        <is>
          <t>Balance Sheet</t>
        </is>
      </c>
    </row>
    <row r="1682">
      <c r="B1682" s="39" t="n">
        <v>46174</v>
      </c>
      <c r="C1682" s="3" t="inlineStr">
        <is>
          <t>Invoice</t>
        </is>
      </c>
      <c r="D1682" s="3" t="inlineStr">
        <is>
          <t>INV-26047</t>
        </is>
      </c>
      <c r="E1682" s="3" t="inlineStr">
        <is>
          <t>Lanternway Benefits</t>
        </is>
      </c>
      <c r="F1682" s="3" t="inlineStr">
        <is>
          <t>Claims batch – June</t>
        </is>
      </c>
      <c r="G1682" s="3" t="inlineStr">
        <is>
          <t>Service Income</t>
        </is>
      </c>
      <c r="H1682" s="3" t="inlineStr">
        <is>
          <t>Accounts Receivable</t>
        </is>
      </c>
      <c r="I1682" s="33" t="n">
        <v>108106.13</v>
      </c>
      <c r="J1682" s="13">
        <f>+J1681+I1682</f>
        <v>368517.93</v>
      </c>
      <c r="K1682" s="19">
        <f>+EOMONTH(B1682,0)</f>
        <v>46203</v>
      </c>
      <c r="L1682" s="3" t="inlineStr">
        <is>
          <t>Accounts Receivable</t>
        </is>
      </c>
      <c r="M1682" s="3" t="inlineStr">
        <is>
          <t>Balance Sheet</t>
        </is>
      </c>
    </row>
    <row r="1683">
      <c r="B1683" s="39" t="n">
        <v>46175</v>
      </c>
      <c r="C1683" s="3" t="inlineStr">
        <is>
          <t>Invoice</t>
        </is>
      </c>
      <c r="D1683" s="3" t="inlineStr">
        <is>
          <t>INV-26042</t>
        </is>
      </c>
      <c r="E1683" s="3" t="inlineStr">
        <is>
          <t>Vantrelle Health Plan</t>
        </is>
      </c>
      <c r="F1683" s="3" t="inlineStr">
        <is>
          <t>Claims batch – June</t>
        </is>
      </c>
      <c r="G1683" s="3" t="inlineStr">
        <is>
          <t>Service Income</t>
        </is>
      </c>
      <c r="H1683" s="3" t="inlineStr">
        <is>
          <t>Accounts Receivable</t>
        </is>
      </c>
      <c r="I1683" s="33" t="n">
        <v>281575.25</v>
      </c>
      <c r="J1683" s="13">
        <f>+J1682+I1683</f>
        <v>650093.18</v>
      </c>
      <c r="K1683" s="19">
        <f>+EOMONTH(B1683,0)</f>
        <v>46203</v>
      </c>
      <c r="L1683" s="3" t="inlineStr">
        <is>
          <t>Accounts Receivable</t>
        </is>
      </c>
      <c r="M1683" s="3" t="inlineStr">
        <is>
          <t>Balance Sheet</t>
        </is>
      </c>
    </row>
    <row r="1684">
      <c r="B1684" s="39" t="n">
        <v>46176</v>
      </c>
      <c r="C1684" s="3" t="inlineStr">
        <is>
          <t>Payment</t>
        </is>
      </c>
      <c r="D1684" s="3" t="inlineStr"/>
      <c r="E1684" s="3" t="inlineStr">
        <is>
          <t>Marrowby Mutual</t>
        </is>
      </c>
      <c r="F1684" s="3" t="inlineStr">
        <is>
          <t>Remittance applied</t>
        </is>
      </c>
      <c r="G1684" s="3" t="inlineStr">
        <is>
          <t>Checking – Operating</t>
        </is>
      </c>
      <c r="H1684" s="3" t="inlineStr">
        <is>
          <t>Accounts Receivable</t>
        </is>
      </c>
      <c r="I1684" s="33" t="n">
        <v>-57665.89</v>
      </c>
      <c r="J1684" s="13">
        <f>+J1683+I1684</f>
        <v>592427.29</v>
      </c>
      <c r="K1684" s="19">
        <f>+EOMONTH(B1684,0)</f>
        <v>46203</v>
      </c>
      <c r="L1684" s="3" t="inlineStr">
        <is>
          <t>Accounts Receivable</t>
        </is>
      </c>
      <c r="M1684" s="3" t="inlineStr">
        <is>
          <t>Balance Sheet</t>
        </is>
      </c>
    </row>
    <row r="1685">
      <c r="B1685" s="39" t="n">
        <v>46177</v>
      </c>
      <c r="C1685" s="3" t="inlineStr">
        <is>
          <t>Payment</t>
        </is>
      </c>
      <c r="D1685" s="3" t="inlineStr"/>
      <c r="E1685" s="3" t="inlineStr">
        <is>
          <t>Lanternway Benefits</t>
        </is>
      </c>
      <c r="F1685" s="3" t="inlineStr">
        <is>
          <t>Remittance applied</t>
        </is>
      </c>
      <c r="G1685" s="3" t="inlineStr">
        <is>
          <t>Checking – Operating</t>
        </is>
      </c>
      <c r="H1685" s="3" t="inlineStr">
        <is>
          <t>Accounts Receivable</t>
        </is>
      </c>
      <c r="I1685" s="33" t="n">
        <v>-34554.1</v>
      </c>
      <c r="J1685" s="13">
        <f>+J1684+I1685</f>
        <v>557873.19</v>
      </c>
      <c r="K1685" s="19">
        <f>+EOMONTH(B1685,0)</f>
        <v>46203</v>
      </c>
      <c r="L1685" s="3" t="inlineStr">
        <is>
          <t>Accounts Receivable</t>
        </is>
      </c>
      <c r="M1685" s="3" t="inlineStr">
        <is>
          <t>Balance Sheet</t>
        </is>
      </c>
    </row>
    <row r="1686">
      <c r="B1686" s="39" t="n">
        <v>46178</v>
      </c>
      <c r="C1686" s="3" t="inlineStr">
        <is>
          <t>Invoice</t>
        </is>
      </c>
      <c r="D1686" s="3" t="inlineStr">
        <is>
          <t>INV-26048</t>
        </is>
      </c>
      <c r="E1686" s="3" t="inlineStr">
        <is>
          <t>Quayside Choice Senior Plan</t>
        </is>
      </c>
      <c r="F1686" s="3" t="inlineStr">
        <is>
          <t>Claims batch – June</t>
        </is>
      </c>
      <c r="G1686" s="3" t="inlineStr">
        <is>
          <t>Service Income</t>
        </is>
      </c>
      <c r="H1686" s="3" t="inlineStr">
        <is>
          <t>Accounts Receivable</t>
        </is>
      </c>
      <c r="I1686" s="33" t="n">
        <v>121282.89</v>
      </c>
      <c r="J1686" s="13">
        <f>+J1685+I1686</f>
        <v>679156.08</v>
      </c>
      <c r="K1686" s="19">
        <f>+EOMONTH(B1686,0)</f>
        <v>46203</v>
      </c>
      <c r="L1686" s="3" t="inlineStr">
        <is>
          <t>Accounts Receivable</t>
        </is>
      </c>
      <c r="M1686" s="3" t="inlineStr">
        <is>
          <t>Balance Sheet</t>
        </is>
      </c>
    </row>
    <row r="1687">
      <c r="B1687" s="39" t="n">
        <v>46178</v>
      </c>
      <c r="C1687" s="3" t="inlineStr">
        <is>
          <t>Payment</t>
        </is>
      </c>
      <c r="D1687" s="3" t="inlineStr"/>
      <c r="E1687" s="3" t="inlineStr">
        <is>
          <t>Lanternway Benefits</t>
        </is>
      </c>
      <c r="F1687" s="3" t="inlineStr">
        <is>
          <t>Remittance applied</t>
        </is>
      </c>
      <c r="G1687" s="3" t="inlineStr">
        <is>
          <t>Checking – Operating</t>
        </is>
      </c>
      <c r="H1687" s="3" t="inlineStr">
        <is>
          <t>Accounts Receivable</t>
        </is>
      </c>
      <c r="I1687" s="33" t="n">
        <v>-33300.12</v>
      </c>
      <c r="J1687" s="13">
        <f>+J1686+I1687</f>
        <v>645855.96</v>
      </c>
      <c r="K1687" s="19">
        <f>+EOMONTH(B1687,0)</f>
        <v>46203</v>
      </c>
      <c r="L1687" s="3" t="inlineStr">
        <is>
          <t>Accounts Receivable</t>
        </is>
      </c>
      <c r="M1687" s="3" t="inlineStr">
        <is>
          <t>Balance Sheet</t>
        </is>
      </c>
    </row>
    <row r="1688">
      <c r="B1688" s="39" t="n">
        <v>46178</v>
      </c>
      <c r="C1688" s="3" t="inlineStr">
        <is>
          <t>Payment</t>
        </is>
      </c>
      <c r="D1688" s="3" t="inlineStr"/>
      <c r="E1688" s="3" t="inlineStr">
        <is>
          <t>Quayside Choice Senior Plan</t>
        </is>
      </c>
      <c r="F1688" s="3" t="inlineStr">
        <is>
          <t>Remittance applied</t>
        </is>
      </c>
      <c r="G1688" s="3" t="inlineStr">
        <is>
          <t>Checking – Operating</t>
        </is>
      </c>
      <c r="H1688" s="3" t="inlineStr">
        <is>
          <t>Accounts Receivable</t>
        </is>
      </c>
      <c r="I1688" s="33" t="n">
        <v>-45596.35</v>
      </c>
      <c r="J1688" s="13">
        <f>+J1687+I1688</f>
        <v>600259.61</v>
      </c>
      <c r="K1688" s="19">
        <f>+EOMONTH(B1688,0)</f>
        <v>46203</v>
      </c>
      <c r="L1688" s="3" t="inlineStr">
        <is>
          <t>Accounts Receivable</t>
        </is>
      </c>
      <c r="M1688" s="3" t="inlineStr">
        <is>
          <t>Balance Sheet</t>
        </is>
      </c>
    </row>
    <row r="1689">
      <c r="B1689" s="39" t="n">
        <v>46178</v>
      </c>
      <c r="C1689" s="3" t="inlineStr">
        <is>
          <t>Payment</t>
        </is>
      </c>
      <c r="D1689" s="3" t="inlineStr"/>
      <c r="E1689" s="3" t="inlineStr">
        <is>
          <t>Cobaltmere Health</t>
        </is>
      </c>
      <c r="F1689" s="3" t="inlineStr">
        <is>
          <t>Remittance applied</t>
        </is>
      </c>
      <c r="G1689" s="3" t="inlineStr">
        <is>
          <t>Checking – Operating</t>
        </is>
      </c>
      <c r="H1689" s="3" t="inlineStr">
        <is>
          <t>Accounts Receivable</t>
        </is>
      </c>
      <c r="I1689" s="33" t="n">
        <v>-30368.87</v>
      </c>
      <c r="J1689" s="13">
        <f>+J1688+I1689</f>
        <v>569890.74</v>
      </c>
      <c r="K1689" s="19">
        <f>+EOMONTH(B1689,0)</f>
        <v>46203</v>
      </c>
      <c r="L1689" s="3" t="inlineStr">
        <is>
          <t>Accounts Receivable</t>
        </is>
      </c>
      <c r="M1689" s="3" t="inlineStr">
        <is>
          <t>Balance Sheet</t>
        </is>
      </c>
    </row>
    <row r="1690">
      <c r="B1690" s="39" t="n">
        <v>46180</v>
      </c>
      <c r="C1690" s="3" t="inlineStr">
        <is>
          <t>Invoice</t>
        </is>
      </c>
      <c r="D1690" s="3" t="inlineStr">
        <is>
          <t>INV-26045</t>
        </is>
      </c>
      <c r="E1690" s="3" t="inlineStr">
        <is>
          <t>State Program B</t>
        </is>
      </c>
      <c r="F1690" s="3" t="inlineStr">
        <is>
          <t>Claims batch – June</t>
        </is>
      </c>
      <c r="G1690" s="3" t="inlineStr">
        <is>
          <t>Service Income</t>
        </is>
      </c>
      <c r="H1690" s="3" t="inlineStr">
        <is>
          <t>Accounts Receivable</t>
        </is>
      </c>
      <c r="I1690" s="33" t="n">
        <v>100804.06</v>
      </c>
      <c r="J1690" s="13">
        <f>+J1689+I1690</f>
        <v>670694.8</v>
      </c>
      <c r="K1690" s="19">
        <f>+EOMONTH(B1690,0)</f>
        <v>46203</v>
      </c>
      <c r="L1690" s="3" t="inlineStr">
        <is>
          <t>Accounts Receivable</t>
        </is>
      </c>
      <c r="M1690" s="3" t="inlineStr">
        <is>
          <t>Balance Sheet</t>
        </is>
      </c>
    </row>
    <row r="1691">
      <c r="B1691" s="39" t="n">
        <v>46180</v>
      </c>
      <c r="C1691" s="3" t="inlineStr">
        <is>
          <t>Payment</t>
        </is>
      </c>
      <c r="D1691" s="3" t="inlineStr"/>
      <c r="E1691" s="3" t="inlineStr">
        <is>
          <t>Federal Program A</t>
        </is>
      </c>
      <c r="F1691" s="3" t="inlineStr">
        <is>
          <t>Remittance applied</t>
        </is>
      </c>
      <c r="G1691" s="3" t="inlineStr">
        <is>
          <t>Checking – Operating</t>
        </is>
      </c>
      <c r="H1691" s="3" t="inlineStr">
        <is>
          <t>Accounts Receivable</t>
        </is>
      </c>
      <c r="I1691" s="33" t="n">
        <v>-120779.11</v>
      </c>
      <c r="J1691" s="13">
        <f>+J1690+I1691</f>
        <v>549915.69</v>
      </c>
      <c r="K1691" s="19">
        <f>+EOMONTH(B1691,0)</f>
        <v>46203</v>
      </c>
      <c r="L1691" s="3" t="inlineStr">
        <is>
          <t>Accounts Receivable</t>
        </is>
      </c>
      <c r="M1691" s="3" t="inlineStr">
        <is>
          <t>Balance Sheet</t>
        </is>
      </c>
    </row>
    <row r="1692">
      <c r="B1692" s="39" t="n">
        <v>46180</v>
      </c>
      <c r="C1692" s="3" t="inlineStr">
        <is>
          <t>Payment</t>
        </is>
      </c>
      <c r="D1692" s="3" t="inlineStr"/>
      <c r="E1692" s="3" t="inlineStr">
        <is>
          <t>Lanternway Benefits</t>
        </is>
      </c>
      <c r="F1692" s="3" t="inlineStr">
        <is>
          <t>Remittance applied</t>
        </is>
      </c>
      <c r="G1692" s="3" t="inlineStr">
        <is>
          <t>Checking – Operating</t>
        </is>
      </c>
      <c r="H1692" s="3" t="inlineStr">
        <is>
          <t>Accounts Receivable</t>
        </is>
      </c>
      <c r="I1692" s="33" t="n">
        <v>-49525.34</v>
      </c>
      <c r="J1692" s="13">
        <f>+J1691+I1692</f>
        <v>500390.35</v>
      </c>
      <c r="K1692" s="19">
        <f>+EOMONTH(B1692,0)</f>
        <v>46203</v>
      </c>
      <c r="L1692" s="3" t="inlineStr">
        <is>
          <t>Accounts Receivable</t>
        </is>
      </c>
      <c r="M1692" s="3" t="inlineStr">
        <is>
          <t>Balance Sheet</t>
        </is>
      </c>
    </row>
    <row r="1693">
      <c r="B1693" s="39" t="n">
        <v>46181</v>
      </c>
      <c r="C1693" s="3" t="inlineStr">
        <is>
          <t>Invoice</t>
        </is>
      </c>
      <c r="D1693" s="3" t="inlineStr">
        <is>
          <t>INV-26044</t>
        </is>
      </c>
      <c r="E1693" s="3" t="inlineStr">
        <is>
          <t>Federal Program A</t>
        </is>
      </c>
      <c r="F1693" s="3" t="inlineStr">
        <is>
          <t>Claims batch – June</t>
        </is>
      </c>
      <c r="G1693" s="3" t="inlineStr">
        <is>
          <t>Service Income</t>
        </is>
      </c>
      <c r="H1693" s="3" t="inlineStr">
        <is>
          <t>Accounts Receivable</t>
        </is>
      </c>
      <c r="I1693" s="33" t="n">
        <v>227559.54</v>
      </c>
      <c r="J1693" s="13">
        <f>+J1692+I1693</f>
        <v>727949.89</v>
      </c>
      <c r="K1693" s="19">
        <f>+EOMONTH(B1693,0)</f>
        <v>46203</v>
      </c>
      <c r="L1693" s="3" t="inlineStr">
        <is>
          <t>Accounts Receivable</t>
        </is>
      </c>
      <c r="M1693" s="3" t="inlineStr">
        <is>
          <t>Balance Sheet</t>
        </is>
      </c>
    </row>
    <row r="1694">
      <c r="B1694" s="39" t="n">
        <v>46181</v>
      </c>
      <c r="C1694" s="3" t="inlineStr">
        <is>
          <t>Invoice</t>
        </is>
      </c>
      <c r="D1694" s="3" t="inlineStr">
        <is>
          <t>INV-26049</t>
        </is>
      </c>
      <c r="E1694" s="3" t="inlineStr">
        <is>
          <t>Cobaltmere Health</t>
        </is>
      </c>
      <c r="F1694" s="3" t="inlineStr">
        <is>
          <t>Claims batch – June</t>
        </is>
      </c>
      <c r="G1694" s="3" t="inlineStr">
        <is>
          <t>Service Income</t>
        </is>
      </c>
      <c r="H1694" s="3" t="inlineStr">
        <is>
          <t>Accounts Receivable</t>
        </is>
      </c>
      <c r="I1694" s="33" t="n">
        <v>70778.75</v>
      </c>
      <c r="J1694" s="13">
        <f>+J1693+I1694</f>
        <v>798728.64</v>
      </c>
      <c r="K1694" s="19">
        <f>+EOMONTH(B1694,0)</f>
        <v>46203</v>
      </c>
      <c r="L1694" s="3" t="inlineStr">
        <is>
          <t>Accounts Receivable</t>
        </is>
      </c>
      <c r="M1694" s="3" t="inlineStr">
        <is>
          <t>Balance Sheet</t>
        </is>
      </c>
    </row>
    <row r="1695">
      <c r="B1695" s="39" t="n">
        <v>46184</v>
      </c>
      <c r="C1695" s="3" t="inlineStr">
        <is>
          <t>Payment</t>
        </is>
      </c>
      <c r="D1695" s="3" t="inlineStr"/>
      <c r="E1695" s="3" t="inlineStr">
        <is>
          <t>Vantrelle Health Plan</t>
        </is>
      </c>
      <c r="F1695" s="3" t="inlineStr">
        <is>
          <t>Remittance applied</t>
        </is>
      </c>
      <c r="G1695" s="3" t="inlineStr">
        <is>
          <t>Checking – Operating</t>
        </is>
      </c>
      <c r="H1695" s="3" t="inlineStr">
        <is>
          <t>Accounts Receivable</t>
        </is>
      </c>
      <c r="I1695" s="33" t="n">
        <v>-147074.87</v>
      </c>
      <c r="J1695" s="13">
        <f>+J1694+I1695</f>
        <v>651653.77</v>
      </c>
      <c r="K1695" s="19">
        <f>+EOMONTH(B1695,0)</f>
        <v>46203</v>
      </c>
      <c r="L1695" s="3" t="inlineStr">
        <is>
          <t>Accounts Receivable</t>
        </is>
      </c>
      <c r="M1695" s="3" t="inlineStr">
        <is>
          <t>Balance Sheet</t>
        </is>
      </c>
    </row>
    <row r="1696">
      <c r="B1696" s="39" t="n">
        <v>46185</v>
      </c>
      <c r="C1696" s="3" t="inlineStr">
        <is>
          <t>Payment</t>
        </is>
      </c>
      <c r="D1696" s="3" t="inlineStr"/>
      <c r="E1696" s="3" t="inlineStr">
        <is>
          <t>Federal Program A</t>
        </is>
      </c>
      <c r="F1696" s="3" t="inlineStr">
        <is>
          <t>Remittance applied</t>
        </is>
      </c>
      <c r="G1696" s="3" t="inlineStr">
        <is>
          <t>Checking – Operating</t>
        </is>
      </c>
      <c r="H1696" s="3" t="inlineStr">
        <is>
          <t>Accounts Receivable</t>
        </is>
      </c>
      <c r="I1696" s="33" t="n">
        <v>-90504.09</v>
      </c>
      <c r="J1696" s="13">
        <f>+J1695+I1696</f>
        <v>561149.68</v>
      </c>
      <c r="K1696" s="19">
        <f>+EOMONTH(B1696,0)</f>
        <v>46203</v>
      </c>
      <c r="L1696" s="3" t="inlineStr">
        <is>
          <t>Accounts Receivable</t>
        </is>
      </c>
      <c r="M1696" s="3" t="inlineStr">
        <is>
          <t>Balance Sheet</t>
        </is>
      </c>
    </row>
    <row r="1697">
      <c r="B1697" s="39" t="n">
        <v>46187</v>
      </c>
      <c r="C1697" s="3" t="inlineStr">
        <is>
          <t>Payment</t>
        </is>
      </c>
      <c r="D1697" s="3" t="inlineStr"/>
      <c r="E1697" s="3" t="inlineStr">
        <is>
          <t>Marrowby Mutual</t>
        </is>
      </c>
      <c r="F1697" s="3" t="inlineStr">
        <is>
          <t>Remittance applied</t>
        </is>
      </c>
      <c r="G1697" s="3" t="inlineStr">
        <is>
          <t>Checking – Operating</t>
        </is>
      </c>
      <c r="H1697" s="3" t="inlineStr">
        <is>
          <t>Accounts Receivable</t>
        </is>
      </c>
      <c r="I1697" s="33" t="n">
        <v>-63054.96</v>
      </c>
      <c r="J1697" s="13">
        <f>+J1696+I1697</f>
        <v>498094.72</v>
      </c>
      <c r="K1697" s="19">
        <f>+EOMONTH(B1697,0)</f>
        <v>46203</v>
      </c>
      <c r="L1697" s="3" t="inlineStr">
        <is>
          <t>Accounts Receivable</t>
        </is>
      </c>
      <c r="M1697" s="3" t="inlineStr">
        <is>
          <t>Balance Sheet</t>
        </is>
      </c>
    </row>
    <row r="1698">
      <c r="B1698" s="39" t="n">
        <v>46187</v>
      </c>
      <c r="C1698" s="3" t="inlineStr">
        <is>
          <t>Payment</t>
        </is>
      </c>
      <c r="D1698" s="3" t="inlineStr"/>
      <c r="E1698" s="3" t="inlineStr">
        <is>
          <t>Quayside Choice Senior Plan</t>
        </is>
      </c>
      <c r="F1698" s="3" t="inlineStr">
        <is>
          <t>Remittance applied</t>
        </is>
      </c>
      <c r="G1698" s="3" t="inlineStr">
        <is>
          <t>Checking – Operating</t>
        </is>
      </c>
      <c r="H1698" s="3" t="inlineStr">
        <is>
          <t>Accounts Receivable</t>
        </is>
      </c>
      <c r="I1698" s="33" t="n">
        <v>-45300.38</v>
      </c>
      <c r="J1698" s="13">
        <f>+J1697+I1698</f>
        <v>452794.34</v>
      </c>
      <c r="K1698" s="19">
        <f>+EOMONTH(B1698,0)</f>
        <v>46203</v>
      </c>
      <c r="L1698" s="3" t="inlineStr">
        <is>
          <t>Accounts Receivable</t>
        </is>
      </c>
      <c r="M1698" s="3" t="inlineStr">
        <is>
          <t>Balance Sheet</t>
        </is>
      </c>
    </row>
    <row r="1699">
      <c r="B1699" s="39" t="n">
        <v>46191</v>
      </c>
      <c r="C1699" s="3" t="inlineStr">
        <is>
          <t>Payment</t>
        </is>
      </c>
      <c r="D1699" s="3" t="inlineStr"/>
      <c r="E1699" s="3" t="inlineStr">
        <is>
          <t>State Program B</t>
        </is>
      </c>
      <c r="F1699" s="3" t="inlineStr">
        <is>
          <t>Remittance applied</t>
        </is>
      </c>
      <c r="G1699" s="3" t="inlineStr">
        <is>
          <t>Checking – Operating</t>
        </is>
      </c>
      <c r="H1699" s="3" t="inlineStr">
        <is>
          <t>Accounts Receivable</t>
        </is>
      </c>
      <c r="I1699" s="33" t="n">
        <v>-33831.87</v>
      </c>
      <c r="J1699" s="13">
        <f>+J1698+I1699</f>
        <v>418962.47</v>
      </c>
      <c r="K1699" s="19">
        <f>+EOMONTH(B1699,0)</f>
        <v>46203</v>
      </c>
      <c r="L1699" s="3" t="inlineStr">
        <is>
          <t>Accounts Receivable</t>
        </is>
      </c>
      <c r="M1699" s="3" t="inlineStr">
        <is>
          <t>Balance Sheet</t>
        </is>
      </c>
    </row>
    <row r="1700">
      <c r="B1700" s="39" t="n">
        <v>46193</v>
      </c>
      <c r="C1700" s="3" t="inlineStr">
        <is>
          <t>Payment</t>
        </is>
      </c>
      <c r="D1700" s="3" t="inlineStr"/>
      <c r="E1700" s="3" t="inlineStr">
        <is>
          <t>Vantrelle Health Plan</t>
        </is>
      </c>
      <c r="F1700" s="3" t="inlineStr">
        <is>
          <t>Remittance applied</t>
        </is>
      </c>
      <c r="G1700" s="3" t="inlineStr">
        <is>
          <t>Checking – Operating</t>
        </is>
      </c>
      <c r="H1700" s="3" t="inlineStr">
        <is>
          <t>Accounts Receivable</t>
        </is>
      </c>
      <c r="I1700" s="33" t="n">
        <v>-134636.06</v>
      </c>
      <c r="J1700" s="13">
        <f>+J1699+I1700</f>
        <v>284326.41</v>
      </c>
      <c r="K1700" s="19">
        <f>+EOMONTH(B1700,0)</f>
        <v>46203</v>
      </c>
      <c r="L1700" s="3" t="inlineStr">
        <is>
          <t>Accounts Receivable</t>
        </is>
      </c>
      <c r="M1700" s="3" t="inlineStr">
        <is>
          <t>Balance Sheet</t>
        </is>
      </c>
    </row>
    <row r="1701">
      <c r="B1701" s="39" t="n">
        <v>46194</v>
      </c>
      <c r="C1701" s="3" t="inlineStr">
        <is>
          <t>Payment</t>
        </is>
      </c>
      <c r="D1701" s="3" t="inlineStr"/>
      <c r="E1701" s="3" t="inlineStr">
        <is>
          <t>State Program B</t>
        </is>
      </c>
      <c r="F1701" s="3" t="inlineStr">
        <is>
          <t>Remittance applied</t>
        </is>
      </c>
      <c r="G1701" s="3" t="inlineStr">
        <is>
          <t>Checking – Operating</t>
        </is>
      </c>
      <c r="H1701" s="3" t="inlineStr">
        <is>
          <t>Accounts Receivable</t>
        </is>
      </c>
      <c r="I1701" s="33" t="n">
        <v>-33110.86</v>
      </c>
      <c r="J1701" s="13">
        <f>+J1700+I1701</f>
        <v>251215.55</v>
      </c>
      <c r="K1701" s="19">
        <f>+EOMONTH(B1701,0)</f>
        <v>46203</v>
      </c>
      <c r="L1701" s="3" t="inlineStr">
        <is>
          <t>Accounts Receivable</t>
        </is>
      </c>
      <c r="M1701" s="3" t="inlineStr">
        <is>
          <t>Balance Sheet</t>
        </is>
      </c>
    </row>
    <row r="1702">
      <c r="B1702" s="39" t="n">
        <v>46195</v>
      </c>
      <c r="C1702" s="3" t="inlineStr">
        <is>
          <t>Payment</t>
        </is>
      </c>
      <c r="D1702" s="3" t="inlineStr"/>
      <c r="E1702" s="3" t="inlineStr">
        <is>
          <t>State Program B</t>
        </is>
      </c>
      <c r="F1702" s="3" t="inlineStr">
        <is>
          <t>Remittance applied</t>
        </is>
      </c>
      <c r="G1702" s="3" t="inlineStr">
        <is>
          <t>Checking – Operating</t>
        </is>
      </c>
      <c r="H1702" s="3" t="inlineStr">
        <is>
          <t>Accounts Receivable</t>
        </is>
      </c>
      <c r="I1702" s="33" t="n">
        <v>-38698.87</v>
      </c>
      <c r="J1702" s="13">
        <f>+J1701+I1702</f>
        <v>212516.68</v>
      </c>
      <c r="K1702" s="19">
        <f>+EOMONTH(B1702,0)</f>
        <v>46203</v>
      </c>
      <c r="L1702" s="3" t="inlineStr">
        <is>
          <t>Accounts Receivable</t>
        </is>
      </c>
      <c r="M1702" s="3" t="inlineStr">
        <is>
          <t>Balance Sheet</t>
        </is>
      </c>
    </row>
    <row r="1703">
      <c r="B1703" s="39" t="n">
        <v>46195</v>
      </c>
      <c r="C1703" s="3" t="inlineStr">
        <is>
          <t>Payment</t>
        </is>
      </c>
      <c r="D1703" s="3" t="inlineStr"/>
      <c r="E1703" s="3" t="inlineStr">
        <is>
          <t>Silvermoss Senior Living</t>
        </is>
      </c>
      <c r="F1703" s="3" t="inlineStr">
        <is>
          <t>Remittance applied</t>
        </is>
      </c>
      <c r="G1703" s="3" t="inlineStr">
        <is>
          <t>Checking – Operating</t>
        </is>
      </c>
      <c r="H1703" s="3" t="inlineStr">
        <is>
          <t>Accounts Receivable</t>
        </is>
      </c>
      <c r="I1703" s="33" t="n">
        <v>-54540.91</v>
      </c>
      <c r="J1703" s="13">
        <f>+J1702+I1703</f>
        <v>157975.77</v>
      </c>
      <c r="K1703" s="19">
        <f>+EOMONTH(B1703,0)</f>
        <v>46203</v>
      </c>
      <c r="L1703" s="3" t="inlineStr">
        <is>
          <t>Accounts Receivable</t>
        </is>
      </c>
      <c r="M1703" s="3" t="inlineStr">
        <is>
          <t>Balance Sheet</t>
        </is>
      </c>
    </row>
    <row r="1704">
      <c r="B1704" s="39" t="n">
        <v>46196</v>
      </c>
      <c r="C1704" s="3" t="inlineStr">
        <is>
          <t>Payment</t>
        </is>
      </c>
      <c r="D1704" s="3" t="inlineStr"/>
      <c r="E1704" s="3" t="inlineStr">
        <is>
          <t>Quayside Choice Senior Plan</t>
        </is>
      </c>
      <c r="F1704" s="3" t="inlineStr">
        <is>
          <t>Remittance applied</t>
        </is>
      </c>
      <c r="G1704" s="3" t="inlineStr">
        <is>
          <t>Checking – Operating</t>
        </is>
      </c>
      <c r="H1704" s="3" t="inlineStr">
        <is>
          <t>Accounts Receivable</t>
        </is>
      </c>
      <c r="I1704" s="33" t="n">
        <v>-38220.78</v>
      </c>
      <c r="J1704" s="13">
        <f>+J1703+I1704</f>
        <v>119754.99</v>
      </c>
      <c r="K1704" s="19">
        <f>+EOMONTH(B1704,0)</f>
        <v>46203</v>
      </c>
      <c r="L1704" s="3" t="inlineStr">
        <is>
          <t>Accounts Receivable</t>
        </is>
      </c>
      <c r="M1704" s="3" t="inlineStr">
        <is>
          <t>Balance Sheet</t>
        </is>
      </c>
    </row>
    <row r="1705">
      <c r="B1705" s="39" t="n">
        <v>46201</v>
      </c>
      <c r="C1705" s="3" t="inlineStr">
        <is>
          <t>Payment</t>
        </is>
      </c>
      <c r="D1705" s="3" t="inlineStr"/>
      <c r="E1705" s="3" t="inlineStr">
        <is>
          <t>Cobaltmere Health</t>
        </is>
      </c>
      <c r="F1705" s="3" t="inlineStr">
        <is>
          <t>Remittance applied</t>
        </is>
      </c>
      <c r="G1705" s="3" t="inlineStr">
        <is>
          <t>Checking – Operating</t>
        </is>
      </c>
      <c r="H1705" s="3" t="inlineStr">
        <is>
          <t>Accounts Receivable</t>
        </is>
      </c>
      <c r="I1705" s="33" t="n">
        <v>-40058.86</v>
      </c>
      <c r="J1705" s="13">
        <f>+J1704+I1705</f>
        <v>79696.1300000004</v>
      </c>
      <c r="K1705" s="19">
        <f>+EOMONTH(B1705,0)</f>
        <v>46203</v>
      </c>
      <c r="L1705" s="3" t="inlineStr">
        <is>
          <t>Accounts Receivable</t>
        </is>
      </c>
      <c r="M1705" s="3" t="inlineStr">
        <is>
          <t>Balance Sheet</t>
        </is>
      </c>
    </row>
    <row r="1706">
      <c r="B1706" s="39" t="n">
        <v>46202</v>
      </c>
      <c r="C1706" s="3" t="inlineStr">
        <is>
          <t>Payment</t>
        </is>
      </c>
      <c r="D1706" s="3" t="inlineStr"/>
      <c r="E1706" s="3" t="inlineStr">
        <is>
          <t>Marrowby Mutual</t>
        </is>
      </c>
      <c r="F1706" s="3" t="inlineStr">
        <is>
          <t>Remittance applied</t>
        </is>
      </c>
      <c r="G1706" s="3" t="inlineStr">
        <is>
          <t>Checking – Operating</t>
        </is>
      </c>
      <c r="H1706" s="3" t="inlineStr">
        <is>
          <t>Accounts Receivable</t>
        </is>
      </c>
      <c r="I1706" s="33" t="n">
        <v>-43610.53</v>
      </c>
      <c r="J1706" s="13">
        <f>+J1705+I1706</f>
        <v>36085.6000000004</v>
      </c>
      <c r="K1706" s="19">
        <f>+EOMONTH(B1706,0)</f>
        <v>46203</v>
      </c>
      <c r="L1706" s="3" t="inlineStr">
        <is>
          <t>Accounts Receivable</t>
        </is>
      </c>
      <c r="M1706" s="3" t="inlineStr">
        <is>
          <t>Balance Sheet</t>
        </is>
      </c>
    </row>
    <row r="1707">
      <c r="B1707" s="39" t="n">
        <v>46202</v>
      </c>
      <c r="C1707" s="3" t="inlineStr">
        <is>
          <t>Payment</t>
        </is>
      </c>
      <c r="D1707" s="3" t="inlineStr"/>
      <c r="E1707" s="3" t="inlineStr">
        <is>
          <t>Silvermoss Senior Living</t>
        </is>
      </c>
      <c r="F1707" s="3" t="inlineStr">
        <is>
          <t>Remittance applied</t>
        </is>
      </c>
      <c r="G1707" s="3" t="inlineStr">
        <is>
          <t>Checking – Operating</t>
        </is>
      </c>
      <c r="H1707" s="3" t="inlineStr">
        <is>
          <t>Accounts Receivable</t>
        </is>
      </c>
      <c r="I1707" s="33" t="n">
        <v>-39362.73</v>
      </c>
      <c r="J1707" s="13">
        <f>+J1706+I1707</f>
        <v>-3277.1299999996</v>
      </c>
      <c r="K1707" s="19">
        <f>+EOMONTH(B1707,0)</f>
        <v>46203</v>
      </c>
      <c r="L1707" s="3" t="inlineStr">
        <is>
          <t>Accounts Receivable</t>
        </is>
      </c>
      <c r="M1707" s="3" t="inlineStr">
        <is>
          <t>Balance Sheet</t>
        </is>
      </c>
    </row>
    <row r="1708">
      <c r="B1708" s="39" t="n">
        <v>46204</v>
      </c>
      <c r="C1708" s="3" t="inlineStr">
        <is>
          <t>Invoice</t>
        </is>
      </c>
      <c r="D1708" s="3" t="inlineStr">
        <is>
          <t>INV-26054</t>
        </is>
      </c>
      <c r="E1708" s="3" t="inlineStr">
        <is>
          <t>Silvermoss Senior Living</t>
        </is>
      </c>
      <c r="F1708" s="3" t="inlineStr">
        <is>
          <t>Claims batch – July</t>
        </is>
      </c>
      <c r="G1708" s="3" t="inlineStr">
        <is>
          <t>Service Income</t>
        </is>
      </c>
      <c r="H1708" s="3" t="inlineStr">
        <is>
          <t>Accounts Receivable</t>
        </is>
      </c>
      <c r="I1708" s="33" t="n">
        <v>98487.85000000001</v>
      </c>
      <c r="J1708" s="13">
        <f>+J1707+I1708</f>
        <v>95210.7200000004</v>
      </c>
      <c r="K1708" s="19">
        <f>+EOMONTH(B1708,0)</f>
        <v>46234</v>
      </c>
      <c r="L1708" s="3" t="inlineStr">
        <is>
          <t>Accounts Receivable</t>
        </is>
      </c>
      <c r="M1708" s="3" t="inlineStr">
        <is>
          <t>Balance Sheet</t>
        </is>
      </c>
    </row>
    <row r="1709">
      <c r="B1709" s="39" t="n">
        <v>46204</v>
      </c>
      <c r="C1709" s="3" t="inlineStr">
        <is>
          <t>Invoice</t>
        </is>
      </c>
      <c r="D1709" s="3" t="inlineStr">
        <is>
          <t>INV-26056</t>
        </is>
      </c>
      <c r="E1709" s="3" t="inlineStr">
        <is>
          <t>Quayside Choice Senior Plan</t>
        </is>
      </c>
      <c r="F1709" s="3" t="inlineStr">
        <is>
          <t>Claims batch – July</t>
        </is>
      </c>
      <c r="G1709" s="3" t="inlineStr">
        <is>
          <t>Service Income</t>
        </is>
      </c>
      <c r="H1709" s="3" t="inlineStr">
        <is>
          <t>Accounts Receivable</t>
        </is>
      </c>
      <c r="I1709" s="33" t="n">
        <v>141727.52</v>
      </c>
      <c r="J1709" s="13">
        <f>+J1708+I1709</f>
        <v>236938.24</v>
      </c>
      <c r="K1709" s="19">
        <f>+EOMONTH(B1709,0)</f>
        <v>46234</v>
      </c>
      <c r="L1709" s="3" t="inlineStr">
        <is>
          <t>Accounts Receivable</t>
        </is>
      </c>
      <c r="M1709" s="3" t="inlineStr">
        <is>
          <t>Balance Sheet</t>
        </is>
      </c>
    </row>
    <row r="1710">
      <c r="B1710" s="39" t="n">
        <v>46204</v>
      </c>
      <c r="C1710" s="3" t="inlineStr">
        <is>
          <t>Payment</t>
        </is>
      </c>
      <c r="D1710" s="3" t="inlineStr"/>
      <c r="E1710" s="3" t="inlineStr">
        <is>
          <t>Vantrelle Health Plan</t>
        </is>
      </c>
      <c r="F1710" s="3" t="inlineStr">
        <is>
          <t>Remittance applied</t>
        </is>
      </c>
      <c r="G1710" s="3" t="inlineStr">
        <is>
          <t>Checking – Operating</t>
        </is>
      </c>
      <c r="H1710" s="3" t="inlineStr">
        <is>
          <t>Accounts Receivable</t>
        </is>
      </c>
      <c r="I1710" s="33" t="n">
        <v>-102912.31</v>
      </c>
      <c r="J1710" s="13">
        <f>+J1709+I1710</f>
        <v>134025.93</v>
      </c>
      <c r="K1710" s="19">
        <f>+EOMONTH(B1710,0)</f>
        <v>46234</v>
      </c>
      <c r="L1710" s="3" t="inlineStr">
        <is>
          <t>Accounts Receivable</t>
        </is>
      </c>
      <c r="M1710" s="3" t="inlineStr">
        <is>
          <t>Balance Sheet</t>
        </is>
      </c>
    </row>
    <row r="1711">
      <c r="B1711" s="39" t="n">
        <v>46204</v>
      </c>
      <c r="C1711" s="3" t="inlineStr">
        <is>
          <t>Payment</t>
        </is>
      </c>
      <c r="D1711" s="3" t="inlineStr"/>
      <c r="E1711" s="3" t="inlineStr">
        <is>
          <t>Cobaltmere Health</t>
        </is>
      </c>
      <c r="F1711" s="3" t="inlineStr">
        <is>
          <t>Remittance applied</t>
        </is>
      </c>
      <c r="G1711" s="3" t="inlineStr">
        <is>
          <t>Checking – Operating</t>
        </is>
      </c>
      <c r="H1711" s="3" t="inlineStr">
        <is>
          <t>Accounts Receivable</t>
        </is>
      </c>
      <c r="I1711" s="33" t="n">
        <v>-35555.32</v>
      </c>
      <c r="J1711" s="13">
        <f>+J1710+I1711</f>
        <v>98470.6100000004</v>
      </c>
      <c r="K1711" s="19">
        <f>+EOMONTH(B1711,0)</f>
        <v>46234</v>
      </c>
      <c r="L1711" s="3" t="inlineStr">
        <is>
          <t>Accounts Receivable</t>
        </is>
      </c>
      <c r="M1711" s="3" t="inlineStr">
        <is>
          <t>Balance Sheet</t>
        </is>
      </c>
    </row>
    <row r="1712">
      <c r="B1712" s="39" t="n">
        <v>46204</v>
      </c>
      <c r="C1712" s="3" t="inlineStr">
        <is>
          <t>Payment</t>
        </is>
      </c>
      <c r="D1712" s="3" t="inlineStr"/>
      <c r="E1712" s="3" t="inlineStr">
        <is>
          <t>Cobaltmere Health</t>
        </is>
      </c>
      <c r="F1712" s="3" t="inlineStr">
        <is>
          <t>Remittance applied</t>
        </is>
      </c>
      <c r="G1712" s="3" t="inlineStr">
        <is>
          <t>Checking – Operating</t>
        </is>
      </c>
      <c r="H1712" s="3" t="inlineStr">
        <is>
          <t>Accounts Receivable</t>
        </is>
      </c>
      <c r="I1712" s="33" t="n">
        <v>-41346.24</v>
      </c>
      <c r="J1712" s="13">
        <f>+J1711+I1712</f>
        <v>57124.3700000004</v>
      </c>
      <c r="K1712" s="19">
        <f>+EOMONTH(B1712,0)</f>
        <v>46234</v>
      </c>
      <c r="L1712" s="3" t="inlineStr">
        <is>
          <t>Accounts Receivable</t>
        </is>
      </c>
      <c r="M1712" s="3" t="inlineStr">
        <is>
          <t>Balance Sheet</t>
        </is>
      </c>
    </row>
    <row r="1713">
      <c r="B1713" s="39" t="n">
        <v>46205</v>
      </c>
      <c r="C1713" s="3" t="inlineStr">
        <is>
          <t>Payment</t>
        </is>
      </c>
      <c r="D1713" s="3" t="inlineStr"/>
      <c r="E1713" s="3" t="inlineStr">
        <is>
          <t>Vantrelle Health Plan</t>
        </is>
      </c>
      <c r="F1713" s="3" t="inlineStr">
        <is>
          <t>Remittance applied</t>
        </is>
      </c>
      <c r="G1713" s="3" t="inlineStr">
        <is>
          <t>Checking – Operating</t>
        </is>
      </c>
      <c r="H1713" s="3" t="inlineStr">
        <is>
          <t>Accounts Receivable</t>
        </is>
      </c>
      <c r="I1713" s="33" t="n">
        <v>-96823.85000000001</v>
      </c>
      <c r="J1713" s="13">
        <f>+J1712+I1713</f>
        <v>-39699.4799999996</v>
      </c>
      <c r="K1713" s="19">
        <f>+EOMONTH(B1713,0)</f>
        <v>46234</v>
      </c>
      <c r="L1713" s="3" t="inlineStr">
        <is>
          <t>Accounts Receivable</t>
        </is>
      </c>
      <c r="M1713" s="3" t="inlineStr">
        <is>
          <t>Balance Sheet</t>
        </is>
      </c>
    </row>
    <row r="1714">
      <c r="B1714" s="39" t="n">
        <v>46206</v>
      </c>
      <c r="C1714" s="3" t="inlineStr">
        <is>
          <t>Invoice</t>
        </is>
      </c>
      <c r="D1714" s="3" t="inlineStr">
        <is>
          <t>INV-26050</t>
        </is>
      </c>
      <c r="E1714" s="3" t="inlineStr">
        <is>
          <t>Vantrelle Health Plan</t>
        </is>
      </c>
      <c r="F1714" s="3" t="inlineStr">
        <is>
          <t>Claims batch – July</t>
        </is>
      </c>
      <c r="G1714" s="3" t="inlineStr">
        <is>
          <t>Service Income</t>
        </is>
      </c>
      <c r="H1714" s="3" t="inlineStr">
        <is>
          <t>Accounts Receivable</t>
        </is>
      </c>
      <c r="I1714" s="33" t="n">
        <v>289354.45</v>
      </c>
      <c r="J1714" s="13">
        <f>+J1713+I1714</f>
        <v>249654.97</v>
      </c>
      <c r="K1714" s="19">
        <f>+EOMONTH(B1714,0)</f>
        <v>46234</v>
      </c>
      <c r="L1714" s="3" t="inlineStr">
        <is>
          <t>Accounts Receivable</t>
        </is>
      </c>
      <c r="M1714" s="3" t="inlineStr">
        <is>
          <t>Balance Sheet</t>
        </is>
      </c>
    </row>
    <row r="1715">
      <c r="B1715" s="39" t="n">
        <v>46206</v>
      </c>
      <c r="C1715" s="3" t="inlineStr">
        <is>
          <t>Payment</t>
        </is>
      </c>
      <c r="D1715" s="3" t="inlineStr"/>
      <c r="E1715" s="3" t="inlineStr">
        <is>
          <t>Federal Program A</t>
        </is>
      </c>
      <c r="F1715" s="3" t="inlineStr">
        <is>
          <t>Remittance applied</t>
        </is>
      </c>
      <c r="G1715" s="3" t="inlineStr">
        <is>
          <t>Checking – Operating</t>
        </is>
      </c>
      <c r="H1715" s="3" t="inlineStr">
        <is>
          <t>Accounts Receivable</t>
        </is>
      </c>
      <c r="I1715" s="33" t="n">
        <v>-153455.12</v>
      </c>
      <c r="J1715" s="13">
        <f>+J1714+I1715</f>
        <v>96199.8500000004</v>
      </c>
      <c r="K1715" s="19">
        <f>+EOMONTH(B1715,0)</f>
        <v>46234</v>
      </c>
      <c r="L1715" s="3" t="inlineStr">
        <is>
          <t>Accounts Receivable</t>
        </is>
      </c>
      <c r="M1715" s="3" t="inlineStr">
        <is>
          <t>Balance Sheet</t>
        </is>
      </c>
    </row>
    <row r="1716">
      <c r="B1716" s="39" t="n">
        <v>46206</v>
      </c>
      <c r="C1716" s="3" t="inlineStr">
        <is>
          <t>Payment</t>
        </is>
      </c>
      <c r="D1716" s="3" t="inlineStr"/>
      <c r="E1716" s="3" t="inlineStr">
        <is>
          <t>State Program B</t>
        </is>
      </c>
      <c r="F1716" s="3" t="inlineStr">
        <is>
          <t>Remittance applied</t>
        </is>
      </c>
      <c r="G1716" s="3" t="inlineStr">
        <is>
          <t>Checking – Operating</t>
        </is>
      </c>
      <c r="H1716" s="3" t="inlineStr">
        <is>
          <t>Accounts Receivable</t>
        </is>
      </c>
      <c r="I1716" s="33" t="n">
        <v>-36432.08</v>
      </c>
      <c r="J1716" s="13">
        <f>+J1715+I1716</f>
        <v>59767.7700000004</v>
      </c>
      <c r="K1716" s="19">
        <f>+EOMONTH(B1716,0)</f>
        <v>46234</v>
      </c>
      <c r="L1716" s="3" t="inlineStr">
        <is>
          <t>Accounts Receivable</t>
        </is>
      </c>
      <c r="M1716" s="3" t="inlineStr">
        <is>
          <t>Balance Sheet</t>
        </is>
      </c>
    </row>
    <row r="1717">
      <c r="B1717" s="39" t="n">
        <v>46206</v>
      </c>
      <c r="C1717" s="3" t="inlineStr">
        <is>
          <t>Payment</t>
        </is>
      </c>
      <c r="D1717" s="3" t="inlineStr"/>
      <c r="E1717" s="3" t="inlineStr">
        <is>
          <t>Silvermoss Senior Living</t>
        </is>
      </c>
      <c r="F1717" s="3" t="inlineStr">
        <is>
          <t>Remittance applied</t>
        </is>
      </c>
      <c r="G1717" s="3" t="inlineStr">
        <is>
          <t>Checking – Operating</t>
        </is>
      </c>
      <c r="H1717" s="3" t="inlineStr">
        <is>
          <t>Accounts Receivable</t>
        </is>
      </c>
      <c r="I1717" s="33" t="n">
        <v>-53879.83</v>
      </c>
      <c r="J1717" s="13">
        <f>+J1716+I1717</f>
        <v>5887.94000000041</v>
      </c>
      <c r="K1717" s="19">
        <f>+EOMONTH(B1717,0)</f>
        <v>46234</v>
      </c>
      <c r="L1717" s="3" t="inlineStr">
        <is>
          <t>Accounts Receivable</t>
        </is>
      </c>
      <c r="M1717" s="3" t="inlineStr">
        <is>
          <t>Balance Sheet</t>
        </is>
      </c>
    </row>
    <row r="1718">
      <c r="B1718" s="39" t="n">
        <v>46206</v>
      </c>
      <c r="C1718" s="3" t="inlineStr">
        <is>
          <t>Payment</t>
        </is>
      </c>
      <c r="D1718" s="3" t="inlineStr"/>
      <c r="E1718" s="3" t="inlineStr">
        <is>
          <t>Lanternway Benefits</t>
        </is>
      </c>
      <c r="F1718" s="3" t="inlineStr">
        <is>
          <t>Remittance applied</t>
        </is>
      </c>
      <c r="G1718" s="3" t="inlineStr">
        <is>
          <t>Checking – Operating</t>
        </is>
      </c>
      <c r="H1718" s="3" t="inlineStr">
        <is>
          <t>Accounts Receivable</t>
        </is>
      </c>
      <c r="I1718" s="33" t="n">
        <v>-40016.93</v>
      </c>
      <c r="J1718" s="13">
        <f>+J1717+I1718</f>
        <v>-34128.9899999996</v>
      </c>
      <c r="K1718" s="19">
        <f>+EOMONTH(B1718,0)</f>
        <v>46234</v>
      </c>
      <c r="L1718" s="3" t="inlineStr">
        <is>
          <t>Accounts Receivable</t>
        </is>
      </c>
      <c r="M1718" s="3" t="inlineStr">
        <is>
          <t>Balance Sheet</t>
        </is>
      </c>
    </row>
    <row r="1719">
      <c r="B1719" s="39" t="n">
        <v>46206</v>
      </c>
      <c r="C1719" s="3" t="inlineStr">
        <is>
          <t>Payment</t>
        </is>
      </c>
      <c r="D1719" s="3" t="inlineStr"/>
      <c r="E1719" s="3" t="inlineStr">
        <is>
          <t>Quayside Choice Senior Plan</t>
        </is>
      </c>
      <c r="F1719" s="3" t="inlineStr">
        <is>
          <t>Remittance applied</t>
        </is>
      </c>
      <c r="G1719" s="3" t="inlineStr">
        <is>
          <t>Checking – Operating</t>
        </is>
      </c>
      <c r="H1719" s="3" t="inlineStr">
        <is>
          <t>Accounts Receivable</t>
        </is>
      </c>
      <c r="I1719" s="33" t="n">
        <v>-53316.09</v>
      </c>
      <c r="J1719" s="13">
        <f>+J1718+I1719</f>
        <v>-87445.0799999996</v>
      </c>
      <c r="K1719" s="19">
        <f>+EOMONTH(B1719,0)</f>
        <v>46234</v>
      </c>
      <c r="L1719" s="3" t="inlineStr">
        <is>
          <t>Accounts Receivable</t>
        </is>
      </c>
      <c r="M1719" s="3" t="inlineStr">
        <is>
          <t>Balance Sheet</t>
        </is>
      </c>
    </row>
    <row r="1720">
      <c r="B1720" s="39" t="n">
        <v>46207</v>
      </c>
      <c r="C1720" s="3" t="inlineStr">
        <is>
          <t>Invoice</t>
        </is>
      </c>
      <c r="D1720" s="3" t="inlineStr">
        <is>
          <t>INV-26055</t>
        </is>
      </c>
      <c r="E1720" s="3" t="inlineStr">
        <is>
          <t>Lanternway Benefits</t>
        </is>
      </c>
      <c r="F1720" s="3" t="inlineStr">
        <is>
          <t>Claims batch – July</t>
        </is>
      </c>
      <c r="G1720" s="3" t="inlineStr">
        <is>
          <t>Service Income</t>
        </is>
      </c>
      <c r="H1720" s="3" t="inlineStr">
        <is>
          <t>Accounts Receivable</t>
        </is>
      </c>
      <c r="I1720" s="33" t="n">
        <v>122264.55</v>
      </c>
      <c r="J1720" s="13">
        <f>+J1719+I1720</f>
        <v>34819.4700000004</v>
      </c>
      <c r="K1720" s="19">
        <f>+EOMONTH(B1720,0)</f>
        <v>46234</v>
      </c>
      <c r="L1720" s="3" t="inlineStr">
        <is>
          <t>Accounts Receivable</t>
        </is>
      </c>
      <c r="M1720" s="3" t="inlineStr">
        <is>
          <t>Balance Sheet</t>
        </is>
      </c>
    </row>
    <row r="1721">
      <c r="B1721" s="39" t="n">
        <v>46209</v>
      </c>
      <c r="C1721" s="3" t="inlineStr">
        <is>
          <t>Invoice</t>
        </is>
      </c>
      <c r="D1721" s="3" t="inlineStr">
        <is>
          <t>INV-26051</t>
        </is>
      </c>
      <c r="E1721" s="3" t="inlineStr">
        <is>
          <t>Marrowby Mutual</t>
        </is>
      </c>
      <c r="F1721" s="3" t="inlineStr">
        <is>
          <t>Claims batch – July</t>
        </is>
      </c>
      <c r="G1721" s="3" t="inlineStr">
        <is>
          <t>Service Income</t>
        </is>
      </c>
      <c r="H1721" s="3" t="inlineStr">
        <is>
          <t>Accounts Receivable</t>
        </is>
      </c>
      <c r="I1721" s="33" t="n">
        <v>166693.38</v>
      </c>
      <c r="J1721" s="13">
        <f>+J1720+I1721</f>
        <v>201512.85</v>
      </c>
      <c r="K1721" s="19">
        <f>+EOMONTH(B1721,0)</f>
        <v>46234</v>
      </c>
      <c r="L1721" s="3" t="inlineStr">
        <is>
          <t>Accounts Receivable</t>
        </is>
      </c>
      <c r="M1721" s="3" t="inlineStr">
        <is>
          <t>Balance Sheet</t>
        </is>
      </c>
    </row>
    <row r="1722">
      <c r="B1722" s="39" t="n">
        <v>46209</v>
      </c>
      <c r="C1722" s="3" t="inlineStr">
        <is>
          <t>Invoice</t>
        </is>
      </c>
      <c r="D1722" s="3" t="inlineStr">
        <is>
          <t>INV-26057</t>
        </is>
      </c>
      <c r="E1722" s="3" t="inlineStr">
        <is>
          <t>Cobaltmere Health</t>
        </is>
      </c>
      <c r="F1722" s="3" t="inlineStr">
        <is>
          <t>Claims batch – July</t>
        </is>
      </c>
      <c r="G1722" s="3" t="inlineStr">
        <is>
          <t>Service Income</t>
        </is>
      </c>
      <c r="H1722" s="3" t="inlineStr">
        <is>
          <t>Accounts Receivable</t>
        </is>
      </c>
      <c r="I1722" s="33" t="n">
        <v>76244.42</v>
      </c>
      <c r="J1722" s="13">
        <f>+J1721+I1722</f>
        <v>277757.27</v>
      </c>
      <c r="K1722" s="19">
        <f>+EOMONTH(B1722,0)</f>
        <v>46234</v>
      </c>
      <c r="L1722" s="3" t="inlineStr">
        <is>
          <t>Accounts Receivable</t>
        </is>
      </c>
      <c r="M1722" s="3" t="inlineStr">
        <is>
          <t>Balance Sheet</t>
        </is>
      </c>
    </row>
    <row r="1723">
      <c r="B1723" s="39" t="n">
        <v>46210</v>
      </c>
      <c r="C1723" s="3" t="inlineStr">
        <is>
          <t>Invoice</t>
        </is>
      </c>
      <c r="D1723" s="3" t="inlineStr">
        <is>
          <t>INV-26052</t>
        </is>
      </c>
      <c r="E1723" s="3" t="inlineStr">
        <is>
          <t>Federal Program A</t>
        </is>
      </c>
      <c r="F1723" s="3" t="inlineStr">
        <is>
          <t>Claims batch – July</t>
        </is>
      </c>
      <c r="G1723" s="3" t="inlineStr">
        <is>
          <t>Service Income</t>
        </is>
      </c>
      <c r="H1723" s="3" t="inlineStr">
        <is>
          <t>Accounts Receivable</t>
        </is>
      </c>
      <c r="I1723" s="33" t="n">
        <v>237374.83</v>
      </c>
      <c r="J1723" s="13">
        <f>+J1722+I1723</f>
        <v>515132.1</v>
      </c>
      <c r="K1723" s="19">
        <f>+EOMONTH(B1723,0)</f>
        <v>46234</v>
      </c>
      <c r="L1723" s="3" t="inlineStr">
        <is>
          <t>Accounts Receivable</t>
        </is>
      </c>
      <c r="M1723" s="3" t="inlineStr">
        <is>
          <t>Balance Sheet</t>
        </is>
      </c>
    </row>
    <row r="1724">
      <c r="B1724" s="39" t="n">
        <v>46210</v>
      </c>
      <c r="C1724" s="3" t="inlineStr">
        <is>
          <t>Invoice</t>
        </is>
      </c>
      <c r="D1724" s="3" t="inlineStr">
        <is>
          <t>INV-26053</t>
        </is>
      </c>
      <c r="E1724" s="3" t="inlineStr">
        <is>
          <t>State Program B</t>
        </is>
      </c>
      <c r="F1724" s="3" t="inlineStr">
        <is>
          <t>Claims batch – July</t>
        </is>
      </c>
      <c r="G1724" s="3" t="inlineStr">
        <is>
          <t>Service Income</t>
        </is>
      </c>
      <c r="H1724" s="3" t="inlineStr">
        <is>
          <t>Accounts Receivable</t>
        </is>
      </c>
      <c r="I1724" s="33" t="n">
        <v>115724.86</v>
      </c>
      <c r="J1724" s="13">
        <f>+J1723+I1724</f>
        <v>630856.96</v>
      </c>
      <c r="K1724" s="19">
        <f>+EOMONTH(B1724,0)</f>
        <v>46234</v>
      </c>
      <c r="L1724" s="3" t="inlineStr">
        <is>
          <t>Accounts Receivable</t>
        </is>
      </c>
      <c r="M1724" s="3" t="inlineStr">
        <is>
          <t>Balance Sheet</t>
        </is>
      </c>
    </row>
    <row r="1725">
      <c r="B1725" s="39" t="n">
        <v>46211</v>
      </c>
      <c r="C1725" s="3" t="inlineStr">
        <is>
          <t>Payment</t>
        </is>
      </c>
      <c r="D1725" s="3" t="inlineStr"/>
      <c r="E1725" s="3" t="inlineStr">
        <is>
          <t>Marrowby Mutual</t>
        </is>
      </c>
      <c r="F1725" s="3" t="inlineStr">
        <is>
          <t>Remittance applied</t>
        </is>
      </c>
      <c r="G1725" s="3" t="inlineStr">
        <is>
          <t>Checking – Operating</t>
        </is>
      </c>
      <c r="H1725" s="3" t="inlineStr">
        <is>
          <t>Accounts Receivable</t>
        </is>
      </c>
      <c r="I1725" s="33" t="n">
        <v>-104941.88</v>
      </c>
      <c r="J1725" s="13">
        <f>+J1724+I1725</f>
        <v>525915.08</v>
      </c>
      <c r="K1725" s="19">
        <f>+EOMONTH(B1725,0)</f>
        <v>46234</v>
      </c>
      <c r="L1725" s="3" t="inlineStr">
        <is>
          <t>Accounts Receivable</t>
        </is>
      </c>
      <c r="M1725" s="3" t="inlineStr">
        <is>
          <t>Balance Sheet</t>
        </is>
      </c>
    </row>
    <row r="1726">
      <c r="B1726" s="39" t="n">
        <v>46211</v>
      </c>
      <c r="C1726" s="3" t="inlineStr">
        <is>
          <t>Payment</t>
        </is>
      </c>
      <c r="D1726" s="3" t="inlineStr"/>
      <c r="E1726" s="3" t="inlineStr">
        <is>
          <t>Federal Program A</t>
        </is>
      </c>
      <c r="F1726" s="3" t="inlineStr">
        <is>
          <t>Remittance applied</t>
        </is>
      </c>
      <c r="G1726" s="3" t="inlineStr">
        <is>
          <t>Checking – Operating</t>
        </is>
      </c>
      <c r="H1726" s="3" t="inlineStr">
        <is>
          <t>Accounts Receivable</t>
        </is>
      </c>
      <c r="I1726" s="33" t="n">
        <v>-77249.55</v>
      </c>
      <c r="J1726" s="13">
        <f>+J1725+I1726</f>
        <v>448665.53</v>
      </c>
      <c r="K1726" s="19">
        <f>+EOMONTH(B1726,0)</f>
        <v>46234</v>
      </c>
      <c r="L1726" s="3" t="inlineStr">
        <is>
          <t>Accounts Receivable</t>
        </is>
      </c>
      <c r="M1726" s="3" t="inlineStr">
        <is>
          <t>Balance Sheet</t>
        </is>
      </c>
    </row>
    <row r="1727">
      <c r="B1727" s="39" t="n">
        <v>46213</v>
      </c>
      <c r="C1727" s="3" t="inlineStr">
        <is>
          <t>Payment</t>
        </is>
      </c>
      <c r="D1727" s="3" t="inlineStr"/>
      <c r="E1727" s="3" t="inlineStr">
        <is>
          <t>Lanternway Benefits</t>
        </is>
      </c>
      <c r="F1727" s="3" t="inlineStr">
        <is>
          <t>Remittance applied</t>
        </is>
      </c>
      <c r="G1727" s="3" t="inlineStr">
        <is>
          <t>Checking – Operating</t>
        </is>
      </c>
      <c r="H1727" s="3" t="inlineStr">
        <is>
          <t>Accounts Receivable</t>
        </is>
      </c>
      <c r="I1727" s="33" t="n">
        <v>-41975.72</v>
      </c>
      <c r="J1727" s="13">
        <f>+J1726+I1727</f>
        <v>406689.81</v>
      </c>
      <c r="K1727" s="19">
        <f>+EOMONTH(B1727,0)</f>
        <v>46234</v>
      </c>
      <c r="L1727" s="3" t="inlineStr">
        <is>
          <t>Accounts Receivable</t>
        </is>
      </c>
      <c r="M1727" s="3" t="inlineStr">
        <is>
          <t>Balance Sheet</t>
        </is>
      </c>
    </row>
    <row r="1728">
      <c r="B1728" s="39" t="n">
        <v>46213</v>
      </c>
      <c r="C1728" s="3" t="inlineStr">
        <is>
          <t>Payment</t>
        </is>
      </c>
      <c r="D1728" s="3" t="inlineStr"/>
      <c r="E1728" s="3" t="inlineStr">
        <is>
          <t>Quayside Choice Senior Plan</t>
        </is>
      </c>
      <c r="F1728" s="3" t="inlineStr">
        <is>
          <t>Remittance applied</t>
        </is>
      </c>
      <c r="G1728" s="3" t="inlineStr">
        <is>
          <t>Checking – Operating</t>
        </is>
      </c>
      <c r="H1728" s="3" t="inlineStr">
        <is>
          <t>Accounts Receivable</t>
        </is>
      </c>
      <c r="I1728" s="33" t="n">
        <v>-29928.67</v>
      </c>
      <c r="J1728" s="13">
        <f>+J1727+I1728</f>
        <v>376761.14</v>
      </c>
      <c r="K1728" s="19">
        <f>+EOMONTH(B1728,0)</f>
        <v>46234</v>
      </c>
      <c r="L1728" s="3" t="inlineStr">
        <is>
          <t>Accounts Receivable</t>
        </is>
      </c>
      <c r="M1728" s="3" t="inlineStr">
        <is>
          <t>Balance Sheet</t>
        </is>
      </c>
    </row>
    <row r="1729">
      <c r="B1729" s="39" t="n">
        <v>46215</v>
      </c>
      <c r="C1729" s="3" t="inlineStr">
        <is>
          <t>Payment</t>
        </is>
      </c>
      <c r="D1729" s="3" t="inlineStr"/>
      <c r="E1729" s="3" t="inlineStr">
        <is>
          <t>State Program B</t>
        </is>
      </c>
      <c r="F1729" s="3" t="inlineStr">
        <is>
          <t>Remittance applied</t>
        </is>
      </c>
      <c r="G1729" s="3" t="inlineStr">
        <is>
          <t>Checking – Operating</t>
        </is>
      </c>
      <c r="H1729" s="3" t="inlineStr">
        <is>
          <t>Accounts Receivable</t>
        </is>
      </c>
      <c r="I1729" s="33" t="n">
        <v>-36765.42</v>
      </c>
      <c r="J1729" s="13">
        <f>+J1728+I1729</f>
        <v>339995.72</v>
      </c>
      <c r="K1729" s="19">
        <f>+EOMONTH(B1729,0)</f>
        <v>46234</v>
      </c>
      <c r="L1729" s="3" t="inlineStr">
        <is>
          <t>Accounts Receivable</t>
        </is>
      </c>
      <c r="M1729" s="3" t="inlineStr">
        <is>
          <t>Balance Sheet</t>
        </is>
      </c>
    </row>
    <row r="1730">
      <c r="B1730" s="39" t="n">
        <v>46215</v>
      </c>
      <c r="C1730" s="3" t="inlineStr">
        <is>
          <t>Payment</t>
        </is>
      </c>
      <c r="D1730" s="3" t="inlineStr"/>
      <c r="E1730" s="3" t="inlineStr">
        <is>
          <t>Lanternway Benefits</t>
        </is>
      </c>
      <c r="F1730" s="3" t="inlineStr">
        <is>
          <t>Remittance applied</t>
        </is>
      </c>
      <c r="G1730" s="3" t="inlineStr">
        <is>
          <t>Checking – Operating</t>
        </is>
      </c>
      <c r="H1730" s="3" t="inlineStr">
        <is>
          <t>Accounts Receivable</t>
        </is>
      </c>
      <c r="I1730" s="33" t="n">
        <v>-46176.61</v>
      </c>
      <c r="J1730" s="13">
        <f>+J1729+I1730</f>
        <v>293819.11</v>
      </c>
      <c r="K1730" s="19">
        <f>+EOMONTH(B1730,0)</f>
        <v>46234</v>
      </c>
      <c r="L1730" s="3" t="inlineStr">
        <is>
          <t>Accounts Receivable</t>
        </is>
      </c>
      <c r="M1730" s="3" t="inlineStr">
        <is>
          <t>Balance Sheet</t>
        </is>
      </c>
    </row>
    <row r="1731">
      <c r="B1731" s="39" t="n">
        <v>46220</v>
      </c>
      <c r="C1731" s="3" t="inlineStr">
        <is>
          <t>Payment</t>
        </is>
      </c>
      <c r="D1731" s="3" t="inlineStr"/>
      <c r="E1731" s="3" t="inlineStr">
        <is>
          <t>State Program B</t>
        </is>
      </c>
      <c r="F1731" s="3" t="inlineStr">
        <is>
          <t>Remittance applied</t>
        </is>
      </c>
      <c r="G1731" s="3" t="inlineStr">
        <is>
          <t>Checking – Operating</t>
        </is>
      </c>
      <c r="H1731" s="3" t="inlineStr">
        <is>
          <t>Accounts Receivable</t>
        </is>
      </c>
      <c r="I1731" s="33" t="n">
        <v>-42154.84</v>
      </c>
      <c r="J1731" s="13">
        <f>+J1730+I1731</f>
        <v>251664.27</v>
      </c>
      <c r="K1731" s="19">
        <f>+EOMONTH(B1731,0)</f>
        <v>46234</v>
      </c>
      <c r="L1731" s="3" t="inlineStr">
        <is>
          <t>Accounts Receivable</t>
        </is>
      </c>
      <c r="M1731" s="3" t="inlineStr">
        <is>
          <t>Balance Sheet</t>
        </is>
      </c>
    </row>
    <row r="1732">
      <c r="B1732" s="39" t="n">
        <v>46221</v>
      </c>
      <c r="C1732" s="3" t="inlineStr">
        <is>
          <t>Payment</t>
        </is>
      </c>
      <c r="D1732" s="3" t="inlineStr"/>
      <c r="E1732" s="3" t="inlineStr">
        <is>
          <t>Vantrelle Health Plan</t>
        </is>
      </c>
      <c r="F1732" s="3" t="inlineStr">
        <is>
          <t>Remittance applied</t>
        </is>
      </c>
      <c r="G1732" s="3" t="inlineStr">
        <is>
          <t>Checking – Operating</t>
        </is>
      </c>
      <c r="H1732" s="3" t="inlineStr">
        <is>
          <t>Accounts Receivable</t>
        </is>
      </c>
      <c r="I1732" s="33" t="n">
        <v>-107870.07</v>
      </c>
      <c r="J1732" s="13">
        <f>+J1731+I1732</f>
        <v>143794.2</v>
      </c>
      <c r="K1732" s="19">
        <f>+EOMONTH(B1732,0)</f>
        <v>46234</v>
      </c>
      <c r="L1732" s="3" t="inlineStr">
        <is>
          <t>Accounts Receivable</t>
        </is>
      </c>
      <c r="M1732" s="3" t="inlineStr">
        <is>
          <t>Balance Sheet</t>
        </is>
      </c>
    </row>
    <row r="1733">
      <c r="B1733" s="39" t="n">
        <v>46222</v>
      </c>
      <c r="C1733" s="3" t="inlineStr">
        <is>
          <t>Payment</t>
        </is>
      </c>
      <c r="D1733" s="3" t="inlineStr"/>
      <c r="E1733" s="3" t="inlineStr">
        <is>
          <t>Quayside Choice Senior Plan</t>
        </is>
      </c>
      <c r="F1733" s="3" t="inlineStr">
        <is>
          <t>Remittance applied</t>
        </is>
      </c>
      <c r="G1733" s="3" t="inlineStr">
        <is>
          <t>Checking – Operating</t>
        </is>
      </c>
      <c r="H1733" s="3" t="inlineStr">
        <is>
          <t>Accounts Receivable</t>
        </is>
      </c>
      <c r="I1733" s="33" t="n">
        <v>-57741.43</v>
      </c>
      <c r="J1733" s="13">
        <f>+J1732+I1733</f>
        <v>86052.7700000005</v>
      </c>
      <c r="K1733" s="19">
        <f>+EOMONTH(B1733,0)</f>
        <v>46234</v>
      </c>
      <c r="L1733" s="3" t="inlineStr">
        <is>
          <t>Accounts Receivable</t>
        </is>
      </c>
      <c r="M1733" s="3" t="inlineStr">
        <is>
          <t>Balance Sheet</t>
        </is>
      </c>
    </row>
    <row r="1734">
      <c r="B1734" s="39" t="n">
        <v>46229</v>
      </c>
      <c r="C1734" s="3" t="inlineStr">
        <is>
          <t>Payment</t>
        </is>
      </c>
      <c r="D1734" s="3" t="inlineStr"/>
      <c r="E1734" s="3" t="inlineStr">
        <is>
          <t>Marrowby Mutual</t>
        </is>
      </c>
      <c r="F1734" s="3" t="inlineStr">
        <is>
          <t>Remittance applied</t>
        </is>
      </c>
      <c r="G1734" s="3" t="inlineStr">
        <is>
          <t>Checking – Operating</t>
        </is>
      </c>
      <c r="H1734" s="3" t="inlineStr">
        <is>
          <t>Accounts Receivable</t>
        </is>
      </c>
      <c r="I1734" s="33" t="n">
        <v>-74495.09</v>
      </c>
      <c r="J1734" s="13">
        <f>+J1733+I1734</f>
        <v>11557.6800000005</v>
      </c>
      <c r="K1734" s="19">
        <f>+EOMONTH(B1734,0)</f>
        <v>46234</v>
      </c>
      <c r="L1734" s="3" t="inlineStr">
        <is>
          <t>Accounts Receivable</t>
        </is>
      </c>
      <c r="M1734" s="3" t="inlineStr">
        <is>
          <t>Balance Sheet</t>
        </is>
      </c>
    </row>
    <row r="1735">
      <c r="B1735" s="39" t="n">
        <v>46234</v>
      </c>
      <c r="C1735" s="3" t="inlineStr">
        <is>
          <t>Payment</t>
        </is>
      </c>
      <c r="D1735" s="3" t="inlineStr"/>
      <c r="E1735" s="3" t="inlineStr">
        <is>
          <t>Silvermoss Senior Living</t>
        </is>
      </c>
      <c r="F1735" s="3" t="inlineStr">
        <is>
          <t>Remittance applied</t>
        </is>
      </c>
      <c r="G1735" s="3" t="inlineStr">
        <is>
          <t>Checking – Operating</t>
        </is>
      </c>
      <c r="H1735" s="3" t="inlineStr">
        <is>
          <t>Accounts Receivable</t>
        </is>
      </c>
      <c r="I1735" s="33" t="n">
        <v>-48655.58</v>
      </c>
      <c r="J1735" s="13">
        <f>+J1734+I1735</f>
        <v>-37097.8999999995</v>
      </c>
      <c r="K1735" s="19">
        <f>+EOMONTH(B1735,0)</f>
        <v>46234</v>
      </c>
      <c r="L1735" s="3" t="inlineStr">
        <is>
          <t>Accounts Receivable</t>
        </is>
      </c>
      <c r="M1735" s="3" t="inlineStr">
        <is>
          <t>Balance Sheet</t>
        </is>
      </c>
    </row>
    <row r="1736">
      <c r="B1736" s="39" t="n">
        <v>46235</v>
      </c>
      <c r="C1736" s="3" t="inlineStr">
        <is>
          <t>Invoice</t>
        </is>
      </c>
      <c r="D1736" s="3" t="inlineStr">
        <is>
          <t>INV-26060</t>
        </is>
      </c>
      <c r="E1736" s="3" t="inlineStr">
        <is>
          <t>Federal Program A</t>
        </is>
      </c>
      <c r="F1736" s="3" t="inlineStr">
        <is>
          <t>Claims batch – August</t>
        </is>
      </c>
      <c r="G1736" s="3" t="inlineStr">
        <is>
          <t>Service Income</t>
        </is>
      </c>
      <c r="H1736" s="3" t="inlineStr">
        <is>
          <t>Accounts Receivable</t>
        </is>
      </c>
      <c r="I1736" s="33" t="n">
        <v>202079.36</v>
      </c>
      <c r="J1736" s="13">
        <f>+J1735+I1736</f>
        <v>164981.46</v>
      </c>
      <c r="K1736" s="19">
        <f>+EOMONTH(B1736,0)</f>
        <v>46265</v>
      </c>
      <c r="L1736" s="3" t="inlineStr">
        <is>
          <t>Accounts Receivable</t>
        </is>
      </c>
      <c r="M1736" s="3" t="inlineStr">
        <is>
          <t>Balance Sheet</t>
        </is>
      </c>
    </row>
    <row r="1737">
      <c r="B1737" s="39" t="n">
        <v>46235</v>
      </c>
      <c r="C1737" s="3" t="inlineStr">
        <is>
          <t>Payment</t>
        </is>
      </c>
      <c r="D1737" s="3" t="inlineStr"/>
      <c r="E1737" s="3" t="inlineStr">
        <is>
          <t>Federal Program A</t>
        </is>
      </c>
      <c r="F1737" s="3" t="inlineStr">
        <is>
          <t>Remittance applied</t>
        </is>
      </c>
      <c r="G1737" s="3" t="inlineStr">
        <is>
          <t>Checking – Operating</t>
        </is>
      </c>
      <c r="H1737" s="3" t="inlineStr">
        <is>
          <t>Accounts Receivable</t>
        </is>
      </c>
      <c r="I1737" s="33" t="n">
        <v>-84806.14999999999</v>
      </c>
      <c r="J1737" s="13">
        <f>+J1736+I1737</f>
        <v>80175.3100000004</v>
      </c>
      <c r="K1737" s="19">
        <f>+EOMONTH(B1737,0)</f>
        <v>46265</v>
      </c>
      <c r="L1737" s="3" t="inlineStr">
        <is>
          <t>Accounts Receivable</t>
        </is>
      </c>
      <c r="M1737" s="3" t="inlineStr">
        <is>
          <t>Balance Sheet</t>
        </is>
      </c>
    </row>
    <row r="1738">
      <c r="B1738" s="39" t="n">
        <v>46235</v>
      </c>
      <c r="C1738" s="3" t="inlineStr">
        <is>
          <t>Payment</t>
        </is>
      </c>
      <c r="D1738" s="3" t="inlineStr"/>
      <c r="E1738" s="3" t="inlineStr">
        <is>
          <t>Cobaltmere Health</t>
        </is>
      </c>
      <c r="F1738" s="3" t="inlineStr">
        <is>
          <t>Remittance applied</t>
        </is>
      </c>
      <c r="G1738" s="3" t="inlineStr">
        <is>
          <t>Checking – Operating</t>
        </is>
      </c>
      <c r="H1738" s="3" t="inlineStr">
        <is>
          <t>Accounts Receivable</t>
        </is>
      </c>
      <c r="I1738" s="33" t="n">
        <v>-16692.26</v>
      </c>
      <c r="J1738" s="13">
        <f>+J1737+I1738</f>
        <v>63483.0500000004</v>
      </c>
      <c r="K1738" s="19">
        <f>+EOMONTH(B1738,0)</f>
        <v>46265</v>
      </c>
      <c r="L1738" s="3" t="inlineStr">
        <is>
          <t>Accounts Receivable</t>
        </is>
      </c>
      <c r="M1738" s="3" t="inlineStr">
        <is>
          <t>Balance Sheet</t>
        </is>
      </c>
    </row>
    <row r="1739">
      <c r="B1739" s="39" t="n">
        <v>46236</v>
      </c>
      <c r="C1739" s="3" t="inlineStr">
        <is>
          <t>Payment</t>
        </is>
      </c>
      <c r="D1739" s="3" t="inlineStr"/>
      <c r="E1739" s="3" t="inlineStr">
        <is>
          <t>Vantrelle Health Plan</t>
        </is>
      </c>
      <c r="F1739" s="3" t="inlineStr">
        <is>
          <t>Remittance applied</t>
        </is>
      </c>
      <c r="G1739" s="3" t="inlineStr">
        <is>
          <t>Checking – Operating</t>
        </is>
      </c>
      <c r="H1739" s="3" t="inlineStr">
        <is>
          <t>Accounts Receivable</t>
        </is>
      </c>
      <c r="I1739" s="33" t="n">
        <v>-112611.21</v>
      </c>
      <c r="J1739" s="13">
        <f>+J1738+I1739</f>
        <v>-49128.1599999996</v>
      </c>
      <c r="K1739" s="19">
        <f>+EOMONTH(B1739,0)</f>
        <v>46265</v>
      </c>
      <c r="L1739" s="3" t="inlineStr">
        <is>
          <t>Accounts Receivable</t>
        </is>
      </c>
      <c r="M1739" s="3" t="inlineStr">
        <is>
          <t>Balance Sheet</t>
        </is>
      </c>
    </row>
    <row r="1740">
      <c r="B1740" s="39" t="n">
        <v>46237</v>
      </c>
      <c r="C1740" s="3" t="inlineStr">
        <is>
          <t>Invoice</t>
        </is>
      </c>
      <c r="D1740" s="3" t="inlineStr">
        <is>
          <t>INV-26062</t>
        </is>
      </c>
      <c r="E1740" s="3" t="inlineStr">
        <is>
          <t>Silvermoss Senior Living</t>
        </is>
      </c>
      <c r="F1740" s="3" t="inlineStr">
        <is>
          <t>Claims batch – August</t>
        </is>
      </c>
      <c r="G1740" s="3" t="inlineStr">
        <is>
          <t>Service Income</t>
        </is>
      </c>
      <c r="H1740" s="3" t="inlineStr">
        <is>
          <t>Accounts Receivable</t>
        </is>
      </c>
      <c r="I1740" s="33" t="n">
        <v>95471.03</v>
      </c>
      <c r="J1740" s="13">
        <f>+J1739+I1740</f>
        <v>46342.8700000004</v>
      </c>
      <c r="K1740" s="19">
        <f>+EOMONTH(B1740,0)</f>
        <v>46265</v>
      </c>
      <c r="L1740" s="3" t="inlineStr">
        <is>
          <t>Accounts Receivable</t>
        </is>
      </c>
      <c r="M1740" s="3" t="inlineStr">
        <is>
          <t>Balance Sheet</t>
        </is>
      </c>
    </row>
    <row r="1741">
      <c r="B1741" s="39" t="n">
        <v>46237</v>
      </c>
      <c r="C1741" s="3" t="inlineStr">
        <is>
          <t>Invoice</t>
        </is>
      </c>
      <c r="D1741" s="3" t="inlineStr">
        <is>
          <t>INV-26064</t>
        </is>
      </c>
      <c r="E1741" s="3" t="inlineStr">
        <is>
          <t>Quayside Choice Senior Plan</t>
        </is>
      </c>
      <c r="F1741" s="3" t="inlineStr">
        <is>
          <t>Claims batch – August</t>
        </is>
      </c>
      <c r="G1741" s="3" t="inlineStr">
        <is>
          <t>Service Income</t>
        </is>
      </c>
      <c r="H1741" s="3" t="inlineStr">
        <is>
          <t>Accounts Receivable</t>
        </is>
      </c>
      <c r="I1741" s="33" t="n">
        <v>124048.76</v>
      </c>
      <c r="J1741" s="13">
        <f>+J1740+I1741</f>
        <v>170391.63</v>
      </c>
      <c r="K1741" s="19">
        <f>+EOMONTH(B1741,0)</f>
        <v>46265</v>
      </c>
      <c r="L1741" s="3" t="inlineStr">
        <is>
          <t>Accounts Receivable</t>
        </is>
      </c>
      <c r="M1741" s="3" t="inlineStr">
        <is>
          <t>Balance Sheet</t>
        </is>
      </c>
    </row>
    <row r="1742">
      <c r="B1742" s="39" t="n">
        <v>46237</v>
      </c>
      <c r="C1742" s="3" t="inlineStr">
        <is>
          <t>Invoice</t>
        </is>
      </c>
      <c r="D1742" s="3" t="inlineStr">
        <is>
          <t>INV-26065</t>
        </is>
      </c>
      <c r="E1742" s="3" t="inlineStr">
        <is>
          <t>Cobaltmere Health</t>
        </is>
      </c>
      <c r="F1742" s="3" t="inlineStr">
        <is>
          <t>Claims batch – August</t>
        </is>
      </c>
      <c r="G1742" s="3" t="inlineStr">
        <is>
          <t>Service Income</t>
        </is>
      </c>
      <c r="H1742" s="3" t="inlineStr">
        <is>
          <t>Accounts Receivable</t>
        </is>
      </c>
      <c r="I1742" s="33" t="n">
        <v>71552.13</v>
      </c>
      <c r="J1742" s="13">
        <f>+J1741+I1742</f>
        <v>241943.76</v>
      </c>
      <c r="K1742" s="19">
        <f>+EOMONTH(B1742,0)</f>
        <v>46265</v>
      </c>
      <c r="L1742" s="3" t="inlineStr">
        <is>
          <t>Accounts Receivable</t>
        </is>
      </c>
      <c r="M1742" s="3" t="inlineStr">
        <is>
          <t>Balance Sheet</t>
        </is>
      </c>
    </row>
    <row r="1743">
      <c r="B1743" s="39" t="n">
        <v>46237</v>
      </c>
      <c r="C1743" s="3" t="inlineStr">
        <is>
          <t>Payment</t>
        </is>
      </c>
      <c r="D1743" s="3" t="inlineStr"/>
      <c r="E1743" s="3" t="inlineStr">
        <is>
          <t>Marrowby Mutual</t>
        </is>
      </c>
      <c r="F1743" s="3" t="inlineStr">
        <is>
          <t>Remittance applied</t>
        </is>
      </c>
      <c r="G1743" s="3" t="inlineStr">
        <is>
          <t>Checking – Operating</t>
        </is>
      </c>
      <c r="H1743" s="3" t="inlineStr">
        <is>
          <t>Accounts Receivable</t>
        </is>
      </c>
      <c r="I1743" s="33" t="n">
        <v>-72425.28</v>
      </c>
      <c r="J1743" s="13">
        <f>+J1742+I1743</f>
        <v>169518.48</v>
      </c>
      <c r="K1743" s="19">
        <f>+EOMONTH(B1743,0)</f>
        <v>46265</v>
      </c>
      <c r="L1743" s="3" t="inlineStr">
        <is>
          <t>Accounts Receivable</t>
        </is>
      </c>
      <c r="M1743" s="3" t="inlineStr">
        <is>
          <t>Balance Sheet</t>
        </is>
      </c>
    </row>
    <row r="1744">
      <c r="B1744" s="39" t="n">
        <v>46238</v>
      </c>
      <c r="C1744" s="3" t="inlineStr">
        <is>
          <t>Payment</t>
        </is>
      </c>
      <c r="D1744" s="3" t="inlineStr"/>
      <c r="E1744" s="3" t="inlineStr">
        <is>
          <t>Federal Program A</t>
        </is>
      </c>
      <c r="F1744" s="3" t="inlineStr">
        <is>
          <t>Remittance applied</t>
        </is>
      </c>
      <c r="G1744" s="3" t="inlineStr">
        <is>
          <t>Checking – Operating</t>
        </is>
      </c>
      <c r="H1744" s="3" t="inlineStr">
        <is>
          <t>Accounts Receivable</t>
        </is>
      </c>
      <c r="I1744" s="33" t="n">
        <v>-134271.9</v>
      </c>
      <c r="J1744" s="13">
        <f>+J1743+I1744</f>
        <v>35246.5800000004</v>
      </c>
      <c r="K1744" s="19">
        <f>+EOMONTH(B1744,0)</f>
        <v>46265</v>
      </c>
      <c r="L1744" s="3" t="inlineStr">
        <is>
          <t>Accounts Receivable</t>
        </is>
      </c>
      <c r="M1744" s="3" t="inlineStr">
        <is>
          <t>Balance Sheet</t>
        </is>
      </c>
    </row>
    <row r="1745">
      <c r="B1745" s="39" t="n">
        <v>46238</v>
      </c>
      <c r="C1745" s="3" t="inlineStr">
        <is>
          <t>Payment</t>
        </is>
      </c>
      <c r="D1745" s="3" t="inlineStr"/>
      <c r="E1745" s="3" t="inlineStr">
        <is>
          <t>Lanternway Benefits</t>
        </is>
      </c>
      <c r="F1745" s="3" t="inlineStr">
        <is>
          <t>Remittance applied</t>
        </is>
      </c>
      <c r="G1745" s="3" t="inlineStr">
        <is>
          <t>Checking – Operating</t>
        </is>
      </c>
      <c r="H1745" s="3" t="inlineStr">
        <is>
          <t>Accounts Receivable</t>
        </is>
      </c>
      <c r="I1745" s="33" t="n">
        <v>-43013.83</v>
      </c>
      <c r="J1745" s="13">
        <f>+J1744+I1745</f>
        <v>-7767.24999999958</v>
      </c>
      <c r="K1745" s="19">
        <f>+EOMONTH(B1745,0)</f>
        <v>46265</v>
      </c>
      <c r="L1745" s="3" t="inlineStr">
        <is>
          <t>Accounts Receivable</t>
        </is>
      </c>
      <c r="M1745" s="3" t="inlineStr">
        <is>
          <t>Balance Sheet</t>
        </is>
      </c>
    </row>
    <row r="1746">
      <c r="B1746" s="39" t="n">
        <v>46239</v>
      </c>
      <c r="C1746" s="3" t="inlineStr">
        <is>
          <t>Invoice</t>
        </is>
      </c>
      <c r="D1746" s="3" t="inlineStr">
        <is>
          <t>INV-26059</t>
        </is>
      </c>
      <c r="E1746" s="3" t="inlineStr">
        <is>
          <t>Marrowby Mutual</t>
        </is>
      </c>
      <c r="F1746" s="3" t="inlineStr">
        <is>
          <t>Claims batch – August</t>
        </is>
      </c>
      <c r="G1746" s="3" t="inlineStr">
        <is>
          <t>Service Income</t>
        </is>
      </c>
      <c r="H1746" s="3" t="inlineStr">
        <is>
          <t>Accounts Receivable</t>
        </is>
      </c>
      <c r="I1746" s="33" t="n">
        <v>178337.74</v>
      </c>
      <c r="J1746" s="13">
        <f>+J1745+I1746</f>
        <v>170570.49</v>
      </c>
      <c r="K1746" s="19">
        <f>+EOMONTH(B1746,0)</f>
        <v>46265</v>
      </c>
      <c r="L1746" s="3" t="inlineStr">
        <is>
          <t>Accounts Receivable</t>
        </is>
      </c>
      <c r="M1746" s="3" t="inlineStr">
        <is>
          <t>Balance Sheet</t>
        </is>
      </c>
    </row>
    <row r="1747">
      <c r="B1747" s="39" t="n">
        <v>46239</v>
      </c>
      <c r="C1747" s="3" t="inlineStr">
        <is>
          <t>Invoice</t>
        </is>
      </c>
      <c r="D1747" s="3" t="inlineStr">
        <is>
          <t>INV-26061</t>
        </is>
      </c>
      <c r="E1747" s="3" t="inlineStr">
        <is>
          <t>State Program B</t>
        </is>
      </c>
      <c r="F1747" s="3" t="inlineStr">
        <is>
          <t>Claims batch – August</t>
        </is>
      </c>
      <c r="G1747" s="3" t="inlineStr">
        <is>
          <t>Service Income</t>
        </is>
      </c>
      <c r="H1747" s="3" t="inlineStr">
        <is>
          <t>Accounts Receivable</t>
        </is>
      </c>
      <c r="I1747" s="33" t="n">
        <v>116518.57</v>
      </c>
      <c r="J1747" s="13">
        <f>+J1746+I1747</f>
        <v>287089.06</v>
      </c>
      <c r="K1747" s="19">
        <f>+EOMONTH(B1747,0)</f>
        <v>46265</v>
      </c>
      <c r="L1747" s="3" t="inlineStr">
        <is>
          <t>Accounts Receivable</t>
        </is>
      </c>
      <c r="M1747" s="3" t="inlineStr">
        <is>
          <t>Balance Sheet</t>
        </is>
      </c>
    </row>
    <row r="1748">
      <c r="B1748" s="39" t="n">
        <v>46240</v>
      </c>
      <c r="C1748" s="3" t="inlineStr">
        <is>
          <t>Payment</t>
        </is>
      </c>
      <c r="D1748" s="3" t="inlineStr"/>
      <c r="E1748" s="3" t="inlineStr">
        <is>
          <t>Quayside Choice Senior Plan</t>
        </is>
      </c>
      <c r="F1748" s="3" t="inlineStr">
        <is>
          <t>Remittance applied</t>
        </is>
      </c>
      <c r="G1748" s="3" t="inlineStr">
        <is>
          <t>Checking – Operating</t>
        </is>
      </c>
      <c r="H1748" s="3" t="inlineStr">
        <is>
          <t>Accounts Receivable</t>
        </is>
      </c>
      <c r="I1748" s="33" t="n">
        <v>-75370.64999999999</v>
      </c>
      <c r="J1748" s="13">
        <f>+J1747+I1748</f>
        <v>211718.41</v>
      </c>
      <c r="K1748" s="19">
        <f>+EOMONTH(B1748,0)</f>
        <v>46265</v>
      </c>
      <c r="L1748" s="3" t="inlineStr">
        <is>
          <t>Accounts Receivable</t>
        </is>
      </c>
      <c r="M1748" s="3" t="inlineStr">
        <is>
          <t>Balance Sheet</t>
        </is>
      </c>
    </row>
    <row r="1749">
      <c r="B1749" s="39" t="n">
        <v>46241</v>
      </c>
      <c r="C1749" s="3" t="inlineStr">
        <is>
          <t>Invoice</t>
        </is>
      </c>
      <c r="D1749" s="3" t="inlineStr">
        <is>
          <t>INV-26058</t>
        </is>
      </c>
      <c r="E1749" s="3" t="inlineStr">
        <is>
          <t>Vantrelle Health Plan</t>
        </is>
      </c>
      <c r="F1749" s="3" t="inlineStr">
        <is>
          <t>Claims batch – August</t>
        </is>
      </c>
      <c r="G1749" s="3" t="inlineStr">
        <is>
          <t>Service Income</t>
        </is>
      </c>
      <c r="H1749" s="3" t="inlineStr">
        <is>
          <t>Accounts Receivable</t>
        </is>
      </c>
      <c r="I1749" s="33" t="n">
        <v>276049.83</v>
      </c>
      <c r="J1749" s="13">
        <f>+J1748+I1749</f>
        <v>487768.24</v>
      </c>
      <c r="K1749" s="19">
        <f>+EOMONTH(B1749,0)</f>
        <v>46265</v>
      </c>
      <c r="L1749" s="3" t="inlineStr">
        <is>
          <t>Accounts Receivable</t>
        </is>
      </c>
      <c r="M1749" s="3" t="inlineStr">
        <is>
          <t>Balance Sheet</t>
        </is>
      </c>
    </row>
    <row r="1750">
      <c r="B1750" s="39" t="n">
        <v>46242</v>
      </c>
      <c r="C1750" s="3" t="inlineStr">
        <is>
          <t>Invoice</t>
        </is>
      </c>
      <c r="D1750" s="3" t="inlineStr">
        <is>
          <t>INV-26063</t>
        </is>
      </c>
      <c r="E1750" s="3" t="inlineStr">
        <is>
          <t>Lanternway Benefits</t>
        </is>
      </c>
      <c r="F1750" s="3" t="inlineStr">
        <is>
          <t>Claims batch – August</t>
        </is>
      </c>
      <c r="G1750" s="3" t="inlineStr">
        <is>
          <t>Service Income</t>
        </is>
      </c>
      <c r="H1750" s="3" t="inlineStr">
        <is>
          <t>Accounts Receivable</t>
        </is>
      </c>
      <c r="I1750" s="33" t="n">
        <v>119195.74</v>
      </c>
      <c r="J1750" s="13">
        <f>+J1749+I1750</f>
        <v>606963.98</v>
      </c>
      <c r="K1750" s="19">
        <f>+EOMONTH(B1750,0)</f>
        <v>46265</v>
      </c>
      <c r="L1750" s="3" t="inlineStr">
        <is>
          <t>Accounts Receivable</t>
        </is>
      </c>
      <c r="M1750" s="3" t="inlineStr">
        <is>
          <t>Balance Sheet</t>
        </is>
      </c>
    </row>
    <row r="1751">
      <c r="B1751" s="39" t="n">
        <v>46242</v>
      </c>
      <c r="C1751" s="3" t="inlineStr">
        <is>
          <t>Payment</t>
        </is>
      </c>
      <c r="D1751" s="3" t="inlineStr"/>
      <c r="E1751" s="3" t="inlineStr">
        <is>
          <t>Cobaltmere Health</t>
        </is>
      </c>
      <c r="F1751" s="3" t="inlineStr">
        <is>
          <t>Remittance applied</t>
        </is>
      </c>
      <c r="G1751" s="3" t="inlineStr">
        <is>
          <t>Checking – Operating</t>
        </is>
      </c>
      <c r="H1751" s="3" t="inlineStr">
        <is>
          <t>Accounts Receivable</t>
        </is>
      </c>
      <c r="I1751" s="33" t="n">
        <v>-28601.68</v>
      </c>
      <c r="J1751" s="13">
        <f>+J1750+I1751</f>
        <v>578362.3</v>
      </c>
      <c r="K1751" s="19">
        <f>+EOMONTH(B1751,0)</f>
        <v>46265</v>
      </c>
      <c r="L1751" s="3" t="inlineStr">
        <is>
          <t>Accounts Receivable</t>
        </is>
      </c>
      <c r="M1751" s="3" t="inlineStr">
        <is>
          <t>Balance Sheet</t>
        </is>
      </c>
    </row>
    <row r="1752">
      <c r="B1752" s="39" t="n">
        <v>46247</v>
      </c>
      <c r="C1752" s="3" t="inlineStr">
        <is>
          <t>Payment</t>
        </is>
      </c>
      <c r="D1752" s="3" t="inlineStr"/>
      <c r="E1752" s="3" t="inlineStr">
        <is>
          <t>Marrowby Mutual</t>
        </is>
      </c>
      <c r="F1752" s="3" t="inlineStr">
        <is>
          <t>Remittance applied</t>
        </is>
      </c>
      <c r="G1752" s="3" t="inlineStr">
        <is>
          <t>Checking – Operating</t>
        </is>
      </c>
      <c r="H1752" s="3" t="inlineStr">
        <is>
          <t>Accounts Receivable</t>
        </is>
      </c>
      <c r="I1752" s="33" t="n">
        <v>-97968.75999999999</v>
      </c>
      <c r="J1752" s="13">
        <f>+J1751+I1752</f>
        <v>480393.54</v>
      </c>
      <c r="K1752" s="19">
        <f>+EOMONTH(B1752,0)</f>
        <v>46265</v>
      </c>
      <c r="L1752" s="3" t="inlineStr">
        <is>
          <t>Accounts Receivable</t>
        </is>
      </c>
      <c r="M1752" s="3" t="inlineStr">
        <is>
          <t>Balance Sheet</t>
        </is>
      </c>
    </row>
    <row r="1753">
      <c r="B1753" s="39" t="n">
        <v>46249</v>
      </c>
      <c r="C1753" s="3" t="inlineStr">
        <is>
          <t>Payment</t>
        </is>
      </c>
      <c r="D1753" s="3" t="inlineStr"/>
      <c r="E1753" s="3" t="inlineStr">
        <is>
          <t>Silvermoss Senior Living</t>
        </is>
      </c>
      <c r="F1753" s="3" t="inlineStr">
        <is>
          <t>Remittance applied</t>
        </is>
      </c>
      <c r="G1753" s="3" t="inlineStr">
        <is>
          <t>Checking – Operating</t>
        </is>
      </c>
      <c r="H1753" s="3" t="inlineStr">
        <is>
          <t>Accounts Receivable</t>
        </is>
      </c>
      <c r="I1753" s="33" t="n">
        <v>-20809.24</v>
      </c>
      <c r="J1753" s="13">
        <f>+J1752+I1753</f>
        <v>459584.3</v>
      </c>
      <c r="K1753" s="19">
        <f>+EOMONTH(B1753,0)</f>
        <v>46265</v>
      </c>
      <c r="L1753" s="3" t="inlineStr">
        <is>
          <t>Accounts Receivable</t>
        </is>
      </c>
      <c r="M1753" s="3" t="inlineStr">
        <is>
          <t>Balance Sheet</t>
        </is>
      </c>
    </row>
    <row r="1754">
      <c r="B1754" s="39" t="n">
        <v>46251</v>
      </c>
      <c r="C1754" s="3" t="inlineStr">
        <is>
          <t>Payment</t>
        </is>
      </c>
      <c r="D1754" s="3" t="inlineStr"/>
      <c r="E1754" s="3" t="inlineStr">
        <is>
          <t>Silvermoss Senior Living</t>
        </is>
      </c>
      <c r="F1754" s="3" t="inlineStr">
        <is>
          <t>Remittance applied</t>
        </is>
      </c>
      <c r="G1754" s="3" t="inlineStr">
        <is>
          <t>Checking – Operating</t>
        </is>
      </c>
      <c r="H1754" s="3" t="inlineStr">
        <is>
          <t>Accounts Receivable</t>
        </is>
      </c>
      <c r="I1754" s="33" t="n">
        <v>-32708.27</v>
      </c>
      <c r="J1754" s="13">
        <f>+J1753+I1754</f>
        <v>426876.03</v>
      </c>
      <c r="K1754" s="19">
        <f>+EOMONTH(B1754,0)</f>
        <v>46265</v>
      </c>
      <c r="L1754" s="3" t="inlineStr">
        <is>
          <t>Accounts Receivable</t>
        </is>
      </c>
      <c r="M1754" s="3" t="inlineStr">
        <is>
          <t>Balance Sheet</t>
        </is>
      </c>
    </row>
    <row r="1755">
      <c r="B1755" s="39" t="n">
        <v>46254</v>
      </c>
      <c r="C1755" s="3" t="inlineStr">
        <is>
          <t>Payment</t>
        </is>
      </c>
      <c r="D1755" s="3" t="inlineStr"/>
      <c r="E1755" s="3" t="inlineStr">
        <is>
          <t>State Program B</t>
        </is>
      </c>
      <c r="F1755" s="3" t="inlineStr">
        <is>
          <t>Remittance applied</t>
        </is>
      </c>
      <c r="G1755" s="3" t="inlineStr">
        <is>
          <t>Checking – Operating</t>
        </is>
      </c>
      <c r="H1755" s="3" t="inlineStr">
        <is>
          <t>Accounts Receivable</t>
        </is>
      </c>
      <c r="I1755" s="33" t="n">
        <v>-44740.02</v>
      </c>
      <c r="J1755" s="13">
        <f>+J1754+I1755</f>
        <v>382136.01</v>
      </c>
      <c r="K1755" s="19">
        <f>+EOMONTH(B1755,0)</f>
        <v>46265</v>
      </c>
      <c r="L1755" s="3" t="inlineStr">
        <is>
          <t>Accounts Receivable</t>
        </is>
      </c>
      <c r="M1755" s="3" t="inlineStr">
        <is>
          <t>Balance Sheet</t>
        </is>
      </c>
    </row>
    <row r="1756">
      <c r="B1756" s="39" t="n">
        <v>46255</v>
      </c>
      <c r="C1756" s="3" t="inlineStr">
        <is>
          <t>Payment</t>
        </is>
      </c>
      <c r="D1756" s="3" t="inlineStr"/>
      <c r="E1756" s="3" t="inlineStr">
        <is>
          <t>State Program B</t>
        </is>
      </c>
      <c r="F1756" s="3" t="inlineStr">
        <is>
          <t>Remittance applied</t>
        </is>
      </c>
      <c r="G1756" s="3" t="inlineStr">
        <is>
          <t>Checking – Operating</t>
        </is>
      </c>
      <c r="H1756" s="3" t="inlineStr">
        <is>
          <t>Accounts Receivable</t>
        </is>
      </c>
      <c r="I1756" s="33" t="n">
        <v>-64799.01</v>
      </c>
      <c r="J1756" s="13">
        <f>+J1755+I1756</f>
        <v>317337</v>
      </c>
      <c r="K1756" s="19">
        <f>+EOMONTH(B1756,0)</f>
        <v>46265</v>
      </c>
      <c r="L1756" s="3" t="inlineStr">
        <is>
          <t>Accounts Receivable</t>
        </is>
      </c>
      <c r="M1756" s="3" t="inlineStr">
        <is>
          <t>Balance Sheet</t>
        </is>
      </c>
    </row>
    <row r="1757">
      <c r="B1757" s="39" t="n">
        <v>46255</v>
      </c>
      <c r="C1757" s="3" t="inlineStr">
        <is>
          <t>Payment</t>
        </is>
      </c>
      <c r="D1757" s="3" t="inlineStr"/>
      <c r="E1757" s="3" t="inlineStr">
        <is>
          <t>Lanternway Benefits</t>
        </is>
      </c>
      <c r="F1757" s="3" t="inlineStr">
        <is>
          <t>Remittance applied</t>
        </is>
      </c>
      <c r="G1757" s="3" t="inlineStr">
        <is>
          <t>Checking – Operating</t>
        </is>
      </c>
      <c r="H1757" s="3" t="inlineStr">
        <is>
          <t>Accounts Receivable</t>
        </is>
      </c>
      <c r="I1757" s="33" t="n">
        <v>-31917.93</v>
      </c>
      <c r="J1757" s="13">
        <f>+J1756+I1757</f>
        <v>285419.07</v>
      </c>
      <c r="K1757" s="19">
        <f>+EOMONTH(B1757,0)</f>
        <v>46265</v>
      </c>
      <c r="L1757" s="3" t="inlineStr">
        <is>
          <t>Accounts Receivable</t>
        </is>
      </c>
      <c r="M1757" s="3" t="inlineStr">
        <is>
          <t>Balance Sheet</t>
        </is>
      </c>
    </row>
    <row r="1758">
      <c r="B1758" s="39" t="n">
        <v>46256</v>
      </c>
      <c r="C1758" s="3" t="inlineStr">
        <is>
          <t>Payment</t>
        </is>
      </c>
      <c r="D1758" s="3" t="inlineStr"/>
      <c r="E1758" s="3" t="inlineStr">
        <is>
          <t>Silvermoss Senior Living</t>
        </is>
      </c>
      <c r="F1758" s="3" t="inlineStr">
        <is>
          <t>Remittance applied</t>
        </is>
      </c>
      <c r="G1758" s="3" t="inlineStr">
        <is>
          <t>Checking – Operating</t>
        </is>
      </c>
      <c r="H1758" s="3" t="inlineStr">
        <is>
          <t>Accounts Receivable</t>
        </is>
      </c>
      <c r="I1758" s="33" t="n">
        <v>-43850.51</v>
      </c>
      <c r="J1758" s="13">
        <f>+J1757+I1758</f>
        <v>241568.56</v>
      </c>
      <c r="K1758" s="19">
        <f>+EOMONTH(B1758,0)</f>
        <v>46265</v>
      </c>
      <c r="L1758" s="3" t="inlineStr">
        <is>
          <t>Accounts Receivable</t>
        </is>
      </c>
      <c r="M1758" s="3" t="inlineStr">
        <is>
          <t>Balance Sheet</t>
        </is>
      </c>
    </row>
    <row r="1759">
      <c r="B1759" s="39" t="n">
        <v>46258</v>
      </c>
      <c r="C1759" s="3" t="inlineStr">
        <is>
          <t>Payment</t>
        </is>
      </c>
      <c r="D1759" s="3" t="inlineStr"/>
      <c r="E1759" s="3" t="inlineStr">
        <is>
          <t>Lanternway Benefits</t>
        </is>
      </c>
      <c r="F1759" s="3" t="inlineStr">
        <is>
          <t>Remittance applied</t>
        </is>
      </c>
      <c r="G1759" s="3" t="inlineStr">
        <is>
          <t>Checking – Operating</t>
        </is>
      </c>
      <c r="H1759" s="3" t="inlineStr">
        <is>
          <t>Accounts Receivable</t>
        </is>
      </c>
      <c r="I1759" s="33" t="n">
        <v>-46778.27</v>
      </c>
      <c r="J1759" s="13">
        <f>+J1758+I1759</f>
        <v>194790.29</v>
      </c>
      <c r="K1759" s="19">
        <f>+EOMONTH(B1759,0)</f>
        <v>46265</v>
      </c>
      <c r="L1759" s="3" t="inlineStr">
        <is>
          <t>Accounts Receivable</t>
        </is>
      </c>
      <c r="M1759" s="3" t="inlineStr">
        <is>
          <t>Balance Sheet</t>
        </is>
      </c>
    </row>
    <row r="1760">
      <c r="B1760" s="39" t="n">
        <v>46261</v>
      </c>
      <c r="C1760" s="3" t="inlineStr">
        <is>
          <t>Payment</t>
        </is>
      </c>
      <c r="D1760" s="3" t="inlineStr"/>
      <c r="E1760" s="3" t="inlineStr">
        <is>
          <t>Cobaltmere Health</t>
        </is>
      </c>
      <c r="F1760" s="3" t="inlineStr">
        <is>
          <t>Remittance applied</t>
        </is>
      </c>
      <c r="G1760" s="3" t="inlineStr">
        <is>
          <t>Checking – Operating</t>
        </is>
      </c>
      <c r="H1760" s="3" t="inlineStr">
        <is>
          <t>Accounts Receivable</t>
        </is>
      </c>
      <c r="I1760" s="33" t="n">
        <v>-27732.08</v>
      </c>
      <c r="J1760" s="13">
        <f>+J1759+I1760</f>
        <v>167058.21</v>
      </c>
      <c r="K1760" s="19">
        <f>+EOMONTH(B1760,0)</f>
        <v>46265</v>
      </c>
      <c r="L1760" s="3" t="inlineStr">
        <is>
          <t>Accounts Receivable</t>
        </is>
      </c>
      <c r="M1760" s="3" t="inlineStr">
        <is>
          <t>Balance Sheet</t>
        </is>
      </c>
    </row>
    <row r="1761">
      <c r="B1761" s="39" t="n">
        <v>46263</v>
      </c>
      <c r="C1761" s="3" t="inlineStr">
        <is>
          <t>Payment</t>
        </is>
      </c>
      <c r="D1761" s="3" t="inlineStr"/>
      <c r="E1761" s="3" t="inlineStr">
        <is>
          <t>Quayside Choice Senior Plan</t>
        </is>
      </c>
      <c r="F1761" s="3" t="inlineStr">
        <is>
          <t>Remittance applied</t>
        </is>
      </c>
      <c r="G1761" s="3" t="inlineStr">
        <is>
          <t>Checking – Operating</t>
        </is>
      </c>
      <c r="H1761" s="3" t="inlineStr">
        <is>
          <t>Accounts Receivable</t>
        </is>
      </c>
      <c r="I1761" s="33" t="n">
        <v>-58510.38</v>
      </c>
      <c r="J1761" s="13">
        <f>+J1760+I1761</f>
        <v>108547.83</v>
      </c>
      <c r="K1761" s="19">
        <f>+EOMONTH(B1761,0)</f>
        <v>46265</v>
      </c>
      <c r="L1761" s="3" t="inlineStr">
        <is>
          <t>Accounts Receivable</t>
        </is>
      </c>
      <c r="M1761" s="3" t="inlineStr">
        <is>
          <t>Balance Sheet</t>
        </is>
      </c>
    </row>
    <row r="1762">
      <c r="B1762" s="39" t="n">
        <v>46264</v>
      </c>
      <c r="C1762" s="3" t="inlineStr">
        <is>
          <t>Payment</t>
        </is>
      </c>
      <c r="D1762" s="3" t="inlineStr"/>
      <c r="E1762" s="3" t="inlineStr">
        <is>
          <t>Vantrelle Health Plan</t>
        </is>
      </c>
      <c r="F1762" s="3" t="inlineStr">
        <is>
          <t>Remittance applied</t>
        </is>
      </c>
      <c r="G1762" s="3" t="inlineStr">
        <is>
          <t>Checking – Operating</t>
        </is>
      </c>
      <c r="H1762" s="3" t="inlineStr">
        <is>
          <t>Accounts Receivable</t>
        </is>
      </c>
      <c r="I1762" s="33" t="n">
        <v>-179492.86</v>
      </c>
      <c r="J1762" s="13">
        <f>+J1761+I1762</f>
        <v>-70945.0299999996</v>
      </c>
      <c r="K1762" s="19">
        <f>+EOMONTH(B1762,0)</f>
        <v>46265</v>
      </c>
      <c r="L1762" s="3" t="inlineStr">
        <is>
          <t>Accounts Receivable</t>
        </is>
      </c>
      <c r="M1762" s="3" t="inlineStr">
        <is>
          <t>Balance Sheet</t>
        </is>
      </c>
    </row>
    <row r="1763">
      <c r="B1763" s="39" t="n">
        <v>46266</v>
      </c>
      <c r="C1763" s="3" t="inlineStr">
        <is>
          <t>Invoice</t>
        </is>
      </c>
      <c r="D1763" s="3" t="inlineStr">
        <is>
          <t>INV-26067</t>
        </is>
      </c>
      <c r="E1763" s="3" t="inlineStr">
        <is>
          <t>Marrowby Mutual</t>
        </is>
      </c>
      <c r="F1763" s="3" t="inlineStr">
        <is>
          <t>Claims batch – September</t>
        </is>
      </c>
      <c r="G1763" s="3" t="inlineStr">
        <is>
          <t>Service Income</t>
        </is>
      </c>
      <c r="H1763" s="3" t="inlineStr">
        <is>
          <t>Accounts Receivable</t>
        </is>
      </c>
      <c r="I1763" s="33" t="n">
        <v>184386.74</v>
      </c>
      <c r="J1763" s="13">
        <f>+J1762+I1763</f>
        <v>113441.71</v>
      </c>
      <c r="K1763" s="19">
        <f>+EOMONTH(B1763,0)</f>
        <v>46295</v>
      </c>
      <c r="L1763" s="3" t="inlineStr">
        <is>
          <t>Accounts Receivable</t>
        </is>
      </c>
      <c r="M1763" s="3" t="inlineStr">
        <is>
          <t>Balance Sheet</t>
        </is>
      </c>
    </row>
    <row r="1764">
      <c r="B1764" s="39" t="n">
        <v>46266</v>
      </c>
      <c r="C1764" s="3" t="inlineStr">
        <is>
          <t>Invoice</t>
        </is>
      </c>
      <c r="D1764" s="3" t="inlineStr">
        <is>
          <t>INV-26073</t>
        </is>
      </c>
      <c r="E1764" s="3" t="inlineStr">
        <is>
          <t>Cobaltmere Health</t>
        </is>
      </c>
      <c r="F1764" s="3" t="inlineStr">
        <is>
          <t>Claims batch – September</t>
        </is>
      </c>
      <c r="G1764" s="3" t="inlineStr">
        <is>
          <t>Service Income</t>
        </is>
      </c>
      <c r="H1764" s="3" t="inlineStr">
        <is>
          <t>Accounts Receivable</t>
        </is>
      </c>
      <c r="I1764" s="33" t="n">
        <v>75435.83</v>
      </c>
      <c r="J1764" s="13">
        <f>+J1763+I1764</f>
        <v>188877.54</v>
      </c>
      <c r="K1764" s="19">
        <f>+EOMONTH(B1764,0)</f>
        <v>46295</v>
      </c>
      <c r="L1764" s="3" t="inlineStr">
        <is>
          <t>Accounts Receivable</t>
        </is>
      </c>
      <c r="M1764" s="3" t="inlineStr">
        <is>
          <t>Balance Sheet</t>
        </is>
      </c>
    </row>
    <row r="1765">
      <c r="B1765" s="39" t="n">
        <v>46268</v>
      </c>
      <c r="C1765" s="3" t="inlineStr">
        <is>
          <t>Payment</t>
        </is>
      </c>
      <c r="D1765" s="3" t="inlineStr"/>
      <c r="E1765" s="3" t="inlineStr">
        <is>
          <t>Federal Program A</t>
        </is>
      </c>
      <c r="F1765" s="3" t="inlineStr">
        <is>
          <t>Remittance applied</t>
        </is>
      </c>
      <c r="G1765" s="3" t="inlineStr">
        <is>
          <t>Checking – Operating</t>
        </is>
      </c>
      <c r="H1765" s="3" t="inlineStr">
        <is>
          <t>Accounts Receivable</t>
        </is>
      </c>
      <c r="I1765" s="33" t="n">
        <v>-72970.25</v>
      </c>
      <c r="J1765" s="13">
        <f>+J1764+I1765</f>
        <v>115907.29</v>
      </c>
      <c r="K1765" s="19">
        <f>+EOMONTH(B1765,0)</f>
        <v>46295</v>
      </c>
      <c r="L1765" s="3" t="inlineStr">
        <is>
          <t>Accounts Receivable</t>
        </is>
      </c>
      <c r="M1765" s="3" t="inlineStr">
        <is>
          <t>Balance Sheet</t>
        </is>
      </c>
    </row>
    <row r="1766">
      <c r="B1766" s="39" t="n">
        <v>46268</v>
      </c>
      <c r="C1766" s="3" t="inlineStr">
        <is>
          <t>Payment</t>
        </is>
      </c>
      <c r="D1766" s="3" t="inlineStr"/>
      <c r="E1766" s="3" t="inlineStr">
        <is>
          <t>Silvermoss Senior Living</t>
        </is>
      </c>
      <c r="F1766" s="3" t="inlineStr">
        <is>
          <t>Remittance applied</t>
        </is>
      </c>
      <c r="G1766" s="3" t="inlineStr">
        <is>
          <t>Checking – Operating</t>
        </is>
      </c>
      <c r="H1766" s="3" t="inlineStr">
        <is>
          <t>Accounts Receivable</t>
        </is>
      </c>
      <c r="I1766" s="33" t="n">
        <v>-35252.7</v>
      </c>
      <c r="J1766" s="13">
        <f>+J1765+I1766</f>
        <v>80654.5900000004</v>
      </c>
      <c r="K1766" s="19">
        <f>+EOMONTH(B1766,0)</f>
        <v>46295</v>
      </c>
      <c r="L1766" s="3" t="inlineStr">
        <is>
          <t>Accounts Receivable</t>
        </is>
      </c>
      <c r="M1766" s="3" t="inlineStr">
        <is>
          <t>Balance Sheet</t>
        </is>
      </c>
    </row>
    <row r="1767">
      <c r="B1767" s="39" t="n">
        <v>46269</v>
      </c>
      <c r="C1767" s="3" t="inlineStr">
        <is>
          <t>Payment</t>
        </is>
      </c>
      <c r="D1767" s="3" t="inlineStr"/>
      <c r="E1767" s="3" t="inlineStr">
        <is>
          <t>Marrowby Mutual</t>
        </is>
      </c>
      <c r="F1767" s="3" t="inlineStr">
        <is>
          <t>Remittance applied</t>
        </is>
      </c>
      <c r="G1767" s="3" t="inlineStr">
        <is>
          <t>Checking – Operating</t>
        </is>
      </c>
      <c r="H1767" s="3" t="inlineStr">
        <is>
          <t>Accounts Receivable</t>
        </is>
      </c>
      <c r="I1767" s="33" t="n">
        <v>-84277.75</v>
      </c>
      <c r="J1767" s="13">
        <f>+J1766+I1767</f>
        <v>-3623.15999999961</v>
      </c>
      <c r="K1767" s="19">
        <f>+EOMONTH(B1767,0)</f>
        <v>46295</v>
      </c>
      <c r="L1767" s="3" t="inlineStr">
        <is>
          <t>Accounts Receivable</t>
        </is>
      </c>
      <c r="M1767" s="3" t="inlineStr">
        <is>
          <t>Balance Sheet</t>
        </is>
      </c>
    </row>
    <row r="1768">
      <c r="B1768" s="39" t="n">
        <v>46270</v>
      </c>
      <c r="C1768" s="3" t="inlineStr">
        <is>
          <t>Invoice</t>
        </is>
      </c>
      <c r="D1768" s="3" t="inlineStr">
        <is>
          <t>INV-26071</t>
        </is>
      </c>
      <c r="E1768" s="3" t="inlineStr">
        <is>
          <t>Lanternway Benefits</t>
        </is>
      </c>
      <c r="F1768" s="3" t="inlineStr">
        <is>
          <t>Claims batch – September</t>
        </is>
      </c>
      <c r="G1768" s="3" t="inlineStr">
        <is>
          <t>Service Income</t>
        </is>
      </c>
      <c r="H1768" s="3" t="inlineStr">
        <is>
          <t>Accounts Receivable</t>
        </is>
      </c>
      <c r="I1768" s="33" t="n">
        <v>127953.06</v>
      </c>
      <c r="J1768" s="13">
        <f>+J1767+I1768</f>
        <v>124329.9</v>
      </c>
      <c r="K1768" s="19">
        <f>+EOMONTH(B1768,0)</f>
        <v>46295</v>
      </c>
      <c r="L1768" s="3" t="inlineStr">
        <is>
          <t>Accounts Receivable</t>
        </is>
      </c>
      <c r="M1768" s="3" t="inlineStr">
        <is>
          <t>Balance Sheet</t>
        </is>
      </c>
    </row>
    <row r="1769">
      <c r="B1769" s="39" t="n">
        <v>46270</v>
      </c>
      <c r="C1769" s="3" t="inlineStr">
        <is>
          <t>Payment</t>
        </is>
      </c>
      <c r="D1769" s="3" t="inlineStr"/>
      <c r="E1769" s="3" t="inlineStr">
        <is>
          <t>State Program B</t>
        </is>
      </c>
      <c r="F1769" s="3" t="inlineStr">
        <is>
          <t>Remittance applied</t>
        </is>
      </c>
      <c r="G1769" s="3" t="inlineStr">
        <is>
          <t>Checking – Operating</t>
        </is>
      </c>
      <c r="H1769" s="3" t="inlineStr">
        <is>
          <t>Accounts Receivable</t>
        </is>
      </c>
      <c r="I1769" s="33" t="n">
        <v>-70887.47</v>
      </c>
      <c r="J1769" s="13">
        <f>+J1768+I1769</f>
        <v>53442.4300000004</v>
      </c>
      <c r="K1769" s="19">
        <f>+EOMONTH(B1769,0)</f>
        <v>46295</v>
      </c>
      <c r="L1769" s="3" t="inlineStr">
        <is>
          <t>Accounts Receivable</t>
        </is>
      </c>
      <c r="M1769" s="3" t="inlineStr">
        <is>
          <t>Balance Sheet</t>
        </is>
      </c>
    </row>
    <row r="1770">
      <c r="B1770" s="39" t="n">
        <v>46270</v>
      </c>
      <c r="C1770" s="3" t="inlineStr">
        <is>
          <t>Payment</t>
        </is>
      </c>
      <c r="D1770" s="3" t="inlineStr"/>
      <c r="E1770" s="3" t="inlineStr">
        <is>
          <t>Quayside Choice Senior Plan</t>
        </is>
      </c>
      <c r="F1770" s="3" t="inlineStr">
        <is>
          <t>Remittance applied</t>
        </is>
      </c>
      <c r="G1770" s="3" t="inlineStr">
        <is>
          <t>Checking – Operating</t>
        </is>
      </c>
      <c r="H1770" s="3" t="inlineStr">
        <is>
          <t>Accounts Receivable</t>
        </is>
      </c>
      <c r="I1770" s="33" t="n">
        <v>-59194.89</v>
      </c>
      <c r="J1770" s="13">
        <f>+J1769+I1770</f>
        <v>-5752.45999999961</v>
      </c>
      <c r="K1770" s="19">
        <f>+EOMONTH(B1770,0)</f>
        <v>46295</v>
      </c>
      <c r="L1770" s="3" t="inlineStr">
        <is>
          <t>Accounts Receivable</t>
        </is>
      </c>
      <c r="M1770" s="3" t="inlineStr">
        <is>
          <t>Balance Sheet</t>
        </is>
      </c>
    </row>
    <row r="1771">
      <c r="B1771" s="39" t="n">
        <v>46271</v>
      </c>
      <c r="C1771" s="3" t="inlineStr">
        <is>
          <t>Invoice</t>
        </is>
      </c>
      <c r="D1771" s="3" t="inlineStr">
        <is>
          <t>INV-26070</t>
        </is>
      </c>
      <c r="E1771" s="3" t="inlineStr">
        <is>
          <t>Silvermoss Senior Living</t>
        </is>
      </c>
      <c r="F1771" s="3" t="inlineStr">
        <is>
          <t>Claims batch – September</t>
        </is>
      </c>
      <c r="G1771" s="3" t="inlineStr">
        <is>
          <t>Service Income</t>
        </is>
      </c>
      <c r="H1771" s="3" t="inlineStr">
        <is>
          <t>Accounts Receivable</t>
        </is>
      </c>
      <c r="I1771" s="33" t="n">
        <v>101307.22</v>
      </c>
      <c r="J1771" s="13">
        <f>+J1770+I1771</f>
        <v>95554.7600000004</v>
      </c>
      <c r="K1771" s="19">
        <f>+EOMONTH(B1771,0)</f>
        <v>46295</v>
      </c>
      <c r="L1771" s="3" t="inlineStr">
        <is>
          <t>Accounts Receivable</t>
        </is>
      </c>
      <c r="M1771" s="3" t="inlineStr">
        <is>
          <t>Balance Sheet</t>
        </is>
      </c>
    </row>
    <row r="1772">
      <c r="B1772" s="39" t="n">
        <v>46272</v>
      </c>
      <c r="C1772" s="3" t="inlineStr">
        <is>
          <t>Invoice</t>
        </is>
      </c>
      <c r="D1772" s="3" t="inlineStr">
        <is>
          <t>INV-26069</t>
        </is>
      </c>
      <c r="E1772" s="3" t="inlineStr">
        <is>
          <t>State Program B</t>
        </is>
      </c>
      <c r="F1772" s="3" t="inlineStr">
        <is>
          <t>Claims batch – September</t>
        </is>
      </c>
      <c r="G1772" s="3" t="inlineStr">
        <is>
          <t>Service Income</t>
        </is>
      </c>
      <c r="H1772" s="3" t="inlineStr">
        <is>
          <t>Accounts Receivable</t>
        </is>
      </c>
      <c r="I1772" s="33" t="n">
        <v>119002.92</v>
      </c>
      <c r="J1772" s="13">
        <f>+J1771+I1772</f>
        <v>214557.68</v>
      </c>
      <c r="K1772" s="19">
        <f>+EOMONTH(B1772,0)</f>
        <v>46295</v>
      </c>
      <c r="L1772" s="3" t="inlineStr">
        <is>
          <t>Accounts Receivable</t>
        </is>
      </c>
      <c r="M1772" s="3" t="inlineStr">
        <is>
          <t>Balance Sheet</t>
        </is>
      </c>
    </row>
    <row r="1773">
      <c r="B1773" s="39" t="n">
        <v>46272</v>
      </c>
      <c r="C1773" s="3" t="inlineStr">
        <is>
          <t>Invoice</t>
        </is>
      </c>
      <c r="D1773" s="3" t="inlineStr">
        <is>
          <t>INV-26072</t>
        </is>
      </c>
      <c r="E1773" s="3" t="inlineStr">
        <is>
          <t>Quayside Choice Senior Plan</t>
        </is>
      </c>
      <c r="F1773" s="3" t="inlineStr">
        <is>
          <t>Claims batch – September</t>
        </is>
      </c>
      <c r="G1773" s="3" t="inlineStr">
        <is>
          <t>Service Income</t>
        </is>
      </c>
      <c r="H1773" s="3" t="inlineStr">
        <is>
          <t>Accounts Receivable</t>
        </is>
      </c>
      <c r="I1773" s="33" t="n">
        <v>144245.44</v>
      </c>
      <c r="J1773" s="13">
        <f>+J1772+I1773</f>
        <v>358803.12</v>
      </c>
      <c r="K1773" s="19">
        <f>+EOMONTH(B1773,0)</f>
        <v>46295</v>
      </c>
      <c r="L1773" s="3" t="inlineStr">
        <is>
          <t>Accounts Receivable</t>
        </is>
      </c>
      <c r="M1773" s="3" t="inlineStr">
        <is>
          <t>Balance Sheet</t>
        </is>
      </c>
    </row>
    <row r="1774">
      <c r="B1774" s="39" t="n">
        <v>46272</v>
      </c>
      <c r="C1774" s="3" t="inlineStr">
        <is>
          <t>Payment</t>
        </is>
      </c>
      <c r="D1774" s="3" t="inlineStr"/>
      <c r="E1774" s="3" t="inlineStr">
        <is>
          <t>Silvermoss Senior Living</t>
        </is>
      </c>
      <c r="F1774" s="3" t="inlineStr">
        <is>
          <t>Remittance applied</t>
        </is>
      </c>
      <c r="G1774" s="3" t="inlineStr">
        <is>
          <t>Checking – Operating</t>
        </is>
      </c>
      <c r="H1774" s="3" t="inlineStr">
        <is>
          <t>Accounts Receivable</t>
        </is>
      </c>
      <c r="I1774" s="33" t="n">
        <v>-68400.42</v>
      </c>
      <c r="J1774" s="13">
        <f>+J1773+I1774</f>
        <v>290402.7</v>
      </c>
      <c r="K1774" s="19">
        <f>+EOMONTH(B1774,0)</f>
        <v>46295</v>
      </c>
      <c r="L1774" s="3" t="inlineStr">
        <is>
          <t>Accounts Receivable</t>
        </is>
      </c>
      <c r="M1774" s="3" t="inlineStr">
        <is>
          <t>Balance Sheet</t>
        </is>
      </c>
    </row>
    <row r="1775">
      <c r="B1775" s="39" t="n">
        <v>46273</v>
      </c>
      <c r="C1775" s="3" t="inlineStr">
        <is>
          <t>Invoice</t>
        </is>
      </c>
      <c r="D1775" s="3" t="inlineStr">
        <is>
          <t>INV-26066</t>
        </is>
      </c>
      <c r="E1775" s="3" t="inlineStr">
        <is>
          <t>Vantrelle Health Plan</t>
        </is>
      </c>
      <c r="F1775" s="3" t="inlineStr">
        <is>
          <t>Claims batch – September</t>
        </is>
      </c>
      <c r="G1775" s="3" t="inlineStr">
        <is>
          <t>Service Income</t>
        </is>
      </c>
      <c r="H1775" s="3" t="inlineStr">
        <is>
          <t>Accounts Receivable</t>
        </is>
      </c>
      <c r="I1775" s="33" t="n">
        <v>335452.85</v>
      </c>
      <c r="J1775" s="13">
        <f>+J1774+I1775</f>
        <v>625855.55</v>
      </c>
      <c r="K1775" s="19">
        <f>+EOMONTH(B1775,0)</f>
        <v>46295</v>
      </c>
      <c r="L1775" s="3" t="inlineStr">
        <is>
          <t>Accounts Receivable</t>
        </is>
      </c>
      <c r="M1775" s="3" t="inlineStr">
        <is>
          <t>Balance Sheet</t>
        </is>
      </c>
    </row>
    <row r="1776">
      <c r="B1776" s="39" t="n">
        <v>46273</v>
      </c>
      <c r="C1776" s="3" t="inlineStr">
        <is>
          <t>Invoice</t>
        </is>
      </c>
      <c r="D1776" s="3" t="inlineStr">
        <is>
          <t>INV-26068</t>
        </is>
      </c>
      <c r="E1776" s="3" t="inlineStr">
        <is>
          <t>Federal Program A</t>
        </is>
      </c>
      <c r="F1776" s="3" t="inlineStr">
        <is>
          <t>Claims batch – September</t>
        </is>
      </c>
      <c r="G1776" s="3" t="inlineStr">
        <is>
          <t>Service Income</t>
        </is>
      </c>
      <c r="H1776" s="3" t="inlineStr">
        <is>
          <t>Accounts Receivable</t>
        </is>
      </c>
      <c r="I1776" s="33" t="n">
        <v>230283.67</v>
      </c>
      <c r="J1776" s="13">
        <f>+J1775+I1776</f>
        <v>856139.22</v>
      </c>
      <c r="K1776" s="19">
        <f>+EOMONTH(B1776,0)</f>
        <v>46295</v>
      </c>
      <c r="L1776" s="3" t="inlineStr">
        <is>
          <t>Accounts Receivable</t>
        </is>
      </c>
      <c r="M1776" s="3" t="inlineStr">
        <is>
          <t>Balance Sheet</t>
        </is>
      </c>
    </row>
    <row r="1777">
      <c r="B1777" s="39" t="n">
        <v>46274</v>
      </c>
      <c r="C1777" s="3" t="inlineStr">
        <is>
          <t>Payment</t>
        </is>
      </c>
      <c r="D1777" s="3" t="inlineStr"/>
      <c r="E1777" s="3" t="inlineStr">
        <is>
          <t>Federal Program A</t>
        </is>
      </c>
      <c r="F1777" s="3" t="inlineStr">
        <is>
          <t>Remittance applied</t>
        </is>
      </c>
      <c r="G1777" s="3" t="inlineStr">
        <is>
          <t>Checking – Operating</t>
        </is>
      </c>
      <c r="H1777" s="3" t="inlineStr">
        <is>
          <t>Accounts Receivable</t>
        </is>
      </c>
      <c r="I1777" s="33" t="n">
        <v>-52653.66</v>
      </c>
      <c r="J1777" s="13">
        <f>+J1776+I1777</f>
        <v>803485.56</v>
      </c>
      <c r="K1777" s="19">
        <f>+EOMONTH(B1777,0)</f>
        <v>46295</v>
      </c>
      <c r="L1777" s="3" t="inlineStr">
        <is>
          <t>Accounts Receivable</t>
        </is>
      </c>
      <c r="M1777" s="3" t="inlineStr">
        <is>
          <t>Balance Sheet</t>
        </is>
      </c>
    </row>
    <row r="1778">
      <c r="B1778" s="39" t="n">
        <v>46276</v>
      </c>
      <c r="C1778" s="3" t="inlineStr">
        <is>
          <t>Payment</t>
        </is>
      </c>
      <c r="D1778" s="3" t="inlineStr"/>
      <c r="E1778" s="3" t="inlineStr">
        <is>
          <t>Marrowby Mutual</t>
        </is>
      </c>
      <c r="F1778" s="3" t="inlineStr">
        <is>
          <t>Remittance applied</t>
        </is>
      </c>
      <c r="G1778" s="3" t="inlineStr">
        <is>
          <t>Checking – Operating</t>
        </is>
      </c>
      <c r="H1778" s="3" t="inlineStr">
        <is>
          <t>Accounts Receivable</t>
        </is>
      </c>
      <c r="I1778" s="33" t="n">
        <v>-97115.22</v>
      </c>
      <c r="J1778" s="13">
        <f>+J1777+I1778</f>
        <v>706370.34</v>
      </c>
      <c r="K1778" s="19">
        <f>+EOMONTH(B1778,0)</f>
        <v>46295</v>
      </c>
      <c r="L1778" s="3" t="inlineStr">
        <is>
          <t>Accounts Receivable</t>
        </is>
      </c>
      <c r="M1778" s="3" t="inlineStr">
        <is>
          <t>Balance Sheet</t>
        </is>
      </c>
    </row>
    <row r="1779">
      <c r="B1779" s="39" t="n">
        <v>46280</v>
      </c>
      <c r="C1779" s="3" t="inlineStr">
        <is>
          <t>Payment</t>
        </is>
      </c>
      <c r="D1779" s="3" t="inlineStr"/>
      <c r="E1779" s="3" t="inlineStr">
        <is>
          <t>State Program B</t>
        </is>
      </c>
      <c r="F1779" s="3" t="inlineStr">
        <is>
          <t>Remittance applied</t>
        </is>
      </c>
      <c r="G1779" s="3" t="inlineStr">
        <is>
          <t>Checking – Operating</t>
        </is>
      </c>
      <c r="H1779" s="3" t="inlineStr">
        <is>
          <t>Accounts Receivable</t>
        </is>
      </c>
      <c r="I1779" s="33" t="n">
        <v>-45722.29</v>
      </c>
      <c r="J1779" s="13">
        <f>+J1778+I1779</f>
        <v>660648.05</v>
      </c>
      <c r="K1779" s="19">
        <f>+EOMONTH(B1779,0)</f>
        <v>46295</v>
      </c>
      <c r="L1779" s="3" t="inlineStr">
        <is>
          <t>Accounts Receivable</t>
        </is>
      </c>
      <c r="M1779" s="3" t="inlineStr">
        <is>
          <t>Balance Sheet</t>
        </is>
      </c>
    </row>
    <row r="1780">
      <c r="B1780" s="39" t="n">
        <v>46280</v>
      </c>
      <c r="C1780" s="3" t="inlineStr">
        <is>
          <t>Payment</t>
        </is>
      </c>
      <c r="D1780" s="3" t="inlineStr"/>
      <c r="E1780" s="3" t="inlineStr">
        <is>
          <t>Lanternway Benefits</t>
        </is>
      </c>
      <c r="F1780" s="3" t="inlineStr">
        <is>
          <t>Remittance applied</t>
        </is>
      </c>
      <c r="G1780" s="3" t="inlineStr">
        <is>
          <t>Checking – Operating</t>
        </is>
      </c>
      <c r="H1780" s="3" t="inlineStr">
        <is>
          <t>Accounts Receivable</t>
        </is>
      </c>
      <c r="I1780" s="33" t="n">
        <v>-56389.56</v>
      </c>
      <c r="J1780" s="13">
        <f>+J1779+I1780</f>
        <v>604258.490000001</v>
      </c>
      <c r="K1780" s="19">
        <f>+EOMONTH(B1780,0)</f>
        <v>46295</v>
      </c>
      <c r="L1780" s="3" t="inlineStr">
        <is>
          <t>Accounts Receivable</t>
        </is>
      </c>
      <c r="M1780" s="3" t="inlineStr">
        <is>
          <t>Balance Sheet</t>
        </is>
      </c>
    </row>
    <row r="1781">
      <c r="B1781" s="39" t="n">
        <v>46282</v>
      </c>
      <c r="C1781" s="3" t="inlineStr">
        <is>
          <t>Payment</t>
        </is>
      </c>
      <c r="D1781" s="3" t="inlineStr"/>
      <c r="E1781" s="3" t="inlineStr">
        <is>
          <t>Cobaltmere Health</t>
        </is>
      </c>
      <c r="F1781" s="3" t="inlineStr">
        <is>
          <t>Remittance applied</t>
        </is>
      </c>
      <c r="G1781" s="3" t="inlineStr">
        <is>
          <t>Checking – Operating</t>
        </is>
      </c>
      <c r="H1781" s="3" t="inlineStr">
        <is>
          <t>Accounts Receivable</t>
        </is>
      </c>
      <c r="I1781" s="33" t="n">
        <v>-30136.06</v>
      </c>
      <c r="J1781" s="13">
        <f>+J1780+I1781</f>
        <v>574122.43</v>
      </c>
      <c r="K1781" s="19">
        <f>+EOMONTH(B1781,0)</f>
        <v>46295</v>
      </c>
      <c r="L1781" s="3" t="inlineStr">
        <is>
          <t>Accounts Receivable</t>
        </is>
      </c>
      <c r="M1781" s="3" t="inlineStr">
        <is>
          <t>Balance Sheet</t>
        </is>
      </c>
    </row>
    <row r="1782">
      <c r="B1782" s="39" t="n">
        <v>46283</v>
      </c>
      <c r="C1782" s="3" t="inlineStr">
        <is>
          <t>Payment</t>
        </is>
      </c>
      <c r="D1782" s="3" t="inlineStr"/>
      <c r="E1782" s="3" t="inlineStr">
        <is>
          <t>Cobaltmere Health</t>
        </is>
      </c>
      <c r="F1782" s="3" t="inlineStr">
        <is>
          <t>Remittance applied</t>
        </is>
      </c>
      <c r="G1782" s="3" t="inlineStr">
        <is>
          <t>Checking – Operating</t>
        </is>
      </c>
      <c r="H1782" s="3" t="inlineStr">
        <is>
          <t>Accounts Receivable</t>
        </is>
      </c>
      <c r="I1782" s="33" t="n">
        <v>-23196.19</v>
      </c>
      <c r="J1782" s="13">
        <f>+J1781+I1782</f>
        <v>550926.240000001</v>
      </c>
      <c r="K1782" s="19">
        <f>+EOMONTH(B1782,0)</f>
        <v>46295</v>
      </c>
      <c r="L1782" s="3" t="inlineStr">
        <is>
          <t>Accounts Receivable</t>
        </is>
      </c>
      <c r="M1782" s="3" t="inlineStr">
        <is>
          <t>Balance Sheet</t>
        </is>
      </c>
    </row>
    <row r="1783">
      <c r="B1783" s="39" t="n">
        <v>46284</v>
      </c>
      <c r="C1783" s="3" t="inlineStr">
        <is>
          <t>Payment</t>
        </is>
      </c>
      <c r="D1783" s="3" t="inlineStr"/>
      <c r="E1783" s="3" t="inlineStr">
        <is>
          <t>Quayside Choice Senior Plan</t>
        </is>
      </c>
      <c r="F1783" s="3" t="inlineStr">
        <is>
          <t>Remittance applied</t>
        </is>
      </c>
      <c r="G1783" s="3" t="inlineStr">
        <is>
          <t>Checking – Operating</t>
        </is>
      </c>
      <c r="H1783" s="3" t="inlineStr">
        <is>
          <t>Accounts Receivable</t>
        </is>
      </c>
      <c r="I1783" s="33" t="n">
        <v>-39397.03</v>
      </c>
      <c r="J1783" s="13">
        <f>+J1782+I1783</f>
        <v>511529.21</v>
      </c>
      <c r="K1783" s="19">
        <f>+EOMONTH(B1783,0)</f>
        <v>46295</v>
      </c>
      <c r="L1783" s="3" t="inlineStr">
        <is>
          <t>Accounts Receivable</t>
        </is>
      </c>
      <c r="M1783" s="3" t="inlineStr">
        <is>
          <t>Balance Sheet</t>
        </is>
      </c>
    </row>
    <row r="1784">
      <c r="B1784" s="39" t="n">
        <v>46286</v>
      </c>
      <c r="C1784" s="3" t="inlineStr">
        <is>
          <t>Payment</t>
        </is>
      </c>
      <c r="D1784" s="3" t="inlineStr"/>
      <c r="E1784" s="3" t="inlineStr">
        <is>
          <t>Federal Program A</t>
        </is>
      </c>
      <c r="F1784" s="3" t="inlineStr">
        <is>
          <t>Remittance applied</t>
        </is>
      </c>
      <c r="G1784" s="3" t="inlineStr">
        <is>
          <t>Checking – Operating</t>
        </is>
      </c>
      <c r="H1784" s="3" t="inlineStr">
        <is>
          <t>Accounts Receivable</t>
        </is>
      </c>
      <c r="I1784" s="33" t="n">
        <v>-107595.62</v>
      </c>
      <c r="J1784" s="13">
        <f>+J1783+I1784</f>
        <v>403933.59</v>
      </c>
      <c r="K1784" s="19">
        <f>+EOMONTH(B1784,0)</f>
        <v>46295</v>
      </c>
      <c r="L1784" s="3" t="inlineStr">
        <is>
          <t>Accounts Receivable</t>
        </is>
      </c>
      <c r="M1784" s="3" t="inlineStr">
        <is>
          <t>Balance Sheet</t>
        </is>
      </c>
    </row>
    <row r="1785">
      <c r="B1785" s="39" t="n">
        <v>46287</v>
      </c>
      <c r="C1785" s="3" t="inlineStr">
        <is>
          <t>Payment</t>
        </is>
      </c>
      <c r="D1785" s="3" t="inlineStr"/>
      <c r="E1785" s="3" t="inlineStr">
        <is>
          <t>Vantrelle Health Plan</t>
        </is>
      </c>
      <c r="F1785" s="3" t="inlineStr">
        <is>
          <t>Remittance applied</t>
        </is>
      </c>
      <c r="G1785" s="3" t="inlineStr">
        <is>
          <t>Checking – Operating</t>
        </is>
      </c>
      <c r="H1785" s="3" t="inlineStr">
        <is>
          <t>Accounts Receivable</t>
        </is>
      </c>
      <c r="I1785" s="33" t="n">
        <v>-185203.61</v>
      </c>
      <c r="J1785" s="13">
        <f>+J1784+I1785</f>
        <v>218729.98</v>
      </c>
      <c r="K1785" s="19">
        <f>+EOMONTH(B1785,0)</f>
        <v>46295</v>
      </c>
      <c r="L1785" s="3" t="inlineStr">
        <is>
          <t>Accounts Receivable</t>
        </is>
      </c>
      <c r="M1785" s="3" t="inlineStr">
        <is>
          <t>Balance Sheet</t>
        </is>
      </c>
    </row>
    <row r="1786">
      <c r="B1786" s="39" t="n">
        <v>46289</v>
      </c>
      <c r="C1786" s="3" t="inlineStr">
        <is>
          <t>Payment</t>
        </is>
      </c>
      <c r="D1786" s="3" t="inlineStr"/>
      <c r="E1786" s="3" t="inlineStr">
        <is>
          <t>Lanternway Benefits</t>
        </is>
      </c>
      <c r="F1786" s="3" t="inlineStr">
        <is>
          <t>Remittance applied</t>
        </is>
      </c>
      <c r="G1786" s="3" t="inlineStr">
        <is>
          <t>Checking – Operating</t>
        </is>
      </c>
      <c r="H1786" s="3" t="inlineStr">
        <is>
          <t>Accounts Receivable</t>
        </is>
      </c>
      <c r="I1786" s="33" t="n">
        <v>-73176.85000000001</v>
      </c>
      <c r="J1786" s="13">
        <f>+J1785+I1786</f>
        <v>145553.13</v>
      </c>
      <c r="K1786" s="19">
        <f>+EOMONTH(B1786,0)</f>
        <v>46295</v>
      </c>
      <c r="L1786" s="3" t="inlineStr">
        <is>
          <t>Accounts Receivable</t>
        </is>
      </c>
      <c r="M1786" s="3" t="inlineStr">
        <is>
          <t>Balance Sheet</t>
        </is>
      </c>
    </row>
    <row r="1787">
      <c r="B1787" s="39" t="n">
        <v>46290</v>
      </c>
      <c r="C1787" s="3" t="inlineStr">
        <is>
          <t>Payment</t>
        </is>
      </c>
      <c r="D1787" s="3" t="inlineStr"/>
      <c r="E1787" s="3" t="inlineStr">
        <is>
          <t>Quayside Choice Senior Plan</t>
        </is>
      </c>
      <c r="F1787" s="3" t="inlineStr">
        <is>
          <t>Remittance applied</t>
        </is>
      </c>
      <c r="G1787" s="3" t="inlineStr">
        <is>
          <t>Checking – Operating</t>
        </is>
      </c>
      <c r="H1787" s="3" t="inlineStr">
        <is>
          <t>Accounts Receivable</t>
        </is>
      </c>
      <c r="I1787" s="33" t="n">
        <v>-43931.13</v>
      </c>
      <c r="J1787" s="13">
        <f>+J1786+I1787</f>
        <v>101622</v>
      </c>
      <c r="K1787" s="19">
        <f>+EOMONTH(B1787,0)</f>
        <v>46295</v>
      </c>
      <c r="L1787" s="3" t="inlineStr">
        <is>
          <t>Accounts Receivable</t>
        </is>
      </c>
      <c r="M1787" s="3" t="inlineStr">
        <is>
          <t>Balance Sheet</t>
        </is>
      </c>
    </row>
    <row r="1788">
      <c r="B1788" s="39" t="n">
        <v>46292</v>
      </c>
      <c r="C1788" s="3" t="inlineStr">
        <is>
          <t>Payment</t>
        </is>
      </c>
      <c r="D1788" s="3" t="inlineStr"/>
      <c r="E1788" s="3" t="inlineStr">
        <is>
          <t>Vantrelle Health Plan</t>
        </is>
      </c>
      <c r="F1788" s="3" t="inlineStr">
        <is>
          <t>Remittance applied</t>
        </is>
      </c>
      <c r="G1788" s="3" t="inlineStr">
        <is>
          <t>Checking – Operating</t>
        </is>
      </c>
      <c r="H1788" s="3" t="inlineStr">
        <is>
          <t>Accounts Receivable</t>
        </is>
      </c>
      <c r="I1788" s="33" t="n">
        <v>-125755.76</v>
      </c>
      <c r="J1788" s="13">
        <f>+J1787+I1788</f>
        <v>-24133.7599999996</v>
      </c>
      <c r="K1788" s="19">
        <f>+EOMONTH(B1788,0)</f>
        <v>46295</v>
      </c>
      <c r="L1788" s="3" t="inlineStr">
        <is>
          <t>Accounts Receivable</t>
        </is>
      </c>
      <c r="M1788" s="3" t="inlineStr">
        <is>
          <t>Balance Sheet</t>
        </is>
      </c>
    </row>
    <row r="1789">
      <c r="B1789" s="39" t="n">
        <v>46295</v>
      </c>
      <c r="C1789" s="3" t="inlineStr">
        <is>
          <t>Payment</t>
        </is>
      </c>
      <c r="D1789" s="3" t="inlineStr"/>
      <c r="E1789" s="3" t="inlineStr">
        <is>
          <t>Cobaltmere Health</t>
        </is>
      </c>
      <c r="F1789" s="3" t="inlineStr">
        <is>
          <t>Remittance applied</t>
        </is>
      </c>
      <c r="G1789" s="3" t="inlineStr">
        <is>
          <t>Checking – Operating</t>
        </is>
      </c>
      <c r="H1789" s="3" t="inlineStr">
        <is>
          <t>Accounts Receivable</t>
        </is>
      </c>
      <c r="I1789" s="33" t="n">
        <v>-24407.59</v>
      </c>
      <c r="J1789" s="13">
        <f>+J1788+I1789</f>
        <v>-48541.3499999996</v>
      </c>
      <c r="K1789" s="19">
        <f>+EOMONTH(B1789,0)</f>
        <v>46295</v>
      </c>
      <c r="L1789" s="3" t="inlineStr">
        <is>
          <t>Accounts Receivable</t>
        </is>
      </c>
      <c r="M1789" s="3" t="inlineStr">
        <is>
          <t>Balance Sheet</t>
        </is>
      </c>
    </row>
    <row r="1790">
      <c r="B1790" s="39" t="n">
        <v>46296</v>
      </c>
      <c r="C1790" s="3" t="inlineStr">
        <is>
          <t>Invoice</t>
        </is>
      </c>
      <c r="D1790" s="3" t="inlineStr">
        <is>
          <t>INV-26077</t>
        </is>
      </c>
      <c r="E1790" s="3" t="inlineStr">
        <is>
          <t>State Program B</t>
        </is>
      </c>
      <c r="F1790" s="3" t="inlineStr">
        <is>
          <t>Claims batch – October</t>
        </is>
      </c>
      <c r="G1790" s="3" t="inlineStr">
        <is>
          <t>Service Income</t>
        </is>
      </c>
      <c r="H1790" s="3" t="inlineStr">
        <is>
          <t>Accounts Receivable</t>
        </is>
      </c>
      <c r="I1790" s="33" t="n">
        <v>120803.04</v>
      </c>
      <c r="J1790" s="13">
        <f>+J1789+I1790</f>
        <v>72261.6900000004</v>
      </c>
      <c r="K1790" s="19">
        <f>+EOMONTH(B1790,0)</f>
        <v>46326</v>
      </c>
      <c r="L1790" s="3" t="inlineStr">
        <is>
          <t>Accounts Receivable</t>
        </is>
      </c>
      <c r="M1790" s="3" t="inlineStr">
        <is>
          <t>Balance Sheet</t>
        </is>
      </c>
    </row>
    <row r="1791">
      <c r="B1791" s="39" t="n">
        <v>46296</v>
      </c>
      <c r="C1791" s="3" t="inlineStr">
        <is>
          <t>Invoice</t>
        </is>
      </c>
      <c r="D1791" s="3" t="inlineStr">
        <is>
          <t>INV-26078</t>
        </is>
      </c>
      <c r="E1791" s="3" t="inlineStr">
        <is>
          <t>Silvermoss Senior Living</t>
        </is>
      </c>
      <c r="F1791" s="3" t="inlineStr">
        <is>
          <t>Claims batch – October</t>
        </is>
      </c>
      <c r="G1791" s="3" t="inlineStr">
        <is>
          <t>Service Income</t>
        </is>
      </c>
      <c r="H1791" s="3" t="inlineStr">
        <is>
          <t>Accounts Receivable</t>
        </is>
      </c>
      <c r="I1791" s="33" t="n">
        <v>104935.56</v>
      </c>
      <c r="J1791" s="13">
        <f>+J1790+I1791</f>
        <v>177197.25</v>
      </c>
      <c r="K1791" s="19">
        <f>+EOMONTH(B1791,0)</f>
        <v>46326</v>
      </c>
      <c r="L1791" s="3" t="inlineStr">
        <is>
          <t>Accounts Receivable</t>
        </is>
      </c>
      <c r="M1791" s="3" t="inlineStr">
        <is>
          <t>Balance Sheet</t>
        </is>
      </c>
    </row>
    <row r="1792">
      <c r="B1792" s="39" t="n">
        <v>46297</v>
      </c>
      <c r="C1792" s="3" t="inlineStr">
        <is>
          <t>Invoice</t>
        </is>
      </c>
      <c r="D1792" s="3" t="inlineStr">
        <is>
          <t>INV-26080</t>
        </is>
      </c>
      <c r="E1792" s="3" t="inlineStr">
        <is>
          <t>Quayside Choice Senior Plan</t>
        </is>
      </c>
      <c r="F1792" s="3" t="inlineStr">
        <is>
          <t>Claims batch – October</t>
        </is>
      </c>
      <c r="G1792" s="3" t="inlineStr">
        <is>
          <t>Service Income</t>
        </is>
      </c>
      <c r="H1792" s="3" t="inlineStr">
        <is>
          <t>Accounts Receivable</t>
        </is>
      </c>
      <c r="I1792" s="33" t="n">
        <v>147270.71</v>
      </c>
      <c r="J1792" s="13">
        <f>+J1791+I1792</f>
        <v>324467.96</v>
      </c>
      <c r="K1792" s="19">
        <f>+EOMONTH(B1792,0)</f>
        <v>46326</v>
      </c>
      <c r="L1792" s="3" t="inlineStr">
        <is>
          <t>Accounts Receivable</t>
        </is>
      </c>
      <c r="M1792" s="3" t="inlineStr">
        <is>
          <t>Balance Sheet</t>
        </is>
      </c>
    </row>
    <row r="1793">
      <c r="B1793" s="39" t="n">
        <v>46297</v>
      </c>
      <c r="C1793" s="3" t="inlineStr">
        <is>
          <t>Invoice</t>
        </is>
      </c>
      <c r="D1793" s="3" t="inlineStr">
        <is>
          <t>INV-26081</t>
        </is>
      </c>
      <c r="E1793" s="3" t="inlineStr">
        <is>
          <t>Cobaltmere Health</t>
        </is>
      </c>
      <c r="F1793" s="3" t="inlineStr">
        <is>
          <t>Claims batch – October</t>
        </is>
      </c>
      <c r="G1793" s="3" t="inlineStr">
        <is>
          <t>Service Income</t>
        </is>
      </c>
      <c r="H1793" s="3" t="inlineStr">
        <is>
          <t>Accounts Receivable</t>
        </is>
      </c>
      <c r="I1793" s="33" t="n">
        <v>81491.74000000001</v>
      </c>
      <c r="J1793" s="13">
        <f>+J1792+I1793</f>
        <v>405959.7</v>
      </c>
      <c r="K1793" s="19">
        <f>+EOMONTH(B1793,0)</f>
        <v>46326</v>
      </c>
      <c r="L1793" s="3" t="inlineStr">
        <is>
          <t>Accounts Receivable</t>
        </is>
      </c>
      <c r="M1793" s="3" t="inlineStr">
        <is>
          <t>Balance Sheet</t>
        </is>
      </c>
    </row>
    <row r="1794">
      <c r="B1794" s="39" t="n">
        <v>46297</v>
      </c>
      <c r="C1794" s="3" t="inlineStr">
        <is>
          <t>Payment</t>
        </is>
      </c>
      <c r="D1794" s="3" t="inlineStr"/>
      <c r="E1794" s="3" t="inlineStr">
        <is>
          <t>Marrowby Mutual</t>
        </is>
      </c>
      <c r="F1794" s="3" t="inlineStr">
        <is>
          <t>Remittance applied</t>
        </is>
      </c>
      <c r="G1794" s="3" t="inlineStr">
        <is>
          <t>Checking – Operating</t>
        </is>
      </c>
      <c r="H1794" s="3" t="inlineStr">
        <is>
          <t>Accounts Receivable</t>
        </is>
      </c>
      <c r="I1794" s="33" t="n">
        <v>-93288.53999999999</v>
      </c>
      <c r="J1794" s="13">
        <f>+J1793+I1794</f>
        <v>312671.16</v>
      </c>
      <c r="K1794" s="19">
        <f>+EOMONTH(B1794,0)</f>
        <v>46326</v>
      </c>
      <c r="L1794" s="3" t="inlineStr">
        <is>
          <t>Accounts Receivable</t>
        </is>
      </c>
      <c r="M1794" s="3" t="inlineStr">
        <is>
          <t>Balance Sheet</t>
        </is>
      </c>
    </row>
    <row r="1795">
      <c r="B1795" s="39" t="n">
        <v>46299</v>
      </c>
      <c r="C1795" s="3" t="inlineStr">
        <is>
          <t>Invoice</t>
        </is>
      </c>
      <c r="D1795" s="3" t="inlineStr">
        <is>
          <t>INV-26076</t>
        </is>
      </c>
      <c r="E1795" s="3" t="inlineStr">
        <is>
          <t>Federal Program A</t>
        </is>
      </c>
      <c r="F1795" s="3" t="inlineStr">
        <is>
          <t>Claims batch – October</t>
        </is>
      </c>
      <c r="G1795" s="3" t="inlineStr">
        <is>
          <t>Service Income</t>
        </is>
      </c>
      <c r="H1795" s="3" t="inlineStr">
        <is>
          <t>Accounts Receivable</t>
        </is>
      </c>
      <c r="I1795" s="33" t="n">
        <v>242165.63</v>
      </c>
      <c r="J1795" s="13">
        <f>+J1794+I1795</f>
        <v>554836.790000001</v>
      </c>
      <c r="K1795" s="19">
        <f>+EOMONTH(B1795,0)</f>
        <v>46326</v>
      </c>
      <c r="L1795" s="3" t="inlineStr">
        <is>
          <t>Accounts Receivable</t>
        </is>
      </c>
      <c r="M1795" s="3" t="inlineStr">
        <is>
          <t>Balance Sheet</t>
        </is>
      </c>
    </row>
    <row r="1796">
      <c r="B1796" s="39" t="n">
        <v>46300</v>
      </c>
      <c r="C1796" s="3" t="inlineStr">
        <is>
          <t>Invoice</t>
        </is>
      </c>
      <c r="D1796" s="3" t="inlineStr">
        <is>
          <t>INV-26079</t>
        </is>
      </c>
      <c r="E1796" s="3" t="inlineStr">
        <is>
          <t>Lanternway Benefits</t>
        </is>
      </c>
      <c r="F1796" s="3" t="inlineStr">
        <is>
          <t>Claims batch – October</t>
        </is>
      </c>
      <c r="G1796" s="3" t="inlineStr">
        <is>
          <t>Service Income</t>
        </is>
      </c>
      <c r="H1796" s="3" t="inlineStr">
        <is>
          <t>Accounts Receivable</t>
        </is>
      </c>
      <c r="I1796" s="33" t="n">
        <v>143323.24</v>
      </c>
      <c r="J1796" s="13">
        <f>+J1795+I1796</f>
        <v>698160.030000001</v>
      </c>
      <c r="K1796" s="19">
        <f>+EOMONTH(B1796,0)</f>
        <v>46326</v>
      </c>
      <c r="L1796" s="3" t="inlineStr">
        <is>
          <t>Accounts Receivable</t>
        </is>
      </c>
      <c r="M1796" s="3" t="inlineStr">
        <is>
          <t>Balance Sheet</t>
        </is>
      </c>
    </row>
    <row r="1797">
      <c r="B1797" s="39" t="n">
        <v>46301</v>
      </c>
      <c r="C1797" s="3" t="inlineStr">
        <is>
          <t>Invoice</t>
        </is>
      </c>
      <c r="D1797" s="3" t="inlineStr">
        <is>
          <t>INV-26074</t>
        </is>
      </c>
      <c r="E1797" s="3" t="inlineStr">
        <is>
          <t>Vantrelle Health Plan</t>
        </is>
      </c>
      <c r="F1797" s="3" t="inlineStr">
        <is>
          <t>Claims batch – October</t>
        </is>
      </c>
      <c r="G1797" s="3" t="inlineStr">
        <is>
          <t>Service Income</t>
        </is>
      </c>
      <c r="H1797" s="3" t="inlineStr">
        <is>
          <t>Accounts Receivable</t>
        </is>
      </c>
      <c r="I1797" s="33" t="n">
        <v>308110.51</v>
      </c>
      <c r="J1797" s="13">
        <f>+J1796+I1797</f>
        <v>1006270.54</v>
      </c>
      <c r="K1797" s="19">
        <f>+EOMONTH(B1797,0)</f>
        <v>46326</v>
      </c>
      <c r="L1797" s="3" t="inlineStr">
        <is>
          <t>Accounts Receivable</t>
        </is>
      </c>
      <c r="M1797" s="3" t="inlineStr">
        <is>
          <t>Balance Sheet</t>
        </is>
      </c>
    </row>
    <row r="1798">
      <c r="B1798" s="39" t="n">
        <v>46301</v>
      </c>
      <c r="C1798" s="3" t="inlineStr">
        <is>
          <t>Invoice</t>
        </is>
      </c>
      <c r="D1798" s="3" t="inlineStr">
        <is>
          <t>INV-26075</t>
        </is>
      </c>
      <c r="E1798" s="3" t="inlineStr">
        <is>
          <t>Marrowby Mutual</t>
        </is>
      </c>
      <c r="F1798" s="3" t="inlineStr">
        <is>
          <t>Claims batch – October</t>
        </is>
      </c>
      <c r="G1798" s="3" t="inlineStr">
        <is>
          <t>Service Income</t>
        </is>
      </c>
      <c r="H1798" s="3" t="inlineStr">
        <is>
          <t>Accounts Receivable</t>
        </is>
      </c>
      <c r="I1798" s="33" t="n">
        <v>187847.2</v>
      </c>
      <c r="J1798" s="13">
        <f>+J1797+I1798</f>
        <v>1194117.74</v>
      </c>
      <c r="K1798" s="19">
        <f>+EOMONTH(B1798,0)</f>
        <v>46326</v>
      </c>
      <c r="L1798" s="3" t="inlineStr">
        <is>
          <t>Accounts Receivable</t>
        </is>
      </c>
      <c r="M1798" s="3" t="inlineStr">
        <is>
          <t>Balance Sheet</t>
        </is>
      </c>
    </row>
    <row r="1799">
      <c r="B1799" s="39" t="n">
        <v>46302</v>
      </c>
      <c r="C1799" s="3" t="inlineStr">
        <is>
          <t>Payment</t>
        </is>
      </c>
      <c r="D1799" s="3" t="inlineStr"/>
      <c r="E1799" s="3" t="inlineStr">
        <is>
          <t>State Program B</t>
        </is>
      </c>
      <c r="F1799" s="3" t="inlineStr">
        <is>
          <t>Remittance applied</t>
        </is>
      </c>
      <c r="G1799" s="3" t="inlineStr">
        <is>
          <t>Checking – Operating</t>
        </is>
      </c>
      <c r="H1799" s="3" t="inlineStr">
        <is>
          <t>Accounts Receivable</t>
        </is>
      </c>
      <c r="I1799" s="33" t="n">
        <v>-31502.99</v>
      </c>
      <c r="J1799" s="13">
        <f>+J1798+I1799</f>
        <v>1162614.75</v>
      </c>
      <c r="K1799" s="19">
        <f>+EOMONTH(B1799,0)</f>
        <v>46326</v>
      </c>
      <c r="L1799" s="3" t="inlineStr">
        <is>
          <t>Accounts Receivable</t>
        </is>
      </c>
      <c r="M1799" s="3" t="inlineStr">
        <is>
          <t>Balance Sheet</t>
        </is>
      </c>
    </row>
    <row r="1800">
      <c r="B1800" s="39" t="n">
        <v>46302</v>
      </c>
      <c r="C1800" s="3" t="inlineStr">
        <is>
          <t>Payment</t>
        </is>
      </c>
      <c r="D1800" s="3" t="inlineStr"/>
      <c r="E1800" s="3" t="inlineStr">
        <is>
          <t>Cobaltmere Health</t>
        </is>
      </c>
      <c r="F1800" s="3" t="inlineStr">
        <is>
          <t>Remittance applied</t>
        </is>
      </c>
      <c r="G1800" s="3" t="inlineStr">
        <is>
          <t>Checking – Operating</t>
        </is>
      </c>
      <c r="H1800" s="3" t="inlineStr">
        <is>
          <t>Accounts Receivable</t>
        </is>
      </c>
      <c r="I1800" s="33" t="n">
        <v>-48144.05</v>
      </c>
      <c r="J1800" s="13">
        <f>+J1799+I1800</f>
        <v>1114470.7</v>
      </c>
      <c r="K1800" s="19">
        <f>+EOMONTH(B1800,0)</f>
        <v>46326</v>
      </c>
      <c r="L1800" s="3" t="inlineStr">
        <is>
          <t>Accounts Receivable</t>
        </is>
      </c>
      <c r="M1800" s="3" t="inlineStr">
        <is>
          <t>Balance Sheet</t>
        </is>
      </c>
    </row>
    <row r="1801">
      <c r="B1801" s="39" t="n">
        <v>46305</v>
      </c>
      <c r="C1801" s="3" t="inlineStr">
        <is>
          <t>Payment</t>
        </is>
      </c>
      <c r="D1801" s="3" t="inlineStr"/>
      <c r="E1801" s="3" t="inlineStr">
        <is>
          <t>Lanternway Benefits</t>
        </is>
      </c>
      <c r="F1801" s="3" t="inlineStr">
        <is>
          <t>Remittance applied</t>
        </is>
      </c>
      <c r="G1801" s="3" t="inlineStr">
        <is>
          <t>Checking – Operating</t>
        </is>
      </c>
      <c r="H1801" s="3" t="inlineStr">
        <is>
          <t>Accounts Receivable</t>
        </is>
      </c>
      <c r="I1801" s="33" t="n">
        <v>-40319.16</v>
      </c>
      <c r="J1801" s="13">
        <f>+J1800+I1801</f>
        <v>1074151.54</v>
      </c>
      <c r="K1801" s="19">
        <f>+EOMONTH(B1801,0)</f>
        <v>46326</v>
      </c>
      <c r="L1801" s="3" t="inlineStr">
        <is>
          <t>Accounts Receivable</t>
        </is>
      </c>
      <c r="M1801" s="3" t="inlineStr">
        <is>
          <t>Balance Sheet</t>
        </is>
      </c>
    </row>
    <row r="1802">
      <c r="B1802" s="39" t="n">
        <v>46305</v>
      </c>
      <c r="C1802" s="3" t="inlineStr">
        <is>
          <t>Payment</t>
        </is>
      </c>
      <c r="D1802" s="3" t="inlineStr"/>
      <c r="E1802" s="3" t="inlineStr">
        <is>
          <t>Lanternway Benefits</t>
        </is>
      </c>
      <c r="F1802" s="3" t="inlineStr">
        <is>
          <t>Remittance applied</t>
        </is>
      </c>
      <c r="G1802" s="3" t="inlineStr">
        <is>
          <t>Checking – Operating</t>
        </is>
      </c>
      <c r="H1802" s="3" t="inlineStr">
        <is>
          <t>Accounts Receivable</t>
        </is>
      </c>
      <c r="I1802" s="33" t="n">
        <v>-45477.41</v>
      </c>
      <c r="J1802" s="13">
        <f>+J1801+I1802</f>
        <v>1028674.13</v>
      </c>
      <c r="K1802" s="19">
        <f>+EOMONTH(B1802,0)</f>
        <v>46326</v>
      </c>
      <c r="L1802" s="3" t="inlineStr">
        <is>
          <t>Accounts Receivable</t>
        </is>
      </c>
      <c r="M1802" s="3" t="inlineStr">
        <is>
          <t>Balance Sheet</t>
        </is>
      </c>
    </row>
    <row r="1803">
      <c r="B1803" s="39" t="n">
        <v>46308</v>
      </c>
      <c r="C1803" s="3" t="inlineStr">
        <is>
          <t>Payment</t>
        </is>
      </c>
      <c r="D1803" s="3" t="inlineStr"/>
      <c r="E1803" s="3" t="inlineStr">
        <is>
          <t>Quayside Choice Senior Plan</t>
        </is>
      </c>
      <c r="F1803" s="3" t="inlineStr">
        <is>
          <t>Remittance applied</t>
        </is>
      </c>
      <c r="G1803" s="3" t="inlineStr">
        <is>
          <t>Checking – Operating</t>
        </is>
      </c>
      <c r="H1803" s="3" t="inlineStr">
        <is>
          <t>Accounts Receivable</t>
        </is>
      </c>
      <c r="I1803" s="33" t="n">
        <v>-33968.92</v>
      </c>
      <c r="J1803" s="13">
        <f>+J1802+I1803</f>
        <v>994705.21</v>
      </c>
      <c r="K1803" s="19">
        <f>+EOMONTH(B1803,0)</f>
        <v>46326</v>
      </c>
      <c r="L1803" s="3" t="inlineStr">
        <is>
          <t>Accounts Receivable</t>
        </is>
      </c>
      <c r="M1803" s="3" t="inlineStr">
        <is>
          <t>Balance Sheet</t>
        </is>
      </c>
    </row>
    <row r="1804">
      <c r="B1804" s="39" t="n">
        <v>46309</v>
      </c>
      <c r="C1804" s="3" t="inlineStr">
        <is>
          <t>Payment</t>
        </is>
      </c>
      <c r="D1804" s="3" t="inlineStr"/>
      <c r="E1804" s="3" t="inlineStr">
        <is>
          <t>State Program B</t>
        </is>
      </c>
      <c r="F1804" s="3" t="inlineStr">
        <is>
          <t>Remittance applied</t>
        </is>
      </c>
      <c r="G1804" s="3" t="inlineStr">
        <is>
          <t>Checking – Operating</t>
        </is>
      </c>
      <c r="H1804" s="3" t="inlineStr">
        <is>
          <t>Accounts Receivable</t>
        </is>
      </c>
      <c r="I1804" s="33" t="n">
        <v>-41769.42</v>
      </c>
      <c r="J1804" s="13">
        <f>+J1803+I1804</f>
        <v>952935.79</v>
      </c>
      <c r="K1804" s="19">
        <f>+EOMONTH(B1804,0)</f>
        <v>46326</v>
      </c>
      <c r="L1804" s="3" t="inlineStr">
        <is>
          <t>Accounts Receivable</t>
        </is>
      </c>
      <c r="M1804" s="3" t="inlineStr">
        <is>
          <t>Balance Sheet</t>
        </is>
      </c>
    </row>
    <row r="1805">
      <c r="B1805" s="39" t="n">
        <v>46309</v>
      </c>
      <c r="C1805" s="3" t="inlineStr">
        <is>
          <t>Payment</t>
        </is>
      </c>
      <c r="D1805" s="3" t="inlineStr"/>
      <c r="E1805" s="3" t="inlineStr">
        <is>
          <t>Cobaltmere Health</t>
        </is>
      </c>
      <c r="F1805" s="3" t="inlineStr">
        <is>
          <t>Remittance applied</t>
        </is>
      </c>
      <c r="G1805" s="3" t="inlineStr">
        <is>
          <t>Checking – Operating</t>
        </is>
      </c>
      <c r="H1805" s="3" t="inlineStr">
        <is>
          <t>Accounts Receivable</t>
        </is>
      </c>
      <c r="I1805" s="33" t="n">
        <v>-34570.8</v>
      </c>
      <c r="J1805" s="13">
        <f>+J1804+I1805</f>
        <v>918364.99</v>
      </c>
      <c r="K1805" s="19">
        <f>+EOMONTH(B1805,0)</f>
        <v>46326</v>
      </c>
      <c r="L1805" s="3" t="inlineStr">
        <is>
          <t>Accounts Receivable</t>
        </is>
      </c>
      <c r="M1805" s="3" t="inlineStr">
        <is>
          <t>Balance Sheet</t>
        </is>
      </c>
    </row>
    <row r="1806">
      <c r="B1806" s="39" t="n">
        <v>46310</v>
      </c>
      <c r="C1806" s="3" t="inlineStr">
        <is>
          <t>Payment</t>
        </is>
      </c>
      <c r="D1806" s="3" t="inlineStr"/>
      <c r="E1806" s="3" t="inlineStr">
        <is>
          <t>Federal Program A</t>
        </is>
      </c>
      <c r="F1806" s="3" t="inlineStr">
        <is>
          <t>Remittance applied</t>
        </is>
      </c>
      <c r="G1806" s="3" t="inlineStr">
        <is>
          <t>Checking – Operating</t>
        </is>
      </c>
      <c r="H1806" s="3" t="inlineStr">
        <is>
          <t>Accounts Receivable</t>
        </is>
      </c>
      <c r="I1806" s="33" t="n">
        <v>-109796.6</v>
      </c>
      <c r="J1806" s="13">
        <f>+J1805+I1806</f>
        <v>808568.39</v>
      </c>
      <c r="K1806" s="19">
        <f>+EOMONTH(B1806,0)</f>
        <v>46326</v>
      </c>
      <c r="L1806" s="3" t="inlineStr">
        <is>
          <t>Accounts Receivable</t>
        </is>
      </c>
      <c r="M1806" s="3" t="inlineStr">
        <is>
          <t>Balance Sheet</t>
        </is>
      </c>
    </row>
    <row r="1807">
      <c r="B1807" s="39" t="n">
        <v>46311</v>
      </c>
      <c r="C1807" s="3" t="inlineStr">
        <is>
          <t>Payment</t>
        </is>
      </c>
      <c r="D1807" s="3" t="inlineStr"/>
      <c r="E1807" s="3" t="inlineStr">
        <is>
          <t>Vantrelle Health Plan</t>
        </is>
      </c>
      <c r="F1807" s="3" t="inlineStr">
        <is>
          <t>Remittance applied</t>
        </is>
      </c>
      <c r="G1807" s="3" t="inlineStr">
        <is>
          <t>Checking – Operating</t>
        </is>
      </c>
      <c r="H1807" s="3" t="inlineStr">
        <is>
          <t>Accounts Receivable</t>
        </is>
      </c>
      <c r="I1807" s="33" t="n">
        <v>-98329.24000000001</v>
      </c>
      <c r="J1807" s="13">
        <f>+J1806+I1807</f>
        <v>710239.15</v>
      </c>
      <c r="K1807" s="19">
        <f>+EOMONTH(B1807,0)</f>
        <v>46326</v>
      </c>
      <c r="L1807" s="3" t="inlineStr">
        <is>
          <t>Accounts Receivable</t>
        </is>
      </c>
      <c r="M1807" s="3" t="inlineStr">
        <is>
          <t>Balance Sheet</t>
        </is>
      </c>
    </row>
    <row r="1808">
      <c r="B1808" s="39" t="n">
        <v>46311</v>
      </c>
      <c r="C1808" s="3" t="inlineStr">
        <is>
          <t>Payment</t>
        </is>
      </c>
      <c r="D1808" s="3" t="inlineStr"/>
      <c r="E1808" s="3" t="inlineStr">
        <is>
          <t>Quayside Choice Senior Plan</t>
        </is>
      </c>
      <c r="F1808" s="3" t="inlineStr">
        <is>
          <t>Remittance applied</t>
        </is>
      </c>
      <c r="G1808" s="3" t="inlineStr">
        <is>
          <t>Checking – Operating</t>
        </is>
      </c>
      <c r="H1808" s="3" t="inlineStr">
        <is>
          <t>Accounts Receivable</t>
        </is>
      </c>
      <c r="I1808" s="33" t="n">
        <v>-42240.61</v>
      </c>
      <c r="J1808" s="13">
        <f>+J1807+I1808</f>
        <v>667998.54</v>
      </c>
      <c r="K1808" s="19">
        <f>+EOMONTH(B1808,0)</f>
        <v>46326</v>
      </c>
      <c r="L1808" s="3" t="inlineStr">
        <is>
          <t>Accounts Receivable</t>
        </is>
      </c>
      <c r="M1808" s="3" t="inlineStr">
        <is>
          <t>Balance Sheet</t>
        </is>
      </c>
    </row>
    <row r="1809">
      <c r="B1809" s="39" t="n">
        <v>46314</v>
      </c>
      <c r="C1809" s="3" t="inlineStr">
        <is>
          <t>Payment</t>
        </is>
      </c>
      <c r="D1809" s="3" t="inlineStr"/>
      <c r="E1809" s="3" t="inlineStr">
        <is>
          <t>Lanternway Benefits</t>
        </is>
      </c>
      <c r="F1809" s="3" t="inlineStr">
        <is>
          <t>Remittance applied</t>
        </is>
      </c>
      <c r="G1809" s="3" t="inlineStr">
        <is>
          <t>Checking – Operating</t>
        </is>
      </c>
      <c r="H1809" s="3" t="inlineStr">
        <is>
          <t>Accounts Receivable</t>
        </is>
      </c>
      <c r="I1809" s="33" t="n">
        <v>-52061.51</v>
      </c>
      <c r="J1809" s="13">
        <f>+J1808+I1809</f>
        <v>615937.03</v>
      </c>
      <c r="K1809" s="19">
        <f>+EOMONTH(B1809,0)</f>
        <v>46326</v>
      </c>
      <c r="L1809" s="3" t="inlineStr">
        <is>
          <t>Accounts Receivable</t>
        </is>
      </c>
      <c r="M1809" s="3" t="inlineStr">
        <is>
          <t>Balance Sheet</t>
        </is>
      </c>
    </row>
    <row r="1810">
      <c r="B1810" s="39" t="n">
        <v>46317</v>
      </c>
      <c r="C1810" s="3" t="inlineStr">
        <is>
          <t>Payment</t>
        </is>
      </c>
      <c r="D1810" s="3" t="inlineStr"/>
      <c r="E1810" s="3" t="inlineStr">
        <is>
          <t>Silvermoss Senior Living</t>
        </is>
      </c>
      <c r="F1810" s="3" t="inlineStr">
        <is>
          <t>Remittance applied</t>
        </is>
      </c>
      <c r="G1810" s="3" t="inlineStr">
        <is>
          <t>Checking – Operating</t>
        </is>
      </c>
      <c r="H1810" s="3" t="inlineStr">
        <is>
          <t>Accounts Receivable</t>
        </is>
      </c>
      <c r="I1810" s="33" t="n">
        <v>-32471.69</v>
      </c>
      <c r="J1810" s="13">
        <f>+J1809+I1810</f>
        <v>583465.34</v>
      </c>
      <c r="K1810" s="19">
        <f>+EOMONTH(B1810,0)</f>
        <v>46326</v>
      </c>
      <c r="L1810" s="3" t="inlineStr">
        <is>
          <t>Accounts Receivable</t>
        </is>
      </c>
      <c r="M1810" s="3" t="inlineStr">
        <is>
          <t>Balance Sheet</t>
        </is>
      </c>
    </row>
    <row r="1811">
      <c r="B1811" s="39" t="n">
        <v>46317</v>
      </c>
      <c r="C1811" s="3" t="inlineStr">
        <is>
          <t>Payment</t>
        </is>
      </c>
      <c r="D1811" s="3" t="inlineStr"/>
      <c r="E1811" s="3" t="inlineStr">
        <is>
          <t>Quayside Choice Senior Plan</t>
        </is>
      </c>
      <c r="F1811" s="3" t="inlineStr">
        <is>
          <t>Remittance applied</t>
        </is>
      </c>
      <c r="G1811" s="3" t="inlineStr">
        <is>
          <t>Checking – Operating</t>
        </is>
      </c>
      <c r="H1811" s="3" t="inlineStr">
        <is>
          <t>Accounts Receivable</t>
        </is>
      </c>
      <c r="I1811" s="33" t="n">
        <v>-75434.36</v>
      </c>
      <c r="J1811" s="13">
        <f>+J1810+I1811</f>
        <v>508030.98</v>
      </c>
      <c r="K1811" s="19">
        <f>+EOMONTH(B1811,0)</f>
        <v>46326</v>
      </c>
      <c r="L1811" s="3" t="inlineStr">
        <is>
          <t>Accounts Receivable</t>
        </is>
      </c>
      <c r="M1811" s="3" t="inlineStr">
        <is>
          <t>Balance Sheet</t>
        </is>
      </c>
    </row>
    <row r="1812">
      <c r="B1812" s="39" t="n">
        <v>46318</v>
      </c>
      <c r="C1812" s="3" t="inlineStr">
        <is>
          <t>Payment</t>
        </is>
      </c>
      <c r="D1812" s="3" t="inlineStr"/>
      <c r="E1812" s="3" t="inlineStr">
        <is>
          <t>Vantrelle Health Plan</t>
        </is>
      </c>
      <c r="F1812" s="3" t="inlineStr">
        <is>
          <t>Remittance applied</t>
        </is>
      </c>
      <c r="G1812" s="3" t="inlineStr">
        <is>
          <t>Checking – Operating</t>
        </is>
      </c>
      <c r="H1812" s="3" t="inlineStr">
        <is>
          <t>Accounts Receivable</t>
        </is>
      </c>
      <c r="I1812" s="33" t="n">
        <v>-128408.5</v>
      </c>
      <c r="J1812" s="13">
        <f>+J1811+I1812</f>
        <v>379622.48</v>
      </c>
      <c r="K1812" s="19">
        <f>+EOMONTH(B1812,0)</f>
        <v>46326</v>
      </c>
      <c r="L1812" s="3" t="inlineStr">
        <is>
          <t>Accounts Receivable</t>
        </is>
      </c>
      <c r="M1812" s="3" t="inlineStr">
        <is>
          <t>Balance Sheet</t>
        </is>
      </c>
    </row>
    <row r="1813">
      <c r="B1813" s="39" t="n">
        <v>46319</v>
      </c>
      <c r="C1813" s="3" t="inlineStr">
        <is>
          <t>Payment</t>
        </is>
      </c>
      <c r="D1813" s="3" t="inlineStr"/>
      <c r="E1813" s="3" t="inlineStr">
        <is>
          <t>Silvermoss Senior Living</t>
        </is>
      </c>
      <c r="F1813" s="3" t="inlineStr">
        <is>
          <t>Remittance applied</t>
        </is>
      </c>
      <c r="G1813" s="3" t="inlineStr">
        <is>
          <t>Checking – Operating</t>
        </is>
      </c>
      <c r="H1813" s="3" t="inlineStr">
        <is>
          <t>Accounts Receivable</t>
        </is>
      </c>
      <c r="I1813" s="33" t="n">
        <v>-30537.1</v>
      </c>
      <c r="J1813" s="13">
        <f>+J1812+I1813</f>
        <v>349085.38</v>
      </c>
      <c r="K1813" s="19">
        <f>+EOMONTH(B1813,0)</f>
        <v>46326</v>
      </c>
      <c r="L1813" s="3" t="inlineStr">
        <is>
          <t>Accounts Receivable</t>
        </is>
      </c>
      <c r="M1813" s="3" t="inlineStr">
        <is>
          <t>Balance Sheet</t>
        </is>
      </c>
    </row>
    <row r="1814">
      <c r="B1814" s="39" t="n">
        <v>46320</v>
      </c>
      <c r="C1814" s="3" t="inlineStr">
        <is>
          <t>Payment</t>
        </is>
      </c>
      <c r="D1814" s="3" t="inlineStr"/>
      <c r="E1814" s="3" t="inlineStr">
        <is>
          <t>Silvermoss Senior Living</t>
        </is>
      </c>
      <c r="F1814" s="3" t="inlineStr">
        <is>
          <t>Remittance applied</t>
        </is>
      </c>
      <c r="G1814" s="3" t="inlineStr">
        <is>
          <t>Checking – Operating</t>
        </is>
      </c>
      <c r="H1814" s="3" t="inlineStr">
        <is>
          <t>Accounts Receivable</t>
        </is>
      </c>
      <c r="I1814" s="33" t="n">
        <v>-47277.68</v>
      </c>
      <c r="J1814" s="13">
        <f>+J1813+I1814</f>
        <v>301807.700000001</v>
      </c>
      <c r="K1814" s="19">
        <f>+EOMONTH(B1814,0)</f>
        <v>46326</v>
      </c>
      <c r="L1814" s="3" t="inlineStr">
        <is>
          <t>Accounts Receivable</t>
        </is>
      </c>
      <c r="M1814" s="3" t="inlineStr">
        <is>
          <t>Balance Sheet</t>
        </is>
      </c>
    </row>
    <row r="1815">
      <c r="B1815" s="39" t="n">
        <v>46322</v>
      </c>
      <c r="C1815" s="3" t="inlineStr">
        <is>
          <t>Payment</t>
        </is>
      </c>
      <c r="D1815" s="3" t="inlineStr"/>
      <c r="E1815" s="3" t="inlineStr">
        <is>
          <t>Vantrelle Health Plan</t>
        </is>
      </c>
      <c r="F1815" s="3" t="inlineStr">
        <is>
          <t>Remittance applied</t>
        </is>
      </c>
      <c r="G1815" s="3" t="inlineStr">
        <is>
          <t>Checking – Operating</t>
        </is>
      </c>
      <c r="H1815" s="3" t="inlineStr">
        <is>
          <t>Accounts Receivable</t>
        </is>
      </c>
      <c r="I1815" s="33" t="n">
        <v>-104121.66</v>
      </c>
      <c r="J1815" s="13">
        <f>+J1814+I1815</f>
        <v>197686.04</v>
      </c>
      <c r="K1815" s="19">
        <f>+EOMONTH(B1815,0)</f>
        <v>46326</v>
      </c>
      <c r="L1815" s="3" t="inlineStr">
        <is>
          <t>Accounts Receivable</t>
        </is>
      </c>
      <c r="M1815" s="3" t="inlineStr">
        <is>
          <t>Balance Sheet</t>
        </is>
      </c>
    </row>
    <row r="1816">
      <c r="B1816" s="39" t="n">
        <v>46323</v>
      </c>
      <c r="C1816" s="3" t="inlineStr">
        <is>
          <t>Payment</t>
        </is>
      </c>
      <c r="D1816" s="3" t="inlineStr"/>
      <c r="E1816" s="3" t="inlineStr">
        <is>
          <t>Marrowby Mutual</t>
        </is>
      </c>
      <c r="F1816" s="3" t="inlineStr">
        <is>
          <t>Remittance applied</t>
        </is>
      </c>
      <c r="G1816" s="3" t="inlineStr">
        <is>
          <t>Checking – Operating</t>
        </is>
      </c>
      <c r="H1816" s="3" t="inlineStr">
        <is>
          <t>Accounts Receivable</t>
        </is>
      </c>
      <c r="I1816" s="33" t="n">
        <v>-99712.77</v>
      </c>
      <c r="J1816" s="13">
        <f>+J1815+I1816</f>
        <v>97973.2700000005</v>
      </c>
      <c r="K1816" s="19">
        <f>+EOMONTH(B1816,0)</f>
        <v>46326</v>
      </c>
      <c r="L1816" s="3" t="inlineStr">
        <is>
          <t>Accounts Receivable</t>
        </is>
      </c>
      <c r="M1816" s="3" t="inlineStr">
        <is>
          <t>Balance Sheet</t>
        </is>
      </c>
    </row>
    <row r="1817">
      <c r="B1817" s="39" t="n">
        <v>46326</v>
      </c>
      <c r="C1817" s="3" t="inlineStr">
        <is>
          <t>Payment</t>
        </is>
      </c>
      <c r="D1817" s="3" t="inlineStr"/>
      <c r="E1817" s="3" t="inlineStr">
        <is>
          <t>Federal Program A</t>
        </is>
      </c>
      <c r="F1817" s="3" t="inlineStr">
        <is>
          <t>Remittance applied</t>
        </is>
      </c>
      <c r="G1817" s="3" t="inlineStr">
        <is>
          <t>Checking – Operating</t>
        </is>
      </c>
      <c r="H1817" s="3" t="inlineStr">
        <is>
          <t>Accounts Receivable</t>
        </is>
      </c>
      <c r="I1817" s="33" t="n">
        <v>-138347.95</v>
      </c>
      <c r="J1817" s="13">
        <f>+J1816+I1817</f>
        <v>-40374.6799999995</v>
      </c>
      <c r="K1817" s="19">
        <f>+EOMONTH(B1817,0)</f>
        <v>46326</v>
      </c>
      <c r="L1817" s="3" t="inlineStr">
        <is>
          <t>Accounts Receivable</t>
        </is>
      </c>
      <c r="M1817" s="3" t="inlineStr">
        <is>
          <t>Balance Sheet</t>
        </is>
      </c>
    </row>
    <row r="1818">
      <c r="B1818" s="39" t="n">
        <v>46326</v>
      </c>
      <c r="C1818" s="3" t="inlineStr">
        <is>
          <t>Payment</t>
        </is>
      </c>
      <c r="D1818" s="3" t="inlineStr"/>
      <c r="E1818" s="3" t="inlineStr">
        <is>
          <t>State Program B</t>
        </is>
      </c>
      <c r="F1818" s="3" t="inlineStr">
        <is>
          <t>Remittance applied</t>
        </is>
      </c>
      <c r="G1818" s="3" t="inlineStr">
        <is>
          <t>Checking – Operating</t>
        </is>
      </c>
      <c r="H1818" s="3" t="inlineStr">
        <is>
          <t>Accounts Receivable</t>
        </is>
      </c>
      <c r="I1818" s="33" t="n">
        <v>-50799.86</v>
      </c>
      <c r="J1818" s="13">
        <f>+J1817+I1818</f>
        <v>-91174.5399999995</v>
      </c>
      <c r="K1818" s="19">
        <f>+EOMONTH(B1818,0)</f>
        <v>46326</v>
      </c>
      <c r="L1818" s="3" t="inlineStr">
        <is>
          <t>Accounts Receivable</t>
        </is>
      </c>
      <c r="M1818" s="3" t="inlineStr">
        <is>
          <t>Balance Sheet</t>
        </is>
      </c>
    </row>
    <row r="1819">
      <c r="B1819" s="39" t="n">
        <v>46328</v>
      </c>
      <c r="C1819" s="3" t="inlineStr">
        <is>
          <t>Invoice</t>
        </is>
      </c>
      <c r="D1819" s="3" t="inlineStr">
        <is>
          <t>INV-26082</t>
        </is>
      </c>
      <c r="E1819" s="3" t="inlineStr">
        <is>
          <t>Vantrelle Health Plan</t>
        </is>
      </c>
      <c r="F1819" s="3" t="inlineStr">
        <is>
          <t>Claims batch – November</t>
        </is>
      </c>
      <c r="G1819" s="3" t="inlineStr">
        <is>
          <t>Service Income</t>
        </is>
      </c>
      <c r="H1819" s="3" t="inlineStr">
        <is>
          <t>Accounts Receivable</t>
        </is>
      </c>
      <c r="I1819" s="33" t="n">
        <v>300484.88</v>
      </c>
      <c r="J1819" s="13">
        <f>+J1818+I1819</f>
        <v>209310.34</v>
      </c>
      <c r="K1819" s="19">
        <f>+EOMONTH(B1819,0)</f>
        <v>46356</v>
      </c>
      <c r="L1819" s="3" t="inlineStr">
        <is>
          <t>Accounts Receivable</t>
        </is>
      </c>
      <c r="M1819" s="3" t="inlineStr">
        <is>
          <t>Balance Sheet</t>
        </is>
      </c>
    </row>
    <row r="1820">
      <c r="B1820" s="39" t="n">
        <v>46328</v>
      </c>
      <c r="C1820" s="3" t="inlineStr">
        <is>
          <t>Invoice</t>
        </is>
      </c>
      <c r="D1820" s="3" t="inlineStr">
        <is>
          <t>INV-26088</t>
        </is>
      </c>
      <c r="E1820" s="3" t="inlineStr">
        <is>
          <t>Quayside Choice Senior Plan</t>
        </is>
      </c>
      <c r="F1820" s="3" t="inlineStr">
        <is>
          <t>Claims batch – November</t>
        </is>
      </c>
      <c r="G1820" s="3" t="inlineStr">
        <is>
          <t>Service Income</t>
        </is>
      </c>
      <c r="H1820" s="3" t="inlineStr">
        <is>
          <t>Accounts Receivable</t>
        </is>
      </c>
      <c r="I1820" s="33" t="n">
        <v>137161.87</v>
      </c>
      <c r="J1820" s="13">
        <f>+J1819+I1820</f>
        <v>346472.21</v>
      </c>
      <c r="K1820" s="19">
        <f>+EOMONTH(B1820,0)</f>
        <v>46356</v>
      </c>
      <c r="L1820" s="3" t="inlineStr">
        <is>
          <t>Accounts Receivable</t>
        </is>
      </c>
      <c r="M1820" s="3" t="inlineStr">
        <is>
          <t>Balance Sheet</t>
        </is>
      </c>
    </row>
    <row r="1821">
      <c r="B1821" s="39" t="n">
        <v>46328</v>
      </c>
      <c r="C1821" s="3" t="inlineStr">
        <is>
          <t>Payment</t>
        </is>
      </c>
      <c r="D1821" s="3" t="inlineStr"/>
      <c r="E1821" s="3" t="inlineStr">
        <is>
          <t>Lanternway Benefits</t>
        </is>
      </c>
      <c r="F1821" s="3" t="inlineStr">
        <is>
          <t>Remittance applied</t>
        </is>
      </c>
      <c r="G1821" s="3" t="inlineStr">
        <is>
          <t>Checking – Operating</t>
        </is>
      </c>
      <c r="H1821" s="3" t="inlineStr">
        <is>
          <t>Accounts Receivable</t>
        </is>
      </c>
      <c r="I1821" s="33" t="n">
        <v>-42763.05</v>
      </c>
      <c r="J1821" s="13">
        <f>+J1820+I1821</f>
        <v>303709.16</v>
      </c>
      <c r="K1821" s="19">
        <f>+EOMONTH(B1821,0)</f>
        <v>46356</v>
      </c>
      <c r="L1821" s="3" t="inlineStr">
        <is>
          <t>Accounts Receivable</t>
        </is>
      </c>
      <c r="M1821" s="3" t="inlineStr">
        <is>
          <t>Balance Sheet</t>
        </is>
      </c>
    </row>
    <row r="1822">
      <c r="B1822" s="39" t="n">
        <v>46328</v>
      </c>
      <c r="C1822" s="3" t="inlineStr">
        <is>
          <t>Payment</t>
        </is>
      </c>
      <c r="D1822" s="3" t="inlineStr"/>
      <c r="E1822" s="3" t="inlineStr">
        <is>
          <t>Cobaltmere Health</t>
        </is>
      </c>
      <c r="F1822" s="3" t="inlineStr">
        <is>
          <t>Remittance applied</t>
        </is>
      </c>
      <c r="G1822" s="3" t="inlineStr">
        <is>
          <t>Checking – Operating</t>
        </is>
      </c>
      <c r="H1822" s="3" t="inlineStr">
        <is>
          <t>Accounts Receivable</t>
        </is>
      </c>
      <c r="I1822" s="33" t="n">
        <v>-24470.59</v>
      </c>
      <c r="J1822" s="13">
        <f>+J1821+I1822</f>
        <v>279238.57</v>
      </c>
      <c r="K1822" s="19">
        <f>+EOMONTH(B1822,0)</f>
        <v>46356</v>
      </c>
      <c r="L1822" s="3" t="inlineStr">
        <is>
          <t>Accounts Receivable</t>
        </is>
      </c>
      <c r="M1822" s="3" t="inlineStr">
        <is>
          <t>Balance Sheet</t>
        </is>
      </c>
    </row>
    <row r="1823">
      <c r="B1823" s="39" t="n">
        <v>46329</v>
      </c>
      <c r="C1823" s="3" t="inlineStr">
        <is>
          <t>Invoice</t>
        </is>
      </c>
      <c r="D1823" s="3" t="inlineStr">
        <is>
          <t>INV-26086</t>
        </is>
      </c>
      <c r="E1823" s="3" t="inlineStr">
        <is>
          <t>Silvermoss Senior Living</t>
        </is>
      </c>
      <c r="F1823" s="3" t="inlineStr">
        <is>
          <t>Claims batch – November</t>
        </is>
      </c>
      <c r="G1823" s="3" t="inlineStr">
        <is>
          <t>Service Income</t>
        </is>
      </c>
      <c r="H1823" s="3" t="inlineStr">
        <is>
          <t>Accounts Receivable</t>
        </is>
      </c>
      <c r="I1823" s="33" t="n">
        <v>99928.11</v>
      </c>
      <c r="J1823" s="13">
        <f>+J1822+I1823</f>
        <v>379166.68</v>
      </c>
      <c r="K1823" s="19">
        <f>+EOMONTH(B1823,0)</f>
        <v>46356</v>
      </c>
      <c r="L1823" s="3" t="inlineStr">
        <is>
          <t>Accounts Receivable</t>
        </is>
      </c>
      <c r="M1823" s="3" t="inlineStr">
        <is>
          <t>Balance Sheet</t>
        </is>
      </c>
    </row>
    <row r="1824">
      <c r="B1824" s="39" t="n">
        <v>46330</v>
      </c>
      <c r="C1824" s="3" t="inlineStr">
        <is>
          <t>Invoice</t>
        </is>
      </c>
      <c r="D1824" s="3" t="inlineStr">
        <is>
          <t>INV-26085</t>
        </is>
      </c>
      <c r="E1824" s="3" t="inlineStr">
        <is>
          <t>State Program B</t>
        </is>
      </c>
      <c r="F1824" s="3" t="inlineStr">
        <is>
          <t>Claims batch – November</t>
        </is>
      </c>
      <c r="G1824" s="3" t="inlineStr">
        <is>
          <t>Service Income</t>
        </is>
      </c>
      <c r="H1824" s="3" t="inlineStr">
        <is>
          <t>Accounts Receivable</t>
        </is>
      </c>
      <c r="I1824" s="33" t="n">
        <v>101101.85</v>
      </c>
      <c r="J1824" s="13">
        <f>+J1823+I1824</f>
        <v>480268.53</v>
      </c>
      <c r="K1824" s="19">
        <f>+EOMONTH(B1824,0)</f>
        <v>46356</v>
      </c>
      <c r="L1824" s="3" t="inlineStr">
        <is>
          <t>Accounts Receivable</t>
        </is>
      </c>
      <c r="M1824" s="3" t="inlineStr">
        <is>
          <t>Balance Sheet</t>
        </is>
      </c>
    </row>
    <row r="1825">
      <c r="B1825" s="39" t="n">
        <v>46331</v>
      </c>
      <c r="C1825" s="3" t="inlineStr">
        <is>
          <t>Invoice</t>
        </is>
      </c>
      <c r="D1825" s="3" t="inlineStr">
        <is>
          <t>INV-26084</t>
        </is>
      </c>
      <c r="E1825" s="3" t="inlineStr">
        <is>
          <t>Federal Program A</t>
        </is>
      </c>
      <c r="F1825" s="3" t="inlineStr">
        <is>
          <t>Claims batch – November</t>
        </is>
      </c>
      <c r="G1825" s="3" t="inlineStr">
        <is>
          <t>Service Income</t>
        </is>
      </c>
      <c r="H1825" s="3" t="inlineStr">
        <is>
          <t>Accounts Receivable</t>
        </is>
      </c>
      <c r="I1825" s="33" t="n">
        <v>225760.14</v>
      </c>
      <c r="J1825" s="13">
        <f>+J1824+I1825</f>
        <v>706028.67</v>
      </c>
      <c r="K1825" s="19">
        <f>+EOMONTH(B1825,0)</f>
        <v>46356</v>
      </c>
      <c r="L1825" s="3" t="inlineStr">
        <is>
          <t>Accounts Receivable</t>
        </is>
      </c>
      <c r="M1825" s="3" t="inlineStr">
        <is>
          <t>Balance Sheet</t>
        </is>
      </c>
    </row>
    <row r="1826">
      <c r="B1826" s="39" t="n">
        <v>46331</v>
      </c>
      <c r="C1826" s="3" t="inlineStr">
        <is>
          <t>Invoice</t>
        </is>
      </c>
      <c r="D1826" s="3" t="inlineStr">
        <is>
          <t>INV-26087</t>
        </is>
      </c>
      <c r="E1826" s="3" t="inlineStr">
        <is>
          <t>Lanternway Benefits</t>
        </is>
      </c>
      <c r="F1826" s="3" t="inlineStr">
        <is>
          <t>Claims batch – November</t>
        </is>
      </c>
      <c r="G1826" s="3" t="inlineStr">
        <is>
          <t>Service Income</t>
        </is>
      </c>
      <c r="H1826" s="3" t="inlineStr">
        <is>
          <t>Accounts Receivable</t>
        </is>
      </c>
      <c r="I1826" s="33" t="n">
        <v>112792.83</v>
      </c>
      <c r="J1826" s="13">
        <f>+J1825+I1826</f>
        <v>818821.5</v>
      </c>
      <c r="K1826" s="19">
        <f>+EOMONTH(B1826,0)</f>
        <v>46356</v>
      </c>
      <c r="L1826" s="3" t="inlineStr">
        <is>
          <t>Accounts Receivable</t>
        </is>
      </c>
      <c r="M1826" s="3" t="inlineStr">
        <is>
          <t>Balance Sheet</t>
        </is>
      </c>
    </row>
    <row r="1827">
      <c r="B1827" s="39" t="n">
        <v>46332</v>
      </c>
      <c r="C1827" s="3" t="inlineStr">
        <is>
          <t>Invoice</t>
        </is>
      </c>
      <c r="D1827" s="3" t="inlineStr">
        <is>
          <t>INV-26083</t>
        </is>
      </c>
      <c r="E1827" s="3" t="inlineStr">
        <is>
          <t>Marrowby Mutual</t>
        </is>
      </c>
      <c r="F1827" s="3" t="inlineStr">
        <is>
          <t>Claims batch – November</t>
        </is>
      </c>
      <c r="G1827" s="3" t="inlineStr">
        <is>
          <t>Service Income</t>
        </is>
      </c>
      <c r="H1827" s="3" t="inlineStr">
        <is>
          <t>Accounts Receivable</t>
        </is>
      </c>
      <c r="I1827" s="33" t="n">
        <v>168727.06</v>
      </c>
      <c r="J1827" s="13">
        <f>+J1826+I1827</f>
        <v>987548.56</v>
      </c>
      <c r="K1827" s="19">
        <f>+EOMONTH(B1827,0)</f>
        <v>46356</v>
      </c>
      <c r="L1827" s="3" t="inlineStr">
        <is>
          <t>Accounts Receivable</t>
        </is>
      </c>
      <c r="M1827" s="3" t="inlineStr">
        <is>
          <t>Balance Sheet</t>
        </is>
      </c>
    </row>
    <row r="1828">
      <c r="B1828" s="39" t="n">
        <v>46332</v>
      </c>
      <c r="C1828" s="3" t="inlineStr">
        <is>
          <t>Payment</t>
        </is>
      </c>
      <c r="D1828" s="3" t="inlineStr"/>
      <c r="E1828" s="3" t="inlineStr">
        <is>
          <t>State Program B</t>
        </is>
      </c>
      <c r="F1828" s="3" t="inlineStr">
        <is>
          <t>Remittance applied</t>
        </is>
      </c>
      <c r="G1828" s="3" t="inlineStr">
        <is>
          <t>Checking – Operating</t>
        </is>
      </c>
      <c r="H1828" s="3" t="inlineStr">
        <is>
          <t>Accounts Receivable</t>
        </is>
      </c>
      <c r="I1828" s="33" t="n">
        <v>-61461.25</v>
      </c>
      <c r="J1828" s="13">
        <f>+J1827+I1828</f>
        <v>926087.31</v>
      </c>
      <c r="K1828" s="19">
        <f>+EOMONTH(B1828,0)</f>
        <v>46356</v>
      </c>
      <c r="L1828" s="3" t="inlineStr">
        <is>
          <t>Accounts Receivable</t>
        </is>
      </c>
      <c r="M1828" s="3" t="inlineStr">
        <is>
          <t>Balance Sheet</t>
        </is>
      </c>
    </row>
    <row r="1829">
      <c r="B1829" s="39" t="n">
        <v>46333</v>
      </c>
      <c r="C1829" s="3" t="inlineStr">
        <is>
          <t>Invoice</t>
        </is>
      </c>
      <c r="D1829" s="3" t="inlineStr">
        <is>
          <t>INV-26089</t>
        </is>
      </c>
      <c r="E1829" s="3" t="inlineStr">
        <is>
          <t>Cobaltmere Health</t>
        </is>
      </c>
      <c r="F1829" s="3" t="inlineStr">
        <is>
          <t>Claims batch – November</t>
        </is>
      </c>
      <c r="G1829" s="3" t="inlineStr">
        <is>
          <t>Service Income</t>
        </is>
      </c>
      <c r="H1829" s="3" t="inlineStr">
        <is>
          <t>Accounts Receivable</t>
        </is>
      </c>
      <c r="I1829" s="33" t="n">
        <v>75359.03999999999</v>
      </c>
      <c r="J1829" s="13">
        <f>+J1828+I1829</f>
        <v>1001446.35</v>
      </c>
      <c r="K1829" s="19">
        <f>+EOMONTH(B1829,0)</f>
        <v>46356</v>
      </c>
      <c r="L1829" s="3" t="inlineStr">
        <is>
          <t>Accounts Receivable</t>
        </is>
      </c>
      <c r="M1829" s="3" t="inlineStr">
        <is>
          <t>Balance Sheet</t>
        </is>
      </c>
    </row>
    <row r="1830">
      <c r="B1830" s="39" t="n">
        <v>46334</v>
      </c>
      <c r="C1830" s="3" t="inlineStr">
        <is>
          <t>Payment</t>
        </is>
      </c>
      <c r="D1830" s="3" t="inlineStr"/>
      <c r="E1830" s="3" t="inlineStr">
        <is>
          <t>Silvermoss Senior Living</t>
        </is>
      </c>
      <c r="F1830" s="3" t="inlineStr">
        <is>
          <t>Remittance applied</t>
        </is>
      </c>
      <c r="G1830" s="3" t="inlineStr">
        <is>
          <t>Checking – Operating</t>
        </is>
      </c>
      <c r="H1830" s="3" t="inlineStr">
        <is>
          <t>Accounts Receivable</t>
        </is>
      </c>
      <c r="I1830" s="33" t="n">
        <v>-24357.84</v>
      </c>
      <c r="J1830" s="13">
        <f>+J1829+I1830</f>
        <v>977088.51</v>
      </c>
      <c r="K1830" s="19">
        <f>+EOMONTH(B1830,0)</f>
        <v>46356</v>
      </c>
      <c r="L1830" s="3" t="inlineStr">
        <is>
          <t>Accounts Receivable</t>
        </is>
      </c>
      <c r="M1830" s="3" t="inlineStr">
        <is>
          <t>Balance Sheet</t>
        </is>
      </c>
    </row>
    <row r="1831">
      <c r="B1831" s="39" t="n">
        <v>46335</v>
      </c>
      <c r="C1831" s="3" t="inlineStr">
        <is>
          <t>Payment</t>
        </is>
      </c>
      <c r="D1831" s="3" t="inlineStr"/>
      <c r="E1831" s="3" t="inlineStr">
        <is>
          <t>Federal Program A</t>
        </is>
      </c>
      <c r="F1831" s="3" t="inlineStr">
        <is>
          <t>Remittance applied</t>
        </is>
      </c>
      <c r="G1831" s="3" t="inlineStr">
        <is>
          <t>Checking – Operating</t>
        </is>
      </c>
      <c r="H1831" s="3" t="inlineStr">
        <is>
          <t>Accounts Receivable</t>
        </is>
      </c>
      <c r="I1831" s="33" t="n">
        <v>-121878.88</v>
      </c>
      <c r="J1831" s="13">
        <f>+J1830+I1831</f>
        <v>855209.63</v>
      </c>
      <c r="K1831" s="19">
        <f>+EOMONTH(B1831,0)</f>
        <v>46356</v>
      </c>
      <c r="L1831" s="3" t="inlineStr">
        <is>
          <t>Accounts Receivable</t>
        </is>
      </c>
      <c r="M1831" s="3" t="inlineStr">
        <is>
          <t>Balance Sheet</t>
        </is>
      </c>
    </row>
    <row r="1832">
      <c r="B1832" s="39" t="n">
        <v>46335</v>
      </c>
      <c r="C1832" s="3" t="inlineStr">
        <is>
          <t>Payment</t>
        </is>
      </c>
      <c r="D1832" s="3" t="inlineStr"/>
      <c r="E1832" s="3" t="inlineStr">
        <is>
          <t>Silvermoss Senior Living</t>
        </is>
      </c>
      <c r="F1832" s="3" t="inlineStr">
        <is>
          <t>Remittance applied</t>
        </is>
      </c>
      <c r="G1832" s="3" t="inlineStr">
        <is>
          <t>Checking – Operating</t>
        </is>
      </c>
      <c r="H1832" s="3" t="inlineStr">
        <is>
          <t>Accounts Receivable</t>
        </is>
      </c>
      <c r="I1832" s="33" t="n">
        <v>-45637.11</v>
      </c>
      <c r="J1832" s="13">
        <f>+J1831+I1832</f>
        <v>809572.52</v>
      </c>
      <c r="K1832" s="19">
        <f>+EOMONTH(B1832,0)</f>
        <v>46356</v>
      </c>
      <c r="L1832" s="3" t="inlineStr">
        <is>
          <t>Accounts Receivable</t>
        </is>
      </c>
      <c r="M1832" s="3" t="inlineStr">
        <is>
          <t>Balance Sheet</t>
        </is>
      </c>
    </row>
    <row r="1833">
      <c r="B1833" s="39" t="n">
        <v>46336</v>
      </c>
      <c r="C1833" s="3" t="inlineStr">
        <is>
          <t>Payment</t>
        </is>
      </c>
      <c r="D1833" s="3" t="inlineStr"/>
      <c r="E1833" s="3" t="inlineStr">
        <is>
          <t>Lanternway Benefits</t>
        </is>
      </c>
      <c r="F1833" s="3" t="inlineStr">
        <is>
          <t>Remittance applied</t>
        </is>
      </c>
      <c r="G1833" s="3" t="inlineStr">
        <is>
          <t>Checking – Operating</t>
        </is>
      </c>
      <c r="H1833" s="3" t="inlineStr">
        <is>
          <t>Accounts Receivable</t>
        </is>
      </c>
      <c r="I1833" s="33" t="n">
        <v>-33577.77</v>
      </c>
      <c r="J1833" s="13">
        <f>+J1832+I1833</f>
        <v>775994.75</v>
      </c>
      <c r="K1833" s="19">
        <f>+EOMONTH(B1833,0)</f>
        <v>46356</v>
      </c>
      <c r="L1833" s="3" t="inlineStr">
        <is>
          <t>Accounts Receivable</t>
        </is>
      </c>
      <c r="M1833" s="3" t="inlineStr">
        <is>
          <t>Balance Sheet</t>
        </is>
      </c>
    </row>
    <row r="1834">
      <c r="B1834" s="39" t="n">
        <v>46339</v>
      </c>
      <c r="C1834" s="3" t="inlineStr">
        <is>
          <t>Payment</t>
        </is>
      </c>
      <c r="D1834" s="3" t="inlineStr"/>
      <c r="E1834" s="3" t="inlineStr">
        <is>
          <t>Silvermoss Senior Living</t>
        </is>
      </c>
      <c r="F1834" s="3" t="inlineStr">
        <is>
          <t>Remittance applied</t>
        </is>
      </c>
      <c r="G1834" s="3" t="inlineStr">
        <is>
          <t>Checking – Operating</t>
        </is>
      </c>
      <c r="H1834" s="3" t="inlineStr">
        <is>
          <t>Accounts Receivable</t>
        </is>
      </c>
      <c r="I1834" s="33" t="n">
        <v>-23490.02</v>
      </c>
      <c r="J1834" s="13">
        <f>+J1833+I1834</f>
        <v>752504.73</v>
      </c>
      <c r="K1834" s="19">
        <f>+EOMONTH(B1834,0)</f>
        <v>46356</v>
      </c>
      <c r="L1834" s="3" t="inlineStr">
        <is>
          <t>Accounts Receivable</t>
        </is>
      </c>
      <c r="M1834" s="3" t="inlineStr">
        <is>
          <t>Balance Sheet</t>
        </is>
      </c>
    </row>
    <row r="1835">
      <c r="B1835" s="39" t="n">
        <v>46342</v>
      </c>
      <c r="C1835" s="3" t="inlineStr">
        <is>
          <t>Payment</t>
        </is>
      </c>
      <c r="D1835" s="3" t="inlineStr"/>
      <c r="E1835" s="3" t="inlineStr">
        <is>
          <t>Quayside Choice Senior Plan</t>
        </is>
      </c>
      <c r="F1835" s="3" t="inlineStr">
        <is>
          <t>Remittance applied</t>
        </is>
      </c>
      <c r="G1835" s="3" t="inlineStr">
        <is>
          <t>Checking – Operating</t>
        </is>
      </c>
      <c r="H1835" s="3" t="inlineStr">
        <is>
          <t>Accounts Receivable</t>
        </is>
      </c>
      <c r="I1835" s="33" t="n">
        <v>-59980.33</v>
      </c>
      <c r="J1835" s="13">
        <f>+J1834+I1835</f>
        <v>692524.4</v>
      </c>
      <c r="K1835" s="19">
        <f>+EOMONTH(B1835,0)</f>
        <v>46356</v>
      </c>
      <c r="L1835" s="3" t="inlineStr">
        <is>
          <t>Accounts Receivable</t>
        </is>
      </c>
      <c r="M1835" s="3" t="inlineStr">
        <is>
          <t>Balance Sheet</t>
        </is>
      </c>
    </row>
    <row r="1836">
      <c r="B1836" s="39" t="n">
        <v>46343</v>
      </c>
      <c r="C1836" s="3" t="inlineStr">
        <is>
          <t>Payment</t>
        </is>
      </c>
      <c r="D1836" s="3" t="inlineStr"/>
      <c r="E1836" s="3" t="inlineStr">
        <is>
          <t>Cobaltmere Health</t>
        </is>
      </c>
      <c r="F1836" s="3" t="inlineStr">
        <is>
          <t>Remittance applied</t>
        </is>
      </c>
      <c r="G1836" s="3" t="inlineStr">
        <is>
          <t>Checking – Operating</t>
        </is>
      </c>
      <c r="H1836" s="3" t="inlineStr">
        <is>
          <t>Accounts Receivable</t>
        </is>
      </c>
      <c r="I1836" s="33" t="n">
        <v>-23048.94</v>
      </c>
      <c r="J1836" s="13">
        <f>+J1835+I1836</f>
        <v>669475.46</v>
      </c>
      <c r="K1836" s="19">
        <f>+EOMONTH(B1836,0)</f>
        <v>46356</v>
      </c>
      <c r="L1836" s="3" t="inlineStr">
        <is>
          <t>Accounts Receivable</t>
        </is>
      </c>
      <c r="M1836" s="3" t="inlineStr">
        <is>
          <t>Balance Sheet</t>
        </is>
      </c>
    </row>
    <row r="1837">
      <c r="B1837" s="39" t="n">
        <v>46345</v>
      </c>
      <c r="C1837" s="3" t="inlineStr">
        <is>
          <t>Payment</t>
        </is>
      </c>
      <c r="D1837" s="3" t="inlineStr"/>
      <c r="E1837" s="3" t="inlineStr">
        <is>
          <t>Marrowby Mutual</t>
        </is>
      </c>
      <c r="F1837" s="3" t="inlineStr">
        <is>
          <t>Remittance applied</t>
        </is>
      </c>
      <c r="G1837" s="3" t="inlineStr">
        <is>
          <t>Checking – Operating</t>
        </is>
      </c>
      <c r="H1837" s="3" t="inlineStr">
        <is>
          <t>Accounts Receivable</t>
        </is>
      </c>
      <c r="I1837" s="33" t="n">
        <v>-54994.46</v>
      </c>
      <c r="J1837" s="13">
        <f>+J1836+I1837</f>
        <v>614481.000000001</v>
      </c>
      <c r="K1837" s="19">
        <f>+EOMONTH(B1837,0)</f>
        <v>46356</v>
      </c>
      <c r="L1837" s="3" t="inlineStr">
        <is>
          <t>Accounts Receivable</t>
        </is>
      </c>
      <c r="M1837" s="3" t="inlineStr">
        <is>
          <t>Balance Sheet</t>
        </is>
      </c>
    </row>
    <row r="1838">
      <c r="B1838" s="39" t="n">
        <v>46347</v>
      </c>
      <c r="C1838" s="3" t="inlineStr">
        <is>
          <t>Payment</t>
        </is>
      </c>
      <c r="D1838" s="3" t="inlineStr"/>
      <c r="E1838" s="3" t="inlineStr">
        <is>
          <t>Marrowby Mutual</t>
        </is>
      </c>
      <c r="F1838" s="3" t="inlineStr">
        <is>
          <t>Remittance applied</t>
        </is>
      </c>
      <c r="G1838" s="3" t="inlineStr">
        <is>
          <t>Checking – Operating</t>
        </is>
      </c>
      <c r="H1838" s="3" t="inlineStr">
        <is>
          <t>Accounts Receivable</t>
        </is>
      </c>
      <c r="I1838" s="33" t="n">
        <v>-62835.17</v>
      </c>
      <c r="J1838" s="13">
        <f>+J1837+I1838</f>
        <v>551645.83</v>
      </c>
      <c r="K1838" s="19">
        <f>+EOMONTH(B1838,0)</f>
        <v>46356</v>
      </c>
      <c r="L1838" s="3" t="inlineStr">
        <is>
          <t>Accounts Receivable</t>
        </is>
      </c>
      <c r="M1838" s="3" t="inlineStr">
        <is>
          <t>Balance Sheet</t>
        </is>
      </c>
    </row>
    <row r="1839">
      <c r="B1839" s="39" t="n">
        <v>46348</v>
      </c>
      <c r="C1839" s="3" t="inlineStr">
        <is>
          <t>Payment</t>
        </is>
      </c>
      <c r="D1839" s="3" t="inlineStr"/>
      <c r="E1839" s="3" t="inlineStr">
        <is>
          <t>State Program B</t>
        </is>
      </c>
      <c r="F1839" s="3" t="inlineStr">
        <is>
          <t>Remittance applied</t>
        </is>
      </c>
      <c r="G1839" s="3" t="inlineStr">
        <is>
          <t>Checking – Operating</t>
        </is>
      </c>
      <c r="H1839" s="3" t="inlineStr">
        <is>
          <t>Accounts Receivable</t>
        </is>
      </c>
      <c r="I1839" s="33" t="n">
        <v>-43709.35</v>
      </c>
      <c r="J1839" s="13">
        <f>+J1838+I1839</f>
        <v>507936.48</v>
      </c>
      <c r="K1839" s="19">
        <f>+EOMONTH(B1839,0)</f>
        <v>46356</v>
      </c>
      <c r="L1839" s="3" t="inlineStr">
        <is>
          <t>Accounts Receivable</t>
        </is>
      </c>
      <c r="M1839" s="3" t="inlineStr">
        <is>
          <t>Balance Sheet</t>
        </is>
      </c>
    </row>
    <row r="1840">
      <c r="B1840" s="39" t="n">
        <v>46350</v>
      </c>
      <c r="C1840" s="3" t="inlineStr">
        <is>
          <t>Payment</t>
        </is>
      </c>
      <c r="D1840" s="3" t="inlineStr"/>
      <c r="E1840" s="3" t="inlineStr">
        <is>
          <t>Vantrelle Health Plan</t>
        </is>
      </c>
      <c r="F1840" s="3" t="inlineStr">
        <is>
          <t>Remittance applied</t>
        </is>
      </c>
      <c r="G1840" s="3" t="inlineStr">
        <is>
          <t>Checking – Operating</t>
        </is>
      </c>
      <c r="H1840" s="3" t="inlineStr">
        <is>
          <t>Accounts Receivable</t>
        </is>
      </c>
      <c r="I1840" s="33" t="n">
        <v>-139900.21</v>
      </c>
      <c r="J1840" s="13">
        <f>+J1839+I1840</f>
        <v>368036.270000001</v>
      </c>
      <c r="K1840" s="19">
        <f>+EOMONTH(B1840,0)</f>
        <v>46356</v>
      </c>
      <c r="L1840" s="3" t="inlineStr">
        <is>
          <t>Accounts Receivable</t>
        </is>
      </c>
      <c r="M1840" s="3" t="inlineStr">
        <is>
          <t>Balance Sheet</t>
        </is>
      </c>
    </row>
    <row r="1841">
      <c r="B1841" s="39" t="n">
        <v>46351</v>
      </c>
      <c r="C1841" s="3" t="inlineStr">
        <is>
          <t>Payment</t>
        </is>
      </c>
      <c r="D1841" s="3" t="inlineStr"/>
      <c r="E1841" s="3" t="inlineStr">
        <is>
          <t>Lanternway Benefits</t>
        </is>
      </c>
      <c r="F1841" s="3" t="inlineStr">
        <is>
          <t>Remittance applied</t>
        </is>
      </c>
      <c r="G1841" s="3" t="inlineStr">
        <is>
          <t>Checking – Operating</t>
        </is>
      </c>
      <c r="H1841" s="3" t="inlineStr">
        <is>
          <t>Accounts Receivable</t>
        </is>
      </c>
      <c r="I1841" s="33" t="n">
        <v>-40515.4</v>
      </c>
      <c r="J1841" s="13">
        <f>+J1840+I1841</f>
        <v>327520.87</v>
      </c>
      <c r="K1841" s="19">
        <f>+EOMONTH(B1841,0)</f>
        <v>46356</v>
      </c>
      <c r="L1841" s="3" t="inlineStr">
        <is>
          <t>Accounts Receivable</t>
        </is>
      </c>
      <c r="M1841" s="3" t="inlineStr">
        <is>
          <t>Balance Sheet</t>
        </is>
      </c>
    </row>
    <row r="1842">
      <c r="B1842" s="39" t="n">
        <v>46352</v>
      </c>
      <c r="C1842" s="3" t="inlineStr">
        <is>
          <t>Payment</t>
        </is>
      </c>
      <c r="D1842" s="3" t="inlineStr"/>
      <c r="E1842" s="3" t="inlineStr">
        <is>
          <t>Quayside Choice Senior Plan</t>
        </is>
      </c>
      <c r="F1842" s="3" t="inlineStr">
        <is>
          <t>Remittance applied</t>
        </is>
      </c>
      <c r="G1842" s="3" t="inlineStr">
        <is>
          <t>Checking – Operating</t>
        </is>
      </c>
      <c r="H1842" s="3" t="inlineStr">
        <is>
          <t>Accounts Receivable</t>
        </is>
      </c>
      <c r="I1842" s="33" t="n">
        <v>-68561.50999999999</v>
      </c>
      <c r="J1842" s="13">
        <f>+J1841+I1842</f>
        <v>258959.36</v>
      </c>
      <c r="K1842" s="19">
        <f>+EOMONTH(B1842,0)</f>
        <v>46356</v>
      </c>
      <c r="L1842" s="3" t="inlineStr">
        <is>
          <t>Accounts Receivable</t>
        </is>
      </c>
      <c r="M1842" s="3" t="inlineStr">
        <is>
          <t>Balance Sheet</t>
        </is>
      </c>
    </row>
    <row r="1843">
      <c r="B1843" s="39" t="n">
        <v>46354</v>
      </c>
      <c r="C1843" s="3" t="inlineStr">
        <is>
          <t>Payment</t>
        </is>
      </c>
      <c r="D1843" s="3" t="inlineStr"/>
      <c r="E1843" s="3" t="inlineStr">
        <is>
          <t>Marrowby Mutual</t>
        </is>
      </c>
      <c r="F1843" s="3" t="inlineStr">
        <is>
          <t>Remittance applied</t>
        </is>
      </c>
      <c r="G1843" s="3" t="inlineStr">
        <is>
          <t>Checking – Operating</t>
        </is>
      </c>
      <c r="H1843" s="3" t="inlineStr">
        <is>
          <t>Accounts Receivable</t>
        </is>
      </c>
      <c r="I1843" s="33" t="n">
        <v>-45769.07</v>
      </c>
      <c r="J1843" s="13">
        <f>+J1842+I1843</f>
        <v>213190.29</v>
      </c>
      <c r="K1843" s="19">
        <f>+EOMONTH(B1843,0)</f>
        <v>46356</v>
      </c>
      <c r="L1843" s="3" t="inlineStr">
        <is>
          <t>Accounts Receivable</t>
        </is>
      </c>
      <c r="M1843" s="3" t="inlineStr">
        <is>
          <t>Balance Sheet</t>
        </is>
      </c>
    </row>
    <row r="1844">
      <c r="B1844" s="39" t="n">
        <v>46354</v>
      </c>
      <c r="C1844" s="3" t="inlineStr">
        <is>
          <t>Payment</t>
        </is>
      </c>
      <c r="D1844" s="3" t="inlineStr"/>
      <c r="E1844" s="3" t="inlineStr">
        <is>
          <t>Cobaltmere Health</t>
        </is>
      </c>
      <c r="F1844" s="3" t="inlineStr">
        <is>
          <t>Remittance applied</t>
        </is>
      </c>
      <c r="G1844" s="3" t="inlineStr">
        <is>
          <t>Checking – Operating</t>
        </is>
      </c>
      <c r="H1844" s="3" t="inlineStr">
        <is>
          <t>Accounts Receivable</t>
        </is>
      </c>
      <c r="I1844" s="33" t="n">
        <v>-22594.2</v>
      </c>
      <c r="J1844" s="13">
        <f>+J1843+I1844</f>
        <v>190596.09</v>
      </c>
      <c r="K1844" s="19">
        <f>+EOMONTH(B1844,0)</f>
        <v>46356</v>
      </c>
      <c r="L1844" s="3" t="inlineStr">
        <is>
          <t>Accounts Receivable</t>
        </is>
      </c>
      <c r="M1844" s="3" t="inlineStr">
        <is>
          <t>Balance Sheet</t>
        </is>
      </c>
    </row>
    <row r="1845">
      <c r="B1845" s="39" t="n">
        <v>46356</v>
      </c>
      <c r="C1845" s="3" t="inlineStr">
        <is>
          <t>Payment</t>
        </is>
      </c>
      <c r="D1845" s="3" t="inlineStr"/>
      <c r="E1845" s="3" t="inlineStr">
        <is>
          <t>Vantrelle Health Plan</t>
        </is>
      </c>
      <c r="F1845" s="3" t="inlineStr">
        <is>
          <t>Remittance applied</t>
        </is>
      </c>
      <c r="G1845" s="3" t="inlineStr">
        <is>
          <t>Checking – Operating</t>
        </is>
      </c>
      <c r="H1845" s="3" t="inlineStr">
        <is>
          <t>Accounts Receivable</t>
        </is>
      </c>
      <c r="I1845" s="33" t="n">
        <v>-140554.71</v>
      </c>
      <c r="J1845" s="13">
        <f>+J1844+I1845</f>
        <v>50041.3800000004</v>
      </c>
      <c r="K1845" s="19">
        <f>+EOMONTH(B1845,0)</f>
        <v>46356</v>
      </c>
      <c r="L1845" s="3" t="inlineStr">
        <is>
          <t>Accounts Receivable</t>
        </is>
      </c>
      <c r="M1845" s="3" t="inlineStr">
        <is>
          <t>Balance Sheet</t>
        </is>
      </c>
    </row>
    <row r="1846">
      <c r="B1846" s="39" t="n">
        <v>46356</v>
      </c>
      <c r="C1846" s="3" t="inlineStr">
        <is>
          <t>Payment</t>
        </is>
      </c>
      <c r="D1846" s="3" t="inlineStr"/>
      <c r="E1846" s="3" t="inlineStr">
        <is>
          <t>Federal Program A</t>
        </is>
      </c>
      <c r="F1846" s="3" t="inlineStr">
        <is>
          <t>Remittance applied</t>
        </is>
      </c>
      <c r="G1846" s="3" t="inlineStr">
        <is>
          <t>Checking – Operating</t>
        </is>
      </c>
      <c r="H1846" s="3" t="inlineStr">
        <is>
          <t>Accounts Receivable</t>
        </is>
      </c>
      <c r="I1846" s="33" t="n">
        <v>-88462.31</v>
      </c>
      <c r="J1846" s="13">
        <f>+J1845+I1846</f>
        <v>-38420.9299999996</v>
      </c>
      <c r="K1846" s="19">
        <f>+EOMONTH(B1846,0)</f>
        <v>46356</v>
      </c>
      <c r="L1846" s="3" t="inlineStr">
        <is>
          <t>Accounts Receivable</t>
        </is>
      </c>
      <c r="M1846" s="3" t="inlineStr">
        <is>
          <t>Balance Sheet</t>
        </is>
      </c>
    </row>
    <row r="1847">
      <c r="A1847" s="2" t="inlineStr">
        <is>
          <t>Total for Accounts Receivable</t>
        </is>
      </c>
      <c r="I1847" s="35">
        <f>SUM(I1535:I1846)</f>
        <v>-38420.9299999999</v>
      </c>
    </row>
    <row r="1849">
      <c r="A1849" s="2" t="inlineStr">
        <is>
          <t>Accounts Payable</t>
        </is>
      </c>
    </row>
    <row r="1850">
      <c r="B1850" s="39" t="n">
        <v>46024</v>
      </c>
      <c r="C1850" s="3" t="inlineStr">
        <is>
          <t>Bill</t>
        </is>
      </c>
      <c r="D1850" s="3" t="inlineStr"/>
      <c r="E1850" s="3" t="inlineStr">
        <is>
          <t>Reagentix Corp</t>
        </is>
      </c>
      <c r="F1850" s="3" t="inlineStr">
        <is>
          <t>Lab supplies PO# F2324</t>
        </is>
      </c>
      <c r="G1850" s="3" t="inlineStr">
        <is>
          <t>Lab Supplies</t>
        </is>
      </c>
      <c r="H1850" s="3" t="inlineStr">
        <is>
          <t>Accounts Payable</t>
        </is>
      </c>
      <c r="I1850" s="33" t="n">
        <v>31413.72</v>
      </c>
      <c r="J1850" s="13">
        <f>+I1850</f>
        <v>31413.72</v>
      </c>
      <c r="K1850" s="19">
        <f>+EOMONTH(B1850,0)</f>
        <v>46053</v>
      </c>
      <c r="L1850" s="3" t="inlineStr">
        <is>
          <t>Accounts Payable</t>
        </is>
      </c>
      <c r="M1850" s="3" t="inlineStr">
        <is>
          <t>Balance Sheet</t>
        </is>
      </c>
    </row>
    <row r="1851">
      <c r="B1851" s="39" t="n">
        <v>46026</v>
      </c>
      <c r="C1851" s="3" t="inlineStr">
        <is>
          <t>Bill</t>
        </is>
      </c>
      <c r="D1851" s="3" t="inlineStr"/>
      <c r="E1851" s="3" t="inlineStr">
        <is>
          <t>Northmoor Waste Services</t>
        </is>
      </c>
      <c r="F1851" s="3" t="inlineStr">
        <is>
          <t>Hazard Waste – January</t>
        </is>
      </c>
      <c r="G1851" s="3" t="inlineStr">
        <is>
          <t>Hazard Waste</t>
        </is>
      </c>
      <c r="H1851" s="3" t="inlineStr">
        <is>
          <t>Accounts Payable</t>
        </is>
      </c>
      <c r="I1851" s="33" t="n">
        <v>851.0599999999999</v>
      </c>
      <c r="J1851" s="13">
        <f>+J1850+I1851</f>
        <v>32264.78</v>
      </c>
      <c r="K1851" s="19">
        <f>+EOMONTH(B1851,0)</f>
        <v>46053</v>
      </c>
      <c r="L1851" s="3" t="inlineStr">
        <is>
          <t>Accounts Payable</t>
        </is>
      </c>
      <c r="M1851" s="3" t="inlineStr">
        <is>
          <t>Balance Sheet</t>
        </is>
      </c>
    </row>
    <row r="1852">
      <c r="B1852" s="39" t="n">
        <v>46027</v>
      </c>
      <c r="C1852" s="3" t="inlineStr">
        <is>
          <t>Bill</t>
        </is>
      </c>
      <c r="D1852" s="3" t="inlineStr"/>
      <c r="E1852" s="3" t="inlineStr">
        <is>
          <t>Vialtrace Lab Supplies Inc</t>
        </is>
      </c>
      <c r="F1852" s="3" t="inlineStr">
        <is>
          <t>Lab supplies PO# F2165</t>
        </is>
      </c>
      <c r="G1852" s="3" t="inlineStr">
        <is>
          <t>Lab Supplies</t>
        </is>
      </c>
      <c r="H1852" s="3" t="inlineStr">
        <is>
          <t>Accounts Payable</t>
        </is>
      </c>
      <c r="I1852" s="33" t="n">
        <v>25920.16</v>
      </c>
      <c r="J1852" s="13">
        <f>+J1851+I1852</f>
        <v>58184.94</v>
      </c>
      <c r="K1852" s="19">
        <f>+EOMONTH(B1852,0)</f>
        <v>46053</v>
      </c>
      <c r="L1852" s="3" t="inlineStr">
        <is>
          <t>Accounts Payable</t>
        </is>
      </c>
      <c r="M1852" s="3" t="inlineStr">
        <is>
          <t>Balance Sheet</t>
        </is>
      </c>
    </row>
    <row r="1853">
      <c r="B1853" s="39" t="n">
        <v>46027</v>
      </c>
      <c r="C1853" s="3" t="inlineStr">
        <is>
          <t>Bill</t>
        </is>
      </c>
      <c r="D1853" s="3" t="inlineStr"/>
      <c r="E1853" s="3" t="inlineStr">
        <is>
          <t>Lumenlease Equipment</t>
        </is>
      </c>
      <c r="F1853" s="3" t="inlineStr">
        <is>
          <t>Equipment Lease – January</t>
        </is>
      </c>
      <c r="G1853" s="3" t="inlineStr">
        <is>
          <t>Equipment Lease</t>
        </is>
      </c>
      <c r="H1853" s="3" t="inlineStr">
        <is>
          <t>Accounts Payable</t>
        </is>
      </c>
      <c r="I1853" s="33" t="n">
        <v>4381.77</v>
      </c>
      <c r="J1853" s="13">
        <f>+J1852+I1853</f>
        <v>62566.71</v>
      </c>
      <c r="K1853" s="19">
        <f>+EOMONTH(B1853,0)</f>
        <v>46053</v>
      </c>
      <c r="L1853" s="3" t="inlineStr">
        <is>
          <t>Accounts Payable</t>
        </is>
      </c>
      <c r="M1853" s="3" t="inlineStr">
        <is>
          <t>Balance Sheet</t>
        </is>
      </c>
    </row>
    <row r="1854">
      <c r="B1854" s="39" t="n">
        <v>46028</v>
      </c>
      <c r="C1854" s="3" t="inlineStr">
        <is>
          <t>Bill</t>
        </is>
      </c>
      <c r="D1854" s="3" t="inlineStr"/>
      <c r="E1854" s="3" t="inlineStr">
        <is>
          <t>Halloway Ridge Realty (rent)</t>
        </is>
      </c>
      <c r="F1854" s="3" t="inlineStr">
        <is>
          <t>Rent – January</t>
        </is>
      </c>
      <c r="G1854" s="3" t="inlineStr">
        <is>
          <t>Rent Expense</t>
        </is>
      </c>
      <c r="H1854" s="3" t="inlineStr">
        <is>
          <t>Accounts Payable</t>
        </is>
      </c>
      <c r="I1854" s="33" t="n">
        <v>17866.16</v>
      </c>
      <c r="J1854" s="13">
        <f>+J1853+I1854</f>
        <v>80432.87</v>
      </c>
      <c r="K1854" s="19">
        <f>+EOMONTH(B1854,0)</f>
        <v>46053</v>
      </c>
      <c r="L1854" s="3" t="inlineStr">
        <is>
          <t>Accounts Payable</t>
        </is>
      </c>
      <c r="M1854" s="3" t="inlineStr">
        <is>
          <t>Balance Sheet</t>
        </is>
      </c>
    </row>
    <row r="1855">
      <c r="B1855" s="39" t="n">
        <v>46028</v>
      </c>
      <c r="C1855" s="3" t="inlineStr">
        <is>
          <t>Bill</t>
        </is>
      </c>
      <c r="D1855" s="3" t="inlineStr"/>
      <c r="E1855" s="3" t="inlineStr">
        <is>
          <t>Tarrowmere Mutual Insurance</t>
        </is>
      </c>
      <c r="F1855" s="3" t="inlineStr">
        <is>
          <t>Benefits – January</t>
        </is>
      </c>
      <c r="G1855" s="3" t="inlineStr">
        <is>
          <t>Benefits</t>
        </is>
      </c>
      <c r="H1855" s="3" t="inlineStr">
        <is>
          <t>Accounts Payable</t>
        </is>
      </c>
      <c r="I1855" s="33" t="n">
        <v>5785.49</v>
      </c>
      <c r="J1855" s="13">
        <f>+J1854+I1855</f>
        <v>86218.36</v>
      </c>
      <c r="K1855" s="19">
        <f>+EOMONTH(B1855,0)</f>
        <v>46053</v>
      </c>
      <c r="L1855" s="3" t="inlineStr">
        <is>
          <t>Accounts Payable</t>
        </is>
      </c>
      <c r="M1855" s="3" t="inlineStr">
        <is>
          <t>Balance Sheet</t>
        </is>
      </c>
    </row>
    <row r="1856">
      <c r="B1856" s="39" t="n">
        <v>46029</v>
      </c>
      <c r="C1856" s="3" t="inlineStr">
        <is>
          <t>Bill</t>
        </is>
      </c>
      <c r="D1856" s="3" t="inlineStr"/>
      <c r="E1856" s="3" t="inlineStr">
        <is>
          <t>Reagentix Corp</t>
        </is>
      </c>
      <c r="F1856" s="3" t="inlineStr">
        <is>
          <t>Lab supplies PO# F2987</t>
        </is>
      </c>
      <c r="G1856" s="3" t="inlineStr">
        <is>
          <t>Reagents</t>
        </is>
      </c>
      <c r="H1856" s="3" t="inlineStr">
        <is>
          <t>Accounts Payable</t>
        </is>
      </c>
      <c r="I1856" s="33" t="n">
        <v>13910.67</v>
      </c>
      <c r="J1856" s="13">
        <f>+J1855+I1856</f>
        <v>100129.03</v>
      </c>
      <c r="K1856" s="19">
        <f>+EOMONTH(B1856,0)</f>
        <v>46053</v>
      </c>
      <c r="L1856" s="3" t="inlineStr">
        <is>
          <t>Accounts Payable</t>
        </is>
      </c>
      <c r="M1856" s="3" t="inlineStr">
        <is>
          <t>Balance Sheet</t>
        </is>
      </c>
    </row>
    <row r="1857">
      <c r="B1857" s="39" t="n">
        <v>46030</v>
      </c>
      <c r="C1857" s="3" t="inlineStr">
        <is>
          <t>Bill</t>
        </is>
      </c>
      <c r="D1857" s="3" t="inlineStr"/>
      <c r="E1857" s="3" t="inlineStr">
        <is>
          <t>Lumenlease Equipment</t>
        </is>
      </c>
      <c r="F1857" s="3" t="inlineStr">
        <is>
          <t>Lab Equipment – January</t>
        </is>
      </c>
      <c r="G1857" s="3" t="inlineStr">
        <is>
          <t>Lab Equipment</t>
        </is>
      </c>
      <c r="H1857" s="3" t="inlineStr">
        <is>
          <t>Accounts Payable</t>
        </is>
      </c>
      <c r="I1857" s="33" t="n">
        <v>2809.94</v>
      </c>
      <c r="J1857" s="13">
        <f>+J1856+I1857</f>
        <v>102938.97</v>
      </c>
      <c r="K1857" s="19">
        <f>+EOMONTH(B1857,0)</f>
        <v>46053</v>
      </c>
      <c r="L1857" s="3" t="inlineStr">
        <is>
          <t>Accounts Payable</t>
        </is>
      </c>
      <c r="M1857" s="3" t="inlineStr">
        <is>
          <t>Balance Sheet</t>
        </is>
      </c>
    </row>
    <row r="1858">
      <c r="B1858" s="39" t="n">
        <v>46031</v>
      </c>
      <c r="C1858" s="3" t="inlineStr">
        <is>
          <t>Bill</t>
        </is>
      </c>
      <c r="D1858" s="3" t="inlineStr"/>
      <c r="E1858" s="3" t="inlineStr">
        <is>
          <t>Vialtrace Lab Supplies Inc</t>
        </is>
      </c>
      <c r="F1858" s="3" t="inlineStr">
        <is>
          <t>Lab supplies PO# F2999</t>
        </is>
      </c>
      <c r="G1858" s="3" t="inlineStr">
        <is>
          <t>Lab Supplies</t>
        </is>
      </c>
      <c r="H1858" s="3" t="inlineStr">
        <is>
          <t>Accounts Payable</t>
        </is>
      </c>
      <c r="I1858" s="33" t="n">
        <v>27489.29</v>
      </c>
      <c r="J1858" s="13">
        <f>+J1857+I1858</f>
        <v>130428.26</v>
      </c>
      <c r="K1858" s="19">
        <f>+EOMONTH(B1858,0)</f>
        <v>46053</v>
      </c>
      <c r="L1858" s="3" t="inlineStr">
        <is>
          <t>Accounts Payable</t>
        </is>
      </c>
      <c r="M1858" s="3" t="inlineStr">
        <is>
          <t>Balance Sheet</t>
        </is>
      </c>
    </row>
    <row r="1859">
      <c r="B1859" s="39" t="n">
        <v>46031</v>
      </c>
      <c r="C1859" s="3" t="inlineStr">
        <is>
          <t>Bill</t>
        </is>
      </c>
      <c r="D1859" s="3" t="inlineStr"/>
      <c r="E1859" s="3" t="inlineStr">
        <is>
          <t>Ledgerquill Billing SaaS</t>
        </is>
      </c>
      <c r="F1859" s="3" t="inlineStr">
        <is>
          <t>Billing Software as a Service – January</t>
        </is>
      </c>
      <c r="G1859" s="3" t="inlineStr">
        <is>
          <t>Billing Software as a Service</t>
        </is>
      </c>
      <c r="H1859" s="3" t="inlineStr">
        <is>
          <t>Accounts Payable</t>
        </is>
      </c>
      <c r="I1859" s="33" t="n">
        <v>21277.65</v>
      </c>
      <c r="J1859" s="13">
        <f>+J1858+I1859</f>
        <v>151705.91</v>
      </c>
      <c r="K1859" s="19">
        <f>+EOMONTH(B1859,0)</f>
        <v>46053</v>
      </c>
      <c r="L1859" s="3" t="inlineStr">
        <is>
          <t>Accounts Payable</t>
        </is>
      </c>
      <c r="M1859" s="3" t="inlineStr">
        <is>
          <t>Balance Sheet</t>
        </is>
      </c>
    </row>
    <row r="1860">
      <c r="B1860" s="39" t="n">
        <v>46032</v>
      </c>
      <c r="C1860" s="3" t="inlineStr">
        <is>
          <t>Bill</t>
        </is>
      </c>
      <c r="D1860" s="3" t="inlineStr"/>
      <c r="E1860" s="3" t="inlineStr">
        <is>
          <t>Reagentix Corp</t>
        </is>
      </c>
      <c r="F1860" s="3" t="inlineStr">
        <is>
          <t>Lab Expenses – January</t>
        </is>
      </c>
      <c r="G1860" s="3" t="inlineStr">
        <is>
          <t>Lab Expenses</t>
        </is>
      </c>
      <c r="H1860" s="3" t="inlineStr">
        <is>
          <t>Accounts Payable</t>
        </is>
      </c>
      <c r="I1860" s="33" t="n">
        <v>4643.3</v>
      </c>
      <c r="J1860" s="13">
        <f>+J1859+I1860</f>
        <v>156349.21</v>
      </c>
      <c r="K1860" s="19">
        <f>+EOMONTH(B1860,0)</f>
        <v>46053</v>
      </c>
      <c r="L1860" s="3" t="inlineStr">
        <is>
          <t>Accounts Payable</t>
        </is>
      </c>
      <c r="M1860" s="3" t="inlineStr">
        <is>
          <t>Balance Sheet</t>
        </is>
      </c>
    </row>
    <row r="1861">
      <c r="B1861" s="39" t="n">
        <v>46032</v>
      </c>
      <c r="C1861" s="3" t="inlineStr">
        <is>
          <t>Bill</t>
        </is>
      </c>
      <c r="D1861" s="3" t="inlineStr"/>
      <c r="E1861" s="3" t="inlineStr">
        <is>
          <t>Ledgerquill Billing SaaS</t>
        </is>
      </c>
      <c r="F1861" s="3" t="inlineStr">
        <is>
          <t>Billing Software as a Service – January</t>
        </is>
      </c>
      <c r="G1861" s="3" t="inlineStr">
        <is>
          <t>Billing Software as a Service</t>
        </is>
      </c>
      <c r="H1861" s="3" t="inlineStr">
        <is>
          <t>Accounts Payable</t>
        </is>
      </c>
      <c r="I1861" s="33" t="n">
        <v>15439.6</v>
      </c>
      <c r="J1861" s="13">
        <f>+J1860+I1861</f>
        <v>171788.81</v>
      </c>
      <c r="K1861" s="19">
        <f>+EOMONTH(B1861,0)</f>
        <v>46053</v>
      </c>
      <c r="L1861" s="3" t="inlineStr">
        <is>
          <t>Accounts Payable</t>
        </is>
      </c>
      <c r="M1861" s="3" t="inlineStr">
        <is>
          <t>Balance Sheet</t>
        </is>
      </c>
    </row>
    <row r="1862">
      <c r="B1862" s="39" t="n">
        <v>46034</v>
      </c>
      <c r="C1862" s="3" t="inlineStr">
        <is>
          <t>Bill</t>
        </is>
      </c>
      <c r="D1862" s="3" t="inlineStr"/>
      <c r="E1862" s="3" t="inlineStr">
        <is>
          <t>Reagentix Corp</t>
        </is>
      </c>
      <c r="F1862" s="3" t="inlineStr">
        <is>
          <t>Lab supplies PO# F2629</t>
        </is>
      </c>
      <c r="G1862" s="3" t="inlineStr">
        <is>
          <t>Reagents</t>
        </is>
      </c>
      <c r="H1862" s="3" t="inlineStr">
        <is>
          <t>Accounts Payable</t>
        </is>
      </c>
      <c r="I1862" s="33" t="n">
        <v>9806.629999999999</v>
      </c>
      <c r="J1862" s="13">
        <f>+J1861+I1862</f>
        <v>181595.44</v>
      </c>
      <c r="K1862" s="19">
        <f>+EOMONTH(B1862,0)</f>
        <v>46053</v>
      </c>
      <c r="L1862" s="3" t="inlineStr">
        <is>
          <t>Accounts Payable</t>
        </is>
      </c>
      <c r="M1862" s="3" t="inlineStr">
        <is>
          <t>Balance Sheet</t>
        </is>
      </c>
    </row>
    <row r="1863">
      <c r="B1863" s="39" t="n">
        <v>46034</v>
      </c>
      <c r="C1863" s="3" t="inlineStr">
        <is>
          <t>Bill</t>
        </is>
      </c>
      <c r="D1863" s="3" t="inlineStr"/>
      <c r="E1863" s="3" t="inlineStr">
        <is>
          <t>Reagentix Corp</t>
        </is>
      </c>
      <c r="F1863" s="3" t="inlineStr">
        <is>
          <t>Lab supplies PO# F2858</t>
        </is>
      </c>
      <c r="G1863" s="3" t="inlineStr">
        <is>
          <t>Reagents</t>
        </is>
      </c>
      <c r="H1863" s="3" t="inlineStr">
        <is>
          <t>Accounts Payable</t>
        </is>
      </c>
      <c r="I1863" s="33" t="n">
        <v>10775.55</v>
      </c>
      <c r="J1863" s="13">
        <f>+J1862+I1863</f>
        <v>192370.99</v>
      </c>
      <c r="K1863" s="19">
        <f>+EOMONTH(B1863,0)</f>
        <v>46053</v>
      </c>
      <c r="L1863" s="3" t="inlineStr">
        <is>
          <t>Accounts Payable</t>
        </is>
      </c>
      <c r="M1863" s="3" t="inlineStr">
        <is>
          <t>Balance Sheet</t>
        </is>
      </c>
    </row>
    <row r="1864">
      <c r="B1864" s="39" t="n">
        <v>46035</v>
      </c>
      <c r="C1864" s="3" t="inlineStr">
        <is>
          <t>Bill</t>
        </is>
      </c>
      <c r="D1864" s="3" t="inlineStr"/>
      <c r="E1864" s="3" t="inlineStr">
        <is>
          <t>Reference Lab A</t>
        </is>
      </c>
      <c r="F1864" s="3" t="inlineStr">
        <is>
          <t>Send-out testing – January</t>
        </is>
      </c>
      <c r="G1864" s="3" t="inlineStr">
        <is>
          <t>Laboratory Fees</t>
        </is>
      </c>
      <c r="H1864" s="3" t="inlineStr">
        <is>
          <t>Accounts Payable</t>
        </is>
      </c>
      <c r="I1864" s="33" t="n">
        <v>11507.82</v>
      </c>
      <c r="J1864" s="13">
        <f>+J1863+I1864</f>
        <v>203878.81</v>
      </c>
      <c r="K1864" s="19">
        <f>+EOMONTH(B1864,0)</f>
        <v>46053</v>
      </c>
      <c r="L1864" s="3" t="inlineStr">
        <is>
          <t>Accounts Payable</t>
        </is>
      </c>
      <c r="M1864" s="3" t="inlineStr">
        <is>
          <t>Balance Sheet</t>
        </is>
      </c>
    </row>
    <row r="1865">
      <c r="B1865" s="39" t="n">
        <v>46035</v>
      </c>
      <c r="C1865" s="3" t="inlineStr">
        <is>
          <t>Bill</t>
        </is>
      </c>
      <c r="D1865" s="3" t="inlineStr"/>
      <c r="E1865" s="3" t="inlineStr">
        <is>
          <t>Northmoor Waste Services</t>
        </is>
      </c>
      <c r="F1865" s="3" t="inlineStr">
        <is>
          <t>Waste Removal – January</t>
        </is>
      </c>
      <c r="G1865" s="3" t="inlineStr">
        <is>
          <t>Waste Removal</t>
        </is>
      </c>
      <c r="H1865" s="3" t="inlineStr">
        <is>
          <t>Accounts Payable</t>
        </is>
      </c>
      <c r="I1865" s="33" t="n">
        <v>615.33</v>
      </c>
      <c r="J1865" s="13">
        <f>+J1864+I1865</f>
        <v>204494.14</v>
      </c>
      <c r="K1865" s="19">
        <f>+EOMONTH(B1865,0)</f>
        <v>46053</v>
      </c>
      <c r="L1865" s="3" t="inlineStr">
        <is>
          <t>Accounts Payable</t>
        </is>
      </c>
      <c r="M1865" s="3" t="inlineStr">
        <is>
          <t>Balance Sheet</t>
        </is>
      </c>
    </row>
    <row r="1866">
      <c r="B1866" s="39" t="n">
        <v>46036</v>
      </c>
      <c r="C1866" s="3" t="inlineStr">
        <is>
          <t>Bill</t>
        </is>
      </c>
      <c r="D1866" s="3" t="inlineStr"/>
      <c r="E1866" s="3" t="inlineStr">
        <is>
          <t>Reference Lab A</t>
        </is>
      </c>
      <c r="F1866" s="3" t="inlineStr">
        <is>
          <t>Send-out testing – January</t>
        </is>
      </c>
      <c r="G1866" s="3" t="inlineStr">
        <is>
          <t>Laboratory Fees</t>
        </is>
      </c>
      <c r="H1866" s="3" t="inlineStr">
        <is>
          <t>Accounts Payable</t>
        </is>
      </c>
      <c r="I1866" s="33" t="n">
        <v>16169.33</v>
      </c>
      <c r="J1866" s="13">
        <f>+J1865+I1866</f>
        <v>220663.47</v>
      </c>
      <c r="K1866" s="19">
        <f>+EOMONTH(B1866,0)</f>
        <v>46053</v>
      </c>
      <c r="L1866" s="3" t="inlineStr">
        <is>
          <t>Accounts Payable</t>
        </is>
      </c>
      <c r="M1866" s="3" t="inlineStr">
        <is>
          <t>Balance Sheet</t>
        </is>
      </c>
    </row>
    <row r="1867">
      <c r="B1867" s="39" t="n">
        <v>46036</v>
      </c>
      <c r="C1867" s="3" t="inlineStr">
        <is>
          <t>Bill Payment (Check)</t>
        </is>
      </c>
      <c r="D1867" s="3" t="inlineStr">
        <is>
          <t>10973</t>
        </is>
      </c>
      <c r="E1867" s="3" t="inlineStr">
        <is>
          <t>Northmoor Waste Services</t>
        </is>
      </c>
      <c r="F1867" s="3" t="inlineStr">
        <is>
          <t>Hazard Waste – January</t>
        </is>
      </c>
      <c r="G1867" s="3" t="inlineStr">
        <is>
          <t>Checking – Operating</t>
        </is>
      </c>
      <c r="H1867" s="3" t="inlineStr">
        <is>
          <t>Accounts Payable</t>
        </is>
      </c>
      <c r="I1867" s="33" t="n">
        <v>-851.0599999999999</v>
      </c>
      <c r="J1867" s="13">
        <f>+J1866+I1867</f>
        <v>219812.41</v>
      </c>
      <c r="K1867" s="19">
        <f>+EOMONTH(B1867,0)</f>
        <v>46053</v>
      </c>
      <c r="L1867" s="3" t="inlineStr">
        <is>
          <t>Accounts Payable</t>
        </is>
      </c>
      <c r="M1867" s="3" t="inlineStr">
        <is>
          <t>Balance Sheet</t>
        </is>
      </c>
    </row>
    <row r="1868">
      <c r="B1868" s="39" t="n">
        <v>46037</v>
      </c>
      <c r="C1868" s="3" t="inlineStr">
        <is>
          <t>Bill</t>
        </is>
      </c>
      <c r="D1868" s="3" t="inlineStr"/>
      <c r="E1868" s="3" t="inlineStr">
        <is>
          <t>Lumenlease Equipment</t>
        </is>
      </c>
      <c r="F1868" s="3" t="inlineStr">
        <is>
          <t>Lab Equipment – January</t>
        </is>
      </c>
      <c r="G1868" s="3" t="inlineStr">
        <is>
          <t>Lab Equipment</t>
        </is>
      </c>
      <c r="H1868" s="3" t="inlineStr">
        <is>
          <t>Accounts Payable</t>
        </is>
      </c>
      <c r="I1868" s="33" t="n">
        <v>2490.06</v>
      </c>
      <c r="J1868" s="13">
        <f>+J1867+I1868</f>
        <v>222302.47</v>
      </c>
      <c r="K1868" s="19">
        <f>+EOMONTH(B1868,0)</f>
        <v>46053</v>
      </c>
      <c r="L1868" s="3" t="inlineStr">
        <is>
          <t>Accounts Payable</t>
        </is>
      </c>
      <c r="M1868" s="3" t="inlineStr">
        <is>
          <t>Balance Sheet</t>
        </is>
      </c>
    </row>
    <row r="1869">
      <c r="B1869" s="39" t="n">
        <v>46037</v>
      </c>
      <c r="C1869" s="3" t="inlineStr">
        <is>
          <t>Bill</t>
        </is>
      </c>
      <c r="D1869" s="3" t="inlineStr"/>
      <c r="E1869" s="3" t="inlineStr">
        <is>
          <t>Halloway Ridge Realty (rent)</t>
        </is>
      </c>
      <c r="F1869" s="3" t="inlineStr">
        <is>
          <t>Rent – January</t>
        </is>
      </c>
      <c r="G1869" s="3" t="inlineStr">
        <is>
          <t>Rent Expense</t>
        </is>
      </c>
      <c r="H1869" s="3" t="inlineStr">
        <is>
          <t>Accounts Payable</t>
        </is>
      </c>
      <c r="I1869" s="33" t="n">
        <v>16935.49</v>
      </c>
      <c r="J1869" s="13">
        <f>+J1868+I1869</f>
        <v>239237.96</v>
      </c>
      <c r="K1869" s="19">
        <f>+EOMONTH(B1869,0)</f>
        <v>46053</v>
      </c>
      <c r="L1869" s="3" t="inlineStr">
        <is>
          <t>Accounts Payable</t>
        </is>
      </c>
      <c r="M1869" s="3" t="inlineStr">
        <is>
          <t>Balance Sheet</t>
        </is>
      </c>
    </row>
    <row r="1870">
      <c r="B1870" s="39" t="n">
        <v>46037</v>
      </c>
      <c r="C1870" s="3" t="inlineStr">
        <is>
          <t>Bill</t>
        </is>
      </c>
      <c r="D1870" s="3" t="inlineStr"/>
      <c r="E1870" s="3" t="inlineStr">
        <is>
          <t>Ledgerquill Billing SaaS</t>
        </is>
      </c>
      <c r="F1870" s="3" t="inlineStr">
        <is>
          <t>Billing Software as a Service – January</t>
        </is>
      </c>
      <c r="G1870" s="3" t="inlineStr">
        <is>
          <t>Billing Software as a Service</t>
        </is>
      </c>
      <c r="H1870" s="3" t="inlineStr">
        <is>
          <t>Accounts Payable</t>
        </is>
      </c>
      <c r="I1870" s="33" t="n">
        <v>10293.65</v>
      </c>
      <c r="J1870" s="13">
        <f>+J1869+I1870</f>
        <v>249531.61</v>
      </c>
      <c r="K1870" s="19">
        <f>+EOMONTH(B1870,0)</f>
        <v>46053</v>
      </c>
      <c r="L1870" s="3" t="inlineStr">
        <is>
          <t>Accounts Payable</t>
        </is>
      </c>
      <c r="M1870" s="3" t="inlineStr">
        <is>
          <t>Balance Sheet</t>
        </is>
      </c>
    </row>
    <row r="1871">
      <c r="B1871" s="39" t="n">
        <v>46038</v>
      </c>
      <c r="C1871" s="3" t="inlineStr">
        <is>
          <t>Bill</t>
        </is>
      </c>
      <c r="D1871" s="3" t="inlineStr"/>
      <c r="E1871" s="3" t="inlineStr">
        <is>
          <t>Northmoor Waste Services</t>
        </is>
      </c>
      <c r="F1871" s="3" t="inlineStr">
        <is>
          <t>Hazard Waste – January</t>
        </is>
      </c>
      <c r="G1871" s="3" t="inlineStr">
        <is>
          <t>Hazard Waste</t>
        </is>
      </c>
      <c r="H1871" s="3" t="inlineStr">
        <is>
          <t>Accounts Payable</t>
        </is>
      </c>
      <c r="I1871" s="33" t="n">
        <v>1008.94</v>
      </c>
      <c r="J1871" s="13">
        <f>+J1870+I1871</f>
        <v>250540.55</v>
      </c>
      <c r="K1871" s="19">
        <f>+EOMONTH(B1871,0)</f>
        <v>46053</v>
      </c>
      <c r="L1871" s="3" t="inlineStr">
        <is>
          <t>Accounts Payable</t>
        </is>
      </c>
      <c r="M1871" s="3" t="inlineStr">
        <is>
          <t>Balance Sheet</t>
        </is>
      </c>
    </row>
    <row r="1872">
      <c r="B1872" s="39" t="n">
        <v>46039</v>
      </c>
      <c r="C1872" s="3" t="inlineStr">
        <is>
          <t>Bill Payment (Check)</t>
        </is>
      </c>
      <c r="D1872" s="3" t="inlineStr">
        <is>
          <t>10542</t>
        </is>
      </c>
      <c r="E1872" s="3" t="inlineStr">
        <is>
          <t>Reagentix Corp</t>
        </is>
      </c>
      <c r="F1872" s="3" t="inlineStr">
        <is>
          <t>Lab supplies PO# F2987</t>
        </is>
      </c>
      <c r="G1872" s="3" t="inlineStr">
        <is>
          <t>Checking – Operating</t>
        </is>
      </c>
      <c r="H1872" s="3" t="inlineStr">
        <is>
          <t>Accounts Payable</t>
        </is>
      </c>
      <c r="I1872" s="33" t="n">
        <v>-13910.67</v>
      </c>
      <c r="J1872" s="13">
        <f>+J1871+I1872</f>
        <v>236629.88</v>
      </c>
      <c r="K1872" s="19">
        <f>+EOMONTH(B1872,0)</f>
        <v>46053</v>
      </c>
      <c r="L1872" s="3" t="inlineStr">
        <is>
          <t>Accounts Payable</t>
        </is>
      </c>
      <c r="M1872" s="3" t="inlineStr">
        <is>
          <t>Balance Sheet</t>
        </is>
      </c>
    </row>
    <row r="1873">
      <c r="B1873" s="39" t="n">
        <v>46040</v>
      </c>
      <c r="C1873" s="3" t="inlineStr">
        <is>
          <t>Bill</t>
        </is>
      </c>
      <c r="D1873" s="3" t="inlineStr"/>
      <c r="E1873" s="3" t="inlineStr">
        <is>
          <t>Reagentix Corp</t>
        </is>
      </c>
      <c r="F1873" s="3" t="inlineStr">
        <is>
          <t>Lab Expenses – January</t>
        </is>
      </c>
      <c r="G1873" s="3" t="inlineStr">
        <is>
          <t>Lab Expenses</t>
        </is>
      </c>
      <c r="H1873" s="3" t="inlineStr">
        <is>
          <t>Accounts Payable</t>
        </is>
      </c>
      <c r="I1873" s="33" t="n">
        <v>3403.49</v>
      </c>
      <c r="J1873" s="13">
        <f>+J1872+I1873</f>
        <v>240033.37</v>
      </c>
      <c r="K1873" s="19">
        <f>+EOMONTH(B1873,0)</f>
        <v>46053</v>
      </c>
      <c r="L1873" s="3" t="inlineStr">
        <is>
          <t>Accounts Payable</t>
        </is>
      </c>
      <c r="M1873" s="3" t="inlineStr">
        <is>
          <t>Balance Sheet</t>
        </is>
      </c>
    </row>
    <row r="1874">
      <c r="B1874" s="39" t="n">
        <v>46040</v>
      </c>
      <c r="C1874" s="3" t="inlineStr">
        <is>
          <t>Bill</t>
        </is>
      </c>
      <c r="D1874" s="3" t="inlineStr"/>
      <c r="E1874" s="3" t="inlineStr">
        <is>
          <t>Halloway Ridge Realty (rent)</t>
        </is>
      </c>
      <c r="F1874" s="3" t="inlineStr">
        <is>
          <t>Rent – January</t>
        </is>
      </c>
      <c r="G1874" s="3" t="inlineStr">
        <is>
          <t>Rent Expense</t>
        </is>
      </c>
      <c r="H1874" s="3" t="inlineStr">
        <is>
          <t>Accounts Payable</t>
        </is>
      </c>
      <c r="I1874" s="33" t="n">
        <v>11798.35</v>
      </c>
      <c r="J1874" s="13">
        <f>+J1873+I1874</f>
        <v>251831.72</v>
      </c>
      <c r="K1874" s="19">
        <f>+EOMONTH(B1874,0)</f>
        <v>46053</v>
      </c>
      <c r="L1874" s="3" t="inlineStr">
        <is>
          <t>Accounts Payable</t>
        </is>
      </c>
      <c r="M1874" s="3" t="inlineStr">
        <is>
          <t>Balance Sheet</t>
        </is>
      </c>
    </row>
    <row r="1875">
      <c r="B1875" s="39" t="n">
        <v>46040</v>
      </c>
      <c r="C1875" s="3" t="inlineStr">
        <is>
          <t>Bill</t>
        </is>
      </c>
      <c r="D1875" s="3" t="inlineStr"/>
      <c r="E1875" s="3" t="inlineStr">
        <is>
          <t>Ledgerquill Billing SaaS</t>
        </is>
      </c>
      <c r="F1875" s="3" t="inlineStr">
        <is>
          <t>Billing Software as a Service – January</t>
        </is>
      </c>
      <c r="G1875" s="3" t="inlineStr">
        <is>
          <t>Billing Software as a Service</t>
        </is>
      </c>
      <c r="H1875" s="3" t="inlineStr">
        <is>
          <t>Accounts Payable</t>
        </is>
      </c>
      <c r="I1875" s="33" t="n">
        <v>15689.1</v>
      </c>
      <c r="J1875" s="13">
        <f>+J1874+I1875</f>
        <v>267520.82</v>
      </c>
      <c r="K1875" s="19">
        <f>+EOMONTH(B1875,0)</f>
        <v>46053</v>
      </c>
      <c r="L1875" s="3" t="inlineStr">
        <is>
          <t>Accounts Payable</t>
        </is>
      </c>
      <c r="M1875" s="3" t="inlineStr">
        <is>
          <t>Balance Sheet</t>
        </is>
      </c>
    </row>
    <row r="1876">
      <c r="B1876" s="39" t="n">
        <v>46041</v>
      </c>
      <c r="C1876" s="3" t="inlineStr">
        <is>
          <t>Bill</t>
        </is>
      </c>
      <c r="D1876" s="3" t="inlineStr"/>
      <c r="E1876" s="3" t="inlineStr">
        <is>
          <t>Reagentix Corp</t>
        </is>
      </c>
      <c r="F1876" s="3" t="inlineStr">
        <is>
          <t>Lab Expenses – January</t>
        </is>
      </c>
      <c r="G1876" s="3" t="inlineStr">
        <is>
          <t>Lab Expenses</t>
        </is>
      </c>
      <c r="H1876" s="3" t="inlineStr">
        <is>
          <t>Accounts Payable</t>
        </is>
      </c>
      <c r="I1876" s="33" t="n">
        <v>3652.42</v>
      </c>
      <c r="J1876" s="13">
        <f>+J1875+I1876</f>
        <v>271173.24</v>
      </c>
      <c r="K1876" s="19">
        <f>+EOMONTH(B1876,0)</f>
        <v>46053</v>
      </c>
      <c r="L1876" s="3" t="inlineStr">
        <is>
          <t>Accounts Payable</t>
        </is>
      </c>
      <c r="M1876" s="3" t="inlineStr">
        <is>
          <t>Balance Sheet</t>
        </is>
      </c>
    </row>
    <row r="1877">
      <c r="B1877" s="39" t="n">
        <v>46041</v>
      </c>
      <c r="C1877" s="3" t="inlineStr">
        <is>
          <t>Bill Payment (Check)</t>
        </is>
      </c>
      <c r="D1877" s="3" t="inlineStr">
        <is>
          <t>10668</t>
        </is>
      </c>
      <c r="E1877" s="3" t="inlineStr">
        <is>
          <t>Lumenlease Equipment</t>
        </is>
      </c>
      <c r="F1877" s="3" t="inlineStr">
        <is>
          <t>Lab Equipment – January</t>
        </is>
      </c>
      <c r="G1877" s="3" t="inlineStr">
        <is>
          <t>Checking – Operating</t>
        </is>
      </c>
      <c r="H1877" s="3" t="inlineStr">
        <is>
          <t>Accounts Payable</t>
        </is>
      </c>
      <c r="I1877" s="33" t="n">
        <v>-2809.94</v>
      </c>
      <c r="J1877" s="13">
        <f>+J1876+I1877</f>
        <v>268363.3</v>
      </c>
      <c r="K1877" s="19">
        <f>+EOMONTH(B1877,0)</f>
        <v>46053</v>
      </c>
      <c r="L1877" s="3" t="inlineStr">
        <is>
          <t>Accounts Payable</t>
        </is>
      </c>
      <c r="M1877" s="3" t="inlineStr">
        <is>
          <t>Balance Sheet</t>
        </is>
      </c>
    </row>
    <row r="1878">
      <c r="B1878" s="39" t="n">
        <v>46043</v>
      </c>
      <c r="C1878" s="3" t="inlineStr">
        <is>
          <t>Bill</t>
        </is>
      </c>
      <c r="D1878" s="3" t="inlineStr"/>
      <c r="E1878" s="3" t="inlineStr">
        <is>
          <t>Tarrowmere Mutual Insurance</t>
        </is>
      </c>
      <c r="F1878" s="3" t="inlineStr">
        <is>
          <t>Premium installment</t>
        </is>
      </c>
      <c r="G1878" s="3" t="inlineStr">
        <is>
          <t>Insurance Expense</t>
        </is>
      </c>
      <c r="H1878" s="3" t="inlineStr">
        <is>
          <t>Accounts Payable</t>
        </is>
      </c>
      <c r="I1878" s="33" t="n">
        <v>5504.53</v>
      </c>
      <c r="J1878" s="13">
        <f>+J1877+I1878</f>
        <v>273867.83</v>
      </c>
      <c r="K1878" s="19">
        <f>+EOMONTH(B1878,0)</f>
        <v>46053</v>
      </c>
      <c r="L1878" s="3" t="inlineStr">
        <is>
          <t>Accounts Payable</t>
        </is>
      </c>
      <c r="M1878" s="3" t="inlineStr">
        <is>
          <t>Balance Sheet</t>
        </is>
      </c>
    </row>
    <row r="1879">
      <c r="B1879" s="39" t="n">
        <v>46043</v>
      </c>
      <c r="C1879" s="3" t="inlineStr">
        <is>
          <t>Bill</t>
        </is>
      </c>
      <c r="D1879" s="3" t="inlineStr"/>
      <c r="E1879" s="3" t="inlineStr">
        <is>
          <t>Tarrowmere Mutual Insurance</t>
        </is>
      </c>
      <c r="F1879" s="3" t="inlineStr">
        <is>
          <t>Premium installment</t>
        </is>
      </c>
      <c r="G1879" s="3" t="inlineStr">
        <is>
          <t>Insurance Expense</t>
        </is>
      </c>
      <c r="H1879" s="3" t="inlineStr">
        <is>
          <t>Accounts Payable</t>
        </is>
      </c>
      <c r="I1879" s="33" t="n">
        <v>6938.98</v>
      </c>
      <c r="J1879" s="13">
        <f>+J1878+I1879</f>
        <v>280806.81</v>
      </c>
      <c r="K1879" s="19">
        <f>+EOMONTH(B1879,0)</f>
        <v>46053</v>
      </c>
      <c r="L1879" s="3" t="inlineStr">
        <is>
          <t>Accounts Payable</t>
        </is>
      </c>
      <c r="M1879" s="3" t="inlineStr">
        <is>
          <t>Balance Sheet</t>
        </is>
      </c>
    </row>
    <row r="1880">
      <c r="B1880" s="39" t="n">
        <v>46043</v>
      </c>
      <c r="C1880" s="3" t="inlineStr">
        <is>
          <t>Bill</t>
        </is>
      </c>
      <c r="D1880" s="3" t="inlineStr"/>
      <c r="E1880" s="3" t="inlineStr">
        <is>
          <t>Northmoor Waste Services</t>
        </is>
      </c>
      <c r="F1880" s="3" t="inlineStr">
        <is>
          <t>Waste Removal – January</t>
        </is>
      </c>
      <c r="G1880" s="3" t="inlineStr">
        <is>
          <t>Waste Removal</t>
        </is>
      </c>
      <c r="H1880" s="3" t="inlineStr">
        <is>
          <t>Accounts Payable</t>
        </is>
      </c>
      <c r="I1880" s="33" t="n">
        <v>624.67</v>
      </c>
      <c r="J1880" s="13">
        <f>+J1879+I1880</f>
        <v>281431.48</v>
      </c>
      <c r="K1880" s="19">
        <f>+EOMONTH(B1880,0)</f>
        <v>46053</v>
      </c>
      <c r="L1880" s="3" t="inlineStr">
        <is>
          <t>Accounts Payable</t>
        </is>
      </c>
      <c r="M1880" s="3" t="inlineStr">
        <is>
          <t>Balance Sheet</t>
        </is>
      </c>
    </row>
    <row r="1881">
      <c r="B1881" s="39" t="n">
        <v>46044</v>
      </c>
      <c r="C1881" s="3" t="inlineStr">
        <is>
          <t>Bill</t>
        </is>
      </c>
      <c r="D1881" s="3" t="inlineStr"/>
      <c r="E1881" s="3" t="inlineStr">
        <is>
          <t>Swiftmere Courier</t>
        </is>
      </c>
      <c r="F1881" s="3" t="inlineStr">
        <is>
          <t>Delivery and Transportation – January</t>
        </is>
      </c>
      <c r="G1881" s="3" t="inlineStr">
        <is>
          <t>Delivery and Transportation</t>
        </is>
      </c>
      <c r="H1881" s="3" t="inlineStr">
        <is>
          <t>Accounts Payable</t>
        </is>
      </c>
      <c r="I1881" s="33" t="n">
        <v>4235.06</v>
      </c>
      <c r="J1881" s="13">
        <f>+J1880+I1881</f>
        <v>285666.54</v>
      </c>
      <c r="K1881" s="19">
        <f>+EOMONTH(B1881,0)</f>
        <v>46053</v>
      </c>
      <c r="L1881" s="3" t="inlineStr">
        <is>
          <t>Accounts Payable</t>
        </is>
      </c>
      <c r="M1881" s="3" t="inlineStr">
        <is>
          <t>Balance Sheet</t>
        </is>
      </c>
    </row>
    <row r="1882">
      <c r="B1882" s="39" t="n">
        <v>46044</v>
      </c>
      <c r="C1882" s="3" t="inlineStr">
        <is>
          <t>Bill</t>
        </is>
      </c>
      <c r="D1882" s="3" t="inlineStr"/>
      <c r="E1882" s="3" t="inlineStr">
        <is>
          <t>Lumenlease Equipment</t>
        </is>
      </c>
      <c r="F1882" s="3" t="inlineStr">
        <is>
          <t>Equipment Lease – January</t>
        </is>
      </c>
      <c r="G1882" s="3" t="inlineStr">
        <is>
          <t>Equipment Lease</t>
        </is>
      </c>
      <c r="H1882" s="3" t="inlineStr">
        <is>
          <t>Accounts Payable</t>
        </is>
      </c>
      <c r="I1882" s="33" t="n">
        <v>3018.23</v>
      </c>
      <c r="J1882" s="13">
        <f>+J1881+I1882</f>
        <v>288684.77</v>
      </c>
      <c r="K1882" s="19">
        <f>+EOMONTH(B1882,0)</f>
        <v>46053</v>
      </c>
      <c r="L1882" s="3" t="inlineStr">
        <is>
          <t>Accounts Payable</t>
        </is>
      </c>
      <c r="M1882" s="3" t="inlineStr">
        <is>
          <t>Balance Sheet</t>
        </is>
      </c>
    </row>
    <row r="1883">
      <c r="B1883" s="39" t="n">
        <v>46044</v>
      </c>
      <c r="C1883" s="3" t="inlineStr">
        <is>
          <t>Bill</t>
        </is>
      </c>
      <c r="D1883" s="3" t="inlineStr"/>
      <c r="E1883" s="3" t="inlineStr">
        <is>
          <t>Tarrowmere Mutual Insurance</t>
        </is>
      </c>
      <c r="F1883" s="3" t="inlineStr">
        <is>
          <t>Benefits – January</t>
        </is>
      </c>
      <c r="G1883" s="3" t="inlineStr">
        <is>
          <t>Benefits</t>
        </is>
      </c>
      <c r="H1883" s="3" t="inlineStr">
        <is>
          <t>Accounts Payable</t>
        </is>
      </c>
      <c r="I1883" s="33" t="n">
        <v>5498.21</v>
      </c>
      <c r="J1883" s="13">
        <f>+J1882+I1883</f>
        <v>294182.98</v>
      </c>
      <c r="K1883" s="19">
        <f>+EOMONTH(B1883,0)</f>
        <v>46053</v>
      </c>
      <c r="L1883" s="3" t="inlineStr">
        <is>
          <t>Accounts Payable</t>
        </is>
      </c>
      <c r="M1883" s="3" t="inlineStr">
        <is>
          <t>Balance Sheet</t>
        </is>
      </c>
    </row>
    <row r="1884">
      <c r="B1884" s="39" t="n">
        <v>46044</v>
      </c>
      <c r="C1884" s="3" t="inlineStr">
        <is>
          <t>Bill</t>
        </is>
      </c>
      <c r="D1884" s="3" t="inlineStr"/>
      <c r="E1884" s="3" t="inlineStr">
        <is>
          <t>Union Utilities</t>
        </is>
      </c>
      <c r="F1884" s="3" t="inlineStr">
        <is>
          <t>Utilities – January</t>
        </is>
      </c>
      <c r="G1884" s="3" t="inlineStr">
        <is>
          <t>Utilities</t>
        </is>
      </c>
      <c r="H1884" s="3" t="inlineStr">
        <is>
          <t>Accounts Payable</t>
        </is>
      </c>
      <c r="I1884" s="33" t="n">
        <v>3410.39</v>
      </c>
      <c r="J1884" s="13">
        <f>+J1883+I1884</f>
        <v>297593.37</v>
      </c>
      <c r="K1884" s="19">
        <f>+EOMONTH(B1884,0)</f>
        <v>46053</v>
      </c>
      <c r="L1884" s="3" t="inlineStr">
        <is>
          <t>Accounts Payable</t>
        </is>
      </c>
      <c r="M1884" s="3" t="inlineStr">
        <is>
          <t>Balance Sheet</t>
        </is>
      </c>
    </row>
    <row r="1885">
      <c r="B1885" s="39" t="n">
        <v>46045</v>
      </c>
      <c r="C1885" s="3" t="inlineStr">
        <is>
          <t>Bill</t>
        </is>
      </c>
      <c r="D1885" s="3" t="inlineStr"/>
      <c r="E1885" s="3" t="inlineStr">
        <is>
          <t>Reference Lab A</t>
        </is>
      </c>
      <c r="F1885" s="3" t="inlineStr">
        <is>
          <t>Send-out testing – January</t>
        </is>
      </c>
      <c r="G1885" s="3" t="inlineStr">
        <is>
          <t>Laboratory Fees</t>
        </is>
      </c>
      <c r="H1885" s="3" t="inlineStr">
        <is>
          <t>Accounts Payable</t>
        </is>
      </c>
      <c r="I1885" s="33" t="n">
        <v>17738.67</v>
      </c>
      <c r="J1885" s="13">
        <f>+J1884+I1885</f>
        <v>315332.04</v>
      </c>
      <c r="K1885" s="19">
        <f>+EOMONTH(B1885,0)</f>
        <v>46053</v>
      </c>
      <c r="L1885" s="3" t="inlineStr">
        <is>
          <t>Accounts Payable</t>
        </is>
      </c>
      <c r="M1885" s="3" t="inlineStr">
        <is>
          <t>Balance Sheet</t>
        </is>
      </c>
    </row>
    <row r="1886">
      <c r="B1886" s="39" t="n">
        <v>46046</v>
      </c>
      <c r="C1886" s="3" t="inlineStr">
        <is>
          <t>Bill</t>
        </is>
      </c>
      <c r="D1886" s="3" t="inlineStr"/>
      <c r="E1886" s="3" t="inlineStr">
        <is>
          <t>Vialtrace Lab Supplies Inc</t>
        </is>
      </c>
      <c r="F1886" s="3" t="inlineStr">
        <is>
          <t>Lab supplies PO# F2010</t>
        </is>
      </c>
      <c r="G1886" s="3" t="inlineStr">
        <is>
          <t>Lab Supplies</t>
        </is>
      </c>
      <c r="H1886" s="3" t="inlineStr">
        <is>
          <t>Accounts Payable</t>
        </is>
      </c>
      <c r="I1886" s="33" t="n">
        <v>24276.83</v>
      </c>
      <c r="J1886" s="13">
        <f>+J1885+I1886</f>
        <v>339608.87</v>
      </c>
      <c r="K1886" s="19">
        <f>+EOMONTH(B1886,0)</f>
        <v>46053</v>
      </c>
      <c r="L1886" s="3" t="inlineStr">
        <is>
          <t>Accounts Payable</t>
        </is>
      </c>
      <c r="M1886" s="3" t="inlineStr">
        <is>
          <t>Balance Sheet</t>
        </is>
      </c>
    </row>
    <row r="1887">
      <c r="B1887" s="39" t="n">
        <v>46046</v>
      </c>
      <c r="C1887" s="3" t="inlineStr">
        <is>
          <t>Bill</t>
        </is>
      </c>
      <c r="D1887" s="3" t="inlineStr"/>
      <c r="E1887" s="3" t="inlineStr">
        <is>
          <t>Swiftmere Courier</t>
        </is>
      </c>
      <c r="F1887" s="3" t="inlineStr">
        <is>
          <t>Delivery and Transportation – January</t>
        </is>
      </c>
      <c r="G1887" s="3" t="inlineStr">
        <is>
          <t>Delivery and Transportation</t>
        </is>
      </c>
      <c r="H1887" s="3" t="inlineStr">
        <is>
          <t>Accounts Payable</t>
        </is>
      </c>
      <c r="I1887" s="33" t="n">
        <v>3264.94</v>
      </c>
      <c r="J1887" s="13">
        <f>+J1886+I1887</f>
        <v>342873.81</v>
      </c>
      <c r="K1887" s="19">
        <f>+EOMONTH(B1887,0)</f>
        <v>46053</v>
      </c>
      <c r="L1887" s="3" t="inlineStr">
        <is>
          <t>Accounts Payable</t>
        </is>
      </c>
      <c r="M1887" s="3" t="inlineStr">
        <is>
          <t>Balance Sheet</t>
        </is>
      </c>
    </row>
    <row r="1888">
      <c r="B1888" s="39" t="n">
        <v>46046</v>
      </c>
      <c r="C1888" s="3" t="inlineStr">
        <is>
          <t>Bill</t>
        </is>
      </c>
      <c r="D1888" s="3" t="inlineStr"/>
      <c r="E1888" s="3" t="inlineStr">
        <is>
          <t>Tarrowmere Mutual Insurance</t>
        </is>
      </c>
      <c r="F1888" s="3" t="inlineStr">
        <is>
          <t>Premium installment</t>
        </is>
      </c>
      <c r="G1888" s="3" t="inlineStr">
        <is>
          <t>Insurance Expense</t>
        </is>
      </c>
      <c r="H1888" s="3" t="inlineStr">
        <is>
          <t>Accounts Payable</t>
        </is>
      </c>
      <c r="I1888" s="33" t="n">
        <v>6456.49</v>
      </c>
      <c r="J1888" s="13">
        <f>+J1887+I1888</f>
        <v>349330.3</v>
      </c>
      <c r="K1888" s="19">
        <f>+EOMONTH(B1888,0)</f>
        <v>46053</v>
      </c>
      <c r="L1888" s="3" t="inlineStr">
        <is>
          <t>Accounts Payable</t>
        </is>
      </c>
      <c r="M1888" s="3" t="inlineStr">
        <is>
          <t>Balance Sheet</t>
        </is>
      </c>
    </row>
    <row r="1889">
      <c r="B1889" s="39" t="n">
        <v>46046</v>
      </c>
      <c r="C1889" s="3" t="inlineStr">
        <is>
          <t>Bill Payment (Check)</t>
        </is>
      </c>
      <c r="D1889" s="3" t="inlineStr">
        <is>
          <t>11221</t>
        </is>
      </c>
      <c r="E1889" s="3" t="inlineStr">
        <is>
          <t>Ledgerquill Billing SaaS</t>
        </is>
      </c>
      <c r="F1889" s="3" t="inlineStr">
        <is>
          <t>Billing Software as a Service – January</t>
        </is>
      </c>
      <c r="G1889" s="3" t="inlineStr">
        <is>
          <t>Checking – Operating</t>
        </is>
      </c>
      <c r="H1889" s="3" t="inlineStr">
        <is>
          <t>Accounts Payable</t>
        </is>
      </c>
      <c r="I1889" s="33" t="n">
        <v>-21277.65</v>
      </c>
      <c r="J1889" s="13">
        <f>+J1888+I1889</f>
        <v>328052.65</v>
      </c>
      <c r="K1889" s="19">
        <f>+EOMONTH(B1889,0)</f>
        <v>46053</v>
      </c>
      <c r="L1889" s="3" t="inlineStr">
        <is>
          <t>Accounts Payable</t>
        </is>
      </c>
      <c r="M1889" s="3" t="inlineStr">
        <is>
          <t>Balance Sheet</t>
        </is>
      </c>
    </row>
    <row r="1890">
      <c r="B1890" s="39" t="n">
        <v>46048</v>
      </c>
      <c r="C1890" s="3" t="inlineStr">
        <is>
          <t>Bill</t>
        </is>
      </c>
      <c r="D1890" s="3" t="inlineStr"/>
      <c r="E1890" s="3" t="inlineStr">
        <is>
          <t>Vialtrace Lab Supplies Inc</t>
        </is>
      </c>
      <c r="F1890" s="3" t="inlineStr">
        <is>
          <t>Lab Expenses – January</t>
        </is>
      </c>
      <c r="G1890" s="3" t="inlineStr">
        <is>
          <t>Lab Expenses</t>
        </is>
      </c>
      <c r="H1890" s="3" t="inlineStr">
        <is>
          <t>Accounts Payable</t>
        </is>
      </c>
      <c r="I1890" s="33" t="n">
        <v>4463.35</v>
      </c>
      <c r="J1890" s="13">
        <f>+J1889+I1890</f>
        <v>332516</v>
      </c>
      <c r="K1890" s="19">
        <f>+EOMONTH(B1890,0)</f>
        <v>46053</v>
      </c>
      <c r="L1890" s="3" t="inlineStr">
        <is>
          <t>Accounts Payable</t>
        </is>
      </c>
      <c r="M1890" s="3" t="inlineStr">
        <is>
          <t>Balance Sheet</t>
        </is>
      </c>
    </row>
    <row r="1891">
      <c r="B1891" s="39" t="n">
        <v>46048</v>
      </c>
      <c r="C1891" s="3" t="inlineStr">
        <is>
          <t>Bill Payment (Check)</t>
        </is>
      </c>
      <c r="D1891" s="3" t="inlineStr">
        <is>
          <t>10736</t>
        </is>
      </c>
      <c r="E1891" s="3" t="inlineStr">
        <is>
          <t>Lumenlease Equipment</t>
        </is>
      </c>
      <c r="F1891" s="3" t="inlineStr">
        <is>
          <t>Equipment Lease – January</t>
        </is>
      </c>
      <c r="G1891" s="3" t="inlineStr">
        <is>
          <t>Checking – Operating</t>
        </is>
      </c>
      <c r="H1891" s="3" t="inlineStr">
        <is>
          <t>Accounts Payable</t>
        </is>
      </c>
      <c r="I1891" s="33" t="n">
        <v>-4381.77</v>
      </c>
      <c r="J1891" s="13">
        <f>+J1890+I1891</f>
        <v>328134.23</v>
      </c>
      <c r="K1891" s="19">
        <f>+EOMONTH(B1891,0)</f>
        <v>46053</v>
      </c>
      <c r="L1891" s="3" t="inlineStr">
        <is>
          <t>Accounts Payable</t>
        </is>
      </c>
      <c r="M1891" s="3" t="inlineStr">
        <is>
          <t>Balance Sheet</t>
        </is>
      </c>
    </row>
    <row r="1892">
      <c r="B1892" s="39" t="n">
        <v>46049</v>
      </c>
      <c r="C1892" s="3" t="inlineStr">
        <is>
          <t>Bill</t>
        </is>
      </c>
      <c r="D1892" s="3" t="inlineStr"/>
      <c r="E1892" s="3" t="inlineStr">
        <is>
          <t>Tarrowmere Mutual Insurance</t>
        </is>
      </c>
      <c r="F1892" s="3" t="inlineStr">
        <is>
          <t>Benefits – January</t>
        </is>
      </c>
      <c r="G1892" s="3" t="inlineStr">
        <is>
          <t>Benefits</t>
        </is>
      </c>
      <c r="H1892" s="3" t="inlineStr">
        <is>
          <t>Accounts Payable</t>
        </is>
      </c>
      <c r="I1892" s="33" t="n">
        <v>4149.43</v>
      </c>
      <c r="J1892" s="13">
        <f>+J1891+I1892</f>
        <v>332283.66</v>
      </c>
      <c r="K1892" s="19">
        <f>+EOMONTH(B1892,0)</f>
        <v>46053</v>
      </c>
      <c r="L1892" s="3" t="inlineStr">
        <is>
          <t>Accounts Payable</t>
        </is>
      </c>
      <c r="M1892" s="3" t="inlineStr">
        <is>
          <t>Balance Sheet</t>
        </is>
      </c>
    </row>
    <row r="1893">
      <c r="B1893" s="39" t="n">
        <v>46050</v>
      </c>
      <c r="C1893" s="3" t="inlineStr">
        <is>
          <t>Bill</t>
        </is>
      </c>
      <c r="D1893" s="3" t="inlineStr"/>
      <c r="E1893" s="3" t="inlineStr">
        <is>
          <t>Reference Lab A</t>
        </is>
      </c>
      <c r="F1893" s="3" t="inlineStr">
        <is>
          <t>Send-out testing – January</t>
        </is>
      </c>
      <c r="G1893" s="3" t="inlineStr">
        <is>
          <t>Laboratory Fees</t>
        </is>
      </c>
      <c r="H1893" s="3" t="inlineStr">
        <is>
          <t>Accounts Payable</t>
        </is>
      </c>
      <c r="I1893" s="33" t="n">
        <v>15169.22</v>
      </c>
      <c r="J1893" s="13">
        <f>+J1892+I1893</f>
        <v>347452.88</v>
      </c>
      <c r="K1893" s="19">
        <f>+EOMONTH(B1893,0)</f>
        <v>46053</v>
      </c>
      <c r="L1893" s="3" t="inlineStr">
        <is>
          <t>Accounts Payable</t>
        </is>
      </c>
      <c r="M1893" s="3" t="inlineStr">
        <is>
          <t>Balance Sheet</t>
        </is>
      </c>
    </row>
    <row r="1894">
      <c r="B1894" s="39" t="n">
        <v>46050</v>
      </c>
      <c r="C1894" s="3" t="inlineStr">
        <is>
          <t>Bill</t>
        </is>
      </c>
      <c r="D1894" s="3" t="inlineStr"/>
      <c r="E1894" s="3" t="inlineStr">
        <is>
          <t>Union Utilities</t>
        </is>
      </c>
      <c r="F1894" s="3" t="inlineStr">
        <is>
          <t>Utilities – January</t>
        </is>
      </c>
      <c r="G1894" s="3" t="inlineStr">
        <is>
          <t>Utilities</t>
        </is>
      </c>
      <c r="H1894" s="3" t="inlineStr">
        <is>
          <t>Accounts Payable</t>
        </is>
      </c>
      <c r="I1894" s="33" t="n">
        <v>3689.61</v>
      </c>
      <c r="J1894" s="13">
        <f>+J1893+I1894</f>
        <v>351142.49</v>
      </c>
      <c r="K1894" s="19">
        <f>+EOMONTH(B1894,0)</f>
        <v>46053</v>
      </c>
      <c r="L1894" s="3" t="inlineStr">
        <is>
          <t>Accounts Payable</t>
        </is>
      </c>
      <c r="M1894" s="3" t="inlineStr">
        <is>
          <t>Balance Sheet</t>
        </is>
      </c>
    </row>
    <row r="1895">
      <c r="B1895" s="39" t="n">
        <v>46051</v>
      </c>
      <c r="C1895" s="3" t="inlineStr">
        <is>
          <t>Bill</t>
        </is>
      </c>
      <c r="D1895" s="3" t="inlineStr"/>
      <c r="E1895" s="3" t="inlineStr">
        <is>
          <t>Reagentix Corp</t>
        </is>
      </c>
      <c r="F1895" s="3" t="inlineStr">
        <is>
          <t>Lab supplies PO# F2897</t>
        </is>
      </c>
      <c r="G1895" s="3" t="inlineStr">
        <is>
          <t>Reagents</t>
        </is>
      </c>
      <c r="H1895" s="3" t="inlineStr">
        <is>
          <t>Accounts Payable</t>
        </is>
      </c>
      <c r="I1895" s="33" t="n">
        <v>7474.82</v>
      </c>
      <c r="J1895" s="13">
        <f>+J1894+I1895</f>
        <v>358617.31</v>
      </c>
      <c r="K1895" s="19">
        <f>+EOMONTH(B1895,0)</f>
        <v>46053</v>
      </c>
      <c r="L1895" s="3" t="inlineStr">
        <is>
          <t>Accounts Payable</t>
        </is>
      </c>
      <c r="M1895" s="3" t="inlineStr">
        <is>
          <t>Balance Sheet</t>
        </is>
      </c>
    </row>
    <row r="1896">
      <c r="B1896" s="39" t="n">
        <v>46051</v>
      </c>
      <c r="C1896" s="3" t="inlineStr">
        <is>
          <t>Bill</t>
        </is>
      </c>
      <c r="D1896" s="3" t="inlineStr"/>
      <c r="E1896" s="3" t="inlineStr">
        <is>
          <t>Tarrowmere Mutual Insurance</t>
        </is>
      </c>
      <c r="F1896" s="3" t="inlineStr">
        <is>
          <t>Benefits – January</t>
        </is>
      </c>
      <c r="G1896" s="3" t="inlineStr">
        <is>
          <t>Benefits</t>
        </is>
      </c>
      <c r="H1896" s="3" t="inlineStr">
        <is>
          <t>Accounts Payable</t>
        </is>
      </c>
      <c r="I1896" s="33" t="n">
        <v>6666.87</v>
      </c>
      <c r="J1896" s="13">
        <f>+J1895+I1896</f>
        <v>365284.18</v>
      </c>
      <c r="K1896" s="19">
        <f>+EOMONTH(B1896,0)</f>
        <v>46053</v>
      </c>
      <c r="L1896" s="3" t="inlineStr">
        <is>
          <t>Accounts Payable</t>
        </is>
      </c>
      <c r="M1896" s="3" t="inlineStr">
        <is>
          <t>Balance Sheet</t>
        </is>
      </c>
    </row>
    <row r="1897">
      <c r="B1897" s="39" t="n">
        <v>46051</v>
      </c>
      <c r="C1897" s="3" t="inlineStr">
        <is>
          <t>Bill Payment (Check)</t>
        </is>
      </c>
      <c r="D1897" s="3" t="inlineStr">
        <is>
          <t>10897</t>
        </is>
      </c>
      <c r="E1897" s="3" t="inlineStr">
        <is>
          <t>Halloway Ridge Realty (rent)</t>
        </is>
      </c>
      <c r="F1897" s="3" t="inlineStr">
        <is>
          <t>Rent – January</t>
        </is>
      </c>
      <c r="G1897" s="3" t="inlineStr">
        <is>
          <t>Checking – Operating</t>
        </is>
      </c>
      <c r="H1897" s="3" t="inlineStr">
        <is>
          <t>Accounts Payable</t>
        </is>
      </c>
      <c r="I1897" s="33" t="n">
        <v>-17866.16</v>
      </c>
      <c r="J1897" s="13">
        <f>+J1896+I1897</f>
        <v>347418.02</v>
      </c>
      <c r="K1897" s="19">
        <f>+EOMONTH(B1897,0)</f>
        <v>46053</v>
      </c>
      <c r="L1897" s="3" t="inlineStr">
        <is>
          <t>Accounts Payable</t>
        </is>
      </c>
      <c r="M1897" s="3" t="inlineStr">
        <is>
          <t>Balance Sheet</t>
        </is>
      </c>
    </row>
    <row r="1898">
      <c r="B1898" s="39" t="n">
        <v>46051</v>
      </c>
      <c r="C1898" s="3" t="inlineStr">
        <is>
          <t>Bill Payment (Check)</t>
        </is>
      </c>
      <c r="D1898" s="3" t="inlineStr">
        <is>
          <t>11219</t>
        </is>
      </c>
      <c r="E1898" s="3" t="inlineStr">
        <is>
          <t>Ledgerquill Billing SaaS</t>
        </is>
      </c>
      <c r="F1898" s="3" t="inlineStr">
        <is>
          <t>Billing Software as a Service – January</t>
        </is>
      </c>
      <c r="G1898" s="3" t="inlineStr">
        <is>
          <t>Checking – Operating</t>
        </is>
      </c>
      <c r="H1898" s="3" t="inlineStr">
        <is>
          <t>Accounts Payable</t>
        </is>
      </c>
      <c r="I1898" s="33" t="n">
        <v>-15689.1</v>
      </c>
      <c r="J1898" s="13">
        <f>+J1897+I1898</f>
        <v>331728.92</v>
      </c>
      <c r="K1898" s="19">
        <f>+EOMONTH(B1898,0)</f>
        <v>46053</v>
      </c>
      <c r="L1898" s="3" t="inlineStr">
        <is>
          <t>Accounts Payable</t>
        </is>
      </c>
      <c r="M1898" s="3" t="inlineStr">
        <is>
          <t>Balance Sheet</t>
        </is>
      </c>
    </row>
    <row r="1899">
      <c r="B1899" s="39" t="n">
        <v>46052</v>
      </c>
      <c r="C1899" s="3" t="inlineStr">
        <is>
          <t>Bill</t>
        </is>
      </c>
      <c r="D1899" s="3" t="inlineStr"/>
      <c r="E1899" s="3" t="inlineStr">
        <is>
          <t>Reagentix Corp</t>
        </is>
      </c>
      <c r="F1899" s="3" t="inlineStr">
        <is>
          <t>Lab supplies PO# F2701</t>
        </is>
      </c>
      <c r="G1899" s="3" t="inlineStr">
        <is>
          <t>Reagents</t>
        </is>
      </c>
      <c r="H1899" s="3" t="inlineStr">
        <is>
          <t>Accounts Payable</t>
        </is>
      </c>
      <c r="I1899" s="33" t="n">
        <v>7832.33</v>
      </c>
      <c r="J1899" s="13">
        <f>+J1898+I1899</f>
        <v>339561.25</v>
      </c>
      <c r="K1899" s="19">
        <f>+EOMONTH(B1899,0)</f>
        <v>46053</v>
      </c>
      <c r="L1899" s="3" t="inlineStr">
        <is>
          <t>Accounts Payable</t>
        </is>
      </c>
      <c r="M1899" s="3" t="inlineStr">
        <is>
          <t>Balance Sheet</t>
        </is>
      </c>
    </row>
    <row r="1900">
      <c r="B1900" s="39" t="n">
        <v>46052</v>
      </c>
      <c r="C1900" s="3" t="inlineStr">
        <is>
          <t>Bill Payment (Check)</t>
        </is>
      </c>
      <c r="D1900" s="3" t="inlineStr">
        <is>
          <t>10539</t>
        </is>
      </c>
      <c r="E1900" s="3" t="inlineStr">
        <is>
          <t>Reagentix Corp</t>
        </is>
      </c>
      <c r="F1900" s="3" t="inlineStr">
        <is>
          <t>Lab supplies PO# F2629</t>
        </is>
      </c>
      <c r="G1900" s="3" t="inlineStr">
        <is>
          <t>Checking – Operating</t>
        </is>
      </c>
      <c r="H1900" s="3" t="inlineStr">
        <is>
          <t>Accounts Payable</t>
        </is>
      </c>
      <c r="I1900" s="33" t="n">
        <v>-9806.629999999999</v>
      </c>
      <c r="J1900" s="13">
        <f>+J1899+I1900</f>
        <v>329754.62</v>
      </c>
      <c r="K1900" s="19">
        <f>+EOMONTH(B1900,0)</f>
        <v>46053</v>
      </c>
      <c r="L1900" s="3" t="inlineStr">
        <is>
          <t>Accounts Payable</t>
        </is>
      </c>
      <c r="M1900" s="3" t="inlineStr">
        <is>
          <t>Balance Sheet</t>
        </is>
      </c>
    </row>
    <row r="1901">
      <c r="B1901" s="39" t="n">
        <v>46052</v>
      </c>
      <c r="C1901" s="3" t="inlineStr">
        <is>
          <t>Bill Payment (Check)</t>
        </is>
      </c>
      <c r="D1901" s="3" t="inlineStr">
        <is>
          <t>10667</t>
        </is>
      </c>
      <c r="E1901" s="3" t="inlineStr">
        <is>
          <t>Lumenlease Equipment</t>
        </is>
      </c>
      <c r="F1901" s="3" t="inlineStr">
        <is>
          <t>Lab Equipment – January</t>
        </is>
      </c>
      <c r="G1901" s="3" t="inlineStr">
        <is>
          <t>Checking – Operating</t>
        </is>
      </c>
      <c r="H1901" s="3" t="inlineStr">
        <is>
          <t>Accounts Payable</t>
        </is>
      </c>
      <c r="I1901" s="33" t="n">
        <v>-2490.06</v>
      </c>
      <c r="J1901" s="13">
        <f>+J1900+I1901</f>
        <v>327264.56</v>
      </c>
      <c r="K1901" s="19">
        <f>+EOMONTH(B1901,0)</f>
        <v>46053</v>
      </c>
      <c r="L1901" s="3" t="inlineStr">
        <is>
          <t>Accounts Payable</t>
        </is>
      </c>
      <c r="M1901" s="3" t="inlineStr">
        <is>
          <t>Balance Sheet</t>
        </is>
      </c>
    </row>
    <row r="1902">
      <c r="B1902" s="39" t="n">
        <v>46053</v>
      </c>
      <c r="C1902" s="3" t="inlineStr">
        <is>
          <t>Bill</t>
        </is>
      </c>
      <c r="D1902" s="3" t="inlineStr"/>
      <c r="E1902" s="3" t="inlineStr">
        <is>
          <t>Vialtrace Lab Supplies Inc</t>
        </is>
      </c>
      <c r="F1902" s="3" t="inlineStr">
        <is>
          <t>Lab Expenses – January</t>
        </is>
      </c>
      <c r="G1902" s="3" t="inlineStr">
        <is>
          <t>Lab Expenses</t>
        </is>
      </c>
      <c r="H1902" s="3" t="inlineStr">
        <is>
          <t>Accounts Payable</t>
        </is>
      </c>
      <c r="I1902" s="33" t="n">
        <v>3737.44</v>
      </c>
      <c r="J1902" s="13">
        <f>+J1901+I1902</f>
        <v>331002</v>
      </c>
      <c r="K1902" s="19">
        <f>+EOMONTH(B1902,0)</f>
        <v>46053</v>
      </c>
      <c r="L1902" s="3" t="inlineStr">
        <is>
          <t>Accounts Payable</t>
        </is>
      </c>
      <c r="M1902" s="3" t="inlineStr">
        <is>
          <t>Balance Sheet</t>
        </is>
      </c>
    </row>
    <row r="1903">
      <c r="B1903" s="39" t="n">
        <v>46053</v>
      </c>
      <c r="C1903" s="3" t="inlineStr">
        <is>
          <t>Bill</t>
        </is>
      </c>
      <c r="D1903" s="3" t="inlineStr"/>
      <c r="E1903" s="3" t="inlineStr">
        <is>
          <t>Reference Lab A</t>
        </is>
      </c>
      <c r="F1903" s="3" t="inlineStr">
        <is>
          <t>Send-out testing – January</t>
        </is>
      </c>
      <c r="G1903" s="3" t="inlineStr">
        <is>
          <t>Laboratory Fees</t>
        </is>
      </c>
      <c r="H1903" s="3" t="inlineStr">
        <is>
          <t>Accounts Payable</t>
        </is>
      </c>
      <c r="I1903" s="33" t="n">
        <v>12214.96</v>
      </c>
      <c r="J1903" s="13">
        <f>+J1902+I1903</f>
        <v>343216.96</v>
      </c>
      <c r="K1903" s="19">
        <f>+EOMONTH(B1903,0)</f>
        <v>46053</v>
      </c>
      <c r="L1903" s="3" t="inlineStr">
        <is>
          <t>Accounts Payable</t>
        </is>
      </c>
      <c r="M1903" s="3" t="inlineStr">
        <is>
          <t>Balance Sheet</t>
        </is>
      </c>
    </row>
    <row r="1904">
      <c r="B1904" s="39" t="n">
        <v>46054</v>
      </c>
      <c r="C1904" s="3" t="inlineStr">
        <is>
          <t>Bill</t>
        </is>
      </c>
      <c r="D1904" s="3" t="inlineStr"/>
      <c r="E1904" s="3" t="inlineStr">
        <is>
          <t>Vialtrace Lab Supplies Inc</t>
        </is>
      </c>
      <c r="F1904" s="3" t="inlineStr">
        <is>
          <t>Lab Expenses – February</t>
        </is>
      </c>
      <c r="G1904" s="3" t="inlineStr">
        <is>
          <t>Lab Expenses</t>
        </is>
      </c>
      <c r="H1904" s="3" t="inlineStr">
        <is>
          <t>Accounts Payable</t>
        </is>
      </c>
      <c r="I1904" s="33" t="n">
        <v>3550.13</v>
      </c>
      <c r="J1904" s="13">
        <f>+J1903+I1904</f>
        <v>346767.09</v>
      </c>
      <c r="K1904" s="19">
        <f>+EOMONTH(B1904,0)</f>
        <v>46081</v>
      </c>
      <c r="L1904" s="3" t="inlineStr">
        <is>
          <t>Accounts Payable</t>
        </is>
      </c>
      <c r="M1904" s="3" t="inlineStr">
        <is>
          <t>Balance Sheet</t>
        </is>
      </c>
    </row>
    <row r="1905">
      <c r="B1905" s="39" t="n">
        <v>46054</v>
      </c>
      <c r="C1905" s="3" t="inlineStr">
        <is>
          <t>Bill</t>
        </is>
      </c>
      <c r="D1905" s="3" t="inlineStr"/>
      <c r="E1905" s="3" t="inlineStr">
        <is>
          <t>Lumenlease Equipment</t>
        </is>
      </c>
      <c r="F1905" s="3" t="inlineStr">
        <is>
          <t>Lab Equipment – February</t>
        </is>
      </c>
      <c r="G1905" s="3" t="inlineStr">
        <is>
          <t>Lab Equipment</t>
        </is>
      </c>
      <c r="H1905" s="3" t="inlineStr">
        <is>
          <t>Accounts Payable</t>
        </is>
      </c>
      <c r="I1905" s="33" t="n">
        <v>3196.8</v>
      </c>
      <c r="J1905" s="13">
        <f>+J1904+I1905</f>
        <v>349963.89</v>
      </c>
      <c r="K1905" s="19">
        <f>+EOMONTH(B1905,0)</f>
        <v>46081</v>
      </c>
      <c r="L1905" s="3" t="inlineStr">
        <is>
          <t>Accounts Payable</t>
        </is>
      </c>
      <c r="M1905" s="3" t="inlineStr">
        <is>
          <t>Balance Sheet</t>
        </is>
      </c>
    </row>
    <row r="1906">
      <c r="B1906" s="39" t="n">
        <v>46054</v>
      </c>
      <c r="C1906" s="3" t="inlineStr">
        <is>
          <t>Bill</t>
        </is>
      </c>
      <c r="D1906" s="3" t="inlineStr"/>
      <c r="E1906" s="3" t="inlineStr">
        <is>
          <t>Union Utilities</t>
        </is>
      </c>
      <c r="F1906" s="3" t="inlineStr">
        <is>
          <t>Utilities – February</t>
        </is>
      </c>
      <c r="G1906" s="3" t="inlineStr">
        <is>
          <t>Utilities</t>
        </is>
      </c>
      <c r="H1906" s="3" t="inlineStr">
        <is>
          <t>Accounts Payable</t>
        </is>
      </c>
      <c r="I1906" s="33" t="n">
        <v>3560.43</v>
      </c>
      <c r="J1906" s="13">
        <f>+J1905+I1906</f>
        <v>353524.32</v>
      </c>
      <c r="K1906" s="19">
        <f>+EOMONTH(B1906,0)</f>
        <v>46081</v>
      </c>
      <c r="L1906" s="3" t="inlineStr">
        <is>
          <t>Accounts Payable</t>
        </is>
      </c>
      <c r="M1906" s="3" t="inlineStr">
        <is>
          <t>Balance Sheet</t>
        </is>
      </c>
    </row>
    <row r="1907">
      <c r="B1907" s="39" t="n">
        <v>46054</v>
      </c>
      <c r="C1907" s="3" t="inlineStr">
        <is>
          <t>Bill Payment (Check)</t>
        </is>
      </c>
      <c r="D1907" s="3" t="inlineStr">
        <is>
          <t>10457</t>
        </is>
      </c>
      <c r="E1907" s="3" t="inlineStr">
        <is>
          <t>Vialtrace Lab Supplies Inc</t>
        </is>
      </c>
      <c r="F1907" s="3" t="inlineStr">
        <is>
          <t>Lab supplies PO# F2165</t>
        </is>
      </c>
      <c r="G1907" s="3" t="inlineStr">
        <is>
          <t>Checking – Operating</t>
        </is>
      </c>
      <c r="H1907" s="3" t="inlineStr">
        <is>
          <t>Accounts Payable</t>
        </is>
      </c>
      <c r="I1907" s="33" t="n">
        <v>-25920.16</v>
      </c>
      <c r="J1907" s="13">
        <f>+J1906+I1907</f>
        <v>327604.16</v>
      </c>
      <c r="K1907" s="19">
        <f>+EOMONTH(B1907,0)</f>
        <v>46081</v>
      </c>
      <c r="L1907" s="3" t="inlineStr">
        <is>
          <t>Accounts Payable</t>
        </is>
      </c>
      <c r="M1907" s="3" t="inlineStr">
        <is>
          <t>Balance Sheet</t>
        </is>
      </c>
    </row>
    <row r="1908">
      <c r="B1908" s="39" t="n">
        <v>46054</v>
      </c>
      <c r="C1908" s="3" t="inlineStr">
        <is>
          <t>Bill Payment (Check)</t>
        </is>
      </c>
      <c r="D1908" s="3" t="inlineStr">
        <is>
          <t>11017</t>
        </is>
      </c>
      <c r="E1908" s="3" t="inlineStr">
        <is>
          <t>Northmoor Waste Services</t>
        </is>
      </c>
      <c r="F1908" s="3" t="inlineStr">
        <is>
          <t>Waste Removal – January</t>
        </is>
      </c>
      <c r="G1908" s="3" t="inlineStr">
        <is>
          <t>Checking – Operating</t>
        </is>
      </c>
      <c r="H1908" s="3" t="inlineStr">
        <is>
          <t>Accounts Payable</t>
        </is>
      </c>
      <c r="I1908" s="33" t="n">
        <v>-624.67</v>
      </c>
      <c r="J1908" s="13">
        <f>+J1907+I1908</f>
        <v>326979.49</v>
      </c>
      <c r="K1908" s="19">
        <f>+EOMONTH(B1908,0)</f>
        <v>46081</v>
      </c>
      <c r="L1908" s="3" t="inlineStr">
        <is>
          <t>Accounts Payable</t>
        </is>
      </c>
      <c r="M1908" s="3" t="inlineStr">
        <is>
          <t>Balance Sheet</t>
        </is>
      </c>
    </row>
    <row r="1909">
      <c r="B1909" s="39" t="n">
        <v>46055</v>
      </c>
      <c r="C1909" s="3" t="inlineStr">
        <is>
          <t>Bill Payment (Check)</t>
        </is>
      </c>
      <c r="D1909" s="3" t="inlineStr">
        <is>
          <t>10456</t>
        </is>
      </c>
      <c r="E1909" s="3" t="inlineStr">
        <is>
          <t>Reagentix Corp</t>
        </is>
      </c>
      <c r="F1909" s="3" t="inlineStr">
        <is>
          <t>Lab supplies PO# F2324</t>
        </is>
      </c>
      <c r="G1909" s="3" t="inlineStr">
        <is>
          <t>Checking – Operating</t>
        </is>
      </c>
      <c r="H1909" s="3" t="inlineStr">
        <is>
          <t>Accounts Payable</t>
        </is>
      </c>
      <c r="I1909" s="33" t="n">
        <v>-31413.72</v>
      </c>
      <c r="J1909" s="13">
        <f>+J1908+I1909</f>
        <v>295565.77</v>
      </c>
      <c r="K1909" s="19">
        <f>+EOMONTH(B1909,0)</f>
        <v>46081</v>
      </c>
      <c r="L1909" s="3" t="inlineStr">
        <is>
          <t>Accounts Payable</t>
        </is>
      </c>
      <c r="M1909" s="3" t="inlineStr">
        <is>
          <t>Balance Sheet</t>
        </is>
      </c>
    </row>
    <row r="1910">
      <c r="B1910" s="39" t="n">
        <v>46055</v>
      </c>
      <c r="C1910" s="3" t="inlineStr">
        <is>
          <t>Bill Payment (Check)</t>
        </is>
      </c>
      <c r="D1910" s="3" t="inlineStr">
        <is>
          <t>10737</t>
        </is>
      </c>
      <c r="E1910" s="3" t="inlineStr">
        <is>
          <t>Lumenlease Equipment</t>
        </is>
      </c>
      <c r="F1910" s="3" t="inlineStr">
        <is>
          <t>Equipment Lease – January</t>
        </is>
      </c>
      <c r="G1910" s="3" t="inlineStr">
        <is>
          <t>Checking – Operating</t>
        </is>
      </c>
      <c r="H1910" s="3" t="inlineStr">
        <is>
          <t>Accounts Payable</t>
        </is>
      </c>
      <c r="I1910" s="33" t="n">
        <v>-3018.23</v>
      </c>
      <c r="J1910" s="13">
        <f>+J1909+I1910</f>
        <v>292547.54</v>
      </c>
      <c r="K1910" s="19">
        <f>+EOMONTH(B1910,0)</f>
        <v>46081</v>
      </c>
      <c r="L1910" s="3" t="inlineStr">
        <is>
          <t>Accounts Payable</t>
        </is>
      </c>
      <c r="M1910" s="3" t="inlineStr">
        <is>
          <t>Balance Sheet</t>
        </is>
      </c>
    </row>
    <row r="1911">
      <c r="B1911" s="39" t="n">
        <v>46056</v>
      </c>
      <c r="C1911" s="3" t="inlineStr">
        <is>
          <t>Bill</t>
        </is>
      </c>
      <c r="D1911" s="3" t="inlineStr"/>
      <c r="E1911" s="3" t="inlineStr">
        <is>
          <t>Reference Lab A</t>
        </is>
      </c>
      <c r="F1911" s="3" t="inlineStr">
        <is>
          <t>Send-out testing – February</t>
        </is>
      </c>
      <c r="G1911" s="3" t="inlineStr">
        <is>
          <t>Laboratory Fees</t>
        </is>
      </c>
      <c r="H1911" s="3" t="inlineStr">
        <is>
          <t>Accounts Payable</t>
        </is>
      </c>
      <c r="I1911" s="33" t="n">
        <v>13761.51</v>
      </c>
      <c r="J1911" s="13">
        <f>+J1910+I1911</f>
        <v>306309.05</v>
      </c>
      <c r="K1911" s="19">
        <f>+EOMONTH(B1911,0)</f>
        <v>46081</v>
      </c>
      <c r="L1911" s="3" t="inlineStr">
        <is>
          <t>Accounts Payable</t>
        </is>
      </c>
      <c r="M1911" s="3" t="inlineStr">
        <is>
          <t>Balance Sheet</t>
        </is>
      </c>
    </row>
    <row r="1912">
      <c r="B1912" s="39" t="n">
        <v>46056</v>
      </c>
      <c r="C1912" s="3" t="inlineStr">
        <is>
          <t>Bill</t>
        </is>
      </c>
      <c r="D1912" s="3" t="inlineStr"/>
      <c r="E1912" s="3" t="inlineStr">
        <is>
          <t>Reference Lab A</t>
        </is>
      </c>
      <c r="F1912" s="3" t="inlineStr">
        <is>
          <t>Send-out testing – February</t>
        </is>
      </c>
      <c r="G1912" s="3" t="inlineStr">
        <is>
          <t>Laboratory Fees</t>
        </is>
      </c>
      <c r="H1912" s="3" t="inlineStr">
        <is>
          <t>Accounts Payable</t>
        </is>
      </c>
      <c r="I1912" s="33" t="n">
        <v>11940.03</v>
      </c>
      <c r="J1912" s="13">
        <f>+J1911+I1912</f>
        <v>318249.08</v>
      </c>
      <c r="K1912" s="19">
        <f>+EOMONTH(B1912,0)</f>
        <v>46081</v>
      </c>
      <c r="L1912" s="3" t="inlineStr">
        <is>
          <t>Accounts Payable</t>
        </is>
      </c>
      <c r="M1912" s="3" t="inlineStr">
        <is>
          <t>Balance Sheet</t>
        </is>
      </c>
    </row>
    <row r="1913">
      <c r="B1913" s="39" t="n">
        <v>46056</v>
      </c>
      <c r="C1913" s="3" t="inlineStr">
        <is>
          <t>Bill Payment (Check)</t>
        </is>
      </c>
      <c r="D1913" s="3" t="inlineStr">
        <is>
          <t>10500</t>
        </is>
      </c>
      <c r="E1913" s="3" t="inlineStr">
        <is>
          <t>Reference Lab A</t>
        </is>
      </c>
      <c r="F1913" s="3" t="inlineStr">
        <is>
          <t>Send-out testing – January</t>
        </is>
      </c>
      <c r="G1913" s="3" t="inlineStr">
        <is>
          <t>Checking – Operating</t>
        </is>
      </c>
      <c r="H1913" s="3" t="inlineStr">
        <is>
          <t>Accounts Payable</t>
        </is>
      </c>
      <c r="I1913" s="33" t="n">
        <v>-17738.67</v>
      </c>
      <c r="J1913" s="13">
        <f>+J1912+I1913</f>
        <v>300510.41</v>
      </c>
      <c r="K1913" s="19">
        <f>+EOMONTH(B1913,0)</f>
        <v>46081</v>
      </c>
      <c r="L1913" s="3" t="inlineStr">
        <is>
          <t>Accounts Payable</t>
        </is>
      </c>
      <c r="M1913" s="3" t="inlineStr">
        <is>
          <t>Balance Sheet</t>
        </is>
      </c>
    </row>
    <row r="1914">
      <c r="B1914" s="39" t="n">
        <v>46056</v>
      </c>
      <c r="C1914" s="3" t="inlineStr">
        <is>
          <t>Bill Payment (Check)</t>
        </is>
      </c>
      <c r="D1914" s="3" t="inlineStr">
        <is>
          <t>11134</t>
        </is>
      </c>
      <c r="E1914" s="3" t="inlineStr">
        <is>
          <t>Tarrowmere Mutual Insurance</t>
        </is>
      </c>
      <c r="F1914" s="3" t="inlineStr">
        <is>
          <t>Benefits – January</t>
        </is>
      </c>
      <c r="G1914" s="3" t="inlineStr">
        <is>
          <t>Checking – Operating</t>
        </is>
      </c>
      <c r="H1914" s="3" t="inlineStr">
        <is>
          <t>Accounts Payable</t>
        </is>
      </c>
      <c r="I1914" s="33" t="n">
        <v>-5498.21</v>
      </c>
      <c r="J1914" s="13">
        <f>+J1913+I1914</f>
        <v>295012.2</v>
      </c>
      <c r="K1914" s="19">
        <f>+EOMONTH(B1914,0)</f>
        <v>46081</v>
      </c>
      <c r="L1914" s="3" t="inlineStr">
        <is>
          <t>Accounts Payable</t>
        </is>
      </c>
      <c r="M1914" s="3" t="inlineStr">
        <is>
          <t>Balance Sheet</t>
        </is>
      </c>
    </row>
    <row r="1915">
      <c r="B1915" s="39" t="n">
        <v>46056</v>
      </c>
      <c r="C1915" s="3" t="inlineStr">
        <is>
          <t>Bill Payment (Check)</t>
        </is>
      </c>
      <c r="D1915" s="3" t="inlineStr">
        <is>
          <t>11135</t>
        </is>
      </c>
      <c r="E1915" s="3" t="inlineStr">
        <is>
          <t>Tarrowmere Mutual Insurance</t>
        </is>
      </c>
      <c r="F1915" s="3" t="inlineStr">
        <is>
          <t>Benefits – January</t>
        </is>
      </c>
      <c r="G1915" s="3" t="inlineStr">
        <is>
          <t>Checking – Operating</t>
        </is>
      </c>
      <c r="H1915" s="3" t="inlineStr">
        <is>
          <t>Accounts Payable</t>
        </is>
      </c>
      <c r="I1915" s="33" t="n">
        <v>-5785.49</v>
      </c>
      <c r="J1915" s="13">
        <f>+J1914+I1915</f>
        <v>289226.71</v>
      </c>
      <c r="K1915" s="19">
        <f>+EOMONTH(B1915,0)</f>
        <v>46081</v>
      </c>
      <c r="L1915" s="3" t="inlineStr">
        <is>
          <t>Accounts Payable</t>
        </is>
      </c>
      <c r="M1915" s="3" t="inlineStr">
        <is>
          <t>Balance Sheet</t>
        </is>
      </c>
    </row>
    <row r="1916">
      <c r="B1916" s="39" t="n">
        <v>46057</v>
      </c>
      <c r="C1916" s="3" t="inlineStr">
        <is>
          <t>Bill</t>
        </is>
      </c>
      <c r="D1916" s="3" t="inlineStr"/>
      <c r="E1916" s="3" t="inlineStr">
        <is>
          <t>Vialtrace Lab Supplies Inc</t>
        </is>
      </c>
      <c r="F1916" s="3" t="inlineStr">
        <is>
          <t>Lab supplies PO# F2433</t>
        </is>
      </c>
      <c r="G1916" s="3" t="inlineStr">
        <is>
          <t>Lab Supplies</t>
        </is>
      </c>
      <c r="H1916" s="3" t="inlineStr">
        <is>
          <t>Accounts Payable</t>
        </is>
      </c>
      <c r="I1916" s="33" t="n">
        <v>23482.06</v>
      </c>
      <c r="J1916" s="13">
        <f>+J1915+I1916</f>
        <v>312708.77</v>
      </c>
      <c r="K1916" s="19">
        <f>+EOMONTH(B1916,0)</f>
        <v>46081</v>
      </c>
      <c r="L1916" s="3" t="inlineStr">
        <is>
          <t>Accounts Payable</t>
        </is>
      </c>
      <c r="M1916" s="3" t="inlineStr">
        <is>
          <t>Balance Sheet</t>
        </is>
      </c>
    </row>
    <row r="1917">
      <c r="B1917" s="39" t="n">
        <v>46057</v>
      </c>
      <c r="C1917" s="3" t="inlineStr">
        <is>
          <t>Bill</t>
        </is>
      </c>
      <c r="D1917" s="3" t="inlineStr"/>
      <c r="E1917" s="3" t="inlineStr">
        <is>
          <t>Reference Lab A</t>
        </is>
      </c>
      <c r="F1917" s="3" t="inlineStr">
        <is>
          <t>Send-out testing – February</t>
        </is>
      </c>
      <c r="G1917" s="3" t="inlineStr">
        <is>
          <t>Laboratory Fees</t>
        </is>
      </c>
      <c r="H1917" s="3" t="inlineStr">
        <is>
          <t>Accounts Payable</t>
        </is>
      </c>
      <c r="I1917" s="33" t="n">
        <v>15235.33</v>
      </c>
      <c r="J1917" s="13">
        <f>+J1916+I1917</f>
        <v>327944.1</v>
      </c>
      <c r="K1917" s="19">
        <f>+EOMONTH(B1917,0)</f>
        <v>46081</v>
      </c>
      <c r="L1917" s="3" t="inlineStr">
        <is>
          <t>Accounts Payable</t>
        </is>
      </c>
      <c r="M1917" s="3" t="inlineStr">
        <is>
          <t>Balance Sheet</t>
        </is>
      </c>
    </row>
    <row r="1918">
      <c r="B1918" s="39" t="n">
        <v>46057</v>
      </c>
      <c r="C1918" s="3" t="inlineStr">
        <is>
          <t>Bill</t>
        </is>
      </c>
      <c r="D1918" s="3" t="inlineStr"/>
      <c r="E1918" s="3" t="inlineStr">
        <is>
          <t>Tarrowmere Mutual Insurance</t>
        </is>
      </c>
      <c r="F1918" s="3" t="inlineStr">
        <is>
          <t>Premium installment</t>
        </is>
      </c>
      <c r="G1918" s="3" t="inlineStr">
        <is>
          <t>Insurance Expense</t>
        </is>
      </c>
      <c r="H1918" s="3" t="inlineStr">
        <is>
          <t>Accounts Payable</t>
        </is>
      </c>
      <c r="I1918" s="33" t="n">
        <v>4399.68</v>
      </c>
      <c r="J1918" s="13">
        <f>+J1917+I1918</f>
        <v>332343.78</v>
      </c>
      <c r="K1918" s="19">
        <f>+EOMONTH(B1918,0)</f>
        <v>46081</v>
      </c>
      <c r="L1918" s="3" t="inlineStr">
        <is>
          <t>Accounts Payable</t>
        </is>
      </c>
      <c r="M1918" s="3" t="inlineStr">
        <is>
          <t>Balance Sheet</t>
        </is>
      </c>
    </row>
    <row r="1919">
      <c r="B1919" s="39" t="n">
        <v>46057</v>
      </c>
      <c r="C1919" s="3" t="inlineStr">
        <is>
          <t>Bill Payment (Check)</t>
        </is>
      </c>
      <c r="D1919" s="3" t="inlineStr">
        <is>
          <t>10415</t>
        </is>
      </c>
      <c r="E1919" s="3" t="inlineStr">
        <is>
          <t>Reagentix Corp</t>
        </is>
      </c>
      <c r="F1919" s="3" t="inlineStr">
        <is>
          <t>Lab Expenses – January</t>
        </is>
      </c>
      <c r="G1919" s="3" t="inlineStr">
        <is>
          <t>Checking – Operating</t>
        </is>
      </c>
      <c r="H1919" s="3" t="inlineStr">
        <is>
          <t>Accounts Payable</t>
        </is>
      </c>
      <c r="I1919" s="33" t="n">
        <v>-3403.49</v>
      </c>
      <c r="J1919" s="13">
        <f>+J1918+I1919</f>
        <v>328940.29</v>
      </c>
      <c r="K1919" s="19">
        <f>+EOMONTH(B1919,0)</f>
        <v>46081</v>
      </c>
      <c r="L1919" s="3" t="inlineStr">
        <is>
          <t>Accounts Payable</t>
        </is>
      </c>
      <c r="M1919" s="3" t="inlineStr">
        <is>
          <t>Balance Sheet</t>
        </is>
      </c>
    </row>
    <row r="1920">
      <c r="B1920" s="39" t="n">
        <v>46057</v>
      </c>
      <c r="C1920" s="3" t="inlineStr">
        <is>
          <t>Bill Payment (Check)</t>
        </is>
      </c>
      <c r="D1920" s="3" t="inlineStr">
        <is>
          <t>11018</t>
        </is>
      </c>
      <c r="E1920" s="3" t="inlineStr">
        <is>
          <t>Northmoor Waste Services</t>
        </is>
      </c>
      <c r="F1920" s="3" t="inlineStr">
        <is>
          <t>Waste Removal – January</t>
        </is>
      </c>
      <c r="G1920" s="3" t="inlineStr">
        <is>
          <t>Checking – Operating</t>
        </is>
      </c>
      <c r="H1920" s="3" t="inlineStr">
        <is>
          <t>Accounts Payable</t>
        </is>
      </c>
      <c r="I1920" s="33" t="n">
        <v>-615.33</v>
      </c>
      <c r="J1920" s="13">
        <f>+J1919+I1920</f>
        <v>328324.96</v>
      </c>
      <c r="K1920" s="19">
        <f>+EOMONTH(B1920,0)</f>
        <v>46081</v>
      </c>
      <c r="L1920" s="3" t="inlineStr">
        <is>
          <t>Accounts Payable</t>
        </is>
      </c>
      <c r="M1920" s="3" t="inlineStr">
        <is>
          <t>Balance Sheet</t>
        </is>
      </c>
    </row>
    <row r="1921">
      <c r="B1921" s="39" t="n">
        <v>46058</v>
      </c>
      <c r="C1921" s="3" t="inlineStr">
        <is>
          <t>Bill</t>
        </is>
      </c>
      <c r="D1921" s="3" t="inlineStr"/>
      <c r="E1921" s="3" t="inlineStr">
        <is>
          <t>Reference Lab A</t>
        </is>
      </c>
      <c r="F1921" s="3" t="inlineStr">
        <is>
          <t>Send-out testing – February</t>
        </is>
      </c>
      <c r="G1921" s="3" t="inlineStr">
        <is>
          <t>Laboratory Fees</t>
        </is>
      </c>
      <c r="H1921" s="3" t="inlineStr">
        <is>
          <t>Accounts Payable</t>
        </is>
      </c>
      <c r="I1921" s="33" t="n">
        <v>10059.97</v>
      </c>
      <c r="J1921" s="13">
        <f>+J1920+I1921</f>
        <v>338384.93</v>
      </c>
      <c r="K1921" s="19">
        <f>+EOMONTH(B1921,0)</f>
        <v>46081</v>
      </c>
      <c r="L1921" s="3" t="inlineStr">
        <is>
          <t>Accounts Payable</t>
        </is>
      </c>
      <c r="M1921" s="3" t="inlineStr">
        <is>
          <t>Balance Sheet</t>
        </is>
      </c>
    </row>
    <row r="1922">
      <c r="B1922" s="39" t="n">
        <v>46058</v>
      </c>
      <c r="C1922" s="3" t="inlineStr">
        <is>
          <t>Bill</t>
        </is>
      </c>
      <c r="D1922" s="3" t="inlineStr"/>
      <c r="E1922" s="3" t="inlineStr">
        <is>
          <t>Tarrowmere Mutual Insurance</t>
        </is>
      </c>
      <c r="F1922" s="3" t="inlineStr">
        <is>
          <t>Premium installment</t>
        </is>
      </c>
      <c r="G1922" s="3" t="inlineStr">
        <is>
          <t>Insurance Expense</t>
        </is>
      </c>
      <c r="H1922" s="3" t="inlineStr">
        <is>
          <t>Accounts Payable</t>
        </is>
      </c>
      <c r="I1922" s="33" t="n">
        <v>3431.26</v>
      </c>
      <c r="J1922" s="13">
        <f>+J1921+I1922</f>
        <v>341816.19</v>
      </c>
      <c r="K1922" s="19">
        <f>+EOMONTH(B1922,0)</f>
        <v>46081</v>
      </c>
      <c r="L1922" s="3" t="inlineStr">
        <is>
          <t>Accounts Payable</t>
        </is>
      </c>
      <c r="M1922" s="3" t="inlineStr">
        <is>
          <t>Balance Sheet</t>
        </is>
      </c>
    </row>
    <row r="1923">
      <c r="B1923" s="39" t="n">
        <v>46058</v>
      </c>
      <c r="C1923" s="3" t="inlineStr">
        <is>
          <t>Bill</t>
        </is>
      </c>
      <c r="D1923" s="3" t="inlineStr"/>
      <c r="E1923" s="3" t="inlineStr">
        <is>
          <t>Northmoor Waste Services</t>
        </is>
      </c>
      <c r="F1923" s="3" t="inlineStr">
        <is>
          <t>Hazard Waste – February</t>
        </is>
      </c>
      <c r="G1923" s="3" t="inlineStr">
        <is>
          <t>Hazard Waste</t>
        </is>
      </c>
      <c r="H1923" s="3" t="inlineStr">
        <is>
          <t>Accounts Payable</t>
        </is>
      </c>
      <c r="I1923" s="33" t="n">
        <v>1164.84</v>
      </c>
      <c r="J1923" s="13">
        <f>+J1922+I1923</f>
        <v>342981.03</v>
      </c>
      <c r="K1923" s="19">
        <f>+EOMONTH(B1923,0)</f>
        <v>46081</v>
      </c>
      <c r="L1923" s="3" t="inlineStr">
        <is>
          <t>Accounts Payable</t>
        </is>
      </c>
      <c r="M1923" s="3" t="inlineStr">
        <is>
          <t>Balance Sheet</t>
        </is>
      </c>
    </row>
    <row r="1924">
      <c r="B1924" s="39" t="n">
        <v>46058</v>
      </c>
      <c r="C1924" s="3" t="inlineStr">
        <is>
          <t>Bill</t>
        </is>
      </c>
      <c r="D1924" s="3" t="inlineStr"/>
      <c r="E1924" s="3" t="inlineStr">
        <is>
          <t>Tarrowmere Mutual Insurance</t>
        </is>
      </c>
      <c r="F1924" s="3" t="inlineStr">
        <is>
          <t>Benefits – February</t>
        </is>
      </c>
      <c r="G1924" s="3" t="inlineStr">
        <is>
          <t>Benefits</t>
        </is>
      </c>
      <c r="H1924" s="3" t="inlineStr">
        <is>
          <t>Accounts Payable</t>
        </is>
      </c>
      <c r="I1924" s="33" t="n">
        <v>4992.61</v>
      </c>
      <c r="J1924" s="13">
        <f>+J1923+I1924</f>
        <v>347973.64</v>
      </c>
      <c r="K1924" s="19">
        <f>+EOMONTH(B1924,0)</f>
        <v>46081</v>
      </c>
      <c r="L1924" s="3" t="inlineStr">
        <is>
          <t>Accounts Payable</t>
        </is>
      </c>
      <c r="M1924" s="3" t="inlineStr">
        <is>
          <t>Balance Sheet</t>
        </is>
      </c>
    </row>
    <row r="1925">
      <c r="B1925" s="39" t="n">
        <v>46058</v>
      </c>
      <c r="C1925" s="3" t="inlineStr">
        <is>
          <t>Bill Payment (Check)</t>
        </is>
      </c>
      <c r="D1925" s="3" t="inlineStr">
        <is>
          <t>10414</t>
        </is>
      </c>
      <c r="E1925" s="3" t="inlineStr">
        <is>
          <t>Reagentix Corp</t>
        </is>
      </c>
      <c r="F1925" s="3" t="inlineStr">
        <is>
          <t>Lab Expenses – January</t>
        </is>
      </c>
      <c r="G1925" s="3" t="inlineStr">
        <is>
          <t>Checking – Operating</t>
        </is>
      </c>
      <c r="H1925" s="3" t="inlineStr">
        <is>
          <t>Accounts Payable</t>
        </is>
      </c>
      <c r="I1925" s="33" t="n">
        <v>-4643.3</v>
      </c>
      <c r="J1925" s="13">
        <f>+J1924+I1925</f>
        <v>343330.34</v>
      </c>
      <c r="K1925" s="19">
        <f>+EOMONTH(B1925,0)</f>
        <v>46081</v>
      </c>
      <c r="L1925" s="3" t="inlineStr">
        <is>
          <t>Accounts Payable</t>
        </is>
      </c>
      <c r="M1925" s="3" t="inlineStr">
        <is>
          <t>Balance Sheet</t>
        </is>
      </c>
    </row>
    <row r="1926">
      <c r="B1926" s="39" t="n">
        <v>46058</v>
      </c>
      <c r="C1926" s="3" t="inlineStr">
        <is>
          <t>Bill Payment (Check)</t>
        </is>
      </c>
      <c r="D1926" s="3" t="inlineStr">
        <is>
          <t>10898</t>
        </is>
      </c>
      <c r="E1926" s="3" t="inlineStr">
        <is>
          <t>Halloway Ridge Realty (rent)</t>
        </is>
      </c>
      <c r="F1926" s="3" t="inlineStr">
        <is>
          <t>Rent – January</t>
        </is>
      </c>
      <c r="G1926" s="3" t="inlineStr">
        <is>
          <t>Checking – Operating</t>
        </is>
      </c>
      <c r="H1926" s="3" t="inlineStr">
        <is>
          <t>Accounts Payable</t>
        </is>
      </c>
      <c r="I1926" s="33" t="n">
        <v>-11798.35</v>
      </c>
      <c r="J1926" s="13">
        <f>+J1925+I1926</f>
        <v>331531.99</v>
      </c>
      <c r="K1926" s="19">
        <f>+EOMONTH(B1926,0)</f>
        <v>46081</v>
      </c>
      <c r="L1926" s="3" t="inlineStr">
        <is>
          <t>Accounts Payable</t>
        </is>
      </c>
      <c r="M1926" s="3" t="inlineStr">
        <is>
          <t>Balance Sheet</t>
        </is>
      </c>
    </row>
    <row r="1927">
      <c r="B1927" s="39" t="n">
        <v>46059</v>
      </c>
      <c r="C1927" s="3" t="inlineStr">
        <is>
          <t>Bill</t>
        </is>
      </c>
      <c r="D1927" s="3" t="inlineStr"/>
      <c r="E1927" s="3" t="inlineStr">
        <is>
          <t>Swiftmere Courier</t>
        </is>
      </c>
      <c r="F1927" s="3" t="inlineStr">
        <is>
          <t>Delivery and Transportation – February</t>
        </is>
      </c>
      <c r="G1927" s="3" t="inlineStr">
        <is>
          <t>Delivery and Transportation</t>
        </is>
      </c>
      <c r="H1927" s="3" t="inlineStr">
        <is>
          <t>Accounts Payable</t>
        </is>
      </c>
      <c r="I1927" s="33" t="n">
        <v>2606.22</v>
      </c>
      <c r="J1927" s="13">
        <f>+J1926+I1927</f>
        <v>334138.21</v>
      </c>
      <c r="K1927" s="19">
        <f>+EOMONTH(B1927,0)</f>
        <v>46081</v>
      </c>
      <c r="L1927" s="3" t="inlineStr">
        <is>
          <t>Accounts Payable</t>
        </is>
      </c>
      <c r="M1927" s="3" t="inlineStr">
        <is>
          <t>Balance Sheet</t>
        </is>
      </c>
    </row>
    <row r="1928">
      <c r="B1928" s="39" t="n">
        <v>46059</v>
      </c>
      <c r="C1928" s="3" t="inlineStr">
        <is>
          <t>Bill</t>
        </is>
      </c>
      <c r="D1928" s="3" t="inlineStr"/>
      <c r="E1928" s="3" t="inlineStr">
        <is>
          <t>Northmoor Waste Services</t>
        </is>
      </c>
      <c r="F1928" s="3" t="inlineStr">
        <is>
          <t>Waste Removal – February</t>
        </is>
      </c>
      <c r="G1928" s="3" t="inlineStr">
        <is>
          <t>Waste Removal</t>
        </is>
      </c>
      <c r="H1928" s="3" t="inlineStr">
        <is>
          <t>Accounts Payable</t>
        </is>
      </c>
      <c r="I1928" s="33" t="n">
        <v>645.0700000000001</v>
      </c>
      <c r="J1928" s="13">
        <f>+J1927+I1928</f>
        <v>334783.28</v>
      </c>
      <c r="K1928" s="19">
        <f>+EOMONTH(B1928,0)</f>
        <v>46081</v>
      </c>
      <c r="L1928" s="3" t="inlineStr">
        <is>
          <t>Accounts Payable</t>
        </is>
      </c>
      <c r="M1928" s="3" t="inlineStr">
        <is>
          <t>Balance Sheet</t>
        </is>
      </c>
    </row>
    <row r="1929">
      <c r="B1929" s="39" t="n">
        <v>46059</v>
      </c>
      <c r="C1929" s="3" t="inlineStr">
        <is>
          <t>Bill</t>
        </is>
      </c>
      <c r="D1929" s="3" t="inlineStr"/>
      <c r="E1929" s="3" t="inlineStr">
        <is>
          <t>Tarrowmere Mutual Insurance</t>
        </is>
      </c>
      <c r="F1929" s="3" t="inlineStr">
        <is>
          <t>Benefits – February</t>
        </is>
      </c>
      <c r="G1929" s="3" t="inlineStr">
        <is>
          <t>Benefits</t>
        </is>
      </c>
      <c r="H1929" s="3" t="inlineStr">
        <is>
          <t>Accounts Payable</t>
        </is>
      </c>
      <c r="I1929" s="33" t="n">
        <v>5339.27</v>
      </c>
      <c r="J1929" s="13">
        <f>+J1928+I1929</f>
        <v>340122.55</v>
      </c>
      <c r="K1929" s="19">
        <f>+EOMONTH(B1929,0)</f>
        <v>46081</v>
      </c>
      <c r="L1929" s="3" t="inlineStr">
        <is>
          <t>Accounts Payable</t>
        </is>
      </c>
      <c r="M1929" s="3" t="inlineStr">
        <is>
          <t>Balance Sheet</t>
        </is>
      </c>
    </row>
    <row r="1930">
      <c r="B1930" s="39" t="n">
        <v>46059</v>
      </c>
      <c r="C1930" s="3" t="inlineStr">
        <is>
          <t>Bill Payment (Check)</t>
        </is>
      </c>
      <c r="D1930" s="3" t="inlineStr">
        <is>
          <t>11220</t>
        </is>
      </c>
      <c r="E1930" s="3" t="inlineStr">
        <is>
          <t>Ledgerquill Billing SaaS</t>
        </is>
      </c>
      <c r="F1930" s="3" t="inlineStr">
        <is>
          <t>Billing Software as a Service – January</t>
        </is>
      </c>
      <c r="G1930" s="3" t="inlineStr">
        <is>
          <t>Checking – Operating</t>
        </is>
      </c>
      <c r="H1930" s="3" t="inlineStr">
        <is>
          <t>Accounts Payable</t>
        </is>
      </c>
      <c r="I1930" s="33" t="n">
        <v>-10293.65</v>
      </c>
      <c r="J1930" s="13">
        <f>+J1929+I1930</f>
        <v>329828.9</v>
      </c>
      <c r="K1930" s="19">
        <f>+EOMONTH(B1930,0)</f>
        <v>46081</v>
      </c>
      <c r="L1930" s="3" t="inlineStr">
        <is>
          <t>Accounts Payable</t>
        </is>
      </c>
      <c r="M1930" s="3" t="inlineStr">
        <is>
          <t>Balance Sheet</t>
        </is>
      </c>
    </row>
    <row r="1931">
      <c r="B1931" s="39" t="n">
        <v>46060</v>
      </c>
      <c r="C1931" s="3" t="inlineStr">
        <is>
          <t>Bill</t>
        </is>
      </c>
      <c r="D1931" s="3" t="inlineStr"/>
      <c r="E1931" s="3" t="inlineStr">
        <is>
          <t>Tarrowmere Mutual Insurance</t>
        </is>
      </c>
      <c r="F1931" s="3" t="inlineStr">
        <is>
          <t>Premium installment</t>
        </is>
      </c>
      <c r="G1931" s="3" t="inlineStr">
        <is>
          <t>Insurance Expense</t>
        </is>
      </c>
      <c r="H1931" s="3" t="inlineStr">
        <is>
          <t>Accounts Payable</t>
        </is>
      </c>
      <c r="I1931" s="33" t="n">
        <v>4451.08</v>
      </c>
      <c r="J1931" s="13">
        <f>+J1930+I1931</f>
        <v>334279.98</v>
      </c>
      <c r="K1931" s="19">
        <f>+EOMONTH(B1931,0)</f>
        <v>46081</v>
      </c>
      <c r="L1931" s="3" t="inlineStr">
        <is>
          <t>Accounts Payable</t>
        </is>
      </c>
      <c r="M1931" s="3" t="inlineStr">
        <is>
          <t>Balance Sheet</t>
        </is>
      </c>
    </row>
    <row r="1932">
      <c r="B1932" s="39" t="n">
        <v>46060</v>
      </c>
      <c r="C1932" s="3" t="inlineStr">
        <is>
          <t>Bill</t>
        </is>
      </c>
      <c r="D1932" s="3" t="inlineStr"/>
      <c r="E1932" s="3" t="inlineStr">
        <is>
          <t>Halloway Ridge Realty (rent)</t>
        </is>
      </c>
      <c r="F1932" s="3" t="inlineStr">
        <is>
          <t>Rent – February</t>
        </is>
      </c>
      <c r="G1932" s="3" t="inlineStr">
        <is>
          <t>Rent Expense</t>
        </is>
      </c>
      <c r="H1932" s="3" t="inlineStr">
        <is>
          <t>Accounts Payable</t>
        </is>
      </c>
      <c r="I1932" s="33" t="n">
        <v>13307.11</v>
      </c>
      <c r="J1932" s="13">
        <f>+J1931+I1932</f>
        <v>347587.09</v>
      </c>
      <c r="K1932" s="19">
        <f>+EOMONTH(B1932,0)</f>
        <v>46081</v>
      </c>
      <c r="L1932" s="3" t="inlineStr">
        <is>
          <t>Accounts Payable</t>
        </is>
      </c>
      <c r="M1932" s="3" t="inlineStr">
        <is>
          <t>Balance Sheet</t>
        </is>
      </c>
    </row>
    <row r="1933">
      <c r="B1933" s="39" t="n">
        <v>46060</v>
      </c>
      <c r="C1933" s="3" t="inlineStr">
        <is>
          <t>Bill</t>
        </is>
      </c>
      <c r="D1933" s="3" t="inlineStr"/>
      <c r="E1933" s="3" t="inlineStr">
        <is>
          <t>Northmoor Waste Services</t>
        </is>
      </c>
      <c r="F1933" s="3" t="inlineStr">
        <is>
          <t>Waste Removal – February</t>
        </is>
      </c>
      <c r="G1933" s="3" t="inlineStr">
        <is>
          <t>Waste Removal</t>
        </is>
      </c>
      <c r="H1933" s="3" t="inlineStr">
        <is>
          <t>Accounts Payable</t>
        </is>
      </c>
      <c r="I1933" s="33" t="n">
        <v>554.9299999999999</v>
      </c>
      <c r="J1933" s="13">
        <f>+J1932+I1933</f>
        <v>348142.02</v>
      </c>
      <c r="K1933" s="19">
        <f>+EOMONTH(B1933,0)</f>
        <v>46081</v>
      </c>
      <c r="L1933" s="3" t="inlineStr">
        <is>
          <t>Accounts Payable</t>
        </is>
      </c>
      <c r="M1933" s="3" t="inlineStr">
        <is>
          <t>Balance Sheet</t>
        </is>
      </c>
    </row>
    <row r="1934">
      <c r="B1934" s="39" t="n">
        <v>46061</v>
      </c>
      <c r="C1934" s="3" t="inlineStr">
        <is>
          <t>Bill Payment (Check)</t>
        </is>
      </c>
      <c r="D1934" s="3" t="inlineStr">
        <is>
          <t>10538</t>
        </is>
      </c>
      <c r="E1934" s="3" t="inlineStr">
        <is>
          <t>Reagentix Corp</t>
        </is>
      </c>
      <c r="F1934" s="3" t="inlineStr">
        <is>
          <t>Lab supplies PO# F2897</t>
        </is>
      </c>
      <c r="G1934" s="3" t="inlineStr">
        <is>
          <t>Checking – Operating</t>
        </is>
      </c>
      <c r="H1934" s="3" t="inlineStr">
        <is>
          <t>Accounts Payable</t>
        </is>
      </c>
      <c r="I1934" s="33" t="n">
        <v>-7474.82</v>
      </c>
      <c r="J1934" s="13">
        <f>+J1933+I1934</f>
        <v>340667.2</v>
      </c>
      <c r="K1934" s="19">
        <f>+EOMONTH(B1934,0)</f>
        <v>46081</v>
      </c>
      <c r="L1934" s="3" t="inlineStr">
        <is>
          <t>Accounts Payable</t>
        </is>
      </c>
      <c r="M1934" s="3" t="inlineStr">
        <is>
          <t>Balance Sheet</t>
        </is>
      </c>
    </row>
    <row r="1935">
      <c r="B1935" s="39" t="n">
        <v>46062</v>
      </c>
      <c r="C1935" s="3" t="inlineStr">
        <is>
          <t>Bill</t>
        </is>
      </c>
      <c r="D1935" s="3" t="inlineStr"/>
      <c r="E1935" s="3" t="inlineStr">
        <is>
          <t>Halloway Ridge Realty (rent)</t>
        </is>
      </c>
      <c r="F1935" s="3" t="inlineStr">
        <is>
          <t>Rent – February</t>
        </is>
      </c>
      <c r="G1935" s="3" t="inlineStr">
        <is>
          <t>Rent Expense</t>
        </is>
      </c>
      <c r="H1935" s="3" t="inlineStr">
        <is>
          <t>Accounts Payable</t>
        </is>
      </c>
      <c r="I1935" s="33" t="n">
        <v>11384.59</v>
      </c>
      <c r="J1935" s="13">
        <f>+J1934+I1935</f>
        <v>352051.79</v>
      </c>
      <c r="K1935" s="19">
        <f>+EOMONTH(B1935,0)</f>
        <v>46081</v>
      </c>
      <c r="L1935" s="3" t="inlineStr">
        <is>
          <t>Accounts Payable</t>
        </is>
      </c>
      <c r="M1935" s="3" t="inlineStr">
        <is>
          <t>Balance Sheet</t>
        </is>
      </c>
    </row>
    <row r="1936">
      <c r="B1936" s="39" t="n">
        <v>46062</v>
      </c>
      <c r="C1936" s="3" t="inlineStr">
        <is>
          <t>Bill</t>
        </is>
      </c>
      <c r="D1936" s="3" t="inlineStr"/>
      <c r="E1936" s="3" t="inlineStr">
        <is>
          <t>Ledgerquill Billing SaaS</t>
        </is>
      </c>
      <c r="F1936" s="3" t="inlineStr">
        <is>
          <t>Billing Software as a Service – February</t>
        </is>
      </c>
      <c r="G1936" s="3" t="inlineStr">
        <is>
          <t>Billing Software as a Service</t>
        </is>
      </c>
      <c r="H1936" s="3" t="inlineStr">
        <is>
          <t>Accounts Payable</t>
        </is>
      </c>
      <c r="I1936" s="33" t="n">
        <v>23065.49</v>
      </c>
      <c r="J1936" s="13">
        <f>+J1935+I1936</f>
        <v>375117.28</v>
      </c>
      <c r="K1936" s="19">
        <f>+EOMONTH(B1936,0)</f>
        <v>46081</v>
      </c>
      <c r="L1936" s="3" t="inlineStr">
        <is>
          <t>Accounts Payable</t>
        </is>
      </c>
      <c r="M1936" s="3" t="inlineStr">
        <is>
          <t>Balance Sheet</t>
        </is>
      </c>
    </row>
    <row r="1937">
      <c r="B1937" s="39" t="n">
        <v>46062</v>
      </c>
      <c r="C1937" s="3" t="inlineStr">
        <is>
          <t>Bill Payment (Check)</t>
        </is>
      </c>
      <c r="D1937" s="3" t="inlineStr">
        <is>
          <t>10502</t>
        </is>
      </c>
      <c r="E1937" s="3" t="inlineStr">
        <is>
          <t>Reference Lab A</t>
        </is>
      </c>
      <c r="F1937" s="3" t="inlineStr">
        <is>
          <t>Send-out testing – January</t>
        </is>
      </c>
      <c r="G1937" s="3" t="inlineStr">
        <is>
          <t>Checking – Operating</t>
        </is>
      </c>
      <c r="H1937" s="3" t="inlineStr">
        <is>
          <t>Accounts Payable</t>
        </is>
      </c>
      <c r="I1937" s="33" t="n">
        <v>-16169.33</v>
      </c>
      <c r="J1937" s="13">
        <f>+J1936+I1937</f>
        <v>358947.95</v>
      </c>
      <c r="K1937" s="19">
        <f>+EOMONTH(B1937,0)</f>
        <v>46081</v>
      </c>
      <c r="L1937" s="3" t="inlineStr">
        <is>
          <t>Accounts Payable</t>
        </is>
      </c>
      <c r="M1937" s="3" t="inlineStr">
        <is>
          <t>Balance Sheet</t>
        </is>
      </c>
    </row>
    <row r="1938">
      <c r="B1938" s="39" t="n">
        <v>46062</v>
      </c>
      <c r="C1938" s="3" t="inlineStr">
        <is>
          <t>Bill Payment (Check)</t>
        </is>
      </c>
      <c r="D1938" s="3" t="inlineStr">
        <is>
          <t>10540</t>
        </is>
      </c>
      <c r="E1938" s="3" t="inlineStr">
        <is>
          <t>Reagentix Corp</t>
        </is>
      </c>
      <c r="F1938" s="3" t="inlineStr">
        <is>
          <t>Lab supplies PO# F2858</t>
        </is>
      </c>
      <c r="G1938" s="3" t="inlineStr">
        <is>
          <t>Checking – Operating</t>
        </is>
      </c>
      <c r="H1938" s="3" t="inlineStr">
        <is>
          <t>Accounts Payable</t>
        </is>
      </c>
      <c r="I1938" s="33" t="n">
        <v>-10775.55</v>
      </c>
      <c r="J1938" s="13">
        <f>+J1937+I1938</f>
        <v>348172.4</v>
      </c>
      <c r="K1938" s="19">
        <f>+EOMONTH(B1938,0)</f>
        <v>46081</v>
      </c>
      <c r="L1938" s="3" t="inlineStr">
        <is>
          <t>Accounts Payable</t>
        </is>
      </c>
      <c r="M1938" s="3" t="inlineStr">
        <is>
          <t>Balance Sheet</t>
        </is>
      </c>
    </row>
    <row r="1939">
      <c r="B1939" s="39" t="n">
        <v>46062</v>
      </c>
      <c r="C1939" s="3" t="inlineStr">
        <is>
          <t>Bill Payment (Check)</t>
        </is>
      </c>
      <c r="D1939" s="3" t="inlineStr">
        <is>
          <t>11329</t>
        </is>
      </c>
      <c r="E1939" s="3" t="inlineStr">
        <is>
          <t>Union Utilities</t>
        </is>
      </c>
      <c r="F1939" s="3" t="inlineStr">
        <is>
          <t>Utilities – January</t>
        </is>
      </c>
      <c r="G1939" s="3" t="inlineStr">
        <is>
          <t>Checking – Operating</t>
        </is>
      </c>
      <c r="H1939" s="3" t="inlineStr">
        <is>
          <t>Accounts Payable</t>
        </is>
      </c>
      <c r="I1939" s="33" t="n">
        <v>-3689.61</v>
      </c>
      <c r="J1939" s="13">
        <f>+J1938+I1939</f>
        <v>344482.79</v>
      </c>
      <c r="K1939" s="19">
        <f>+EOMONTH(B1939,0)</f>
        <v>46081</v>
      </c>
      <c r="L1939" s="3" t="inlineStr">
        <is>
          <t>Accounts Payable</t>
        </is>
      </c>
      <c r="M1939" s="3" t="inlineStr">
        <is>
          <t>Balance Sheet</t>
        </is>
      </c>
    </row>
    <row r="1940">
      <c r="B1940" s="39" t="n">
        <v>46063</v>
      </c>
      <c r="C1940" s="3" t="inlineStr">
        <is>
          <t>Bill</t>
        </is>
      </c>
      <c r="D1940" s="3" t="inlineStr"/>
      <c r="E1940" s="3" t="inlineStr">
        <is>
          <t>Vialtrace Lab Supplies Inc</t>
        </is>
      </c>
      <c r="F1940" s="3" t="inlineStr">
        <is>
          <t>Lab Expenses – February</t>
        </is>
      </c>
      <c r="G1940" s="3" t="inlineStr">
        <is>
          <t>Lab Expenses</t>
        </is>
      </c>
      <c r="H1940" s="3" t="inlineStr">
        <is>
          <t>Accounts Payable</t>
        </is>
      </c>
      <c r="I1940" s="33" t="n">
        <v>3763.45</v>
      </c>
      <c r="J1940" s="13">
        <f>+J1939+I1940</f>
        <v>348246.24</v>
      </c>
      <c r="K1940" s="19">
        <f>+EOMONTH(B1940,0)</f>
        <v>46081</v>
      </c>
      <c r="L1940" s="3" t="inlineStr">
        <is>
          <t>Accounts Payable</t>
        </is>
      </c>
      <c r="M1940" s="3" t="inlineStr">
        <is>
          <t>Balance Sheet</t>
        </is>
      </c>
    </row>
    <row r="1941">
      <c r="B1941" s="39" t="n">
        <v>46063</v>
      </c>
      <c r="C1941" s="3" t="inlineStr">
        <is>
          <t>Bill</t>
        </is>
      </c>
      <c r="D1941" s="3" t="inlineStr"/>
      <c r="E1941" s="3" t="inlineStr">
        <is>
          <t>Tarrowmere Mutual Insurance</t>
        </is>
      </c>
      <c r="F1941" s="3" t="inlineStr">
        <is>
          <t>Premium installment</t>
        </is>
      </c>
      <c r="G1941" s="3" t="inlineStr">
        <is>
          <t>Insurance Expense</t>
        </is>
      </c>
      <c r="H1941" s="3" t="inlineStr">
        <is>
          <t>Accounts Payable</t>
        </is>
      </c>
      <c r="I1941" s="33" t="n">
        <v>3776.51</v>
      </c>
      <c r="J1941" s="13">
        <f>+J1940+I1941</f>
        <v>352022.75</v>
      </c>
      <c r="K1941" s="19">
        <f>+EOMONTH(B1941,0)</f>
        <v>46081</v>
      </c>
      <c r="L1941" s="3" t="inlineStr">
        <is>
          <t>Accounts Payable</t>
        </is>
      </c>
      <c r="M1941" s="3" t="inlineStr">
        <is>
          <t>Balance Sheet</t>
        </is>
      </c>
    </row>
    <row r="1942">
      <c r="B1942" s="39" t="n">
        <v>46063</v>
      </c>
      <c r="C1942" s="3" t="inlineStr">
        <is>
          <t>Bill Payment (Check)</t>
        </is>
      </c>
      <c r="D1942" s="3" t="inlineStr">
        <is>
          <t>10413</t>
        </is>
      </c>
      <c r="E1942" s="3" t="inlineStr">
        <is>
          <t>Vialtrace Lab Supplies Inc</t>
        </is>
      </c>
      <c r="F1942" s="3" t="inlineStr">
        <is>
          <t>Lab Expenses – January</t>
        </is>
      </c>
      <c r="G1942" s="3" t="inlineStr">
        <is>
          <t>Checking – Operating</t>
        </is>
      </c>
      <c r="H1942" s="3" t="inlineStr">
        <is>
          <t>Accounts Payable</t>
        </is>
      </c>
      <c r="I1942" s="33" t="n">
        <v>-3737.44</v>
      </c>
      <c r="J1942" s="13">
        <f>+J1941+I1942</f>
        <v>348285.31</v>
      </c>
      <c r="K1942" s="19">
        <f>+EOMONTH(B1942,0)</f>
        <v>46081</v>
      </c>
      <c r="L1942" s="3" t="inlineStr">
        <is>
          <t>Accounts Payable</t>
        </is>
      </c>
      <c r="M1942" s="3" t="inlineStr">
        <is>
          <t>Balance Sheet</t>
        </is>
      </c>
    </row>
    <row r="1943">
      <c r="B1943" s="39" t="n">
        <v>46063</v>
      </c>
      <c r="C1943" s="3" t="inlineStr">
        <is>
          <t>Bill Payment (Check)</t>
        </is>
      </c>
      <c r="D1943" s="3" t="inlineStr">
        <is>
          <t>10501</t>
        </is>
      </c>
      <c r="E1943" s="3" t="inlineStr">
        <is>
          <t>Reference Lab A</t>
        </is>
      </c>
      <c r="F1943" s="3" t="inlineStr">
        <is>
          <t>Send-out testing – January</t>
        </is>
      </c>
      <c r="G1943" s="3" t="inlineStr">
        <is>
          <t>Checking – Operating</t>
        </is>
      </c>
      <c r="H1943" s="3" t="inlineStr">
        <is>
          <t>Accounts Payable</t>
        </is>
      </c>
      <c r="I1943" s="33" t="n">
        <v>-12214.96</v>
      </c>
      <c r="J1943" s="13">
        <f>+J1942+I1943</f>
        <v>336070.35</v>
      </c>
      <c r="K1943" s="19">
        <f>+EOMONTH(B1943,0)</f>
        <v>46081</v>
      </c>
      <c r="L1943" s="3" t="inlineStr">
        <is>
          <t>Accounts Payable</t>
        </is>
      </c>
      <c r="M1943" s="3" t="inlineStr">
        <is>
          <t>Balance Sheet</t>
        </is>
      </c>
    </row>
    <row r="1944">
      <c r="B1944" s="39" t="n">
        <v>46063</v>
      </c>
      <c r="C1944" s="3" t="inlineStr">
        <is>
          <t>Bill Payment (Check)</t>
        </is>
      </c>
      <c r="D1944" s="3" t="inlineStr">
        <is>
          <t>11330</t>
        </is>
      </c>
      <c r="E1944" s="3" t="inlineStr">
        <is>
          <t>Union Utilities</t>
        </is>
      </c>
      <c r="F1944" s="3" t="inlineStr">
        <is>
          <t>Utilities – January</t>
        </is>
      </c>
      <c r="G1944" s="3" t="inlineStr">
        <is>
          <t>Checking – Operating</t>
        </is>
      </c>
      <c r="H1944" s="3" t="inlineStr">
        <is>
          <t>Accounts Payable</t>
        </is>
      </c>
      <c r="I1944" s="33" t="n">
        <v>-3410.39</v>
      </c>
      <c r="J1944" s="13">
        <f>+J1943+I1944</f>
        <v>332659.96</v>
      </c>
      <c r="K1944" s="19">
        <f>+EOMONTH(B1944,0)</f>
        <v>46081</v>
      </c>
      <c r="L1944" s="3" t="inlineStr">
        <is>
          <t>Accounts Payable</t>
        </is>
      </c>
      <c r="M1944" s="3" t="inlineStr">
        <is>
          <t>Balance Sheet</t>
        </is>
      </c>
    </row>
    <row r="1945">
      <c r="B1945" s="39" t="n">
        <v>46064</v>
      </c>
      <c r="C1945" s="3" t="inlineStr">
        <is>
          <t>Bill</t>
        </is>
      </c>
      <c r="D1945" s="3" t="inlineStr"/>
      <c r="E1945" s="3" t="inlineStr">
        <is>
          <t>Reagentix Corp</t>
        </is>
      </c>
      <c r="F1945" s="3" t="inlineStr">
        <is>
          <t>Lab supplies PO# F2946</t>
        </is>
      </c>
      <c r="G1945" s="3" t="inlineStr">
        <is>
          <t>Lab Supplies</t>
        </is>
      </c>
      <c r="H1945" s="3" t="inlineStr">
        <is>
          <t>Accounts Payable</t>
        </is>
      </c>
      <c r="I1945" s="33" t="n">
        <v>11604.15</v>
      </c>
      <c r="J1945" s="13">
        <f>+J1944+I1945</f>
        <v>344264.11</v>
      </c>
      <c r="K1945" s="19">
        <f>+EOMONTH(B1945,0)</f>
        <v>46081</v>
      </c>
      <c r="L1945" s="3" t="inlineStr">
        <is>
          <t>Accounts Payable</t>
        </is>
      </c>
      <c r="M1945" s="3" t="inlineStr">
        <is>
          <t>Balance Sheet</t>
        </is>
      </c>
    </row>
    <row r="1946">
      <c r="B1946" s="39" t="n">
        <v>46064</v>
      </c>
      <c r="C1946" s="3" t="inlineStr">
        <is>
          <t>Bill</t>
        </is>
      </c>
      <c r="D1946" s="3" t="inlineStr"/>
      <c r="E1946" s="3" t="inlineStr">
        <is>
          <t>Ledgerquill Billing SaaS</t>
        </is>
      </c>
      <c r="F1946" s="3" t="inlineStr">
        <is>
          <t>Billing Software as a Service – February</t>
        </is>
      </c>
      <c r="G1946" s="3" t="inlineStr">
        <is>
          <t>Billing Software as a Service</t>
        </is>
      </c>
      <c r="H1946" s="3" t="inlineStr">
        <is>
          <t>Accounts Payable</t>
        </is>
      </c>
      <c r="I1946" s="33" t="n">
        <v>20435.67</v>
      </c>
      <c r="J1946" s="13">
        <f>+J1945+I1946</f>
        <v>364699.78</v>
      </c>
      <c r="K1946" s="19">
        <f>+EOMONTH(B1946,0)</f>
        <v>46081</v>
      </c>
      <c r="L1946" s="3" t="inlineStr">
        <is>
          <t>Accounts Payable</t>
        </is>
      </c>
      <c r="M1946" s="3" t="inlineStr">
        <is>
          <t>Balance Sheet</t>
        </is>
      </c>
    </row>
    <row r="1947">
      <c r="B1947" s="39" t="n">
        <v>46065</v>
      </c>
      <c r="C1947" s="3" t="inlineStr">
        <is>
          <t>Bill</t>
        </is>
      </c>
      <c r="D1947" s="3" t="inlineStr"/>
      <c r="E1947" s="3" t="inlineStr">
        <is>
          <t>Lumenlease Equipment</t>
        </is>
      </c>
      <c r="F1947" s="3" t="inlineStr">
        <is>
          <t>Lab Equipment – February</t>
        </is>
      </c>
      <c r="G1947" s="3" t="inlineStr">
        <is>
          <t>Lab Equipment</t>
        </is>
      </c>
      <c r="H1947" s="3" t="inlineStr">
        <is>
          <t>Accounts Payable</t>
        </is>
      </c>
      <c r="I1947" s="33" t="n">
        <v>2403.2</v>
      </c>
      <c r="J1947" s="13">
        <f>+J1946+I1947</f>
        <v>367102.98</v>
      </c>
      <c r="K1947" s="19">
        <f>+EOMONTH(B1947,0)</f>
        <v>46081</v>
      </c>
      <c r="L1947" s="3" t="inlineStr">
        <is>
          <t>Accounts Payable</t>
        </is>
      </c>
      <c r="M1947" s="3" t="inlineStr">
        <is>
          <t>Balance Sheet</t>
        </is>
      </c>
    </row>
    <row r="1948">
      <c r="B1948" s="39" t="n">
        <v>46065</v>
      </c>
      <c r="C1948" s="3" t="inlineStr">
        <is>
          <t>Bill</t>
        </is>
      </c>
      <c r="D1948" s="3" t="inlineStr"/>
      <c r="E1948" s="3" t="inlineStr">
        <is>
          <t>Lumenlease Equipment</t>
        </is>
      </c>
      <c r="F1948" s="3" t="inlineStr">
        <is>
          <t>Equipment Lease – February</t>
        </is>
      </c>
      <c r="G1948" s="3" t="inlineStr">
        <is>
          <t>Equipment Lease</t>
        </is>
      </c>
      <c r="H1948" s="3" t="inlineStr">
        <is>
          <t>Accounts Payable</t>
        </is>
      </c>
      <c r="I1948" s="33" t="n">
        <v>3247.59</v>
      </c>
      <c r="J1948" s="13">
        <f>+J1947+I1948</f>
        <v>370350.57</v>
      </c>
      <c r="K1948" s="19">
        <f>+EOMONTH(B1948,0)</f>
        <v>46081</v>
      </c>
      <c r="L1948" s="3" t="inlineStr">
        <is>
          <t>Accounts Payable</t>
        </is>
      </c>
      <c r="M1948" s="3" t="inlineStr">
        <is>
          <t>Balance Sheet</t>
        </is>
      </c>
    </row>
    <row r="1949">
      <c r="B1949" s="39" t="n">
        <v>46065</v>
      </c>
      <c r="C1949" s="3" t="inlineStr">
        <is>
          <t>Bill Payment (Check)</t>
        </is>
      </c>
      <c r="D1949" s="3" t="inlineStr">
        <is>
          <t>10458</t>
        </is>
      </c>
      <c r="E1949" s="3" t="inlineStr">
        <is>
          <t>Vialtrace Lab Supplies Inc</t>
        </is>
      </c>
      <c r="F1949" s="3" t="inlineStr">
        <is>
          <t>Lab supplies PO# F2999</t>
        </is>
      </c>
      <c r="G1949" s="3" t="inlineStr">
        <is>
          <t>Checking – Operating</t>
        </is>
      </c>
      <c r="H1949" s="3" t="inlineStr">
        <is>
          <t>Accounts Payable</t>
        </is>
      </c>
      <c r="I1949" s="33" t="n">
        <v>-27489.29</v>
      </c>
      <c r="J1949" s="13">
        <f>+J1948+I1949</f>
        <v>342861.28</v>
      </c>
      <c r="K1949" s="19">
        <f>+EOMONTH(B1949,0)</f>
        <v>46081</v>
      </c>
      <c r="L1949" s="3" t="inlineStr">
        <is>
          <t>Accounts Payable</t>
        </is>
      </c>
      <c r="M1949" s="3" t="inlineStr">
        <is>
          <t>Balance Sheet</t>
        </is>
      </c>
    </row>
    <row r="1950">
      <c r="B1950" s="39" t="n">
        <v>46066</v>
      </c>
      <c r="C1950" s="3" t="inlineStr">
        <is>
          <t>Bill</t>
        </is>
      </c>
      <c r="D1950" s="3" t="inlineStr"/>
      <c r="E1950" s="3" t="inlineStr">
        <is>
          <t>Vialtrace Lab Supplies Inc</t>
        </is>
      </c>
      <c r="F1950" s="3" t="inlineStr">
        <is>
          <t>Lab supplies PO# F2214</t>
        </is>
      </c>
      <c r="G1950" s="3" t="inlineStr">
        <is>
          <t>Lab Supplies</t>
        </is>
      </c>
      <c r="H1950" s="3" t="inlineStr">
        <is>
          <t>Accounts Payable</t>
        </is>
      </c>
      <c r="I1950" s="33" t="n">
        <v>19241.73</v>
      </c>
      <c r="J1950" s="13">
        <f>+J1949+I1950</f>
        <v>362103.01</v>
      </c>
      <c r="K1950" s="19">
        <f>+EOMONTH(B1950,0)</f>
        <v>46081</v>
      </c>
      <c r="L1950" s="3" t="inlineStr">
        <is>
          <t>Accounts Payable</t>
        </is>
      </c>
      <c r="M1950" s="3" t="inlineStr">
        <is>
          <t>Balance Sheet</t>
        </is>
      </c>
    </row>
    <row r="1951">
      <c r="B1951" s="39" t="n">
        <v>46066</v>
      </c>
      <c r="C1951" s="3" t="inlineStr">
        <is>
          <t>Bill Payment (Check)</t>
        </is>
      </c>
      <c r="D1951" s="3" t="inlineStr">
        <is>
          <t>10638</t>
        </is>
      </c>
      <c r="E1951" s="3" t="inlineStr">
        <is>
          <t>Swiftmere Courier</t>
        </is>
      </c>
      <c r="F1951" s="3" t="inlineStr">
        <is>
          <t>Delivery and Transportation – January</t>
        </is>
      </c>
      <c r="G1951" s="3" t="inlineStr">
        <is>
          <t>Checking – Operating</t>
        </is>
      </c>
      <c r="H1951" s="3" t="inlineStr">
        <is>
          <t>Accounts Payable</t>
        </is>
      </c>
      <c r="I1951" s="33" t="n">
        <v>-4235.06</v>
      </c>
      <c r="J1951" s="13">
        <f>+J1950+I1951</f>
        <v>357867.95</v>
      </c>
      <c r="K1951" s="19">
        <f>+EOMONTH(B1951,0)</f>
        <v>46081</v>
      </c>
      <c r="L1951" s="3" t="inlineStr">
        <is>
          <t>Accounts Payable</t>
        </is>
      </c>
      <c r="M1951" s="3" t="inlineStr">
        <is>
          <t>Balance Sheet</t>
        </is>
      </c>
    </row>
    <row r="1952">
      <c r="B1952" s="39" t="n">
        <v>46067</v>
      </c>
      <c r="C1952" s="3" t="inlineStr">
        <is>
          <t>Bill</t>
        </is>
      </c>
      <c r="D1952" s="3" t="inlineStr"/>
      <c r="E1952" s="3" t="inlineStr">
        <is>
          <t>Reagentix Corp</t>
        </is>
      </c>
      <c r="F1952" s="3" t="inlineStr">
        <is>
          <t>Lab supplies PO# F2253</t>
        </is>
      </c>
      <c r="G1952" s="3" t="inlineStr">
        <is>
          <t>Reagents</t>
        </is>
      </c>
      <c r="H1952" s="3" t="inlineStr">
        <is>
          <t>Accounts Payable</t>
        </is>
      </c>
      <c r="I1952" s="33" t="n">
        <v>16814.32</v>
      </c>
      <c r="J1952" s="13">
        <f>+J1951+I1952</f>
        <v>374682.27</v>
      </c>
      <c r="K1952" s="19">
        <f>+EOMONTH(B1952,0)</f>
        <v>46081</v>
      </c>
      <c r="L1952" s="3" t="inlineStr">
        <is>
          <t>Accounts Payable</t>
        </is>
      </c>
      <c r="M1952" s="3" t="inlineStr">
        <is>
          <t>Balance Sheet</t>
        </is>
      </c>
    </row>
    <row r="1953">
      <c r="B1953" s="39" t="n">
        <v>46067</v>
      </c>
      <c r="C1953" s="3" t="inlineStr">
        <is>
          <t>Bill</t>
        </is>
      </c>
      <c r="D1953" s="3" t="inlineStr"/>
      <c r="E1953" s="3" t="inlineStr">
        <is>
          <t>Reagentix Corp</t>
        </is>
      </c>
      <c r="F1953" s="3" t="inlineStr">
        <is>
          <t>Lab supplies PO# F2980</t>
        </is>
      </c>
      <c r="G1953" s="3" t="inlineStr">
        <is>
          <t>Reagents</t>
        </is>
      </c>
      <c r="H1953" s="3" t="inlineStr">
        <is>
          <t>Accounts Payable</t>
        </is>
      </c>
      <c r="I1953" s="33" t="n">
        <v>8781.370000000001</v>
      </c>
      <c r="J1953" s="13">
        <f>+J1952+I1953</f>
        <v>383463.64</v>
      </c>
      <c r="K1953" s="19">
        <f>+EOMONTH(B1953,0)</f>
        <v>46081</v>
      </c>
      <c r="L1953" s="3" t="inlineStr">
        <is>
          <t>Accounts Payable</t>
        </is>
      </c>
      <c r="M1953" s="3" t="inlineStr">
        <is>
          <t>Balance Sheet</t>
        </is>
      </c>
    </row>
    <row r="1954">
      <c r="B1954" s="39" t="n">
        <v>46067</v>
      </c>
      <c r="C1954" s="3" t="inlineStr">
        <is>
          <t>Bill Payment (Check)</t>
        </is>
      </c>
      <c r="D1954" s="3" t="inlineStr">
        <is>
          <t>10499</t>
        </is>
      </c>
      <c r="E1954" s="3" t="inlineStr">
        <is>
          <t>Reference Lab A</t>
        </is>
      </c>
      <c r="F1954" s="3" t="inlineStr">
        <is>
          <t>Send-out testing – January</t>
        </is>
      </c>
      <c r="G1954" s="3" t="inlineStr">
        <is>
          <t>Checking – Operating</t>
        </is>
      </c>
      <c r="H1954" s="3" t="inlineStr">
        <is>
          <t>Accounts Payable</t>
        </is>
      </c>
      <c r="I1954" s="33" t="n">
        <v>-11507.82</v>
      </c>
      <c r="J1954" s="13">
        <f>+J1953+I1954</f>
        <v>371955.82</v>
      </c>
      <c r="K1954" s="19">
        <f>+EOMONTH(B1954,0)</f>
        <v>46081</v>
      </c>
      <c r="L1954" s="3" t="inlineStr">
        <is>
          <t>Accounts Payable</t>
        </is>
      </c>
      <c r="M1954" s="3" t="inlineStr">
        <is>
          <t>Balance Sheet</t>
        </is>
      </c>
    </row>
    <row r="1955">
      <c r="B1955" s="39" t="n">
        <v>46067</v>
      </c>
      <c r="C1955" s="3" t="inlineStr">
        <is>
          <t>Bill Payment (Check)</t>
        </is>
      </c>
      <c r="D1955" s="3" t="inlineStr">
        <is>
          <t>10541</t>
        </is>
      </c>
      <c r="E1955" s="3" t="inlineStr">
        <is>
          <t>Reagentix Corp</t>
        </is>
      </c>
      <c r="F1955" s="3" t="inlineStr">
        <is>
          <t>Lab supplies PO# F2701</t>
        </is>
      </c>
      <c r="G1955" s="3" t="inlineStr">
        <is>
          <t>Checking – Operating</t>
        </is>
      </c>
      <c r="H1955" s="3" t="inlineStr">
        <is>
          <t>Accounts Payable</t>
        </is>
      </c>
      <c r="I1955" s="33" t="n">
        <v>-7832.33</v>
      </c>
      <c r="J1955" s="13">
        <f>+J1954+I1955</f>
        <v>364123.49</v>
      </c>
      <c r="K1955" s="19">
        <f>+EOMONTH(B1955,0)</f>
        <v>46081</v>
      </c>
      <c r="L1955" s="3" t="inlineStr">
        <is>
          <t>Accounts Payable</t>
        </is>
      </c>
      <c r="M1955" s="3" t="inlineStr">
        <is>
          <t>Balance Sheet</t>
        </is>
      </c>
    </row>
    <row r="1956">
      <c r="B1956" s="39" t="n">
        <v>46067</v>
      </c>
      <c r="C1956" s="3" t="inlineStr">
        <is>
          <t>Bill Payment (Check)</t>
        </is>
      </c>
      <c r="D1956" s="3" t="inlineStr">
        <is>
          <t>10899</t>
        </is>
      </c>
      <c r="E1956" s="3" t="inlineStr">
        <is>
          <t>Halloway Ridge Realty (rent)</t>
        </is>
      </c>
      <c r="F1956" s="3" t="inlineStr">
        <is>
          <t>Rent – January</t>
        </is>
      </c>
      <c r="G1956" s="3" t="inlineStr">
        <is>
          <t>Checking – Operating</t>
        </is>
      </c>
      <c r="H1956" s="3" t="inlineStr">
        <is>
          <t>Accounts Payable</t>
        </is>
      </c>
      <c r="I1956" s="33" t="n">
        <v>-16935.49</v>
      </c>
      <c r="J1956" s="13">
        <f>+J1955+I1956</f>
        <v>347188</v>
      </c>
      <c r="K1956" s="19">
        <f>+EOMONTH(B1956,0)</f>
        <v>46081</v>
      </c>
      <c r="L1956" s="3" t="inlineStr">
        <is>
          <t>Accounts Payable</t>
        </is>
      </c>
      <c r="M1956" s="3" t="inlineStr">
        <is>
          <t>Balance Sheet</t>
        </is>
      </c>
    </row>
    <row r="1957">
      <c r="B1957" s="39" t="n">
        <v>46067</v>
      </c>
      <c r="C1957" s="3" t="inlineStr">
        <is>
          <t>Bill Payment (Check)</t>
        </is>
      </c>
      <c r="D1957" s="3" t="inlineStr">
        <is>
          <t>11218</t>
        </is>
      </c>
      <c r="E1957" s="3" t="inlineStr">
        <is>
          <t>Ledgerquill Billing SaaS</t>
        </is>
      </c>
      <c r="F1957" s="3" t="inlineStr">
        <is>
          <t>Billing Software as a Service – January</t>
        </is>
      </c>
      <c r="G1957" s="3" t="inlineStr">
        <is>
          <t>Checking – Operating</t>
        </is>
      </c>
      <c r="H1957" s="3" t="inlineStr">
        <is>
          <t>Accounts Payable</t>
        </is>
      </c>
      <c r="I1957" s="33" t="n">
        <v>-15439.6</v>
      </c>
      <c r="J1957" s="13">
        <f>+J1956+I1957</f>
        <v>331748.4</v>
      </c>
      <c r="K1957" s="19">
        <f>+EOMONTH(B1957,0)</f>
        <v>46081</v>
      </c>
      <c r="L1957" s="3" t="inlineStr">
        <is>
          <t>Accounts Payable</t>
        </is>
      </c>
      <c r="M1957" s="3" t="inlineStr">
        <is>
          <t>Balance Sheet</t>
        </is>
      </c>
    </row>
    <row r="1958">
      <c r="B1958" s="39" t="n">
        <v>46068</v>
      </c>
      <c r="C1958" s="3" t="inlineStr">
        <is>
          <t>Bill</t>
        </is>
      </c>
      <c r="D1958" s="3" t="inlineStr"/>
      <c r="E1958" s="3" t="inlineStr">
        <is>
          <t>Reference Lab A</t>
        </is>
      </c>
      <c r="F1958" s="3" t="inlineStr">
        <is>
          <t>Send-out testing – February</t>
        </is>
      </c>
      <c r="G1958" s="3" t="inlineStr">
        <is>
          <t>Laboratory Fees</t>
        </is>
      </c>
      <c r="H1958" s="3" t="inlineStr">
        <is>
          <t>Accounts Payable</t>
        </is>
      </c>
      <c r="I1958" s="33" t="n">
        <v>10503.16</v>
      </c>
      <c r="J1958" s="13">
        <f>+J1957+I1958</f>
        <v>342251.56</v>
      </c>
      <c r="K1958" s="19">
        <f>+EOMONTH(B1958,0)</f>
        <v>46081</v>
      </c>
      <c r="L1958" s="3" t="inlineStr">
        <is>
          <t>Accounts Payable</t>
        </is>
      </c>
      <c r="M1958" s="3" t="inlineStr">
        <is>
          <t>Balance Sheet</t>
        </is>
      </c>
    </row>
    <row r="1959">
      <c r="B1959" s="39" t="n">
        <v>46068</v>
      </c>
      <c r="C1959" s="3" t="inlineStr">
        <is>
          <t>Bill</t>
        </is>
      </c>
      <c r="D1959" s="3" t="inlineStr"/>
      <c r="E1959" s="3" t="inlineStr">
        <is>
          <t>Tarrowmere Mutual Insurance</t>
        </is>
      </c>
      <c r="F1959" s="3" t="inlineStr">
        <is>
          <t>Premium installment</t>
        </is>
      </c>
      <c r="G1959" s="3" t="inlineStr">
        <is>
          <t>Insurance Expense</t>
        </is>
      </c>
      <c r="H1959" s="3" t="inlineStr">
        <is>
          <t>Accounts Payable</t>
        </is>
      </c>
      <c r="I1959" s="33" t="n">
        <v>3241.47</v>
      </c>
      <c r="J1959" s="13">
        <f>+J1958+I1959</f>
        <v>345493.03</v>
      </c>
      <c r="K1959" s="19">
        <f>+EOMONTH(B1959,0)</f>
        <v>46081</v>
      </c>
      <c r="L1959" s="3" t="inlineStr">
        <is>
          <t>Accounts Payable</t>
        </is>
      </c>
      <c r="M1959" s="3" t="inlineStr">
        <is>
          <t>Balance Sheet</t>
        </is>
      </c>
    </row>
    <row r="1960">
      <c r="B1960" s="39" t="n">
        <v>46068</v>
      </c>
      <c r="C1960" s="3" t="inlineStr">
        <is>
          <t>Bill</t>
        </is>
      </c>
      <c r="D1960" s="3" t="inlineStr"/>
      <c r="E1960" s="3" t="inlineStr">
        <is>
          <t>Northmoor Waste Services</t>
        </is>
      </c>
      <c r="F1960" s="3" t="inlineStr">
        <is>
          <t>Hazard Waste – February</t>
        </is>
      </c>
      <c r="G1960" s="3" t="inlineStr">
        <is>
          <t>Hazard Waste</t>
        </is>
      </c>
      <c r="H1960" s="3" t="inlineStr">
        <is>
          <t>Accounts Payable</t>
        </is>
      </c>
      <c r="I1960" s="33" t="n">
        <v>635.16</v>
      </c>
      <c r="J1960" s="13">
        <f>+J1959+I1960</f>
        <v>346128.19</v>
      </c>
      <c r="K1960" s="19">
        <f>+EOMONTH(B1960,0)</f>
        <v>46081</v>
      </c>
      <c r="L1960" s="3" t="inlineStr">
        <is>
          <t>Accounts Payable</t>
        </is>
      </c>
      <c r="M1960" s="3" t="inlineStr">
        <is>
          <t>Balance Sheet</t>
        </is>
      </c>
    </row>
    <row r="1961">
      <c r="B1961" s="39" t="n">
        <v>46068</v>
      </c>
      <c r="C1961" s="3" t="inlineStr">
        <is>
          <t>Bill Payment (Check)</t>
        </is>
      </c>
      <c r="D1961" s="3" t="inlineStr">
        <is>
          <t>10507</t>
        </is>
      </c>
      <c r="E1961" s="3" t="inlineStr">
        <is>
          <t>Reference Lab A</t>
        </is>
      </c>
      <c r="F1961" s="3" t="inlineStr">
        <is>
          <t>Send-out testing – February</t>
        </is>
      </c>
      <c r="G1961" s="3" t="inlineStr">
        <is>
          <t>Checking – Operating</t>
        </is>
      </c>
      <c r="H1961" s="3" t="inlineStr">
        <is>
          <t>Accounts Payable</t>
        </is>
      </c>
      <c r="I1961" s="33" t="n">
        <v>-11940.03</v>
      </c>
      <c r="J1961" s="13">
        <f>+J1960+I1961</f>
        <v>334188.16</v>
      </c>
      <c r="K1961" s="19">
        <f>+EOMONTH(B1961,0)</f>
        <v>46081</v>
      </c>
      <c r="L1961" s="3" t="inlineStr">
        <is>
          <t>Accounts Payable</t>
        </is>
      </c>
      <c r="M1961" s="3" t="inlineStr">
        <is>
          <t>Balance Sheet</t>
        </is>
      </c>
    </row>
    <row r="1962">
      <c r="B1962" s="39" t="n">
        <v>46070</v>
      </c>
      <c r="C1962" s="3" t="inlineStr">
        <is>
          <t>Bill</t>
        </is>
      </c>
      <c r="D1962" s="3" t="inlineStr"/>
      <c r="E1962" s="3" t="inlineStr">
        <is>
          <t>Lumenlease Equipment</t>
        </is>
      </c>
      <c r="F1962" s="3" t="inlineStr">
        <is>
          <t>Equipment Lease – February</t>
        </is>
      </c>
      <c r="G1962" s="3" t="inlineStr">
        <is>
          <t>Equipment Lease</t>
        </is>
      </c>
      <c r="H1962" s="3" t="inlineStr">
        <is>
          <t>Accounts Payable</t>
        </is>
      </c>
      <c r="I1962" s="33" t="n">
        <v>3552.41</v>
      </c>
      <c r="J1962" s="13">
        <f>+J1961+I1962</f>
        <v>337740.57</v>
      </c>
      <c r="K1962" s="19">
        <f>+EOMONTH(B1962,0)</f>
        <v>46081</v>
      </c>
      <c r="L1962" s="3" t="inlineStr">
        <is>
          <t>Accounts Payable</t>
        </is>
      </c>
      <c r="M1962" s="3" t="inlineStr">
        <is>
          <t>Balance Sheet</t>
        </is>
      </c>
    </row>
    <row r="1963">
      <c r="B1963" s="39" t="n">
        <v>46070</v>
      </c>
      <c r="C1963" s="3" t="inlineStr">
        <is>
          <t>Bill Payment (Check)</t>
        </is>
      </c>
      <c r="D1963" s="3" t="inlineStr">
        <is>
          <t>10693</t>
        </is>
      </c>
      <c r="E1963" s="3" t="inlineStr">
        <is>
          <t>Tarrowmere Mutual Insurance</t>
        </is>
      </c>
      <c r="F1963" s="3" t="inlineStr">
        <is>
          <t>Premium installment</t>
        </is>
      </c>
      <c r="G1963" s="3" t="inlineStr">
        <is>
          <t>Checking – Operating</t>
        </is>
      </c>
      <c r="H1963" s="3" t="inlineStr">
        <is>
          <t>Accounts Payable</t>
        </is>
      </c>
      <c r="I1963" s="33" t="n">
        <v>-4399.68</v>
      </c>
      <c r="J1963" s="13">
        <f>+J1962+I1963</f>
        <v>333340.89</v>
      </c>
      <c r="K1963" s="19">
        <f>+EOMONTH(B1963,0)</f>
        <v>46081</v>
      </c>
      <c r="L1963" s="3" t="inlineStr">
        <is>
          <t>Accounts Payable</t>
        </is>
      </c>
      <c r="M1963" s="3" t="inlineStr">
        <is>
          <t>Balance Sheet</t>
        </is>
      </c>
    </row>
    <row r="1964">
      <c r="B1964" s="39" t="n">
        <v>46070</v>
      </c>
      <c r="C1964" s="3" t="inlineStr">
        <is>
          <t>Bill Payment (Check)</t>
        </is>
      </c>
      <c r="D1964" s="3" t="inlineStr">
        <is>
          <t>11133</t>
        </is>
      </c>
      <c r="E1964" s="3" t="inlineStr">
        <is>
          <t>Tarrowmere Mutual Insurance</t>
        </is>
      </c>
      <c r="F1964" s="3" t="inlineStr">
        <is>
          <t>Benefits – January</t>
        </is>
      </c>
      <c r="G1964" s="3" t="inlineStr">
        <is>
          <t>Checking – Operating</t>
        </is>
      </c>
      <c r="H1964" s="3" t="inlineStr">
        <is>
          <t>Accounts Payable</t>
        </is>
      </c>
      <c r="I1964" s="33" t="n">
        <v>-6666.87</v>
      </c>
      <c r="J1964" s="13">
        <f>+J1963+I1964</f>
        <v>326674.02</v>
      </c>
      <c r="K1964" s="19">
        <f>+EOMONTH(B1964,0)</f>
        <v>46081</v>
      </c>
      <c r="L1964" s="3" t="inlineStr">
        <is>
          <t>Accounts Payable</t>
        </is>
      </c>
      <c r="M1964" s="3" t="inlineStr">
        <is>
          <t>Balance Sheet</t>
        </is>
      </c>
    </row>
    <row r="1965">
      <c r="B1965" s="39" t="n">
        <v>46071</v>
      </c>
      <c r="C1965" s="3" t="inlineStr">
        <is>
          <t>Bill Payment (Check)</t>
        </is>
      </c>
      <c r="D1965" s="3" t="inlineStr">
        <is>
          <t>10416</t>
        </is>
      </c>
      <c r="E1965" s="3" t="inlineStr">
        <is>
          <t>Reagentix Corp</t>
        </is>
      </c>
      <c r="F1965" s="3" t="inlineStr">
        <is>
          <t>Lab Expenses – January</t>
        </is>
      </c>
      <c r="G1965" s="3" t="inlineStr">
        <is>
          <t>Checking – Operating</t>
        </is>
      </c>
      <c r="H1965" s="3" t="inlineStr">
        <is>
          <t>Accounts Payable</t>
        </is>
      </c>
      <c r="I1965" s="33" t="n">
        <v>-3652.42</v>
      </c>
      <c r="J1965" s="13">
        <f>+J1964+I1965</f>
        <v>323021.6</v>
      </c>
      <c r="K1965" s="19">
        <f>+EOMONTH(B1965,0)</f>
        <v>46081</v>
      </c>
      <c r="L1965" s="3" t="inlineStr">
        <is>
          <t>Accounts Payable</t>
        </is>
      </c>
      <c r="M1965" s="3" t="inlineStr">
        <is>
          <t>Balance Sheet</t>
        </is>
      </c>
    </row>
    <row r="1966">
      <c r="B1966" s="39" t="n">
        <v>46071</v>
      </c>
      <c r="C1966" s="3" t="inlineStr">
        <is>
          <t>Bill Payment (Check)</t>
        </is>
      </c>
      <c r="D1966" s="3" t="inlineStr">
        <is>
          <t>10503</t>
        </is>
      </c>
      <c r="E1966" s="3" t="inlineStr">
        <is>
          <t>Reference Lab A</t>
        </is>
      </c>
      <c r="F1966" s="3" t="inlineStr">
        <is>
          <t>Send-out testing – February</t>
        </is>
      </c>
      <c r="G1966" s="3" t="inlineStr">
        <is>
          <t>Checking – Operating</t>
        </is>
      </c>
      <c r="H1966" s="3" t="inlineStr">
        <is>
          <t>Accounts Payable</t>
        </is>
      </c>
      <c r="I1966" s="33" t="n">
        <v>-10059.97</v>
      </c>
      <c r="J1966" s="13">
        <f>+J1965+I1966</f>
        <v>312961.63</v>
      </c>
      <c r="K1966" s="19">
        <f>+EOMONTH(B1966,0)</f>
        <v>46081</v>
      </c>
      <c r="L1966" s="3" t="inlineStr">
        <is>
          <t>Accounts Payable</t>
        </is>
      </c>
      <c r="M1966" s="3" t="inlineStr">
        <is>
          <t>Balance Sheet</t>
        </is>
      </c>
    </row>
    <row r="1967">
      <c r="B1967" s="39" t="n">
        <v>46071</v>
      </c>
      <c r="C1967" s="3" t="inlineStr">
        <is>
          <t>Bill Payment (Check)</t>
        </is>
      </c>
      <c r="D1967" s="3" t="inlineStr">
        <is>
          <t>10689</t>
        </is>
      </c>
      <c r="E1967" s="3" t="inlineStr">
        <is>
          <t>Tarrowmere Mutual Insurance</t>
        </is>
      </c>
      <c r="F1967" s="3" t="inlineStr">
        <is>
          <t>Premium installment</t>
        </is>
      </c>
      <c r="G1967" s="3" t="inlineStr">
        <is>
          <t>Checking – Operating</t>
        </is>
      </c>
      <c r="H1967" s="3" t="inlineStr">
        <is>
          <t>Accounts Payable</t>
        </is>
      </c>
      <c r="I1967" s="33" t="n">
        <v>-6938.98</v>
      </c>
      <c r="J1967" s="13">
        <f>+J1966+I1967</f>
        <v>306022.65</v>
      </c>
      <c r="K1967" s="19">
        <f>+EOMONTH(B1967,0)</f>
        <v>46081</v>
      </c>
      <c r="L1967" s="3" t="inlineStr">
        <is>
          <t>Accounts Payable</t>
        </is>
      </c>
      <c r="M1967" s="3" t="inlineStr">
        <is>
          <t>Balance Sheet</t>
        </is>
      </c>
    </row>
    <row r="1968">
      <c r="B1968" s="39" t="n">
        <v>46071</v>
      </c>
      <c r="C1968" s="3" t="inlineStr">
        <is>
          <t>Bill Payment (Check)</t>
        </is>
      </c>
      <c r="D1968" s="3" t="inlineStr">
        <is>
          <t>10974</t>
        </is>
      </c>
      <c r="E1968" s="3" t="inlineStr">
        <is>
          <t>Northmoor Waste Services</t>
        </is>
      </c>
      <c r="F1968" s="3" t="inlineStr">
        <is>
          <t>Hazard Waste – January</t>
        </is>
      </c>
      <c r="G1968" s="3" t="inlineStr">
        <is>
          <t>Checking – Operating</t>
        </is>
      </c>
      <c r="H1968" s="3" t="inlineStr">
        <is>
          <t>Accounts Payable</t>
        </is>
      </c>
      <c r="I1968" s="33" t="n">
        <v>-1008.94</v>
      </c>
      <c r="J1968" s="13">
        <f>+J1967+I1968</f>
        <v>305013.71</v>
      </c>
      <c r="K1968" s="19">
        <f>+EOMONTH(B1968,0)</f>
        <v>46081</v>
      </c>
      <c r="L1968" s="3" t="inlineStr">
        <is>
          <t>Accounts Payable</t>
        </is>
      </c>
      <c r="M1968" s="3" t="inlineStr">
        <is>
          <t>Balance Sheet</t>
        </is>
      </c>
    </row>
    <row r="1969">
      <c r="B1969" s="39" t="n">
        <v>46072</v>
      </c>
      <c r="C1969" s="3" t="inlineStr">
        <is>
          <t>Bill</t>
        </is>
      </c>
      <c r="D1969" s="3" t="inlineStr"/>
      <c r="E1969" s="3" t="inlineStr">
        <is>
          <t>Reagentix Corp</t>
        </is>
      </c>
      <c r="F1969" s="3" t="inlineStr">
        <is>
          <t>Lab supplies PO# F2573</t>
        </is>
      </c>
      <c r="G1969" s="3" t="inlineStr">
        <is>
          <t>Reagents</t>
        </is>
      </c>
      <c r="H1969" s="3" t="inlineStr">
        <is>
          <t>Accounts Payable</t>
        </is>
      </c>
      <c r="I1969" s="33" t="n">
        <v>15904.31</v>
      </c>
      <c r="J1969" s="13">
        <f>+J1968+I1969</f>
        <v>320918.02</v>
      </c>
      <c r="K1969" s="19">
        <f>+EOMONTH(B1969,0)</f>
        <v>46081</v>
      </c>
      <c r="L1969" s="3" t="inlineStr">
        <is>
          <t>Accounts Payable</t>
        </is>
      </c>
      <c r="M1969" s="3" t="inlineStr">
        <is>
          <t>Balance Sheet</t>
        </is>
      </c>
    </row>
    <row r="1970">
      <c r="B1970" s="39" t="n">
        <v>46072</v>
      </c>
      <c r="C1970" s="3" t="inlineStr">
        <is>
          <t>Bill Payment (Check)</t>
        </is>
      </c>
      <c r="D1970" s="3" t="inlineStr">
        <is>
          <t>10459</t>
        </is>
      </c>
      <c r="E1970" s="3" t="inlineStr">
        <is>
          <t>Vialtrace Lab Supplies Inc</t>
        </is>
      </c>
      <c r="F1970" s="3" t="inlineStr">
        <is>
          <t>Lab supplies PO# F2010</t>
        </is>
      </c>
      <c r="G1970" s="3" t="inlineStr">
        <is>
          <t>Checking – Operating</t>
        </is>
      </c>
      <c r="H1970" s="3" t="inlineStr">
        <is>
          <t>Accounts Payable</t>
        </is>
      </c>
      <c r="I1970" s="33" t="n">
        <v>-24276.83</v>
      </c>
      <c r="J1970" s="13">
        <f>+J1969+I1970</f>
        <v>296641.19</v>
      </c>
      <c r="K1970" s="19">
        <f>+EOMONTH(B1970,0)</f>
        <v>46081</v>
      </c>
      <c r="L1970" s="3" t="inlineStr">
        <is>
          <t>Accounts Payable</t>
        </is>
      </c>
      <c r="M1970" s="3" t="inlineStr">
        <is>
          <t>Balance Sheet</t>
        </is>
      </c>
    </row>
    <row r="1971">
      <c r="B1971" s="39" t="n">
        <v>46074</v>
      </c>
      <c r="C1971" s="3" t="inlineStr">
        <is>
          <t>Bill</t>
        </is>
      </c>
      <c r="D1971" s="3" t="inlineStr"/>
      <c r="E1971" s="3" t="inlineStr">
        <is>
          <t>Reagentix Corp</t>
        </is>
      </c>
      <c r="F1971" s="3" t="inlineStr">
        <is>
          <t>Lab supplies PO# F2227</t>
        </is>
      </c>
      <c r="G1971" s="3" t="inlineStr">
        <is>
          <t>Lab Supplies</t>
        </is>
      </c>
      <c r="H1971" s="3" t="inlineStr">
        <is>
          <t>Accounts Payable</t>
        </is>
      </c>
      <c r="I1971" s="33" t="n">
        <v>15321.17</v>
      </c>
      <c r="J1971" s="13">
        <f>+J1970+I1971</f>
        <v>311962.36</v>
      </c>
      <c r="K1971" s="19">
        <f>+EOMONTH(B1971,0)</f>
        <v>46081</v>
      </c>
      <c r="L1971" s="3" t="inlineStr">
        <is>
          <t>Accounts Payable</t>
        </is>
      </c>
      <c r="M1971" s="3" t="inlineStr">
        <is>
          <t>Balance Sheet</t>
        </is>
      </c>
    </row>
    <row r="1972">
      <c r="B1972" s="39" t="n">
        <v>46074</v>
      </c>
      <c r="C1972" s="3" t="inlineStr">
        <is>
          <t>Bill</t>
        </is>
      </c>
      <c r="D1972" s="3" t="inlineStr"/>
      <c r="E1972" s="3" t="inlineStr">
        <is>
          <t>Swiftmere Courier</t>
        </is>
      </c>
      <c r="F1972" s="3" t="inlineStr">
        <is>
          <t>Delivery and Transportation – February</t>
        </is>
      </c>
      <c r="G1972" s="3" t="inlineStr">
        <is>
          <t>Delivery and Transportation</t>
        </is>
      </c>
      <c r="H1972" s="3" t="inlineStr">
        <is>
          <t>Accounts Payable</t>
        </is>
      </c>
      <c r="I1972" s="33" t="n">
        <v>3793.78</v>
      </c>
      <c r="J1972" s="13">
        <f>+J1971+I1972</f>
        <v>315756.14</v>
      </c>
      <c r="K1972" s="19">
        <f>+EOMONTH(B1972,0)</f>
        <v>46081</v>
      </c>
      <c r="L1972" s="3" t="inlineStr">
        <is>
          <t>Accounts Payable</t>
        </is>
      </c>
      <c r="M1972" s="3" t="inlineStr">
        <is>
          <t>Balance Sheet</t>
        </is>
      </c>
    </row>
    <row r="1973">
      <c r="B1973" s="39" t="n">
        <v>46074</v>
      </c>
      <c r="C1973" s="3" t="inlineStr">
        <is>
          <t>Bill Payment (Check)</t>
        </is>
      </c>
      <c r="D1973" s="3" t="inlineStr">
        <is>
          <t>10639</t>
        </is>
      </c>
      <c r="E1973" s="3" t="inlineStr">
        <is>
          <t>Swiftmere Courier</t>
        </is>
      </c>
      <c r="F1973" s="3" t="inlineStr">
        <is>
          <t>Delivery and Transportation – February</t>
        </is>
      </c>
      <c r="G1973" s="3" t="inlineStr">
        <is>
          <t>Checking – Operating</t>
        </is>
      </c>
      <c r="H1973" s="3" t="inlineStr">
        <is>
          <t>Accounts Payable</t>
        </is>
      </c>
      <c r="I1973" s="33" t="n">
        <v>-2606.22</v>
      </c>
      <c r="J1973" s="13">
        <f>+J1972+I1973</f>
        <v>313149.92</v>
      </c>
      <c r="K1973" s="19">
        <f>+EOMONTH(B1973,0)</f>
        <v>46081</v>
      </c>
      <c r="L1973" s="3" t="inlineStr">
        <is>
          <t>Accounts Payable</t>
        </is>
      </c>
      <c r="M1973" s="3" t="inlineStr">
        <is>
          <t>Balance Sheet</t>
        </is>
      </c>
    </row>
    <row r="1974">
      <c r="B1974" s="39" t="n">
        <v>46074</v>
      </c>
      <c r="C1974" s="3" t="inlineStr">
        <is>
          <t>Bill Payment (Check)</t>
        </is>
      </c>
      <c r="D1974" s="3" t="inlineStr">
        <is>
          <t>10691</t>
        </is>
      </c>
      <c r="E1974" s="3" t="inlineStr">
        <is>
          <t>Tarrowmere Mutual Insurance</t>
        </is>
      </c>
      <c r="F1974" s="3" t="inlineStr">
        <is>
          <t>Premium installment</t>
        </is>
      </c>
      <c r="G1974" s="3" t="inlineStr">
        <is>
          <t>Checking – Operating</t>
        </is>
      </c>
      <c r="H1974" s="3" t="inlineStr">
        <is>
          <t>Accounts Payable</t>
        </is>
      </c>
      <c r="I1974" s="33" t="n">
        <v>-3431.26</v>
      </c>
      <c r="J1974" s="13">
        <f>+J1973+I1974</f>
        <v>309718.66</v>
      </c>
      <c r="K1974" s="19">
        <f>+EOMONTH(B1974,0)</f>
        <v>46081</v>
      </c>
      <c r="L1974" s="3" t="inlineStr">
        <is>
          <t>Accounts Payable</t>
        </is>
      </c>
      <c r="M1974" s="3" t="inlineStr">
        <is>
          <t>Balance Sheet</t>
        </is>
      </c>
    </row>
    <row r="1975">
      <c r="B1975" s="39" t="n">
        <v>46074</v>
      </c>
      <c r="C1975" s="3" t="inlineStr">
        <is>
          <t>Bill Payment (Check)</t>
        </is>
      </c>
      <c r="D1975" s="3" t="inlineStr">
        <is>
          <t>11132</t>
        </is>
      </c>
      <c r="E1975" s="3" t="inlineStr">
        <is>
          <t>Tarrowmere Mutual Insurance</t>
        </is>
      </c>
      <c r="F1975" s="3" t="inlineStr">
        <is>
          <t>Benefits – January</t>
        </is>
      </c>
      <c r="G1975" s="3" t="inlineStr">
        <is>
          <t>Checking – Operating</t>
        </is>
      </c>
      <c r="H1975" s="3" t="inlineStr">
        <is>
          <t>Accounts Payable</t>
        </is>
      </c>
      <c r="I1975" s="33" t="n">
        <v>-4149.43</v>
      </c>
      <c r="J1975" s="13">
        <f>+J1974+I1975</f>
        <v>305569.23</v>
      </c>
      <c r="K1975" s="19">
        <f>+EOMONTH(B1975,0)</f>
        <v>46081</v>
      </c>
      <c r="L1975" s="3" t="inlineStr">
        <is>
          <t>Accounts Payable</t>
        </is>
      </c>
      <c r="M1975" s="3" t="inlineStr">
        <is>
          <t>Balance Sheet</t>
        </is>
      </c>
    </row>
    <row r="1976">
      <c r="B1976" s="39" t="n">
        <v>46075</v>
      </c>
      <c r="C1976" s="3" t="inlineStr">
        <is>
          <t>Bill</t>
        </is>
      </c>
      <c r="D1976" s="3" t="inlineStr"/>
      <c r="E1976" s="3" t="inlineStr">
        <is>
          <t>Vialtrace Lab Supplies Inc</t>
        </is>
      </c>
      <c r="F1976" s="3" t="inlineStr">
        <is>
          <t>Lab supplies PO# F2514</t>
        </is>
      </c>
      <c r="G1976" s="3" t="inlineStr">
        <is>
          <t>Lab Supplies</t>
        </is>
      </c>
      <c r="H1976" s="3" t="inlineStr">
        <is>
          <t>Accounts Payable</t>
        </is>
      </c>
      <c r="I1976" s="33" t="n">
        <v>15350.89</v>
      </c>
      <c r="J1976" s="13">
        <f>+J1975+I1976</f>
        <v>320920.12</v>
      </c>
      <c r="K1976" s="19">
        <f>+EOMONTH(B1976,0)</f>
        <v>46081</v>
      </c>
      <c r="L1976" s="3" t="inlineStr">
        <is>
          <t>Accounts Payable</t>
        </is>
      </c>
      <c r="M1976" s="3" t="inlineStr">
        <is>
          <t>Balance Sheet</t>
        </is>
      </c>
    </row>
    <row r="1977">
      <c r="B1977" s="39" t="n">
        <v>46075</v>
      </c>
      <c r="C1977" s="3" t="inlineStr">
        <is>
          <t>Bill</t>
        </is>
      </c>
      <c r="D1977" s="3" t="inlineStr"/>
      <c r="E1977" s="3" t="inlineStr">
        <is>
          <t>Halloway Ridge Realty (rent)</t>
        </is>
      </c>
      <c r="F1977" s="3" t="inlineStr">
        <is>
          <t>Rent – February</t>
        </is>
      </c>
      <c r="G1977" s="3" t="inlineStr">
        <is>
          <t>Rent Expense</t>
        </is>
      </c>
      <c r="H1977" s="3" t="inlineStr">
        <is>
          <t>Accounts Payable</t>
        </is>
      </c>
      <c r="I1977" s="33" t="n">
        <v>21808.3</v>
      </c>
      <c r="J1977" s="13">
        <f>+J1976+I1977</f>
        <v>342728.42</v>
      </c>
      <c r="K1977" s="19">
        <f>+EOMONTH(B1977,0)</f>
        <v>46081</v>
      </c>
      <c r="L1977" s="3" t="inlineStr">
        <is>
          <t>Accounts Payable</t>
        </is>
      </c>
      <c r="M1977" s="3" t="inlineStr">
        <is>
          <t>Balance Sheet</t>
        </is>
      </c>
    </row>
    <row r="1978">
      <c r="B1978" s="39" t="n">
        <v>46075</v>
      </c>
      <c r="C1978" s="3" t="inlineStr">
        <is>
          <t>Bill</t>
        </is>
      </c>
      <c r="D1978" s="3" t="inlineStr"/>
      <c r="E1978" s="3" t="inlineStr">
        <is>
          <t>Tarrowmere Mutual Insurance</t>
        </is>
      </c>
      <c r="F1978" s="3" t="inlineStr">
        <is>
          <t>Benefits – February</t>
        </is>
      </c>
      <c r="G1978" s="3" t="inlineStr">
        <is>
          <t>Benefits</t>
        </is>
      </c>
      <c r="H1978" s="3" t="inlineStr">
        <is>
          <t>Accounts Payable</t>
        </is>
      </c>
      <c r="I1978" s="33" t="n">
        <v>4930.75</v>
      </c>
      <c r="J1978" s="13">
        <f>+J1977+I1978</f>
        <v>347659.17</v>
      </c>
      <c r="K1978" s="19">
        <f>+EOMONTH(B1978,0)</f>
        <v>46081</v>
      </c>
      <c r="L1978" s="3" t="inlineStr">
        <is>
          <t>Accounts Payable</t>
        </is>
      </c>
      <c r="M1978" s="3" t="inlineStr">
        <is>
          <t>Balance Sheet</t>
        </is>
      </c>
    </row>
    <row r="1979">
      <c r="B1979" s="39" t="n">
        <v>46075</v>
      </c>
      <c r="C1979" s="3" t="inlineStr">
        <is>
          <t>Bill Payment (Check)</t>
        </is>
      </c>
      <c r="D1979" s="3" t="inlineStr">
        <is>
          <t>10417</t>
        </is>
      </c>
      <c r="E1979" s="3" t="inlineStr">
        <is>
          <t>Vialtrace Lab Supplies Inc</t>
        </is>
      </c>
      <c r="F1979" s="3" t="inlineStr">
        <is>
          <t>Lab Expenses – January</t>
        </is>
      </c>
      <c r="G1979" s="3" t="inlineStr">
        <is>
          <t>Checking – Operating</t>
        </is>
      </c>
      <c r="H1979" s="3" t="inlineStr">
        <is>
          <t>Accounts Payable</t>
        </is>
      </c>
      <c r="I1979" s="33" t="n">
        <v>-4463.35</v>
      </c>
      <c r="J1979" s="13">
        <f>+J1978+I1979</f>
        <v>343195.82</v>
      </c>
      <c r="K1979" s="19">
        <f>+EOMONTH(B1979,0)</f>
        <v>46081</v>
      </c>
      <c r="L1979" s="3" t="inlineStr">
        <is>
          <t>Accounts Payable</t>
        </is>
      </c>
      <c r="M1979" s="3" t="inlineStr">
        <is>
          <t>Balance Sheet</t>
        </is>
      </c>
    </row>
    <row r="1980">
      <c r="B1980" s="39" t="n">
        <v>46075</v>
      </c>
      <c r="C1980" s="3" t="inlineStr">
        <is>
          <t>Bill Payment (Check)</t>
        </is>
      </c>
      <c r="D1980" s="3" t="inlineStr">
        <is>
          <t>10421</t>
        </is>
      </c>
      <c r="E1980" s="3" t="inlineStr">
        <is>
          <t>Vialtrace Lab Supplies Inc</t>
        </is>
      </c>
      <c r="F1980" s="3" t="inlineStr">
        <is>
          <t>Lab Expenses – February</t>
        </is>
      </c>
      <c r="G1980" s="3" t="inlineStr">
        <is>
          <t>Checking – Operating</t>
        </is>
      </c>
      <c r="H1980" s="3" t="inlineStr">
        <is>
          <t>Accounts Payable</t>
        </is>
      </c>
      <c r="I1980" s="33" t="n">
        <v>-3763.45</v>
      </c>
      <c r="J1980" s="13">
        <f>+J1979+I1980</f>
        <v>339432.37</v>
      </c>
      <c r="K1980" s="19">
        <f>+EOMONTH(B1980,0)</f>
        <v>46081</v>
      </c>
      <c r="L1980" s="3" t="inlineStr">
        <is>
          <t>Accounts Payable</t>
        </is>
      </c>
      <c r="M1980" s="3" t="inlineStr">
        <is>
          <t>Balance Sheet</t>
        </is>
      </c>
    </row>
    <row r="1981">
      <c r="B1981" s="39" t="n">
        <v>46075</v>
      </c>
      <c r="C1981" s="3" t="inlineStr">
        <is>
          <t>Bill Payment (Check)</t>
        </is>
      </c>
      <c r="D1981" s="3" t="inlineStr">
        <is>
          <t>10498</t>
        </is>
      </c>
      <c r="E1981" s="3" t="inlineStr">
        <is>
          <t>Reference Lab A</t>
        </is>
      </c>
      <c r="F1981" s="3" t="inlineStr">
        <is>
          <t>Send-out testing – January</t>
        </is>
      </c>
      <c r="G1981" s="3" t="inlineStr">
        <is>
          <t>Checking – Operating</t>
        </is>
      </c>
      <c r="H1981" s="3" t="inlineStr">
        <is>
          <t>Accounts Payable</t>
        </is>
      </c>
      <c r="I1981" s="33" t="n">
        <v>-15169.22</v>
      </c>
      <c r="J1981" s="13">
        <f>+J1980+I1981</f>
        <v>324263.15</v>
      </c>
      <c r="K1981" s="19">
        <f>+EOMONTH(B1981,0)</f>
        <v>46081</v>
      </c>
      <c r="L1981" s="3" t="inlineStr">
        <is>
          <t>Accounts Payable</t>
        </is>
      </c>
      <c r="M1981" s="3" t="inlineStr">
        <is>
          <t>Balance Sheet</t>
        </is>
      </c>
    </row>
    <row r="1982">
      <c r="B1982" s="39" t="n">
        <v>46075</v>
      </c>
      <c r="C1982" s="3" t="inlineStr">
        <is>
          <t>Bill Payment (Check)</t>
        </is>
      </c>
      <c r="D1982" s="3" t="inlineStr">
        <is>
          <t>10688</t>
        </is>
      </c>
      <c r="E1982" s="3" t="inlineStr">
        <is>
          <t>Tarrowmere Mutual Insurance</t>
        </is>
      </c>
      <c r="F1982" s="3" t="inlineStr">
        <is>
          <t>Premium installment</t>
        </is>
      </c>
      <c r="G1982" s="3" t="inlineStr">
        <is>
          <t>Checking – Operating</t>
        </is>
      </c>
      <c r="H1982" s="3" t="inlineStr">
        <is>
          <t>Accounts Payable</t>
        </is>
      </c>
      <c r="I1982" s="33" t="n">
        <v>-6456.49</v>
      </c>
      <c r="J1982" s="13">
        <f>+J1981+I1982</f>
        <v>317806.66</v>
      </c>
      <c r="K1982" s="19">
        <f>+EOMONTH(B1982,0)</f>
        <v>46081</v>
      </c>
      <c r="L1982" s="3" t="inlineStr">
        <is>
          <t>Accounts Payable</t>
        </is>
      </c>
      <c r="M1982" s="3" t="inlineStr">
        <is>
          <t>Balance Sheet</t>
        </is>
      </c>
    </row>
    <row r="1983">
      <c r="B1983" s="39" t="n">
        <v>46075</v>
      </c>
      <c r="C1983" s="3" t="inlineStr">
        <is>
          <t>Bill Payment (Check)</t>
        </is>
      </c>
      <c r="D1983" s="3" t="inlineStr">
        <is>
          <t>10692</t>
        </is>
      </c>
      <c r="E1983" s="3" t="inlineStr">
        <is>
          <t>Tarrowmere Mutual Insurance</t>
        </is>
      </c>
      <c r="F1983" s="3" t="inlineStr">
        <is>
          <t>Premium installment</t>
        </is>
      </c>
      <c r="G1983" s="3" t="inlineStr">
        <is>
          <t>Checking – Operating</t>
        </is>
      </c>
      <c r="H1983" s="3" t="inlineStr">
        <is>
          <t>Accounts Payable</t>
        </is>
      </c>
      <c r="I1983" s="33" t="n">
        <v>-3776.51</v>
      </c>
      <c r="J1983" s="13">
        <f>+J1982+I1983</f>
        <v>314030.15</v>
      </c>
      <c r="K1983" s="19">
        <f>+EOMONTH(B1983,0)</f>
        <v>46081</v>
      </c>
      <c r="L1983" s="3" t="inlineStr">
        <is>
          <t>Accounts Payable</t>
        </is>
      </c>
      <c r="M1983" s="3" t="inlineStr">
        <is>
          <t>Balance Sheet</t>
        </is>
      </c>
    </row>
    <row r="1984">
      <c r="B1984" s="39" t="n">
        <v>46076</v>
      </c>
      <c r="C1984" s="3" t="inlineStr">
        <is>
          <t>Bill</t>
        </is>
      </c>
      <c r="D1984" s="3" t="inlineStr"/>
      <c r="E1984" s="3" t="inlineStr">
        <is>
          <t>Tarrowmere Mutual Insurance</t>
        </is>
      </c>
      <c r="F1984" s="3" t="inlineStr">
        <is>
          <t>Benefits – February</t>
        </is>
      </c>
      <c r="G1984" s="3" t="inlineStr">
        <is>
          <t>Benefits</t>
        </is>
      </c>
      <c r="H1984" s="3" t="inlineStr">
        <is>
          <t>Accounts Payable</t>
        </is>
      </c>
      <c r="I1984" s="33" t="n">
        <v>3246.1</v>
      </c>
      <c r="J1984" s="13">
        <f>+J1983+I1984</f>
        <v>317276.25</v>
      </c>
      <c r="K1984" s="19">
        <f>+EOMONTH(B1984,0)</f>
        <v>46081</v>
      </c>
      <c r="L1984" s="3" t="inlineStr">
        <is>
          <t>Accounts Payable</t>
        </is>
      </c>
      <c r="M1984" s="3" t="inlineStr">
        <is>
          <t>Balance Sheet</t>
        </is>
      </c>
    </row>
    <row r="1985">
      <c r="B1985" s="39" t="n">
        <v>46076</v>
      </c>
      <c r="C1985" s="3" t="inlineStr">
        <is>
          <t>Bill</t>
        </is>
      </c>
      <c r="D1985" s="3" t="inlineStr"/>
      <c r="E1985" s="3" t="inlineStr">
        <is>
          <t>Ledgerquill Billing SaaS</t>
        </is>
      </c>
      <c r="F1985" s="3" t="inlineStr">
        <is>
          <t>Billing Software as a Service – February</t>
        </is>
      </c>
      <c r="G1985" s="3" t="inlineStr">
        <is>
          <t>Billing Software as a Service</t>
        </is>
      </c>
      <c r="H1985" s="3" t="inlineStr">
        <is>
          <t>Accounts Payable</t>
        </is>
      </c>
      <c r="I1985" s="33" t="n">
        <v>10798.84</v>
      </c>
      <c r="J1985" s="13">
        <f>+J1984+I1985</f>
        <v>328075.09</v>
      </c>
      <c r="K1985" s="19">
        <f>+EOMONTH(B1985,0)</f>
        <v>46081</v>
      </c>
      <c r="L1985" s="3" t="inlineStr">
        <is>
          <t>Accounts Payable</t>
        </is>
      </c>
      <c r="M1985" s="3" t="inlineStr">
        <is>
          <t>Balance Sheet</t>
        </is>
      </c>
    </row>
    <row r="1986">
      <c r="B1986" s="39" t="n">
        <v>46076</v>
      </c>
      <c r="C1986" s="3" t="inlineStr">
        <is>
          <t>Bill Payment (Check)</t>
        </is>
      </c>
      <c r="D1986" s="3" t="inlineStr">
        <is>
          <t>10464</t>
        </is>
      </c>
      <c r="E1986" s="3" t="inlineStr">
        <is>
          <t>Vialtrace Lab Supplies Inc</t>
        </is>
      </c>
      <c r="F1986" s="3" t="inlineStr">
        <is>
          <t>Lab supplies PO# F2214</t>
        </is>
      </c>
      <c r="G1986" s="3" t="inlineStr">
        <is>
          <t>Checking – Operating</t>
        </is>
      </c>
      <c r="H1986" s="3" t="inlineStr">
        <is>
          <t>Accounts Payable</t>
        </is>
      </c>
      <c r="I1986" s="33" t="n">
        <v>-19241.73</v>
      </c>
      <c r="J1986" s="13">
        <f>+J1985+I1986</f>
        <v>308833.36</v>
      </c>
      <c r="K1986" s="19">
        <f>+EOMONTH(B1986,0)</f>
        <v>46081</v>
      </c>
      <c r="L1986" s="3" t="inlineStr">
        <is>
          <t>Accounts Payable</t>
        </is>
      </c>
      <c r="M1986" s="3" t="inlineStr">
        <is>
          <t>Balance Sheet</t>
        </is>
      </c>
    </row>
    <row r="1987">
      <c r="B1987" s="39" t="n">
        <v>46076</v>
      </c>
      <c r="C1987" s="3" t="inlineStr">
        <is>
          <t>Bill Payment (Check)</t>
        </is>
      </c>
      <c r="D1987" s="3" t="inlineStr">
        <is>
          <t>10976</t>
        </is>
      </c>
      <c r="E1987" s="3" t="inlineStr">
        <is>
          <t>Northmoor Waste Services</t>
        </is>
      </c>
      <c r="F1987" s="3" t="inlineStr">
        <is>
          <t>Hazard Waste – February</t>
        </is>
      </c>
      <c r="G1987" s="3" t="inlineStr">
        <is>
          <t>Checking – Operating</t>
        </is>
      </c>
      <c r="H1987" s="3" t="inlineStr">
        <is>
          <t>Accounts Payable</t>
        </is>
      </c>
      <c r="I1987" s="33" t="n">
        <v>-1164.84</v>
      </c>
      <c r="J1987" s="13">
        <f>+J1986+I1987</f>
        <v>307668.52</v>
      </c>
      <c r="K1987" s="19">
        <f>+EOMONTH(B1987,0)</f>
        <v>46081</v>
      </c>
      <c r="L1987" s="3" t="inlineStr">
        <is>
          <t>Accounts Payable</t>
        </is>
      </c>
      <c r="M1987" s="3" t="inlineStr">
        <is>
          <t>Balance Sheet</t>
        </is>
      </c>
    </row>
    <row r="1988">
      <c r="B1988" s="39" t="n">
        <v>46077</v>
      </c>
      <c r="C1988" s="3" t="inlineStr">
        <is>
          <t>Bill</t>
        </is>
      </c>
      <c r="D1988" s="3" t="inlineStr"/>
      <c r="E1988" s="3" t="inlineStr">
        <is>
          <t>Vialtrace Lab Supplies Inc</t>
        </is>
      </c>
      <c r="F1988" s="3" t="inlineStr">
        <is>
          <t>Lab Expenses – February</t>
        </is>
      </c>
      <c r="G1988" s="3" t="inlineStr">
        <is>
          <t>Lab Expenses</t>
        </is>
      </c>
      <c r="H1988" s="3" t="inlineStr">
        <is>
          <t>Accounts Payable</t>
        </is>
      </c>
      <c r="I1988" s="33" t="n">
        <v>5780.13</v>
      </c>
      <c r="J1988" s="13">
        <f>+J1987+I1988</f>
        <v>313448.65</v>
      </c>
      <c r="K1988" s="19">
        <f>+EOMONTH(B1988,0)</f>
        <v>46081</v>
      </c>
      <c r="L1988" s="3" t="inlineStr">
        <is>
          <t>Accounts Payable</t>
        </is>
      </c>
      <c r="M1988" s="3" t="inlineStr">
        <is>
          <t>Balance Sheet</t>
        </is>
      </c>
    </row>
    <row r="1989">
      <c r="B1989" s="39" t="n">
        <v>46077</v>
      </c>
      <c r="C1989" s="3" t="inlineStr">
        <is>
          <t>Bill Payment (Check)</t>
        </is>
      </c>
      <c r="D1989" s="3" t="inlineStr">
        <is>
          <t>10687</t>
        </is>
      </c>
      <c r="E1989" s="3" t="inlineStr">
        <is>
          <t>Tarrowmere Mutual Insurance</t>
        </is>
      </c>
      <c r="F1989" s="3" t="inlineStr">
        <is>
          <t>Premium installment</t>
        </is>
      </c>
      <c r="G1989" s="3" t="inlineStr">
        <is>
          <t>Checking – Operating</t>
        </is>
      </c>
      <c r="H1989" s="3" t="inlineStr">
        <is>
          <t>Accounts Payable</t>
        </is>
      </c>
      <c r="I1989" s="33" t="n">
        <v>-5504.53</v>
      </c>
      <c r="J1989" s="13">
        <f>+J1988+I1989</f>
        <v>307944.12</v>
      </c>
      <c r="K1989" s="19">
        <f>+EOMONTH(B1989,0)</f>
        <v>46081</v>
      </c>
      <c r="L1989" s="3" t="inlineStr">
        <is>
          <t>Accounts Payable</t>
        </is>
      </c>
      <c r="M1989" s="3" t="inlineStr">
        <is>
          <t>Balance Sheet</t>
        </is>
      </c>
    </row>
    <row r="1990">
      <c r="B1990" s="39" t="n">
        <v>46077</v>
      </c>
      <c r="C1990" s="3" t="inlineStr">
        <is>
          <t>Bill Payment (Check)</t>
        </is>
      </c>
      <c r="D1990" s="3" t="inlineStr">
        <is>
          <t>11140</t>
        </is>
      </c>
      <c r="E1990" s="3" t="inlineStr">
        <is>
          <t>Tarrowmere Mutual Insurance</t>
        </is>
      </c>
      <c r="F1990" s="3" t="inlineStr">
        <is>
          <t>Benefits – February</t>
        </is>
      </c>
      <c r="G1990" s="3" t="inlineStr">
        <is>
          <t>Checking – Operating</t>
        </is>
      </c>
      <c r="H1990" s="3" t="inlineStr">
        <is>
          <t>Accounts Payable</t>
        </is>
      </c>
      <c r="I1990" s="33" t="n">
        <v>-5339.27</v>
      </c>
      <c r="J1990" s="13">
        <f>+J1989+I1990</f>
        <v>302604.85</v>
      </c>
      <c r="K1990" s="19">
        <f>+EOMONTH(B1990,0)</f>
        <v>46081</v>
      </c>
      <c r="L1990" s="3" t="inlineStr">
        <is>
          <t>Accounts Payable</t>
        </is>
      </c>
      <c r="M1990" s="3" t="inlineStr">
        <is>
          <t>Balance Sheet</t>
        </is>
      </c>
    </row>
    <row r="1991">
      <c r="B1991" s="39" t="n">
        <v>46078</v>
      </c>
      <c r="C1991" s="3" t="inlineStr">
        <is>
          <t>Bill</t>
        </is>
      </c>
      <c r="D1991" s="3" t="inlineStr"/>
      <c r="E1991" s="3" t="inlineStr">
        <is>
          <t>Vialtrace Lab Supplies Inc</t>
        </is>
      </c>
      <c r="F1991" s="3" t="inlineStr">
        <is>
          <t>Lab Expenses – February</t>
        </is>
      </c>
      <c r="G1991" s="3" t="inlineStr">
        <is>
          <t>Lab Expenses</t>
        </is>
      </c>
      <c r="H1991" s="3" t="inlineStr">
        <is>
          <t>Accounts Payable</t>
        </is>
      </c>
      <c r="I1991" s="33" t="n">
        <v>3506.29</v>
      </c>
      <c r="J1991" s="13">
        <f>+J1990+I1991</f>
        <v>306111.14</v>
      </c>
      <c r="K1991" s="19">
        <f>+EOMONTH(B1991,0)</f>
        <v>46081</v>
      </c>
      <c r="L1991" s="3" t="inlineStr">
        <is>
          <t>Accounts Payable</t>
        </is>
      </c>
      <c r="M1991" s="3" t="inlineStr">
        <is>
          <t>Balance Sheet</t>
        </is>
      </c>
    </row>
    <row r="1992">
      <c r="B1992" s="39" t="n">
        <v>46078</v>
      </c>
      <c r="C1992" s="3" t="inlineStr">
        <is>
          <t>Bill Payment (Check)</t>
        </is>
      </c>
      <c r="D1992" s="3" t="inlineStr">
        <is>
          <t>10461</t>
        </is>
      </c>
      <c r="E1992" s="3" t="inlineStr">
        <is>
          <t>Vialtrace Lab Supplies Inc</t>
        </is>
      </c>
      <c r="F1992" s="3" t="inlineStr">
        <is>
          <t>Lab supplies PO# F2433</t>
        </is>
      </c>
      <c r="G1992" s="3" t="inlineStr">
        <is>
          <t>Checking – Operating</t>
        </is>
      </c>
      <c r="H1992" s="3" t="inlineStr">
        <is>
          <t>Accounts Payable</t>
        </is>
      </c>
      <c r="I1992" s="33" t="n">
        <v>-23482.06</v>
      </c>
      <c r="J1992" s="13">
        <f>+J1991+I1992</f>
        <v>282629.08</v>
      </c>
      <c r="K1992" s="19">
        <f>+EOMONTH(B1992,0)</f>
        <v>46081</v>
      </c>
      <c r="L1992" s="3" t="inlineStr">
        <is>
          <t>Accounts Payable</t>
        </is>
      </c>
      <c r="M1992" s="3" t="inlineStr">
        <is>
          <t>Balance Sheet</t>
        </is>
      </c>
    </row>
    <row r="1993">
      <c r="B1993" s="39" t="n">
        <v>46079</v>
      </c>
      <c r="C1993" s="3" t="inlineStr">
        <is>
          <t>Bill Payment (Check)</t>
        </is>
      </c>
      <c r="D1993" s="3" t="inlineStr">
        <is>
          <t>10505</t>
        </is>
      </c>
      <c r="E1993" s="3" t="inlineStr">
        <is>
          <t>Reference Lab A</t>
        </is>
      </c>
      <c r="F1993" s="3" t="inlineStr">
        <is>
          <t>Send-out testing – February</t>
        </is>
      </c>
      <c r="G1993" s="3" t="inlineStr">
        <is>
          <t>Checking – Operating</t>
        </is>
      </c>
      <c r="H1993" s="3" t="inlineStr">
        <is>
          <t>Accounts Payable</t>
        </is>
      </c>
      <c r="I1993" s="33" t="n">
        <v>-13761.51</v>
      </c>
      <c r="J1993" s="13">
        <f>+J1992+I1993</f>
        <v>268867.57</v>
      </c>
      <c r="K1993" s="19">
        <f>+EOMONTH(B1993,0)</f>
        <v>46081</v>
      </c>
      <c r="L1993" s="3" t="inlineStr">
        <is>
          <t>Accounts Payable</t>
        </is>
      </c>
      <c r="M1993" s="3" t="inlineStr">
        <is>
          <t>Balance Sheet</t>
        </is>
      </c>
    </row>
    <row r="1994">
      <c r="B1994" s="39" t="n">
        <v>46079</v>
      </c>
      <c r="C1994" s="3" t="inlineStr">
        <is>
          <t>Bill Payment (Check)</t>
        </is>
      </c>
      <c r="D1994" s="3" t="inlineStr">
        <is>
          <t>10637</t>
        </is>
      </c>
      <c r="E1994" s="3" t="inlineStr">
        <is>
          <t>Swiftmere Courier</t>
        </is>
      </c>
      <c r="F1994" s="3" t="inlineStr">
        <is>
          <t>Delivery and Transportation – January</t>
        </is>
      </c>
      <c r="G1994" s="3" t="inlineStr">
        <is>
          <t>Checking – Operating</t>
        </is>
      </c>
      <c r="H1994" s="3" t="inlineStr">
        <is>
          <t>Accounts Payable</t>
        </is>
      </c>
      <c r="I1994" s="33" t="n">
        <v>-3264.94</v>
      </c>
      <c r="J1994" s="13">
        <f>+J1993+I1994</f>
        <v>265602.63</v>
      </c>
      <c r="K1994" s="19">
        <f>+EOMONTH(B1994,0)</f>
        <v>46081</v>
      </c>
      <c r="L1994" s="3" t="inlineStr">
        <is>
          <t>Accounts Payable</t>
        </is>
      </c>
      <c r="M1994" s="3" t="inlineStr">
        <is>
          <t>Balance Sheet</t>
        </is>
      </c>
    </row>
    <row r="1995">
      <c r="B1995" s="39" t="n">
        <v>46080</v>
      </c>
      <c r="C1995" s="3" t="inlineStr">
        <is>
          <t>Bill</t>
        </is>
      </c>
      <c r="D1995" s="3" t="inlineStr"/>
      <c r="E1995" s="3" t="inlineStr">
        <is>
          <t>Union Utilities</t>
        </is>
      </c>
      <c r="F1995" s="3" t="inlineStr">
        <is>
          <t>Utilities – February</t>
        </is>
      </c>
      <c r="G1995" s="3" t="inlineStr">
        <is>
          <t>Utilities</t>
        </is>
      </c>
      <c r="H1995" s="3" t="inlineStr">
        <is>
          <t>Accounts Payable</t>
        </is>
      </c>
      <c r="I1995" s="33" t="n">
        <v>4039.57</v>
      </c>
      <c r="J1995" s="13">
        <f>+J1994+I1995</f>
        <v>269642.2</v>
      </c>
      <c r="K1995" s="19">
        <f>+EOMONTH(B1995,0)</f>
        <v>46081</v>
      </c>
      <c r="L1995" s="3" t="inlineStr">
        <is>
          <t>Accounts Payable</t>
        </is>
      </c>
      <c r="M1995" s="3" t="inlineStr">
        <is>
          <t>Balance Sheet</t>
        </is>
      </c>
    </row>
    <row r="1996">
      <c r="B1996" s="39" t="n">
        <v>46080</v>
      </c>
      <c r="C1996" s="3" t="inlineStr">
        <is>
          <t>Bill Payment (Check)</t>
        </is>
      </c>
      <c r="D1996" s="3" t="inlineStr">
        <is>
          <t>10669</t>
        </is>
      </c>
      <c r="E1996" s="3" t="inlineStr">
        <is>
          <t>Lumenlease Equipment</t>
        </is>
      </c>
      <c r="F1996" s="3" t="inlineStr">
        <is>
          <t>Lab Equipment – February</t>
        </is>
      </c>
      <c r="G1996" s="3" t="inlineStr">
        <is>
          <t>Checking – Operating</t>
        </is>
      </c>
      <c r="H1996" s="3" t="inlineStr">
        <is>
          <t>Accounts Payable</t>
        </is>
      </c>
      <c r="I1996" s="33" t="n">
        <v>-3196.8</v>
      </c>
      <c r="J1996" s="13">
        <f>+J1995+I1996</f>
        <v>266445.4</v>
      </c>
      <c r="K1996" s="19">
        <f>+EOMONTH(B1996,0)</f>
        <v>46081</v>
      </c>
      <c r="L1996" s="3" t="inlineStr">
        <is>
          <t>Accounts Payable</t>
        </is>
      </c>
      <c r="M1996" s="3" t="inlineStr">
        <is>
          <t>Balance Sheet</t>
        </is>
      </c>
    </row>
    <row r="1997">
      <c r="B1997" s="39" t="n">
        <v>46081</v>
      </c>
      <c r="C1997" s="3" t="inlineStr">
        <is>
          <t>Bill</t>
        </is>
      </c>
      <c r="D1997" s="3" t="inlineStr"/>
      <c r="E1997" s="3" t="inlineStr">
        <is>
          <t>Tarrowmere Mutual Insurance</t>
        </is>
      </c>
      <c r="F1997" s="3" t="inlineStr">
        <is>
          <t>Benefits – February</t>
        </is>
      </c>
      <c r="G1997" s="3" t="inlineStr">
        <is>
          <t>Benefits</t>
        </is>
      </c>
      <c r="H1997" s="3" t="inlineStr">
        <is>
          <t>Accounts Payable</t>
        </is>
      </c>
      <c r="I1997" s="33" t="n">
        <v>3391.27</v>
      </c>
      <c r="J1997" s="13">
        <f>+J1996+I1997</f>
        <v>269836.67</v>
      </c>
      <c r="K1997" s="19">
        <f>+EOMONTH(B1997,0)</f>
        <v>46081</v>
      </c>
      <c r="L1997" s="3" t="inlineStr">
        <is>
          <t>Accounts Payable</t>
        </is>
      </c>
      <c r="M1997" s="3" t="inlineStr">
        <is>
          <t>Balance Sheet</t>
        </is>
      </c>
    </row>
    <row r="1998">
      <c r="B1998" s="39" t="n">
        <v>46082</v>
      </c>
      <c r="C1998" s="3" t="inlineStr">
        <is>
          <t>Bill</t>
        </is>
      </c>
      <c r="D1998" s="3" t="inlineStr"/>
      <c r="E1998" s="3" t="inlineStr">
        <is>
          <t>Lumenlease Equipment</t>
        </is>
      </c>
      <c r="F1998" s="3" t="inlineStr">
        <is>
          <t>Lab Equipment – March</t>
        </is>
      </c>
      <c r="G1998" s="3" t="inlineStr">
        <is>
          <t>Lab Equipment</t>
        </is>
      </c>
      <c r="H1998" s="3" t="inlineStr">
        <is>
          <t>Accounts Payable</t>
        </is>
      </c>
      <c r="I1998" s="33" t="n">
        <v>2551.52</v>
      </c>
      <c r="J1998" s="13">
        <f>+J1997+I1998</f>
        <v>272388.19</v>
      </c>
      <c r="K1998" s="19">
        <f>+EOMONTH(B1998,0)</f>
        <v>46112</v>
      </c>
      <c r="L1998" s="3" t="inlineStr">
        <is>
          <t>Accounts Payable</t>
        </is>
      </c>
      <c r="M1998" s="3" t="inlineStr">
        <is>
          <t>Balance Sheet</t>
        </is>
      </c>
    </row>
    <row r="1999">
      <c r="B1999" s="39" t="n">
        <v>46082</v>
      </c>
      <c r="C1999" s="3" t="inlineStr">
        <is>
          <t>Bill</t>
        </is>
      </c>
      <c r="D1999" s="3" t="inlineStr"/>
      <c r="E1999" s="3" t="inlineStr">
        <is>
          <t>Tarrowmere Mutual Insurance</t>
        </is>
      </c>
      <c r="F1999" s="3" t="inlineStr">
        <is>
          <t>Benefits – March</t>
        </is>
      </c>
      <c r="G1999" s="3" t="inlineStr">
        <is>
          <t>Benefits</t>
        </is>
      </c>
      <c r="H1999" s="3" t="inlineStr">
        <is>
          <t>Accounts Payable</t>
        </is>
      </c>
      <c r="I1999" s="33" t="n">
        <v>4481.53</v>
      </c>
      <c r="J1999" s="13">
        <f>+J1998+I1999</f>
        <v>276869.72</v>
      </c>
      <c r="K1999" s="19">
        <f>+EOMONTH(B1999,0)</f>
        <v>46112</v>
      </c>
      <c r="L1999" s="3" t="inlineStr">
        <is>
          <t>Accounts Payable</t>
        </is>
      </c>
      <c r="M1999" s="3" t="inlineStr">
        <is>
          <t>Balance Sheet</t>
        </is>
      </c>
    </row>
    <row r="2000">
      <c r="B2000" s="39" t="n">
        <v>46082</v>
      </c>
      <c r="C2000" s="3" t="inlineStr">
        <is>
          <t>Bill Payment (Check)</t>
        </is>
      </c>
      <c r="D2000" s="3" t="inlineStr">
        <is>
          <t>10420</t>
        </is>
      </c>
      <c r="E2000" s="3" t="inlineStr">
        <is>
          <t>Vialtrace Lab Supplies Inc</t>
        </is>
      </c>
      <c r="F2000" s="3" t="inlineStr">
        <is>
          <t>Lab Expenses – February</t>
        </is>
      </c>
      <c r="G2000" s="3" t="inlineStr">
        <is>
          <t>Checking – Operating</t>
        </is>
      </c>
      <c r="H2000" s="3" t="inlineStr">
        <is>
          <t>Accounts Payable</t>
        </is>
      </c>
      <c r="I2000" s="33" t="n">
        <v>-3550.13</v>
      </c>
      <c r="J2000" s="13">
        <f>+J1999+I2000</f>
        <v>273319.59</v>
      </c>
      <c r="K2000" s="19">
        <f>+EOMONTH(B2000,0)</f>
        <v>46112</v>
      </c>
      <c r="L2000" s="3" t="inlineStr">
        <is>
          <t>Accounts Payable</t>
        </is>
      </c>
      <c r="M2000" s="3" t="inlineStr">
        <is>
          <t>Balance Sheet</t>
        </is>
      </c>
    </row>
    <row r="2001">
      <c r="B2001" s="39" t="n">
        <v>46083</v>
      </c>
      <c r="C2001" s="3" t="inlineStr">
        <is>
          <t>Bill</t>
        </is>
      </c>
      <c r="D2001" s="3" t="inlineStr"/>
      <c r="E2001" s="3" t="inlineStr">
        <is>
          <t>Swiftmere Courier</t>
        </is>
      </c>
      <c r="F2001" s="3" t="inlineStr">
        <is>
          <t>Delivery and Transportation – March</t>
        </is>
      </c>
      <c r="G2001" s="3" t="inlineStr">
        <is>
          <t>Delivery and Transportation</t>
        </is>
      </c>
      <c r="H2001" s="3" t="inlineStr">
        <is>
          <t>Accounts Payable</t>
        </is>
      </c>
      <c r="I2001" s="33" t="n">
        <v>3103.94</v>
      </c>
      <c r="J2001" s="13">
        <f>+J2000+I2001</f>
        <v>276423.53</v>
      </c>
      <c r="K2001" s="19">
        <f>+EOMONTH(B2001,0)</f>
        <v>46112</v>
      </c>
      <c r="L2001" s="3" t="inlineStr">
        <is>
          <t>Accounts Payable</t>
        </is>
      </c>
      <c r="M2001" s="3" t="inlineStr">
        <is>
          <t>Balance Sheet</t>
        </is>
      </c>
    </row>
    <row r="2002">
      <c r="B2002" s="39" t="n">
        <v>46083</v>
      </c>
      <c r="C2002" s="3" t="inlineStr">
        <is>
          <t>Bill</t>
        </is>
      </c>
      <c r="D2002" s="3" t="inlineStr"/>
      <c r="E2002" s="3" t="inlineStr">
        <is>
          <t>Swiftmere Courier</t>
        </is>
      </c>
      <c r="F2002" s="3" t="inlineStr">
        <is>
          <t>Delivery and Transportation – March</t>
        </is>
      </c>
      <c r="G2002" s="3" t="inlineStr">
        <is>
          <t>Delivery and Transportation</t>
        </is>
      </c>
      <c r="H2002" s="3" t="inlineStr">
        <is>
          <t>Accounts Payable</t>
        </is>
      </c>
      <c r="I2002" s="33" t="n">
        <v>4496.06</v>
      </c>
      <c r="J2002" s="13">
        <f>+J2001+I2002</f>
        <v>280919.59</v>
      </c>
      <c r="K2002" s="19">
        <f>+EOMONTH(B2002,0)</f>
        <v>46112</v>
      </c>
      <c r="L2002" s="3" t="inlineStr">
        <is>
          <t>Accounts Payable</t>
        </is>
      </c>
      <c r="M2002" s="3" t="inlineStr">
        <is>
          <t>Balance Sheet</t>
        </is>
      </c>
    </row>
    <row r="2003">
      <c r="B2003" s="39" t="n">
        <v>46083</v>
      </c>
      <c r="C2003" s="3" t="inlineStr">
        <is>
          <t>Bill Payment (Check)</t>
        </is>
      </c>
      <c r="D2003" s="3" t="inlineStr">
        <is>
          <t>11019</t>
        </is>
      </c>
      <c r="E2003" s="3" t="inlineStr">
        <is>
          <t>Northmoor Waste Services</t>
        </is>
      </c>
      <c r="F2003" s="3" t="inlineStr">
        <is>
          <t>Waste Removal – February</t>
        </is>
      </c>
      <c r="G2003" s="3" t="inlineStr">
        <is>
          <t>Checking – Operating</t>
        </is>
      </c>
      <c r="H2003" s="3" t="inlineStr">
        <is>
          <t>Accounts Payable</t>
        </is>
      </c>
      <c r="I2003" s="33" t="n">
        <v>-645.0700000000001</v>
      </c>
      <c r="J2003" s="13">
        <f>+J2002+I2003</f>
        <v>280274.52</v>
      </c>
      <c r="K2003" s="19">
        <f>+EOMONTH(B2003,0)</f>
        <v>46112</v>
      </c>
      <c r="L2003" s="3" t="inlineStr">
        <is>
          <t>Accounts Payable</t>
        </is>
      </c>
      <c r="M2003" s="3" t="inlineStr">
        <is>
          <t>Balance Sheet</t>
        </is>
      </c>
    </row>
    <row r="2004">
      <c r="B2004" s="39" t="n">
        <v>46084</v>
      </c>
      <c r="C2004" s="3" t="inlineStr">
        <is>
          <t>Bill</t>
        </is>
      </c>
      <c r="D2004" s="3" t="inlineStr"/>
      <c r="E2004" s="3" t="inlineStr">
        <is>
          <t>Vialtrace Lab Supplies Inc</t>
        </is>
      </c>
      <c r="F2004" s="3" t="inlineStr">
        <is>
          <t>Lab supplies PO# F2245</t>
        </is>
      </c>
      <c r="G2004" s="3" t="inlineStr">
        <is>
          <t>Lab Supplies</t>
        </is>
      </c>
      <c r="H2004" s="3" t="inlineStr">
        <is>
          <t>Accounts Payable</t>
        </is>
      </c>
      <c r="I2004" s="33" t="n">
        <v>38892.2</v>
      </c>
      <c r="J2004" s="13">
        <f>+J2003+I2004</f>
        <v>319166.72</v>
      </c>
      <c r="K2004" s="19">
        <f>+EOMONTH(B2004,0)</f>
        <v>46112</v>
      </c>
      <c r="L2004" s="3" t="inlineStr">
        <is>
          <t>Accounts Payable</t>
        </is>
      </c>
      <c r="M2004" s="3" t="inlineStr">
        <is>
          <t>Balance Sheet</t>
        </is>
      </c>
    </row>
    <row r="2005">
      <c r="B2005" s="39" t="n">
        <v>46084</v>
      </c>
      <c r="C2005" s="3" t="inlineStr">
        <is>
          <t>Bill</t>
        </is>
      </c>
      <c r="D2005" s="3" t="inlineStr"/>
      <c r="E2005" s="3" t="inlineStr">
        <is>
          <t>Halloway Ridge Realty (rent)</t>
        </is>
      </c>
      <c r="F2005" s="3" t="inlineStr">
        <is>
          <t>Rent – March</t>
        </is>
      </c>
      <c r="G2005" s="3" t="inlineStr">
        <is>
          <t>Rent Expense</t>
        </is>
      </c>
      <c r="H2005" s="3" t="inlineStr">
        <is>
          <t>Accounts Payable</t>
        </is>
      </c>
      <c r="I2005" s="33" t="n">
        <v>10492.81</v>
      </c>
      <c r="J2005" s="13">
        <f>+J2004+I2005</f>
        <v>329659.53</v>
      </c>
      <c r="K2005" s="19">
        <f>+EOMONTH(B2005,0)</f>
        <v>46112</v>
      </c>
      <c r="L2005" s="3" t="inlineStr">
        <is>
          <t>Accounts Payable</t>
        </is>
      </c>
      <c r="M2005" s="3" t="inlineStr">
        <is>
          <t>Balance Sheet</t>
        </is>
      </c>
    </row>
    <row r="2006">
      <c r="B2006" s="39" t="n">
        <v>46084</v>
      </c>
      <c r="C2006" s="3" t="inlineStr">
        <is>
          <t>Bill Payment (Check)</t>
        </is>
      </c>
      <c r="D2006" s="3" t="inlineStr">
        <is>
          <t>11139</t>
        </is>
      </c>
      <c r="E2006" s="3" t="inlineStr">
        <is>
          <t>Tarrowmere Mutual Insurance</t>
        </is>
      </c>
      <c r="F2006" s="3" t="inlineStr">
        <is>
          <t>Benefits – February</t>
        </is>
      </c>
      <c r="G2006" s="3" t="inlineStr">
        <is>
          <t>Checking – Operating</t>
        </is>
      </c>
      <c r="H2006" s="3" t="inlineStr">
        <is>
          <t>Accounts Payable</t>
        </is>
      </c>
      <c r="I2006" s="33" t="n">
        <v>-4992.61</v>
      </c>
      <c r="J2006" s="13">
        <f>+J2005+I2006</f>
        <v>324666.92</v>
      </c>
      <c r="K2006" s="19">
        <f>+EOMONTH(B2006,0)</f>
        <v>46112</v>
      </c>
      <c r="L2006" s="3" t="inlineStr">
        <is>
          <t>Accounts Payable</t>
        </is>
      </c>
      <c r="M2006" s="3" t="inlineStr">
        <is>
          <t>Balance Sheet</t>
        </is>
      </c>
    </row>
    <row r="2007">
      <c r="B2007" s="39" t="n">
        <v>46085</v>
      </c>
      <c r="C2007" s="3" t="inlineStr">
        <is>
          <t>Bill</t>
        </is>
      </c>
      <c r="D2007" s="3" t="inlineStr"/>
      <c r="E2007" s="3" t="inlineStr">
        <is>
          <t>Reagentix Corp</t>
        </is>
      </c>
      <c r="F2007" s="3" t="inlineStr">
        <is>
          <t>Lab Expenses – March</t>
        </is>
      </c>
      <c r="G2007" s="3" t="inlineStr">
        <is>
          <t>Lab Expenses</t>
        </is>
      </c>
      <c r="H2007" s="3" t="inlineStr">
        <is>
          <t>Accounts Payable</t>
        </is>
      </c>
      <c r="I2007" s="33" t="n">
        <v>4130.99</v>
      </c>
      <c r="J2007" s="13">
        <f>+J2006+I2007</f>
        <v>328797.91</v>
      </c>
      <c r="K2007" s="19">
        <f>+EOMONTH(B2007,0)</f>
        <v>46112</v>
      </c>
      <c r="L2007" s="3" t="inlineStr">
        <is>
          <t>Accounts Payable</t>
        </is>
      </c>
      <c r="M2007" s="3" t="inlineStr">
        <is>
          <t>Balance Sheet</t>
        </is>
      </c>
    </row>
    <row r="2008">
      <c r="B2008" s="39" t="n">
        <v>46085</v>
      </c>
      <c r="C2008" s="3" t="inlineStr">
        <is>
          <t>Bill</t>
        </is>
      </c>
      <c r="D2008" s="3" t="inlineStr"/>
      <c r="E2008" s="3" t="inlineStr">
        <is>
          <t>Halloway Ridge Realty (rent)</t>
        </is>
      </c>
      <c r="F2008" s="3" t="inlineStr">
        <is>
          <t>Rent – March</t>
        </is>
      </c>
      <c r="G2008" s="3" t="inlineStr">
        <is>
          <t>Rent Expense</t>
        </is>
      </c>
      <c r="H2008" s="3" t="inlineStr">
        <is>
          <t>Accounts Payable</t>
        </is>
      </c>
      <c r="I2008" s="33" t="n">
        <v>11243.15</v>
      </c>
      <c r="J2008" s="13">
        <f>+J2007+I2008</f>
        <v>340041.06</v>
      </c>
      <c r="K2008" s="19">
        <f>+EOMONTH(B2008,0)</f>
        <v>46112</v>
      </c>
      <c r="L2008" s="3" t="inlineStr">
        <is>
          <t>Accounts Payable</t>
        </is>
      </c>
      <c r="M2008" s="3" t="inlineStr">
        <is>
          <t>Balance Sheet</t>
        </is>
      </c>
    </row>
    <row r="2009">
      <c r="B2009" s="39" t="n">
        <v>46085</v>
      </c>
      <c r="C2009" s="3" t="inlineStr">
        <is>
          <t>Bill Payment (Check)</t>
        </is>
      </c>
      <c r="D2009" s="3" t="inlineStr">
        <is>
          <t>10640</t>
        </is>
      </c>
      <c r="E2009" s="3" t="inlineStr">
        <is>
          <t>Swiftmere Courier</t>
        </is>
      </c>
      <c r="F2009" s="3" t="inlineStr">
        <is>
          <t>Delivery and Transportation – February</t>
        </is>
      </c>
      <c r="G2009" s="3" t="inlineStr">
        <is>
          <t>Checking – Operating</t>
        </is>
      </c>
      <c r="H2009" s="3" t="inlineStr">
        <is>
          <t>Accounts Payable</t>
        </is>
      </c>
      <c r="I2009" s="33" t="n">
        <v>-3793.78</v>
      </c>
      <c r="J2009" s="13">
        <f>+J2008+I2009</f>
        <v>336247.28</v>
      </c>
      <c r="K2009" s="19">
        <f>+EOMONTH(B2009,0)</f>
        <v>46112</v>
      </c>
      <c r="L2009" s="3" t="inlineStr">
        <is>
          <t>Accounts Payable</t>
        </is>
      </c>
      <c r="M2009" s="3" t="inlineStr">
        <is>
          <t>Balance Sheet</t>
        </is>
      </c>
    </row>
    <row r="2010">
      <c r="B2010" s="39" t="n">
        <v>46085</v>
      </c>
      <c r="C2010" s="3" t="inlineStr">
        <is>
          <t>Bill Payment (Check)</t>
        </is>
      </c>
      <c r="D2010" s="3" t="inlineStr">
        <is>
          <t>10738</t>
        </is>
      </c>
      <c r="E2010" s="3" t="inlineStr">
        <is>
          <t>Lumenlease Equipment</t>
        </is>
      </c>
      <c r="F2010" s="3" t="inlineStr">
        <is>
          <t>Equipment Lease – February</t>
        </is>
      </c>
      <c r="G2010" s="3" t="inlineStr">
        <is>
          <t>Checking – Operating</t>
        </is>
      </c>
      <c r="H2010" s="3" t="inlineStr">
        <is>
          <t>Accounts Payable</t>
        </is>
      </c>
      <c r="I2010" s="33" t="n">
        <v>-3247.59</v>
      </c>
      <c r="J2010" s="13">
        <f>+J2009+I2010</f>
        <v>332999.69</v>
      </c>
      <c r="K2010" s="19">
        <f>+EOMONTH(B2010,0)</f>
        <v>46112</v>
      </c>
      <c r="L2010" s="3" t="inlineStr">
        <is>
          <t>Accounts Payable</t>
        </is>
      </c>
      <c r="M2010" s="3" t="inlineStr">
        <is>
          <t>Balance Sheet</t>
        </is>
      </c>
    </row>
    <row r="2011">
      <c r="B2011" s="39" t="n">
        <v>46086</v>
      </c>
      <c r="C2011" s="3" t="inlineStr">
        <is>
          <t>Bill</t>
        </is>
      </c>
      <c r="D2011" s="3" t="inlineStr"/>
      <c r="E2011" s="3" t="inlineStr">
        <is>
          <t>Tarrowmere Mutual Insurance</t>
        </is>
      </c>
      <c r="F2011" s="3" t="inlineStr">
        <is>
          <t>Premium installment</t>
        </is>
      </c>
      <c r="G2011" s="3" t="inlineStr">
        <is>
          <t>Insurance Expense</t>
        </is>
      </c>
      <c r="H2011" s="3" t="inlineStr">
        <is>
          <t>Accounts Payable</t>
        </is>
      </c>
      <c r="I2011" s="33" t="n">
        <v>8175.09</v>
      </c>
      <c r="J2011" s="13">
        <f>+J2010+I2011</f>
        <v>341174.78</v>
      </c>
      <c r="K2011" s="19">
        <f>+EOMONTH(B2011,0)</f>
        <v>46112</v>
      </c>
      <c r="L2011" s="3" t="inlineStr">
        <is>
          <t>Accounts Payable</t>
        </is>
      </c>
      <c r="M2011" s="3" t="inlineStr">
        <is>
          <t>Balance Sheet</t>
        </is>
      </c>
    </row>
    <row r="2012">
      <c r="B2012" s="39" t="n">
        <v>46086</v>
      </c>
      <c r="C2012" s="3" t="inlineStr">
        <is>
          <t>Bill</t>
        </is>
      </c>
      <c r="D2012" s="3" t="inlineStr"/>
      <c r="E2012" s="3" t="inlineStr">
        <is>
          <t>Halloway Ridge Realty (rent)</t>
        </is>
      </c>
      <c r="F2012" s="3" t="inlineStr">
        <is>
          <t>Rent – March</t>
        </is>
      </c>
      <c r="G2012" s="3" t="inlineStr">
        <is>
          <t>Rent Expense</t>
        </is>
      </c>
      <c r="H2012" s="3" t="inlineStr">
        <is>
          <t>Accounts Payable</t>
        </is>
      </c>
      <c r="I2012" s="33" t="n">
        <v>8793.969999999999</v>
      </c>
      <c r="J2012" s="13">
        <f>+J2011+I2012</f>
        <v>349968.75</v>
      </c>
      <c r="K2012" s="19">
        <f>+EOMONTH(B2012,0)</f>
        <v>46112</v>
      </c>
      <c r="L2012" s="3" t="inlineStr">
        <is>
          <t>Accounts Payable</t>
        </is>
      </c>
      <c r="M2012" s="3" t="inlineStr">
        <is>
          <t>Balance Sheet</t>
        </is>
      </c>
    </row>
    <row r="2013">
      <c r="B2013" s="39" t="n">
        <v>46086</v>
      </c>
      <c r="C2013" s="3" t="inlineStr">
        <is>
          <t>Bill</t>
        </is>
      </c>
      <c r="D2013" s="3" t="inlineStr"/>
      <c r="E2013" s="3" t="inlineStr">
        <is>
          <t>Ledgerquill Billing SaaS</t>
        </is>
      </c>
      <c r="F2013" s="3" t="inlineStr">
        <is>
          <t>Billing Software as a Service – March</t>
        </is>
      </c>
      <c r="G2013" s="3" t="inlineStr">
        <is>
          <t>Billing Software as a Service</t>
        </is>
      </c>
      <c r="H2013" s="3" t="inlineStr">
        <is>
          <t>Accounts Payable</t>
        </is>
      </c>
      <c r="I2013" s="33" t="n">
        <v>15462.2</v>
      </c>
      <c r="J2013" s="13">
        <f>+J2012+I2013</f>
        <v>365430.95</v>
      </c>
      <c r="K2013" s="19">
        <f>+EOMONTH(B2013,0)</f>
        <v>46112</v>
      </c>
      <c r="L2013" s="3" t="inlineStr">
        <is>
          <t>Accounts Payable</t>
        </is>
      </c>
      <c r="M2013" s="3" t="inlineStr">
        <is>
          <t>Balance Sheet</t>
        </is>
      </c>
    </row>
    <row r="2014">
      <c r="B2014" s="39" t="n">
        <v>46086</v>
      </c>
      <c r="C2014" s="3" t="inlineStr">
        <is>
          <t>Bill Payment (Check)</t>
        </is>
      </c>
      <c r="D2014" s="3" t="inlineStr">
        <is>
          <t>10900</t>
        </is>
      </c>
      <c r="E2014" s="3" t="inlineStr">
        <is>
          <t>Halloway Ridge Realty (rent)</t>
        </is>
      </c>
      <c r="F2014" s="3" t="inlineStr">
        <is>
          <t>Rent – February</t>
        </is>
      </c>
      <c r="G2014" s="3" t="inlineStr">
        <is>
          <t>Checking – Operating</t>
        </is>
      </c>
      <c r="H2014" s="3" t="inlineStr">
        <is>
          <t>Accounts Payable</t>
        </is>
      </c>
      <c r="I2014" s="33" t="n">
        <v>-21808.3</v>
      </c>
      <c r="J2014" s="13">
        <f>+J2013+I2014</f>
        <v>343622.65</v>
      </c>
      <c r="K2014" s="19">
        <f>+EOMONTH(B2014,0)</f>
        <v>46112</v>
      </c>
      <c r="L2014" s="3" t="inlineStr">
        <is>
          <t>Accounts Payable</t>
        </is>
      </c>
      <c r="M2014" s="3" t="inlineStr">
        <is>
          <t>Balance Sheet</t>
        </is>
      </c>
    </row>
    <row r="2015">
      <c r="B2015" s="39" t="n">
        <v>46087</v>
      </c>
      <c r="C2015" s="3" t="inlineStr">
        <is>
          <t>Bill</t>
        </is>
      </c>
      <c r="D2015" s="3" t="inlineStr"/>
      <c r="E2015" s="3" t="inlineStr">
        <is>
          <t>Lumenlease Equipment</t>
        </is>
      </c>
      <c r="F2015" s="3" t="inlineStr">
        <is>
          <t>Equipment Lease – March</t>
        </is>
      </c>
      <c r="G2015" s="3" t="inlineStr">
        <is>
          <t>Equipment Lease</t>
        </is>
      </c>
      <c r="H2015" s="3" t="inlineStr">
        <is>
          <t>Accounts Payable</t>
        </is>
      </c>
      <c r="I2015" s="33" t="n">
        <v>3740.96</v>
      </c>
      <c r="J2015" s="13">
        <f>+J2014+I2015</f>
        <v>347363.61</v>
      </c>
      <c r="K2015" s="19">
        <f>+EOMONTH(B2015,0)</f>
        <v>46112</v>
      </c>
      <c r="L2015" s="3" t="inlineStr">
        <is>
          <t>Accounts Payable</t>
        </is>
      </c>
      <c r="M2015" s="3" t="inlineStr">
        <is>
          <t>Balance Sheet</t>
        </is>
      </c>
    </row>
    <row r="2016">
      <c r="B2016" s="39" t="n">
        <v>46087</v>
      </c>
      <c r="C2016" s="3" t="inlineStr">
        <is>
          <t>Bill</t>
        </is>
      </c>
      <c r="D2016" s="3" t="inlineStr"/>
      <c r="E2016" s="3" t="inlineStr">
        <is>
          <t>Ledgerquill Billing SaaS</t>
        </is>
      </c>
      <c r="F2016" s="3" t="inlineStr">
        <is>
          <t>Billing Software as a Service – March</t>
        </is>
      </c>
      <c r="G2016" s="3" t="inlineStr">
        <is>
          <t>Billing Software as a Service</t>
        </is>
      </c>
      <c r="H2016" s="3" t="inlineStr">
        <is>
          <t>Accounts Payable</t>
        </is>
      </c>
      <c r="I2016" s="33" t="n">
        <v>9465.32</v>
      </c>
      <c r="J2016" s="13">
        <f>+J2015+I2016</f>
        <v>356828.93</v>
      </c>
      <c r="K2016" s="19">
        <f>+EOMONTH(B2016,0)</f>
        <v>46112</v>
      </c>
      <c r="L2016" s="3" t="inlineStr">
        <is>
          <t>Accounts Payable</t>
        </is>
      </c>
      <c r="M2016" s="3" t="inlineStr">
        <is>
          <t>Balance Sheet</t>
        </is>
      </c>
    </row>
    <row r="2017">
      <c r="B2017" s="39" t="n">
        <v>46087</v>
      </c>
      <c r="C2017" s="3" t="inlineStr">
        <is>
          <t>Bill Payment (Check)</t>
        </is>
      </c>
      <c r="D2017" s="3" t="inlineStr">
        <is>
          <t>10544</t>
        </is>
      </c>
      <c r="E2017" s="3" t="inlineStr">
        <is>
          <t>Reagentix Corp</t>
        </is>
      </c>
      <c r="F2017" s="3" t="inlineStr">
        <is>
          <t>Lab supplies PO# F2980</t>
        </is>
      </c>
      <c r="G2017" s="3" t="inlineStr">
        <is>
          <t>Checking – Operating</t>
        </is>
      </c>
      <c r="H2017" s="3" t="inlineStr">
        <is>
          <t>Accounts Payable</t>
        </is>
      </c>
      <c r="I2017" s="33" t="n">
        <v>-8781.370000000001</v>
      </c>
      <c r="J2017" s="13">
        <f>+J2016+I2017</f>
        <v>348047.56</v>
      </c>
      <c r="K2017" s="19">
        <f>+EOMONTH(B2017,0)</f>
        <v>46112</v>
      </c>
      <c r="L2017" s="3" t="inlineStr">
        <is>
          <t>Accounts Payable</t>
        </is>
      </c>
      <c r="M2017" s="3" t="inlineStr">
        <is>
          <t>Balance Sheet</t>
        </is>
      </c>
    </row>
    <row r="2018">
      <c r="B2018" s="39" t="n">
        <v>46087</v>
      </c>
      <c r="C2018" s="3" t="inlineStr">
        <is>
          <t>Bill Payment (Check)</t>
        </is>
      </c>
      <c r="D2018" s="3" t="inlineStr">
        <is>
          <t>10975</t>
        </is>
      </c>
      <c r="E2018" s="3" t="inlineStr">
        <is>
          <t>Northmoor Waste Services</t>
        </is>
      </c>
      <c r="F2018" s="3" t="inlineStr">
        <is>
          <t>Hazard Waste – February</t>
        </is>
      </c>
      <c r="G2018" s="3" t="inlineStr">
        <is>
          <t>Checking – Operating</t>
        </is>
      </c>
      <c r="H2018" s="3" t="inlineStr">
        <is>
          <t>Accounts Payable</t>
        </is>
      </c>
      <c r="I2018" s="33" t="n">
        <v>-635.16</v>
      </c>
      <c r="J2018" s="13">
        <f>+J2017+I2018</f>
        <v>347412.4</v>
      </c>
      <c r="K2018" s="19">
        <f>+EOMONTH(B2018,0)</f>
        <v>46112</v>
      </c>
      <c r="L2018" s="3" t="inlineStr">
        <is>
          <t>Accounts Payable</t>
        </is>
      </c>
      <c r="M2018" s="3" t="inlineStr">
        <is>
          <t>Balance Sheet</t>
        </is>
      </c>
    </row>
    <row r="2019">
      <c r="B2019" s="39" t="n">
        <v>46087</v>
      </c>
      <c r="C2019" s="3" t="inlineStr">
        <is>
          <t>Bill Payment (Check)</t>
        </is>
      </c>
      <c r="D2019" s="3" t="inlineStr">
        <is>
          <t>11331</t>
        </is>
      </c>
      <c r="E2019" s="3" t="inlineStr">
        <is>
          <t>Union Utilities</t>
        </is>
      </c>
      <c r="F2019" s="3" t="inlineStr">
        <is>
          <t>Utilities – February</t>
        </is>
      </c>
      <c r="G2019" s="3" t="inlineStr">
        <is>
          <t>Checking – Operating</t>
        </is>
      </c>
      <c r="H2019" s="3" t="inlineStr">
        <is>
          <t>Accounts Payable</t>
        </is>
      </c>
      <c r="I2019" s="33" t="n">
        <v>-3560.43</v>
      </c>
      <c r="J2019" s="13">
        <f>+J2018+I2019</f>
        <v>343851.97</v>
      </c>
      <c r="K2019" s="19">
        <f>+EOMONTH(B2019,0)</f>
        <v>46112</v>
      </c>
      <c r="L2019" s="3" t="inlineStr">
        <is>
          <t>Accounts Payable</t>
        </is>
      </c>
      <c r="M2019" s="3" t="inlineStr">
        <is>
          <t>Balance Sheet</t>
        </is>
      </c>
    </row>
    <row r="2020">
      <c r="B2020" s="39" t="n">
        <v>46088</v>
      </c>
      <c r="C2020" s="3" t="inlineStr">
        <is>
          <t>Bill</t>
        </is>
      </c>
      <c r="D2020" s="3" t="inlineStr"/>
      <c r="E2020" s="3" t="inlineStr">
        <is>
          <t>Ledgerquill Billing SaaS</t>
        </is>
      </c>
      <c r="F2020" s="3" t="inlineStr">
        <is>
          <t>Billing Software as a Service – March</t>
        </is>
      </c>
      <c r="G2020" s="3" t="inlineStr">
        <is>
          <t>Billing Software as a Service</t>
        </is>
      </c>
      <c r="H2020" s="3" t="inlineStr">
        <is>
          <t>Accounts Payable</t>
        </is>
      </c>
      <c r="I2020" s="33" t="n">
        <v>9041.620000000001</v>
      </c>
      <c r="J2020" s="13">
        <f>+J2019+I2020</f>
        <v>352893.59</v>
      </c>
      <c r="K2020" s="19">
        <f>+EOMONTH(B2020,0)</f>
        <v>46112</v>
      </c>
      <c r="L2020" s="3" t="inlineStr">
        <is>
          <t>Accounts Payable</t>
        </is>
      </c>
      <c r="M2020" s="3" t="inlineStr">
        <is>
          <t>Balance Sheet</t>
        </is>
      </c>
    </row>
    <row r="2021">
      <c r="B2021" s="39" t="n">
        <v>46089</v>
      </c>
      <c r="C2021" s="3" t="inlineStr">
        <is>
          <t>Bill</t>
        </is>
      </c>
      <c r="D2021" s="3" t="inlineStr"/>
      <c r="E2021" s="3" t="inlineStr">
        <is>
          <t>Tarrowmere Mutual Insurance</t>
        </is>
      </c>
      <c r="F2021" s="3" t="inlineStr">
        <is>
          <t>Premium installment</t>
        </is>
      </c>
      <c r="G2021" s="3" t="inlineStr">
        <is>
          <t>Insurance Expense</t>
        </is>
      </c>
      <c r="H2021" s="3" t="inlineStr">
        <is>
          <t>Accounts Payable</t>
        </is>
      </c>
      <c r="I2021" s="33" t="n">
        <v>5608.13</v>
      </c>
      <c r="J2021" s="13">
        <f>+J2020+I2021</f>
        <v>358501.72</v>
      </c>
      <c r="K2021" s="19">
        <f>+EOMONTH(B2021,0)</f>
        <v>46112</v>
      </c>
      <c r="L2021" s="3" t="inlineStr">
        <is>
          <t>Accounts Payable</t>
        </is>
      </c>
      <c r="M2021" s="3" t="inlineStr">
        <is>
          <t>Balance Sheet</t>
        </is>
      </c>
    </row>
    <row r="2022">
      <c r="B2022" s="39" t="n">
        <v>46089</v>
      </c>
      <c r="C2022" s="3" t="inlineStr">
        <is>
          <t>Bill Payment (Check)</t>
        </is>
      </c>
      <c r="D2022" s="3" t="inlineStr">
        <is>
          <t>10506</t>
        </is>
      </c>
      <c r="E2022" s="3" t="inlineStr">
        <is>
          <t>Reference Lab A</t>
        </is>
      </c>
      <c r="F2022" s="3" t="inlineStr">
        <is>
          <t>Send-out testing – February</t>
        </is>
      </c>
      <c r="G2022" s="3" t="inlineStr">
        <is>
          <t>Checking – Operating</t>
        </is>
      </c>
      <c r="H2022" s="3" t="inlineStr">
        <is>
          <t>Accounts Payable</t>
        </is>
      </c>
      <c r="I2022" s="33" t="n">
        <v>-15235.33</v>
      </c>
      <c r="J2022" s="13">
        <f>+J2021+I2022</f>
        <v>343266.39</v>
      </c>
      <c r="K2022" s="19">
        <f>+EOMONTH(B2022,0)</f>
        <v>46112</v>
      </c>
      <c r="L2022" s="3" t="inlineStr">
        <is>
          <t>Accounts Payable</t>
        </is>
      </c>
      <c r="M2022" s="3" t="inlineStr">
        <is>
          <t>Balance Sheet</t>
        </is>
      </c>
    </row>
    <row r="2023">
      <c r="B2023" s="39" t="n">
        <v>46090</v>
      </c>
      <c r="C2023" s="3" t="inlineStr">
        <is>
          <t>Bill</t>
        </is>
      </c>
      <c r="D2023" s="3" t="inlineStr"/>
      <c r="E2023" s="3" t="inlineStr">
        <is>
          <t>Ledgerquill Billing SaaS</t>
        </is>
      </c>
      <c r="F2023" s="3" t="inlineStr">
        <is>
          <t>Billing Software as a Service – March</t>
        </is>
      </c>
      <c r="G2023" s="3" t="inlineStr">
        <is>
          <t>Billing Software as a Service</t>
        </is>
      </c>
      <c r="H2023" s="3" t="inlineStr">
        <is>
          <t>Accounts Payable</t>
        </is>
      </c>
      <c r="I2023" s="33" t="n">
        <v>17857.99</v>
      </c>
      <c r="J2023" s="13">
        <f>+J2022+I2023</f>
        <v>361124.38</v>
      </c>
      <c r="K2023" s="19">
        <f>+EOMONTH(B2023,0)</f>
        <v>46112</v>
      </c>
      <c r="L2023" s="3" t="inlineStr">
        <is>
          <t>Accounts Payable</t>
        </is>
      </c>
      <c r="M2023" s="3" t="inlineStr">
        <is>
          <t>Balance Sheet</t>
        </is>
      </c>
    </row>
    <row r="2024">
      <c r="B2024" s="39" t="n">
        <v>46091</v>
      </c>
      <c r="C2024" s="3" t="inlineStr">
        <is>
          <t>Bill</t>
        </is>
      </c>
      <c r="D2024" s="3" t="inlineStr"/>
      <c r="E2024" s="3" t="inlineStr">
        <is>
          <t>Northmoor Waste Services</t>
        </is>
      </c>
      <c r="F2024" s="3" t="inlineStr">
        <is>
          <t>Waste Removal – March</t>
        </is>
      </c>
      <c r="G2024" s="3" t="inlineStr">
        <is>
          <t>Waste Removal</t>
        </is>
      </c>
      <c r="H2024" s="3" t="inlineStr">
        <is>
          <t>Accounts Payable</t>
        </is>
      </c>
      <c r="I2024" s="33" t="n">
        <v>547.26</v>
      </c>
      <c r="J2024" s="13">
        <f>+J2023+I2024</f>
        <v>361671.64</v>
      </c>
      <c r="K2024" s="19">
        <f>+EOMONTH(B2024,0)</f>
        <v>46112</v>
      </c>
      <c r="L2024" s="3" t="inlineStr">
        <is>
          <t>Accounts Payable</t>
        </is>
      </c>
      <c r="M2024" s="3" t="inlineStr">
        <is>
          <t>Balance Sheet</t>
        </is>
      </c>
    </row>
    <row r="2025">
      <c r="B2025" s="39" t="n">
        <v>46091</v>
      </c>
      <c r="C2025" s="3" t="inlineStr">
        <is>
          <t>Bill Payment (Check)</t>
        </is>
      </c>
      <c r="D2025" s="3" t="inlineStr">
        <is>
          <t>10690</t>
        </is>
      </c>
      <c r="E2025" s="3" t="inlineStr">
        <is>
          <t>Tarrowmere Mutual Insurance</t>
        </is>
      </c>
      <c r="F2025" s="3" t="inlineStr">
        <is>
          <t>Premium installment</t>
        </is>
      </c>
      <c r="G2025" s="3" t="inlineStr">
        <is>
          <t>Checking – Operating</t>
        </is>
      </c>
      <c r="H2025" s="3" t="inlineStr">
        <is>
          <t>Accounts Payable</t>
        </is>
      </c>
      <c r="I2025" s="33" t="n">
        <v>-4451.08</v>
      </c>
      <c r="J2025" s="13">
        <f>+J2024+I2025</f>
        <v>357220.56</v>
      </c>
      <c r="K2025" s="19">
        <f>+EOMONTH(B2025,0)</f>
        <v>46112</v>
      </c>
      <c r="L2025" s="3" t="inlineStr">
        <is>
          <t>Accounts Payable</t>
        </is>
      </c>
      <c r="M2025" s="3" t="inlineStr">
        <is>
          <t>Balance Sheet</t>
        </is>
      </c>
    </row>
    <row r="2026">
      <c r="B2026" s="39" t="n">
        <v>46091</v>
      </c>
      <c r="C2026" s="3" t="inlineStr">
        <is>
          <t>Bill Payment (Check)</t>
        </is>
      </c>
      <c r="D2026" s="3" t="inlineStr">
        <is>
          <t>10739</t>
        </is>
      </c>
      <c r="E2026" s="3" t="inlineStr">
        <is>
          <t>Lumenlease Equipment</t>
        </is>
      </c>
      <c r="F2026" s="3" t="inlineStr">
        <is>
          <t>Equipment Lease – February</t>
        </is>
      </c>
      <c r="G2026" s="3" t="inlineStr">
        <is>
          <t>Checking – Operating</t>
        </is>
      </c>
      <c r="H2026" s="3" t="inlineStr">
        <is>
          <t>Accounts Payable</t>
        </is>
      </c>
      <c r="I2026" s="33" t="n">
        <v>-3552.41</v>
      </c>
      <c r="J2026" s="13">
        <f>+J2025+I2026</f>
        <v>353668.15</v>
      </c>
      <c r="K2026" s="19">
        <f>+EOMONTH(B2026,0)</f>
        <v>46112</v>
      </c>
      <c r="L2026" s="3" t="inlineStr">
        <is>
          <t>Accounts Payable</t>
        </is>
      </c>
      <c r="M2026" s="3" t="inlineStr">
        <is>
          <t>Balance Sheet</t>
        </is>
      </c>
    </row>
    <row r="2027">
      <c r="B2027" s="39" t="n">
        <v>46091</v>
      </c>
      <c r="C2027" s="3" t="inlineStr">
        <is>
          <t>Bill Payment (Check)</t>
        </is>
      </c>
      <c r="D2027" s="3" t="inlineStr">
        <is>
          <t>11020</t>
        </is>
      </c>
      <c r="E2027" s="3" t="inlineStr">
        <is>
          <t>Northmoor Waste Services</t>
        </is>
      </c>
      <c r="F2027" s="3" t="inlineStr">
        <is>
          <t>Waste Removal – February</t>
        </is>
      </c>
      <c r="G2027" s="3" t="inlineStr">
        <is>
          <t>Checking – Operating</t>
        </is>
      </c>
      <c r="H2027" s="3" t="inlineStr">
        <is>
          <t>Accounts Payable</t>
        </is>
      </c>
      <c r="I2027" s="33" t="n">
        <v>-554.9299999999999</v>
      </c>
      <c r="J2027" s="13">
        <f>+J2026+I2027</f>
        <v>353113.22</v>
      </c>
      <c r="K2027" s="19">
        <f>+EOMONTH(B2027,0)</f>
        <v>46112</v>
      </c>
      <c r="L2027" s="3" t="inlineStr">
        <is>
          <t>Accounts Payable</t>
        </is>
      </c>
      <c r="M2027" s="3" t="inlineStr">
        <is>
          <t>Balance Sheet</t>
        </is>
      </c>
    </row>
    <row r="2028">
      <c r="B2028" s="39" t="n">
        <v>46091</v>
      </c>
      <c r="C2028" s="3" t="inlineStr">
        <is>
          <t>Bill Payment (Check)</t>
        </is>
      </c>
      <c r="D2028" s="3" t="inlineStr">
        <is>
          <t>11223</t>
        </is>
      </c>
      <c r="E2028" s="3" t="inlineStr">
        <is>
          <t>Ledgerquill Billing SaaS</t>
        </is>
      </c>
      <c r="F2028" s="3" t="inlineStr">
        <is>
          <t>Billing Software as a Service – February</t>
        </is>
      </c>
      <c r="G2028" s="3" t="inlineStr">
        <is>
          <t>Checking – Operating</t>
        </is>
      </c>
      <c r="H2028" s="3" t="inlineStr">
        <is>
          <t>Accounts Payable</t>
        </is>
      </c>
      <c r="I2028" s="33" t="n">
        <v>-23065.49</v>
      </c>
      <c r="J2028" s="13">
        <f>+J2027+I2028</f>
        <v>330047.73</v>
      </c>
      <c r="K2028" s="19">
        <f>+EOMONTH(B2028,0)</f>
        <v>46112</v>
      </c>
      <c r="L2028" s="3" t="inlineStr">
        <is>
          <t>Accounts Payable</t>
        </is>
      </c>
      <c r="M2028" s="3" t="inlineStr">
        <is>
          <t>Balance Sheet</t>
        </is>
      </c>
    </row>
    <row r="2029">
      <c r="B2029" s="39" t="n">
        <v>46091</v>
      </c>
      <c r="C2029" s="3" t="inlineStr">
        <is>
          <t>Bill Payment (Check)</t>
        </is>
      </c>
      <c r="D2029" s="3" t="inlineStr">
        <is>
          <t>11332</t>
        </is>
      </c>
      <c r="E2029" s="3" t="inlineStr">
        <is>
          <t>Union Utilities</t>
        </is>
      </c>
      <c r="F2029" s="3" t="inlineStr">
        <is>
          <t>Utilities – February</t>
        </is>
      </c>
      <c r="G2029" s="3" t="inlineStr">
        <is>
          <t>Checking – Operating</t>
        </is>
      </c>
      <c r="H2029" s="3" t="inlineStr">
        <is>
          <t>Accounts Payable</t>
        </is>
      </c>
      <c r="I2029" s="33" t="n">
        <v>-4039.57</v>
      </c>
      <c r="J2029" s="13">
        <f>+J2028+I2029</f>
        <v>326008.16</v>
      </c>
      <c r="K2029" s="19">
        <f>+EOMONTH(B2029,0)</f>
        <v>46112</v>
      </c>
      <c r="L2029" s="3" t="inlineStr">
        <is>
          <t>Accounts Payable</t>
        </is>
      </c>
      <c r="M2029" s="3" t="inlineStr">
        <is>
          <t>Balance Sheet</t>
        </is>
      </c>
    </row>
    <row r="2030">
      <c r="B2030" s="39" t="n">
        <v>46092</v>
      </c>
      <c r="C2030" s="3" t="inlineStr">
        <is>
          <t>Bill</t>
        </is>
      </c>
      <c r="D2030" s="3" t="inlineStr"/>
      <c r="E2030" s="3" t="inlineStr">
        <is>
          <t>Vialtrace Lab Supplies Inc</t>
        </is>
      </c>
      <c r="F2030" s="3" t="inlineStr">
        <is>
          <t>Lab supplies PO# F2428</t>
        </is>
      </c>
      <c r="G2030" s="3" t="inlineStr">
        <is>
          <t>Lab Supplies</t>
        </is>
      </c>
      <c r="H2030" s="3" t="inlineStr">
        <is>
          <t>Accounts Payable</t>
        </is>
      </c>
      <c r="I2030" s="33" t="n">
        <v>35431.81</v>
      </c>
      <c r="J2030" s="13">
        <f>+J2029+I2030</f>
        <v>361439.97</v>
      </c>
      <c r="K2030" s="19">
        <f>+EOMONTH(B2030,0)</f>
        <v>46112</v>
      </c>
      <c r="L2030" s="3" t="inlineStr">
        <is>
          <t>Accounts Payable</t>
        </is>
      </c>
      <c r="M2030" s="3" t="inlineStr">
        <is>
          <t>Balance Sheet</t>
        </is>
      </c>
    </row>
    <row r="2031">
      <c r="B2031" s="39" t="n">
        <v>46092</v>
      </c>
      <c r="C2031" s="3" t="inlineStr">
        <is>
          <t>Bill</t>
        </is>
      </c>
      <c r="D2031" s="3" t="inlineStr"/>
      <c r="E2031" s="3" t="inlineStr">
        <is>
          <t>Reagentix Corp</t>
        </is>
      </c>
      <c r="F2031" s="3" t="inlineStr">
        <is>
          <t>Lab supplies PO# F2882</t>
        </is>
      </c>
      <c r="G2031" s="3" t="inlineStr">
        <is>
          <t>Reagents</t>
        </is>
      </c>
      <c r="H2031" s="3" t="inlineStr">
        <is>
          <t>Accounts Payable</t>
        </is>
      </c>
      <c r="I2031" s="33" t="n">
        <v>10975.39</v>
      </c>
      <c r="J2031" s="13">
        <f>+J2030+I2031</f>
        <v>372415.36</v>
      </c>
      <c r="K2031" s="19">
        <f>+EOMONTH(B2031,0)</f>
        <v>46112</v>
      </c>
      <c r="L2031" s="3" t="inlineStr">
        <is>
          <t>Accounts Payable</t>
        </is>
      </c>
      <c r="M2031" s="3" t="inlineStr">
        <is>
          <t>Balance Sheet</t>
        </is>
      </c>
    </row>
    <row r="2032">
      <c r="B2032" s="39" t="n">
        <v>46092</v>
      </c>
      <c r="C2032" s="3" t="inlineStr">
        <is>
          <t>Bill</t>
        </is>
      </c>
      <c r="D2032" s="3" t="inlineStr"/>
      <c r="E2032" s="3" t="inlineStr">
        <is>
          <t>Northmoor Waste Services</t>
        </is>
      </c>
      <c r="F2032" s="3" t="inlineStr">
        <is>
          <t>Hazard Waste – March</t>
        </is>
      </c>
      <c r="G2032" s="3" t="inlineStr">
        <is>
          <t>Hazard Waste</t>
        </is>
      </c>
      <c r="H2032" s="3" t="inlineStr">
        <is>
          <t>Accounts Payable</t>
        </is>
      </c>
      <c r="I2032" s="33" t="n">
        <v>1028.13</v>
      </c>
      <c r="J2032" s="13">
        <f>+J2031+I2032</f>
        <v>373443.49</v>
      </c>
      <c r="K2032" s="19">
        <f>+EOMONTH(B2032,0)</f>
        <v>46112</v>
      </c>
      <c r="L2032" s="3" t="inlineStr">
        <is>
          <t>Accounts Payable</t>
        </is>
      </c>
      <c r="M2032" s="3" t="inlineStr">
        <is>
          <t>Balance Sheet</t>
        </is>
      </c>
    </row>
    <row r="2033">
      <c r="B2033" s="39" t="n">
        <v>46092</v>
      </c>
      <c r="C2033" s="3" t="inlineStr">
        <is>
          <t>Bill</t>
        </is>
      </c>
      <c r="D2033" s="3" t="inlineStr"/>
      <c r="E2033" s="3" t="inlineStr">
        <is>
          <t>Tarrowmere Mutual Insurance</t>
        </is>
      </c>
      <c r="F2033" s="3" t="inlineStr">
        <is>
          <t>Benefits – March</t>
        </is>
      </c>
      <c r="G2033" s="3" t="inlineStr">
        <is>
          <t>Benefits</t>
        </is>
      </c>
      <c r="H2033" s="3" t="inlineStr">
        <is>
          <t>Accounts Payable</t>
        </is>
      </c>
      <c r="I2033" s="33" t="n">
        <v>5651.73</v>
      </c>
      <c r="J2033" s="13">
        <f>+J2032+I2033</f>
        <v>379095.22</v>
      </c>
      <c r="K2033" s="19">
        <f>+EOMONTH(B2033,0)</f>
        <v>46112</v>
      </c>
      <c r="L2033" s="3" t="inlineStr">
        <is>
          <t>Accounts Payable</t>
        </is>
      </c>
      <c r="M2033" s="3" t="inlineStr">
        <is>
          <t>Balance Sheet</t>
        </is>
      </c>
    </row>
    <row r="2034">
      <c r="B2034" s="39" t="n">
        <v>46092</v>
      </c>
      <c r="C2034" s="3" t="inlineStr">
        <is>
          <t>Bill</t>
        </is>
      </c>
      <c r="D2034" s="3" t="inlineStr"/>
      <c r="E2034" s="3" t="inlineStr">
        <is>
          <t>Union Utilities</t>
        </is>
      </c>
      <c r="F2034" s="3" t="inlineStr">
        <is>
          <t>Utilities – March</t>
        </is>
      </c>
      <c r="G2034" s="3" t="inlineStr">
        <is>
          <t>Utilities</t>
        </is>
      </c>
      <c r="H2034" s="3" t="inlineStr">
        <is>
          <t>Accounts Payable</t>
        </is>
      </c>
      <c r="I2034" s="33" t="n">
        <v>3642.13</v>
      </c>
      <c r="J2034" s="13">
        <f>+J2033+I2034</f>
        <v>382737.35</v>
      </c>
      <c r="K2034" s="19">
        <f>+EOMONTH(B2034,0)</f>
        <v>46112</v>
      </c>
      <c r="L2034" s="3" t="inlineStr">
        <is>
          <t>Accounts Payable</t>
        </is>
      </c>
      <c r="M2034" s="3" t="inlineStr">
        <is>
          <t>Balance Sheet</t>
        </is>
      </c>
    </row>
    <row r="2035">
      <c r="B2035" s="39" t="n">
        <v>46092</v>
      </c>
      <c r="C2035" s="3" t="inlineStr">
        <is>
          <t>Bill Payment (Check)</t>
        </is>
      </c>
      <c r="D2035" s="3" t="inlineStr">
        <is>
          <t>10418</t>
        </is>
      </c>
      <c r="E2035" s="3" t="inlineStr">
        <is>
          <t>Vialtrace Lab Supplies Inc</t>
        </is>
      </c>
      <c r="F2035" s="3" t="inlineStr">
        <is>
          <t>Lab Expenses – February</t>
        </is>
      </c>
      <c r="G2035" s="3" t="inlineStr">
        <is>
          <t>Checking – Operating</t>
        </is>
      </c>
      <c r="H2035" s="3" t="inlineStr">
        <is>
          <t>Accounts Payable</t>
        </is>
      </c>
      <c r="I2035" s="33" t="n">
        <v>-5780.13</v>
      </c>
      <c r="J2035" s="13">
        <f>+J2034+I2035</f>
        <v>376957.22</v>
      </c>
      <c r="K2035" s="19">
        <f>+EOMONTH(B2035,0)</f>
        <v>46112</v>
      </c>
      <c r="L2035" s="3" t="inlineStr">
        <is>
          <t>Accounts Payable</t>
        </is>
      </c>
      <c r="M2035" s="3" t="inlineStr">
        <is>
          <t>Balance Sheet</t>
        </is>
      </c>
    </row>
    <row r="2036">
      <c r="B2036" s="39" t="n">
        <v>46092</v>
      </c>
      <c r="C2036" s="3" t="inlineStr">
        <is>
          <t>Bill Payment (Check)</t>
        </is>
      </c>
      <c r="D2036" s="3" t="inlineStr">
        <is>
          <t>10419</t>
        </is>
      </c>
      <c r="E2036" s="3" t="inlineStr">
        <is>
          <t>Vialtrace Lab Supplies Inc</t>
        </is>
      </c>
      <c r="F2036" s="3" t="inlineStr">
        <is>
          <t>Lab Expenses – February</t>
        </is>
      </c>
      <c r="G2036" s="3" t="inlineStr">
        <is>
          <t>Checking – Operating</t>
        </is>
      </c>
      <c r="H2036" s="3" t="inlineStr">
        <is>
          <t>Accounts Payable</t>
        </is>
      </c>
      <c r="I2036" s="33" t="n">
        <v>-3506.29</v>
      </c>
      <c r="J2036" s="13">
        <f>+J2035+I2036</f>
        <v>373450.93</v>
      </c>
      <c r="K2036" s="19">
        <f>+EOMONTH(B2036,0)</f>
        <v>46112</v>
      </c>
      <c r="L2036" s="3" t="inlineStr">
        <is>
          <t>Accounts Payable</t>
        </is>
      </c>
      <c r="M2036" s="3" t="inlineStr">
        <is>
          <t>Balance Sheet</t>
        </is>
      </c>
    </row>
    <row r="2037">
      <c r="B2037" s="39" t="n">
        <v>46092</v>
      </c>
      <c r="C2037" s="3" t="inlineStr">
        <is>
          <t>Bill Payment (Check)</t>
        </is>
      </c>
      <c r="D2037" s="3" t="inlineStr">
        <is>
          <t>10901</t>
        </is>
      </c>
      <c r="E2037" s="3" t="inlineStr">
        <is>
          <t>Halloway Ridge Realty (rent)</t>
        </is>
      </c>
      <c r="F2037" s="3" t="inlineStr">
        <is>
          <t>Rent – February</t>
        </is>
      </c>
      <c r="G2037" s="3" t="inlineStr">
        <is>
          <t>Checking – Operating</t>
        </is>
      </c>
      <c r="H2037" s="3" t="inlineStr">
        <is>
          <t>Accounts Payable</t>
        </is>
      </c>
      <c r="I2037" s="33" t="n">
        <v>-11384.59</v>
      </c>
      <c r="J2037" s="13">
        <f>+J2036+I2037</f>
        <v>362066.34</v>
      </c>
      <c r="K2037" s="19">
        <f>+EOMONTH(B2037,0)</f>
        <v>46112</v>
      </c>
      <c r="L2037" s="3" t="inlineStr">
        <is>
          <t>Accounts Payable</t>
        </is>
      </c>
      <c r="M2037" s="3" t="inlineStr">
        <is>
          <t>Balance Sheet</t>
        </is>
      </c>
    </row>
    <row r="2038">
      <c r="B2038" s="39" t="n">
        <v>46092</v>
      </c>
      <c r="C2038" s="3" t="inlineStr">
        <is>
          <t>Bill Payment (Check)</t>
        </is>
      </c>
      <c r="D2038" s="3" t="inlineStr">
        <is>
          <t>10902</t>
        </is>
      </c>
      <c r="E2038" s="3" t="inlineStr">
        <is>
          <t>Halloway Ridge Realty (rent)</t>
        </is>
      </c>
      <c r="F2038" s="3" t="inlineStr">
        <is>
          <t>Rent – February</t>
        </is>
      </c>
      <c r="G2038" s="3" t="inlineStr">
        <is>
          <t>Checking – Operating</t>
        </is>
      </c>
      <c r="H2038" s="3" t="inlineStr">
        <is>
          <t>Accounts Payable</t>
        </is>
      </c>
      <c r="I2038" s="33" t="n">
        <v>-13307.11</v>
      </c>
      <c r="J2038" s="13">
        <f>+J2037+I2038</f>
        <v>348759.23</v>
      </c>
      <c r="K2038" s="19">
        <f>+EOMONTH(B2038,0)</f>
        <v>46112</v>
      </c>
      <c r="L2038" s="3" t="inlineStr">
        <is>
          <t>Accounts Payable</t>
        </is>
      </c>
      <c r="M2038" s="3" t="inlineStr">
        <is>
          <t>Balance Sheet</t>
        </is>
      </c>
    </row>
    <row r="2039">
      <c r="B2039" s="39" t="n">
        <v>46093</v>
      </c>
      <c r="C2039" s="3" t="inlineStr">
        <is>
          <t>Bill Payment (Check)</t>
        </is>
      </c>
      <c r="D2039" s="3" t="inlineStr">
        <is>
          <t>10671</t>
        </is>
      </c>
      <c r="E2039" s="3" t="inlineStr">
        <is>
          <t>Lumenlease Equipment</t>
        </is>
      </c>
      <c r="F2039" s="3" t="inlineStr">
        <is>
          <t>Lab Equipment – March</t>
        </is>
      </c>
      <c r="G2039" s="3" t="inlineStr">
        <is>
          <t>Checking – Operating</t>
        </is>
      </c>
      <c r="H2039" s="3" t="inlineStr">
        <is>
          <t>Accounts Payable</t>
        </is>
      </c>
      <c r="I2039" s="33" t="n">
        <v>-2551.52</v>
      </c>
      <c r="J2039" s="13">
        <f>+J2038+I2039</f>
        <v>346207.71</v>
      </c>
      <c r="K2039" s="19">
        <f>+EOMONTH(B2039,0)</f>
        <v>46112</v>
      </c>
      <c r="L2039" s="3" t="inlineStr">
        <is>
          <t>Accounts Payable</t>
        </is>
      </c>
      <c r="M2039" s="3" t="inlineStr">
        <is>
          <t>Balance Sheet</t>
        </is>
      </c>
    </row>
    <row r="2040">
      <c r="B2040" s="39" t="n">
        <v>46093</v>
      </c>
      <c r="C2040" s="3" t="inlineStr">
        <is>
          <t>Bill Payment (Check)</t>
        </is>
      </c>
      <c r="D2040" s="3" t="inlineStr">
        <is>
          <t>10694</t>
        </is>
      </c>
      <c r="E2040" s="3" t="inlineStr">
        <is>
          <t>Tarrowmere Mutual Insurance</t>
        </is>
      </c>
      <c r="F2040" s="3" t="inlineStr">
        <is>
          <t>Premium installment</t>
        </is>
      </c>
      <c r="G2040" s="3" t="inlineStr">
        <is>
          <t>Checking – Operating</t>
        </is>
      </c>
      <c r="H2040" s="3" t="inlineStr">
        <is>
          <t>Accounts Payable</t>
        </is>
      </c>
      <c r="I2040" s="33" t="n">
        <v>-3241.47</v>
      </c>
      <c r="J2040" s="13">
        <f>+J2039+I2040</f>
        <v>342966.24</v>
      </c>
      <c r="K2040" s="19">
        <f>+EOMONTH(B2040,0)</f>
        <v>46112</v>
      </c>
      <c r="L2040" s="3" t="inlineStr">
        <is>
          <t>Accounts Payable</t>
        </is>
      </c>
      <c r="M2040" s="3" t="inlineStr">
        <is>
          <t>Balance Sheet</t>
        </is>
      </c>
    </row>
    <row r="2041">
      <c r="B2041" s="39" t="n">
        <v>46094</v>
      </c>
      <c r="C2041" s="3" t="inlineStr">
        <is>
          <t>Bill</t>
        </is>
      </c>
      <c r="D2041" s="3" t="inlineStr"/>
      <c r="E2041" s="3" t="inlineStr">
        <is>
          <t>Reagentix Corp</t>
        </is>
      </c>
      <c r="F2041" s="3" t="inlineStr">
        <is>
          <t>Lab supplies PO# F2949</t>
        </is>
      </c>
      <c r="G2041" s="3" t="inlineStr">
        <is>
          <t>Reagents</t>
        </is>
      </c>
      <c r="H2041" s="3" t="inlineStr">
        <is>
          <t>Accounts Payable</t>
        </is>
      </c>
      <c r="I2041" s="33" t="n">
        <v>12831.77</v>
      </c>
      <c r="J2041" s="13">
        <f>+J2040+I2041</f>
        <v>355798.01</v>
      </c>
      <c r="K2041" s="19">
        <f>+EOMONTH(B2041,0)</f>
        <v>46112</v>
      </c>
      <c r="L2041" s="3" t="inlineStr">
        <is>
          <t>Accounts Payable</t>
        </is>
      </c>
      <c r="M2041" s="3" t="inlineStr">
        <is>
          <t>Balance Sheet</t>
        </is>
      </c>
    </row>
    <row r="2042">
      <c r="B2042" s="39" t="n">
        <v>46094</v>
      </c>
      <c r="C2042" s="3" t="inlineStr">
        <is>
          <t>Bill</t>
        </is>
      </c>
      <c r="D2042" s="3" t="inlineStr"/>
      <c r="E2042" s="3" t="inlineStr">
        <is>
          <t>Lumenlease Equipment</t>
        </is>
      </c>
      <c r="F2042" s="3" t="inlineStr">
        <is>
          <t>Equipment Lease – March</t>
        </is>
      </c>
      <c r="G2042" s="3" t="inlineStr">
        <is>
          <t>Equipment Lease</t>
        </is>
      </c>
      <c r="H2042" s="3" t="inlineStr">
        <is>
          <t>Accounts Payable</t>
        </is>
      </c>
      <c r="I2042" s="33" t="n">
        <v>3159.04</v>
      </c>
      <c r="J2042" s="13">
        <f>+J2041+I2042</f>
        <v>358957.05</v>
      </c>
      <c r="K2042" s="19">
        <f>+EOMONTH(B2042,0)</f>
        <v>46112</v>
      </c>
      <c r="L2042" s="3" t="inlineStr">
        <is>
          <t>Accounts Payable</t>
        </is>
      </c>
      <c r="M2042" s="3" t="inlineStr">
        <is>
          <t>Balance Sheet</t>
        </is>
      </c>
    </row>
    <row r="2043">
      <c r="B2043" s="39" t="n">
        <v>46094</v>
      </c>
      <c r="C2043" s="3" t="inlineStr">
        <is>
          <t>Bill Payment (Check)</t>
        </is>
      </c>
      <c r="D2043" s="3" t="inlineStr">
        <is>
          <t>10460</t>
        </is>
      </c>
      <c r="E2043" s="3" t="inlineStr">
        <is>
          <t>Reagentix Corp</t>
        </is>
      </c>
      <c r="F2043" s="3" t="inlineStr">
        <is>
          <t>Lab supplies PO# F2946</t>
        </is>
      </c>
      <c r="G2043" s="3" t="inlineStr">
        <is>
          <t>Checking – Operating</t>
        </is>
      </c>
      <c r="H2043" s="3" t="inlineStr">
        <is>
          <t>Accounts Payable</t>
        </is>
      </c>
      <c r="I2043" s="33" t="n">
        <v>-11604.15</v>
      </c>
      <c r="J2043" s="13">
        <f>+J2042+I2043</f>
        <v>347352.9</v>
      </c>
      <c r="K2043" s="19">
        <f>+EOMONTH(B2043,0)</f>
        <v>46112</v>
      </c>
      <c r="L2043" s="3" t="inlineStr">
        <is>
          <t>Accounts Payable</t>
        </is>
      </c>
      <c r="M2043" s="3" t="inlineStr">
        <is>
          <t>Balance Sheet</t>
        </is>
      </c>
    </row>
    <row r="2044">
      <c r="B2044" s="39" t="n">
        <v>46094</v>
      </c>
      <c r="C2044" s="3" t="inlineStr">
        <is>
          <t>Bill Payment (Check)</t>
        </is>
      </c>
      <c r="D2044" s="3" t="inlineStr">
        <is>
          <t>10463</t>
        </is>
      </c>
      <c r="E2044" s="3" t="inlineStr">
        <is>
          <t>Reagentix Corp</t>
        </is>
      </c>
      <c r="F2044" s="3" t="inlineStr">
        <is>
          <t>Lab supplies PO# F2227</t>
        </is>
      </c>
      <c r="G2044" s="3" t="inlineStr">
        <is>
          <t>Checking – Operating</t>
        </is>
      </c>
      <c r="H2044" s="3" t="inlineStr">
        <is>
          <t>Accounts Payable</t>
        </is>
      </c>
      <c r="I2044" s="33" t="n">
        <v>-15321.17</v>
      </c>
      <c r="J2044" s="13">
        <f>+J2043+I2044</f>
        <v>332031.73</v>
      </c>
      <c r="K2044" s="19">
        <f>+EOMONTH(B2044,0)</f>
        <v>46112</v>
      </c>
      <c r="L2044" s="3" t="inlineStr">
        <is>
          <t>Accounts Payable</t>
        </is>
      </c>
      <c r="M2044" s="3" t="inlineStr">
        <is>
          <t>Balance Sheet</t>
        </is>
      </c>
    </row>
    <row r="2045">
      <c r="B2045" s="39" t="n">
        <v>46094</v>
      </c>
      <c r="C2045" s="3" t="inlineStr">
        <is>
          <t>Bill Payment (Check)</t>
        </is>
      </c>
      <c r="D2045" s="3" t="inlineStr">
        <is>
          <t>11224</t>
        </is>
      </c>
      <c r="E2045" s="3" t="inlineStr">
        <is>
          <t>Ledgerquill Billing SaaS</t>
        </is>
      </c>
      <c r="F2045" s="3" t="inlineStr">
        <is>
          <t>Billing Software as a Service – February</t>
        </is>
      </c>
      <c r="G2045" s="3" t="inlineStr">
        <is>
          <t>Checking – Operating</t>
        </is>
      </c>
      <c r="H2045" s="3" t="inlineStr">
        <is>
          <t>Accounts Payable</t>
        </is>
      </c>
      <c r="I2045" s="33" t="n">
        <v>-20435.67</v>
      </c>
      <c r="J2045" s="13">
        <f>+J2044+I2045</f>
        <v>311596.06</v>
      </c>
      <c r="K2045" s="19">
        <f>+EOMONTH(B2045,0)</f>
        <v>46112</v>
      </c>
      <c r="L2045" s="3" t="inlineStr">
        <is>
          <t>Accounts Payable</t>
        </is>
      </c>
      <c r="M2045" s="3" t="inlineStr">
        <is>
          <t>Balance Sheet</t>
        </is>
      </c>
    </row>
    <row r="2046">
      <c r="B2046" s="39" t="n">
        <v>46095</v>
      </c>
      <c r="C2046" s="3" t="inlineStr">
        <is>
          <t>Bill</t>
        </is>
      </c>
      <c r="D2046" s="3" t="inlineStr"/>
      <c r="E2046" s="3" t="inlineStr">
        <is>
          <t>Halloway Ridge Realty (rent)</t>
        </is>
      </c>
      <c r="F2046" s="3" t="inlineStr">
        <is>
          <t>Rent – March</t>
        </is>
      </c>
      <c r="G2046" s="3" t="inlineStr">
        <is>
          <t>Rent Expense</t>
        </is>
      </c>
      <c r="H2046" s="3" t="inlineStr">
        <is>
          <t>Accounts Payable</t>
        </is>
      </c>
      <c r="I2046" s="33" t="n">
        <v>17170.07</v>
      </c>
      <c r="J2046" s="13">
        <f>+J2045+I2046</f>
        <v>328766.13</v>
      </c>
      <c r="K2046" s="19">
        <f>+EOMONTH(B2046,0)</f>
        <v>46112</v>
      </c>
      <c r="L2046" s="3" t="inlineStr">
        <is>
          <t>Accounts Payable</t>
        </is>
      </c>
      <c r="M2046" s="3" t="inlineStr">
        <is>
          <t>Balance Sheet</t>
        </is>
      </c>
    </row>
    <row r="2047">
      <c r="B2047" s="39" t="n">
        <v>46095</v>
      </c>
      <c r="C2047" s="3" t="inlineStr">
        <is>
          <t>Bill</t>
        </is>
      </c>
      <c r="D2047" s="3" t="inlineStr"/>
      <c r="E2047" s="3" t="inlineStr">
        <is>
          <t>Northmoor Waste Services</t>
        </is>
      </c>
      <c r="F2047" s="3" t="inlineStr">
        <is>
          <t>Hazard Waste – March</t>
        </is>
      </c>
      <c r="G2047" s="3" t="inlineStr">
        <is>
          <t>Hazard Waste</t>
        </is>
      </c>
      <c r="H2047" s="3" t="inlineStr">
        <is>
          <t>Accounts Payable</t>
        </is>
      </c>
      <c r="I2047" s="33" t="n">
        <v>891.87</v>
      </c>
      <c r="J2047" s="13">
        <f>+J2046+I2047</f>
        <v>329658</v>
      </c>
      <c r="K2047" s="19">
        <f>+EOMONTH(B2047,0)</f>
        <v>46112</v>
      </c>
      <c r="L2047" s="3" t="inlineStr">
        <is>
          <t>Accounts Payable</t>
        </is>
      </c>
      <c r="M2047" s="3" t="inlineStr">
        <is>
          <t>Balance Sheet</t>
        </is>
      </c>
    </row>
    <row r="2048">
      <c r="B2048" s="39" t="n">
        <v>46095</v>
      </c>
      <c r="C2048" s="3" t="inlineStr">
        <is>
          <t>Bill</t>
        </is>
      </c>
      <c r="D2048" s="3" t="inlineStr"/>
      <c r="E2048" s="3" t="inlineStr">
        <is>
          <t>Tarrowmere Mutual Insurance</t>
        </is>
      </c>
      <c r="F2048" s="3" t="inlineStr">
        <is>
          <t>Benefits – March</t>
        </is>
      </c>
      <c r="G2048" s="3" t="inlineStr">
        <is>
          <t>Benefits</t>
        </is>
      </c>
      <c r="H2048" s="3" t="inlineStr">
        <is>
          <t>Accounts Payable</t>
        </is>
      </c>
      <c r="I2048" s="33" t="n">
        <v>5125.61</v>
      </c>
      <c r="J2048" s="13">
        <f>+J2047+I2048</f>
        <v>334783.61</v>
      </c>
      <c r="K2048" s="19">
        <f>+EOMONTH(B2048,0)</f>
        <v>46112</v>
      </c>
      <c r="L2048" s="3" t="inlineStr">
        <is>
          <t>Accounts Payable</t>
        </is>
      </c>
      <c r="M2048" s="3" t="inlineStr">
        <is>
          <t>Balance Sheet</t>
        </is>
      </c>
    </row>
    <row r="2049">
      <c r="B2049" s="39" t="n">
        <v>46095</v>
      </c>
      <c r="C2049" s="3" t="inlineStr">
        <is>
          <t>Bill Payment (Check)</t>
        </is>
      </c>
      <c r="D2049" s="3" t="inlineStr">
        <is>
          <t>10424</t>
        </is>
      </c>
      <c r="E2049" s="3" t="inlineStr">
        <is>
          <t>Reagentix Corp</t>
        </is>
      </c>
      <c r="F2049" s="3" t="inlineStr">
        <is>
          <t>Lab Expenses – March</t>
        </is>
      </c>
      <c r="G2049" s="3" t="inlineStr">
        <is>
          <t>Checking – Operating</t>
        </is>
      </c>
      <c r="H2049" s="3" t="inlineStr">
        <is>
          <t>Accounts Payable</t>
        </is>
      </c>
      <c r="I2049" s="33" t="n">
        <v>-4130.99</v>
      </c>
      <c r="J2049" s="13">
        <f>+J2048+I2049</f>
        <v>330652.62</v>
      </c>
      <c r="K2049" s="19">
        <f>+EOMONTH(B2049,0)</f>
        <v>46112</v>
      </c>
      <c r="L2049" s="3" t="inlineStr">
        <is>
          <t>Accounts Payable</t>
        </is>
      </c>
      <c r="M2049" s="3" t="inlineStr">
        <is>
          <t>Balance Sheet</t>
        </is>
      </c>
    </row>
    <row r="2050">
      <c r="B2050" s="39" t="n">
        <v>46095</v>
      </c>
      <c r="C2050" s="3" t="inlineStr">
        <is>
          <t>Bill Payment (Check)</t>
        </is>
      </c>
      <c r="D2050" s="3" t="inlineStr">
        <is>
          <t>10545</t>
        </is>
      </c>
      <c r="E2050" s="3" t="inlineStr">
        <is>
          <t>Reagentix Corp</t>
        </is>
      </c>
      <c r="F2050" s="3" t="inlineStr">
        <is>
          <t>Lab supplies PO# F2573</t>
        </is>
      </c>
      <c r="G2050" s="3" t="inlineStr">
        <is>
          <t>Checking – Operating</t>
        </is>
      </c>
      <c r="H2050" s="3" t="inlineStr">
        <is>
          <t>Accounts Payable</t>
        </is>
      </c>
      <c r="I2050" s="33" t="n">
        <v>-15904.31</v>
      </c>
      <c r="J2050" s="13">
        <f>+J2049+I2050</f>
        <v>314748.31</v>
      </c>
      <c r="K2050" s="19">
        <f>+EOMONTH(B2050,0)</f>
        <v>46112</v>
      </c>
      <c r="L2050" s="3" t="inlineStr">
        <is>
          <t>Accounts Payable</t>
        </is>
      </c>
      <c r="M2050" s="3" t="inlineStr">
        <is>
          <t>Balance Sheet</t>
        </is>
      </c>
    </row>
    <row r="2051">
      <c r="B2051" s="39" t="n">
        <v>46095</v>
      </c>
      <c r="C2051" s="3" t="inlineStr">
        <is>
          <t>Bill Payment (Check)</t>
        </is>
      </c>
      <c r="D2051" s="3" t="inlineStr">
        <is>
          <t>10670</t>
        </is>
      </c>
      <c r="E2051" s="3" t="inlineStr">
        <is>
          <t>Lumenlease Equipment</t>
        </is>
      </c>
      <c r="F2051" s="3" t="inlineStr">
        <is>
          <t>Lab Equipment – February</t>
        </is>
      </c>
      <c r="G2051" s="3" t="inlineStr">
        <is>
          <t>Checking – Operating</t>
        </is>
      </c>
      <c r="H2051" s="3" t="inlineStr">
        <is>
          <t>Accounts Payable</t>
        </is>
      </c>
      <c r="I2051" s="33" t="n">
        <v>-2403.2</v>
      </c>
      <c r="J2051" s="13">
        <f>+J2050+I2051</f>
        <v>312345.11</v>
      </c>
      <c r="K2051" s="19">
        <f>+EOMONTH(B2051,0)</f>
        <v>46112</v>
      </c>
      <c r="L2051" s="3" t="inlineStr">
        <is>
          <t>Accounts Payable</t>
        </is>
      </c>
      <c r="M2051" s="3" t="inlineStr">
        <is>
          <t>Balance Sheet</t>
        </is>
      </c>
    </row>
    <row r="2052">
      <c r="B2052" s="39" t="n">
        <v>46096</v>
      </c>
      <c r="C2052" s="3" t="inlineStr">
        <is>
          <t>Bill Payment (Check)</t>
        </is>
      </c>
      <c r="D2052" s="3" t="inlineStr">
        <is>
          <t>10504</t>
        </is>
      </c>
      <c r="E2052" s="3" t="inlineStr">
        <is>
          <t>Reference Lab A</t>
        </is>
      </c>
      <c r="F2052" s="3" t="inlineStr">
        <is>
          <t>Send-out testing – February</t>
        </is>
      </c>
      <c r="G2052" s="3" t="inlineStr">
        <is>
          <t>Checking – Operating</t>
        </is>
      </c>
      <c r="H2052" s="3" t="inlineStr">
        <is>
          <t>Accounts Payable</t>
        </is>
      </c>
      <c r="I2052" s="33" t="n">
        <v>-10503.16</v>
      </c>
      <c r="J2052" s="13">
        <f>+J2051+I2052</f>
        <v>301841.95</v>
      </c>
      <c r="K2052" s="19">
        <f>+EOMONTH(B2052,0)</f>
        <v>46112</v>
      </c>
      <c r="L2052" s="3" t="inlineStr">
        <is>
          <t>Accounts Payable</t>
        </is>
      </c>
      <c r="M2052" s="3" t="inlineStr">
        <is>
          <t>Balance Sheet</t>
        </is>
      </c>
    </row>
    <row r="2053">
      <c r="B2053" s="39" t="n">
        <v>46097</v>
      </c>
      <c r="C2053" s="3" t="inlineStr">
        <is>
          <t>Bill</t>
        </is>
      </c>
      <c r="D2053" s="3" t="inlineStr"/>
      <c r="E2053" s="3" t="inlineStr">
        <is>
          <t>Northmoor Waste Services</t>
        </is>
      </c>
      <c r="F2053" s="3" t="inlineStr">
        <is>
          <t>Waste Removal – March</t>
        </is>
      </c>
      <c r="G2053" s="3" t="inlineStr">
        <is>
          <t>Waste Removal</t>
        </is>
      </c>
      <c r="H2053" s="3" t="inlineStr">
        <is>
          <t>Accounts Payable</t>
        </is>
      </c>
      <c r="I2053" s="33" t="n">
        <v>732.74</v>
      </c>
      <c r="J2053" s="13">
        <f>+J2052+I2053</f>
        <v>302574.69</v>
      </c>
      <c r="K2053" s="19">
        <f>+EOMONTH(B2053,0)</f>
        <v>46112</v>
      </c>
      <c r="L2053" s="3" t="inlineStr">
        <is>
          <t>Accounts Payable</t>
        </is>
      </c>
      <c r="M2053" s="3" t="inlineStr">
        <is>
          <t>Balance Sheet</t>
        </is>
      </c>
    </row>
    <row r="2054">
      <c r="B2054" s="39" t="n">
        <v>46097</v>
      </c>
      <c r="C2054" s="3" t="inlineStr">
        <is>
          <t>Bill</t>
        </is>
      </c>
      <c r="D2054" s="3" t="inlineStr"/>
      <c r="E2054" s="3" t="inlineStr">
        <is>
          <t>Union Utilities</t>
        </is>
      </c>
      <c r="F2054" s="3" t="inlineStr">
        <is>
          <t>Utilities – March</t>
        </is>
      </c>
      <c r="G2054" s="3" t="inlineStr">
        <is>
          <t>Utilities</t>
        </is>
      </c>
      <c r="H2054" s="3" t="inlineStr">
        <is>
          <t>Accounts Payable</t>
        </is>
      </c>
      <c r="I2054" s="33" t="n">
        <v>3157.87</v>
      </c>
      <c r="J2054" s="13">
        <f>+J2053+I2054</f>
        <v>305732.56</v>
      </c>
      <c r="K2054" s="19">
        <f>+EOMONTH(B2054,0)</f>
        <v>46112</v>
      </c>
      <c r="L2054" s="3" t="inlineStr">
        <is>
          <t>Accounts Payable</t>
        </is>
      </c>
      <c r="M2054" s="3" t="inlineStr">
        <is>
          <t>Balance Sheet</t>
        </is>
      </c>
    </row>
    <row r="2055">
      <c r="B2055" s="39" t="n">
        <v>46098</v>
      </c>
      <c r="C2055" s="3" t="inlineStr">
        <is>
          <t>Bill</t>
        </is>
      </c>
      <c r="D2055" s="3" t="inlineStr"/>
      <c r="E2055" s="3" t="inlineStr">
        <is>
          <t>Tarrowmere Mutual Insurance</t>
        </is>
      </c>
      <c r="F2055" s="3" t="inlineStr">
        <is>
          <t>Benefits – March</t>
        </is>
      </c>
      <c r="G2055" s="3" t="inlineStr">
        <is>
          <t>Benefits</t>
        </is>
      </c>
      <c r="H2055" s="3" t="inlineStr">
        <is>
          <t>Accounts Payable</t>
        </is>
      </c>
      <c r="I2055" s="33" t="n">
        <v>3385.35</v>
      </c>
      <c r="J2055" s="13">
        <f>+J2054+I2055</f>
        <v>309117.91</v>
      </c>
      <c r="K2055" s="19">
        <f>+EOMONTH(B2055,0)</f>
        <v>46112</v>
      </c>
      <c r="L2055" s="3" t="inlineStr">
        <is>
          <t>Accounts Payable</t>
        </is>
      </c>
      <c r="M2055" s="3" t="inlineStr">
        <is>
          <t>Balance Sheet</t>
        </is>
      </c>
    </row>
    <row r="2056">
      <c r="B2056" s="39" t="n">
        <v>46098</v>
      </c>
      <c r="C2056" s="3" t="inlineStr">
        <is>
          <t>Bill Payment (Check)</t>
        </is>
      </c>
      <c r="D2056" s="3" t="inlineStr">
        <is>
          <t>11138</t>
        </is>
      </c>
      <c r="E2056" s="3" t="inlineStr">
        <is>
          <t>Tarrowmere Mutual Insurance</t>
        </is>
      </c>
      <c r="F2056" s="3" t="inlineStr">
        <is>
          <t>Benefits – February</t>
        </is>
      </c>
      <c r="G2056" s="3" t="inlineStr">
        <is>
          <t>Checking – Operating</t>
        </is>
      </c>
      <c r="H2056" s="3" t="inlineStr">
        <is>
          <t>Accounts Payable</t>
        </is>
      </c>
      <c r="I2056" s="33" t="n">
        <v>-4930.75</v>
      </c>
      <c r="J2056" s="13">
        <f>+J2055+I2056</f>
        <v>304187.16</v>
      </c>
      <c r="K2056" s="19">
        <f>+EOMONTH(B2056,0)</f>
        <v>46112</v>
      </c>
      <c r="L2056" s="3" t="inlineStr">
        <is>
          <t>Accounts Payable</t>
        </is>
      </c>
      <c r="M2056" s="3" t="inlineStr">
        <is>
          <t>Balance Sheet</t>
        </is>
      </c>
    </row>
    <row r="2057">
      <c r="B2057" s="39" t="n">
        <v>46099</v>
      </c>
      <c r="C2057" s="3" t="inlineStr">
        <is>
          <t>Bill</t>
        </is>
      </c>
      <c r="D2057" s="3" t="inlineStr"/>
      <c r="E2057" s="3" t="inlineStr">
        <is>
          <t>Reagentix Corp</t>
        </is>
      </c>
      <c r="F2057" s="3" t="inlineStr">
        <is>
          <t>Lab supplies PO# F2401</t>
        </is>
      </c>
      <c r="G2057" s="3" t="inlineStr">
        <is>
          <t>Lab Supplies</t>
        </is>
      </c>
      <c r="H2057" s="3" t="inlineStr">
        <is>
          <t>Accounts Payable</t>
        </is>
      </c>
      <c r="I2057" s="33" t="n">
        <v>31075.99</v>
      </c>
      <c r="J2057" s="13">
        <f>+J2056+I2057</f>
        <v>335263.15</v>
      </c>
      <c r="K2057" s="19">
        <f>+EOMONTH(B2057,0)</f>
        <v>46112</v>
      </c>
      <c r="L2057" s="3" t="inlineStr">
        <is>
          <t>Accounts Payable</t>
        </is>
      </c>
      <c r="M2057" s="3" t="inlineStr">
        <is>
          <t>Balance Sheet</t>
        </is>
      </c>
    </row>
    <row r="2058">
      <c r="B2058" s="39" t="n">
        <v>46099</v>
      </c>
      <c r="C2058" s="3" t="inlineStr">
        <is>
          <t>Bill</t>
        </is>
      </c>
      <c r="D2058" s="3" t="inlineStr"/>
      <c r="E2058" s="3" t="inlineStr">
        <is>
          <t>Tarrowmere Mutual Insurance</t>
        </is>
      </c>
      <c r="F2058" s="3" t="inlineStr">
        <is>
          <t>Premium installment</t>
        </is>
      </c>
      <c r="G2058" s="3" t="inlineStr">
        <is>
          <t>Insurance Expense</t>
        </is>
      </c>
      <c r="H2058" s="3" t="inlineStr">
        <is>
          <t>Accounts Payable</t>
        </is>
      </c>
      <c r="I2058" s="33" t="n">
        <v>7016.78</v>
      </c>
      <c r="J2058" s="13">
        <f>+J2057+I2058</f>
        <v>342279.93</v>
      </c>
      <c r="K2058" s="19">
        <f>+EOMONTH(B2058,0)</f>
        <v>46112</v>
      </c>
      <c r="L2058" s="3" t="inlineStr">
        <is>
          <t>Accounts Payable</t>
        </is>
      </c>
      <c r="M2058" s="3" t="inlineStr">
        <is>
          <t>Balance Sheet</t>
        </is>
      </c>
    </row>
    <row r="2059">
      <c r="B2059" s="39" t="n">
        <v>46099</v>
      </c>
      <c r="C2059" s="3" t="inlineStr">
        <is>
          <t>Bill</t>
        </is>
      </c>
      <c r="D2059" s="3" t="inlineStr"/>
      <c r="E2059" s="3" t="inlineStr">
        <is>
          <t>Ledgerquill Billing SaaS</t>
        </is>
      </c>
      <c r="F2059" s="3" t="inlineStr">
        <is>
          <t>Billing Software as a Service – March</t>
        </is>
      </c>
      <c r="G2059" s="3" t="inlineStr">
        <is>
          <t>Billing Software as a Service</t>
        </is>
      </c>
      <c r="H2059" s="3" t="inlineStr">
        <is>
          <t>Accounts Payable</t>
        </is>
      </c>
      <c r="I2059" s="33" t="n">
        <v>9372.870000000001</v>
      </c>
      <c r="J2059" s="13">
        <f>+J2058+I2059</f>
        <v>351652.8</v>
      </c>
      <c r="K2059" s="19">
        <f>+EOMONTH(B2059,0)</f>
        <v>46112</v>
      </c>
      <c r="L2059" s="3" t="inlineStr">
        <is>
          <t>Accounts Payable</t>
        </is>
      </c>
      <c r="M2059" s="3" t="inlineStr">
        <is>
          <t>Balance Sheet</t>
        </is>
      </c>
    </row>
    <row r="2060">
      <c r="B2060" s="39" t="n">
        <v>46099</v>
      </c>
      <c r="C2060" s="3" t="inlineStr">
        <is>
          <t>Bill Payment (Check)</t>
        </is>
      </c>
      <c r="D2060" s="3" t="inlineStr">
        <is>
          <t>10543</t>
        </is>
      </c>
      <c r="E2060" s="3" t="inlineStr">
        <is>
          <t>Reagentix Corp</t>
        </is>
      </c>
      <c r="F2060" s="3" t="inlineStr">
        <is>
          <t>Lab supplies PO# F2253</t>
        </is>
      </c>
      <c r="G2060" s="3" t="inlineStr">
        <is>
          <t>Checking – Operating</t>
        </is>
      </c>
      <c r="H2060" s="3" t="inlineStr">
        <is>
          <t>Accounts Payable</t>
        </is>
      </c>
      <c r="I2060" s="33" t="n">
        <v>-16814.32</v>
      </c>
      <c r="J2060" s="13">
        <f>+J2059+I2060</f>
        <v>334838.48</v>
      </c>
      <c r="K2060" s="19">
        <f>+EOMONTH(B2060,0)</f>
        <v>46112</v>
      </c>
      <c r="L2060" s="3" t="inlineStr">
        <is>
          <t>Accounts Payable</t>
        </is>
      </c>
      <c r="M2060" s="3" t="inlineStr">
        <is>
          <t>Balance Sheet</t>
        </is>
      </c>
    </row>
    <row r="2061">
      <c r="B2061" s="39" t="n">
        <v>46100</v>
      </c>
      <c r="C2061" s="3" t="inlineStr">
        <is>
          <t>Bill</t>
        </is>
      </c>
      <c r="D2061" s="3" t="inlineStr"/>
      <c r="E2061" s="3" t="inlineStr">
        <is>
          <t>Reference Lab A</t>
        </is>
      </c>
      <c r="F2061" s="3" t="inlineStr">
        <is>
          <t>Send-out testing – March</t>
        </is>
      </c>
      <c r="G2061" s="3" t="inlineStr">
        <is>
          <t>Laboratory Fees</t>
        </is>
      </c>
      <c r="H2061" s="3" t="inlineStr">
        <is>
          <t>Accounts Payable</t>
        </is>
      </c>
      <c r="I2061" s="33" t="n">
        <v>33005.86</v>
      </c>
      <c r="J2061" s="13">
        <f>+J2060+I2061</f>
        <v>367844.34</v>
      </c>
      <c r="K2061" s="19">
        <f>+EOMONTH(B2061,0)</f>
        <v>46112</v>
      </c>
      <c r="L2061" s="3" t="inlineStr">
        <is>
          <t>Accounts Payable</t>
        </is>
      </c>
      <c r="M2061" s="3" t="inlineStr">
        <is>
          <t>Balance Sheet</t>
        </is>
      </c>
    </row>
    <row r="2062">
      <c r="B2062" s="39" t="n">
        <v>46100</v>
      </c>
      <c r="C2062" s="3" t="inlineStr">
        <is>
          <t>Bill Payment (Check)</t>
        </is>
      </c>
      <c r="D2062" s="3" t="inlineStr">
        <is>
          <t>10696</t>
        </is>
      </c>
      <c r="E2062" s="3" t="inlineStr">
        <is>
          <t>Tarrowmere Mutual Insurance</t>
        </is>
      </c>
      <c r="F2062" s="3" t="inlineStr">
        <is>
          <t>Premium installment</t>
        </is>
      </c>
      <c r="G2062" s="3" t="inlineStr">
        <is>
          <t>Checking – Operating</t>
        </is>
      </c>
      <c r="H2062" s="3" t="inlineStr">
        <is>
          <t>Accounts Payable</t>
        </is>
      </c>
      <c r="I2062" s="33" t="n">
        <v>-8175.09</v>
      </c>
      <c r="J2062" s="13">
        <f>+J2061+I2062</f>
        <v>359669.25</v>
      </c>
      <c r="K2062" s="19">
        <f>+EOMONTH(B2062,0)</f>
        <v>46112</v>
      </c>
      <c r="L2062" s="3" t="inlineStr">
        <is>
          <t>Accounts Payable</t>
        </is>
      </c>
      <c r="M2062" s="3" t="inlineStr">
        <is>
          <t>Balance Sheet</t>
        </is>
      </c>
    </row>
    <row r="2063">
      <c r="B2063" s="39" t="n">
        <v>46101</v>
      </c>
      <c r="C2063" s="3" t="inlineStr">
        <is>
          <t>Bill</t>
        </is>
      </c>
      <c r="D2063" s="3" t="inlineStr"/>
      <c r="E2063" s="3" t="inlineStr">
        <is>
          <t>Lumenlease Equipment</t>
        </is>
      </c>
      <c r="F2063" s="3" t="inlineStr">
        <is>
          <t>Lab Equipment – March</t>
        </is>
      </c>
      <c r="G2063" s="3" t="inlineStr">
        <is>
          <t>Lab Equipment</t>
        </is>
      </c>
      <c r="H2063" s="3" t="inlineStr">
        <is>
          <t>Accounts Payable</t>
        </is>
      </c>
      <c r="I2063" s="33" t="n">
        <v>3048.48</v>
      </c>
      <c r="J2063" s="13">
        <f>+J2062+I2063</f>
        <v>362717.73</v>
      </c>
      <c r="K2063" s="19">
        <f>+EOMONTH(B2063,0)</f>
        <v>46112</v>
      </c>
      <c r="L2063" s="3" t="inlineStr">
        <is>
          <t>Accounts Payable</t>
        </is>
      </c>
      <c r="M2063" s="3" t="inlineStr">
        <is>
          <t>Balance Sheet</t>
        </is>
      </c>
    </row>
    <row r="2064">
      <c r="B2064" s="39" t="n">
        <v>46103</v>
      </c>
      <c r="C2064" s="3" t="inlineStr">
        <is>
          <t>Bill</t>
        </is>
      </c>
      <c r="D2064" s="3" t="inlineStr"/>
      <c r="E2064" s="3" t="inlineStr">
        <is>
          <t>Reagentix Corp</t>
        </is>
      </c>
      <c r="F2064" s="3" t="inlineStr">
        <is>
          <t>Lab supplies PO# F2993</t>
        </is>
      </c>
      <c r="G2064" s="3" t="inlineStr">
        <is>
          <t>Reagents</t>
        </is>
      </c>
      <c r="H2064" s="3" t="inlineStr">
        <is>
          <t>Accounts Payable</t>
        </is>
      </c>
      <c r="I2064" s="33" t="n">
        <v>11539.13</v>
      </c>
      <c r="J2064" s="13">
        <f>+J2063+I2064</f>
        <v>374256.86</v>
      </c>
      <c r="K2064" s="19">
        <f>+EOMONTH(B2064,0)</f>
        <v>46112</v>
      </c>
      <c r="L2064" s="3" t="inlineStr">
        <is>
          <t>Accounts Payable</t>
        </is>
      </c>
      <c r="M2064" s="3" t="inlineStr">
        <is>
          <t>Balance Sheet</t>
        </is>
      </c>
    </row>
    <row r="2065">
      <c r="B2065" s="39" t="n">
        <v>46103</v>
      </c>
      <c r="C2065" s="3" t="inlineStr">
        <is>
          <t>Bill</t>
        </is>
      </c>
      <c r="D2065" s="3" t="inlineStr"/>
      <c r="E2065" s="3" t="inlineStr">
        <is>
          <t>Tarrowmere Mutual Insurance</t>
        </is>
      </c>
      <c r="F2065" s="3" t="inlineStr">
        <is>
          <t>Benefits – March</t>
        </is>
      </c>
      <c r="G2065" s="3" t="inlineStr">
        <is>
          <t>Benefits</t>
        </is>
      </c>
      <c r="H2065" s="3" t="inlineStr">
        <is>
          <t>Accounts Payable</t>
        </is>
      </c>
      <c r="I2065" s="33" t="n">
        <v>3855.78</v>
      </c>
      <c r="J2065" s="13">
        <f>+J2064+I2065</f>
        <v>378112.64</v>
      </c>
      <c r="K2065" s="19">
        <f>+EOMONTH(B2065,0)</f>
        <v>46112</v>
      </c>
      <c r="L2065" s="3" t="inlineStr">
        <is>
          <t>Accounts Payable</t>
        </is>
      </c>
      <c r="M2065" s="3" t="inlineStr">
        <is>
          <t>Balance Sheet</t>
        </is>
      </c>
    </row>
    <row r="2066">
      <c r="B2066" s="39" t="n">
        <v>46103</v>
      </c>
      <c r="C2066" s="3" t="inlineStr">
        <is>
          <t>Bill Payment (Check)</t>
        </is>
      </c>
      <c r="D2066" s="3" t="inlineStr">
        <is>
          <t>10697</t>
        </is>
      </c>
      <c r="E2066" s="3" t="inlineStr">
        <is>
          <t>Tarrowmere Mutual Insurance</t>
        </is>
      </c>
      <c r="F2066" s="3" t="inlineStr">
        <is>
          <t>Premium installment</t>
        </is>
      </c>
      <c r="G2066" s="3" t="inlineStr">
        <is>
          <t>Checking – Operating</t>
        </is>
      </c>
      <c r="H2066" s="3" t="inlineStr">
        <is>
          <t>Accounts Payable</t>
        </is>
      </c>
      <c r="I2066" s="33" t="n">
        <v>-5608.13</v>
      </c>
      <c r="J2066" s="13">
        <f>+J2065+I2066</f>
        <v>372504.51</v>
      </c>
      <c r="K2066" s="19">
        <f>+EOMONTH(B2066,0)</f>
        <v>46112</v>
      </c>
      <c r="L2066" s="3" t="inlineStr">
        <is>
          <t>Accounts Payable</t>
        </is>
      </c>
      <c r="M2066" s="3" t="inlineStr">
        <is>
          <t>Balance Sheet</t>
        </is>
      </c>
    </row>
    <row r="2067">
      <c r="B2067" s="39" t="n">
        <v>46104</v>
      </c>
      <c r="C2067" s="3" t="inlineStr">
        <is>
          <t>Bill</t>
        </is>
      </c>
      <c r="D2067" s="3" t="inlineStr"/>
      <c r="E2067" s="3" t="inlineStr">
        <is>
          <t>Reference Lab A</t>
        </is>
      </c>
      <c r="F2067" s="3" t="inlineStr">
        <is>
          <t>Send-out testing – March</t>
        </is>
      </c>
      <c r="G2067" s="3" t="inlineStr">
        <is>
          <t>Laboratory Fees</t>
        </is>
      </c>
      <c r="H2067" s="3" t="inlineStr">
        <is>
          <t>Accounts Payable</t>
        </is>
      </c>
      <c r="I2067" s="33" t="n">
        <v>16837.17</v>
      </c>
      <c r="J2067" s="13">
        <f>+J2066+I2067</f>
        <v>389341.68</v>
      </c>
      <c r="K2067" s="19">
        <f>+EOMONTH(B2067,0)</f>
        <v>46112</v>
      </c>
      <c r="L2067" s="3" t="inlineStr">
        <is>
          <t>Accounts Payable</t>
        </is>
      </c>
      <c r="M2067" s="3" t="inlineStr">
        <is>
          <t>Balance Sheet</t>
        </is>
      </c>
    </row>
    <row r="2068">
      <c r="B2068" s="39" t="n">
        <v>46104</v>
      </c>
      <c r="C2068" s="3" t="inlineStr">
        <is>
          <t>Bill Payment (Check)</t>
        </is>
      </c>
      <c r="D2068" s="3" t="inlineStr">
        <is>
          <t>10904</t>
        </is>
      </c>
      <c r="E2068" s="3" t="inlineStr">
        <is>
          <t>Halloway Ridge Realty (rent)</t>
        </is>
      </c>
      <c r="F2068" s="3" t="inlineStr">
        <is>
          <t>Rent – March</t>
        </is>
      </c>
      <c r="G2068" s="3" t="inlineStr">
        <is>
          <t>Checking – Operating</t>
        </is>
      </c>
      <c r="H2068" s="3" t="inlineStr">
        <is>
          <t>Accounts Payable</t>
        </is>
      </c>
      <c r="I2068" s="33" t="n">
        <v>-8793.969999999999</v>
      </c>
      <c r="J2068" s="13">
        <f>+J2067+I2068</f>
        <v>380547.71</v>
      </c>
      <c r="K2068" s="19">
        <f>+EOMONTH(B2068,0)</f>
        <v>46112</v>
      </c>
      <c r="L2068" s="3" t="inlineStr">
        <is>
          <t>Accounts Payable</t>
        </is>
      </c>
      <c r="M2068" s="3" t="inlineStr">
        <is>
          <t>Balance Sheet</t>
        </is>
      </c>
    </row>
    <row r="2069">
      <c r="B2069" s="39" t="n">
        <v>46104</v>
      </c>
      <c r="C2069" s="3" t="inlineStr">
        <is>
          <t>Bill Payment (Check)</t>
        </is>
      </c>
      <c r="D2069" s="3" t="inlineStr">
        <is>
          <t>10905</t>
        </is>
      </c>
      <c r="E2069" s="3" t="inlineStr">
        <is>
          <t>Halloway Ridge Realty (rent)</t>
        </is>
      </c>
      <c r="F2069" s="3" t="inlineStr">
        <is>
          <t>Rent – March</t>
        </is>
      </c>
      <c r="G2069" s="3" t="inlineStr">
        <is>
          <t>Checking – Operating</t>
        </is>
      </c>
      <c r="H2069" s="3" t="inlineStr">
        <is>
          <t>Accounts Payable</t>
        </is>
      </c>
      <c r="I2069" s="33" t="n">
        <v>-11243.15</v>
      </c>
      <c r="J2069" s="13">
        <f>+J2068+I2069</f>
        <v>369304.56</v>
      </c>
      <c r="K2069" s="19">
        <f>+EOMONTH(B2069,0)</f>
        <v>46112</v>
      </c>
      <c r="L2069" s="3" t="inlineStr">
        <is>
          <t>Accounts Payable</t>
        </is>
      </c>
      <c r="M2069" s="3" t="inlineStr">
        <is>
          <t>Balance Sheet</t>
        </is>
      </c>
    </row>
    <row r="2070">
      <c r="B2070" s="39" t="n">
        <v>46104</v>
      </c>
      <c r="C2070" s="3" t="inlineStr">
        <is>
          <t>Bill Payment (Check)</t>
        </is>
      </c>
      <c r="D2070" s="3" t="inlineStr">
        <is>
          <t>11222</t>
        </is>
      </c>
      <c r="E2070" s="3" t="inlineStr">
        <is>
          <t>Ledgerquill Billing SaaS</t>
        </is>
      </c>
      <c r="F2070" s="3" t="inlineStr">
        <is>
          <t>Billing Software as a Service – February</t>
        </is>
      </c>
      <c r="G2070" s="3" t="inlineStr">
        <is>
          <t>Checking – Operating</t>
        </is>
      </c>
      <c r="H2070" s="3" t="inlineStr">
        <is>
          <t>Accounts Payable</t>
        </is>
      </c>
      <c r="I2070" s="33" t="n">
        <v>-10798.84</v>
      </c>
      <c r="J2070" s="13">
        <f>+J2069+I2070</f>
        <v>358505.72</v>
      </c>
      <c r="K2070" s="19">
        <f>+EOMONTH(B2070,0)</f>
        <v>46112</v>
      </c>
      <c r="L2070" s="3" t="inlineStr">
        <is>
          <t>Accounts Payable</t>
        </is>
      </c>
      <c r="M2070" s="3" t="inlineStr">
        <is>
          <t>Balance Sheet</t>
        </is>
      </c>
    </row>
    <row r="2071">
      <c r="B2071" s="39" t="n">
        <v>46105</v>
      </c>
      <c r="C2071" s="3" t="inlineStr">
        <is>
          <t>Bill Payment (Check)</t>
        </is>
      </c>
      <c r="D2071" s="3" t="inlineStr">
        <is>
          <t>10741</t>
        </is>
      </c>
      <c r="E2071" s="3" t="inlineStr">
        <is>
          <t>Lumenlease Equipment</t>
        </is>
      </c>
      <c r="F2071" s="3" t="inlineStr">
        <is>
          <t>Equipment Lease – March</t>
        </is>
      </c>
      <c r="G2071" s="3" t="inlineStr">
        <is>
          <t>Checking – Operating</t>
        </is>
      </c>
      <c r="H2071" s="3" t="inlineStr">
        <is>
          <t>Accounts Payable</t>
        </is>
      </c>
      <c r="I2071" s="33" t="n">
        <v>-3159.04</v>
      </c>
      <c r="J2071" s="13">
        <f>+J2070+I2071</f>
        <v>355346.68</v>
      </c>
      <c r="K2071" s="19">
        <f>+EOMONTH(B2071,0)</f>
        <v>46112</v>
      </c>
      <c r="L2071" s="3" t="inlineStr">
        <is>
          <t>Accounts Payable</t>
        </is>
      </c>
      <c r="M2071" s="3" t="inlineStr">
        <is>
          <t>Balance Sheet</t>
        </is>
      </c>
    </row>
    <row r="2072">
      <c r="B2072" s="39" t="n">
        <v>46105</v>
      </c>
      <c r="C2072" s="3" t="inlineStr">
        <is>
          <t>Bill Payment (Check)</t>
        </is>
      </c>
      <c r="D2072" s="3" t="inlineStr">
        <is>
          <t>11136</t>
        </is>
      </c>
      <c r="E2072" s="3" t="inlineStr">
        <is>
          <t>Tarrowmere Mutual Insurance</t>
        </is>
      </c>
      <c r="F2072" s="3" t="inlineStr">
        <is>
          <t>Benefits – February</t>
        </is>
      </c>
      <c r="G2072" s="3" t="inlineStr">
        <is>
          <t>Checking – Operating</t>
        </is>
      </c>
      <c r="H2072" s="3" t="inlineStr">
        <is>
          <t>Accounts Payable</t>
        </is>
      </c>
      <c r="I2072" s="33" t="n">
        <v>-3246.1</v>
      </c>
      <c r="J2072" s="13">
        <f>+J2071+I2072</f>
        <v>352100.58</v>
      </c>
      <c r="K2072" s="19">
        <f>+EOMONTH(B2072,0)</f>
        <v>46112</v>
      </c>
      <c r="L2072" s="3" t="inlineStr">
        <is>
          <t>Accounts Payable</t>
        </is>
      </c>
      <c r="M2072" s="3" t="inlineStr">
        <is>
          <t>Balance Sheet</t>
        </is>
      </c>
    </row>
    <row r="2073">
      <c r="B2073" s="39" t="n">
        <v>46105</v>
      </c>
      <c r="C2073" s="3" t="inlineStr">
        <is>
          <t>Bill Payment (Check)</t>
        </is>
      </c>
      <c r="D2073" s="3" t="inlineStr">
        <is>
          <t>11145</t>
        </is>
      </c>
      <c r="E2073" s="3" t="inlineStr">
        <is>
          <t>Tarrowmere Mutual Insurance</t>
        </is>
      </c>
      <c r="F2073" s="3" t="inlineStr">
        <is>
          <t>Benefits – March</t>
        </is>
      </c>
      <c r="G2073" s="3" t="inlineStr">
        <is>
          <t>Checking – Operating</t>
        </is>
      </c>
      <c r="H2073" s="3" t="inlineStr">
        <is>
          <t>Accounts Payable</t>
        </is>
      </c>
      <c r="I2073" s="33" t="n">
        <v>-5125.61</v>
      </c>
      <c r="J2073" s="13">
        <f>+J2072+I2073</f>
        <v>346974.97</v>
      </c>
      <c r="K2073" s="19">
        <f>+EOMONTH(B2073,0)</f>
        <v>46112</v>
      </c>
      <c r="L2073" s="3" t="inlineStr">
        <is>
          <t>Accounts Payable</t>
        </is>
      </c>
      <c r="M2073" s="3" t="inlineStr">
        <is>
          <t>Balance Sheet</t>
        </is>
      </c>
    </row>
    <row r="2074">
      <c r="B2074" s="39" t="n">
        <v>46106</v>
      </c>
      <c r="C2074" s="3" t="inlineStr">
        <is>
          <t>Bill</t>
        </is>
      </c>
      <c r="D2074" s="3" t="inlineStr"/>
      <c r="E2074" s="3" t="inlineStr">
        <is>
          <t>Vialtrace Lab Supplies Inc</t>
        </is>
      </c>
      <c r="F2074" s="3" t="inlineStr">
        <is>
          <t>Lab Expenses – March</t>
        </is>
      </c>
      <c r="G2074" s="3" t="inlineStr">
        <is>
          <t>Lab Expenses</t>
        </is>
      </c>
      <c r="H2074" s="3" t="inlineStr">
        <is>
          <t>Accounts Payable</t>
        </is>
      </c>
      <c r="I2074" s="33" t="n">
        <v>7995.25</v>
      </c>
      <c r="J2074" s="13">
        <f>+J2073+I2074</f>
        <v>354970.22</v>
      </c>
      <c r="K2074" s="19">
        <f>+EOMONTH(B2074,0)</f>
        <v>46112</v>
      </c>
      <c r="L2074" s="3" t="inlineStr">
        <is>
          <t>Accounts Payable</t>
        </is>
      </c>
      <c r="M2074" s="3" t="inlineStr">
        <is>
          <t>Balance Sheet</t>
        </is>
      </c>
    </row>
    <row r="2075">
      <c r="B2075" s="39" t="n">
        <v>46106</v>
      </c>
      <c r="C2075" s="3" t="inlineStr">
        <is>
          <t>Bill</t>
        </is>
      </c>
      <c r="D2075" s="3" t="inlineStr"/>
      <c r="E2075" s="3" t="inlineStr">
        <is>
          <t>Reagentix Corp</t>
        </is>
      </c>
      <c r="F2075" s="3" t="inlineStr">
        <is>
          <t>Lab supplies PO# F2116</t>
        </is>
      </c>
      <c r="G2075" s="3" t="inlineStr">
        <is>
          <t>Reagents</t>
        </is>
      </c>
      <c r="H2075" s="3" t="inlineStr">
        <is>
          <t>Accounts Payable</t>
        </is>
      </c>
      <c r="I2075" s="33" t="n">
        <v>13053.71</v>
      </c>
      <c r="J2075" s="13">
        <f>+J2074+I2075</f>
        <v>368023.93</v>
      </c>
      <c r="K2075" s="19">
        <f>+EOMONTH(B2075,0)</f>
        <v>46112</v>
      </c>
      <c r="L2075" s="3" t="inlineStr">
        <is>
          <t>Accounts Payable</t>
        </is>
      </c>
      <c r="M2075" s="3" t="inlineStr">
        <is>
          <t>Balance Sheet</t>
        </is>
      </c>
    </row>
    <row r="2076">
      <c r="B2076" s="39" t="n">
        <v>46106</v>
      </c>
      <c r="C2076" s="3" t="inlineStr">
        <is>
          <t>Bill Payment (Check)</t>
        </is>
      </c>
      <c r="D2076" s="3" t="inlineStr">
        <is>
          <t>10906</t>
        </is>
      </c>
      <c r="E2076" s="3" t="inlineStr">
        <is>
          <t>Halloway Ridge Realty (rent)</t>
        </is>
      </c>
      <c r="F2076" s="3" t="inlineStr">
        <is>
          <t>Rent – March</t>
        </is>
      </c>
      <c r="G2076" s="3" t="inlineStr">
        <is>
          <t>Checking – Operating</t>
        </is>
      </c>
      <c r="H2076" s="3" t="inlineStr">
        <is>
          <t>Accounts Payable</t>
        </is>
      </c>
      <c r="I2076" s="33" t="n">
        <v>-10492.81</v>
      </c>
      <c r="J2076" s="13">
        <f>+J2075+I2076</f>
        <v>357531.12</v>
      </c>
      <c r="K2076" s="19">
        <f>+EOMONTH(B2076,0)</f>
        <v>46112</v>
      </c>
      <c r="L2076" s="3" t="inlineStr">
        <is>
          <t>Accounts Payable</t>
        </is>
      </c>
      <c r="M2076" s="3" t="inlineStr">
        <is>
          <t>Balance Sheet</t>
        </is>
      </c>
    </row>
    <row r="2077">
      <c r="B2077" s="39" t="n">
        <v>46107</v>
      </c>
      <c r="C2077" s="3" t="inlineStr">
        <is>
          <t>Bill Payment (Check)</t>
        </is>
      </c>
      <c r="D2077" s="3" t="inlineStr">
        <is>
          <t>11143</t>
        </is>
      </c>
      <c r="E2077" s="3" t="inlineStr">
        <is>
          <t>Tarrowmere Mutual Insurance</t>
        </is>
      </c>
      <c r="F2077" s="3" t="inlineStr">
        <is>
          <t>Benefits – March</t>
        </is>
      </c>
      <c r="G2077" s="3" t="inlineStr">
        <is>
          <t>Checking – Operating</t>
        </is>
      </c>
      <c r="H2077" s="3" t="inlineStr">
        <is>
          <t>Accounts Payable</t>
        </is>
      </c>
      <c r="I2077" s="33" t="n">
        <v>-4481.53</v>
      </c>
      <c r="J2077" s="13">
        <f>+J2076+I2077</f>
        <v>353049.59</v>
      </c>
      <c r="K2077" s="19">
        <f>+EOMONTH(B2077,0)</f>
        <v>46112</v>
      </c>
      <c r="L2077" s="3" t="inlineStr">
        <is>
          <t>Accounts Payable</t>
        </is>
      </c>
      <c r="M2077" s="3" t="inlineStr">
        <is>
          <t>Balance Sheet</t>
        </is>
      </c>
    </row>
    <row r="2078">
      <c r="B2078" s="39" t="n">
        <v>46108</v>
      </c>
      <c r="C2078" s="3" t="inlineStr">
        <is>
          <t>Bill</t>
        </is>
      </c>
      <c r="D2078" s="3" t="inlineStr"/>
      <c r="E2078" s="3" t="inlineStr">
        <is>
          <t>Reference Lab A</t>
        </is>
      </c>
      <c r="F2078" s="3" t="inlineStr">
        <is>
          <t>Send-out testing – March</t>
        </is>
      </c>
      <c r="G2078" s="3" t="inlineStr">
        <is>
          <t>Laboratory Fees</t>
        </is>
      </c>
      <c r="H2078" s="3" t="inlineStr">
        <is>
          <t>Accounts Payable</t>
        </is>
      </c>
      <c r="I2078" s="33" t="n">
        <v>22756.97</v>
      </c>
      <c r="J2078" s="13">
        <f>+J2077+I2078</f>
        <v>375806.56</v>
      </c>
      <c r="K2078" s="19">
        <f>+EOMONTH(B2078,0)</f>
        <v>46112</v>
      </c>
      <c r="L2078" s="3" t="inlineStr">
        <is>
          <t>Accounts Payable</t>
        </is>
      </c>
      <c r="M2078" s="3" t="inlineStr">
        <is>
          <t>Balance Sheet</t>
        </is>
      </c>
    </row>
    <row r="2079">
      <c r="B2079" s="39" t="n">
        <v>46108</v>
      </c>
      <c r="C2079" s="3" t="inlineStr">
        <is>
          <t>Bill Payment (Check)</t>
        </is>
      </c>
      <c r="D2079" s="3" t="inlineStr">
        <is>
          <t>10462</t>
        </is>
      </c>
      <c r="E2079" s="3" t="inlineStr">
        <is>
          <t>Vialtrace Lab Supplies Inc</t>
        </is>
      </c>
      <c r="F2079" s="3" t="inlineStr">
        <is>
          <t>Lab supplies PO# F2514</t>
        </is>
      </c>
      <c r="G2079" s="3" t="inlineStr">
        <is>
          <t>Checking – Operating</t>
        </is>
      </c>
      <c r="H2079" s="3" t="inlineStr">
        <is>
          <t>Accounts Payable</t>
        </is>
      </c>
      <c r="I2079" s="33" t="n">
        <v>-15350.89</v>
      </c>
      <c r="J2079" s="13">
        <f>+J2078+I2079</f>
        <v>360455.67</v>
      </c>
      <c r="K2079" s="19">
        <f>+EOMONTH(B2079,0)</f>
        <v>46112</v>
      </c>
      <c r="L2079" s="3" t="inlineStr">
        <is>
          <t>Accounts Payable</t>
        </is>
      </c>
      <c r="M2079" s="3" t="inlineStr">
        <is>
          <t>Balance Sheet</t>
        </is>
      </c>
    </row>
    <row r="2080">
      <c r="B2080" s="39" t="n">
        <v>46108</v>
      </c>
      <c r="C2080" s="3" t="inlineStr">
        <is>
          <t>Bill Payment (Check)</t>
        </is>
      </c>
      <c r="D2080" s="3" t="inlineStr">
        <is>
          <t>10549</t>
        </is>
      </c>
      <c r="E2080" s="3" t="inlineStr">
        <is>
          <t>Reagentix Corp</t>
        </is>
      </c>
      <c r="F2080" s="3" t="inlineStr">
        <is>
          <t>Lab supplies PO# F2882</t>
        </is>
      </c>
      <c r="G2080" s="3" t="inlineStr">
        <is>
          <t>Checking – Operating</t>
        </is>
      </c>
      <c r="H2080" s="3" t="inlineStr">
        <is>
          <t>Accounts Payable</t>
        </is>
      </c>
      <c r="I2080" s="33" t="n">
        <v>-10975.39</v>
      </c>
      <c r="J2080" s="13">
        <f>+J2079+I2080</f>
        <v>349480.28</v>
      </c>
      <c r="K2080" s="19">
        <f>+EOMONTH(B2080,0)</f>
        <v>46112</v>
      </c>
      <c r="L2080" s="3" t="inlineStr">
        <is>
          <t>Accounts Payable</t>
        </is>
      </c>
      <c r="M2080" s="3" t="inlineStr">
        <is>
          <t>Balance Sheet</t>
        </is>
      </c>
    </row>
    <row r="2081">
      <c r="B2081" s="39" t="n">
        <v>46108</v>
      </c>
      <c r="C2081" s="3" t="inlineStr">
        <is>
          <t>Bill Payment (Check)</t>
        </is>
      </c>
      <c r="D2081" s="3" t="inlineStr">
        <is>
          <t>11137</t>
        </is>
      </c>
      <c r="E2081" s="3" t="inlineStr">
        <is>
          <t>Tarrowmere Mutual Insurance</t>
        </is>
      </c>
      <c r="F2081" s="3" t="inlineStr">
        <is>
          <t>Benefits – February</t>
        </is>
      </c>
      <c r="G2081" s="3" t="inlineStr">
        <is>
          <t>Checking – Operating</t>
        </is>
      </c>
      <c r="H2081" s="3" t="inlineStr">
        <is>
          <t>Accounts Payable</t>
        </is>
      </c>
      <c r="I2081" s="33" t="n">
        <v>-3391.27</v>
      </c>
      <c r="J2081" s="13">
        <f>+J2080+I2081</f>
        <v>346089.01</v>
      </c>
      <c r="K2081" s="19">
        <f>+EOMONTH(B2081,0)</f>
        <v>46112</v>
      </c>
      <c r="L2081" s="3" t="inlineStr">
        <is>
          <t>Accounts Payable</t>
        </is>
      </c>
      <c r="M2081" s="3" t="inlineStr">
        <is>
          <t>Balance Sheet</t>
        </is>
      </c>
    </row>
    <row r="2082">
      <c r="B2082" s="39" t="n">
        <v>46109</v>
      </c>
      <c r="C2082" s="3" t="inlineStr">
        <is>
          <t>Bill Payment (Check)</t>
        </is>
      </c>
      <c r="D2082" s="3" t="inlineStr">
        <is>
          <t>11225</t>
        </is>
      </c>
      <c r="E2082" s="3" t="inlineStr">
        <is>
          <t>Ledgerquill Billing SaaS</t>
        </is>
      </c>
      <c r="F2082" s="3" t="inlineStr">
        <is>
          <t>Billing Software as a Service – March</t>
        </is>
      </c>
      <c r="G2082" s="3" t="inlineStr">
        <is>
          <t>Checking – Operating</t>
        </is>
      </c>
      <c r="H2082" s="3" t="inlineStr">
        <is>
          <t>Accounts Payable</t>
        </is>
      </c>
      <c r="I2082" s="33" t="n">
        <v>-9465.32</v>
      </c>
      <c r="J2082" s="13">
        <f>+J2081+I2082</f>
        <v>336623.69</v>
      </c>
      <c r="K2082" s="19">
        <f>+EOMONTH(B2082,0)</f>
        <v>46112</v>
      </c>
      <c r="L2082" s="3" t="inlineStr">
        <is>
          <t>Accounts Payable</t>
        </is>
      </c>
      <c r="M2082" s="3" t="inlineStr">
        <is>
          <t>Balance Sheet</t>
        </is>
      </c>
    </row>
    <row r="2083">
      <c r="B2083" s="39" t="n">
        <v>46110</v>
      </c>
      <c r="C2083" s="3" t="inlineStr">
        <is>
          <t>Bill Payment (Check)</t>
        </is>
      </c>
      <c r="D2083" s="3" t="inlineStr">
        <is>
          <t>10508</t>
        </is>
      </c>
      <c r="E2083" s="3" t="inlineStr">
        <is>
          <t>Reference Lab A</t>
        </is>
      </c>
      <c r="F2083" s="3" t="inlineStr">
        <is>
          <t>Send-out testing – March</t>
        </is>
      </c>
      <c r="G2083" s="3" t="inlineStr">
        <is>
          <t>Checking – Operating</t>
        </is>
      </c>
      <c r="H2083" s="3" t="inlineStr">
        <is>
          <t>Accounts Payable</t>
        </is>
      </c>
      <c r="I2083" s="33" t="n">
        <v>-33005.86</v>
      </c>
      <c r="J2083" s="13">
        <f>+J2082+I2083</f>
        <v>303617.83</v>
      </c>
      <c r="K2083" s="19">
        <f>+EOMONTH(B2083,0)</f>
        <v>46112</v>
      </c>
      <c r="L2083" s="3" t="inlineStr">
        <is>
          <t>Accounts Payable</t>
        </is>
      </c>
      <c r="M2083" s="3" t="inlineStr">
        <is>
          <t>Balance Sheet</t>
        </is>
      </c>
    </row>
    <row r="2084">
      <c r="B2084" s="39" t="n">
        <v>46110</v>
      </c>
      <c r="C2084" s="3" t="inlineStr">
        <is>
          <t>Bill Payment (Check)</t>
        </is>
      </c>
      <c r="D2084" s="3" t="inlineStr">
        <is>
          <t>10548</t>
        </is>
      </c>
      <c r="E2084" s="3" t="inlineStr">
        <is>
          <t>Reagentix Corp</t>
        </is>
      </c>
      <c r="F2084" s="3" t="inlineStr">
        <is>
          <t>Lab supplies PO# F2949</t>
        </is>
      </c>
      <c r="G2084" s="3" t="inlineStr">
        <is>
          <t>Checking – Operating</t>
        </is>
      </c>
      <c r="H2084" s="3" t="inlineStr">
        <is>
          <t>Accounts Payable</t>
        </is>
      </c>
      <c r="I2084" s="33" t="n">
        <v>-12831.77</v>
      </c>
      <c r="J2084" s="13">
        <f>+J2083+I2084</f>
        <v>290786.06</v>
      </c>
      <c r="K2084" s="19">
        <f>+EOMONTH(B2084,0)</f>
        <v>46112</v>
      </c>
      <c r="L2084" s="3" t="inlineStr">
        <is>
          <t>Accounts Payable</t>
        </is>
      </c>
      <c r="M2084" s="3" t="inlineStr">
        <is>
          <t>Balance Sheet</t>
        </is>
      </c>
    </row>
    <row r="2085">
      <c r="B2085" s="39" t="n">
        <v>46110</v>
      </c>
      <c r="C2085" s="3" t="inlineStr">
        <is>
          <t>Bill Payment (Check)</t>
        </is>
      </c>
      <c r="D2085" s="3" t="inlineStr">
        <is>
          <t>10977</t>
        </is>
      </c>
      <c r="E2085" s="3" t="inlineStr">
        <is>
          <t>Northmoor Waste Services</t>
        </is>
      </c>
      <c r="F2085" s="3" t="inlineStr">
        <is>
          <t>Hazard Waste – March</t>
        </is>
      </c>
      <c r="G2085" s="3" t="inlineStr">
        <is>
          <t>Checking – Operating</t>
        </is>
      </c>
      <c r="H2085" s="3" t="inlineStr">
        <is>
          <t>Accounts Payable</t>
        </is>
      </c>
      <c r="I2085" s="33" t="n">
        <v>-891.87</v>
      </c>
      <c r="J2085" s="13">
        <f>+J2084+I2085</f>
        <v>289894.19</v>
      </c>
      <c r="K2085" s="19">
        <f>+EOMONTH(B2085,0)</f>
        <v>46112</v>
      </c>
      <c r="L2085" s="3" t="inlineStr">
        <is>
          <t>Accounts Payable</t>
        </is>
      </c>
      <c r="M2085" s="3" t="inlineStr">
        <is>
          <t>Balance Sheet</t>
        </is>
      </c>
    </row>
    <row r="2086">
      <c r="B2086" s="39" t="n">
        <v>46112</v>
      </c>
      <c r="C2086" s="3" t="inlineStr">
        <is>
          <t>Bill</t>
        </is>
      </c>
      <c r="D2086" s="3" t="inlineStr"/>
      <c r="E2086" s="3" t="inlineStr">
        <is>
          <t>Vialtrace Lab Supplies Inc</t>
        </is>
      </c>
      <c r="F2086" s="3" t="inlineStr">
        <is>
          <t>Lab Expenses – March</t>
        </is>
      </c>
      <c r="G2086" s="3" t="inlineStr">
        <is>
          <t>Lab Expenses</t>
        </is>
      </c>
      <c r="H2086" s="3" t="inlineStr">
        <is>
          <t>Accounts Payable</t>
        </is>
      </c>
      <c r="I2086" s="33" t="n">
        <v>8073.76</v>
      </c>
      <c r="J2086" s="13">
        <f>+J2085+I2086</f>
        <v>297967.95</v>
      </c>
      <c r="K2086" s="19">
        <f>+EOMONTH(B2086,0)</f>
        <v>46112</v>
      </c>
      <c r="L2086" s="3" t="inlineStr">
        <is>
          <t>Accounts Payable</t>
        </is>
      </c>
      <c r="M2086" s="3" t="inlineStr">
        <is>
          <t>Balance Sheet</t>
        </is>
      </c>
    </row>
    <row r="2087">
      <c r="B2087" s="39" t="n">
        <v>46112</v>
      </c>
      <c r="C2087" s="3" t="inlineStr">
        <is>
          <t>Bill Payment (Check)</t>
        </is>
      </c>
      <c r="D2087" s="3" t="inlineStr">
        <is>
          <t>10641</t>
        </is>
      </c>
      <c r="E2087" s="3" t="inlineStr">
        <is>
          <t>Swiftmere Courier</t>
        </is>
      </c>
      <c r="F2087" s="3" t="inlineStr">
        <is>
          <t>Delivery and Transportation – March</t>
        </is>
      </c>
      <c r="G2087" s="3" t="inlineStr">
        <is>
          <t>Checking – Operating</t>
        </is>
      </c>
      <c r="H2087" s="3" t="inlineStr">
        <is>
          <t>Accounts Payable</t>
        </is>
      </c>
      <c r="I2087" s="33" t="n">
        <v>-3103.94</v>
      </c>
      <c r="J2087" s="13">
        <f>+J2086+I2087</f>
        <v>294864.01</v>
      </c>
      <c r="K2087" s="19">
        <f>+EOMONTH(B2087,0)</f>
        <v>46112</v>
      </c>
      <c r="L2087" s="3" t="inlineStr">
        <is>
          <t>Accounts Payable</t>
        </is>
      </c>
      <c r="M2087" s="3" t="inlineStr">
        <is>
          <t>Balance Sheet</t>
        </is>
      </c>
    </row>
    <row r="2088">
      <c r="B2088" s="39" t="n">
        <v>46113</v>
      </c>
      <c r="C2088" s="3" t="inlineStr">
        <is>
          <t>Bill Payment (Check)</t>
        </is>
      </c>
      <c r="D2088" s="3" t="inlineStr">
        <is>
          <t>10642</t>
        </is>
      </c>
      <c r="E2088" s="3" t="inlineStr">
        <is>
          <t>Swiftmere Courier</t>
        </is>
      </c>
      <c r="F2088" s="3" t="inlineStr">
        <is>
          <t>Delivery and Transportation – March</t>
        </is>
      </c>
      <c r="G2088" s="3" t="inlineStr">
        <is>
          <t>Checking – Operating</t>
        </is>
      </c>
      <c r="H2088" s="3" t="inlineStr">
        <is>
          <t>Accounts Payable</t>
        </is>
      </c>
      <c r="I2088" s="33" t="n">
        <v>-4496.06</v>
      </c>
      <c r="J2088" s="13">
        <f>+J2087+I2088</f>
        <v>290367.95</v>
      </c>
      <c r="K2088" s="19">
        <f>+EOMONTH(B2088,0)</f>
        <v>46142</v>
      </c>
      <c r="L2088" s="3" t="inlineStr">
        <is>
          <t>Accounts Payable</t>
        </is>
      </c>
      <c r="M2088" s="3" t="inlineStr">
        <is>
          <t>Balance Sheet</t>
        </is>
      </c>
    </row>
    <row r="2089">
      <c r="B2089" s="39" t="n">
        <v>46114</v>
      </c>
      <c r="C2089" s="3" t="inlineStr">
        <is>
          <t>Bill</t>
        </is>
      </c>
      <c r="D2089" s="3" t="inlineStr"/>
      <c r="E2089" s="3" t="inlineStr">
        <is>
          <t>Reference Lab A</t>
        </is>
      </c>
      <c r="F2089" s="3" t="inlineStr">
        <is>
          <t>Send-out testing – April</t>
        </is>
      </c>
      <c r="G2089" s="3" t="inlineStr">
        <is>
          <t>Laboratory Fees</t>
        </is>
      </c>
      <c r="H2089" s="3" t="inlineStr">
        <is>
          <t>Accounts Payable</t>
        </is>
      </c>
      <c r="I2089" s="33" t="n">
        <v>32507.15</v>
      </c>
      <c r="J2089" s="13">
        <f>+J2088+I2089</f>
        <v>322875.1</v>
      </c>
      <c r="K2089" s="19">
        <f>+EOMONTH(B2089,0)</f>
        <v>46142</v>
      </c>
      <c r="L2089" s="3" t="inlineStr">
        <is>
          <t>Accounts Payable</t>
        </is>
      </c>
      <c r="M2089" s="3" t="inlineStr">
        <is>
          <t>Balance Sheet</t>
        </is>
      </c>
    </row>
    <row r="2090">
      <c r="B2090" s="39" t="n">
        <v>46114</v>
      </c>
      <c r="C2090" s="3" t="inlineStr">
        <is>
          <t>Bill</t>
        </is>
      </c>
      <c r="D2090" s="3" t="inlineStr"/>
      <c r="E2090" s="3" t="inlineStr">
        <is>
          <t>Tarrowmere Mutual Insurance</t>
        </is>
      </c>
      <c r="F2090" s="3" t="inlineStr">
        <is>
          <t>Benefits – April</t>
        </is>
      </c>
      <c r="G2090" s="3" t="inlineStr">
        <is>
          <t>Benefits</t>
        </is>
      </c>
      <c r="H2090" s="3" t="inlineStr">
        <is>
          <t>Accounts Payable</t>
        </is>
      </c>
      <c r="I2090" s="33" t="n">
        <v>5103.61</v>
      </c>
      <c r="J2090" s="13">
        <f>+J2089+I2090</f>
        <v>327978.71</v>
      </c>
      <c r="K2090" s="19">
        <f>+EOMONTH(B2090,0)</f>
        <v>46142</v>
      </c>
      <c r="L2090" s="3" t="inlineStr">
        <is>
          <t>Accounts Payable</t>
        </is>
      </c>
      <c r="M2090" s="3" t="inlineStr">
        <is>
          <t>Balance Sheet</t>
        </is>
      </c>
    </row>
    <row r="2091">
      <c r="B2091" s="39" t="n">
        <v>46114</v>
      </c>
      <c r="C2091" s="3" t="inlineStr">
        <is>
          <t>Bill Payment (Check)</t>
        </is>
      </c>
      <c r="D2091" s="3" t="inlineStr">
        <is>
          <t>11229</t>
        </is>
      </c>
      <c r="E2091" s="3" t="inlineStr">
        <is>
          <t>Ledgerquill Billing SaaS</t>
        </is>
      </c>
      <c r="F2091" s="3" t="inlineStr">
        <is>
          <t>Billing Software as a Service – March</t>
        </is>
      </c>
      <c r="G2091" s="3" t="inlineStr">
        <is>
          <t>Checking – Operating</t>
        </is>
      </c>
      <c r="H2091" s="3" t="inlineStr">
        <is>
          <t>Accounts Payable</t>
        </is>
      </c>
      <c r="I2091" s="33" t="n">
        <v>-15462.2</v>
      </c>
      <c r="J2091" s="13">
        <f>+J2090+I2091</f>
        <v>312516.51</v>
      </c>
      <c r="K2091" s="19">
        <f>+EOMONTH(B2091,0)</f>
        <v>46142</v>
      </c>
      <c r="L2091" s="3" t="inlineStr">
        <is>
          <t>Accounts Payable</t>
        </is>
      </c>
      <c r="M2091" s="3" t="inlineStr">
        <is>
          <t>Balance Sheet</t>
        </is>
      </c>
    </row>
    <row r="2092">
      <c r="B2092" s="39" t="n">
        <v>46115</v>
      </c>
      <c r="C2092" s="3" t="inlineStr">
        <is>
          <t>Bill</t>
        </is>
      </c>
      <c r="D2092" s="3" t="inlineStr"/>
      <c r="E2092" s="3" t="inlineStr">
        <is>
          <t>Swiftmere Courier</t>
        </is>
      </c>
      <c r="F2092" s="3" t="inlineStr">
        <is>
          <t>Delivery and Transportation – April</t>
        </is>
      </c>
      <c r="G2092" s="3" t="inlineStr">
        <is>
          <t>Delivery and Transportation</t>
        </is>
      </c>
      <c r="H2092" s="3" t="inlineStr">
        <is>
          <t>Accounts Payable</t>
        </is>
      </c>
      <c r="I2092" s="33" t="n">
        <v>4344.1</v>
      </c>
      <c r="J2092" s="13">
        <f>+J2091+I2092</f>
        <v>316860.61</v>
      </c>
      <c r="K2092" s="19">
        <f>+EOMONTH(B2092,0)</f>
        <v>46142</v>
      </c>
      <c r="L2092" s="3" t="inlineStr">
        <is>
          <t>Accounts Payable</t>
        </is>
      </c>
      <c r="M2092" s="3" t="inlineStr">
        <is>
          <t>Balance Sheet</t>
        </is>
      </c>
    </row>
    <row r="2093">
      <c r="B2093" s="39" t="n">
        <v>46115</v>
      </c>
      <c r="C2093" s="3" t="inlineStr">
        <is>
          <t>Bill</t>
        </is>
      </c>
      <c r="D2093" s="3" t="inlineStr"/>
      <c r="E2093" s="3" t="inlineStr">
        <is>
          <t>Tarrowmere Mutual Insurance</t>
        </is>
      </c>
      <c r="F2093" s="3" t="inlineStr">
        <is>
          <t>Premium installment</t>
        </is>
      </c>
      <c r="G2093" s="3" t="inlineStr">
        <is>
          <t>Insurance Expense</t>
        </is>
      </c>
      <c r="H2093" s="3" t="inlineStr">
        <is>
          <t>Accounts Payable</t>
        </is>
      </c>
      <c r="I2093" s="33" t="n">
        <v>8570.07</v>
      </c>
      <c r="J2093" s="13">
        <f>+J2092+I2093</f>
        <v>325430.68</v>
      </c>
      <c r="K2093" s="19">
        <f>+EOMONTH(B2093,0)</f>
        <v>46142</v>
      </c>
      <c r="L2093" s="3" t="inlineStr">
        <is>
          <t>Accounts Payable</t>
        </is>
      </c>
      <c r="M2093" s="3" t="inlineStr">
        <is>
          <t>Balance Sheet</t>
        </is>
      </c>
    </row>
    <row r="2094">
      <c r="B2094" s="39" t="n">
        <v>46117</v>
      </c>
      <c r="C2094" s="3" t="inlineStr">
        <is>
          <t>Bill</t>
        </is>
      </c>
      <c r="D2094" s="3" t="inlineStr"/>
      <c r="E2094" s="3" t="inlineStr">
        <is>
          <t>Tarrowmere Mutual Insurance</t>
        </is>
      </c>
      <c r="F2094" s="3" t="inlineStr">
        <is>
          <t>Benefits – April</t>
        </is>
      </c>
      <c r="G2094" s="3" t="inlineStr">
        <is>
          <t>Benefits</t>
        </is>
      </c>
      <c r="H2094" s="3" t="inlineStr">
        <is>
          <t>Accounts Payable</t>
        </is>
      </c>
      <c r="I2094" s="33" t="n">
        <v>6559.15</v>
      </c>
      <c r="J2094" s="13">
        <f>+J2093+I2094</f>
        <v>331989.83</v>
      </c>
      <c r="K2094" s="19">
        <f>+EOMONTH(B2094,0)</f>
        <v>46142</v>
      </c>
      <c r="L2094" s="3" t="inlineStr">
        <is>
          <t>Accounts Payable</t>
        </is>
      </c>
      <c r="M2094" s="3" t="inlineStr">
        <is>
          <t>Balance Sheet</t>
        </is>
      </c>
    </row>
    <row r="2095">
      <c r="B2095" s="39" t="n">
        <v>46117</v>
      </c>
      <c r="C2095" s="3" t="inlineStr">
        <is>
          <t>Bill Payment (Check)</t>
        </is>
      </c>
      <c r="D2095" s="3" t="inlineStr">
        <is>
          <t>10740</t>
        </is>
      </c>
      <c r="E2095" s="3" t="inlineStr">
        <is>
          <t>Lumenlease Equipment</t>
        </is>
      </c>
      <c r="F2095" s="3" t="inlineStr">
        <is>
          <t>Equipment Lease – March</t>
        </is>
      </c>
      <c r="G2095" s="3" t="inlineStr">
        <is>
          <t>Checking – Operating</t>
        </is>
      </c>
      <c r="H2095" s="3" t="inlineStr">
        <is>
          <t>Accounts Payable</t>
        </is>
      </c>
      <c r="I2095" s="33" t="n">
        <v>-3740.96</v>
      </c>
      <c r="J2095" s="13">
        <f>+J2094+I2095</f>
        <v>328248.87</v>
      </c>
      <c r="K2095" s="19">
        <f>+EOMONTH(B2095,0)</f>
        <v>46142</v>
      </c>
      <c r="L2095" s="3" t="inlineStr">
        <is>
          <t>Accounts Payable</t>
        </is>
      </c>
      <c r="M2095" s="3" t="inlineStr">
        <is>
          <t>Balance Sheet</t>
        </is>
      </c>
    </row>
    <row r="2096">
      <c r="B2096" s="39" t="n">
        <v>46118</v>
      </c>
      <c r="C2096" s="3" t="inlineStr">
        <is>
          <t>Bill Payment (Check)</t>
        </is>
      </c>
      <c r="D2096" s="3" t="inlineStr">
        <is>
          <t>10465</t>
        </is>
      </c>
      <c r="E2096" s="3" t="inlineStr">
        <is>
          <t>Vialtrace Lab Supplies Inc</t>
        </is>
      </c>
      <c r="F2096" s="3" t="inlineStr">
        <is>
          <t>Lab supplies PO# F2245</t>
        </is>
      </c>
      <c r="G2096" s="3" t="inlineStr">
        <is>
          <t>Checking – Operating</t>
        </is>
      </c>
      <c r="H2096" s="3" t="inlineStr">
        <is>
          <t>Accounts Payable</t>
        </is>
      </c>
      <c r="I2096" s="33" t="n">
        <v>-38892.2</v>
      </c>
      <c r="J2096" s="13">
        <f>+J2095+I2096</f>
        <v>289356.67</v>
      </c>
      <c r="K2096" s="19">
        <f>+EOMONTH(B2096,0)</f>
        <v>46142</v>
      </c>
      <c r="L2096" s="3" t="inlineStr">
        <is>
          <t>Accounts Payable</t>
        </is>
      </c>
      <c r="M2096" s="3" t="inlineStr">
        <is>
          <t>Balance Sheet</t>
        </is>
      </c>
    </row>
    <row r="2097">
      <c r="B2097" s="39" t="n">
        <v>46118</v>
      </c>
      <c r="C2097" s="3" t="inlineStr">
        <is>
          <t>Bill Payment (Check)</t>
        </is>
      </c>
      <c r="D2097" s="3" t="inlineStr">
        <is>
          <t>10547</t>
        </is>
      </c>
      <c r="E2097" s="3" t="inlineStr">
        <is>
          <t>Reagentix Corp</t>
        </is>
      </c>
      <c r="F2097" s="3" t="inlineStr">
        <is>
          <t>Lab supplies PO# F2993</t>
        </is>
      </c>
      <c r="G2097" s="3" t="inlineStr">
        <is>
          <t>Checking – Operating</t>
        </is>
      </c>
      <c r="H2097" s="3" t="inlineStr">
        <is>
          <t>Accounts Payable</t>
        </is>
      </c>
      <c r="I2097" s="33" t="n">
        <v>-11539.13</v>
      </c>
      <c r="J2097" s="13">
        <f>+J2096+I2097</f>
        <v>277817.54</v>
      </c>
      <c r="K2097" s="19">
        <f>+EOMONTH(B2097,0)</f>
        <v>46142</v>
      </c>
      <c r="L2097" s="3" t="inlineStr">
        <is>
          <t>Accounts Payable</t>
        </is>
      </c>
      <c r="M2097" s="3" t="inlineStr">
        <is>
          <t>Balance Sheet</t>
        </is>
      </c>
    </row>
    <row r="2098">
      <c r="B2098" s="39" t="n">
        <v>46118</v>
      </c>
      <c r="C2098" s="3" t="inlineStr">
        <is>
          <t>Bill Payment (Check)</t>
        </is>
      </c>
      <c r="D2098" s="3" t="inlineStr">
        <is>
          <t>11141</t>
        </is>
      </c>
      <c r="E2098" s="3" t="inlineStr">
        <is>
          <t>Tarrowmere Mutual Insurance</t>
        </is>
      </c>
      <c r="F2098" s="3" t="inlineStr">
        <is>
          <t>Benefits – March</t>
        </is>
      </c>
      <c r="G2098" s="3" t="inlineStr">
        <is>
          <t>Checking – Operating</t>
        </is>
      </c>
      <c r="H2098" s="3" t="inlineStr">
        <is>
          <t>Accounts Payable</t>
        </is>
      </c>
      <c r="I2098" s="33" t="n">
        <v>-5651.73</v>
      </c>
      <c r="J2098" s="13">
        <f>+J2097+I2098</f>
        <v>272165.81</v>
      </c>
      <c r="K2098" s="19">
        <f>+EOMONTH(B2098,0)</f>
        <v>46142</v>
      </c>
      <c r="L2098" s="3" t="inlineStr">
        <is>
          <t>Accounts Payable</t>
        </is>
      </c>
      <c r="M2098" s="3" t="inlineStr">
        <is>
          <t>Balance Sheet</t>
        </is>
      </c>
    </row>
    <row r="2099">
      <c r="B2099" s="39" t="n">
        <v>46119</v>
      </c>
      <c r="C2099" s="3" t="inlineStr">
        <is>
          <t>Bill</t>
        </is>
      </c>
      <c r="D2099" s="3" t="inlineStr"/>
      <c r="E2099" s="3" t="inlineStr">
        <is>
          <t>Vialtrace Lab Supplies Inc</t>
        </is>
      </c>
      <c r="F2099" s="3" t="inlineStr">
        <is>
          <t>Lab supplies PO# F2267</t>
        </is>
      </c>
      <c r="G2099" s="3" t="inlineStr">
        <is>
          <t>Lab Supplies</t>
        </is>
      </c>
      <c r="H2099" s="3" t="inlineStr">
        <is>
          <t>Accounts Payable</t>
        </is>
      </c>
      <c r="I2099" s="33" t="n">
        <v>30112.16</v>
      </c>
      <c r="J2099" s="13">
        <f>+J2098+I2099</f>
        <v>302277.97</v>
      </c>
      <c r="K2099" s="19">
        <f>+EOMONTH(B2099,0)</f>
        <v>46142</v>
      </c>
      <c r="L2099" s="3" t="inlineStr">
        <is>
          <t>Accounts Payable</t>
        </is>
      </c>
      <c r="M2099" s="3" t="inlineStr">
        <is>
          <t>Balance Sheet</t>
        </is>
      </c>
    </row>
    <row r="2100">
      <c r="B2100" s="39" t="n">
        <v>46119</v>
      </c>
      <c r="C2100" s="3" t="inlineStr">
        <is>
          <t>Bill</t>
        </is>
      </c>
      <c r="D2100" s="3" t="inlineStr"/>
      <c r="E2100" s="3" t="inlineStr">
        <is>
          <t>Reagentix Corp</t>
        </is>
      </c>
      <c r="F2100" s="3" t="inlineStr">
        <is>
          <t>Lab supplies PO# F2745</t>
        </is>
      </c>
      <c r="G2100" s="3" t="inlineStr">
        <is>
          <t>Reagents</t>
        </is>
      </c>
      <c r="H2100" s="3" t="inlineStr">
        <is>
          <t>Accounts Payable</t>
        </is>
      </c>
      <c r="I2100" s="33" t="n">
        <v>16231.9</v>
      </c>
      <c r="J2100" s="13">
        <f>+J2099+I2100</f>
        <v>318509.87</v>
      </c>
      <c r="K2100" s="19">
        <f>+EOMONTH(B2100,0)</f>
        <v>46142</v>
      </c>
      <c r="L2100" s="3" t="inlineStr">
        <is>
          <t>Accounts Payable</t>
        </is>
      </c>
      <c r="M2100" s="3" t="inlineStr">
        <is>
          <t>Balance Sheet</t>
        </is>
      </c>
    </row>
    <row r="2101">
      <c r="B2101" s="39" t="n">
        <v>46119</v>
      </c>
      <c r="C2101" s="3" t="inlineStr">
        <is>
          <t>Bill</t>
        </is>
      </c>
      <c r="D2101" s="3" t="inlineStr"/>
      <c r="E2101" s="3" t="inlineStr">
        <is>
          <t>Swiftmere Courier</t>
        </is>
      </c>
      <c r="F2101" s="3" t="inlineStr">
        <is>
          <t>Delivery and Transportation – April</t>
        </is>
      </c>
      <c r="G2101" s="3" t="inlineStr">
        <is>
          <t>Delivery and Transportation</t>
        </is>
      </c>
      <c r="H2101" s="3" t="inlineStr">
        <is>
          <t>Accounts Payable</t>
        </is>
      </c>
      <c r="I2101" s="33" t="n">
        <v>3755.9</v>
      </c>
      <c r="J2101" s="13">
        <f>+J2100+I2101</f>
        <v>322265.77</v>
      </c>
      <c r="K2101" s="19">
        <f>+EOMONTH(B2101,0)</f>
        <v>46142</v>
      </c>
      <c r="L2101" s="3" t="inlineStr">
        <is>
          <t>Accounts Payable</t>
        </is>
      </c>
      <c r="M2101" s="3" t="inlineStr">
        <is>
          <t>Balance Sheet</t>
        </is>
      </c>
    </row>
    <row r="2102">
      <c r="B2102" s="39" t="n">
        <v>46119</v>
      </c>
      <c r="C2102" s="3" t="inlineStr">
        <is>
          <t>Bill</t>
        </is>
      </c>
      <c r="D2102" s="3" t="inlineStr"/>
      <c r="E2102" s="3" t="inlineStr">
        <is>
          <t>Lumenlease Equipment</t>
        </is>
      </c>
      <c r="F2102" s="3" t="inlineStr">
        <is>
          <t>Lab Equipment – April</t>
        </is>
      </c>
      <c r="G2102" s="3" t="inlineStr">
        <is>
          <t>Lab Equipment</t>
        </is>
      </c>
      <c r="H2102" s="3" t="inlineStr">
        <is>
          <t>Accounts Payable</t>
        </is>
      </c>
      <c r="I2102" s="33" t="n">
        <v>2982.89</v>
      </c>
      <c r="J2102" s="13">
        <f>+J2101+I2102</f>
        <v>325248.66</v>
      </c>
      <c r="K2102" s="19">
        <f>+EOMONTH(B2102,0)</f>
        <v>46142</v>
      </c>
      <c r="L2102" s="3" t="inlineStr">
        <is>
          <t>Accounts Payable</t>
        </is>
      </c>
      <c r="M2102" s="3" t="inlineStr">
        <is>
          <t>Balance Sheet</t>
        </is>
      </c>
    </row>
    <row r="2103">
      <c r="B2103" s="39" t="n">
        <v>46119</v>
      </c>
      <c r="C2103" s="3" t="inlineStr">
        <is>
          <t>Bill</t>
        </is>
      </c>
      <c r="D2103" s="3" t="inlineStr"/>
      <c r="E2103" s="3" t="inlineStr">
        <is>
          <t>Halloway Ridge Realty (rent)</t>
        </is>
      </c>
      <c r="F2103" s="3" t="inlineStr">
        <is>
          <t>Rent – April</t>
        </is>
      </c>
      <c r="G2103" s="3" t="inlineStr">
        <is>
          <t>Rent Expense</t>
        </is>
      </c>
      <c r="H2103" s="3" t="inlineStr">
        <is>
          <t>Accounts Payable</t>
        </is>
      </c>
      <c r="I2103" s="33" t="n">
        <v>7884.66</v>
      </c>
      <c r="J2103" s="13">
        <f>+J2102+I2103</f>
        <v>333133.32</v>
      </c>
      <c r="K2103" s="19">
        <f>+EOMONTH(B2103,0)</f>
        <v>46142</v>
      </c>
      <c r="L2103" s="3" t="inlineStr">
        <is>
          <t>Accounts Payable</t>
        </is>
      </c>
      <c r="M2103" s="3" t="inlineStr">
        <is>
          <t>Balance Sheet</t>
        </is>
      </c>
    </row>
    <row r="2104">
      <c r="B2104" s="39" t="n">
        <v>46119</v>
      </c>
      <c r="C2104" s="3" t="inlineStr">
        <is>
          <t>Bill</t>
        </is>
      </c>
      <c r="D2104" s="3" t="inlineStr"/>
      <c r="E2104" s="3" t="inlineStr">
        <is>
          <t>Ledgerquill Billing SaaS</t>
        </is>
      </c>
      <c r="F2104" s="3" t="inlineStr">
        <is>
          <t>Billing Software as a Service – April</t>
        </is>
      </c>
      <c r="G2104" s="3" t="inlineStr">
        <is>
          <t>Billing Software as a Service</t>
        </is>
      </c>
      <c r="H2104" s="3" t="inlineStr">
        <is>
          <t>Accounts Payable</t>
        </is>
      </c>
      <c r="I2104" s="33" t="n">
        <v>20357.83</v>
      </c>
      <c r="J2104" s="13">
        <f>+J2103+I2104</f>
        <v>353491.15</v>
      </c>
      <c r="K2104" s="19">
        <f>+EOMONTH(B2104,0)</f>
        <v>46142</v>
      </c>
      <c r="L2104" s="3" t="inlineStr">
        <is>
          <t>Accounts Payable</t>
        </is>
      </c>
      <c r="M2104" s="3" t="inlineStr">
        <is>
          <t>Balance Sheet</t>
        </is>
      </c>
    </row>
    <row r="2105">
      <c r="B2105" s="39" t="n">
        <v>46119</v>
      </c>
      <c r="C2105" s="3" t="inlineStr">
        <is>
          <t>Bill Payment (Check)</t>
        </is>
      </c>
      <c r="D2105" s="3" t="inlineStr">
        <is>
          <t>10695</t>
        </is>
      </c>
      <c r="E2105" s="3" t="inlineStr">
        <is>
          <t>Tarrowmere Mutual Insurance</t>
        </is>
      </c>
      <c r="F2105" s="3" t="inlineStr">
        <is>
          <t>Premium installment</t>
        </is>
      </c>
      <c r="G2105" s="3" t="inlineStr">
        <is>
          <t>Checking – Operating</t>
        </is>
      </c>
      <c r="H2105" s="3" t="inlineStr">
        <is>
          <t>Accounts Payable</t>
        </is>
      </c>
      <c r="I2105" s="33" t="n">
        <v>-7016.78</v>
      </c>
      <c r="J2105" s="13">
        <f>+J2104+I2105</f>
        <v>346474.37</v>
      </c>
      <c r="K2105" s="19">
        <f>+EOMONTH(B2105,0)</f>
        <v>46142</v>
      </c>
      <c r="L2105" s="3" t="inlineStr">
        <is>
          <t>Accounts Payable</t>
        </is>
      </c>
      <c r="M2105" s="3" t="inlineStr">
        <is>
          <t>Balance Sheet</t>
        </is>
      </c>
    </row>
    <row r="2106">
      <c r="B2106" s="39" t="n">
        <v>46119</v>
      </c>
      <c r="C2106" s="3" t="inlineStr">
        <is>
          <t>Bill Payment (Check)</t>
        </is>
      </c>
      <c r="D2106" s="3" t="inlineStr">
        <is>
          <t>11227</t>
        </is>
      </c>
      <c r="E2106" s="3" t="inlineStr">
        <is>
          <t>Ledgerquill Billing SaaS</t>
        </is>
      </c>
      <c r="F2106" s="3" t="inlineStr">
        <is>
          <t>Billing Software as a Service – March</t>
        </is>
      </c>
      <c r="G2106" s="3" t="inlineStr">
        <is>
          <t>Checking – Operating</t>
        </is>
      </c>
      <c r="H2106" s="3" t="inlineStr">
        <is>
          <t>Accounts Payable</t>
        </is>
      </c>
      <c r="I2106" s="33" t="n">
        <v>-9372.870000000001</v>
      </c>
      <c r="J2106" s="13">
        <f>+J2105+I2106</f>
        <v>337101.5</v>
      </c>
      <c r="K2106" s="19">
        <f>+EOMONTH(B2106,0)</f>
        <v>46142</v>
      </c>
      <c r="L2106" s="3" t="inlineStr">
        <is>
          <t>Accounts Payable</t>
        </is>
      </c>
      <c r="M2106" s="3" t="inlineStr">
        <is>
          <t>Balance Sheet</t>
        </is>
      </c>
    </row>
    <row r="2107">
      <c r="B2107" s="39" t="n">
        <v>46120</v>
      </c>
      <c r="C2107" s="3" t="inlineStr">
        <is>
          <t>Bill</t>
        </is>
      </c>
      <c r="D2107" s="3" t="inlineStr"/>
      <c r="E2107" s="3" t="inlineStr">
        <is>
          <t>Lumenlease Equipment</t>
        </is>
      </c>
      <c r="F2107" s="3" t="inlineStr">
        <is>
          <t>Equipment Lease – April</t>
        </is>
      </c>
      <c r="G2107" s="3" t="inlineStr">
        <is>
          <t>Equipment Lease</t>
        </is>
      </c>
      <c r="H2107" s="3" t="inlineStr">
        <is>
          <t>Accounts Payable</t>
        </is>
      </c>
      <c r="I2107" s="33" t="n">
        <v>4100.25</v>
      </c>
      <c r="J2107" s="13">
        <f>+J2106+I2107</f>
        <v>341201.75</v>
      </c>
      <c r="K2107" s="19">
        <f>+EOMONTH(B2107,0)</f>
        <v>46142</v>
      </c>
      <c r="L2107" s="3" t="inlineStr">
        <is>
          <t>Accounts Payable</t>
        </is>
      </c>
      <c r="M2107" s="3" t="inlineStr">
        <is>
          <t>Balance Sheet</t>
        </is>
      </c>
    </row>
    <row r="2108">
      <c r="B2108" s="39" t="n">
        <v>46120</v>
      </c>
      <c r="C2108" s="3" t="inlineStr">
        <is>
          <t>Bill</t>
        </is>
      </c>
      <c r="D2108" s="3" t="inlineStr"/>
      <c r="E2108" s="3" t="inlineStr">
        <is>
          <t>Halloway Ridge Realty (rent)</t>
        </is>
      </c>
      <c r="F2108" s="3" t="inlineStr">
        <is>
          <t>Rent – April</t>
        </is>
      </c>
      <c r="G2108" s="3" t="inlineStr">
        <is>
          <t>Rent Expense</t>
        </is>
      </c>
      <c r="H2108" s="3" t="inlineStr">
        <is>
          <t>Accounts Payable</t>
        </is>
      </c>
      <c r="I2108" s="33" t="n">
        <v>10223.17</v>
      </c>
      <c r="J2108" s="13">
        <f>+J2107+I2108</f>
        <v>351424.92</v>
      </c>
      <c r="K2108" s="19">
        <f>+EOMONTH(B2108,0)</f>
        <v>46142</v>
      </c>
      <c r="L2108" s="3" t="inlineStr">
        <is>
          <t>Accounts Payable</t>
        </is>
      </c>
      <c r="M2108" s="3" t="inlineStr">
        <is>
          <t>Balance Sheet</t>
        </is>
      </c>
    </row>
    <row r="2109">
      <c r="B2109" s="39" t="n">
        <v>46120</v>
      </c>
      <c r="C2109" s="3" t="inlineStr">
        <is>
          <t>Bill</t>
        </is>
      </c>
      <c r="D2109" s="3" t="inlineStr"/>
      <c r="E2109" s="3" t="inlineStr">
        <is>
          <t>Northmoor Waste Services</t>
        </is>
      </c>
      <c r="F2109" s="3" t="inlineStr">
        <is>
          <t>Hazard Waste – April</t>
        </is>
      </c>
      <c r="G2109" s="3" t="inlineStr">
        <is>
          <t>Hazard Waste</t>
        </is>
      </c>
      <c r="H2109" s="3" t="inlineStr">
        <is>
          <t>Accounts Payable</t>
        </is>
      </c>
      <c r="I2109" s="33" t="n">
        <v>1096.85</v>
      </c>
      <c r="J2109" s="13">
        <f>+J2108+I2109</f>
        <v>352521.77</v>
      </c>
      <c r="K2109" s="19">
        <f>+EOMONTH(B2109,0)</f>
        <v>46142</v>
      </c>
      <c r="L2109" s="3" t="inlineStr">
        <is>
          <t>Accounts Payable</t>
        </is>
      </c>
      <c r="M2109" s="3" t="inlineStr">
        <is>
          <t>Balance Sheet</t>
        </is>
      </c>
    </row>
    <row r="2110">
      <c r="B2110" s="39" t="n">
        <v>46120</v>
      </c>
      <c r="C2110" s="3" t="inlineStr">
        <is>
          <t>Bill</t>
        </is>
      </c>
      <c r="D2110" s="3" t="inlineStr"/>
      <c r="E2110" s="3" t="inlineStr">
        <is>
          <t>Tarrowmere Mutual Insurance</t>
        </is>
      </c>
      <c r="F2110" s="3" t="inlineStr">
        <is>
          <t>Benefits – April</t>
        </is>
      </c>
      <c r="G2110" s="3" t="inlineStr">
        <is>
          <t>Benefits</t>
        </is>
      </c>
      <c r="H2110" s="3" t="inlineStr">
        <is>
          <t>Accounts Payable</t>
        </is>
      </c>
      <c r="I2110" s="33" t="n">
        <v>6169.19</v>
      </c>
      <c r="J2110" s="13">
        <f>+J2109+I2110</f>
        <v>358690.96</v>
      </c>
      <c r="K2110" s="19">
        <f>+EOMONTH(B2110,0)</f>
        <v>46142</v>
      </c>
      <c r="L2110" s="3" t="inlineStr">
        <is>
          <t>Accounts Payable</t>
        </is>
      </c>
      <c r="M2110" s="3" t="inlineStr">
        <is>
          <t>Balance Sheet</t>
        </is>
      </c>
    </row>
    <row r="2111">
      <c r="B2111" s="39" t="n">
        <v>46120</v>
      </c>
      <c r="C2111" s="3" t="inlineStr">
        <is>
          <t>Bill Payment (Check)</t>
        </is>
      </c>
      <c r="D2111" s="3" t="inlineStr">
        <is>
          <t>11022</t>
        </is>
      </c>
      <c r="E2111" s="3" t="inlineStr">
        <is>
          <t>Northmoor Waste Services</t>
        </is>
      </c>
      <c r="F2111" s="3" t="inlineStr">
        <is>
          <t>Waste Removal – March</t>
        </is>
      </c>
      <c r="G2111" s="3" t="inlineStr">
        <is>
          <t>Checking – Operating</t>
        </is>
      </c>
      <c r="H2111" s="3" t="inlineStr">
        <is>
          <t>Accounts Payable</t>
        </is>
      </c>
      <c r="I2111" s="33" t="n">
        <v>-732.74</v>
      </c>
      <c r="J2111" s="13">
        <f>+J2110+I2111</f>
        <v>357958.22</v>
      </c>
      <c r="K2111" s="19">
        <f>+EOMONTH(B2111,0)</f>
        <v>46142</v>
      </c>
      <c r="L2111" s="3" t="inlineStr">
        <is>
          <t>Accounts Payable</t>
        </is>
      </c>
      <c r="M2111" s="3" t="inlineStr">
        <is>
          <t>Balance Sheet</t>
        </is>
      </c>
    </row>
    <row r="2112">
      <c r="B2112" s="39" t="n">
        <v>46120</v>
      </c>
      <c r="C2112" s="3" t="inlineStr">
        <is>
          <t>Bill Payment (Check)</t>
        </is>
      </c>
      <c r="D2112" s="3" t="inlineStr">
        <is>
          <t>11142</t>
        </is>
      </c>
      <c r="E2112" s="3" t="inlineStr">
        <is>
          <t>Tarrowmere Mutual Insurance</t>
        </is>
      </c>
      <c r="F2112" s="3" t="inlineStr">
        <is>
          <t>Benefits – March</t>
        </is>
      </c>
      <c r="G2112" s="3" t="inlineStr">
        <is>
          <t>Checking – Operating</t>
        </is>
      </c>
      <c r="H2112" s="3" t="inlineStr">
        <is>
          <t>Accounts Payable</t>
        </is>
      </c>
      <c r="I2112" s="33" t="n">
        <v>-3385.35</v>
      </c>
      <c r="J2112" s="13">
        <f>+J2111+I2112</f>
        <v>354572.87</v>
      </c>
      <c r="K2112" s="19">
        <f>+EOMONTH(B2112,0)</f>
        <v>46142</v>
      </c>
      <c r="L2112" s="3" t="inlineStr">
        <is>
          <t>Accounts Payable</t>
        </is>
      </c>
      <c r="M2112" s="3" t="inlineStr">
        <is>
          <t>Balance Sheet</t>
        </is>
      </c>
    </row>
    <row r="2113">
      <c r="B2113" s="39" t="n">
        <v>46121</v>
      </c>
      <c r="C2113" s="3" t="inlineStr">
        <is>
          <t>Bill</t>
        </is>
      </c>
      <c r="D2113" s="3" t="inlineStr"/>
      <c r="E2113" s="3" t="inlineStr">
        <is>
          <t>Reagentix Corp</t>
        </is>
      </c>
      <c r="F2113" s="3" t="inlineStr">
        <is>
          <t>Lab Expenses – April</t>
        </is>
      </c>
      <c r="G2113" s="3" t="inlineStr">
        <is>
          <t>Lab Expenses</t>
        </is>
      </c>
      <c r="H2113" s="3" t="inlineStr">
        <is>
          <t>Accounts Payable</t>
        </is>
      </c>
      <c r="I2113" s="33" t="n">
        <v>4758.66</v>
      </c>
      <c r="J2113" s="13">
        <f>+J2112+I2113</f>
        <v>359331.53</v>
      </c>
      <c r="K2113" s="19">
        <f>+EOMONTH(B2113,0)</f>
        <v>46142</v>
      </c>
      <c r="L2113" s="3" t="inlineStr">
        <is>
          <t>Accounts Payable</t>
        </is>
      </c>
      <c r="M2113" s="3" t="inlineStr">
        <is>
          <t>Balance Sheet</t>
        </is>
      </c>
    </row>
    <row r="2114">
      <c r="B2114" s="39" t="n">
        <v>46121</v>
      </c>
      <c r="C2114" s="3" t="inlineStr">
        <is>
          <t>Bill</t>
        </is>
      </c>
      <c r="D2114" s="3" t="inlineStr"/>
      <c r="E2114" s="3" t="inlineStr">
        <is>
          <t>Lumenlease Equipment</t>
        </is>
      </c>
      <c r="F2114" s="3" t="inlineStr">
        <is>
          <t>Equipment Lease – April</t>
        </is>
      </c>
      <c r="G2114" s="3" t="inlineStr">
        <is>
          <t>Equipment Lease</t>
        </is>
      </c>
      <c r="H2114" s="3" t="inlineStr">
        <is>
          <t>Accounts Payable</t>
        </is>
      </c>
      <c r="I2114" s="33" t="n">
        <v>2899.75</v>
      </c>
      <c r="J2114" s="13">
        <f>+J2113+I2114</f>
        <v>362231.28</v>
      </c>
      <c r="K2114" s="19">
        <f>+EOMONTH(B2114,0)</f>
        <v>46142</v>
      </c>
      <c r="L2114" s="3" t="inlineStr">
        <is>
          <t>Accounts Payable</t>
        </is>
      </c>
      <c r="M2114" s="3" t="inlineStr">
        <is>
          <t>Balance Sheet</t>
        </is>
      </c>
    </row>
    <row r="2115">
      <c r="B2115" s="39" t="n">
        <v>46121</v>
      </c>
      <c r="C2115" s="3" t="inlineStr">
        <is>
          <t>Bill Payment (Check)</t>
        </is>
      </c>
      <c r="D2115" s="3" t="inlineStr">
        <is>
          <t>10466</t>
        </is>
      </c>
      <c r="E2115" s="3" t="inlineStr">
        <is>
          <t>Vialtrace Lab Supplies Inc</t>
        </is>
      </c>
      <c r="F2115" s="3" t="inlineStr">
        <is>
          <t>Lab supplies PO# F2428</t>
        </is>
      </c>
      <c r="G2115" s="3" t="inlineStr">
        <is>
          <t>Checking – Operating</t>
        </is>
      </c>
      <c r="H2115" s="3" t="inlineStr">
        <is>
          <t>Accounts Payable</t>
        </is>
      </c>
      <c r="I2115" s="33" t="n">
        <v>-35431.81</v>
      </c>
      <c r="J2115" s="13">
        <f>+J2114+I2115</f>
        <v>326799.47</v>
      </c>
      <c r="K2115" s="19">
        <f>+EOMONTH(B2115,0)</f>
        <v>46142</v>
      </c>
      <c r="L2115" s="3" t="inlineStr">
        <is>
          <t>Accounts Payable</t>
        </is>
      </c>
      <c r="M2115" s="3" t="inlineStr">
        <is>
          <t>Balance Sheet</t>
        </is>
      </c>
    </row>
    <row r="2116">
      <c r="B2116" s="39" t="n">
        <v>46121</v>
      </c>
      <c r="C2116" s="3" t="inlineStr">
        <is>
          <t>Bill Payment (Check)</t>
        </is>
      </c>
      <c r="D2116" s="3" t="inlineStr">
        <is>
          <t>10978</t>
        </is>
      </c>
      <c r="E2116" s="3" t="inlineStr">
        <is>
          <t>Northmoor Waste Services</t>
        </is>
      </c>
      <c r="F2116" s="3" t="inlineStr">
        <is>
          <t>Hazard Waste – March</t>
        </is>
      </c>
      <c r="G2116" s="3" t="inlineStr">
        <is>
          <t>Checking – Operating</t>
        </is>
      </c>
      <c r="H2116" s="3" t="inlineStr">
        <is>
          <t>Accounts Payable</t>
        </is>
      </c>
      <c r="I2116" s="33" t="n">
        <v>-1028.13</v>
      </c>
      <c r="J2116" s="13">
        <f>+J2115+I2116</f>
        <v>325771.34</v>
      </c>
      <c r="K2116" s="19">
        <f>+EOMONTH(B2116,0)</f>
        <v>46142</v>
      </c>
      <c r="L2116" s="3" t="inlineStr">
        <is>
          <t>Accounts Payable</t>
        </is>
      </c>
      <c r="M2116" s="3" t="inlineStr">
        <is>
          <t>Balance Sheet</t>
        </is>
      </c>
    </row>
    <row r="2117">
      <c r="B2117" s="39" t="n">
        <v>46122</v>
      </c>
      <c r="C2117" s="3" t="inlineStr">
        <is>
          <t>Bill Payment (Check)</t>
        </is>
      </c>
      <c r="D2117" s="3" t="inlineStr">
        <is>
          <t>11021</t>
        </is>
      </c>
      <c r="E2117" s="3" t="inlineStr">
        <is>
          <t>Northmoor Waste Services</t>
        </is>
      </c>
      <c r="F2117" s="3" t="inlineStr">
        <is>
          <t>Waste Removal – March</t>
        </is>
      </c>
      <c r="G2117" s="3" t="inlineStr">
        <is>
          <t>Checking – Operating</t>
        </is>
      </c>
      <c r="H2117" s="3" t="inlineStr">
        <is>
          <t>Accounts Payable</t>
        </is>
      </c>
      <c r="I2117" s="33" t="n">
        <v>-547.26</v>
      </c>
      <c r="J2117" s="13">
        <f>+J2116+I2117</f>
        <v>325224.08</v>
      </c>
      <c r="K2117" s="19">
        <f>+EOMONTH(B2117,0)</f>
        <v>46142</v>
      </c>
      <c r="L2117" s="3" t="inlineStr">
        <is>
          <t>Accounts Payable</t>
        </is>
      </c>
      <c r="M2117" s="3" t="inlineStr">
        <is>
          <t>Balance Sheet</t>
        </is>
      </c>
    </row>
    <row r="2118">
      <c r="B2118" s="39" t="n">
        <v>46122</v>
      </c>
      <c r="C2118" s="3" t="inlineStr">
        <is>
          <t>Bill Payment (Check)</t>
        </is>
      </c>
      <c r="D2118" s="3" t="inlineStr">
        <is>
          <t>11226</t>
        </is>
      </c>
      <c r="E2118" s="3" t="inlineStr">
        <is>
          <t>Ledgerquill Billing SaaS</t>
        </is>
      </c>
      <c r="F2118" s="3" t="inlineStr">
        <is>
          <t>Billing Software as a Service – March</t>
        </is>
      </c>
      <c r="G2118" s="3" t="inlineStr">
        <is>
          <t>Checking – Operating</t>
        </is>
      </c>
      <c r="H2118" s="3" t="inlineStr">
        <is>
          <t>Accounts Payable</t>
        </is>
      </c>
      <c r="I2118" s="33" t="n">
        <v>-17857.99</v>
      </c>
      <c r="J2118" s="13">
        <f>+J2117+I2118</f>
        <v>307366.09</v>
      </c>
      <c r="K2118" s="19">
        <f>+EOMONTH(B2118,0)</f>
        <v>46142</v>
      </c>
      <c r="L2118" s="3" t="inlineStr">
        <is>
          <t>Accounts Payable</t>
        </is>
      </c>
      <c r="M2118" s="3" t="inlineStr">
        <is>
          <t>Balance Sheet</t>
        </is>
      </c>
    </row>
    <row r="2119">
      <c r="B2119" s="39" t="n">
        <v>46122</v>
      </c>
      <c r="C2119" s="3" t="inlineStr">
        <is>
          <t>Bill Payment (Check)</t>
        </is>
      </c>
      <c r="D2119" s="3" t="inlineStr">
        <is>
          <t>11228</t>
        </is>
      </c>
      <c r="E2119" s="3" t="inlineStr">
        <is>
          <t>Ledgerquill Billing SaaS</t>
        </is>
      </c>
      <c r="F2119" s="3" t="inlineStr">
        <is>
          <t>Billing Software as a Service – March</t>
        </is>
      </c>
      <c r="G2119" s="3" t="inlineStr">
        <is>
          <t>Checking – Operating</t>
        </is>
      </c>
      <c r="H2119" s="3" t="inlineStr">
        <is>
          <t>Accounts Payable</t>
        </is>
      </c>
      <c r="I2119" s="33" t="n">
        <v>-9041.620000000001</v>
      </c>
      <c r="J2119" s="13">
        <f>+J2118+I2119</f>
        <v>298324.47</v>
      </c>
      <c r="K2119" s="19">
        <f>+EOMONTH(B2119,0)</f>
        <v>46142</v>
      </c>
      <c r="L2119" s="3" t="inlineStr">
        <is>
          <t>Accounts Payable</t>
        </is>
      </c>
      <c r="M2119" s="3" t="inlineStr">
        <is>
          <t>Balance Sheet</t>
        </is>
      </c>
    </row>
    <row r="2120">
      <c r="B2120" s="39" t="n">
        <v>46122</v>
      </c>
      <c r="C2120" s="3" t="inlineStr">
        <is>
          <t>Bill Payment (Check)</t>
        </is>
      </c>
      <c r="D2120" s="3" t="inlineStr">
        <is>
          <t>11333</t>
        </is>
      </c>
      <c r="E2120" s="3" t="inlineStr">
        <is>
          <t>Union Utilities</t>
        </is>
      </c>
      <c r="F2120" s="3" t="inlineStr">
        <is>
          <t>Utilities – March</t>
        </is>
      </c>
      <c r="G2120" s="3" t="inlineStr">
        <is>
          <t>Checking – Operating</t>
        </is>
      </c>
      <c r="H2120" s="3" t="inlineStr">
        <is>
          <t>Accounts Payable</t>
        </is>
      </c>
      <c r="I2120" s="33" t="n">
        <v>-3642.13</v>
      </c>
      <c r="J2120" s="13">
        <f>+J2119+I2120</f>
        <v>294682.34</v>
      </c>
      <c r="K2120" s="19">
        <f>+EOMONTH(B2120,0)</f>
        <v>46142</v>
      </c>
      <c r="L2120" s="3" t="inlineStr">
        <is>
          <t>Accounts Payable</t>
        </is>
      </c>
      <c r="M2120" s="3" t="inlineStr">
        <is>
          <t>Balance Sheet</t>
        </is>
      </c>
    </row>
    <row r="2121">
      <c r="B2121" s="39" t="n">
        <v>46123</v>
      </c>
      <c r="C2121" s="3" t="inlineStr">
        <is>
          <t>Bill</t>
        </is>
      </c>
      <c r="D2121" s="3" t="inlineStr"/>
      <c r="E2121" s="3" t="inlineStr">
        <is>
          <t>Northmoor Waste Services</t>
        </is>
      </c>
      <c r="F2121" s="3" t="inlineStr">
        <is>
          <t>Waste Removal – April</t>
        </is>
      </c>
      <c r="G2121" s="3" t="inlineStr">
        <is>
          <t>Waste Removal</t>
        </is>
      </c>
      <c r="H2121" s="3" t="inlineStr">
        <is>
          <t>Accounts Payable</t>
        </is>
      </c>
      <c r="I2121" s="33" t="n">
        <v>491.56</v>
      </c>
      <c r="J2121" s="13">
        <f>+J2120+I2121</f>
        <v>295173.9</v>
      </c>
      <c r="K2121" s="19">
        <f>+EOMONTH(B2121,0)</f>
        <v>46142</v>
      </c>
      <c r="L2121" s="3" t="inlineStr">
        <is>
          <t>Accounts Payable</t>
        </is>
      </c>
      <c r="M2121" s="3" t="inlineStr">
        <is>
          <t>Balance Sheet</t>
        </is>
      </c>
    </row>
    <row r="2122">
      <c r="B2122" s="39" t="n">
        <v>46124</v>
      </c>
      <c r="C2122" s="3" t="inlineStr">
        <is>
          <t>Bill</t>
        </is>
      </c>
      <c r="D2122" s="3" t="inlineStr"/>
      <c r="E2122" s="3" t="inlineStr">
        <is>
          <t>Ledgerquill Billing SaaS</t>
        </is>
      </c>
      <c r="F2122" s="3" t="inlineStr">
        <is>
          <t>Billing Software as a Service – April</t>
        </is>
      </c>
      <c r="G2122" s="3" t="inlineStr">
        <is>
          <t>Billing Software as a Service</t>
        </is>
      </c>
      <c r="H2122" s="3" t="inlineStr">
        <is>
          <t>Accounts Payable</t>
        </is>
      </c>
      <c r="I2122" s="33" t="n">
        <v>15731.77</v>
      </c>
      <c r="J2122" s="13">
        <f>+J2121+I2122</f>
        <v>310905.67</v>
      </c>
      <c r="K2122" s="19">
        <f>+EOMONTH(B2122,0)</f>
        <v>46142</v>
      </c>
      <c r="L2122" s="3" t="inlineStr">
        <is>
          <t>Accounts Payable</t>
        </is>
      </c>
      <c r="M2122" s="3" t="inlineStr">
        <is>
          <t>Balance Sheet</t>
        </is>
      </c>
    </row>
    <row r="2123">
      <c r="B2123" s="39" t="n">
        <v>46125</v>
      </c>
      <c r="C2123" s="3" t="inlineStr">
        <is>
          <t>Bill</t>
        </is>
      </c>
      <c r="D2123" s="3" t="inlineStr"/>
      <c r="E2123" s="3" t="inlineStr">
        <is>
          <t>Reference Lab A</t>
        </is>
      </c>
      <c r="F2123" s="3" t="inlineStr">
        <is>
          <t>Send-out testing – April</t>
        </is>
      </c>
      <c r="G2123" s="3" t="inlineStr">
        <is>
          <t>Laboratory Fees</t>
        </is>
      </c>
      <c r="H2123" s="3" t="inlineStr">
        <is>
          <t>Accounts Payable</t>
        </is>
      </c>
      <c r="I2123" s="33" t="n">
        <v>17683.71</v>
      </c>
      <c r="J2123" s="13">
        <f>+J2122+I2123</f>
        <v>328589.38</v>
      </c>
      <c r="K2123" s="19">
        <f>+EOMONTH(B2123,0)</f>
        <v>46142</v>
      </c>
      <c r="L2123" s="3" t="inlineStr">
        <is>
          <t>Accounts Payable</t>
        </is>
      </c>
      <c r="M2123" s="3" t="inlineStr">
        <is>
          <t>Balance Sheet</t>
        </is>
      </c>
    </row>
    <row r="2124">
      <c r="B2124" s="39" t="n">
        <v>46125</v>
      </c>
      <c r="C2124" s="3" t="inlineStr">
        <is>
          <t>Bill Payment (Check)</t>
        </is>
      </c>
      <c r="D2124" s="3" t="inlineStr">
        <is>
          <t>11144</t>
        </is>
      </c>
      <c r="E2124" s="3" t="inlineStr">
        <is>
          <t>Tarrowmere Mutual Insurance</t>
        </is>
      </c>
      <c r="F2124" s="3" t="inlineStr">
        <is>
          <t>Benefits – March</t>
        </is>
      </c>
      <c r="G2124" s="3" t="inlineStr">
        <is>
          <t>Checking – Operating</t>
        </is>
      </c>
      <c r="H2124" s="3" t="inlineStr">
        <is>
          <t>Accounts Payable</t>
        </is>
      </c>
      <c r="I2124" s="33" t="n">
        <v>-3855.78</v>
      </c>
      <c r="J2124" s="13">
        <f>+J2123+I2124</f>
        <v>324733.6</v>
      </c>
      <c r="K2124" s="19">
        <f>+EOMONTH(B2124,0)</f>
        <v>46142</v>
      </c>
      <c r="L2124" s="3" t="inlineStr">
        <is>
          <t>Accounts Payable</t>
        </is>
      </c>
      <c r="M2124" s="3" t="inlineStr">
        <is>
          <t>Balance Sheet</t>
        </is>
      </c>
    </row>
    <row r="2125">
      <c r="B2125" s="39" t="n">
        <v>46126</v>
      </c>
      <c r="C2125" s="3" t="inlineStr">
        <is>
          <t>Bill</t>
        </is>
      </c>
      <c r="D2125" s="3" t="inlineStr"/>
      <c r="E2125" s="3" t="inlineStr">
        <is>
          <t>Vialtrace Lab Supplies Inc</t>
        </is>
      </c>
      <c r="F2125" s="3" t="inlineStr">
        <is>
          <t>Lab supplies PO# F2110</t>
        </is>
      </c>
      <c r="G2125" s="3" t="inlineStr">
        <is>
          <t>Lab Supplies</t>
        </is>
      </c>
      <c r="H2125" s="3" t="inlineStr">
        <is>
          <t>Accounts Payable</t>
        </is>
      </c>
      <c r="I2125" s="33" t="n">
        <v>21200.79</v>
      </c>
      <c r="J2125" s="13">
        <f>+J2124+I2125</f>
        <v>345934.39</v>
      </c>
      <c r="K2125" s="19">
        <f>+EOMONTH(B2125,0)</f>
        <v>46142</v>
      </c>
      <c r="L2125" s="3" t="inlineStr">
        <is>
          <t>Accounts Payable</t>
        </is>
      </c>
      <c r="M2125" s="3" t="inlineStr">
        <is>
          <t>Balance Sheet</t>
        </is>
      </c>
    </row>
    <row r="2126">
      <c r="B2126" s="39" t="n">
        <v>46126</v>
      </c>
      <c r="C2126" s="3" t="inlineStr">
        <is>
          <t>Bill</t>
        </is>
      </c>
      <c r="D2126" s="3" t="inlineStr"/>
      <c r="E2126" s="3" t="inlineStr">
        <is>
          <t>Reagentix Corp</t>
        </is>
      </c>
      <c r="F2126" s="3" t="inlineStr">
        <is>
          <t>Lab supplies PO# F2455</t>
        </is>
      </c>
      <c r="G2126" s="3" t="inlineStr">
        <is>
          <t>Reagents</t>
        </is>
      </c>
      <c r="H2126" s="3" t="inlineStr">
        <is>
          <t>Accounts Payable</t>
        </is>
      </c>
      <c r="I2126" s="33" t="n">
        <v>15312.03</v>
      </c>
      <c r="J2126" s="13">
        <f>+J2125+I2126</f>
        <v>361246.42</v>
      </c>
      <c r="K2126" s="19">
        <f>+EOMONTH(B2126,0)</f>
        <v>46142</v>
      </c>
      <c r="L2126" s="3" t="inlineStr">
        <is>
          <t>Accounts Payable</t>
        </is>
      </c>
      <c r="M2126" s="3" t="inlineStr">
        <is>
          <t>Balance Sheet</t>
        </is>
      </c>
    </row>
    <row r="2127">
      <c r="B2127" s="39" t="n">
        <v>46126</v>
      </c>
      <c r="C2127" s="3" t="inlineStr">
        <is>
          <t>Bill Payment (Check)</t>
        </is>
      </c>
      <c r="D2127" s="3" t="inlineStr">
        <is>
          <t>10467</t>
        </is>
      </c>
      <c r="E2127" s="3" t="inlineStr">
        <is>
          <t>Reagentix Corp</t>
        </is>
      </c>
      <c r="F2127" s="3" t="inlineStr">
        <is>
          <t>Lab supplies PO# F2401</t>
        </is>
      </c>
      <c r="G2127" s="3" t="inlineStr">
        <is>
          <t>Checking – Operating</t>
        </is>
      </c>
      <c r="H2127" s="3" t="inlineStr">
        <is>
          <t>Accounts Payable</t>
        </is>
      </c>
      <c r="I2127" s="33" t="n">
        <v>-31075.99</v>
      </c>
      <c r="J2127" s="13">
        <f>+J2126+I2127</f>
        <v>330170.43</v>
      </c>
      <c r="K2127" s="19">
        <f>+EOMONTH(B2127,0)</f>
        <v>46142</v>
      </c>
      <c r="L2127" s="3" t="inlineStr">
        <is>
          <t>Accounts Payable</t>
        </is>
      </c>
      <c r="M2127" s="3" t="inlineStr">
        <is>
          <t>Balance Sheet</t>
        </is>
      </c>
    </row>
    <row r="2128">
      <c r="B2128" s="39" t="n">
        <v>46126</v>
      </c>
      <c r="C2128" s="3" t="inlineStr">
        <is>
          <t>Bill Payment (Check)</t>
        </is>
      </c>
      <c r="D2128" s="3" t="inlineStr">
        <is>
          <t>10644</t>
        </is>
      </c>
      <c r="E2128" s="3" t="inlineStr">
        <is>
          <t>Swiftmere Courier</t>
        </is>
      </c>
      <c r="F2128" s="3" t="inlineStr">
        <is>
          <t>Delivery and Transportation – April</t>
        </is>
      </c>
      <c r="G2128" s="3" t="inlineStr">
        <is>
          <t>Checking – Operating</t>
        </is>
      </c>
      <c r="H2128" s="3" t="inlineStr">
        <is>
          <t>Accounts Payable</t>
        </is>
      </c>
      <c r="I2128" s="33" t="n">
        <v>-4344.1</v>
      </c>
      <c r="J2128" s="13">
        <f>+J2127+I2128</f>
        <v>325826.33</v>
      </c>
      <c r="K2128" s="19">
        <f>+EOMONTH(B2128,0)</f>
        <v>46142</v>
      </c>
      <c r="L2128" s="3" t="inlineStr">
        <is>
          <t>Accounts Payable</t>
        </is>
      </c>
      <c r="M2128" s="3" t="inlineStr">
        <is>
          <t>Balance Sheet</t>
        </is>
      </c>
    </row>
    <row r="2129">
      <c r="B2129" s="39" t="n">
        <v>46127</v>
      </c>
      <c r="C2129" s="3" t="inlineStr">
        <is>
          <t>Bill Payment (Check)</t>
        </is>
      </c>
      <c r="D2129" s="3" t="inlineStr">
        <is>
          <t>10903</t>
        </is>
      </c>
      <c r="E2129" s="3" t="inlineStr">
        <is>
          <t>Halloway Ridge Realty (rent)</t>
        </is>
      </c>
      <c r="F2129" s="3" t="inlineStr">
        <is>
          <t>Rent – March</t>
        </is>
      </c>
      <c r="G2129" s="3" t="inlineStr">
        <is>
          <t>Checking – Operating</t>
        </is>
      </c>
      <c r="H2129" s="3" t="inlineStr">
        <is>
          <t>Accounts Payable</t>
        </is>
      </c>
      <c r="I2129" s="33" t="n">
        <v>-17170.07</v>
      </c>
      <c r="J2129" s="13">
        <f>+J2128+I2129</f>
        <v>308656.26</v>
      </c>
      <c r="K2129" s="19">
        <f>+EOMONTH(B2129,0)</f>
        <v>46142</v>
      </c>
      <c r="L2129" s="3" t="inlineStr">
        <is>
          <t>Accounts Payable</t>
        </is>
      </c>
      <c r="M2129" s="3" t="inlineStr">
        <is>
          <t>Balance Sheet</t>
        </is>
      </c>
    </row>
    <row r="2130">
      <c r="B2130" s="39" t="n">
        <v>46128</v>
      </c>
      <c r="C2130" s="3" t="inlineStr">
        <is>
          <t>Bill</t>
        </is>
      </c>
      <c r="D2130" s="3" t="inlineStr"/>
      <c r="E2130" s="3" t="inlineStr">
        <is>
          <t>Reagentix Corp</t>
        </is>
      </c>
      <c r="F2130" s="3" t="inlineStr">
        <is>
          <t>Lab Expenses – April</t>
        </is>
      </c>
      <c r="G2130" s="3" t="inlineStr">
        <is>
          <t>Lab Expenses</t>
        </is>
      </c>
      <c r="H2130" s="3" t="inlineStr">
        <is>
          <t>Accounts Payable</t>
        </is>
      </c>
      <c r="I2130" s="33" t="n">
        <v>5353.45</v>
      </c>
      <c r="J2130" s="13">
        <f>+J2129+I2130</f>
        <v>314009.71</v>
      </c>
      <c r="K2130" s="19">
        <f>+EOMONTH(B2130,0)</f>
        <v>46142</v>
      </c>
      <c r="L2130" s="3" t="inlineStr">
        <is>
          <t>Accounts Payable</t>
        </is>
      </c>
      <c r="M2130" s="3" t="inlineStr">
        <is>
          <t>Balance Sheet</t>
        </is>
      </c>
    </row>
    <row r="2131">
      <c r="B2131" s="39" t="n">
        <v>46129</v>
      </c>
      <c r="C2131" s="3" t="inlineStr">
        <is>
          <t>Bill</t>
        </is>
      </c>
      <c r="D2131" s="3" t="inlineStr"/>
      <c r="E2131" s="3" t="inlineStr">
        <is>
          <t>Reagentix Corp</t>
        </is>
      </c>
      <c r="F2131" s="3" t="inlineStr">
        <is>
          <t>Lab supplies PO# F2203</t>
        </is>
      </c>
      <c r="G2131" s="3" t="inlineStr">
        <is>
          <t>Lab Supplies</t>
        </is>
      </c>
      <c r="H2131" s="3" t="inlineStr">
        <is>
          <t>Accounts Payable</t>
        </is>
      </c>
      <c r="I2131" s="33" t="n">
        <v>31014.53</v>
      </c>
      <c r="J2131" s="13">
        <f>+J2130+I2131</f>
        <v>345024.24</v>
      </c>
      <c r="K2131" s="19">
        <f>+EOMONTH(B2131,0)</f>
        <v>46142</v>
      </c>
      <c r="L2131" s="3" t="inlineStr">
        <is>
          <t>Accounts Payable</t>
        </is>
      </c>
      <c r="M2131" s="3" t="inlineStr">
        <is>
          <t>Balance Sheet</t>
        </is>
      </c>
    </row>
    <row r="2132">
      <c r="B2132" s="39" t="n">
        <v>46129</v>
      </c>
      <c r="C2132" s="3" t="inlineStr">
        <is>
          <t>Bill</t>
        </is>
      </c>
      <c r="D2132" s="3" t="inlineStr"/>
      <c r="E2132" s="3" t="inlineStr">
        <is>
          <t>Tarrowmere Mutual Insurance</t>
        </is>
      </c>
      <c r="F2132" s="3" t="inlineStr">
        <is>
          <t>Benefits – April</t>
        </is>
      </c>
      <c r="G2132" s="3" t="inlineStr">
        <is>
          <t>Benefits</t>
        </is>
      </c>
      <c r="H2132" s="3" t="inlineStr">
        <is>
          <t>Accounts Payable</t>
        </is>
      </c>
      <c r="I2132" s="33" t="n">
        <v>4868.05</v>
      </c>
      <c r="J2132" s="13">
        <f>+J2131+I2132</f>
        <v>349892.29</v>
      </c>
      <c r="K2132" s="19">
        <f>+EOMONTH(B2132,0)</f>
        <v>46142</v>
      </c>
      <c r="L2132" s="3" t="inlineStr">
        <is>
          <t>Accounts Payable</t>
        </is>
      </c>
      <c r="M2132" s="3" t="inlineStr">
        <is>
          <t>Balance Sheet</t>
        </is>
      </c>
    </row>
    <row r="2133">
      <c r="B2133" s="39" t="n">
        <v>46129</v>
      </c>
      <c r="C2133" s="3" t="inlineStr">
        <is>
          <t>Bill Payment (Check)</t>
        </is>
      </c>
      <c r="D2133" s="3" t="inlineStr">
        <is>
          <t>10643</t>
        </is>
      </c>
      <c r="E2133" s="3" t="inlineStr">
        <is>
          <t>Swiftmere Courier</t>
        </is>
      </c>
      <c r="F2133" s="3" t="inlineStr">
        <is>
          <t>Delivery and Transportation – April</t>
        </is>
      </c>
      <c r="G2133" s="3" t="inlineStr">
        <is>
          <t>Checking – Operating</t>
        </is>
      </c>
      <c r="H2133" s="3" t="inlineStr">
        <is>
          <t>Accounts Payable</t>
        </is>
      </c>
      <c r="I2133" s="33" t="n">
        <v>-3755.9</v>
      </c>
      <c r="J2133" s="13">
        <f>+J2132+I2133</f>
        <v>346136.39</v>
      </c>
      <c r="K2133" s="19">
        <f>+EOMONTH(B2133,0)</f>
        <v>46142</v>
      </c>
      <c r="L2133" s="3" t="inlineStr">
        <is>
          <t>Accounts Payable</t>
        </is>
      </c>
      <c r="M2133" s="3" t="inlineStr">
        <is>
          <t>Balance Sheet</t>
        </is>
      </c>
    </row>
    <row r="2134">
      <c r="B2134" s="39" t="n">
        <v>46130</v>
      </c>
      <c r="C2134" s="3" t="inlineStr">
        <is>
          <t>Bill</t>
        </is>
      </c>
      <c r="D2134" s="3" t="inlineStr"/>
      <c r="E2134" s="3" t="inlineStr">
        <is>
          <t>Reagentix Corp</t>
        </is>
      </c>
      <c r="F2134" s="3" t="inlineStr">
        <is>
          <t>Lab supplies PO# F2955</t>
        </is>
      </c>
      <c r="G2134" s="3" t="inlineStr">
        <is>
          <t>Lab Supplies</t>
        </is>
      </c>
      <c r="H2134" s="3" t="inlineStr">
        <is>
          <t>Accounts Payable</t>
        </is>
      </c>
      <c r="I2134" s="33" t="n">
        <v>31572.52</v>
      </c>
      <c r="J2134" s="13">
        <f>+J2133+I2134</f>
        <v>377708.91</v>
      </c>
      <c r="K2134" s="19">
        <f>+EOMONTH(B2134,0)</f>
        <v>46142</v>
      </c>
      <c r="L2134" s="3" t="inlineStr">
        <is>
          <t>Accounts Payable</t>
        </is>
      </c>
      <c r="M2134" s="3" t="inlineStr">
        <is>
          <t>Balance Sheet</t>
        </is>
      </c>
    </row>
    <row r="2135">
      <c r="B2135" s="39" t="n">
        <v>46130</v>
      </c>
      <c r="C2135" s="3" t="inlineStr">
        <is>
          <t>Bill Payment (Check)</t>
        </is>
      </c>
      <c r="D2135" s="3" t="inlineStr">
        <is>
          <t>10979</t>
        </is>
      </c>
      <c r="E2135" s="3" t="inlineStr">
        <is>
          <t>Northmoor Waste Services</t>
        </is>
      </c>
      <c r="F2135" s="3" t="inlineStr">
        <is>
          <t>Hazard Waste – April</t>
        </is>
      </c>
      <c r="G2135" s="3" t="inlineStr">
        <is>
          <t>Checking – Operating</t>
        </is>
      </c>
      <c r="H2135" s="3" t="inlineStr">
        <is>
          <t>Accounts Payable</t>
        </is>
      </c>
      <c r="I2135" s="33" t="n">
        <v>-1096.85</v>
      </c>
      <c r="J2135" s="13">
        <f>+J2134+I2135</f>
        <v>376612.06</v>
      </c>
      <c r="K2135" s="19">
        <f>+EOMONTH(B2135,0)</f>
        <v>46142</v>
      </c>
      <c r="L2135" s="3" t="inlineStr">
        <is>
          <t>Accounts Payable</t>
        </is>
      </c>
      <c r="M2135" s="3" t="inlineStr">
        <is>
          <t>Balance Sheet</t>
        </is>
      </c>
    </row>
    <row r="2136">
      <c r="B2136" s="39" t="n">
        <v>46130</v>
      </c>
      <c r="C2136" s="3" t="inlineStr">
        <is>
          <t>Bill Payment (Check)</t>
        </is>
      </c>
      <c r="D2136" s="3" t="inlineStr">
        <is>
          <t>11146</t>
        </is>
      </c>
      <c r="E2136" s="3" t="inlineStr">
        <is>
          <t>Tarrowmere Mutual Insurance</t>
        </is>
      </c>
      <c r="F2136" s="3" t="inlineStr">
        <is>
          <t>Benefits – April</t>
        </is>
      </c>
      <c r="G2136" s="3" t="inlineStr">
        <is>
          <t>Checking – Operating</t>
        </is>
      </c>
      <c r="H2136" s="3" t="inlineStr">
        <is>
          <t>Accounts Payable</t>
        </is>
      </c>
      <c r="I2136" s="33" t="n">
        <v>-5103.61</v>
      </c>
      <c r="J2136" s="13">
        <f>+J2135+I2136</f>
        <v>371508.45</v>
      </c>
      <c r="K2136" s="19">
        <f>+EOMONTH(B2136,0)</f>
        <v>46142</v>
      </c>
      <c r="L2136" s="3" t="inlineStr">
        <is>
          <t>Accounts Payable</t>
        </is>
      </c>
      <c r="M2136" s="3" t="inlineStr">
        <is>
          <t>Balance Sheet</t>
        </is>
      </c>
    </row>
    <row r="2137">
      <c r="B2137" s="39" t="n">
        <v>46131</v>
      </c>
      <c r="C2137" s="3" t="inlineStr">
        <is>
          <t>Bill Payment (Check)</t>
        </is>
      </c>
      <c r="D2137" s="3" t="inlineStr">
        <is>
          <t>11334</t>
        </is>
      </c>
      <c r="E2137" s="3" t="inlineStr">
        <is>
          <t>Union Utilities</t>
        </is>
      </c>
      <c r="F2137" s="3" t="inlineStr">
        <is>
          <t>Utilities – March</t>
        </is>
      </c>
      <c r="G2137" s="3" t="inlineStr">
        <is>
          <t>Checking – Operating</t>
        </is>
      </c>
      <c r="H2137" s="3" t="inlineStr">
        <is>
          <t>Accounts Payable</t>
        </is>
      </c>
      <c r="I2137" s="33" t="n">
        <v>-3157.87</v>
      </c>
      <c r="J2137" s="13">
        <f>+J2136+I2137</f>
        <v>368350.58</v>
      </c>
      <c r="K2137" s="19">
        <f>+EOMONTH(B2137,0)</f>
        <v>46142</v>
      </c>
      <c r="L2137" s="3" t="inlineStr">
        <is>
          <t>Accounts Payable</t>
        </is>
      </c>
      <c r="M2137" s="3" t="inlineStr">
        <is>
          <t>Balance Sheet</t>
        </is>
      </c>
    </row>
    <row r="2138">
      <c r="B2138" s="39" t="n">
        <v>46132</v>
      </c>
      <c r="C2138" s="3" t="inlineStr">
        <is>
          <t>Bill</t>
        </is>
      </c>
      <c r="D2138" s="3" t="inlineStr"/>
      <c r="E2138" s="3" t="inlineStr">
        <is>
          <t>Halloway Ridge Realty (rent)</t>
        </is>
      </c>
      <c r="F2138" s="3" t="inlineStr">
        <is>
          <t>Rent – April</t>
        </is>
      </c>
      <c r="G2138" s="3" t="inlineStr">
        <is>
          <t>Rent Expense</t>
        </is>
      </c>
      <c r="H2138" s="3" t="inlineStr">
        <is>
          <t>Accounts Payable</t>
        </is>
      </c>
      <c r="I2138" s="33" t="n">
        <v>7930.38</v>
      </c>
      <c r="J2138" s="13">
        <f>+J2137+I2138</f>
        <v>376280.96</v>
      </c>
      <c r="K2138" s="19">
        <f>+EOMONTH(B2138,0)</f>
        <v>46142</v>
      </c>
      <c r="L2138" s="3" t="inlineStr">
        <is>
          <t>Accounts Payable</t>
        </is>
      </c>
      <c r="M2138" s="3" t="inlineStr">
        <is>
          <t>Balance Sheet</t>
        </is>
      </c>
    </row>
    <row r="2139">
      <c r="B2139" s="39" t="n">
        <v>46132</v>
      </c>
      <c r="C2139" s="3" t="inlineStr">
        <is>
          <t>Bill</t>
        </is>
      </c>
      <c r="D2139" s="3" t="inlineStr"/>
      <c r="E2139" s="3" t="inlineStr">
        <is>
          <t>Northmoor Waste Services</t>
        </is>
      </c>
      <c r="F2139" s="3" t="inlineStr">
        <is>
          <t>Waste Removal – April</t>
        </is>
      </c>
      <c r="G2139" s="3" t="inlineStr">
        <is>
          <t>Waste Removal</t>
        </is>
      </c>
      <c r="H2139" s="3" t="inlineStr">
        <is>
          <t>Accounts Payable</t>
        </is>
      </c>
      <c r="I2139" s="33" t="n">
        <v>668.4400000000001</v>
      </c>
      <c r="J2139" s="13">
        <f>+J2138+I2139</f>
        <v>376949.4</v>
      </c>
      <c r="K2139" s="19">
        <f>+EOMONTH(B2139,0)</f>
        <v>46142</v>
      </c>
      <c r="L2139" s="3" t="inlineStr">
        <is>
          <t>Accounts Payable</t>
        </is>
      </c>
      <c r="M2139" s="3" t="inlineStr">
        <is>
          <t>Balance Sheet</t>
        </is>
      </c>
    </row>
    <row r="2140">
      <c r="B2140" s="39" t="n">
        <v>46133</v>
      </c>
      <c r="C2140" s="3" t="inlineStr">
        <is>
          <t>Bill Payment (Check)</t>
        </is>
      </c>
      <c r="D2140" s="3" t="inlineStr">
        <is>
          <t>10672</t>
        </is>
      </c>
      <c r="E2140" s="3" t="inlineStr">
        <is>
          <t>Lumenlease Equipment</t>
        </is>
      </c>
      <c r="F2140" s="3" t="inlineStr">
        <is>
          <t>Lab Equipment – March</t>
        </is>
      </c>
      <c r="G2140" s="3" t="inlineStr">
        <is>
          <t>Checking – Operating</t>
        </is>
      </c>
      <c r="H2140" s="3" t="inlineStr">
        <is>
          <t>Accounts Payable</t>
        </is>
      </c>
      <c r="I2140" s="33" t="n">
        <v>-3048.48</v>
      </c>
      <c r="J2140" s="13">
        <f>+J2139+I2140</f>
        <v>373900.92</v>
      </c>
      <c r="K2140" s="19">
        <f>+EOMONTH(B2140,0)</f>
        <v>46142</v>
      </c>
      <c r="L2140" s="3" t="inlineStr">
        <is>
          <t>Accounts Payable</t>
        </is>
      </c>
      <c r="M2140" s="3" t="inlineStr">
        <is>
          <t>Balance Sheet</t>
        </is>
      </c>
    </row>
    <row r="2141">
      <c r="B2141" s="39" t="n">
        <v>46134</v>
      </c>
      <c r="C2141" s="3" t="inlineStr">
        <is>
          <t>Bill</t>
        </is>
      </c>
      <c r="D2141" s="3" t="inlineStr"/>
      <c r="E2141" s="3" t="inlineStr">
        <is>
          <t>Halloway Ridge Realty (rent)</t>
        </is>
      </c>
      <c r="F2141" s="3" t="inlineStr">
        <is>
          <t>Rent – April</t>
        </is>
      </c>
      <c r="G2141" s="3" t="inlineStr">
        <is>
          <t>Rent Expense</t>
        </is>
      </c>
      <c r="H2141" s="3" t="inlineStr">
        <is>
          <t>Accounts Payable</t>
        </is>
      </c>
      <c r="I2141" s="33" t="n">
        <v>9232.469999999999</v>
      </c>
      <c r="J2141" s="13">
        <f>+J2140+I2141</f>
        <v>383133.39</v>
      </c>
      <c r="K2141" s="19">
        <f>+EOMONTH(B2141,0)</f>
        <v>46142</v>
      </c>
      <c r="L2141" s="3" t="inlineStr">
        <is>
          <t>Accounts Payable</t>
        </is>
      </c>
      <c r="M2141" s="3" t="inlineStr">
        <is>
          <t>Balance Sheet</t>
        </is>
      </c>
    </row>
    <row r="2142">
      <c r="B2142" s="39" t="n">
        <v>46134</v>
      </c>
      <c r="C2142" s="3" t="inlineStr">
        <is>
          <t>Bill</t>
        </is>
      </c>
      <c r="D2142" s="3" t="inlineStr"/>
      <c r="E2142" s="3" t="inlineStr">
        <is>
          <t>Northmoor Waste Services</t>
        </is>
      </c>
      <c r="F2142" s="3" t="inlineStr">
        <is>
          <t>Hazard Waste – April</t>
        </is>
      </c>
      <c r="G2142" s="3" t="inlineStr">
        <is>
          <t>Hazard Waste</t>
        </is>
      </c>
      <c r="H2142" s="3" t="inlineStr">
        <is>
          <t>Accounts Payable</t>
        </is>
      </c>
      <c r="I2142" s="33" t="n">
        <v>643.15</v>
      </c>
      <c r="J2142" s="13">
        <f>+J2141+I2142</f>
        <v>383776.54</v>
      </c>
      <c r="K2142" s="19">
        <f>+EOMONTH(B2142,0)</f>
        <v>46142</v>
      </c>
      <c r="L2142" s="3" t="inlineStr">
        <is>
          <t>Accounts Payable</t>
        </is>
      </c>
      <c r="M2142" s="3" t="inlineStr">
        <is>
          <t>Balance Sheet</t>
        </is>
      </c>
    </row>
    <row r="2143">
      <c r="B2143" s="39" t="n">
        <v>46135</v>
      </c>
      <c r="C2143" s="3" t="inlineStr">
        <is>
          <t>Bill Payment (Check)</t>
        </is>
      </c>
      <c r="D2143" s="3" t="inlineStr">
        <is>
          <t>10742</t>
        </is>
      </c>
      <c r="E2143" s="3" t="inlineStr">
        <is>
          <t>Lumenlease Equipment</t>
        </is>
      </c>
      <c r="F2143" s="3" t="inlineStr">
        <is>
          <t>Equipment Lease – April</t>
        </is>
      </c>
      <c r="G2143" s="3" t="inlineStr">
        <is>
          <t>Checking – Operating</t>
        </is>
      </c>
      <c r="H2143" s="3" t="inlineStr">
        <is>
          <t>Accounts Payable</t>
        </is>
      </c>
      <c r="I2143" s="33" t="n">
        <v>-2899.75</v>
      </c>
      <c r="J2143" s="13">
        <f>+J2142+I2143</f>
        <v>380876.79</v>
      </c>
      <c r="K2143" s="19">
        <f>+EOMONTH(B2143,0)</f>
        <v>46142</v>
      </c>
      <c r="L2143" s="3" t="inlineStr">
        <is>
          <t>Accounts Payable</t>
        </is>
      </c>
      <c r="M2143" s="3" t="inlineStr">
        <is>
          <t>Balance Sheet</t>
        </is>
      </c>
    </row>
    <row r="2144">
      <c r="B2144" s="39" t="n">
        <v>46136</v>
      </c>
      <c r="C2144" s="3" t="inlineStr">
        <is>
          <t>Bill</t>
        </is>
      </c>
      <c r="D2144" s="3" t="inlineStr"/>
      <c r="E2144" s="3" t="inlineStr">
        <is>
          <t>Tarrowmere Mutual Insurance</t>
        </is>
      </c>
      <c r="F2144" s="3" t="inlineStr">
        <is>
          <t>Premium installment</t>
        </is>
      </c>
      <c r="G2144" s="3" t="inlineStr">
        <is>
          <t>Insurance Expense</t>
        </is>
      </c>
      <c r="H2144" s="3" t="inlineStr">
        <is>
          <t>Accounts Payable</t>
        </is>
      </c>
      <c r="I2144" s="33" t="n">
        <v>5556.46</v>
      </c>
      <c r="J2144" s="13">
        <f>+J2143+I2144</f>
        <v>386433.25</v>
      </c>
      <c r="K2144" s="19">
        <f>+EOMONTH(B2144,0)</f>
        <v>46142</v>
      </c>
      <c r="L2144" s="3" t="inlineStr">
        <is>
          <t>Accounts Payable</t>
        </is>
      </c>
      <c r="M2144" s="3" t="inlineStr">
        <is>
          <t>Balance Sheet</t>
        </is>
      </c>
    </row>
    <row r="2145">
      <c r="B2145" s="39" t="n">
        <v>46136</v>
      </c>
      <c r="C2145" s="3" t="inlineStr">
        <is>
          <t>Bill</t>
        </is>
      </c>
      <c r="D2145" s="3" t="inlineStr"/>
      <c r="E2145" s="3" t="inlineStr">
        <is>
          <t>Union Utilities</t>
        </is>
      </c>
      <c r="F2145" s="3" t="inlineStr">
        <is>
          <t>Utilities – April</t>
        </is>
      </c>
      <c r="G2145" s="3" t="inlineStr">
        <is>
          <t>Utilities</t>
        </is>
      </c>
      <c r="H2145" s="3" t="inlineStr">
        <is>
          <t>Accounts Payable</t>
        </is>
      </c>
      <c r="I2145" s="33" t="n">
        <v>4783.63</v>
      </c>
      <c r="J2145" s="13">
        <f>+J2144+I2145</f>
        <v>391216.88</v>
      </c>
      <c r="K2145" s="19">
        <f>+EOMONTH(B2145,0)</f>
        <v>46142</v>
      </c>
      <c r="L2145" s="3" t="inlineStr">
        <is>
          <t>Accounts Payable</t>
        </is>
      </c>
      <c r="M2145" s="3" t="inlineStr">
        <is>
          <t>Balance Sheet</t>
        </is>
      </c>
    </row>
    <row r="2146">
      <c r="B2146" s="39" t="n">
        <v>46136</v>
      </c>
      <c r="C2146" s="3" t="inlineStr">
        <is>
          <t>Bill Payment (Check)</t>
        </is>
      </c>
      <c r="D2146" s="3" t="inlineStr">
        <is>
          <t>10512</t>
        </is>
      </c>
      <c r="E2146" s="3" t="inlineStr">
        <is>
          <t>Reference Lab A</t>
        </is>
      </c>
      <c r="F2146" s="3" t="inlineStr">
        <is>
          <t>Send-out testing – April</t>
        </is>
      </c>
      <c r="G2146" s="3" t="inlineStr">
        <is>
          <t>Checking – Operating</t>
        </is>
      </c>
      <c r="H2146" s="3" t="inlineStr">
        <is>
          <t>Accounts Payable</t>
        </is>
      </c>
      <c r="I2146" s="33" t="n">
        <v>-32507.15</v>
      </c>
      <c r="J2146" s="13">
        <f>+J2145+I2146</f>
        <v>358709.73</v>
      </c>
      <c r="K2146" s="19">
        <f>+EOMONTH(B2146,0)</f>
        <v>46142</v>
      </c>
      <c r="L2146" s="3" t="inlineStr">
        <is>
          <t>Accounts Payable</t>
        </is>
      </c>
      <c r="M2146" s="3" t="inlineStr">
        <is>
          <t>Balance Sheet</t>
        </is>
      </c>
    </row>
    <row r="2147">
      <c r="B2147" s="39" t="n">
        <v>46137</v>
      </c>
      <c r="C2147" s="3" t="inlineStr">
        <is>
          <t>Bill</t>
        </is>
      </c>
      <c r="D2147" s="3" t="inlineStr"/>
      <c r="E2147" s="3" t="inlineStr">
        <is>
          <t>Halloway Ridge Realty (rent)</t>
        </is>
      </c>
      <c r="F2147" s="3" t="inlineStr">
        <is>
          <t>Rent – April</t>
        </is>
      </c>
      <c r="G2147" s="3" t="inlineStr">
        <is>
          <t>Rent Expense</t>
        </is>
      </c>
      <c r="H2147" s="3" t="inlineStr">
        <is>
          <t>Accounts Payable</t>
        </is>
      </c>
      <c r="I2147" s="33" t="n">
        <v>11629.32</v>
      </c>
      <c r="J2147" s="13">
        <f>+J2146+I2147</f>
        <v>370339.05</v>
      </c>
      <c r="K2147" s="19">
        <f>+EOMONTH(B2147,0)</f>
        <v>46142</v>
      </c>
      <c r="L2147" s="3" t="inlineStr">
        <is>
          <t>Accounts Payable</t>
        </is>
      </c>
      <c r="M2147" s="3" t="inlineStr">
        <is>
          <t>Balance Sheet</t>
        </is>
      </c>
    </row>
    <row r="2148">
      <c r="B2148" s="39" t="n">
        <v>46137</v>
      </c>
      <c r="C2148" s="3" t="inlineStr">
        <is>
          <t>Bill Payment (Check)</t>
        </is>
      </c>
      <c r="D2148" s="3" t="inlineStr">
        <is>
          <t>10422</t>
        </is>
      </c>
      <c r="E2148" s="3" t="inlineStr">
        <is>
          <t>Vialtrace Lab Supplies Inc</t>
        </is>
      </c>
      <c r="F2148" s="3" t="inlineStr">
        <is>
          <t>Lab Expenses – March</t>
        </is>
      </c>
      <c r="G2148" s="3" t="inlineStr">
        <is>
          <t>Checking – Operating</t>
        </is>
      </c>
      <c r="H2148" s="3" t="inlineStr">
        <is>
          <t>Accounts Payable</t>
        </is>
      </c>
      <c r="I2148" s="33" t="n">
        <v>-7995.25</v>
      </c>
      <c r="J2148" s="13">
        <f>+J2147+I2148</f>
        <v>362343.8</v>
      </c>
      <c r="K2148" s="19">
        <f>+EOMONTH(B2148,0)</f>
        <v>46142</v>
      </c>
      <c r="L2148" s="3" t="inlineStr">
        <is>
          <t>Accounts Payable</t>
        </is>
      </c>
      <c r="M2148" s="3" t="inlineStr">
        <is>
          <t>Balance Sheet</t>
        </is>
      </c>
    </row>
    <row r="2149">
      <c r="B2149" s="39" t="n">
        <v>46137</v>
      </c>
      <c r="C2149" s="3" t="inlineStr">
        <is>
          <t>Bill Payment (Check)</t>
        </is>
      </c>
      <c r="D2149" s="3" t="inlineStr">
        <is>
          <t>10423</t>
        </is>
      </c>
      <c r="E2149" s="3" t="inlineStr">
        <is>
          <t>Vialtrace Lab Supplies Inc</t>
        </is>
      </c>
      <c r="F2149" s="3" t="inlineStr">
        <is>
          <t>Lab Expenses – March</t>
        </is>
      </c>
      <c r="G2149" s="3" t="inlineStr">
        <is>
          <t>Checking – Operating</t>
        </is>
      </c>
      <c r="H2149" s="3" t="inlineStr">
        <is>
          <t>Accounts Payable</t>
        </is>
      </c>
      <c r="I2149" s="33" t="n">
        <v>-8073.76</v>
      </c>
      <c r="J2149" s="13">
        <f>+J2148+I2149</f>
        <v>354270.04</v>
      </c>
      <c r="K2149" s="19">
        <f>+EOMONTH(B2149,0)</f>
        <v>46142</v>
      </c>
      <c r="L2149" s="3" t="inlineStr">
        <is>
          <t>Accounts Payable</t>
        </is>
      </c>
      <c r="M2149" s="3" t="inlineStr">
        <is>
          <t>Balance Sheet</t>
        </is>
      </c>
    </row>
    <row r="2150">
      <c r="B2150" s="39" t="n">
        <v>46137</v>
      </c>
      <c r="C2150" s="3" t="inlineStr">
        <is>
          <t>Bill Payment (Check)</t>
        </is>
      </c>
      <c r="D2150" s="3" t="inlineStr">
        <is>
          <t>10510</t>
        </is>
      </c>
      <c r="E2150" s="3" t="inlineStr">
        <is>
          <t>Reference Lab A</t>
        </is>
      </c>
      <c r="F2150" s="3" t="inlineStr">
        <is>
          <t>Send-out testing – March</t>
        </is>
      </c>
      <c r="G2150" s="3" t="inlineStr">
        <is>
          <t>Checking – Operating</t>
        </is>
      </c>
      <c r="H2150" s="3" t="inlineStr">
        <is>
          <t>Accounts Payable</t>
        </is>
      </c>
      <c r="I2150" s="33" t="n">
        <v>-22756.97</v>
      </c>
      <c r="J2150" s="13">
        <f>+J2149+I2150</f>
        <v>331513.07</v>
      </c>
      <c r="K2150" s="19">
        <f>+EOMONTH(B2150,0)</f>
        <v>46142</v>
      </c>
      <c r="L2150" s="3" t="inlineStr">
        <is>
          <t>Accounts Payable</t>
        </is>
      </c>
      <c r="M2150" s="3" t="inlineStr">
        <is>
          <t>Balance Sheet</t>
        </is>
      </c>
    </row>
    <row r="2151">
      <c r="B2151" s="39" t="n">
        <v>46137</v>
      </c>
      <c r="C2151" s="3" t="inlineStr">
        <is>
          <t>Bill Payment (Check)</t>
        </is>
      </c>
      <c r="D2151" s="3" t="inlineStr">
        <is>
          <t>11024</t>
        </is>
      </c>
      <c r="E2151" s="3" t="inlineStr">
        <is>
          <t>Northmoor Waste Services</t>
        </is>
      </c>
      <c r="F2151" s="3" t="inlineStr">
        <is>
          <t>Waste Removal – April</t>
        </is>
      </c>
      <c r="G2151" s="3" t="inlineStr">
        <is>
          <t>Checking – Operating</t>
        </is>
      </c>
      <c r="H2151" s="3" t="inlineStr">
        <is>
          <t>Accounts Payable</t>
        </is>
      </c>
      <c r="I2151" s="33" t="n">
        <v>-491.56</v>
      </c>
      <c r="J2151" s="13">
        <f>+J2150+I2151</f>
        <v>331021.51</v>
      </c>
      <c r="K2151" s="19">
        <f>+EOMONTH(B2151,0)</f>
        <v>46142</v>
      </c>
      <c r="L2151" s="3" t="inlineStr">
        <is>
          <t>Accounts Payable</t>
        </is>
      </c>
      <c r="M2151" s="3" t="inlineStr">
        <is>
          <t>Balance Sheet</t>
        </is>
      </c>
    </row>
    <row r="2152">
      <c r="B2152" s="39" t="n">
        <v>46139</v>
      </c>
      <c r="C2152" s="3" t="inlineStr">
        <is>
          <t>Bill</t>
        </is>
      </c>
      <c r="D2152" s="3" t="inlineStr"/>
      <c r="E2152" s="3" t="inlineStr">
        <is>
          <t>Reagentix Corp</t>
        </is>
      </c>
      <c r="F2152" s="3" t="inlineStr">
        <is>
          <t>Lab supplies PO# F2076</t>
        </is>
      </c>
      <c r="G2152" s="3" t="inlineStr">
        <is>
          <t>Reagents</t>
        </is>
      </c>
      <c r="H2152" s="3" t="inlineStr">
        <is>
          <t>Accounts Payable</t>
        </is>
      </c>
      <c r="I2152" s="33" t="n">
        <v>9915.02</v>
      </c>
      <c r="J2152" s="13">
        <f>+J2151+I2152</f>
        <v>340936.53</v>
      </c>
      <c r="K2152" s="19">
        <f>+EOMONTH(B2152,0)</f>
        <v>46142</v>
      </c>
      <c r="L2152" s="3" t="inlineStr">
        <is>
          <t>Accounts Payable</t>
        </is>
      </c>
      <c r="M2152" s="3" t="inlineStr">
        <is>
          <t>Balance Sheet</t>
        </is>
      </c>
    </row>
    <row r="2153">
      <c r="B2153" s="39" t="n">
        <v>46139</v>
      </c>
      <c r="C2153" s="3" t="inlineStr">
        <is>
          <t>Bill</t>
        </is>
      </c>
      <c r="D2153" s="3" t="inlineStr"/>
      <c r="E2153" s="3" t="inlineStr">
        <is>
          <t>Ledgerquill Billing SaaS</t>
        </is>
      </c>
      <c r="F2153" s="3" t="inlineStr">
        <is>
          <t>Billing Software as a Service – April</t>
        </is>
      </c>
      <c r="G2153" s="3" t="inlineStr">
        <is>
          <t>Billing Software as a Service</t>
        </is>
      </c>
      <c r="H2153" s="3" t="inlineStr">
        <is>
          <t>Accounts Payable</t>
        </is>
      </c>
      <c r="I2153" s="33" t="n">
        <v>29110.4</v>
      </c>
      <c r="J2153" s="13">
        <f>+J2152+I2153</f>
        <v>370046.93</v>
      </c>
      <c r="K2153" s="19">
        <f>+EOMONTH(B2153,0)</f>
        <v>46142</v>
      </c>
      <c r="L2153" s="3" t="inlineStr">
        <is>
          <t>Accounts Payable</t>
        </is>
      </c>
      <c r="M2153" s="3" t="inlineStr">
        <is>
          <t>Balance Sheet</t>
        </is>
      </c>
    </row>
    <row r="2154">
      <c r="B2154" s="39" t="n">
        <v>46139</v>
      </c>
      <c r="C2154" s="3" t="inlineStr">
        <is>
          <t>Bill Payment (Check)</t>
        </is>
      </c>
      <c r="D2154" s="3" t="inlineStr">
        <is>
          <t>10509</t>
        </is>
      </c>
      <c r="E2154" s="3" t="inlineStr">
        <is>
          <t>Reference Lab A</t>
        </is>
      </c>
      <c r="F2154" s="3" t="inlineStr">
        <is>
          <t>Send-out testing – March</t>
        </is>
      </c>
      <c r="G2154" s="3" t="inlineStr">
        <is>
          <t>Checking – Operating</t>
        </is>
      </c>
      <c r="H2154" s="3" t="inlineStr">
        <is>
          <t>Accounts Payable</t>
        </is>
      </c>
      <c r="I2154" s="33" t="n">
        <v>-16837.17</v>
      </c>
      <c r="J2154" s="13">
        <f>+J2153+I2154</f>
        <v>353209.76</v>
      </c>
      <c r="K2154" s="19">
        <f>+EOMONTH(B2154,0)</f>
        <v>46142</v>
      </c>
      <c r="L2154" s="3" t="inlineStr">
        <is>
          <t>Accounts Payable</t>
        </is>
      </c>
      <c r="M2154" s="3" t="inlineStr">
        <is>
          <t>Balance Sheet</t>
        </is>
      </c>
    </row>
    <row r="2155">
      <c r="B2155" s="39" t="n">
        <v>46139</v>
      </c>
      <c r="C2155" s="3" t="inlineStr">
        <is>
          <t>Bill Payment (Check)</t>
        </is>
      </c>
      <c r="D2155" s="3" t="inlineStr">
        <is>
          <t>10546</t>
        </is>
      </c>
      <c r="E2155" s="3" t="inlineStr">
        <is>
          <t>Reagentix Corp</t>
        </is>
      </c>
      <c r="F2155" s="3" t="inlineStr">
        <is>
          <t>Lab supplies PO# F2116</t>
        </is>
      </c>
      <c r="G2155" s="3" t="inlineStr">
        <is>
          <t>Checking – Operating</t>
        </is>
      </c>
      <c r="H2155" s="3" t="inlineStr">
        <is>
          <t>Accounts Payable</t>
        </is>
      </c>
      <c r="I2155" s="33" t="n">
        <v>-13053.71</v>
      </c>
      <c r="J2155" s="13">
        <f>+J2154+I2155</f>
        <v>340156.05</v>
      </c>
      <c r="K2155" s="19">
        <f>+EOMONTH(B2155,0)</f>
        <v>46142</v>
      </c>
      <c r="L2155" s="3" t="inlineStr">
        <is>
          <t>Accounts Payable</t>
        </is>
      </c>
      <c r="M2155" s="3" t="inlineStr">
        <is>
          <t>Balance Sheet</t>
        </is>
      </c>
    </row>
    <row r="2156">
      <c r="B2156" s="39" t="n">
        <v>46140</v>
      </c>
      <c r="C2156" s="3" t="inlineStr">
        <is>
          <t>Bill</t>
        </is>
      </c>
      <c r="D2156" s="3" t="inlineStr"/>
      <c r="E2156" s="3" t="inlineStr">
        <is>
          <t>Tarrowmere Mutual Insurance</t>
        </is>
      </c>
      <c r="F2156" s="3" t="inlineStr">
        <is>
          <t>Premium installment</t>
        </is>
      </c>
      <c r="G2156" s="3" t="inlineStr">
        <is>
          <t>Insurance Expense</t>
        </is>
      </c>
      <c r="H2156" s="3" t="inlineStr">
        <is>
          <t>Accounts Payable</t>
        </is>
      </c>
      <c r="I2156" s="33" t="n">
        <v>6373.47</v>
      </c>
      <c r="J2156" s="13">
        <f>+J2155+I2156</f>
        <v>346529.52</v>
      </c>
      <c r="K2156" s="19">
        <f>+EOMONTH(B2156,0)</f>
        <v>46142</v>
      </c>
      <c r="L2156" s="3" t="inlineStr">
        <is>
          <t>Accounts Payable</t>
        </is>
      </c>
      <c r="M2156" s="3" t="inlineStr">
        <is>
          <t>Balance Sheet</t>
        </is>
      </c>
    </row>
    <row r="2157">
      <c r="B2157" s="39" t="n">
        <v>46140</v>
      </c>
      <c r="C2157" s="3" t="inlineStr">
        <is>
          <t>Bill Payment (Check)</t>
        </is>
      </c>
      <c r="D2157" s="3" t="inlineStr">
        <is>
          <t>10471</t>
        </is>
      </c>
      <c r="E2157" s="3" t="inlineStr">
        <is>
          <t>Vialtrace Lab Supplies Inc</t>
        </is>
      </c>
      <c r="F2157" s="3" t="inlineStr">
        <is>
          <t>Lab supplies PO# F2267</t>
        </is>
      </c>
      <c r="G2157" s="3" t="inlineStr">
        <is>
          <t>Checking – Operating</t>
        </is>
      </c>
      <c r="H2157" s="3" t="inlineStr">
        <is>
          <t>Accounts Payable</t>
        </is>
      </c>
      <c r="I2157" s="33" t="n">
        <v>-30112.16</v>
      </c>
      <c r="J2157" s="13">
        <f>+J2156+I2157</f>
        <v>316417.36</v>
      </c>
      <c r="K2157" s="19">
        <f>+EOMONTH(B2157,0)</f>
        <v>46142</v>
      </c>
      <c r="L2157" s="3" t="inlineStr">
        <is>
          <t>Accounts Payable</t>
        </is>
      </c>
      <c r="M2157" s="3" t="inlineStr">
        <is>
          <t>Balance Sheet</t>
        </is>
      </c>
    </row>
    <row r="2158">
      <c r="B2158" s="39" t="n">
        <v>46140</v>
      </c>
      <c r="C2158" s="3" t="inlineStr">
        <is>
          <t>Bill Payment (Check)</t>
        </is>
      </c>
      <c r="D2158" s="3" t="inlineStr">
        <is>
          <t>10700</t>
        </is>
      </c>
      <c r="E2158" s="3" t="inlineStr">
        <is>
          <t>Tarrowmere Mutual Insurance</t>
        </is>
      </c>
      <c r="F2158" s="3" t="inlineStr">
        <is>
          <t>Premium installment</t>
        </is>
      </c>
      <c r="G2158" s="3" t="inlineStr">
        <is>
          <t>Checking – Operating</t>
        </is>
      </c>
      <c r="H2158" s="3" t="inlineStr">
        <is>
          <t>Accounts Payable</t>
        </is>
      </c>
      <c r="I2158" s="33" t="n">
        <v>-8570.07</v>
      </c>
      <c r="J2158" s="13">
        <f>+J2157+I2158</f>
        <v>307847.29</v>
      </c>
      <c r="K2158" s="19">
        <f>+EOMONTH(B2158,0)</f>
        <v>46142</v>
      </c>
      <c r="L2158" s="3" t="inlineStr">
        <is>
          <t>Accounts Payable</t>
        </is>
      </c>
      <c r="M2158" s="3" t="inlineStr">
        <is>
          <t>Balance Sheet</t>
        </is>
      </c>
    </row>
    <row r="2159">
      <c r="B2159" s="39" t="n">
        <v>46141</v>
      </c>
      <c r="C2159" s="3" t="inlineStr">
        <is>
          <t>Bill</t>
        </is>
      </c>
      <c r="D2159" s="3" t="inlineStr"/>
      <c r="E2159" s="3" t="inlineStr">
        <is>
          <t>Vialtrace Lab Supplies Inc</t>
        </is>
      </c>
      <c r="F2159" s="3" t="inlineStr">
        <is>
          <t>Lab Expenses – April</t>
        </is>
      </c>
      <c r="G2159" s="3" t="inlineStr">
        <is>
          <t>Lab Expenses</t>
        </is>
      </c>
      <c r="H2159" s="3" t="inlineStr">
        <is>
          <t>Accounts Payable</t>
        </is>
      </c>
      <c r="I2159" s="33" t="n">
        <v>5379.32</v>
      </c>
      <c r="J2159" s="13">
        <f>+J2158+I2159</f>
        <v>313226.61</v>
      </c>
      <c r="K2159" s="19">
        <f>+EOMONTH(B2159,0)</f>
        <v>46142</v>
      </c>
      <c r="L2159" s="3" t="inlineStr">
        <is>
          <t>Accounts Payable</t>
        </is>
      </c>
      <c r="M2159" s="3" t="inlineStr">
        <is>
          <t>Balance Sheet</t>
        </is>
      </c>
    </row>
    <row r="2160">
      <c r="B2160" s="39" t="n">
        <v>46141</v>
      </c>
      <c r="C2160" s="3" t="inlineStr">
        <is>
          <t>Bill</t>
        </is>
      </c>
      <c r="D2160" s="3" t="inlineStr"/>
      <c r="E2160" s="3" t="inlineStr">
        <is>
          <t>Reference Lab A</t>
        </is>
      </c>
      <c r="F2160" s="3" t="inlineStr">
        <is>
          <t>Send-out testing – April</t>
        </is>
      </c>
      <c r="G2160" s="3" t="inlineStr">
        <is>
          <t>Laboratory Fees</t>
        </is>
      </c>
      <c r="H2160" s="3" t="inlineStr">
        <is>
          <t>Accounts Payable</t>
        </is>
      </c>
      <c r="I2160" s="33" t="n">
        <v>26609.14</v>
      </c>
      <c r="J2160" s="13">
        <f>+J2159+I2160</f>
        <v>339835.75</v>
      </c>
      <c r="K2160" s="19">
        <f>+EOMONTH(B2160,0)</f>
        <v>46142</v>
      </c>
      <c r="L2160" s="3" t="inlineStr">
        <is>
          <t>Accounts Payable</t>
        </is>
      </c>
      <c r="M2160" s="3" t="inlineStr">
        <is>
          <t>Balance Sheet</t>
        </is>
      </c>
    </row>
    <row r="2161">
      <c r="B2161" s="39" t="n">
        <v>46141</v>
      </c>
      <c r="C2161" s="3" t="inlineStr">
        <is>
          <t>Bill</t>
        </is>
      </c>
      <c r="D2161" s="3" t="inlineStr"/>
      <c r="E2161" s="3" t="inlineStr">
        <is>
          <t>Reagentix Corp</t>
        </is>
      </c>
      <c r="F2161" s="3" t="inlineStr">
        <is>
          <t>Lab supplies PO# F2496</t>
        </is>
      </c>
      <c r="G2161" s="3" t="inlineStr">
        <is>
          <t>Reagents</t>
        </is>
      </c>
      <c r="H2161" s="3" t="inlineStr">
        <is>
          <t>Accounts Payable</t>
        </is>
      </c>
      <c r="I2161" s="33" t="n">
        <v>10141.05</v>
      </c>
      <c r="J2161" s="13">
        <f>+J2160+I2161</f>
        <v>349976.8</v>
      </c>
      <c r="K2161" s="19">
        <f>+EOMONTH(B2161,0)</f>
        <v>46142</v>
      </c>
      <c r="L2161" s="3" t="inlineStr">
        <is>
          <t>Accounts Payable</t>
        </is>
      </c>
      <c r="M2161" s="3" t="inlineStr">
        <is>
          <t>Balance Sheet</t>
        </is>
      </c>
    </row>
    <row r="2162">
      <c r="B2162" s="39" t="n">
        <v>46141</v>
      </c>
      <c r="C2162" s="3" t="inlineStr">
        <is>
          <t>Bill</t>
        </is>
      </c>
      <c r="D2162" s="3" t="inlineStr"/>
      <c r="E2162" s="3" t="inlineStr">
        <is>
          <t>Lumenlease Equipment</t>
        </is>
      </c>
      <c r="F2162" s="3" t="inlineStr">
        <is>
          <t>Lab Equipment – April</t>
        </is>
      </c>
      <c r="G2162" s="3" t="inlineStr">
        <is>
          <t>Lab Equipment</t>
        </is>
      </c>
      <c r="H2162" s="3" t="inlineStr">
        <is>
          <t>Accounts Payable</t>
        </is>
      </c>
      <c r="I2162" s="33" t="n">
        <v>2717.11</v>
      </c>
      <c r="J2162" s="13">
        <f>+J2161+I2162</f>
        <v>352693.91</v>
      </c>
      <c r="K2162" s="19">
        <f>+EOMONTH(B2162,0)</f>
        <v>46142</v>
      </c>
      <c r="L2162" s="3" t="inlineStr">
        <is>
          <t>Accounts Payable</t>
        </is>
      </c>
      <c r="M2162" s="3" t="inlineStr">
        <is>
          <t>Balance Sheet</t>
        </is>
      </c>
    </row>
    <row r="2163">
      <c r="B2163" s="39" t="n">
        <v>46141</v>
      </c>
      <c r="C2163" s="3" t="inlineStr">
        <is>
          <t>Bill Payment (Check)</t>
        </is>
      </c>
      <c r="D2163" s="3" t="inlineStr">
        <is>
          <t>10425</t>
        </is>
      </c>
      <c r="E2163" s="3" t="inlineStr">
        <is>
          <t>Reagentix Corp</t>
        </is>
      </c>
      <c r="F2163" s="3" t="inlineStr">
        <is>
          <t>Lab Expenses – April</t>
        </is>
      </c>
      <c r="G2163" s="3" t="inlineStr">
        <is>
          <t>Checking – Operating</t>
        </is>
      </c>
      <c r="H2163" s="3" t="inlineStr">
        <is>
          <t>Accounts Payable</t>
        </is>
      </c>
      <c r="I2163" s="33" t="n">
        <v>-5353.45</v>
      </c>
      <c r="J2163" s="13">
        <f>+J2162+I2163</f>
        <v>347340.46</v>
      </c>
      <c r="K2163" s="19">
        <f>+EOMONTH(B2163,0)</f>
        <v>46142</v>
      </c>
      <c r="L2163" s="3" t="inlineStr">
        <is>
          <t>Accounts Payable</t>
        </is>
      </c>
      <c r="M2163" s="3" t="inlineStr">
        <is>
          <t>Balance Sheet</t>
        </is>
      </c>
    </row>
    <row r="2164">
      <c r="B2164" s="39" t="n">
        <v>46141</v>
      </c>
      <c r="C2164" s="3" t="inlineStr">
        <is>
          <t>Bill Payment (Check)</t>
        </is>
      </c>
      <c r="D2164" s="3" t="inlineStr">
        <is>
          <t>10909</t>
        </is>
      </c>
      <c r="E2164" s="3" t="inlineStr">
        <is>
          <t>Halloway Ridge Realty (rent)</t>
        </is>
      </c>
      <c r="F2164" s="3" t="inlineStr">
        <is>
          <t>Rent – April</t>
        </is>
      </c>
      <c r="G2164" s="3" t="inlineStr">
        <is>
          <t>Checking – Operating</t>
        </is>
      </c>
      <c r="H2164" s="3" t="inlineStr">
        <is>
          <t>Accounts Payable</t>
        </is>
      </c>
      <c r="I2164" s="33" t="n">
        <v>-7884.66</v>
      </c>
      <c r="J2164" s="13">
        <f>+J2163+I2164</f>
        <v>339455.8</v>
      </c>
      <c r="K2164" s="19">
        <f>+EOMONTH(B2164,0)</f>
        <v>46142</v>
      </c>
      <c r="L2164" s="3" t="inlineStr">
        <is>
          <t>Accounts Payable</t>
        </is>
      </c>
      <c r="M2164" s="3" t="inlineStr">
        <is>
          <t>Balance Sheet</t>
        </is>
      </c>
    </row>
    <row r="2165">
      <c r="B2165" s="39" t="n">
        <v>46142</v>
      </c>
      <c r="C2165" s="3" t="inlineStr">
        <is>
          <t>Bill</t>
        </is>
      </c>
      <c r="D2165" s="3" t="inlineStr"/>
      <c r="E2165" s="3" t="inlineStr">
        <is>
          <t>Reagentix Corp</t>
        </is>
      </c>
      <c r="F2165" s="3" t="inlineStr">
        <is>
          <t>Lab Expenses – April</t>
        </is>
      </c>
      <c r="G2165" s="3" t="inlineStr">
        <is>
          <t>Lab Expenses</t>
        </is>
      </c>
      <c r="H2165" s="3" t="inlineStr">
        <is>
          <t>Accounts Payable</t>
        </is>
      </c>
      <c r="I2165" s="33" t="n">
        <v>4608.57</v>
      </c>
      <c r="J2165" s="13">
        <f>+J2164+I2165</f>
        <v>344064.37</v>
      </c>
      <c r="K2165" s="19">
        <f>+EOMONTH(B2165,0)</f>
        <v>46142</v>
      </c>
      <c r="L2165" s="3" t="inlineStr">
        <is>
          <t>Accounts Payable</t>
        </is>
      </c>
      <c r="M2165" s="3" t="inlineStr">
        <is>
          <t>Balance Sheet</t>
        </is>
      </c>
    </row>
    <row r="2166">
      <c r="B2166" s="39" t="n">
        <v>46142</v>
      </c>
      <c r="C2166" s="3" t="inlineStr">
        <is>
          <t>Bill</t>
        </is>
      </c>
      <c r="D2166" s="3" t="inlineStr"/>
      <c r="E2166" s="3" t="inlineStr">
        <is>
          <t>Union Utilities</t>
        </is>
      </c>
      <c r="F2166" s="3" t="inlineStr">
        <is>
          <t>Utilities – April</t>
        </is>
      </c>
      <c r="G2166" s="3" t="inlineStr">
        <is>
          <t>Utilities</t>
        </is>
      </c>
      <c r="H2166" s="3" t="inlineStr">
        <is>
          <t>Accounts Payable</t>
        </is>
      </c>
      <c r="I2166" s="33" t="n">
        <v>2416.37</v>
      </c>
      <c r="J2166" s="13">
        <f>+J2165+I2166</f>
        <v>346480.74</v>
      </c>
      <c r="K2166" s="19">
        <f>+EOMONTH(B2166,0)</f>
        <v>46142</v>
      </c>
      <c r="L2166" s="3" t="inlineStr">
        <is>
          <t>Accounts Payable</t>
        </is>
      </c>
      <c r="M2166" s="3" t="inlineStr">
        <is>
          <t>Balance Sheet</t>
        </is>
      </c>
    </row>
    <row r="2167">
      <c r="B2167" s="39" t="n">
        <v>46143</v>
      </c>
      <c r="C2167" s="3" t="inlineStr">
        <is>
          <t>Bill</t>
        </is>
      </c>
      <c r="D2167" s="3" t="inlineStr"/>
      <c r="E2167" s="3" t="inlineStr">
        <is>
          <t>Halloway Ridge Realty (rent)</t>
        </is>
      </c>
      <c r="F2167" s="3" t="inlineStr">
        <is>
          <t>Rent – May</t>
        </is>
      </c>
      <c r="G2167" s="3" t="inlineStr">
        <is>
          <t>Rent Expense</t>
        </is>
      </c>
      <c r="H2167" s="3" t="inlineStr">
        <is>
          <t>Accounts Payable</t>
        </is>
      </c>
      <c r="I2167" s="33" t="n">
        <v>12645.14</v>
      </c>
      <c r="J2167" s="13">
        <f>+J2166+I2167</f>
        <v>359125.88</v>
      </c>
      <c r="K2167" s="19">
        <f>+EOMONTH(B2167,0)</f>
        <v>46173</v>
      </c>
      <c r="L2167" s="3" t="inlineStr">
        <is>
          <t>Accounts Payable</t>
        </is>
      </c>
      <c r="M2167" s="3" t="inlineStr">
        <is>
          <t>Balance Sheet</t>
        </is>
      </c>
    </row>
    <row r="2168">
      <c r="B2168" s="39" t="n">
        <v>46144</v>
      </c>
      <c r="C2168" s="3" t="inlineStr">
        <is>
          <t>Bill</t>
        </is>
      </c>
      <c r="D2168" s="3" t="inlineStr"/>
      <c r="E2168" s="3" t="inlineStr">
        <is>
          <t>Reagentix Corp</t>
        </is>
      </c>
      <c r="F2168" s="3" t="inlineStr">
        <is>
          <t>Lab Expenses – May</t>
        </is>
      </c>
      <c r="G2168" s="3" t="inlineStr">
        <is>
          <t>Lab Expenses</t>
        </is>
      </c>
      <c r="H2168" s="3" t="inlineStr">
        <is>
          <t>Accounts Payable</t>
        </is>
      </c>
      <c r="I2168" s="33" t="n">
        <v>3247.85</v>
      </c>
      <c r="J2168" s="13">
        <f>+J2167+I2168</f>
        <v>362373.73</v>
      </c>
      <c r="K2168" s="19">
        <f>+EOMONTH(B2168,0)</f>
        <v>46173</v>
      </c>
      <c r="L2168" s="3" t="inlineStr">
        <is>
          <t>Accounts Payable</t>
        </is>
      </c>
      <c r="M2168" s="3" t="inlineStr">
        <is>
          <t>Balance Sheet</t>
        </is>
      </c>
    </row>
    <row r="2169">
      <c r="B2169" s="39" t="n">
        <v>46144</v>
      </c>
      <c r="C2169" s="3" t="inlineStr">
        <is>
          <t>Bill</t>
        </is>
      </c>
      <c r="D2169" s="3" t="inlineStr"/>
      <c r="E2169" s="3" t="inlineStr">
        <is>
          <t>Tarrowmere Mutual Insurance</t>
        </is>
      </c>
      <c r="F2169" s="3" t="inlineStr">
        <is>
          <t>Premium installment</t>
        </is>
      </c>
      <c r="G2169" s="3" t="inlineStr">
        <is>
          <t>Insurance Expense</t>
        </is>
      </c>
      <c r="H2169" s="3" t="inlineStr">
        <is>
          <t>Accounts Payable</t>
        </is>
      </c>
      <c r="I2169" s="33" t="n">
        <v>5142.28</v>
      </c>
      <c r="J2169" s="13">
        <f>+J2168+I2169</f>
        <v>367516.01</v>
      </c>
      <c r="K2169" s="19">
        <f>+EOMONTH(B2169,0)</f>
        <v>46173</v>
      </c>
      <c r="L2169" s="3" t="inlineStr">
        <is>
          <t>Accounts Payable</t>
        </is>
      </c>
      <c r="M2169" s="3" t="inlineStr">
        <is>
          <t>Balance Sheet</t>
        </is>
      </c>
    </row>
    <row r="2170">
      <c r="B2170" s="39" t="n">
        <v>46144</v>
      </c>
      <c r="C2170" s="3" t="inlineStr">
        <is>
          <t>Bill Payment (Check)</t>
        </is>
      </c>
      <c r="D2170" s="3" t="inlineStr">
        <is>
          <t>11231</t>
        </is>
      </c>
      <c r="E2170" s="3" t="inlineStr">
        <is>
          <t>Ledgerquill Billing SaaS</t>
        </is>
      </c>
      <c r="F2170" s="3" t="inlineStr">
        <is>
          <t>Billing Software as a Service – April</t>
        </is>
      </c>
      <c r="G2170" s="3" t="inlineStr">
        <is>
          <t>Checking – Operating</t>
        </is>
      </c>
      <c r="H2170" s="3" t="inlineStr">
        <is>
          <t>Accounts Payable</t>
        </is>
      </c>
      <c r="I2170" s="33" t="n">
        <v>-20357.83</v>
      </c>
      <c r="J2170" s="13">
        <f>+J2169+I2170</f>
        <v>347158.18</v>
      </c>
      <c r="K2170" s="19">
        <f>+EOMONTH(B2170,0)</f>
        <v>46173</v>
      </c>
      <c r="L2170" s="3" t="inlineStr">
        <is>
          <t>Accounts Payable</t>
        </is>
      </c>
      <c r="M2170" s="3" t="inlineStr">
        <is>
          <t>Balance Sheet</t>
        </is>
      </c>
    </row>
    <row r="2171">
      <c r="B2171" s="39" t="n">
        <v>46145</v>
      </c>
      <c r="C2171" s="3" t="inlineStr">
        <is>
          <t>Bill</t>
        </is>
      </c>
      <c r="D2171" s="3" t="inlineStr"/>
      <c r="E2171" s="3" t="inlineStr">
        <is>
          <t>Northmoor Waste Services</t>
        </is>
      </c>
      <c r="F2171" s="3" t="inlineStr">
        <is>
          <t>Hazard Waste – May</t>
        </is>
      </c>
      <c r="G2171" s="3" t="inlineStr">
        <is>
          <t>Hazard Waste</t>
        </is>
      </c>
      <c r="H2171" s="3" t="inlineStr">
        <is>
          <t>Accounts Payable</t>
        </is>
      </c>
      <c r="I2171" s="33" t="n">
        <v>663.26</v>
      </c>
      <c r="J2171" s="13">
        <f>+J2170+I2171</f>
        <v>347821.44</v>
      </c>
      <c r="K2171" s="19">
        <f>+EOMONTH(B2171,0)</f>
        <v>46173</v>
      </c>
      <c r="L2171" s="3" t="inlineStr">
        <is>
          <t>Accounts Payable</t>
        </is>
      </c>
      <c r="M2171" s="3" t="inlineStr">
        <is>
          <t>Balance Sheet</t>
        </is>
      </c>
    </row>
    <row r="2172">
      <c r="B2172" s="39" t="n">
        <v>46145</v>
      </c>
      <c r="C2172" s="3" t="inlineStr">
        <is>
          <t>Bill Payment (Check)</t>
        </is>
      </c>
      <c r="D2172" s="3" t="inlineStr">
        <is>
          <t>10468</t>
        </is>
      </c>
      <c r="E2172" s="3" t="inlineStr">
        <is>
          <t>Vialtrace Lab Supplies Inc</t>
        </is>
      </c>
      <c r="F2172" s="3" t="inlineStr">
        <is>
          <t>Lab supplies PO# F2110</t>
        </is>
      </c>
      <c r="G2172" s="3" t="inlineStr">
        <is>
          <t>Checking – Operating</t>
        </is>
      </c>
      <c r="H2172" s="3" t="inlineStr">
        <is>
          <t>Accounts Payable</t>
        </is>
      </c>
      <c r="I2172" s="33" t="n">
        <v>-21200.79</v>
      </c>
      <c r="J2172" s="13">
        <f>+J2171+I2172</f>
        <v>326620.65</v>
      </c>
      <c r="K2172" s="19">
        <f>+EOMONTH(B2172,0)</f>
        <v>46173</v>
      </c>
      <c r="L2172" s="3" t="inlineStr">
        <is>
          <t>Accounts Payable</t>
        </is>
      </c>
      <c r="M2172" s="3" t="inlineStr">
        <is>
          <t>Balance Sheet</t>
        </is>
      </c>
    </row>
    <row r="2173">
      <c r="B2173" s="39" t="n">
        <v>46146</v>
      </c>
      <c r="C2173" s="3" t="inlineStr">
        <is>
          <t>Bill Payment (Check)</t>
        </is>
      </c>
      <c r="D2173" s="3" t="inlineStr">
        <is>
          <t>10743</t>
        </is>
      </c>
      <c r="E2173" s="3" t="inlineStr">
        <is>
          <t>Lumenlease Equipment</t>
        </is>
      </c>
      <c r="F2173" s="3" t="inlineStr">
        <is>
          <t>Equipment Lease – April</t>
        </is>
      </c>
      <c r="G2173" s="3" t="inlineStr">
        <is>
          <t>Checking – Operating</t>
        </is>
      </c>
      <c r="H2173" s="3" t="inlineStr">
        <is>
          <t>Accounts Payable</t>
        </is>
      </c>
      <c r="I2173" s="33" t="n">
        <v>-4100.25</v>
      </c>
      <c r="J2173" s="13">
        <f>+J2172+I2173</f>
        <v>322520.4</v>
      </c>
      <c r="K2173" s="19">
        <f>+EOMONTH(B2173,0)</f>
        <v>46173</v>
      </c>
      <c r="L2173" s="3" t="inlineStr">
        <is>
          <t>Accounts Payable</t>
        </is>
      </c>
      <c r="M2173" s="3" t="inlineStr">
        <is>
          <t>Balance Sheet</t>
        </is>
      </c>
    </row>
    <row r="2174">
      <c r="B2174" s="39" t="n">
        <v>46146</v>
      </c>
      <c r="C2174" s="3" t="inlineStr">
        <is>
          <t>Bill Payment (Check)</t>
        </is>
      </c>
      <c r="D2174" s="3" t="inlineStr">
        <is>
          <t>10980</t>
        </is>
      </c>
      <c r="E2174" s="3" t="inlineStr">
        <is>
          <t>Northmoor Waste Services</t>
        </is>
      </c>
      <c r="F2174" s="3" t="inlineStr">
        <is>
          <t>Hazard Waste – April</t>
        </is>
      </c>
      <c r="G2174" s="3" t="inlineStr">
        <is>
          <t>Checking – Operating</t>
        </is>
      </c>
      <c r="H2174" s="3" t="inlineStr">
        <is>
          <t>Accounts Payable</t>
        </is>
      </c>
      <c r="I2174" s="33" t="n">
        <v>-643.15</v>
      </c>
      <c r="J2174" s="13">
        <f>+J2173+I2174</f>
        <v>321877.25</v>
      </c>
      <c r="K2174" s="19">
        <f>+EOMONTH(B2174,0)</f>
        <v>46173</v>
      </c>
      <c r="L2174" s="3" t="inlineStr">
        <is>
          <t>Accounts Payable</t>
        </is>
      </c>
      <c r="M2174" s="3" t="inlineStr">
        <is>
          <t>Balance Sheet</t>
        </is>
      </c>
    </row>
    <row r="2175">
      <c r="B2175" s="39" t="n">
        <v>46147</v>
      </c>
      <c r="C2175" s="3" t="inlineStr">
        <is>
          <t>Bill</t>
        </is>
      </c>
      <c r="D2175" s="3" t="inlineStr"/>
      <c r="E2175" s="3" t="inlineStr">
        <is>
          <t>Reagentix Corp</t>
        </is>
      </c>
      <c r="F2175" s="3" t="inlineStr">
        <is>
          <t>Lab supplies PO# F2969</t>
        </is>
      </c>
      <c r="G2175" s="3" t="inlineStr">
        <is>
          <t>Reagents</t>
        </is>
      </c>
      <c r="H2175" s="3" t="inlineStr">
        <is>
          <t>Accounts Payable</t>
        </is>
      </c>
      <c r="I2175" s="33" t="n">
        <v>6752.91</v>
      </c>
      <c r="J2175" s="13">
        <f>+J2174+I2175</f>
        <v>328630.16</v>
      </c>
      <c r="K2175" s="19">
        <f>+EOMONTH(B2175,0)</f>
        <v>46173</v>
      </c>
      <c r="L2175" s="3" t="inlineStr">
        <is>
          <t>Accounts Payable</t>
        </is>
      </c>
      <c r="M2175" s="3" t="inlineStr">
        <is>
          <t>Balance Sheet</t>
        </is>
      </c>
    </row>
    <row r="2176">
      <c r="B2176" s="39" t="n">
        <v>46147</v>
      </c>
      <c r="C2176" s="3" t="inlineStr">
        <is>
          <t>Bill</t>
        </is>
      </c>
      <c r="D2176" s="3" t="inlineStr"/>
      <c r="E2176" s="3" t="inlineStr">
        <is>
          <t>Lumenlease Equipment</t>
        </is>
      </c>
      <c r="F2176" s="3" t="inlineStr">
        <is>
          <t>Lab Equipment – May</t>
        </is>
      </c>
      <c r="G2176" s="3" t="inlineStr">
        <is>
          <t>Lab Equipment</t>
        </is>
      </c>
      <c r="H2176" s="3" t="inlineStr">
        <is>
          <t>Accounts Payable</t>
        </is>
      </c>
      <c r="I2176" s="33" t="n">
        <v>2505.64</v>
      </c>
      <c r="J2176" s="13">
        <f>+J2175+I2176</f>
        <v>331135.8</v>
      </c>
      <c r="K2176" s="19">
        <f>+EOMONTH(B2176,0)</f>
        <v>46173</v>
      </c>
      <c r="L2176" s="3" t="inlineStr">
        <is>
          <t>Accounts Payable</t>
        </is>
      </c>
      <c r="M2176" s="3" t="inlineStr">
        <is>
          <t>Balance Sheet</t>
        </is>
      </c>
    </row>
    <row r="2177">
      <c r="B2177" s="39" t="n">
        <v>46147</v>
      </c>
      <c r="C2177" s="3" t="inlineStr">
        <is>
          <t>Bill Payment (Check)</t>
        </is>
      </c>
      <c r="D2177" s="3" t="inlineStr">
        <is>
          <t>10698</t>
        </is>
      </c>
      <c r="E2177" s="3" t="inlineStr">
        <is>
          <t>Tarrowmere Mutual Insurance</t>
        </is>
      </c>
      <c r="F2177" s="3" t="inlineStr">
        <is>
          <t>Premium installment</t>
        </is>
      </c>
      <c r="G2177" s="3" t="inlineStr">
        <is>
          <t>Checking – Operating</t>
        </is>
      </c>
      <c r="H2177" s="3" t="inlineStr">
        <is>
          <t>Accounts Payable</t>
        </is>
      </c>
      <c r="I2177" s="33" t="n">
        <v>-5556.46</v>
      </c>
      <c r="J2177" s="13">
        <f>+J2176+I2177</f>
        <v>325579.34</v>
      </c>
      <c r="K2177" s="19">
        <f>+EOMONTH(B2177,0)</f>
        <v>46173</v>
      </c>
      <c r="L2177" s="3" t="inlineStr">
        <is>
          <t>Accounts Payable</t>
        </is>
      </c>
      <c r="M2177" s="3" t="inlineStr">
        <is>
          <t>Balance Sheet</t>
        </is>
      </c>
    </row>
    <row r="2178">
      <c r="B2178" s="39" t="n">
        <v>46147</v>
      </c>
      <c r="C2178" s="3" t="inlineStr">
        <is>
          <t>Bill Payment (Check)</t>
        </is>
      </c>
      <c r="D2178" s="3" t="inlineStr">
        <is>
          <t>11147</t>
        </is>
      </c>
      <c r="E2178" s="3" t="inlineStr">
        <is>
          <t>Tarrowmere Mutual Insurance</t>
        </is>
      </c>
      <c r="F2178" s="3" t="inlineStr">
        <is>
          <t>Benefits – April</t>
        </is>
      </c>
      <c r="G2178" s="3" t="inlineStr">
        <is>
          <t>Checking – Operating</t>
        </is>
      </c>
      <c r="H2178" s="3" t="inlineStr">
        <is>
          <t>Accounts Payable</t>
        </is>
      </c>
      <c r="I2178" s="33" t="n">
        <v>-6169.19</v>
      </c>
      <c r="J2178" s="13">
        <f>+J2177+I2178</f>
        <v>319410.15</v>
      </c>
      <c r="K2178" s="19">
        <f>+EOMONTH(B2178,0)</f>
        <v>46173</v>
      </c>
      <c r="L2178" s="3" t="inlineStr">
        <is>
          <t>Accounts Payable</t>
        </is>
      </c>
      <c r="M2178" s="3" t="inlineStr">
        <is>
          <t>Balance Sheet</t>
        </is>
      </c>
    </row>
    <row r="2179">
      <c r="B2179" s="39" t="n">
        <v>46148</v>
      </c>
      <c r="C2179" s="3" t="inlineStr">
        <is>
          <t>Bill</t>
        </is>
      </c>
      <c r="D2179" s="3" t="inlineStr"/>
      <c r="E2179" s="3" t="inlineStr">
        <is>
          <t>Swiftmere Courier</t>
        </is>
      </c>
      <c r="F2179" s="3" t="inlineStr">
        <is>
          <t>Delivery and Transportation – May</t>
        </is>
      </c>
      <c r="G2179" s="3" t="inlineStr">
        <is>
          <t>Delivery and Transportation</t>
        </is>
      </c>
      <c r="H2179" s="3" t="inlineStr">
        <is>
          <t>Accounts Payable</t>
        </is>
      </c>
      <c r="I2179" s="33" t="n">
        <v>2661.88</v>
      </c>
      <c r="J2179" s="13">
        <f>+J2178+I2179</f>
        <v>322072.03</v>
      </c>
      <c r="K2179" s="19">
        <f>+EOMONTH(B2179,0)</f>
        <v>46173</v>
      </c>
      <c r="L2179" s="3" t="inlineStr">
        <is>
          <t>Accounts Payable</t>
        </is>
      </c>
      <c r="M2179" s="3" t="inlineStr">
        <is>
          <t>Balance Sheet</t>
        </is>
      </c>
    </row>
    <row r="2180">
      <c r="B2180" s="39" t="n">
        <v>46148</v>
      </c>
      <c r="C2180" s="3" t="inlineStr">
        <is>
          <t>Bill</t>
        </is>
      </c>
      <c r="D2180" s="3" t="inlineStr"/>
      <c r="E2180" s="3" t="inlineStr">
        <is>
          <t>Halloway Ridge Realty (rent)</t>
        </is>
      </c>
      <c r="F2180" s="3" t="inlineStr">
        <is>
          <t>Rent – May</t>
        </is>
      </c>
      <c r="G2180" s="3" t="inlineStr">
        <is>
          <t>Rent Expense</t>
        </is>
      </c>
      <c r="H2180" s="3" t="inlineStr">
        <is>
          <t>Accounts Payable</t>
        </is>
      </c>
      <c r="I2180" s="33" t="n">
        <v>10490.58</v>
      </c>
      <c r="J2180" s="13">
        <f>+J2179+I2180</f>
        <v>332562.61</v>
      </c>
      <c r="K2180" s="19">
        <f>+EOMONTH(B2180,0)</f>
        <v>46173</v>
      </c>
      <c r="L2180" s="3" t="inlineStr">
        <is>
          <t>Accounts Payable</t>
        </is>
      </c>
      <c r="M2180" s="3" t="inlineStr">
        <is>
          <t>Balance Sheet</t>
        </is>
      </c>
    </row>
    <row r="2181">
      <c r="B2181" s="39" t="n">
        <v>46148</v>
      </c>
      <c r="C2181" s="3" t="inlineStr">
        <is>
          <t>Bill</t>
        </is>
      </c>
      <c r="D2181" s="3" t="inlineStr"/>
      <c r="E2181" s="3" t="inlineStr">
        <is>
          <t>Northmoor Waste Services</t>
        </is>
      </c>
      <c r="F2181" s="3" t="inlineStr">
        <is>
          <t>Waste Removal – May</t>
        </is>
      </c>
      <c r="G2181" s="3" t="inlineStr">
        <is>
          <t>Waste Removal</t>
        </is>
      </c>
      <c r="H2181" s="3" t="inlineStr">
        <is>
          <t>Accounts Payable</t>
        </is>
      </c>
      <c r="I2181" s="33" t="n">
        <v>648.4400000000001</v>
      </c>
      <c r="J2181" s="13">
        <f>+J2180+I2181</f>
        <v>333211.05</v>
      </c>
      <c r="K2181" s="19">
        <f>+EOMONTH(B2181,0)</f>
        <v>46173</v>
      </c>
      <c r="L2181" s="3" t="inlineStr">
        <is>
          <t>Accounts Payable</t>
        </is>
      </c>
      <c r="M2181" s="3" t="inlineStr">
        <is>
          <t>Balance Sheet</t>
        </is>
      </c>
    </row>
    <row r="2182">
      <c r="B2182" s="39" t="n">
        <v>46149</v>
      </c>
      <c r="C2182" s="3" t="inlineStr">
        <is>
          <t>Bill</t>
        </is>
      </c>
      <c r="D2182" s="3" t="inlineStr"/>
      <c r="E2182" s="3" t="inlineStr">
        <is>
          <t>Reference Lab A</t>
        </is>
      </c>
      <c r="F2182" s="3" t="inlineStr">
        <is>
          <t>Send-out testing – May</t>
        </is>
      </c>
      <c r="G2182" s="3" t="inlineStr">
        <is>
          <t>Laboratory Fees</t>
        </is>
      </c>
      <c r="H2182" s="3" t="inlineStr">
        <is>
          <t>Accounts Payable</t>
        </is>
      </c>
      <c r="I2182" s="33" t="n">
        <v>17160.58</v>
      </c>
      <c r="J2182" s="13">
        <f>+J2181+I2182</f>
        <v>350371.63</v>
      </c>
      <c r="K2182" s="19">
        <f>+EOMONTH(B2182,0)</f>
        <v>46173</v>
      </c>
      <c r="L2182" s="3" t="inlineStr">
        <is>
          <t>Accounts Payable</t>
        </is>
      </c>
      <c r="M2182" s="3" t="inlineStr">
        <is>
          <t>Balance Sheet</t>
        </is>
      </c>
    </row>
    <row r="2183">
      <c r="B2183" s="39" t="n">
        <v>46149</v>
      </c>
      <c r="C2183" s="3" t="inlineStr">
        <is>
          <t>Bill</t>
        </is>
      </c>
      <c r="D2183" s="3" t="inlineStr"/>
      <c r="E2183" s="3" t="inlineStr">
        <is>
          <t>Reagentix Corp</t>
        </is>
      </c>
      <c r="F2183" s="3" t="inlineStr">
        <is>
          <t>Lab supplies PO# F2230</t>
        </is>
      </c>
      <c r="G2183" s="3" t="inlineStr">
        <is>
          <t>Reagents</t>
        </is>
      </c>
      <c r="H2183" s="3" t="inlineStr">
        <is>
          <t>Accounts Payable</t>
        </is>
      </c>
      <c r="I2183" s="33" t="n">
        <v>11078.33</v>
      </c>
      <c r="J2183" s="13">
        <f>+J2182+I2183</f>
        <v>361449.96</v>
      </c>
      <c r="K2183" s="19">
        <f>+EOMONTH(B2183,0)</f>
        <v>46173</v>
      </c>
      <c r="L2183" s="3" t="inlineStr">
        <is>
          <t>Accounts Payable</t>
        </is>
      </c>
      <c r="M2183" s="3" t="inlineStr">
        <is>
          <t>Balance Sheet</t>
        </is>
      </c>
    </row>
    <row r="2184">
      <c r="B2184" s="39" t="n">
        <v>46149</v>
      </c>
      <c r="C2184" s="3" t="inlineStr">
        <is>
          <t>Bill</t>
        </is>
      </c>
      <c r="D2184" s="3" t="inlineStr"/>
      <c r="E2184" s="3" t="inlineStr">
        <is>
          <t>Swiftmere Courier</t>
        </is>
      </c>
      <c r="F2184" s="3" t="inlineStr">
        <is>
          <t>Delivery and Transportation – May</t>
        </is>
      </c>
      <c r="G2184" s="3" t="inlineStr">
        <is>
          <t>Delivery and Transportation</t>
        </is>
      </c>
      <c r="H2184" s="3" t="inlineStr">
        <is>
          <t>Accounts Payable</t>
        </is>
      </c>
      <c r="I2184" s="33" t="n">
        <v>4738.12</v>
      </c>
      <c r="J2184" s="13">
        <f>+J2183+I2184</f>
        <v>366188.08</v>
      </c>
      <c r="K2184" s="19">
        <f>+EOMONTH(B2184,0)</f>
        <v>46173</v>
      </c>
      <c r="L2184" s="3" t="inlineStr">
        <is>
          <t>Accounts Payable</t>
        </is>
      </c>
      <c r="M2184" s="3" t="inlineStr">
        <is>
          <t>Balance Sheet</t>
        </is>
      </c>
    </row>
    <row r="2185">
      <c r="B2185" s="39" t="n">
        <v>46149</v>
      </c>
      <c r="C2185" s="3" t="inlineStr">
        <is>
          <t>Bill Payment (Check)</t>
        </is>
      </c>
      <c r="D2185" s="3" t="inlineStr">
        <is>
          <t>10673</t>
        </is>
      </c>
      <c r="E2185" s="3" t="inlineStr">
        <is>
          <t>Lumenlease Equipment</t>
        </is>
      </c>
      <c r="F2185" s="3" t="inlineStr">
        <is>
          <t>Lab Equipment – April</t>
        </is>
      </c>
      <c r="G2185" s="3" t="inlineStr">
        <is>
          <t>Checking – Operating</t>
        </is>
      </c>
      <c r="H2185" s="3" t="inlineStr">
        <is>
          <t>Accounts Payable</t>
        </is>
      </c>
      <c r="I2185" s="33" t="n">
        <v>-2982.89</v>
      </c>
      <c r="J2185" s="13">
        <f>+J2184+I2185</f>
        <v>363205.19</v>
      </c>
      <c r="K2185" s="19">
        <f>+EOMONTH(B2185,0)</f>
        <v>46173</v>
      </c>
      <c r="L2185" s="3" t="inlineStr">
        <is>
          <t>Accounts Payable</t>
        </is>
      </c>
      <c r="M2185" s="3" t="inlineStr">
        <is>
          <t>Balance Sheet</t>
        </is>
      </c>
    </row>
    <row r="2186">
      <c r="B2186" s="39" t="n">
        <v>46150</v>
      </c>
      <c r="C2186" s="3" t="inlineStr">
        <is>
          <t>Bill</t>
        </is>
      </c>
      <c r="D2186" s="3" t="inlineStr"/>
      <c r="E2186" s="3" t="inlineStr">
        <is>
          <t>Ledgerquill Billing SaaS</t>
        </is>
      </c>
      <c r="F2186" s="3" t="inlineStr">
        <is>
          <t>Billing Software as a Service – May</t>
        </is>
      </c>
      <c r="G2186" s="3" t="inlineStr">
        <is>
          <t>Billing Software as a Service</t>
        </is>
      </c>
      <c r="H2186" s="3" t="inlineStr">
        <is>
          <t>Accounts Payable</t>
        </is>
      </c>
      <c r="I2186" s="33" t="n">
        <v>10938.26</v>
      </c>
      <c r="J2186" s="13">
        <f>+J2185+I2186</f>
        <v>374143.45</v>
      </c>
      <c r="K2186" s="19">
        <f>+EOMONTH(B2186,0)</f>
        <v>46173</v>
      </c>
      <c r="L2186" s="3" t="inlineStr">
        <is>
          <t>Accounts Payable</t>
        </is>
      </c>
      <c r="M2186" s="3" t="inlineStr">
        <is>
          <t>Balance Sheet</t>
        </is>
      </c>
    </row>
    <row r="2187">
      <c r="B2187" s="39" t="n">
        <v>46150</v>
      </c>
      <c r="C2187" s="3" t="inlineStr">
        <is>
          <t>Bill Payment (Check)</t>
        </is>
      </c>
      <c r="D2187" s="3" t="inlineStr">
        <is>
          <t>10552</t>
        </is>
      </c>
      <c r="E2187" s="3" t="inlineStr">
        <is>
          <t>Reagentix Corp</t>
        </is>
      </c>
      <c r="F2187" s="3" t="inlineStr">
        <is>
          <t>Lab supplies PO# F2455</t>
        </is>
      </c>
      <c r="G2187" s="3" t="inlineStr">
        <is>
          <t>Checking – Operating</t>
        </is>
      </c>
      <c r="H2187" s="3" t="inlineStr">
        <is>
          <t>Accounts Payable</t>
        </is>
      </c>
      <c r="I2187" s="33" t="n">
        <v>-15312.03</v>
      </c>
      <c r="J2187" s="13">
        <f>+J2186+I2187</f>
        <v>358831.42</v>
      </c>
      <c r="K2187" s="19">
        <f>+EOMONTH(B2187,0)</f>
        <v>46173</v>
      </c>
      <c r="L2187" s="3" t="inlineStr">
        <is>
          <t>Accounts Payable</t>
        </is>
      </c>
      <c r="M2187" s="3" t="inlineStr">
        <is>
          <t>Balance Sheet</t>
        </is>
      </c>
    </row>
    <row r="2188">
      <c r="B2188" s="39" t="n">
        <v>46150</v>
      </c>
      <c r="C2188" s="3" t="inlineStr">
        <is>
          <t>Bill Payment (Check)</t>
        </is>
      </c>
      <c r="D2188" s="3" t="inlineStr">
        <is>
          <t>10553</t>
        </is>
      </c>
      <c r="E2188" s="3" t="inlineStr">
        <is>
          <t>Reagentix Corp</t>
        </is>
      </c>
      <c r="F2188" s="3" t="inlineStr">
        <is>
          <t>Lab supplies PO# F2745</t>
        </is>
      </c>
      <c r="G2188" s="3" t="inlineStr">
        <is>
          <t>Checking – Operating</t>
        </is>
      </c>
      <c r="H2188" s="3" t="inlineStr">
        <is>
          <t>Accounts Payable</t>
        </is>
      </c>
      <c r="I2188" s="33" t="n">
        <v>-16231.9</v>
      </c>
      <c r="J2188" s="13">
        <f>+J2187+I2188</f>
        <v>342599.52</v>
      </c>
      <c r="K2188" s="19">
        <f>+EOMONTH(B2188,0)</f>
        <v>46173</v>
      </c>
      <c r="L2188" s="3" t="inlineStr">
        <is>
          <t>Accounts Payable</t>
        </is>
      </c>
      <c r="M2188" s="3" t="inlineStr">
        <is>
          <t>Balance Sheet</t>
        </is>
      </c>
    </row>
    <row r="2189">
      <c r="B2189" s="39" t="n">
        <v>46150</v>
      </c>
      <c r="C2189" s="3" t="inlineStr">
        <is>
          <t>Bill Payment (Check)</t>
        </is>
      </c>
      <c r="D2189" s="3" t="inlineStr">
        <is>
          <t>10910</t>
        </is>
      </c>
      <c r="E2189" s="3" t="inlineStr">
        <is>
          <t>Halloway Ridge Realty (rent)</t>
        </is>
      </c>
      <c r="F2189" s="3" t="inlineStr">
        <is>
          <t>Rent – April</t>
        </is>
      </c>
      <c r="G2189" s="3" t="inlineStr">
        <is>
          <t>Checking – Operating</t>
        </is>
      </c>
      <c r="H2189" s="3" t="inlineStr">
        <is>
          <t>Accounts Payable</t>
        </is>
      </c>
      <c r="I2189" s="33" t="n">
        <v>-10223.17</v>
      </c>
      <c r="J2189" s="13">
        <f>+J2188+I2189</f>
        <v>332376.35</v>
      </c>
      <c r="K2189" s="19">
        <f>+EOMONTH(B2189,0)</f>
        <v>46173</v>
      </c>
      <c r="L2189" s="3" t="inlineStr">
        <is>
          <t>Accounts Payable</t>
        </is>
      </c>
      <c r="M2189" s="3" t="inlineStr">
        <is>
          <t>Balance Sheet</t>
        </is>
      </c>
    </row>
    <row r="2190">
      <c r="B2190" s="39" t="n">
        <v>46150</v>
      </c>
      <c r="C2190" s="3" t="inlineStr">
        <is>
          <t>Bill Payment (Check)</t>
        </is>
      </c>
      <c r="D2190" s="3" t="inlineStr">
        <is>
          <t>11148</t>
        </is>
      </c>
      <c r="E2190" s="3" t="inlineStr">
        <is>
          <t>Tarrowmere Mutual Insurance</t>
        </is>
      </c>
      <c r="F2190" s="3" t="inlineStr">
        <is>
          <t>Benefits – April</t>
        </is>
      </c>
      <c r="G2190" s="3" t="inlineStr">
        <is>
          <t>Checking – Operating</t>
        </is>
      </c>
      <c r="H2190" s="3" t="inlineStr">
        <is>
          <t>Accounts Payable</t>
        </is>
      </c>
      <c r="I2190" s="33" t="n">
        <v>-6559.15</v>
      </c>
      <c r="J2190" s="13">
        <f>+J2189+I2190</f>
        <v>325817.2</v>
      </c>
      <c r="K2190" s="19">
        <f>+EOMONTH(B2190,0)</f>
        <v>46173</v>
      </c>
      <c r="L2190" s="3" t="inlineStr">
        <is>
          <t>Accounts Payable</t>
        </is>
      </c>
      <c r="M2190" s="3" t="inlineStr">
        <is>
          <t>Balance Sheet</t>
        </is>
      </c>
    </row>
    <row r="2191">
      <c r="B2191" s="39" t="n">
        <v>46151</v>
      </c>
      <c r="C2191" s="3" t="inlineStr">
        <is>
          <t>Bill</t>
        </is>
      </c>
      <c r="D2191" s="3" t="inlineStr"/>
      <c r="E2191" s="3" t="inlineStr">
        <is>
          <t>Ledgerquill Billing SaaS</t>
        </is>
      </c>
      <c r="F2191" s="3" t="inlineStr">
        <is>
          <t>Billing Software as a Service – May</t>
        </is>
      </c>
      <c r="G2191" s="3" t="inlineStr">
        <is>
          <t>Billing Software as a Service</t>
        </is>
      </c>
      <c r="H2191" s="3" t="inlineStr">
        <is>
          <t>Accounts Payable</t>
        </is>
      </c>
      <c r="I2191" s="33" t="n">
        <v>16834.62</v>
      </c>
      <c r="J2191" s="13">
        <f>+J2190+I2191</f>
        <v>342651.82</v>
      </c>
      <c r="K2191" s="19">
        <f>+EOMONTH(B2191,0)</f>
        <v>46173</v>
      </c>
      <c r="L2191" s="3" t="inlineStr">
        <is>
          <t>Accounts Payable</t>
        </is>
      </c>
      <c r="M2191" s="3" t="inlineStr">
        <is>
          <t>Balance Sheet</t>
        </is>
      </c>
    </row>
    <row r="2192">
      <c r="B2192" s="39" t="n">
        <v>46151</v>
      </c>
      <c r="C2192" s="3" t="inlineStr">
        <is>
          <t>Bill Payment (Check)</t>
        </is>
      </c>
      <c r="D2192" s="3" t="inlineStr">
        <is>
          <t>10426</t>
        </is>
      </c>
      <c r="E2192" s="3" t="inlineStr">
        <is>
          <t>Reagentix Corp</t>
        </is>
      </c>
      <c r="F2192" s="3" t="inlineStr">
        <is>
          <t>Lab Expenses – April</t>
        </is>
      </c>
      <c r="G2192" s="3" t="inlineStr">
        <is>
          <t>Checking – Operating</t>
        </is>
      </c>
      <c r="H2192" s="3" t="inlineStr">
        <is>
          <t>Accounts Payable</t>
        </is>
      </c>
      <c r="I2192" s="33" t="n">
        <v>-4758.66</v>
      </c>
      <c r="J2192" s="13">
        <f>+J2191+I2192</f>
        <v>337893.16</v>
      </c>
      <c r="K2192" s="19">
        <f>+EOMONTH(B2192,0)</f>
        <v>46173</v>
      </c>
      <c r="L2192" s="3" t="inlineStr">
        <is>
          <t>Accounts Payable</t>
        </is>
      </c>
      <c r="M2192" s="3" t="inlineStr">
        <is>
          <t>Balance Sheet</t>
        </is>
      </c>
    </row>
    <row r="2193">
      <c r="B2193" s="39" t="n">
        <v>46151</v>
      </c>
      <c r="C2193" s="3" t="inlineStr">
        <is>
          <t>Bill Payment (Check)</t>
        </is>
      </c>
      <c r="D2193" s="3" t="inlineStr">
        <is>
          <t>11023</t>
        </is>
      </c>
      <c r="E2193" s="3" t="inlineStr">
        <is>
          <t>Northmoor Waste Services</t>
        </is>
      </c>
      <c r="F2193" s="3" t="inlineStr">
        <is>
          <t>Waste Removal – April</t>
        </is>
      </c>
      <c r="G2193" s="3" t="inlineStr">
        <is>
          <t>Checking – Operating</t>
        </is>
      </c>
      <c r="H2193" s="3" t="inlineStr">
        <is>
          <t>Accounts Payable</t>
        </is>
      </c>
      <c r="I2193" s="33" t="n">
        <v>-668.4400000000001</v>
      </c>
      <c r="J2193" s="13">
        <f>+J2192+I2193</f>
        <v>337224.72</v>
      </c>
      <c r="K2193" s="19">
        <f>+EOMONTH(B2193,0)</f>
        <v>46173</v>
      </c>
      <c r="L2193" s="3" t="inlineStr">
        <is>
          <t>Accounts Payable</t>
        </is>
      </c>
      <c r="M2193" s="3" t="inlineStr">
        <is>
          <t>Balance Sheet</t>
        </is>
      </c>
    </row>
    <row r="2194">
      <c r="B2194" s="39" t="n">
        <v>46151</v>
      </c>
      <c r="C2194" s="3" t="inlineStr">
        <is>
          <t>Bill Payment (Check)</t>
        </is>
      </c>
      <c r="D2194" s="3" t="inlineStr">
        <is>
          <t>11335</t>
        </is>
      </c>
      <c r="E2194" s="3" t="inlineStr">
        <is>
          <t>Union Utilities</t>
        </is>
      </c>
      <c r="F2194" s="3" t="inlineStr">
        <is>
          <t>Utilities – April</t>
        </is>
      </c>
      <c r="G2194" s="3" t="inlineStr">
        <is>
          <t>Checking – Operating</t>
        </is>
      </c>
      <c r="H2194" s="3" t="inlineStr">
        <is>
          <t>Accounts Payable</t>
        </is>
      </c>
      <c r="I2194" s="33" t="n">
        <v>-4783.63</v>
      </c>
      <c r="J2194" s="13">
        <f>+J2193+I2194</f>
        <v>332441.09</v>
      </c>
      <c r="K2194" s="19">
        <f>+EOMONTH(B2194,0)</f>
        <v>46173</v>
      </c>
      <c r="L2194" s="3" t="inlineStr">
        <is>
          <t>Accounts Payable</t>
        </is>
      </c>
      <c r="M2194" s="3" t="inlineStr">
        <is>
          <t>Balance Sheet</t>
        </is>
      </c>
    </row>
    <row r="2195">
      <c r="B2195" s="39" t="n">
        <v>46152</v>
      </c>
      <c r="C2195" s="3" t="inlineStr">
        <is>
          <t>Bill</t>
        </is>
      </c>
      <c r="D2195" s="3" t="inlineStr"/>
      <c r="E2195" s="3" t="inlineStr">
        <is>
          <t>Tarrowmere Mutual Insurance</t>
        </is>
      </c>
      <c r="F2195" s="3" t="inlineStr">
        <is>
          <t>Premium installment</t>
        </is>
      </c>
      <c r="G2195" s="3" t="inlineStr">
        <is>
          <t>Insurance Expense</t>
        </is>
      </c>
      <c r="H2195" s="3" t="inlineStr">
        <is>
          <t>Accounts Payable</t>
        </is>
      </c>
      <c r="I2195" s="33" t="n">
        <v>5842.75</v>
      </c>
      <c r="J2195" s="13">
        <f>+J2194+I2195</f>
        <v>338283.84</v>
      </c>
      <c r="K2195" s="19">
        <f>+EOMONTH(B2195,0)</f>
        <v>46173</v>
      </c>
      <c r="L2195" s="3" t="inlineStr">
        <is>
          <t>Accounts Payable</t>
        </is>
      </c>
      <c r="M2195" s="3" t="inlineStr">
        <is>
          <t>Balance Sheet</t>
        </is>
      </c>
    </row>
    <row r="2196">
      <c r="B2196" s="39" t="n">
        <v>46152</v>
      </c>
      <c r="C2196" s="3" t="inlineStr">
        <is>
          <t>Bill</t>
        </is>
      </c>
      <c r="D2196" s="3" t="inlineStr"/>
      <c r="E2196" s="3" t="inlineStr">
        <is>
          <t>Ledgerquill Billing SaaS</t>
        </is>
      </c>
      <c r="F2196" s="3" t="inlineStr">
        <is>
          <t>Billing Software as a Service – May</t>
        </is>
      </c>
      <c r="G2196" s="3" t="inlineStr">
        <is>
          <t>Billing Software as a Service</t>
        </is>
      </c>
      <c r="H2196" s="3" t="inlineStr">
        <is>
          <t>Accounts Payable</t>
        </is>
      </c>
      <c r="I2196" s="33" t="n">
        <v>13941.2</v>
      </c>
      <c r="J2196" s="13">
        <f>+J2195+I2196</f>
        <v>352225.04</v>
      </c>
      <c r="K2196" s="19">
        <f>+EOMONTH(B2196,0)</f>
        <v>46173</v>
      </c>
      <c r="L2196" s="3" t="inlineStr">
        <is>
          <t>Accounts Payable</t>
        </is>
      </c>
      <c r="M2196" s="3" t="inlineStr">
        <is>
          <t>Balance Sheet</t>
        </is>
      </c>
    </row>
    <row r="2197">
      <c r="B2197" s="39" t="n">
        <v>46153</v>
      </c>
      <c r="C2197" s="3" t="inlineStr">
        <is>
          <t>Bill</t>
        </is>
      </c>
      <c r="D2197" s="3" t="inlineStr"/>
      <c r="E2197" s="3" t="inlineStr">
        <is>
          <t>Union Utilities</t>
        </is>
      </c>
      <c r="F2197" s="3" t="inlineStr">
        <is>
          <t>Utilities – May</t>
        </is>
      </c>
      <c r="G2197" s="3" t="inlineStr">
        <is>
          <t>Utilities</t>
        </is>
      </c>
      <c r="H2197" s="3" t="inlineStr">
        <is>
          <t>Accounts Payable</t>
        </is>
      </c>
      <c r="I2197" s="33" t="n">
        <v>3018.32</v>
      </c>
      <c r="J2197" s="13">
        <f>+J2196+I2197</f>
        <v>355243.36</v>
      </c>
      <c r="K2197" s="19">
        <f>+EOMONTH(B2197,0)</f>
        <v>46173</v>
      </c>
      <c r="L2197" s="3" t="inlineStr">
        <is>
          <t>Accounts Payable</t>
        </is>
      </c>
      <c r="M2197" s="3" t="inlineStr">
        <is>
          <t>Balance Sheet</t>
        </is>
      </c>
    </row>
    <row r="2198">
      <c r="B2198" s="39" t="n">
        <v>46154</v>
      </c>
      <c r="C2198" s="3" t="inlineStr">
        <is>
          <t>Bill</t>
        </is>
      </c>
      <c r="D2198" s="3" t="inlineStr"/>
      <c r="E2198" s="3" t="inlineStr">
        <is>
          <t>Reference Lab A</t>
        </is>
      </c>
      <c r="F2198" s="3" t="inlineStr">
        <is>
          <t>Send-out testing – May</t>
        </is>
      </c>
      <c r="G2198" s="3" t="inlineStr">
        <is>
          <t>Laboratory Fees</t>
        </is>
      </c>
      <c r="H2198" s="3" t="inlineStr">
        <is>
          <t>Accounts Payable</t>
        </is>
      </c>
      <c r="I2198" s="33" t="n">
        <v>22358.71</v>
      </c>
      <c r="J2198" s="13">
        <f>+J2197+I2198</f>
        <v>377602.07</v>
      </c>
      <c r="K2198" s="19">
        <f>+EOMONTH(B2198,0)</f>
        <v>46173</v>
      </c>
      <c r="L2198" s="3" t="inlineStr">
        <is>
          <t>Accounts Payable</t>
        </is>
      </c>
      <c r="M2198" s="3" t="inlineStr">
        <is>
          <t>Balance Sheet</t>
        </is>
      </c>
    </row>
    <row r="2199">
      <c r="B2199" s="39" t="n">
        <v>46154</v>
      </c>
      <c r="C2199" s="3" t="inlineStr">
        <is>
          <t>Bill</t>
        </is>
      </c>
      <c r="D2199" s="3" t="inlineStr"/>
      <c r="E2199" s="3" t="inlineStr">
        <is>
          <t>Tarrowmere Mutual Insurance</t>
        </is>
      </c>
      <c r="F2199" s="3" t="inlineStr">
        <is>
          <t>Benefits – May</t>
        </is>
      </c>
      <c r="G2199" s="3" t="inlineStr">
        <is>
          <t>Benefits</t>
        </is>
      </c>
      <c r="H2199" s="3" t="inlineStr">
        <is>
          <t>Accounts Payable</t>
        </is>
      </c>
      <c r="I2199" s="33" t="n">
        <v>7033.45</v>
      </c>
      <c r="J2199" s="13">
        <f>+J2198+I2199</f>
        <v>384635.52</v>
      </c>
      <c r="K2199" s="19">
        <f>+EOMONTH(B2199,0)</f>
        <v>46173</v>
      </c>
      <c r="L2199" s="3" t="inlineStr">
        <is>
          <t>Accounts Payable</t>
        </is>
      </c>
      <c r="M2199" s="3" t="inlineStr">
        <is>
          <t>Balance Sheet</t>
        </is>
      </c>
    </row>
    <row r="2200">
      <c r="B2200" s="39" t="n">
        <v>46154</v>
      </c>
      <c r="C2200" s="3" t="inlineStr">
        <is>
          <t>Bill</t>
        </is>
      </c>
      <c r="D2200" s="3" t="inlineStr"/>
      <c r="E2200" s="3" t="inlineStr">
        <is>
          <t>Ledgerquill Billing SaaS</t>
        </is>
      </c>
      <c r="F2200" s="3" t="inlineStr">
        <is>
          <t>Billing Software as a Service – May</t>
        </is>
      </c>
      <c r="G2200" s="3" t="inlineStr">
        <is>
          <t>Billing Software as a Service</t>
        </is>
      </c>
      <c r="H2200" s="3" t="inlineStr">
        <is>
          <t>Accounts Payable</t>
        </is>
      </c>
      <c r="I2200" s="33" t="n">
        <v>20485.92</v>
      </c>
      <c r="J2200" s="13">
        <f>+J2199+I2200</f>
        <v>405121.44</v>
      </c>
      <c r="K2200" s="19">
        <f>+EOMONTH(B2200,0)</f>
        <v>46173</v>
      </c>
      <c r="L2200" s="3" t="inlineStr">
        <is>
          <t>Accounts Payable</t>
        </is>
      </c>
      <c r="M2200" s="3" t="inlineStr">
        <is>
          <t>Balance Sheet</t>
        </is>
      </c>
    </row>
    <row r="2201">
      <c r="B2201" s="39" t="n">
        <v>46154</v>
      </c>
      <c r="C2201" s="3" t="inlineStr">
        <is>
          <t>Bill Payment (Check)</t>
        </is>
      </c>
      <c r="D2201" s="3" t="inlineStr">
        <is>
          <t>10470</t>
        </is>
      </c>
      <c r="E2201" s="3" t="inlineStr">
        <is>
          <t>Reagentix Corp</t>
        </is>
      </c>
      <c r="F2201" s="3" t="inlineStr">
        <is>
          <t>Lab supplies PO# F2955</t>
        </is>
      </c>
      <c r="G2201" s="3" t="inlineStr">
        <is>
          <t>Checking – Operating</t>
        </is>
      </c>
      <c r="H2201" s="3" t="inlineStr">
        <is>
          <t>Accounts Payable</t>
        </is>
      </c>
      <c r="I2201" s="33" t="n">
        <v>-31572.52</v>
      </c>
      <c r="J2201" s="13">
        <f>+J2200+I2201</f>
        <v>373548.92</v>
      </c>
      <c r="K2201" s="19">
        <f>+EOMONTH(B2201,0)</f>
        <v>46173</v>
      </c>
      <c r="L2201" s="3" t="inlineStr">
        <is>
          <t>Accounts Payable</t>
        </is>
      </c>
      <c r="M2201" s="3" t="inlineStr">
        <is>
          <t>Balance Sheet</t>
        </is>
      </c>
    </row>
    <row r="2202">
      <c r="B2202" s="39" t="n">
        <v>46155</v>
      </c>
      <c r="C2202" s="3" t="inlineStr">
        <is>
          <t>Bill</t>
        </is>
      </c>
      <c r="D2202" s="3" t="inlineStr"/>
      <c r="E2202" s="3" t="inlineStr">
        <is>
          <t>Vialtrace Lab Supplies Inc</t>
        </is>
      </c>
      <c r="F2202" s="3" t="inlineStr">
        <is>
          <t>Lab supplies PO# F2322</t>
        </is>
      </c>
      <c r="G2202" s="3" t="inlineStr">
        <is>
          <t>Lab Supplies</t>
        </is>
      </c>
      <c r="H2202" s="3" t="inlineStr">
        <is>
          <t>Accounts Payable</t>
        </is>
      </c>
      <c r="I2202" s="33" t="n">
        <v>48091.89</v>
      </c>
      <c r="J2202" s="13">
        <f>+J2201+I2202</f>
        <v>421640.81</v>
      </c>
      <c r="K2202" s="19">
        <f>+EOMONTH(B2202,0)</f>
        <v>46173</v>
      </c>
      <c r="L2202" s="3" t="inlineStr">
        <is>
          <t>Accounts Payable</t>
        </is>
      </c>
      <c r="M2202" s="3" t="inlineStr">
        <is>
          <t>Balance Sheet</t>
        </is>
      </c>
    </row>
    <row r="2203">
      <c r="B2203" s="39" t="n">
        <v>46155</v>
      </c>
      <c r="C2203" s="3" t="inlineStr">
        <is>
          <t>Bill</t>
        </is>
      </c>
      <c r="D2203" s="3" t="inlineStr"/>
      <c r="E2203" s="3" t="inlineStr">
        <is>
          <t>Reagentix Corp</t>
        </is>
      </c>
      <c r="F2203" s="3" t="inlineStr">
        <is>
          <t>Lab supplies PO# F2684</t>
        </is>
      </c>
      <c r="G2203" s="3" t="inlineStr">
        <is>
          <t>Reagents</t>
        </is>
      </c>
      <c r="H2203" s="3" t="inlineStr">
        <is>
          <t>Accounts Payable</t>
        </is>
      </c>
      <c r="I2203" s="33" t="n">
        <v>11021.36</v>
      </c>
      <c r="J2203" s="13">
        <f>+J2202+I2203</f>
        <v>432662.17</v>
      </c>
      <c r="K2203" s="19">
        <f>+EOMONTH(B2203,0)</f>
        <v>46173</v>
      </c>
      <c r="L2203" s="3" t="inlineStr">
        <is>
          <t>Accounts Payable</t>
        </is>
      </c>
      <c r="M2203" s="3" t="inlineStr">
        <is>
          <t>Balance Sheet</t>
        </is>
      </c>
    </row>
    <row r="2204">
      <c r="B2204" s="39" t="n">
        <v>46156</v>
      </c>
      <c r="C2204" s="3" t="inlineStr">
        <is>
          <t>Bill</t>
        </is>
      </c>
      <c r="D2204" s="3" t="inlineStr"/>
      <c r="E2204" s="3" t="inlineStr">
        <is>
          <t>Lumenlease Equipment</t>
        </is>
      </c>
      <c r="F2204" s="3" t="inlineStr">
        <is>
          <t>Equipment Lease – May</t>
        </is>
      </c>
      <c r="G2204" s="3" t="inlineStr">
        <is>
          <t>Equipment Lease</t>
        </is>
      </c>
      <c r="H2204" s="3" t="inlineStr">
        <is>
          <t>Accounts Payable</t>
        </is>
      </c>
      <c r="I2204" s="33" t="n">
        <v>2574.24</v>
      </c>
      <c r="J2204" s="13">
        <f>+J2203+I2204</f>
        <v>435236.41</v>
      </c>
      <c r="K2204" s="19">
        <f>+EOMONTH(B2204,0)</f>
        <v>46173</v>
      </c>
      <c r="L2204" s="3" t="inlineStr">
        <is>
          <t>Accounts Payable</t>
        </is>
      </c>
      <c r="M2204" s="3" t="inlineStr">
        <is>
          <t>Balance Sheet</t>
        </is>
      </c>
    </row>
    <row r="2205">
      <c r="B2205" s="39" t="n">
        <v>46156</v>
      </c>
      <c r="C2205" s="3" t="inlineStr">
        <is>
          <t>Bill</t>
        </is>
      </c>
      <c r="D2205" s="3" t="inlineStr"/>
      <c r="E2205" s="3" t="inlineStr">
        <is>
          <t>Halloway Ridge Realty (rent)</t>
        </is>
      </c>
      <c r="F2205" s="3" t="inlineStr">
        <is>
          <t>Rent – May</t>
        </is>
      </c>
      <c r="G2205" s="3" t="inlineStr">
        <is>
          <t>Rent Expense</t>
        </is>
      </c>
      <c r="H2205" s="3" t="inlineStr">
        <is>
          <t>Accounts Payable</t>
        </is>
      </c>
      <c r="I2205" s="33" t="n">
        <v>5823.89</v>
      </c>
      <c r="J2205" s="13">
        <f>+J2204+I2205</f>
        <v>441060.3</v>
      </c>
      <c r="K2205" s="19">
        <f>+EOMONTH(B2205,0)</f>
        <v>46173</v>
      </c>
      <c r="L2205" s="3" t="inlineStr">
        <is>
          <t>Accounts Payable</t>
        </is>
      </c>
      <c r="M2205" s="3" t="inlineStr">
        <is>
          <t>Balance Sheet</t>
        </is>
      </c>
    </row>
    <row r="2206">
      <c r="B2206" s="39" t="n">
        <v>46156</v>
      </c>
      <c r="C2206" s="3" t="inlineStr">
        <is>
          <t>Bill Payment (Check)</t>
        </is>
      </c>
      <c r="D2206" s="3" t="inlineStr">
        <is>
          <t>10907</t>
        </is>
      </c>
      <c r="E2206" s="3" t="inlineStr">
        <is>
          <t>Halloway Ridge Realty (rent)</t>
        </is>
      </c>
      <c r="F2206" s="3" t="inlineStr">
        <is>
          <t>Rent – April</t>
        </is>
      </c>
      <c r="G2206" s="3" t="inlineStr">
        <is>
          <t>Checking – Operating</t>
        </is>
      </c>
      <c r="H2206" s="3" t="inlineStr">
        <is>
          <t>Accounts Payable</t>
        </is>
      </c>
      <c r="I2206" s="33" t="n">
        <v>-11629.32</v>
      </c>
      <c r="J2206" s="13">
        <f>+J2205+I2206</f>
        <v>429430.98</v>
      </c>
      <c r="K2206" s="19">
        <f>+EOMONTH(B2206,0)</f>
        <v>46173</v>
      </c>
      <c r="L2206" s="3" t="inlineStr">
        <is>
          <t>Accounts Payable</t>
        </is>
      </c>
      <c r="M2206" s="3" t="inlineStr">
        <is>
          <t>Balance Sheet</t>
        </is>
      </c>
    </row>
    <row r="2207">
      <c r="B2207" s="39" t="n">
        <v>46158</v>
      </c>
      <c r="C2207" s="3" t="inlineStr">
        <is>
          <t>Bill</t>
        </is>
      </c>
      <c r="D2207" s="3" t="inlineStr"/>
      <c r="E2207" s="3" t="inlineStr">
        <is>
          <t>Union Utilities</t>
        </is>
      </c>
      <c r="F2207" s="3" t="inlineStr">
        <is>
          <t>Utilities – May</t>
        </is>
      </c>
      <c r="G2207" s="3" t="inlineStr">
        <is>
          <t>Utilities</t>
        </is>
      </c>
      <c r="H2207" s="3" t="inlineStr">
        <is>
          <t>Accounts Payable</t>
        </is>
      </c>
      <c r="I2207" s="33" t="n">
        <v>4581.68</v>
      </c>
      <c r="J2207" s="13">
        <f>+J2206+I2207</f>
        <v>434012.66</v>
      </c>
      <c r="K2207" s="19">
        <f>+EOMONTH(B2207,0)</f>
        <v>46173</v>
      </c>
      <c r="L2207" s="3" t="inlineStr">
        <is>
          <t>Accounts Payable</t>
        </is>
      </c>
      <c r="M2207" s="3" t="inlineStr">
        <is>
          <t>Balance Sheet</t>
        </is>
      </c>
    </row>
    <row r="2208">
      <c r="B2208" s="39" t="n">
        <v>46158</v>
      </c>
      <c r="C2208" s="3" t="inlineStr">
        <is>
          <t>Bill Payment (Check)</t>
        </is>
      </c>
      <c r="D2208" s="3" t="inlineStr">
        <is>
          <t>11230</t>
        </is>
      </c>
      <c r="E2208" s="3" t="inlineStr">
        <is>
          <t>Ledgerquill Billing SaaS</t>
        </is>
      </c>
      <c r="F2208" s="3" t="inlineStr">
        <is>
          <t>Billing Software as a Service – April</t>
        </is>
      </c>
      <c r="G2208" s="3" t="inlineStr">
        <is>
          <t>Checking – Operating</t>
        </is>
      </c>
      <c r="H2208" s="3" t="inlineStr">
        <is>
          <t>Accounts Payable</t>
        </is>
      </c>
      <c r="I2208" s="33" t="n">
        <v>-15731.77</v>
      </c>
      <c r="J2208" s="13">
        <f>+J2207+I2208</f>
        <v>418280.89</v>
      </c>
      <c r="K2208" s="19">
        <f>+EOMONTH(B2208,0)</f>
        <v>46173</v>
      </c>
      <c r="L2208" s="3" t="inlineStr">
        <is>
          <t>Accounts Payable</t>
        </is>
      </c>
      <c r="M2208" s="3" t="inlineStr">
        <is>
          <t>Balance Sheet</t>
        </is>
      </c>
    </row>
    <row r="2209">
      <c r="B2209" s="39" t="n">
        <v>46159</v>
      </c>
      <c r="C2209" s="3" t="inlineStr">
        <is>
          <t>Bill</t>
        </is>
      </c>
      <c r="D2209" s="3" t="inlineStr"/>
      <c r="E2209" s="3" t="inlineStr">
        <is>
          <t>Reagentix Corp</t>
        </is>
      </c>
      <c r="F2209" s="3" t="inlineStr">
        <is>
          <t>Lab supplies PO# F2071</t>
        </is>
      </c>
      <c r="G2209" s="3" t="inlineStr">
        <is>
          <t>Lab Supplies</t>
        </is>
      </c>
      <c r="H2209" s="3" t="inlineStr">
        <is>
          <t>Accounts Payable</t>
        </is>
      </c>
      <c r="I2209" s="33" t="n">
        <v>32675.49</v>
      </c>
      <c r="J2209" s="13">
        <f>+J2208+I2209</f>
        <v>450956.38</v>
      </c>
      <c r="K2209" s="19">
        <f>+EOMONTH(B2209,0)</f>
        <v>46173</v>
      </c>
      <c r="L2209" s="3" t="inlineStr">
        <is>
          <t>Accounts Payable</t>
        </is>
      </c>
      <c r="M2209" s="3" t="inlineStr">
        <is>
          <t>Balance Sheet</t>
        </is>
      </c>
    </row>
    <row r="2210">
      <c r="B2210" s="39" t="n">
        <v>46159</v>
      </c>
      <c r="C2210" s="3" t="inlineStr">
        <is>
          <t>Bill</t>
        </is>
      </c>
      <c r="D2210" s="3" t="inlineStr"/>
      <c r="E2210" s="3" t="inlineStr">
        <is>
          <t>Halloway Ridge Realty (rent)</t>
        </is>
      </c>
      <c r="F2210" s="3" t="inlineStr">
        <is>
          <t>Rent – May</t>
        </is>
      </c>
      <c r="G2210" s="3" t="inlineStr">
        <is>
          <t>Rent Expense</t>
        </is>
      </c>
      <c r="H2210" s="3" t="inlineStr">
        <is>
          <t>Accounts Payable</t>
        </is>
      </c>
      <c r="I2210" s="33" t="n">
        <v>6722.17</v>
      </c>
      <c r="J2210" s="13">
        <f>+J2209+I2210</f>
        <v>457678.55</v>
      </c>
      <c r="K2210" s="19">
        <f>+EOMONTH(B2210,0)</f>
        <v>46173</v>
      </c>
      <c r="L2210" s="3" t="inlineStr">
        <is>
          <t>Accounts Payable</t>
        </is>
      </c>
      <c r="M2210" s="3" t="inlineStr">
        <is>
          <t>Balance Sheet</t>
        </is>
      </c>
    </row>
    <row r="2211">
      <c r="B2211" s="39" t="n">
        <v>46159</v>
      </c>
      <c r="C2211" s="3" t="inlineStr">
        <is>
          <t>Bill</t>
        </is>
      </c>
      <c r="D2211" s="3" t="inlineStr"/>
      <c r="E2211" s="3" t="inlineStr">
        <is>
          <t>Tarrowmere Mutual Insurance</t>
        </is>
      </c>
      <c r="F2211" s="3" t="inlineStr">
        <is>
          <t>Benefits – May</t>
        </is>
      </c>
      <c r="G2211" s="3" t="inlineStr">
        <is>
          <t>Benefits</t>
        </is>
      </c>
      <c r="H2211" s="3" t="inlineStr">
        <is>
          <t>Accounts Payable</t>
        </is>
      </c>
      <c r="I2211" s="33" t="n">
        <v>8052.91</v>
      </c>
      <c r="J2211" s="13">
        <f>+J2210+I2211</f>
        <v>465731.46</v>
      </c>
      <c r="K2211" s="19">
        <f>+EOMONTH(B2211,0)</f>
        <v>46173</v>
      </c>
      <c r="L2211" s="3" t="inlineStr">
        <is>
          <t>Accounts Payable</t>
        </is>
      </c>
      <c r="M2211" s="3" t="inlineStr">
        <is>
          <t>Balance Sheet</t>
        </is>
      </c>
    </row>
    <row r="2212">
      <c r="B2212" s="39" t="n">
        <v>46159</v>
      </c>
      <c r="C2212" s="3" t="inlineStr">
        <is>
          <t>Bill Payment (Check)</t>
        </is>
      </c>
      <c r="D2212" s="3" t="inlineStr">
        <is>
          <t>10428</t>
        </is>
      </c>
      <c r="E2212" s="3" t="inlineStr">
        <is>
          <t>Vialtrace Lab Supplies Inc</t>
        </is>
      </c>
      <c r="F2212" s="3" t="inlineStr">
        <is>
          <t>Lab Expenses – April</t>
        </is>
      </c>
      <c r="G2212" s="3" t="inlineStr">
        <is>
          <t>Checking – Operating</t>
        </is>
      </c>
      <c r="H2212" s="3" t="inlineStr">
        <is>
          <t>Accounts Payable</t>
        </is>
      </c>
      <c r="I2212" s="33" t="n">
        <v>-5379.32</v>
      </c>
      <c r="J2212" s="13">
        <f>+J2211+I2212</f>
        <v>460352.14</v>
      </c>
      <c r="K2212" s="19">
        <f>+EOMONTH(B2212,0)</f>
        <v>46173</v>
      </c>
      <c r="L2212" s="3" t="inlineStr">
        <is>
          <t>Accounts Payable</t>
        </is>
      </c>
      <c r="M2212" s="3" t="inlineStr">
        <is>
          <t>Balance Sheet</t>
        </is>
      </c>
    </row>
    <row r="2213">
      <c r="B2213" s="39" t="n">
        <v>46160</v>
      </c>
      <c r="C2213" s="3" t="inlineStr">
        <is>
          <t>Bill</t>
        </is>
      </c>
      <c r="D2213" s="3" t="inlineStr"/>
      <c r="E2213" s="3" t="inlineStr">
        <is>
          <t>Vialtrace Lab Supplies Inc</t>
        </is>
      </c>
      <c r="F2213" s="3" t="inlineStr">
        <is>
          <t>Lab Expenses – May</t>
        </is>
      </c>
      <c r="G2213" s="3" t="inlineStr">
        <is>
          <t>Lab Expenses</t>
        </is>
      </c>
      <c r="H2213" s="3" t="inlineStr">
        <is>
          <t>Accounts Payable</t>
        </is>
      </c>
      <c r="I2213" s="33" t="n">
        <v>5626.85</v>
      </c>
      <c r="J2213" s="13">
        <f>+J2212+I2213</f>
        <v>465978.99</v>
      </c>
      <c r="K2213" s="19">
        <f>+EOMONTH(B2213,0)</f>
        <v>46173</v>
      </c>
      <c r="L2213" s="3" t="inlineStr">
        <is>
          <t>Accounts Payable</t>
        </is>
      </c>
      <c r="M2213" s="3" t="inlineStr">
        <is>
          <t>Balance Sheet</t>
        </is>
      </c>
    </row>
    <row r="2214">
      <c r="B2214" s="39" t="n">
        <v>46160</v>
      </c>
      <c r="C2214" s="3" t="inlineStr">
        <is>
          <t>Bill</t>
        </is>
      </c>
      <c r="D2214" s="3" t="inlineStr"/>
      <c r="E2214" s="3" t="inlineStr">
        <is>
          <t>Reagentix Corp</t>
        </is>
      </c>
      <c r="F2214" s="3" t="inlineStr">
        <is>
          <t>Lab supplies PO# F2144</t>
        </is>
      </c>
      <c r="G2214" s="3" t="inlineStr">
        <is>
          <t>Lab Supplies</t>
        </is>
      </c>
      <c r="H2214" s="3" t="inlineStr">
        <is>
          <t>Accounts Payable</t>
        </is>
      </c>
      <c r="I2214" s="33" t="n">
        <v>27432.62</v>
      </c>
      <c r="J2214" s="13">
        <f>+J2213+I2214</f>
        <v>493411.61</v>
      </c>
      <c r="K2214" s="19">
        <f>+EOMONTH(B2214,0)</f>
        <v>46173</v>
      </c>
      <c r="L2214" s="3" t="inlineStr">
        <is>
          <t>Accounts Payable</t>
        </is>
      </c>
      <c r="M2214" s="3" t="inlineStr">
        <is>
          <t>Balance Sheet</t>
        </is>
      </c>
    </row>
    <row r="2215">
      <c r="B2215" s="39" t="n">
        <v>46160</v>
      </c>
      <c r="C2215" s="3" t="inlineStr">
        <is>
          <t>Bill</t>
        </is>
      </c>
      <c r="D2215" s="3" t="inlineStr"/>
      <c r="E2215" s="3" t="inlineStr">
        <is>
          <t>Lumenlease Equipment</t>
        </is>
      </c>
      <c r="F2215" s="3" t="inlineStr">
        <is>
          <t>Equipment Lease – May</t>
        </is>
      </c>
      <c r="G2215" s="3" t="inlineStr">
        <is>
          <t>Equipment Lease</t>
        </is>
      </c>
      <c r="H2215" s="3" t="inlineStr">
        <is>
          <t>Accounts Payable</t>
        </is>
      </c>
      <c r="I2215" s="33" t="n">
        <v>5225.76</v>
      </c>
      <c r="J2215" s="13">
        <f>+J2214+I2215</f>
        <v>498637.37</v>
      </c>
      <c r="K2215" s="19">
        <f>+EOMONTH(B2215,0)</f>
        <v>46173</v>
      </c>
      <c r="L2215" s="3" t="inlineStr">
        <is>
          <t>Accounts Payable</t>
        </is>
      </c>
      <c r="M2215" s="3" t="inlineStr">
        <is>
          <t>Balance Sheet</t>
        </is>
      </c>
    </row>
    <row r="2216">
      <c r="B2216" s="39" t="n">
        <v>46160</v>
      </c>
      <c r="C2216" s="3" t="inlineStr">
        <is>
          <t>Bill</t>
        </is>
      </c>
      <c r="D2216" s="3" t="inlineStr"/>
      <c r="E2216" s="3" t="inlineStr">
        <is>
          <t>Halloway Ridge Realty (rent)</t>
        </is>
      </c>
      <c r="F2216" s="3" t="inlineStr">
        <is>
          <t>Rent – May</t>
        </is>
      </c>
      <c r="G2216" s="3" t="inlineStr">
        <is>
          <t>Rent Expense</t>
        </is>
      </c>
      <c r="H2216" s="3" t="inlineStr">
        <is>
          <t>Accounts Payable</t>
        </is>
      </c>
      <c r="I2216" s="33" t="n">
        <v>7118.22</v>
      </c>
      <c r="J2216" s="13">
        <f>+J2215+I2216</f>
        <v>505755.59</v>
      </c>
      <c r="K2216" s="19">
        <f>+EOMONTH(B2216,0)</f>
        <v>46173</v>
      </c>
      <c r="L2216" s="3" t="inlineStr">
        <is>
          <t>Accounts Payable</t>
        </is>
      </c>
      <c r="M2216" s="3" t="inlineStr">
        <is>
          <t>Balance Sheet</t>
        </is>
      </c>
    </row>
    <row r="2217">
      <c r="B2217" s="39" t="n">
        <v>46160</v>
      </c>
      <c r="C2217" s="3" t="inlineStr">
        <is>
          <t>Bill Payment (Check)</t>
        </is>
      </c>
      <c r="D2217" s="3" t="inlineStr">
        <is>
          <t>10513</t>
        </is>
      </c>
      <c r="E2217" s="3" t="inlineStr">
        <is>
          <t>Reference Lab A</t>
        </is>
      </c>
      <c r="F2217" s="3" t="inlineStr">
        <is>
          <t>Send-out testing – April</t>
        </is>
      </c>
      <c r="G2217" s="3" t="inlineStr">
        <is>
          <t>Checking – Operating</t>
        </is>
      </c>
      <c r="H2217" s="3" t="inlineStr">
        <is>
          <t>Accounts Payable</t>
        </is>
      </c>
      <c r="I2217" s="33" t="n">
        <v>-17683.71</v>
      </c>
      <c r="J2217" s="13">
        <f>+J2216+I2217</f>
        <v>488071.88</v>
      </c>
      <c r="K2217" s="19">
        <f>+EOMONTH(B2217,0)</f>
        <v>46173</v>
      </c>
      <c r="L2217" s="3" t="inlineStr">
        <is>
          <t>Accounts Payable</t>
        </is>
      </c>
      <c r="M2217" s="3" t="inlineStr">
        <is>
          <t>Balance Sheet</t>
        </is>
      </c>
    </row>
    <row r="2218">
      <c r="B2218" s="39" t="n">
        <v>46160</v>
      </c>
      <c r="C2218" s="3" t="inlineStr">
        <is>
          <t>Bill Payment (Check)</t>
        </is>
      </c>
      <c r="D2218" s="3" t="inlineStr">
        <is>
          <t>10514</t>
        </is>
      </c>
      <c r="E2218" s="3" t="inlineStr">
        <is>
          <t>Reference Lab A</t>
        </is>
      </c>
      <c r="F2218" s="3" t="inlineStr">
        <is>
          <t>Send-out testing – May</t>
        </is>
      </c>
      <c r="G2218" s="3" t="inlineStr">
        <is>
          <t>Checking – Operating</t>
        </is>
      </c>
      <c r="H2218" s="3" t="inlineStr">
        <is>
          <t>Accounts Payable</t>
        </is>
      </c>
      <c r="I2218" s="33" t="n">
        <v>-17160.58</v>
      </c>
      <c r="J2218" s="13">
        <f>+J2217+I2218</f>
        <v>470911.3</v>
      </c>
      <c r="K2218" s="19">
        <f>+EOMONTH(B2218,0)</f>
        <v>46173</v>
      </c>
      <c r="L2218" s="3" t="inlineStr">
        <is>
          <t>Accounts Payable</t>
        </is>
      </c>
      <c r="M2218" s="3" t="inlineStr">
        <is>
          <t>Balance Sheet</t>
        </is>
      </c>
    </row>
    <row r="2219">
      <c r="B2219" s="39" t="n">
        <v>46161</v>
      </c>
      <c r="C2219" s="3" t="inlineStr">
        <is>
          <t>Bill Payment (Check)</t>
        </is>
      </c>
      <c r="D2219" s="3" t="inlineStr">
        <is>
          <t>10427</t>
        </is>
      </c>
      <c r="E2219" s="3" t="inlineStr">
        <is>
          <t>Reagentix Corp</t>
        </is>
      </c>
      <c r="F2219" s="3" t="inlineStr">
        <is>
          <t>Lab Expenses – April</t>
        </is>
      </c>
      <c r="G2219" s="3" t="inlineStr">
        <is>
          <t>Checking – Operating</t>
        </is>
      </c>
      <c r="H2219" s="3" t="inlineStr">
        <is>
          <t>Accounts Payable</t>
        </is>
      </c>
      <c r="I2219" s="33" t="n">
        <v>-4608.57</v>
      </c>
      <c r="J2219" s="13">
        <f>+J2218+I2219</f>
        <v>466302.73</v>
      </c>
      <c r="K2219" s="19">
        <f>+EOMONTH(B2219,0)</f>
        <v>46173</v>
      </c>
      <c r="L2219" s="3" t="inlineStr">
        <is>
          <t>Accounts Payable</t>
        </is>
      </c>
      <c r="M2219" s="3" t="inlineStr">
        <is>
          <t>Balance Sheet</t>
        </is>
      </c>
    </row>
    <row r="2220">
      <c r="B2220" s="39" t="n">
        <v>46161</v>
      </c>
      <c r="C2220" s="3" t="inlineStr">
        <is>
          <t>Bill Payment (Check)</t>
        </is>
      </c>
      <c r="D2220" s="3" t="inlineStr">
        <is>
          <t>10469</t>
        </is>
      </c>
      <c r="E2220" s="3" t="inlineStr">
        <is>
          <t>Reagentix Corp</t>
        </is>
      </c>
      <c r="F2220" s="3" t="inlineStr">
        <is>
          <t>Lab supplies PO# F2203</t>
        </is>
      </c>
      <c r="G2220" s="3" t="inlineStr">
        <is>
          <t>Checking – Operating</t>
        </is>
      </c>
      <c r="H2220" s="3" t="inlineStr">
        <is>
          <t>Accounts Payable</t>
        </is>
      </c>
      <c r="I2220" s="33" t="n">
        <v>-31014.53</v>
      </c>
      <c r="J2220" s="13">
        <f>+J2219+I2220</f>
        <v>435288.2</v>
      </c>
      <c r="K2220" s="19">
        <f>+EOMONTH(B2220,0)</f>
        <v>46173</v>
      </c>
      <c r="L2220" s="3" t="inlineStr">
        <is>
          <t>Accounts Payable</t>
        </is>
      </c>
      <c r="M2220" s="3" t="inlineStr">
        <is>
          <t>Balance Sheet</t>
        </is>
      </c>
    </row>
    <row r="2221">
      <c r="B2221" s="39" t="n">
        <v>46161</v>
      </c>
      <c r="C2221" s="3" t="inlineStr">
        <is>
          <t>Bill Payment (Check)</t>
        </is>
      </c>
      <c r="D2221" s="3" t="inlineStr">
        <is>
          <t>10908</t>
        </is>
      </c>
      <c r="E2221" s="3" t="inlineStr">
        <is>
          <t>Halloway Ridge Realty (rent)</t>
        </is>
      </c>
      <c r="F2221" s="3" t="inlineStr">
        <is>
          <t>Rent – April</t>
        </is>
      </c>
      <c r="G2221" s="3" t="inlineStr">
        <is>
          <t>Checking – Operating</t>
        </is>
      </c>
      <c r="H2221" s="3" t="inlineStr">
        <is>
          <t>Accounts Payable</t>
        </is>
      </c>
      <c r="I2221" s="33" t="n">
        <v>-9232.469999999999</v>
      </c>
      <c r="J2221" s="13">
        <f>+J2220+I2221</f>
        <v>426055.73</v>
      </c>
      <c r="K2221" s="19">
        <f>+EOMONTH(B2221,0)</f>
        <v>46173</v>
      </c>
      <c r="L2221" s="3" t="inlineStr">
        <is>
          <t>Accounts Payable</t>
        </is>
      </c>
      <c r="M2221" s="3" t="inlineStr">
        <is>
          <t>Balance Sheet</t>
        </is>
      </c>
    </row>
    <row r="2222">
      <c r="B2222" s="39" t="n">
        <v>46162</v>
      </c>
      <c r="C2222" s="3" t="inlineStr">
        <is>
          <t>Bill Payment (Check)</t>
        </is>
      </c>
      <c r="D2222" s="3" t="inlineStr">
        <is>
          <t>10430</t>
        </is>
      </c>
      <c r="E2222" s="3" t="inlineStr">
        <is>
          <t>Reagentix Corp</t>
        </is>
      </c>
      <c r="F2222" s="3" t="inlineStr">
        <is>
          <t>Lab Expenses – May</t>
        </is>
      </c>
      <c r="G2222" s="3" t="inlineStr">
        <is>
          <t>Checking – Operating</t>
        </is>
      </c>
      <c r="H2222" s="3" t="inlineStr">
        <is>
          <t>Accounts Payable</t>
        </is>
      </c>
      <c r="I2222" s="33" t="n">
        <v>-3247.85</v>
      </c>
      <c r="J2222" s="13">
        <f>+J2221+I2222</f>
        <v>422807.88</v>
      </c>
      <c r="K2222" s="19">
        <f>+EOMONTH(B2222,0)</f>
        <v>46173</v>
      </c>
      <c r="L2222" s="3" t="inlineStr">
        <is>
          <t>Accounts Payable</t>
        </is>
      </c>
      <c r="M2222" s="3" t="inlineStr">
        <is>
          <t>Balance Sheet</t>
        </is>
      </c>
    </row>
    <row r="2223">
      <c r="B2223" s="39" t="n">
        <v>46162</v>
      </c>
      <c r="C2223" s="3" t="inlineStr">
        <is>
          <t>Bill Payment (Check)</t>
        </is>
      </c>
      <c r="D2223" s="3" t="inlineStr">
        <is>
          <t>10645</t>
        </is>
      </c>
      <c r="E2223" s="3" t="inlineStr">
        <is>
          <t>Swiftmere Courier</t>
        </is>
      </c>
      <c r="F2223" s="3" t="inlineStr">
        <is>
          <t>Delivery and Transportation – May</t>
        </is>
      </c>
      <c r="G2223" s="3" t="inlineStr">
        <is>
          <t>Checking – Operating</t>
        </is>
      </c>
      <c r="H2223" s="3" t="inlineStr">
        <is>
          <t>Accounts Payable</t>
        </is>
      </c>
      <c r="I2223" s="33" t="n">
        <v>-4738.12</v>
      </c>
      <c r="J2223" s="13">
        <f>+J2222+I2223</f>
        <v>418069.76</v>
      </c>
      <c r="K2223" s="19">
        <f>+EOMONTH(B2223,0)</f>
        <v>46173</v>
      </c>
      <c r="L2223" s="3" t="inlineStr">
        <is>
          <t>Accounts Payable</t>
        </is>
      </c>
      <c r="M2223" s="3" t="inlineStr">
        <is>
          <t>Balance Sheet</t>
        </is>
      </c>
    </row>
    <row r="2224">
      <c r="B2224" s="39" t="n">
        <v>46162</v>
      </c>
      <c r="C2224" s="3" t="inlineStr">
        <is>
          <t>Bill Payment (Check)</t>
        </is>
      </c>
      <c r="D2224" s="3" t="inlineStr">
        <is>
          <t>11234</t>
        </is>
      </c>
      <c r="E2224" s="3" t="inlineStr">
        <is>
          <t>Ledgerquill Billing SaaS</t>
        </is>
      </c>
      <c r="F2224" s="3" t="inlineStr">
        <is>
          <t>Billing Software as a Service – May</t>
        </is>
      </c>
      <c r="G2224" s="3" t="inlineStr">
        <is>
          <t>Checking – Operating</t>
        </is>
      </c>
      <c r="H2224" s="3" t="inlineStr">
        <is>
          <t>Accounts Payable</t>
        </is>
      </c>
      <c r="I2224" s="33" t="n">
        <v>-16834.62</v>
      </c>
      <c r="J2224" s="13">
        <f>+J2223+I2224</f>
        <v>401235.14</v>
      </c>
      <c r="K2224" s="19">
        <f>+EOMONTH(B2224,0)</f>
        <v>46173</v>
      </c>
      <c r="L2224" s="3" t="inlineStr">
        <is>
          <t>Accounts Payable</t>
        </is>
      </c>
      <c r="M2224" s="3" t="inlineStr">
        <is>
          <t>Balance Sheet</t>
        </is>
      </c>
    </row>
    <row r="2225">
      <c r="B2225" s="39" t="n">
        <v>46163</v>
      </c>
      <c r="C2225" s="3" t="inlineStr">
        <is>
          <t>Bill Payment (Check)</t>
        </is>
      </c>
      <c r="D2225" s="3" t="inlineStr">
        <is>
          <t>10557</t>
        </is>
      </c>
      <c r="E2225" s="3" t="inlineStr">
        <is>
          <t>Reagentix Corp</t>
        </is>
      </c>
      <c r="F2225" s="3" t="inlineStr">
        <is>
          <t>Lab supplies PO# F2230</t>
        </is>
      </c>
      <c r="G2225" s="3" t="inlineStr">
        <is>
          <t>Checking – Operating</t>
        </is>
      </c>
      <c r="H2225" s="3" t="inlineStr">
        <is>
          <t>Accounts Payable</t>
        </is>
      </c>
      <c r="I2225" s="33" t="n">
        <v>-11078.33</v>
      </c>
      <c r="J2225" s="13">
        <f>+J2224+I2225</f>
        <v>390156.81</v>
      </c>
      <c r="K2225" s="19">
        <f>+EOMONTH(B2225,0)</f>
        <v>46173</v>
      </c>
      <c r="L2225" s="3" t="inlineStr">
        <is>
          <t>Accounts Payable</t>
        </is>
      </c>
      <c r="M2225" s="3" t="inlineStr">
        <is>
          <t>Balance Sheet</t>
        </is>
      </c>
    </row>
    <row r="2226">
      <c r="B2226" s="39" t="n">
        <v>46163</v>
      </c>
      <c r="C2226" s="3" t="inlineStr">
        <is>
          <t>Bill Payment (Check)</t>
        </is>
      </c>
      <c r="D2226" s="3" t="inlineStr">
        <is>
          <t>10699</t>
        </is>
      </c>
      <c r="E2226" s="3" t="inlineStr">
        <is>
          <t>Tarrowmere Mutual Insurance</t>
        </is>
      </c>
      <c r="F2226" s="3" t="inlineStr">
        <is>
          <t>Premium installment</t>
        </is>
      </c>
      <c r="G2226" s="3" t="inlineStr">
        <is>
          <t>Checking – Operating</t>
        </is>
      </c>
      <c r="H2226" s="3" t="inlineStr">
        <is>
          <t>Accounts Payable</t>
        </is>
      </c>
      <c r="I2226" s="33" t="n">
        <v>-6373.47</v>
      </c>
      <c r="J2226" s="13">
        <f>+J2225+I2226</f>
        <v>383783.34</v>
      </c>
      <c r="K2226" s="19">
        <f>+EOMONTH(B2226,0)</f>
        <v>46173</v>
      </c>
      <c r="L2226" s="3" t="inlineStr">
        <is>
          <t>Accounts Payable</t>
        </is>
      </c>
      <c r="M2226" s="3" t="inlineStr">
        <is>
          <t>Balance Sheet</t>
        </is>
      </c>
    </row>
    <row r="2227">
      <c r="B2227" s="39" t="n">
        <v>46163</v>
      </c>
      <c r="C2227" s="3" t="inlineStr">
        <is>
          <t>Bill Payment (Check)</t>
        </is>
      </c>
      <c r="D2227" s="3" t="inlineStr">
        <is>
          <t>11026</t>
        </is>
      </c>
      <c r="E2227" s="3" t="inlineStr">
        <is>
          <t>Northmoor Waste Services</t>
        </is>
      </c>
      <c r="F2227" s="3" t="inlineStr">
        <is>
          <t>Waste Removal – May</t>
        </is>
      </c>
      <c r="G2227" s="3" t="inlineStr">
        <is>
          <t>Checking – Operating</t>
        </is>
      </c>
      <c r="H2227" s="3" t="inlineStr">
        <is>
          <t>Accounts Payable</t>
        </is>
      </c>
      <c r="I2227" s="33" t="n">
        <v>-648.4400000000001</v>
      </c>
      <c r="J2227" s="13">
        <f>+J2226+I2227</f>
        <v>383134.9</v>
      </c>
      <c r="K2227" s="19">
        <f>+EOMONTH(B2227,0)</f>
        <v>46173</v>
      </c>
      <c r="L2227" s="3" t="inlineStr">
        <is>
          <t>Accounts Payable</t>
        </is>
      </c>
      <c r="M2227" s="3" t="inlineStr">
        <is>
          <t>Balance Sheet</t>
        </is>
      </c>
    </row>
    <row r="2228">
      <c r="B2228" s="39" t="n">
        <v>46164</v>
      </c>
      <c r="C2228" s="3" t="inlineStr">
        <is>
          <t>Bill Payment (Check)</t>
        </is>
      </c>
      <c r="D2228" s="3" t="inlineStr">
        <is>
          <t>11149</t>
        </is>
      </c>
      <c r="E2228" s="3" t="inlineStr">
        <is>
          <t>Tarrowmere Mutual Insurance</t>
        </is>
      </c>
      <c r="F2228" s="3" t="inlineStr">
        <is>
          <t>Benefits – April</t>
        </is>
      </c>
      <c r="G2228" s="3" t="inlineStr">
        <is>
          <t>Checking – Operating</t>
        </is>
      </c>
      <c r="H2228" s="3" t="inlineStr">
        <is>
          <t>Accounts Payable</t>
        </is>
      </c>
      <c r="I2228" s="33" t="n">
        <v>-4868.05</v>
      </c>
      <c r="J2228" s="13">
        <f>+J2227+I2228</f>
        <v>378266.85</v>
      </c>
      <c r="K2228" s="19">
        <f>+EOMONTH(B2228,0)</f>
        <v>46173</v>
      </c>
      <c r="L2228" s="3" t="inlineStr">
        <is>
          <t>Accounts Payable</t>
        </is>
      </c>
      <c r="M2228" s="3" t="inlineStr">
        <is>
          <t>Balance Sheet</t>
        </is>
      </c>
    </row>
    <row r="2229">
      <c r="B2229" s="39" t="n">
        <v>46165</v>
      </c>
      <c r="C2229" s="3" t="inlineStr">
        <is>
          <t>Bill</t>
        </is>
      </c>
      <c r="D2229" s="3" t="inlineStr"/>
      <c r="E2229" s="3" t="inlineStr">
        <is>
          <t>Reference Lab A</t>
        </is>
      </c>
      <c r="F2229" s="3" t="inlineStr">
        <is>
          <t>Send-out testing – May</t>
        </is>
      </c>
      <c r="G2229" s="3" t="inlineStr">
        <is>
          <t>Laboratory Fees</t>
        </is>
      </c>
      <c r="H2229" s="3" t="inlineStr">
        <is>
          <t>Accounts Payable</t>
        </is>
      </c>
      <c r="I2229" s="33" t="n">
        <v>30680.71</v>
      </c>
      <c r="J2229" s="13">
        <f>+J2228+I2229</f>
        <v>408947.56</v>
      </c>
      <c r="K2229" s="19">
        <f>+EOMONTH(B2229,0)</f>
        <v>46173</v>
      </c>
      <c r="L2229" s="3" t="inlineStr">
        <is>
          <t>Accounts Payable</t>
        </is>
      </c>
      <c r="M2229" s="3" t="inlineStr">
        <is>
          <t>Balance Sheet</t>
        </is>
      </c>
    </row>
    <row r="2230">
      <c r="B2230" s="39" t="n">
        <v>46165</v>
      </c>
      <c r="C2230" s="3" t="inlineStr">
        <is>
          <t>Bill</t>
        </is>
      </c>
      <c r="D2230" s="3" t="inlineStr"/>
      <c r="E2230" s="3" t="inlineStr">
        <is>
          <t>Northmoor Waste Services</t>
        </is>
      </c>
      <c r="F2230" s="3" t="inlineStr">
        <is>
          <t>Hazard Waste – May</t>
        </is>
      </c>
      <c r="G2230" s="3" t="inlineStr">
        <is>
          <t>Hazard Waste</t>
        </is>
      </c>
      <c r="H2230" s="3" t="inlineStr">
        <is>
          <t>Accounts Payable</t>
        </is>
      </c>
      <c r="I2230" s="33" t="n">
        <v>1196.74</v>
      </c>
      <c r="J2230" s="13">
        <f>+J2229+I2230</f>
        <v>410144.3</v>
      </c>
      <c r="K2230" s="19">
        <f>+EOMONTH(B2230,0)</f>
        <v>46173</v>
      </c>
      <c r="L2230" s="3" t="inlineStr">
        <is>
          <t>Accounts Payable</t>
        </is>
      </c>
      <c r="M2230" s="3" t="inlineStr">
        <is>
          <t>Balance Sheet</t>
        </is>
      </c>
    </row>
    <row r="2231">
      <c r="B2231" s="39" t="n">
        <v>46165</v>
      </c>
      <c r="C2231" s="3" t="inlineStr">
        <is>
          <t>Bill Payment (Check)</t>
        </is>
      </c>
      <c r="D2231" s="3" t="inlineStr">
        <is>
          <t>10911</t>
        </is>
      </c>
      <c r="E2231" s="3" t="inlineStr">
        <is>
          <t>Halloway Ridge Realty (rent)</t>
        </is>
      </c>
      <c r="F2231" s="3" t="inlineStr">
        <is>
          <t>Rent – April</t>
        </is>
      </c>
      <c r="G2231" s="3" t="inlineStr">
        <is>
          <t>Checking – Operating</t>
        </is>
      </c>
      <c r="H2231" s="3" t="inlineStr">
        <is>
          <t>Accounts Payable</t>
        </is>
      </c>
      <c r="I2231" s="33" t="n">
        <v>-7930.38</v>
      </c>
      <c r="J2231" s="13">
        <f>+J2230+I2231</f>
        <v>402213.92</v>
      </c>
      <c r="K2231" s="19">
        <f>+EOMONTH(B2231,0)</f>
        <v>46173</v>
      </c>
      <c r="L2231" s="3" t="inlineStr">
        <is>
          <t>Accounts Payable</t>
        </is>
      </c>
      <c r="M2231" s="3" t="inlineStr">
        <is>
          <t>Balance Sheet</t>
        </is>
      </c>
    </row>
    <row r="2232">
      <c r="B2232" s="39" t="n">
        <v>46165</v>
      </c>
      <c r="C2232" s="3" t="inlineStr">
        <is>
          <t>Bill Payment (Check)</t>
        </is>
      </c>
      <c r="D2232" s="3" t="inlineStr">
        <is>
          <t>11233</t>
        </is>
      </c>
      <c r="E2232" s="3" t="inlineStr">
        <is>
          <t>Ledgerquill Billing SaaS</t>
        </is>
      </c>
      <c r="F2232" s="3" t="inlineStr">
        <is>
          <t>Billing Software as a Service – May</t>
        </is>
      </c>
      <c r="G2232" s="3" t="inlineStr">
        <is>
          <t>Checking – Operating</t>
        </is>
      </c>
      <c r="H2232" s="3" t="inlineStr">
        <is>
          <t>Accounts Payable</t>
        </is>
      </c>
      <c r="I2232" s="33" t="n">
        <v>-10938.26</v>
      </c>
      <c r="J2232" s="13">
        <f>+J2231+I2232</f>
        <v>391275.66</v>
      </c>
      <c r="K2232" s="19">
        <f>+EOMONTH(B2232,0)</f>
        <v>46173</v>
      </c>
      <c r="L2232" s="3" t="inlineStr">
        <is>
          <t>Accounts Payable</t>
        </is>
      </c>
      <c r="M2232" s="3" t="inlineStr">
        <is>
          <t>Balance Sheet</t>
        </is>
      </c>
    </row>
    <row r="2233">
      <c r="B2233" s="39" t="n">
        <v>46166</v>
      </c>
      <c r="C2233" s="3" t="inlineStr">
        <is>
          <t>Bill</t>
        </is>
      </c>
      <c r="D2233" s="3" t="inlineStr"/>
      <c r="E2233" s="3" t="inlineStr">
        <is>
          <t>Tarrowmere Mutual Insurance</t>
        </is>
      </c>
      <c r="F2233" s="3" t="inlineStr">
        <is>
          <t>Premium installment</t>
        </is>
      </c>
      <c r="G2233" s="3" t="inlineStr">
        <is>
          <t>Insurance Expense</t>
        </is>
      </c>
      <c r="H2233" s="3" t="inlineStr">
        <is>
          <t>Accounts Payable</t>
        </is>
      </c>
      <c r="I2233" s="33" t="n">
        <v>4891.52</v>
      </c>
      <c r="J2233" s="13">
        <f>+J2232+I2233</f>
        <v>396167.18</v>
      </c>
      <c r="K2233" s="19">
        <f>+EOMONTH(B2233,0)</f>
        <v>46173</v>
      </c>
      <c r="L2233" s="3" t="inlineStr">
        <is>
          <t>Accounts Payable</t>
        </is>
      </c>
      <c r="M2233" s="3" t="inlineStr">
        <is>
          <t>Balance Sheet</t>
        </is>
      </c>
    </row>
    <row r="2234">
      <c r="B2234" s="39" t="n">
        <v>46167</v>
      </c>
      <c r="C2234" s="3" t="inlineStr">
        <is>
          <t>Bill Payment (Check)</t>
        </is>
      </c>
      <c r="D2234" s="3" t="inlineStr">
        <is>
          <t>10703</t>
        </is>
      </c>
      <c r="E2234" s="3" t="inlineStr">
        <is>
          <t>Tarrowmere Mutual Insurance</t>
        </is>
      </c>
      <c r="F2234" s="3" t="inlineStr">
        <is>
          <t>Premium installment</t>
        </is>
      </c>
      <c r="G2234" s="3" t="inlineStr">
        <is>
          <t>Checking – Operating</t>
        </is>
      </c>
      <c r="H2234" s="3" t="inlineStr">
        <is>
          <t>Accounts Payable</t>
        </is>
      </c>
      <c r="I2234" s="33" t="n">
        <v>-5842.75</v>
      </c>
      <c r="J2234" s="13">
        <f>+J2233+I2234</f>
        <v>390324.43</v>
      </c>
      <c r="K2234" s="19">
        <f>+EOMONTH(B2234,0)</f>
        <v>46173</v>
      </c>
      <c r="L2234" s="3" t="inlineStr">
        <is>
          <t>Accounts Payable</t>
        </is>
      </c>
      <c r="M2234" s="3" t="inlineStr">
        <is>
          <t>Balance Sheet</t>
        </is>
      </c>
    </row>
    <row r="2235">
      <c r="B2235" s="39" t="n">
        <v>46168</v>
      </c>
      <c r="C2235" s="3" t="inlineStr">
        <is>
          <t>Bill</t>
        </is>
      </c>
      <c r="D2235" s="3" t="inlineStr"/>
      <c r="E2235" s="3" t="inlineStr">
        <is>
          <t>Reagentix Corp</t>
        </is>
      </c>
      <c r="F2235" s="3" t="inlineStr">
        <is>
          <t>Lab supplies PO# F2780</t>
        </is>
      </c>
      <c r="G2235" s="3" t="inlineStr">
        <is>
          <t>Reagents</t>
        </is>
      </c>
      <c r="H2235" s="3" t="inlineStr">
        <is>
          <t>Accounts Payable</t>
        </is>
      </c>
      <c r="I2235" s="33" t="n">
        <v>9237.35</v>
      </c>
      <c r="J2235" s="13">
        <f>+J2234+I2235</f>
        <v>399561.78</v>
      </c>
      <c r="K2235" s="19">
        <f>+EOMONTH(B2235,0)</f>
        <v>46173</v>
      </c>
      <c r="L2235" s="3" t="inlineStr">
        <is>
          <t>Accounts Payable</t>
        </is>
      </c>
      <c r="M2235" s="3" t="inlineStr">
        <is>
          <t>Balance Sheet</t>
        </is>
      </c>
    </row>
    <row r="2236">
      <c r="B2236" s="39" t="n">
        <v>46168</v>
      </c>
      <c r="C2236" s="3" t="inlineStr">
        <is>
          <t>Bill Payment (Check)</t>
        </is>
      </c>
      <c r="D2236" s="3" t="inlineStr">
        <is>
          <t>10676</t>
        </is>
      </c>
      <c r="E2236" s="3" t="inlineStr">
        <is>
          <t>Lumenlease Equipment</t>
        </is>
      </c>
      <c r="F2236" s="3" t="inlineStr">
        <is>
          <t>Lab Equipment – May</t>
        </is>
      </c>
      <c r="G2236" s="3" t="inlineStr">
        <is>
          <t>Checking – Operating</t>
        </is>
      </c>
      <c r="H2236" s="3" t="inlineStr">
        <is>
          <t>Accounts Payable</t>
        </is>
      </c>
      <c r="I2236" s="33" t="n">
        <v>-2505.64</v>
      </c>
      <c r="J2236" s="13">
        <f>+J2235+I2236</f>
        <v>397056.14</v>
      </c>
      <c r="K2236" s="19">
        <f>+EOMONTH(B2236,0)</f>
        <v>46173</v>
      </c>
      <c r="L2236" s="3" t="inlineStr">
        <is>
          <t>Accounts Payable</t>
        </is>
      </c>
      <c r="M2236" s="3" t="inlineStr">
        <is>
          <t>Balance Sheet</t>
        </is>
      </c>
    </row>
    <row r="2237">
      <c r="B2237" s="39" t="n">
        <v>46169</v>
      </c>
      <c r="C2237" s="3" t="inlineStr">
        <is>
          <t>Bill</t>
        </is>
      </c>
      <c r="D2237" s="3" t="inlineStr"/>
      <c r="E2237" s="3" t="inlineStr">
        <is>
          <t>Reagentix Corp</t>
        </is>
      </c>
      <c r="F2237" s="3" t="inlineStr">
        <is>
          <t>Lab Expenses – May</t>
        </is>
      </c>
      <c r="G2237" s="3" t="inlineStr">
        <is>
          <t>Lab Expenses</t>
        </is>
      </c>
      <c r="H2237" s="3" t="inlineStr">
        <is>
          <t>Accounts Payable</t>
        </is>
      </c>
      <c r="I2237" s="33" t="n">
        <v>6352.17</v>
      </c>
      <c r="J2237" s="13">
        <f>+J2236+I2237</f>
        <v>403408.31</v>
      </c>
      <c r="K2237" s="19">
        <f>+EOMONTH(B2237,0)</f>
        <v>46173</v>
      </c>
      <c r="L2237" s="3" t="inlineStr">
        <is>
          <t>Accounts Payable</t>
        </is>
      </c>
      <c r="M2237" s="3" t="inlineStr">
        <is>
          <t>Balance Sheet</t>
        </is>
      </c>
    </row>
    <row r="2238">
      <c r="B2238" s="39" t="n">
        <v>46169</v>
      </c>
      <c r="C2238" s="3" t="inlineStr">
        <is>
          <t>Bill</t>
        </is>
      </c>
      <c r="D2238" s="3" t="inlineStr"/>
      <c r="E2238" s="3" t="inlineStr">
        <is>
          <t>Tarrowmere Mutual Insurance</t>
        </is>
      </c>
      <c r="F2238" s="3" t="inlineStr">
        <is>
          <t>Premium installment</t>
        </is>
      </c>
      <c r="G2238" s="3" t="inlineStr">
        <is>
          <t>Insurance Expense</t>
        </is>
      </c>
      <c r="H2238" s="3" t="inlineStr">
        <is>
          <t>Accounts Payable</t>
        </is>
      </c>
      <c r="I2238" s="33" t="n">
        <v>4123.45</v>
      </c>
      <c r="J2238" s="13">
        <f>+J2237+I2238</f>
        <v>407531.76</v>
      </c>
      <c r="K2238" s="19">
        <f>+EOMONTH(B2238,0)</f>
        <v>46173</v>
      </c>
      <c r="L2238" s="3" t="inlineStr">
        <is>
          <t>Accounts Payable</t>
        </is>
      </c>
      <c r="M2238" s="3" t="inlineStr">
        <is>
          <t>Balance Sheet</t>
        </is>
      </c>
    </row>
    <row r="2239">
      <c r="B2239" s="39" t="n">
        <v>46169</v>
      </c>
      <c r="C2239" s="3" t="inlineStr">
        <is>
          <t>Bill Payment (Check)</t>
        </is>
      </c>
      <c r="D2239" s="3" t="inlineStr">
        <is>
          <t>10551</t>
        </is>
      </c>
      <c r="E2239" s="3" t="inlineStr">
        <is>
          <t>Reagentix Corp</t>
        </is>
      </c>
      <c r="F2239" s="3" t="inlineStr">
        <is>
          <t>Lab supplies PO# F2496</t>
        </is>
      </c>
      <c r="G2239" s="3" t="inlineStr">
        <is>
          <t>Checking – Operating</t>
        </is>
      </c>
      <c r="H2239" s="3" t="inlineStr">
        <is>
          <t>Accounts Payable</t>
        </is>
      </c>
      <c r="I2239" s="33" t="n">
        <v>-10141.05</v>
      </c>
      <c r="J2239" s="13">
        <f>+J2238+I2239</f>
        <v>397390.71</v>
      </c>
      <c r="K2239" s="19">
        <f>+EOMONTH(B2239,0)</f>
        <v>46173</v>
      </c>
      <c r="L2239" s="3" t="inlineStr">
        <is>
          <t>Accounts Payable</t>
        </is>
      </c>
      <c r="M2239" s="3" t="inlineStr">
        <is>
          <t>Balance Sheet</t>
        </is>
      </c>
    </row>
    <row r="2240">
      <c r="B2240" s="39" t="n">
        <v>46169</v>
      </c>
      <c r="C2240" s="3" t="inlineStr">
        <is>
          <t>Bill Payment (Check)</t>
        </is>
      </c>
      <c r="D2240" s="3" t="inlineStr">
        <is>
          <t>11152</t>
        </is>
      </c>
      <c r="E2240" s="3" t="inlineStr">
        <is>
          <t>Tarrowmere Mutual Insurance</t>
        </is>
      </c>
      <c r="F2240" s="3" t="inlineStr">
        <is>
          <t>Benefits – May</t>
        </is>
      </c>
      <c r="G2240" s="3" t="inlineStr">
        <is>
          <t>Checking – Operating</t>
        </is>
      </c>
      <c r="H2240" s="3" t="inlineStr">
        <is>
          <t>Accounts Payable</t>
        </is>
      </c>
      <c r="I2240" s="33" t="n">
        <v>-7033.45</v>
      </c>
      <c r="J2240" s="13">
        <f>+J2239+I2240</f>
        <v>390357.26</v>
      </c>
      <c r="K2240" s="19">
        <f>+EOMONTH(B2240,0)</f>
        <v>46173</v>
      </c>
      <c r="L2240" s="3" t="inlineStr">
        <is>
          <t>Accounts Payable</t>
        </is>
      </c>
      <c r="M2240" s="3" t="inlineStr">
        <is>
          <t>Balance Sheet</t>
        </is>
      </c>
    </row>
    <row r="2241">
      <c r="B2241" s="39" t="n">
        <v>46169</v>
      </c>
      <c r="C2241" s="3" t="inlineStr">
        <is>
          <t>Bill Payment (Check)</t>
        </is>
      </c>
      <c r="D2241" s="3" t="inlineStr">
        <is>
          <t>11236</t>
        </is>
      </c>
      <c r="E2241" s="3" t="inlineStr">
        <is>
          <t>Ledgerquill Billing SaaS</t>
        </is>
      </c>
      <c r="F2241" s="3" t="inlineStr">
        <is>
          <t>Billing Software as a Service – May</t>
        </is>
      </c>
      <c r="G2241" s="3" t="inlineStr">
        <is>
          <t>Checking – Operating</t>
        </is>
      </c>
      <c r="H2241" s="3" t="inlineStr">
        <is>
          <t>Accounts Payable</t>
        </is>
      </c>
      <c r="I2241" s="33" t="n">
        <v>-13941.2</v>
      </c>
      <c r="J2241" s="13">
        <f>+J2240+I2241</f>
        <v>376416.06</v>
      </c>
      <c r="K2241" s="19">
        <f>+EOMONTH(B2241,0)</f>
        <v>46173</v>
      </c>
      <c r="L2241" s="3" t="inlineStr">
        <is>
          <t>Accounts Payable</t>
        </is>
      </c>
      <c r="M2241" s="3" t="inlineStr">
        <is>
          <t>Balance Sheet</t>
        </is>
      </c>
    </row>
    <row r="2242">
      <c r="B2242" s="39" t="n">
        <v>46169</v>
      </c>
      <c r="C2242" s="3" t="inlineStr">
        <is>
          <t>Bill Payment (Check)</t>
        </is>
      </c>
      <c r="D2242" s="3" t="inlineStr">
        <is>
          <t>11337</t>
        </is>
      </c>
      <c r="E2242" s="3" t="inlineStr">
        <is>
          <t>Union Utilities</t>
        </is>
      </c>
      <c r="F2242" s="3" t="inlineStr">
        <is>
          <t>Utilities – May</t>
        </is>
      </c>
      <c r="G2242" s="3" t="inlineStr">
        <is>
          <t>Checking – Operating</t>
        </is>
      </c>
      <c r="H2242" s="3" t="inlineStr">
        <is>
          <t>Accounts Payable</t>
        </is>
      </c>
      <c r="I2242" s="33" t="n">
        <v>-3018.32</v>
      </c>
      <c r="J2242" s="13">
        <f>+J2241+I2242</f>
        <v>373397.74</v>
      </c>
      <c r="K2242" s="19">
        <f>+EOMONTH(B2242,0)</f>
        <v>46173</v>
      </c>
      <c r="L2242" s="3" t="inlineStr">
        <is>
          <t>Accounts Payable</t>
        </is>
      </c>
      <c r="M2242" s="3" t="inlineStr">
        <is>
          <t>Balance Sheet</t>
        </is>
      </c>
    </row>
    <row r="2243">
      <c r="B2243" s="39" t="n">
        <v>46170</v>
      </c>
      <c r="C2243" s="3" t="inlineStr">
        <is>
          <t>Bill</t>
        </is>
      </c>
      <c r="D2243" s="3" t="inlineStr"/>
      <c r="E2243" s="3" t="inlineStr">
        <is>
          <t>Reagentix Corp</t>
        </is>
      </c>
      <c r="F2243" s="3" t="inlineStr">
        <is>
          <t>Lab supplies PO# F2496</t>
        </is>
      </c>
      <c r="G2243" s="3" t="inlineStr">
        <is>
          <t>Reagents</t>
        </is>
      </c>
      <c r="H2243" s="3" t="inlineStr">
        <is>
          <t>Accounts Payable</t>
        </is>
      </c>
      <c r="I2243" s="33" t="n">
        <v>12610.05</v>
      </c>
      <c r="J2243" s="13">
        <f>+J2242+I2243</f>
        <v>386007.79</v>
      </c>
      <c r="K2243" s="19">
        <f>+EOMONTH(B2243,0)</f>
        <v>46173</v>
      </c>
      <c r="L2243" s="3" t="inlineStr">
        <is>
          <t>Accounts Payable</t>
        </is>
      </c>
      <c r="M2243" s="3" t="inlineStr">
        <is>
          <t>Balance Sheet</t>
        </is>
      </c>
    </row>
    <row r="2244">
      <c r="B2244" s="39" t="n">
        <v>46170</v>
      </c>
      <c r="C2244" s="3" t="inlineStr">
        <is>
          <t>Bill</t>
        </is>
      </c>
      <c r="D2244" s="3" t="inlineStr"/>
      <c r="E2244" s="3" t="inlineStr">
        <is>
          <t>Lumenlease Equipment</t>
        </is>
      </c>
      <c r="F2244" s="3" t="inlineStr">
        <is>
          <t>Lab Equipment – May</t>
        </is>
      </c>
      <c r="G2244" s="3" t="inlineStr">
        <is>
          <t>Lab Equipment</t>
        </is>
      </c>
      <c r="H2244" s="3" t="inlineStr">
        <is>
          <t>Accounts Payable</t>
        </is>
      </c>
      <c r="I2244" s="33" t="n">
        <v>3094.36</v>
      </c>
      <c r="J2244" s="13">
        <f>+J2243+I2244</f>
        <v>389102.15</v>
      </c>
      <c r="K2244" s="19">
        <f>+EOMONTH(B2244,0)</f>
        <v>46173</v>
      </c>
      <c r="L2244" s="3" t="inlineStr">
        <is>
          <t>Accounts Payable</t>
        </is>
      </c>
      <c r="M2244" s="3" t="inlineStr">
        <is>
          <t>Balance Sheet</t>
        </is>
      </c>
    </row>
    <row r="2245">
      <c r="B2245" s="39" t="n">
        <v>46170</v>
      </c>
      <c r="C2245" s="3" t="inlineStr">
        <is>
          <t>Bill</t>
        </is>
      </c>
      <c r="D2245" s="3" t="inlineStr"/>
      <c r="E2245" s="3" t="inlineStr">
        <is>
          <t>Tarrowmere Mutual Insurance</t>
        </is>
      </c>
      <c r="F2245" s="3" t="inlineStr">
        <is>
          <t>Benefits – May</t>
        </is>
      </c>
      <c r="G2245" s="3" t="inlineStr">
        <is>
          <t>Benefits</t>
        </is>
      </c>
      <c r="H2245" s="3" t="inlineStr">
        <is>
          <t>Accounts Payable</t>
        </is>
      </c>
      <c r="I2245" s="33" t="n">
        <v>7713.64</v>
      </c>
      <c r="J2245" s="13">
        <f>+J2244+I2245</f>
        <v>396815.79</v>
      </c>
      <c r="K2245" s="19">
        <f>+EOMONTH(B2245,0)</f>
        <v>46173</v>
      </c>
      <c r="L2245" s="3" t="inlineStr">
        <is>
          <t>Accounts Payable</t>
        </is>
      </c>
      <c r="M2245" s="3" t="inlineStr">
        <is>
          <t>Balance Sheet</t>
        </is>
      </c>
    </row>
    <row r="2246">
      <c r="B2246" s="39" t="n">
        <v>46170</v>
      </c>
      <c r="C2246" s="3" t="inlineStr">
        <is>
          <t>Bill Payment (Check)</t>
        </is>
      </c>
      <c r="D2246" s="3" t="inlineStr">
        <is>
          <t>10674</t>
        </is>
      </c>
      <c r="E2246" s="3" t="inlineStr">
        <is>
          <t>Lumenlease Equipment</t>
        </is>
      </c>
      <c r="F2246" s="3" t="inlineStr">
        <is>
          <t>Lab Equipment – April</t>
        </is>
      </c>
      <c r="G2246" s="3" t="inlineStr">
        <is>
          <t>Checking – Operating</t>
        </is>
      </c>
      <c r="H2246" s="3" t="inlineStr">
        <is>
          <t>Accounts Payable</t>
        </is>
      </c>
      <c r="I2246" s="33" t="n">
        <v>-2717.11</v>
      </c>
      <c r="J2246" s="13">
        <f>+J2245+I2246</f>
        <v>394098.68</v>
      </c>
      <c r="K2246" s="19">
        <f>+EOMONTH(B2246,0)</f>
        <v>46173</v>
      </c>
      <c r="L2246" s="3" t="inlineStr">
        <is>
          <t>Accounts Payable</t>
        </is>
      </c>
      <c r="M2246" s="3" t="inlineStr">
        <is>
          <t>Balance Sheet</t>
        </is>
      </c>
    </row>
    <row r="2247">
      <c r="B2247" s="39" t="n">
        <v>46170</v>
      </c>
      <c r="C2247" s="3" t="inlineStr">
        <is>
          <t>Bill Payment (Check)</t>
        </is>
      </c>
      <c r="D2247" s="3" t="inlineStr">
        <is>
          <t>11336</t>
        </is>
      </c>
      <c r="E2247" s="3" t="inlineStr">
        <is>
          <t>Union Utilities</t>
        </is>
      </c>
      <c r="F2247" s="3" t="inlineStr">
        <is>
          <t>Utilities – April</t>
        </is>
      </c>
      <c r="G2247" s="3" t="inlineStr">
        <is>
          <t>Checking – Operating</t>
        </is>
      </c>
      <c r="H2247" s="3" t="inlineStr">
        <is>
          <t>Accounts Payable</t>
        </is>
      </c>
      <c r="I2247" s="33" t="n">
        <v>-2416.37</v>
      </c>
      <c r="J2247" s="13">
        <f>+J2246+I2247</f>
        <v>391682.31</v>
      </c>
      <c r="K2247" s="19">
        <f>+EOMONTH(B2247,0)</f>
        <v>46173</v>
      </c>
      <c r="L2247" s="3" t="inlineStr">
        <is>
          <t>Accounts Payable</t>
        </is>
      </c>
      <c r="M2247" s="3" t="inlineStr">
        <is>
          <t>Balance Sheet</t>
        </is>
      </c>
    </row>
    <row r="2248">
      <c r="B2248" s="39" t="n">
        <v>46171</v>
      </c>
      <c r="C2248" s="3" t="inlineStr">
        <is>
          <t>Bill Payment (Check)</t>
        </is>
      </c>
      <c r="D2248" s="3" t="inlineStr">
        <is>
          <t>10550</t>
        </is>
      </c>
      <c r="E2248" s="3" t="inlineStr">
        <is>
          <t>Reagentix Corp</t>
        </is>
      </c>
      <c r="F2248" s="3" t="inlineStr">
        <is>
          <t>Lab supplies PO# F2076</t>
        </is>
      </c>
      <c r="G2248" s="3" t="inlineStr">
        <is>
          <t>Checking – Operating</t>
        </is>
      </c>
      <c r="H2248" s="3" t="inlineStr">
        <is>
          <t>Accounts Payable</t>
        </is>
      </c>
      <c r="I2248" s="33" t="n">
        <v>-9915.02</v>
      </c>
      <c r="J2248" s="13">
        <f>+J2247+I2248</f>
        <v>381767.29</v>
      </c>
      <c r="K2248" s="19">
        <f>+EOMONTH(B2248,0)</f>
        <v>46173</v>
      </c>
      <c r="L2248" s="3" t="inlineStr">
        <is>
          <t>Accounts Payable</t>
        </is>
      </c>
      <c r="M2248" s="3" t="inlineStr">
        <is>
          <t>Balance Sheet</t>
        </is>
      </c>
    </row>
    <row r="2249">
      <c r="B2249" s="39" t="n">
        <v>46171</v>
      </c>
      <c r="C2249" s="3" t="inlineStr">
        <is>
          <t>Bill Payment (Check)</t>
        </is>
      </c>
      <c r="D2249" s="3" t="inlineStr">
        <is>
          <t>10745</t>
        </is>
      </c>
      <c r="E2249" s="3" t="inlineStr">
        <is>
          <t>Lumenlease Equipment</t>
        </is>
      </c>
      <c r="F2249" s="3" t="inlineStr">
        <is>
          <t>Equipment Lease – May</t>
        </is>
      </c>
      <c r="G2249" s="3" t="inlineStr">
        <is>
          <t>Checking – Operating</t>
        </is>
      </c>
      <c r="H2249" s="3" t="inlineStr">
        <is>
          <t>Accounts Payable</t>
        </is>
      </c>
      <c r="I2249" s="33" t="n">
        <v>-5225.76</v>
      </c>
      <c r="J2249" s="13">
        <f>+J2248+I2249</f>
        <v>376541.53</v>
      </c>
      <c r="K2249" s="19">
        <f>+EOMONTH(B2249,0)</f>
        <v>46173</v>
      </c>
      <c r="L2249" s="3" t="inlineStr">
        <is>
          <t>Accounts Payable</t>
        </is>
      </c>
      <c r="M2249" s="3" t="inlineStr">
        <is>
          <t>Balance Sheet</t>
        </is>
      </c>
    </row>
    <row r="2250">
      <c r="B2250" s="39" t="n">
        <v>46171</v>
      </c>
      <c r="C2250" s="3" t="inlineStr">
        <is>
          <t>Bill Payment (Check)</t>
        </is>
      </c>
      <c r="D2250" s="3" t="inlineStr">
        <is>
          <t>10982</t>
        </is>
      </c>
      <c r="E2250" s="3" t="inlineStr">
        <is>
          <t>Northmoor Waste Services</t>
        </is>
      </c>
      <c r="F2250" s="3" t="inlineStr">
        <is>
          <t>Hazard Waste – May</t>
        </is>
      </c>
      <c r="G2250" s="3" t="inlineStr">
        <is>
          <t>Checking – Operating</t>
        </is>
      </c>
      <c r="H2250" s="3" t="inlineStr">
        <is>
          <t>Accounts Payable</t>
        </is>
      </c>
      <c r="I2250" s="33" t="n">
        <v>-663.26</v>
      </c>
      <c r="J2250" s="13">
        <f>+J2249+I2250</f>
        <v>375878.27</v>
      </c>
      <c r="K2250" s="19">
        <f>+EOMONTH(B2250,0)</f>
        <v>46173</v>
      </c>
      <c r="L2250" s="3" t="inlineStr">
        <is>
          <t>Accounts Payable</t>
        </is>
      </c>
      <c r="M2250" s="3" t="inlineStr">
        <is>
          <t>Balance Sheet</t>
        </is>
      </c>
    </row>
    <row r="2251">
      <c r="B2251" s="39" t="n">
        <v>46171</v>
      </c>
      <c r="C2251" s="3" t="inlineStr">
        <is>
          <t>Bill Payment (Check)</t>
        </is>
      </c>
      <c r="D2251" s="3" t="inlineStr">
        <is>
          <t>11150</t>
        </is>
      </c>
      <c r="E2251" s="3" t="inlineStr">
        <is>
          <t>Tarrowmere Mutual Insurance</t>
        </is>
      </c>
      <c r="F2251" s="3" t="inlineStr">
        <is>
          <t>Benefits – May</t>
        </is>
      </c>
      <c r="G2251" s="3" t="inlineStr">
        <is>
          <t>Checking – Operating</t>
        </is>
      </c>
      <c r="H2251" s="3" t="inlineStr">
        <is>
          <t>Accounts Payable</t>
        </is>
      </c>
      <c r="I2251" s="33" t="n">
        <v>-8052.91</v>
      </c>
      <c r="J2251" s="13">
        <f>+J2250+I2251</f>
        <v>367825.36</v>
      </c>
      <c r="K2251" s="19">
        <f>+EOMONTH(B2251,0)</f>
        <v>46173</v>
      </c>
      <c r="L2251" s="3" t="inlineStr">
        <is>
          <t>Accounts Payable</t>
        </is>
      </c>
      <c r="M2251" s="3" t="inlineStr">
        <is>
          <t>Balance Sheet</t>
        </is>
      </c>
    </row>
    <row r="2252">
      <c r="B2252" s="39" t="n">
        <v>46172</v>
      </c>
      <c r="C2252" s="3" t="inlineStr">
        <is>
          <t>Bill Payment (Check)</t>
        </is>
      </c>
      <c r="D2252" s="3" t="inlineStr">
        <is>
          <t>10511</t>
        </is>
      </c>
      <c r="E2252" s="3" t="inlineStr">
        <is>
          <t>Reference Lab A</t>
        </is>
      </c>
      <c r="F2252" s="3" t="inlineStr">
        <is>
          <t>Send-out testing – April</t>
        </is>
      </c>
      <c r="G2252" s="3" t="inlineStr">
        <is>
          <t>Checking – Operating</t>
        </is>
      </c>
      <c r="H2252" s="3" t="inlineStr">
        <is>
          <t>Accounts Payable</t>
        </is>
      </c>
      <c r="I2252" s="33" t="n">
        <v>-26609.14</v>
      </c>
      <c r="J2252" s="13">
        <f>+J2251+I2252</f>
        <v>341216.22</v>
      </c>
      <c r="K2252" s="19">
        <f>+EOMONTH(B2252,0)</f>
        <v>46173</v>
      </c>
      <c r="L2252" s="3" t="inlineStr">
        <is>
          <t>Accounts Payable</t>
        </is>
      </c>
      <c r="M2252" s="3" t="inlineStr">
        <is>
          <t>Balance Sheet</t>
        </is>
      </c>
    </row>
    <row r="2253">
      <c r="B2253" s="39" t="n">
        <v>46172</v>
      </c>
      <c r="C2253" s="3" t="inlineStr">
        <is>
          <t>Bill Payment (Check)</t>
        </is>
      </c>
      <c r="D2253" s="3" t="inlineStr">
        <is>
          <t>10701</t>
        </is>
      </c>
      <c r="E2253" s="3" t="inlineStr">
        <is>
          <t>Tarrowmere Mutual Insurance</t>
        </is>
      </c>
      <c r="F2253" s="3" t="inlineStr">
        <is>
          <t>Premium installment</t>
        </is>
      </c>
      <c r="G2253" s="3" t="inlineStr">
        <is>
          <t>Checking – Operating</t>
        </is>
      </c>
      <c r="H2253" s="3" t="inlineStr">
        <is>
          <t>Accounts Payable</t>
        </is>
      </c>
      <c r="I2253" s="33" t="n">
        <v>-5142.28</v>
      </c>
      <c r="J2253" s="13">
        <f>+J2252+I2253</f>
        <v>336073.94</v>
      </c>
      <c r="K2253" s="19">
        <f>+EOMONTH(B2253,0)</f>
        <v>46173</v>
      </c>
      <c r="L2253" s="3" t="inlineStr">
        <is>
          <t>Accounts Payable</t>
        </is>
      </c>
      <c r="M2253" s="3" t="inlineStr">
        <is>
          <t>Balance Sheet</t>
        </is>
      </c>
    </row>
    <row r="2254">
      <c r="B2254" s="39" t="n">
        <v>46172</v>
      </c>
      <c r="C2254" s="3" t="inlineStr">
        <is>
          <t>Bill Payment (Check)</t>
        </is>
      </c>
      <c r="D2254" s="3" t="inlineStr">
        <is>
          <t>10744</t>
        </is>
      </c>
      <c r="E2254" s="3" t="inlineStr">
        <is>
          <t>Lumenlease Equipment</t>
        </is>
      </c>
      <c r="F2254" s="3" t="inlineStr">
        <is>
          <t>Equipment Lease – May</t>
        </is>
      </c>
      <c r="G2254" s="3" t="inlineStr">
        <is>
          <t>Checking – Operating</t>
        </is>
      </c>
      <c r="H2254" s="3" t="inlineStr">
        <is>
          <t>Accounts Payable</t>
        </is>
      </c>
      <c r="I2254" s="33" t="n">
        <v>-2574.24</v>
      </c>
      <c r="J2254" s="13">
        <f>+J2253+I2254</f>
        <v>333499.7</v>
      </c>
      <c r="K2254" s="19">
        <f>+EOMONTH(B2254,0)</f>
        <v>46173</v>
      </c>
      <c r="L2254" s="3" t="inlineStr">
        <is>
          <t>Accounts Payable</t>
        </is>
      </c>
      <c r="M2254" s="3" t="inlineStr">
        <is>
          <t>Balance Sheet</t>
        </is>
      </c>
    </row>
    <row r="2255">
      <c r="B2255" s="39" t="n">
        <v>46173</v>
      </c>
      <c r="C2255" s="3" t="inlineStr">
        <is>
          <t>Bill</t>
        </is>
      </c>
      <c r="D2255" s="3" t="inlineStr"/>
      <c r="E2255" s="3" t="inlineStr">
        <is>
          <t>Vialtrace Lab Supplies Inc</t>
        </is>
      </c>
      <c r="F2255" s="3" t="inlineStr">
        <is>
          <t>Lab Expenses – May</t>
        </is>
      </c>
      <c r="G2255" s="3" t="inlineStr">
        <is>
          <t>Lab Expenses</t>
        </is>
      </c>
      <c r="H2255" s="3" t="inlineStr">
        <is>
          <t>Accounts Payable</t>
        </is>
      </c>
      <c r="I2255" s="33" t="n">
        <v>4773.13</v>
      </c>
      <c r="J2255" s="13">
        <f>+J2254+I2255</f>
        <v>338272.83</v>
      </c>
      <c r="K2255" s="19">
        <f>+EOMONTH(B2255,0)</f>
        <v>46173</v>
      </c>
      <c r="L2255" s="3" t="inlineStr">
        <is>
          <t>Accounts Payable</t>
        </is>
      </c>
      <c r="M2255" s="3" t="inlineStr">
        <is>
          <t>Balance Sheet</t>
        </is>
      </c>
    </row>
    <row r="2256">
      <c r="B2256" s="39" t="n">
        <v>46173</v>
      </c>
      <c r="C2256" s="3" t="inlineStr">
        <is>
          <t>Bill</t>
        </is>
      </c>
      <c r="D2256" s="3" t="inlineStr"/>
      <c r="E2256" s="3" t="inlineStr">
        <is>
          <t>Northmoor Waste Services</t>
        </is>
      </c>
      <c r="F2256" s="3" t="inlineStr">
        <is>
          <t>Waste Removal – May</t>
        </is>
      </c>
      <c r="G2256" s="3" t="inlineStr">
        <is>
          <t>Waste Removal</t>
        </is>
      </c>
      <c r="H2256" s="3" t="inlineStr">
        <is>
          <t>Accounts Payable</t>
        </is>
      </c>
      <c r="I2256" s="33" t="n">
        <v>591.5599999999999</v>
      </c>
      <c r="J2256" s="13">
        <f>+J2255+I2256</f>
        <v>338864.39</v>
      </c>
      <c r="K2256" s="19">
        <f>+EOMONTH(B2256,0)</f>
        <v>46173</v>
      </c>
      <c r="L2256" s="3" t="inlineStr">
        <is>
          <t>Accounts Payable</t>
        </is>
      </c>
      <c r="M2256" s="3" t="inlineStr">
        <is>
          <t>Balance Sheet</t>
        </is>
      </c>
    </row>
    <row r="2257">
      <c r="B2257" s="39" t="n">
        <v>46173</v>
      </c>
      <c r="C2257" s="3" t="inlineStr">
        <is>
          <t>Bill Payment (Check)</t>
        </is>
      </c>
      <c r="D2257" s="3" t="inlineStr">
        <is>
          <t>11232</t>
        </is>
      </c>
      <c r="E2257" s="3" t="inlineStr">
        <is>
          <t>Ledgerquill Billing SaaS</t>
        </is>
      </c>
      <c r="F2257" s="3" t="inlineStr">
        <is>
          <t>Billing Software as a Service – April</t>
        </is>
      </c>
      <c r="G2257" s="3" t="inlineStr">
        <is>
          <t>Checking – Operating</t>
        </is>
      </c>
      <c r="H2257" s="3" t="inlineStr">
        <is>
          <t>Accounts Payable</t>
        </is>
      </c>
      <c r="I2257" s="33" t="n">
        <v>-29110.4</v>
      </c>
      <c r="J2257" s="13">
        <f>+J2256+I2257</f>
        <v>309753.99</v>
      </c>
      <c r="K2257" s="19">
        <f>+EOMONTH(B2257,0)</f>
        <v>46173</v>
      </c>
      <c r="L2257" s="3" t="inlineStr">
        <is>
          <t>Accounts Payable</t>
        </is>
      </c>
      <c r="M2257" s="3" t="inlineStr">
        <is>
          <t>Balance Sheet</t>
        </is>
      </c>
    </row>
    <row r="2258">
      <c r="B2258" s="39" t="n">
        <v>46174</v>
      </c>
      <c r="C2258" s="3" t="inlineStr">
        <is>
          <t>Bill</t>
        </is>
      </c>
      <c r="D2258" s="3" t="inlineStr"/>
      <c r="E2258" s="3" t="inlineStr">
        <is>
          <t>Reagentix Corp</t>
        </is>
      </c>
      <c r="F2258" s="3" t="inlineStr">
        <is>
          <t>Lab supplies PO# F2624</t>
        </is>
      </c>
      <c r="G2258" s="3" t="inlineStr">
        <is>
          <t>Lab Supplies</t>
        </is>
      </c>
      <c r="H2258" s="3" t="inlineStr">
        <is>
          <t>Accounts Payable</t>
        </is>
      </c>
      <c r="I2258" s="33" t="n">
        <v>18896.17</v>
      </c>
      <c r="J2258" s="13">
        <f>+J2257+I2258</f>
        <v>328650.16</v>
      </c>
      <c r="K2258" s="19">
        <f>+EOMONTH(B2258,0)</f>
        <v>46203</v>
      </c>
      <c r="L2258" s="3" t="inlineStr">
        <is>
          <t>Accounts Payable</t>
        </is>
      </c>
      <c r="M2258" s="3" t="inlineStr">
        <is>
          <t>Balance Sheet</t>
        </is>
      </c>
    </row>
    <row r="2259">
      <c r="B2259" s="39" t="n">
        <v>46174</v>
      </c>
      <c r="C2259" s="3" t="inlineStr">
        <is>
          <t>Bill Payment (Check)</t>
        </is>
      </c>
      <c r="D2259" s="3" t="inlineStr">
        <is>
          <t>10474</t>
        </is>
      </c>
      <c r="E2259" s="3" t="inlineStr">
        <is>
          <t>Reagentix Corp</t>
        </is>
      </c>
      <c r="F2259" s="3" t="inlineStr">
        <is>
          <t>Lab supplies PO# F2144</t>
        </is>
      </c>
      <c r="G2259" s="3" t="inlineStr">
        <is>
          <t>Checking – Operating</t>
        </is>
      </c>
      <c r="H2259" s="3" t="inlineStr">
        <is>
          <t>Accounts Payable</t>
        </is>
      </c>
      <c r="I2259" s="33" t="n">
        <v>-27432.62</v>
      </c>
      <c r="J2259" s="13">
        <f>+J2258+I2259</f>
        <v>301217.54</v>
      </c>
      <c r="K2259" s="19">
        <f>+EOMONTH(B2259,0)</f>
        <v>46203</v>
      </c>
      <c r="L2259" s="3" t="inlineStr">
        <is>
          <t>Accounts Payable</t>
        </is>
      </c>
      <c r="M2259" s="3" t="inlineStr">
        <is>
          <t>Balance Sheet</t>
        </is>
      </c>
    </row>
    <row r="2260">
      <c r="B2260" s="39" t="n">
        <v>46175</v>
      </c>
      <c r="C2260" s="3" t="inlineStr">
        <is>
          <t>Bill</t>
        </is>
      </c>
      <c r="D2260" s="3" t="inlineStr"/>
      <c r="E2260" s="3" t="inlineStr">
        <is>
          <t>Vialtrace Lab Supplies Inc</t>
        </is>
      </c>
      <c r="F2260" s="3" t="inlineStr">
        <is>
          <t>Lab Expenses – June</t>
        </is>
      </c>
      <c r="G2260" s="3" t="inlineStr">
        <is>
          <t>Lab Expenses</t>
        </is>
      </c>
      <c r="H2260" s="3" t="inlineStr">
        <is>
          <t>Accounts Payable</t>
        </is>
      </c>
      <c r="I2260" s="33" t="n">
        <v>4024.4</v>
      </c>
      <c r="J2260" s="13">
        <f>+J2259+I2260</f>
        <v>305241.94</v>
      </c>
      <c r="K2260" s="19">
        <f>+EOMONTH(B2260,0)</f>
        <v>46203</v>
      </c>
      <c r="L2260" s="3" t="inlineStr">
        <is>
          <t>Accounts Payable</t>
        </is>
      </c>
      <c r="M2260" s="3" t="inlineStr">
        <is>
          <t>Balance Sheet</t>
        </is>
      </c>
    </row>
    <row r="2261">
      <c r="B2261" s="39" t="n">
        <v>46175</v>
      </c>
      <c r="C2261" s="3" t="inlineStr">
        <is>
          <t>Bill</t>
        </is>
      </c>
      <c r="D2261" s="3" t="inlineStr"/>
      <c r="E2261" s="3" t="inlineStr">
        <is>
          <t>Reagentix Corp</t>
        </is>
      </c>
      <c r="F2261" s="3" t="inlineStr">
        <is>
          <t>Lab Expenses – June</t>
        </is>
      </c>
      <c r="G2261" s="3" t="inlineStr">
        <is>
          <t>Lab Expenses</t>
        </is>
      </c>
      <c r="H2261" s="3" t="inlineStr">
        <is>
          <t>Accounts Payable</t>
        </is>
      </c>
      <c r="I2261" s="33" t="n">
        <v>3788.42</v>
      </c>
      <c r="J2261" s="13">
        <f>+J2260+I2261</f>
        <v>309030.36</v>
      </c>
      <c r="K2261" s="19">
        <f>+EOMONTH(B2261,0)</f>
        <v>46203</v>
      </c>
      <c r="L2261" s="3" t="inlineStr">
        <is>
          <t>Accounts Payable</t>
        </is>
      </c>
      <c r="M2261" s="3" t="inlineStr">
        <is>
          <t>Balance Sheet</t>
        </is>
      </c>
    </row>
    <row r="2262">
      <c r="B2262" s="39" t="n">
        <v>46175</v>
      </c>
      <c r="C2262" s="3" t="inlineStr">
        <is>
          <t>Bill</t>
        </is>
      </c>
      <c r="D2262" s="3" t="inlineStr"/>
      <c r="E2262" s="3" t="inlineStr">
        <is>
          <t>Reagentix Corp</t>
        </is>
      </c>
      <c r="F2262" s="3" t="inlineStr">
        <is>
          <t>Lab Expenses – June</t>
        </is>
      </c>
      <c r="G2262" s="3" t="inlineStr">
        <is>
          <t>Lab Expenses</t>
        </is>
      </c>
      <c r="H2262" s="3" t="inlineStr">
        <is>
          <t>Accounts Payable</t>
        </is>
      </c>
      <c r="I2262" s="33" t="n">
        <v>4204.33</v>
      </c>
      <c r="J2262" s="13">
        <f>+J2261+I2262</f>
        <v>313234.69</v>
      </c>
      <c r="K2262" s="19">
        <f>+EOMONTH(B2262,0)</f>
        <v>46203</v>
      </c>
      <c r="L2262" s="3" t="inlineStr">
        <is>
          <t>Accounts Payable</t>
        </is>
      </c>
      <c r="M2262" s="3" t="inlineStr">
        <is>
          <t>Balance Sheet</t>
        </is>
      </c>
    </row>
    <row r="2263">
      <c r="B2263" s="39" t="n">
        <v>46175</v>
      </c>
      <c r="C2263" s="3" t="inlineStr">
        <is>
          <t>Bill Payment (Check)</t>
        </is>
      </c>
      <c r="D2263" s="3" t="inlineStr">
        <is>
          <t>10472</t>
        </is>
      </c>
      <c r="E2263" s="3" t="inlineStr">
        <is>
          <t>Reagentix Corp</t>
        </is>
      </c>
      <c r="F2263" s="3" t="inlineStr">
        <is>
          <t>Lab supplies PO# F2071</t>
        </is>
      </c>
      <c r="G2263" s="3" t="inlineStr">
        <is>
          <t>Checking – Operating</t>
        </is>
      </c>
      <c r="H2263" s="3" t="inlineStr">
        <is>
          <t>Accounts Payable</t>
        </is>
      </c>
      <c r="I2263" s="33" t="n">
        <v>-32675.49</v>
      </c>
      <c r="J2263" s="13">
        <f>+J2262+I2263</f>
        <v>280559.2</v>
      </c>
      <c r="K2263" s="19">
        <f>+EOMONTH(B2263,0)</f>
        <v>46203</v>
      </c>
      <c r="L2263" s="3" t="inlineStr">
        <is>
          <t>Accounts Payable</t>
        </is>
      </c>
      <c r="M2263" s="3" t="inlineStr">
        <is>
          <t>Balance Sheet</t>
        </is>
      </c>
    </row>
    <row r="2264">
      <c r="B2264" s="39" t="n">
        <v>46176</v>
      </c>
      <c r="C2264" s="3" t="inlineStr">
        <is>
          <t>Bill</t>
        </is>
      </c>
      <c r="D2264" s="3" t="inlineStr"/>
      <c r="E2264" s="3" t="inlineStr">
        <is>
          <t>Reagentix Corp</t>
        </is>
      </c>
      <c r="F2264" s="3" t="inlineStr">
        <is>
          <t>Lab supplies PO# F2264</t>
        </is>
      </c>
      <c r="G2264" s="3" t="inlineStr">
        <is>
          <t>Lab Supplies</t>
        </is>
      </c>
      <c r="H2264" s="3" t="inlineStr">
        <is>
          <t>Accounts Payable</t>
        </is>
      </c>
      <c r="I2264" s="33" t="n">
        <v>16316.8</v>
      </c>
      <c r="J2264" s="13">
        <f>+J2263+I2264</f>
        <v>296876</v>
      </c>
      <c r="K2264" s="19">
        <f>+EOMONTH(B2264,0)</f>
        <v>46203</v>
      </c>
      <c r="L2264" s="3" t="inlineStr">
        <is>
          <t>Accounts Payable</t>
        </is>
      </c>
      <c r="M2264" s="3" t="inlineStr">
        <is>
          <t>Balance Sheet</t>
        </is>
      </c>
    </row>
    <row r="2265">
      <c r="B2265" s="39" t="n">
        <v>46176</v>
      </c>
      <c r="C2265" s="3" t="inlineStr">
        <is>
          <t>Bill</t>
        </is>
      </c>
      <c r="D2265" s="3" t="inlineStr"/>
      <c r="E2265" s="3" t="inlineStr">
        <is>
          <t>Northmoor Waste Services</t>
        </is>
      </c>
      <c r="F2265" s="3" t="inlineStr">
        <is>
          <t>Waste Removal – June</t>
        </is>
      </c>
      <c r="G2265" s="3" t="inlineStr">
        <is>
          <t>Waste Removal</t>
        </is>
      </c>
      <c r="H2265" s="3" t="inlineStr">
        <is>
          <t>Accounts Payable</t>
        </is>
      </c>
      <c r="I2265" s="33" t="n">
        <v>727.7</v>
      </c>
      <c r="J2265" s="13">
        <f>+J2264+I2265</f>
        <v>297603.7</v>
      </c>
      <c r="K2265" s="19">
        <f>+EOMONTH(B2265,0)</f>
        <v>46203</v>
      </c>
      <c r="L2265" s="3" t="inlineStr">
        <is>
          <t>Accounts Payable</t>
        </is>
      </c>
      <c r="M2265" s="3" t="inlineStr">
        <is>
          <t>Balance Sheet</t>
        </is>
      </c>
    </row>
    <row r="2266">
      <c r="B2266" s="39" t="n">
        <v>46177</v>
      </c>
      <c r="C2266" s="3" t="inlineStr">
        <is>
          <t>Bill</t>
        </is>
      </c>
      <c r="D2266" s="3" t="inlineStr"/>
      <c r="E2266" s="3" t="inlineStr">
        <is>
          <t>Tarrowmere Mutual Insurance</t>
        </is>
      </c>
      <c r="F2266" s="3" t="inlineStr">
        <is>
          <t>Premium installment</t>
        </is>
      </c>
      <c r="G2266" s="3" t="inlineStr">
        <is>
          <t>Insurance Expense</t>
        </is>
      </c>
      <c r="H2266" s="3" t="inlineStr">
        <is>
          <t>Accounts Payable</t>
        </is>
      </c>
      <c r="I2266" s="33" t="n">
        <v>4569.8</v>
      </c>
      <c r="J2266" s="13">
        <f>+J2265+I2266</f>
        <v>302173.5</v>
      </c>
      <c r="K2266" s="19">
        <f>+EOMONTH(B2266,0)</f>
        <v>46203</v>
      </c>
      <c r="L2266" s="3" t="inlineStr">
        <is>
          <t>Accounts Payable</t>
        </is>
      </c>
      <c r="M2266" s="3" t="inlineStr">
        <is>
          <t>Balance Sheet</t>
        </is>
      </c>
    </row>
    <row r="2267">
      <c r="B2267" s="39" t="n">
        <v>46177</v>
      </c>
      <c r="C2267" s="3" t="inlineStr">
        <is>
          <t>Bill</t>
        </is>
      </c>
      <c r="D2267" s="3" t="inlineStr"/>
      <c r="E2267" s="3" t="inlineStr">
        <is>
          <t>Tarrowmere Mutual Insurance</t>
        </is>
      </c>
      <c r="F2267" s="3" t="inlineStr">
        <is>
          <t>Benefits – June</t>
        </is>
      </c>
      <c r="G2267" s="3" t="inlineStr">
        <is>
          <t>Benefits</t>
        </is>
      </c>
      <c r="H2267" s="3" t="inlineStr">
        <is>
          <t>Accounts Payable</t>
        </is>
      </c>
      <c r="I2267" s="33" t="n">
        <v>8368.940000000001</v>
      </c>
      <c r="J2267" s="13">
        <f>+J2266+I2267</f>
        <v>310542.44</v>
      </c>
      <c r="K2267" s="19">
        <f>+EOMONTH(B2267,0)</f>
        <v>46203</v>
      </c>
      <c r="L2267" s="3" t="inlineStr">
        <is>
          <t>Accounts Payable</t>
        </is>
      </c>
      <c r="M2267" s="3" t="inlineStr">
        <is>
          <t>Balance Sheet</t>
        </is>
      </c>
    </row>
    <row r="2268">
      <c r="B2268" s="39" t="n">
        <v>46177</v>
      </c>
      <c r="C2268" s="3" t="inlineStr">
        <is>
          <t>Bill Payment (Check)</t>
        </is>
      </c>
      <c r="D2268" s="3" t="inlineStr">
        <is>
          <t>10429</t>
        </is>
      </c>
      <c r="E2268" s="3" t="inlineStr">
        <is>
          <t>Vialtrace Lab Supplies Inc</t>
        </is>
      </c>
      <c r="F2268" s="3" t="inlineStr">
        <is>
          <t>Lab Expenses – May</t>
        </is>
      </c>
      <c r="G2268" s="3" t="inlineStr">
        <is>
          <t>Checking – Operating</t>
        </is>
      </c>
      <c r="H2268" s="3" t="inlineStr">
        <is>
          <t>Accounts Payable</t>
        </is>
      </c>
      <c r="I2268" s="33" t="n">
        <v>-5626.85</v>
      </c>
      <c r="J2268" s="13">
        <f>+J2267+I2268</f>
        <v>304915.59</v>
      </c>
      <c r="K2268" s="19">
        <f>+EOMONTH(B2268,0)</f>
        <v>46203</v>
      </c>
      <c r="L2268" s="3" t="inlineStr">
        <is>
          <t>Accounts Payable</t>
        </is>
      </c>
      <c r="M2268" s="3" t="inlineStr">
        <is>
          <t>Balance Sheet</t>
        </is>
      </c>
    </row>
    <row r="2269">
      <c r="B2269" s="39" t="n">
        <v>46177</v>
      </c>
      <c r="C2269" s="3" t="inlineStr">
        <is>
          <t>Bill Payment (Check)</t>
        </is>
      </c>
      <c r="D2269" s="3" t="inlineStr">
        <is>
          <t>10646</t>
        </is>
      </c>
      <c r="E2269" s="3" t="inlineStr">
        <is>
          <t>Swiftmere Courier</t>
        </is>
      </c>
      <c r="F2269" s="3" t="inlineStr">
        <is>
          <t>Delivery and Transportation – May</t>
        </is>
      </c>
      <c r="G2269" s="3" t="inlineStr">
        <is>
          <t>Checking – Operating</t>
        </is>
      </c>
      <c r="H2269" s="3" t="inlineStr">
        <is>
          <t>Accounts Payable</t>
        </is>
      </c>
      <c r="I2269" s="33" t="n">
        <v>-2661.88</v>
      </c>
      <c r="J2269" s="13">
        <f>+J2268+I2269</f>
        <v>302253.71</v>
      </c>
      <c r="K2269" s="19">
        <f>+EOMONTH(B2269,0)</f>
        <v>46203</v>
      </c>
      <c r="L2269" s="3" t="inlineStr">
        <is>
          <t>Accounts Payable</t>
        </is>
      </c>
      <c r="M2269" s="3" t="inlineStr">
        <is>
          <t>Balance Sheet</t>
        </is>
      </c>
    </row>
    <row r="2270">
      <c r="B2270" s="39" t="n">
        <v>46177</v>
      </c>
      <c r="C2270" s="3" t="inlineStr">
        <is>
          <t>Bill Payment (Check)</t>
        </is>
      </c>
      <c r="D2270" s="3" t="inlineStr">
        <is>
          <t>10913</t>
        </is>
      </c>
      <c r="E2270" s="3" t="inlineStr">
        <is>
          <t>Halloway Ridge Realty (rent)</t>
        </is>
      </c>
      <c r="F2270" s="3" t="inlineStr">
        <is>
          <t>Rent – May</t>
        </is>
      </c>
      <c r="G2270" s="3" t="inlineStr">
        <is>
          <t>Checking – Operating</t>
        </is>
      </c>
      <c r="H2270" s="3" t="inlineStr">
        <is>
          <t>Accounts Payable</t>
        </is>
      </c>
      <c r="I2270" s="33" t="n">
        <v>-12645.14</v>
      </c>
      <c r="J2270" s="13">
        <f>+J2269+I2270</f>
        <v>289608.57</v>
      </c>
      <c r="K2270" s="19">
        <f>+EOMONTH(B2270,0)</f>
        <v>46203</v>
      </c>
      <c r="L2270" s="3" t="inlineStr">
        <is>
          <t>Accounts Payable</t>
        </is>
      </c>
      <c r="M2270" s="3" t="inlineStr">
        <is>
          <t>Balance Sheet</t>
        </is>
      </c>
    </row>
    <row r="2271">
      <c r="B2271" s="39" t="n">
        <v>46178</v>
      </c>
      <c r="C2271" s="3" t="inlineStr">
        <is>
          <t>Bill</t>
        </is>
      </c>
      <c r="D2271" s="3" t="inlineStr"/>
      <c r="E2271" s="3" t="inlineStr">
        <is>
          <t>Northmoor Waste Services</t>
        </is>
      </c>
      <c r="F2271" s="3" t="inlineStr">
        <is>
          <t>Hazard Waste – June</t>
        </is>
      </c>
      <c r="G2271" s="3" t="inlineStr">
        <is>
          <t>Hazard Waste</t>
        </is>
      </c>
      <c r="H2271" s="3" t="inlineStr">
        <is>
          <t>Accounts Payable</t>
        </is>
      </c>
      <c r="I2271" s="33" t="n">
        <v>921.64</v>
      </c>
      <c r="J2271" s="13">
        <f>+J2270+I2271</f>
        <v>290530.21</v>
      </c>
      <c r="K2271" s="19">
        <f>+EOMONTH(B2271,0)</f>
        <v>46203</v>
      </c>
      <c r="L2271" s="3" t="inlineStr">
        <is>
          <t>Accounts Payable</t>
        </is>
      </c>
      <c r="M2271" s="3" t="inlineStr">
        <is>
          <t>Balance Sheet</t>
        </is>
      </c>
    </row>
    <row r="2272">
      <c r="B2272" s="39" t="n">
        <v>46178</v>
      </c>
      <c r="C2272" s="3" t="inlineStr">
        <is>
          <t>Bill</t>
        </is>
      </c>
      <c r="D2272" s="3" t="inlineStr"/>
      <c r="E2272" s="3" t="inlineStr">
        <is>
          <t>Tarrowmere Mutual Insurance</t>
        </is>
      </c>
      <c r="F2272" s="3" t="inlineStr">
        <is>
          <t>Benefits – June</t>
        </is>
      </c>
      <c r="G2272" s="3" t="inlineStr">
        <is>
          <t>Benefits</t>
        </is>
      </c>
      <c r="H2272" s="3" t="inlineStr">
        <is>
          <t>Accounts Payable</t>
        </is>
      </c>
      <c r="I2272" s="33" t="n">
        <v>5174.01</v>
      </c>
      <c r="J2272" s="13">
        <f>+J2271+I2272</f>
        <v>295704.22</v>
      </c>
      <c r="K2272" s="19">
        <f>+EOMONTH(B2272,0)</f>
        <v>46203</v>
      </c>
      <c r="L2272" s="3" t="inlineStr">
        <is>
          <t>Accounts Payable</t>
        </is>
      </c>
      <c r="M2272" s="3" t="inlineStr">
        <is>
          <t>Balance Sheet</t>
        </is>
      </c>
    </row>
    <row r="2273">
      <c r="B2273" s="39" t="n">
        <v>46178</v>
      </c>
      <c r="C2273" s="3" t="inlineStr">
        <is>
          <t>Bill</t>
        </is>
      </c>
      <c r="D2273" s="3" t="inlineStr"/>
      <c r="E2273" s="3" t="inlineStr">
        <is>
          <t>Union Utilities</t>
        </is>
      </c>
      <c r="F2273" s="3" t="inlineStr">
        <is>
          <t>Utilities – June</t>
        </is>
      </c>
      <c r="G2273" s="3" t="inlineStr">
        <is>
          <t>Utilities</t>
        </is>
      </c>
      <c r="H2273" s="3" t="inlineStr">
        <is>
          <t>Accounts Payable</t>
        </is>
      </c>
      <c r="I2273" s="33" t="n">
        <v>2943.27</v>
      </c>
      <c r="J2273" s="13">
        <f>+J2272+I2273</f>
        <v>298647.49</v>
      </c>
      <c r="K2273" s="19">
        <f>+EOMONTH(B2273,0)</f>
        <v>46203</v>
      </c>
      <c r="L2273" s="3" t="inlineStr">
        <is>
          <t>Accounts Payable</t>
        </is>
      </c>
      <c r="M2273" s="3" t="inlineStr">
        <is>
          <t>Balance Sheet</t>
        </is>
      </c>
    </row>
    <row r="2274">
      <c r="B2274" s="39" t="n">
        <v>46178</v>
      </c>
      <c r="C2274" s="3" t="inlineStr">
        <is>
          <t>Bill Payment (Check)</t>
        </is>
      </c>
      <c r="D2274" s="3" t="inlineStr">
        <is>
          <t>11235</t>
        </is>
      </c>
      <c r="E2274" s="3" t="inlineStr">
        <is>
          <t>Ledgerquill Billing SaaS</t>
        </is>
      </c>
      <c r="F2274" s="3" t="inlineStr">
        <is>
          <t>Billing Software as a Service – May</t>
        </is>
      </c>
      <c r="G2274" s="3" t="inlineStr">
        <is>
          <t>Checking – Operating</t>
        </is>
      </c>
      <c r="H2274" s="3" t="inlineStr">
        <is>
          <t>Accounts Payable</t>
        </is>
      </c>
      <c r="I2274" s="33" t="n">
        <v>-20485.92</v>
      </c>
      <c r="J2274" s="13">
        <f>+J2273+I2274</f>
        <v>278161.57</v>
      </c>
      <c r="K2274" s="19">
        <f>+EOMONTH(B2274,0)</f>
        <v>46203</v>
      </c>
      <c r="L2274" s="3" t="inlineStr">
        <is>
          <t>Accounts Payable</t>
        </is>
      </c>
      <c r="M2274" s="3" t="inlineStr">
        <is>
          <t>Balance Sheet</t>
        </is>
      </c>
    </row>
    <row r="2275">
      <c r="B2275" s="39" t="n">
        <v>46179</v>
      </c>
      <c r="C2275" s="3" t="inlineStr">
        <is>
          <t>Bill</t>
        </is>
      </c>
      <c r="D2275" s="3" t="inlineStr"/>
      <c r="E2275" s="3" t="inlineStr">
        <is>
          <t>Ledgerquill Billing SaaS</t>
        </is>
      </c>
      <c r="F2275" s="3" t="inlineStr">
        <is>
          <t>Billing Software as a Service – June</t>
        </is>
      </c>
      <c r="G2275" s="3" t="inlineStr">
        <is>
          <t>Billing Software as a Service</t>
        </is>
      </c>
      <c r="H2275" s="3" t="inlineStr">
        <is>
          <t>Accounts Payable</t>
        </is>
      </c>
      <c r="I2275" s="33" t="n">
        <v>11332.06</v>
      </c>
      <c r="J2275" s="13">
        <f>+J2274+I2275</f>
        <v>289493.63</v>
      </c>
      <c r="K2275" s="19">
        <f>+EOMONTH(B2275,0)</f>
        <v>46203</v>
      </c>
      <c r="L2275" s="3" t="inlineStr">
        <is>
          <t>Accounts Payable</t>
        </is>
      </c>
      <c r="M2275" s="3" t="inlineStr">
        <is>
          <t>Balance Sheet</t>
        </is>
      </c>
    </row>
    <row r="2276">
      <c r="B2276" s="39" t="n">
        <v>46180</v>
      </c>
      <c r="C2276" s="3" t="inlineStr">
        <is>
          <t>Bill Payment (Check)</t>
        </is>
      </c>
      <c r="D2276" s="3" t="inlineStr">
        <is>
          <t>10702</t>
        </is>
      </c>
      <c r="E2276" s="3" t="inlineStr">
        <is>
          <t>Tarrowmere Mutual Insurance</t>
        </is>
      </c>
      <c r="F2276" s="3" t="inlineStr">
        <is>
          <t>Premium installment</t>
        </is>
      </c>
      <c r="G2276" s="3" t="inlineStr">
        <is>
          <t>Checking – Operating</t>
        </is>
      </c>
      <c r="H2276" s="3" t="inlineStr">
        <is>
          <t>Accounts Payable</t>
        </is>
      </c>
      <c r="I2276" s="33" t="n">
        <v>-4891.52</v>
      </c>
      <c r="J2276" s="13">
        <f>+J2275+I2276</f>
        <v>284602.11</v>
      </c>
      <c r="K2276" s="19">
        <f>+EOMONTH(B2276,0)</f>
        <v>46203</v>
      </c>
      <c r="L2276" s="3" t="inlineStr">
        <is>
          <t>Accounts Payable</t>
        </is>
      </c>
      <c r="M2276" s="3" t="inlineStr">
        <is>
          <t>Balance Sheet</t>
        </is>
      </c>
    </row>
    <row r="2277">
      <c r="B2277" s="39" t="n">
        <v>46180</v>
      </c>
      <c r="C2277" s="3" t="inlineStr">
        <is>
          <t>Bill Payment (Check)</t>
        </is>
      </c>
      <c r="D2277" s="3" t="inlineStr">
        <is>
          <t>10912</t>
        </is>
      </c>
      <c r="E2277" s="3" t="inlineStr">
        <is>
          <t>Halloway Ridge Realty (rent)</t>
        </is>
      </c>
      <c r="F2277" s="3" t="inlineStr">
        <is>
          <t>Rent – May</t>
        </is>
      </c>
      <c r="G2277" s="3" t="inlineStr">
        <is>
          <t>Checking – Operating</t>
        </is>
      </c>
      <c r="H2277" s="3" t="inlineStr">
        <is>
          <t>Accounts Payable</t>
        </is>
      </c>
      <c r="I2277" s="33" t="n">
        <v>-10490.58</v>
      </c>
      <c r="J2277" s="13">
        <f>+J2276+I2277</f>
        <v>274111.53</v>
      </c>
      <c r="K2277" s="19">
        <f>+EOMONTH(B2277,0)</f>
        <v>46203</v>
      </c>
      <c r="L2277" s="3" t="inlineStr">
        <is>
          <t>Accounts Payable</t>
        </is>
      </c>
      <c r="M2277" s="3" t="inlineStr">
        <is>
          <t>Balance Sheet</t>
        </is>
      </c>
    </row>
    <row r="2278">
      <c r="B2278" s="39" t="n">
        <v>46181</v>
      </c>
      <c r="C2278" s="3" t="inlineStr">
        <is>
          <t>Bill Payment (Check)</t>
        </is>
      </c>
      <c r="D2278" s="3" t="inlineStr">
        <is>
          <t>10675</t>
        </is>
      </c>
      <c r="E2278" s="3" t="inlineStr">
        <is>
          <t>Lumenlease Equipment</t>
        </is>
      </c>
      <c r="F2278" s="3" t="inlineStr">
        <is>
          <t>Lab Equipment – May</t>
        </is>
      </c>
      <c r="G2278" s="3" t="inlineStr">
        <is>
          <t>Checking – Operating</t>
        </is>
      </c>
      <c r="H2278" s="3" t="inlineStr">
        <is>
          <t>Accounts Payable</t>
        </is>
      </c>
      <c r="I2278" s="33" t="n">
        <v>-3094.36</v>
      </c>
      <c r="J2278" s="13">
        <f>+J2277+I2278</f>
        <v>271017.17</v>
      </c>
      <c r="K2278" s="19">
        <f>+EOMONTH(B2278,0)</f>
        <v>46203</v>
      </c>
      <c r="L2278" s="3" t="inlineStr">
        <is>
          <t>Accounts Payable</t>
        </is>
      </c>
      <c r="M2278" s="3" t="inlineStr">
        <is>
          <t>Balance Sheet</t>
        </is>
      </c>
    </row>
    <row r="2279">
      <c r="B2279" s="39" t="n">
        <v>46182</v>
      </c>
      <c r="C2279" s="3" t="inlineStr">
        <is>
          <t>Bill</t>
        </is>
      </c>
      <c r="D2279" s="3" t="inlineStr"/>
      <c r="E2279" s="3" t="inlineStr">
        <is>
          <t>Reagentix Corp</t>
        </is>
      </c>
      <c r="F2279" s="3" t="inlineStr">
        <is>
          <t>Lab supplies PO# F2460</t>
        </is>
      </c>
      <c r="G2279" s="3" t="inlineStr">
        <is>
          <t>Reagents</t>
        </is>
      </c>
      <c r="H2279" s="3" t="inlineStr">
        <is>
          <t>Accounts Payable</t>
        </is>
      </c>
      <c r="I2279" s="33" t="n">
        <v>14715.61</v>
      </c>
      <c r="J2279" s="13">
        <f>+J2278+I2279</f>
        <v>285732.78</v>
      </c>
      <c r="K2279" s="19">
        <f>+EOMONTH(B2279,0)</f>
        <v>46203</v>
      </c>
      <c r="L2279" s="3" t="inlineStr">
        <is>
          <t>Accounts Payable</t>
        </is>
      </c>
      <c r="M2279" s="3" t="inlineStr">
        <is>
          <t>Balance Sheet</t>
        </is>
      </c>
    </row>
    <row r="2280">
      <c r="B2280" s="39" t="n">
        <v>46182</v>
      </c>
      <c r="C2280" s="3" t="inlineStr">
        <is>
          <t>Bill</t>
        </is>
      </c>
      <c r="D2280" s="3" t="inlineStr"/>
      <c r="E2280" s="3" t="inlineStr">
        <is>
          <t>Swiftmere Courier</t>
        </is>
      </c>
      <c r="F2280" s="3" t="inlineStr">
        <is>
          <t>Delivery and Transportation – June</t>
        </is>
      </c>
      <c r="G2280" s="3" t="inlineStr">
        <is>
          <t>Delivery and Transportation</t>
        </is>
      </c>
      <c r="H2280" s="3" t="inlineStr">
        <is>
          <t>Accounts Payable</t>
        </is>
      </c>
      <c r="I2280" s="33" t="n">
        <v>3075.84</v>
      </c>
      <c r="J2280" s="13">
        <f>+J2279+I2280</f>
        <v>288808.62</v>
      </c>
      <c r="K2280" s="19">
        <f>+EOMONTH(B2280,0)</f>
        <v>46203</v>
      </c>
      <c r="L2280" s="3" t="inlineStr">
        <is>
          <t>Accounts Payable</t>
        </is>
      </c>
      <c r="M2280" s="3" t="inlineStr">
        <is>
          <t>Balance Sheet</t>
        </is>
      </c>
    </row>
    <row r="2281">
      <c r="B2281" s="39" t="n">
        <v>46182</v>
      </c>
      <c r="C2281" s="3" t="inlineStr">
        <is>
          <t>Bill</t>
        </is>
      </c>
      <c r="D2281" s="3" t="inlineStr"/>
      <c r="E2281" s="3" t="inlineStr">
        <is>
          <t>Tarrowmere Mutual Insurance</t>
        </is>
      </c>
      <c r="F2281" s="3" t="inlineStr">
        <is>
          <t>Premium installment</t>
        </is>
      </c>
      <c r="G2281" s="3" t="inlineStr">
        <is>
          <t>Insurance Expense</t>
        </is>
      </c>
      <c r="H2281" s="3" t="inlineStr">
        <is>
          <t>Accounts Payable</t>
        </is>
      </c>
      <c r="I2281" s="33" t="n">
        <v>5488.9</v>
      </c>
      <c r="J2281" s="13">
        <f>+J2280+I2281</f>
        <v>294297.52</v>
      </c>
      <c r="K2281" s="19">
        <f>+EOMONTH(B2281,0)</f>
        <v>46203</v>
      </c>
      <c r="L2281" s="3" t="inlineStr">
        <is>
          <t>Accounts Payable</t>
        </is>
      </c>
      <c r="M2281" s="3" t="inlineStr">
        <is>
          <t>Balance Sheet</t>
        </is>
      </c>
    </row>
    <row r="2282">
      <c r="B2282" s="39" t="n">
        <v>46182</v>
      </c>
      <c r="C2282" s="3" t="inlineStr">
        <is>
          <t>Bill Payment (Check)</t>
        </is>
      </c>
      <c r="D2282" s="3" t="inlineStr">
        <is>
          <t>10555</t>
        </is>
      </c>
      <c r="E2282" s="3" t="inlineStr">
        <is>
          <t>Reagentix Corp</t>
        </is>
      </c>
      <c r="F2282" s="3" t="inlineStr">
        <is>
          <t>Lab supplies PO# F2969</t>
        </is>
      </c>
      <c r="G2282" s="3" t="inlineStr">
        <is>
          <t>Checking – Operating</t>
        </is>
      </c>
      <c r="H2282" s="3" t="inlineStr">
        <is>
          <t>Accounts Payable</t>
        </is>
      </c>
      <c r="I2282" s="33" t="n">
        <v>-6752.91</v>
      </c>
      <c r="J2282" s="13">
        <f>+J2281+I2282</f>
        <v>287544.61</v>
      </c>
      <c r="K2282" s="19">
        <f>+EOMONTH(B2282,0)</f>
        <v>46203</v>
      </c>
      <c r="L2282" s="3" t="inlineStr">
        <is>
          <t>Accounts Payable</t>
        </is>
      </c>
      <c r="M2282" s="3" t="inlineStr">
        <is>
          <t>Balance Sheet</t>
        </is>
      </c>
    </row>
    <row r="2283">
      <c r="B2283" s="39" t="n">
        <v>46183</v>
      </c>
      <c r="C2283" s="3" t="inlineStr">
        <is>
          <t>Bill Payment (Check)</t>
        </is>
      </c>
      <c r="D2283" s="3" t="inlineStr">
        <is>
          <t>10516</t>
        </is>
      </c>
      <c r="E2283" s="3" t="inlineStr">
        <is>
          <t>Reference Lab A</t>
        </is>
      </c>
      <c r="F2283" s="3" t="inlineStr">
        <is>
          <t>Send-out testing – May</t>
        </is>
      </c>
      <c r="G2283" s="3" t="inlineStr">
        <is>
          <t>Checking – Operating</t>
        </is>
      </c>
      <c r="H2283" s="3" t="inlineStr">
        <is>
          <t>Accounts Payable</t>
        </is>
      </c>
      <c r="I2283" s="33" t="n">
        <v>-22358.71</v>
      </c>
      <c r="J2283" s="13">
        <f>+J2282+I2283</f>
        <v>265185.9</v>
      </c>
      <c r="K2283" s="19">
        <f>+EOMONTH(B2283,0)</f>
        <v>46203</v>
      </c>
      <c r="L2283" s="3" t="inlineStr">
        <is>
          <t>Accounts Payable</t>
        </is>
      </c>
      <c r="M2283" s="3" t="inlineStr">
        <is>
          <t>Balance Sheet</t>
        </is>
      </c>
    </row>
    <row r="2284">
      <c r="B2284" s="39" t="n">
        <v>46184</v>
      </c>
      <c r="C2284" s="3" t="inlineStr">
        <is>
          <t>Bill Payment (Check)</t>
        </is>
      </c>
      <c r="D2284" s="3" t="inlineStr">
        <is>
          <t>10473</t>
        </is>
      </c>
      <c r="E2284" s="3" t="inlineStr">
        <is>
          <t>Vialtrace Lab Supplies Inc</t>
        </is>
      </c>
      <c r="F2284" s="3" t="inlineStr">
        <is>
          <t>Lab supplies PO# F2322</t>
        </is>
      </c>
      <c r="G2284" s="3" t="inlineStr">
        <is>
          <t>Checking – Operating</t>
        </is>
      </c>
      <c r="H2284" s="3" t="inlineStr">
        <is>
          <t>Accounts Payable</t>
        </is>
      </c>
      <c r="I2284" s="33" t="n">
        <v>-48091.89</v>
      </c>
      <c r="J2284" s="13">
        <f>+J2283+I2284</f>
        <v>217094.01</v>
      </c>
      <c r="K2284" s="19">
        <f>+EOMONTH(B2284,0)</f>
        <v>46203</v>
      </c>
      <c r="L2284" s="3" t="inlineStr">
        <is>
          <t>Accounts Payable</t>
        </is>
      </c>
      <c r="M2284" s="3" t="inlineStr">
        <is>
          <t>Balance Sheet</t>
        </is>
      </c>
    </row>
    <row r="2285">
      <c r="B2285" s="39" t="n">
        <v>46185</v>
      </c>
      <c r="C2285" s="3" t="inlineStr">
        <is>
          <t>Bill</t>
        </is>
      </c>
      <c r="D2285" s="3" t="inlineStr"/>
      <c r="E2285" s="3" t="inlineStr">
        <is>
          <t>Reagentix Corp</t>
        </is>
      </c>
      <c r="F2285" s="3" t="inlineStr">
        <is>
          <t>Lab Expenses – June</t>
        </is>
      </c>
      <c r="G2285" s="3" t="inlineStr">
        <is>
          <t>Lab Expenses</t>
        </is>
      </c>
      <c r="H2285" s="3" t="inlineStr">
        <is>
          <t>Accounts Payable</t>
        </is>
      </c>
      <c r="I2285" s="33" t="n">
        <v>2488.95</v>
      </c>
      <c r="J2285" s="13">
        <f>+J2284+I2285</f>
        <v>219582.96</v>
      </c>
      <c r="K2285" s="19">
        <f>+EOMONTH(B2285,0)</f>
        <v>46203</v>
      </c>
      <c r="L2285" s="3" t="inlineStr">
        <is>
          <t>Accounts Payable</t>
        </is>
      </c>
      <c r="M2285" s="3" t="inlineStr">
        <is>
          <t>Balance Sheet</t>
        </is>
      </c>
    </row>
    <row r="2286">
      <c r="B2286" s="39" t="n">
        <v>46185</v>
      </c>
      <c r="C2286" s="3" t="inlineStr">
        <is>
          <t>Bill Payment (Check)</t>
        </is>
      </c>
      <c r="D2286" s="3" t="inlineStr">
        <is>
          <t>10475</t>
        </is>
      </c>
      <c r="E2286" s="3" t="inlineStr">
        <is>
          <t>Reagentix Corp</t>
        </is>
      </c>
      <c r="F2286" s="3" t="inlineStr">
        <is>
          <t>Lab supplies PO# F2624</t>
        </is>
      </c>
      <c r="G2286" s="3" t="inlineStr">
        <is>
          <t>Checking – Operating</t>
        </is>
      </c>
      <c r="H2286" s="3" t="inlineStr">
        <is>
          <t>Accounts Payable</t>
        </is>
      </c>
      <c r="I2286" s="33" t="n">
        <v>-18896.17</v>
      </c>
      <c r="J2286" s="13">
        <f>+J2285+I2286</f>
        <v>200686.79</v>
      </c>
      <c r="K2286" s="19">
        <f>+EOMONTH(B2286,0)</f>
        <v>46203</v>
      </c>
      <c r="L2286" s="3" t="inlineStr">
        <is>
          <t>Accounts Payable</t>
        </is>
      </c>
      <c r="M2286" s="3" t="inlineStr">
        <is>
          <t>Balance Sheet</t>
        </is>
      </c>
    </row>
    <row r="2287">
      <c r="B2287" s="39" t="n">
        <v>46185</v>
      </c>
      <c r="C2287" s="3" t="inlineStr">
        <is>
          <t>Bill Payment (Check)</t>
        </is>
      </c>
      <c r="D2287" s="3" t="inlineStr">
        <is>
          <t>11338</t>
        </is>
      </c>
      <c r="E2287" s="3" t="inlineStr">
        <is>
          <t>Union Utilities</t>
        </is>
      </c>
      <c r="F2287" s="3" t="inlineStr">
        <is>
          <t>Utilities – May</t>
        </is>
      </c>
      <c r="G2287" s="3" t="inlineStr">
        <is>
          <t>Checking – Operating</t>
        </is>
      </c>
      <c r="H2287" s="3" t="inlineStr">
        <is>
          <t>Accounts Payable</t>
        </is>
      </c>
      <c r="I2287" s="33" t="n">
        <v>-4581.68</v>
      </c>
      <c r="J2287" s="13">
        <f>+J2286+I2287</f>
        <v>196105.11</v>
      </c>
      <c r="K2287" s="19">
        <f>+EOMONTH(B2287,0)</f>
        <v>46203</v>
      </c>
      <c r="L2287" s="3" t="inlineStr">
        <is>
          <t>Accounts Payable</t>
        </is>
      </c>
      <c r="M2287" s="3" t="inlineStr">
        <is>
          <t>Balance Sheet</t>
        </is>
      </c>
    </row>
    <row r="2288">
      <c r="B2288" s="39" t="n">
        <v>46186</v>
      </c>
      <c r="C2288" s="3" t="inlineStr">
        <is>
          <t>Bill Payment (Check)</t>
        </is>
      </c>
      <c r="D2288" s="3" t="inlineStr">
        <is>
          <t>10556</t>
        </is>
      </c>
      <c r="E2288" s="3" t="inlineStr">
        <is>
          <t>Reagentix Corp</t>
        </is>
      </c>
      <c r="F2288" s="3" t="inlineStr">
        <is>
          <t>Lab supplies PO# F2684</t>
        </is>
      </c>
      <c r="G2288" s="3" t="inlineStr">
        <is>
          <t>Checking – Operating</t>
        </is>
      </c>
      <c r="H2288" s="3" t="inlineStr">
        <is>
          <t>Accounts Payable</t>
        </is>
      </c>
      <c r="I2288" s="33" t="n">
        <v>-11021.36</v>
      </c>
      <c r="J2288" s="13">
        <f>+J2287+I2288</f>
        <v>185083.75</v>
      </c>
      <c r="K2288" s="19">
        <f>+EOMONTH(B2288,0)</f>
        <v>46203</v>
      </c>
      <c r="L2288" s="3" t="inlineStr">
        <is>
          <t>Accounts Payable</t>
        </is>
      </c>
      <c r="M2288" s="3" t="inlineStr">
        <is>
          <t>Balance Sheet</t>
        </is>
      </c>
    </row>
    <row r="2289">
      <c r="B2289" s="39" t="n">
        <v>46186</v>
      </c>
      <c r="C2289" s="3" t="inlineStr">
        <is>
          <t>Bill Payment (Check)</t>
        </is>
      </c>
      <c r="D2289" s="3" t="inlineStr">
        <is>
          <t>11151</t>
        </is>
      </c>
      <c r="E2289" s="3" t="inlineStr">
        <is>
          <t>Tarrowmere Mutual Insurance</t>
        </is>
      </c>
      <c r="F2289" s="3" t="inlineStr">
        <is>
          <t>Benefits – May</t>
        </is>
      </c>
      <c r="G2289" s="3" t="inlineStr">
        <is>
          <t>Checking – Operating</t>
        </is>
      </c>
      <c r="H2289" s="3" t="inlineStr">
        <is>
          <t>Accounts Payable</t>
        </is>
      </c>
      <c r="I2289" s="33" t="n">
        <v>-7713.64</v>
      </c>
      <c r="J2289" s="13">
        <f>+J2288+I2289</f>
        <v>177370.11</v>
      </c>
      <c r="K2289" s="19">
        <f>+EOMONTH(B2289,0)</f>
        <v>46203</v>
      </c>
      <c r="L2289" s="3" t="inlineStr">
        <is>
          <t>Accounts Payable</t>
        </is>
      </c>
      <c r="M2289" s="3" t="inlineStr">
        <is>
          <t>Balance Sheet</t>
        </is>
      </c>
    </row>
    <row r="2290">
      <c r="B2290" s="39" t="n">
        <v>46187</v>
      </c>
      <c r="C2290" s="3" t="inlineStr">
        <is>
          <t>Bill</t>
        </is>
      </c>
      <c r="D2290" s="3" t="inlineStr"/>
      <c r="E2290" s="3" t="inlineStr">
        <is>
          <t>Union Utilities</t>
        </is>
      </c>
      <c r="F2290" s="3" t="inlineStr">
        <is>
          <t>Utilities – June</t>
        </is>
      </c>
      <c r="G2290" s="3" t="inlineStr">
        <is>
          <t>Utilities</t>
        </is>
      </c>
      <c r="H2290" s="3" t="inlineStr">
        <is>
          <t>Accounts Payable</t>
        </is>
      </c>
      <c r="I2290" s="33" t="n">
        <v>4056.73</v>
      </c>
      <c r="J2290" s="13">
        <f>+J2289+I2290</f>
        <v>181426.84</v>
      </c>
      <c r="K2290" s="19">
        <f>+EOMONTH(B2290,0)</f>
        <v>46203</v>
      </c>
      <c r="L2290" s="3" t="inlineStr">
        <is>
          <t>Accounts Payable</t>
        </is>
      </c>
      <c r="M2290" s="3" t="inlineStr">
        <is>
          <t>Balance Sheet</t>
        </is>
      </c>
    </row>
    <row r="2291">
      <c r="B2291" s="39" t="n">
        <v>46187</v>
      </c>
      <c r="C2291" s="3" t="inlineStr">
        <is>
          <t>Bill Payment (Check)</t>
        </is>
      </c>
      <c r="D2291" s="3" t="inlineStr">
        <is>
          <t>10432</t>
        </is>
      </c>
      <c r="E2291" s="3" t="inlineStr">
        <is>
          <t>Reagentix Corp</t>
        </is>
      </c>
      <c r="F2291" s="3" t="inlineStr">
        <is>
          <t>Lab Expenses – May</t>
        </is>
      </c>
      <c r="G2291" s="3" t="inlineStr">
        <is>
          <t>Checking – Operating</t>
        </is>
      </c>
      <c r="H2291" s="3" t="inlineStr">
        <is>
          <t>Accounts Payable</t>
        </is>
      </c>
      <c r="I2291" s="33" t="n">
        <v>-6352.17</v>
      </c>
      <c r="J2291" s="13">
        <f>+J2290+I2291</f>
        <v>175074.67</v>
      </c>
      <c r="K2291" s="19">
        <f>+EOMONTH(B2291,0)</f>
        <v>46203</v>
      </c>
      <c r="L2291" s="3" t="inlineStr">
        <is>
          <t>Accounts Payable</t>
        </is>
      </c>
      <c r="M2291" s="3" t="inlineStr">
        <is>
          <t>Balance Sheet</t>
        </is>
      </c>
    </row>
    <row r="2292">
      <c r="B2292" s="39" t="n">
        <v>46187</v>
      </c>
      <c r="C2292" s="3" t="inlineStr">
        <is>
          <t>Bill Payment (Check)</t>
        </is>
      </c>
      <c r="D2292" s="3" t="inlineStr">
        <is>
          <t>10436</t>
        </is>
      </c>
      <c r="E2292" s="3" t="inlineStr">
        <is>
          <t>Reagentix Corp</t>
        </is>
      </c>
      <c r="F2292" s="3" t="inlineStr">
        <is>
          <t>Lab Expenses – June</t>
        </is>
      </c>
      <c r="G2292" s="3" t="inlineStr">
        <is>
          <t>Checking – Operating</t>
        </is>
      </c>
      <c r="H2292" s="3" t="inlineStr">
        <is>
          <t>Accounts Payable</t>
        </is>
      </c>
      <c r="I2292" s="33" t="n">
        <v>-3788.42</v>
      </c>
      <c r="J2292" s="13">
        <f>+J2291+I2292</f>
        <v>171286.25</v>
      </c>
      <c r="K2292" s="19">
        <f>+EOMONTH(B2292,0)</f>
        <v>46203</v>
      </c>
      <c r="L2292" s="3" t="inlineStr">
        <is>
          <t>Accounts Payable</t>
        </is>
      </c>
      <c r="M2292" s="3" t="inlineStr">
        <is>
          <t>Balance Sheet</t>
        </is>
      </c>
    </row>
    <row r="2293">
      <c r="B2293" s="39" t="n">
        <v>46187</v>
      </c>
      <c r="C2293" s="3" t="inlineStr">
        <is>
          <t>Bill Payment (Check)</t>
        </is>
      </c>
      <c r="D2293" s="3" t="inlineStr">
        <is>
          <t>10554</t>
        </is>
      </c>
      <c r="E2293" s="3" t="inlineStr">
        <is>
          <t>Reagentix Corp</t>
        </is>
      </c>
      <c r="F2293" s="3" t="inlineStr">
        <is>
          <t>Lab supplies PO# F2496</t>
        </is>
      </c>
      <c r="G2293" s="3" t="inlineStr">
        <is>
          <t>Checking – Operating</t>
        </is>
      </c>
      <c r="H2293" s="3" t="inlineStr">
        <is>
          <t>Accounts Payable</t>
        </is>
      </c>
      <c r="I2293" s="33" t="n">
        <v>-12610.05</v>
      </c>
      <c r="J2293" s="13">
        <f>+J2292+I2293</f>
        <v>158676.2</v>
      </c>
      <c r="K2293" s="19">
        <f>+EOMONTH(B2293,0)</f>
        <v>46203</v>
      </c>
      <c r="L2293" s="3" t="inlineStr">
        <is>
          <t>Accounts Payable</t>
        </is>
      </c>
      <c r="M2293" s="3" t="inlineStr">
        <is>
          <t>Balance Sheet</t>
        </is>
      </c>
    </row>
    <row r="2294">
      <c r="B2294" s="39" t="n">
        <v>46187</v>
      </c>
      <c r="C2294" s="3" t="inlineStr">
        <is>
          <t>Bill Payment (Check)</t>
        </is>
      </c>
      <c r="D2294" s="3" t="inlineStr">
        <is>
          <t>10981</t>
        </is>
      </c>
      <c r="E2294" s="3" t="inlineStr">
        <is>
          <t>Northmoor Waste Services</t>
        </is>
      </c>
      <c r="F2294" s="3" t="inlineStr">
        <is>
          <t>Hazard Waste – May</t>
        </is>
      </c>
      <c r="G2294" s="3" t="inlineStr">
        <is>
          <t>Checking – Operating</t>
        </is>
      </c>
      <c r="H2294" s="3" t="inlineStr">
        <is>
          <t>Accounts Payable</t>
        </is>
      </c>
      <c r="I2294" s="33" t="n">
        <v>-1196.74</v>
      </c>
      <c r="J2294" s="13">
        <f>+J2293+I2294</f>
        <v>157479.46</v>
      </c>
      <c r="K2294" s="19">
        <f>+EOMONTH(B2294,0)</f>
        <v>46203</v>
      </c>
      <c r="L2294" s="3" t="inlineStr">
        <is>
          <t>Accounts Payable</t>
        </is>
      </c>
      <c r="M2294" s="3" t="inlineStr">
        <is>
          <t>Balance Sheet</t>
        </is>
      </c>
    </row>
    <row r="2295">
      <c r="B2295" s="39" t="n">
        <v>46188</v>
      </c>
      <c r="C2295" s="3" t="inlineStr">
        <is>
          <t>Bill</t>
        </is>
      </c>
      <c r="D2295" s="3" t="inlineStr"/>
      <c r="E2295" s="3" t="inlineStr">
        <is>
          <t>Lumenlease Equipment</t>
        </is>
      </c>
      <c r="F2295" s="3" t="inlineStr">
        <is>
          <t>Equipment Lease – June</t>
        </is>
      </c>
      <c r="G2295" s="3" t="inlineStr">
        <is>
          <t>Equipment Lease</t>
        </is>
      </c>
      <c r="H2295" s="3" t="inlineStr">
        <is>
          <t>Accounts Payable</t>
        </is>
      </c>
      <c r="I2295" s="33" t="n">
        <v>3670.91</v>
      </c>
      <c r="J2295" s="13">
        <f>+J2294+I2295</f>
        <v>161150.37</v>
      </c>
      <c r="K2295" s="19">
        <f>+EOMONTH(B2295,0)</f>
        <v>46203</v>
      </c>
      <c r="L2295" s="3" t="inlineStr">
        <is>
          <t>Accounts Payable</t>
        </is>
      </c>
      <c r="M2295" s="3" t="inlineStr">
        <is>
          <t>Balance Sheet</t>
        </is>
      </c>
    </row>
    <row r="2296">
      <c r="B2296" s="39" t="n">
        <v>46188</v>
      </c>
      <c r="C2296" s="3" t="inlineStr">
        <is>
          <t>Bill Payment (Check)</t>
        </is>
      </c>
      <c r="D2296" s="3" t="inlineStr">
        <is>
          <t>10914</t>
        </is>
      </c>
      <c r="E2296" s="3" t="inlineStr">
        <is>
          <t>Halloway Ridge Realty (rent)</t>
        </is>
      </c>
      <c r="F2296" s="3" t="inlineStr">
        <is>
          <t>Rent – May</t>
        </is>
      </c>
      <c r="G2296" s="3" t="inlineStr">
        <is>
          <t>Checking – Operating</t>
        </is>
      </c>
      <c r="H2296" s="3" t="inlineStr">
        <is>
          <t>Accounts Payable</t>
        </is>
      </c>
      <c r="I2296" s="33" t="n">
        <v>-5823.89</v>
      </c>
      <c r="J2296" s="13">
        <f>+J2295+I2296</f>
        <v>155326.48</v>
      </c>
      <c r="K2296" s="19">
        <f>+EOMONTH(B2296,0)</f>
        <v>46203</v>
      </c>
      <c r="L2296" s="3" t="inlineStr">
        <is>
          <t>Accounts Payable</t>
        </is>
      </c>
      <c r="M2296" s="3" t="inlineStr">
        <is>
          <t>Balance Sheet</t>
        </is>
      </c>
    </row>
    <row r="2297">
      <c r="B2297" s="39" t="n">
        <v>46189</v>
      </c>
      <c r="C2297" s="3" t="inlineStr">
        <is>
          <t>Bill</t>
        </is>
      </c>
      <c r="D2297" s="3" t="inlineStr"/>
      <c r="E2297" s="3" t="inlineStr">
        <is>
          <t>Reagentix Corp</t>
        </is>
      </c>
      <c r="F2297" s="3" t="inlineStr">
        <is>
          <t>Lab supplies PO# F2398</t>
        </is>
      </c>
      <c r="G2297" s="3" t="inlineStr">
        <is>
          <t>Lab Supplies</t>
        </is>
      </c>
      <c r="H2297" s="3" t="inlineStr">
        <is>
          <t>Accounts Payable</t>
        </is>
      </c>
      <c r="I2297" s="33" t="n">
        <v>16456.77</v>
      </c>
      <c r="J2297" s="13">
        <f>+J2296+I2297</f>
        <v>171783.25</v>
      </c>
      <c r="K2297" s="19">
        <f>+EOMONTH(B2297,0)</f>
        <v>46203</v>
      </c>
      <c r="L2297" s="3" t="inlineStr">
        <is>
          <t>Accounts Payable</t>
        </is>
      </c>
      <c r="M2297" s="3" t="inlineStr">
        <is>
          <t>Balance Sheet</t>
        </is>
      </c>
    </row>
    <row r="2298">
      <c r="B2298" s="39" t="n">
        <v>46189</v>
      </c>
      <c r="C2298" s="3" t="inlineStr">
        <is>
          <t>Bill Payment (Check)</t>
        </is>
      </c>
      <c r="D2298" s="3" t="inlineStr">
        <is>
          <t>10515</t>
        </is>
      </c>
      <c r="E2298" s="3" t="inlineStr">
        <is>
          <t>Reference Lab A</t>
        </is>
      </c>
      <c r="F2298" s="3" t="inlineStr">
        <is>
          <t>Send-out testing – May</t>
        </is>
      </c>
      <c r="G2298" s="3" t="inlineStr">
        <is>
          <t>Checking – Operating</t>
        </is>
      </c>
      <c r="H2298" s="3" t="inlineStr">
        <is>
          <t>Accounts Payable</t>
        </is>
      </c>
      <c r="I2298" s="33" t="n">
        <v>-30680.71</v>
      </c>
      <c r="J2298" s="13">
        <f>+J2297+I2298</f>
        <v>141102.54</v>
      </c>
      <c r="K2298" s="19">
        <f>+EOMONTH(B2298,0)</f>
        <v>46203</v>
      </c>
      <c r="L2298" s="3" t="inlineStr">
        <is>
          <t>Accounts Payable</t>
        </is>
      </c>
      <c r="M2298" s="3" t="inlineStr">
        <is>
          <t>Balance Sheet</t>
        </is>
      </c>
    </row>
    <row r="2299">
      <c r="B2299" s="39" t="n">
        <v>46190</v>
      </c>
      <c r="C2299" s="3" t="inlineStr">
        <is>
          <t>Bill Payment (Check)</t>
        </is>
      </c>
      <c r="D2299" s="3" t="inlineStr">
        <is>
          <t>10916</t>
        </is>
      </c>
      <c r="E2299" s="3" t="inlineStr">
        <is>
          <t>Halloway Ridge Realty (rent)</t>
        </is>
      </c>
      <c r="F2299" s="3" t="inlineStr">
        <is>
          <t>Rent – May</t>
        </is>
      </c>
      <c r="G2299" s="3" t="inlineStr">
        <is>
          <t>Checking – Operating</t>
        </is>
      </c>
      <c r="H2299" s="3" t="inlineStr">
        <is>
          <t>Accounts Payable</t>
        </is>
      </c>
      <c r="I2299" s="33" t="n">
        <v>-6722.17</v>
      </c>
      <c r="J2299" s="13">
        <f>+J2298+I2299</f>
        <v>134380.37</v>
      </c>
      <c r="K2299" s="19">
        <f>+EOMONTH(B2299,0)</f>
        <v>46203</v>
      </c>
      <c r="L2299" s="3" t="inlineStr">
        <is>
          <t>Accounts Payable</t>
        </is>
      </c>
      <c r="M2299" s="3" t="inlineStr">
        <is>
          <t>Balance Sheet</t>
        </is>
      </c>
    </row>
    <row r="2300">
      <c r="B2300" s="39" t="n">
        <v>46191</v>
      </c>
      <c r="C2300" s="3" t="inlineStr">
        <is>
          <t>Bill</t>
        </is>
      </c>
      <c r="D2300" s="3" t="inlineStr"/>
      <c r="E2300" s="3" t="inlineStr">
        <is>
          <t>Reagentix Corp</t>
        </is>
      </c>
      <c r="F2300" s="3" t="inlineStr">
        <is>
          <t>Lab Expenses – June</t>
        </is>
      </c>
      <c r="G2300" s="3" t="inlineStr">
        <is>
          <t>Lab Expenses</t>
        </is>
      </c>
      <c r="H2300" s="3" t="inlineStr">
        <is>
          <t>Accounts Payable</t>
        </is>
      </c>
      <c r="I2300" s="33" t="n">
        <v>5093.9</v>
      </c>
      <c r="J2300" s="13">
        <f>+J2299+I2300</f>
        <v>139474.27</v>
      </c>
      <c r="K2300" s="19">
        <f>+EOMONTH(B2300,0)</f>
        <v>46203</v>
      </c>
      <c r="L2300" s="3" t="inlineStr">
        <is>
          <t>Accounts Payable</t>
        </is>
      </c>
      <c r="M2300" s="3" t="inlineStr">
        <is>
          <t>Balance Sheet</t>
        </is>
      </c>
    </row>
    <row r="2301">
      <c r="B2301" s="39" t="n">
        <v>46191</v>
      </c>
      <c r="C2301" s="3" t="inlineStr">
        <is>
          <t>Bill</t>
        </is>
      </c>
      <c r="D2301" s="3" t="inlineStr"/>
      <c r="E2301" s="3" t="inlineStr">
        <is>
          <t>Vialtrace Lab Supplies Inc</t>
        </is>
      </c>
      <c r="F2301" s="3" t="inlineStr">
        <is>
          <t>Lab supplies PO# F2162</t>
        </is>
      </c>
      <c r="G2301" s="3" t="inlineStr">
        <is>
          <t>Lab Supplies</t>
        </is>
      </c>
      <c r="H2301" s="3" t="inlineStr">
        <is>
          <t>Accounts Payable</t>
        </is>
      </c>
      <c r="I2301" s="33" t="n">
        <v>21626.87</v>
      </c>
      <c r="J2301" s="13">
        <f>+J2300+I2301</f>
        <v>161101.14</v>
      </c>
      <c r="K2301" s="19">
        <f>+EOMONTH(B2301,0)</f>
        <v>46203</v>
      </c>
      <c r="L2301" s="3" t="inlineStr">
        <is>
          <t>Accounts Payable</t>
        </is>
      </c>
      <c r="M2301" s="3" t="inlineStr">
        <is>
          <t>Balance Sheet</t>
        </is>
      </c>
    </row>
    <row r="2302">
      <c r="B2302" s="39" t="n">
        <v>46191</v>
      </c>
      <c r="C2302" s="3" t="inlineStr">
        <is>
          <t>Bill</t>
        </is>
      </c>
      <c r="D2302" s="3" t="inlineStr"/>
      <c r="E2302" s="3" t="inlineStr">
        <is>
          <t>Reference Lab A</t>
        </is>
      </c>
      <c r="F2302" s="3" t="inlineStr">
        <is>
          <t>Send-out testing – June</t>
        </is>
      </c>
      <c r="G2302" s="3" t="inlineStr">
        <is>
          <t>Laboratory Fees</t>
        </is>
      </c>
      <c r="H2302" s="3" t="inlineStr">
        <is>
          <t>Accounts Payable</t>
        </is>
      </c>
      <c r="I2302" s="33" t="n">
        <v>19842.33</v>
      </c>
      <c r="J2302" s="13">
        <f>+J2301+I2302</f>
        <v>180943.47</v>
      </c>
      <c r="K2302" s="19">
        <f>+EOMONTH(B2302,0)</f>
        <v>46203</v>
      </c>
      <c r="L2302" s="3" t="inlineStr">
        <is>
          <t>Accounts Payable</t>
        </is>
      </c>
      <c r="M2302" s="3" t="inlineStr">
        <is>
          <t>Balance Sheet</t>
        </is>
      </c>
    </row>
    <row r="2303">
      <c r="B2303" s="39" t="n">
        <v>46191</v>
      </c>
      <c r="C2303" s="3" t="inlineStr">
        <is>
          <t>Bill</t>
        </is>
      </c>
      <c r="D2303" s="3" t="inlineStr"/>
      <c r="E2303" s="3" t="inlineStr">
        <is>
          <t>Reagentix Corp</t>
        </is>
      </c>
      <c r="F2303" s="3" t="inlineStr">
        <is>
          <t>Lab supplies PO# F2529</t>
        </is>
      </c>
      <c r="G2303" s="3" t="inlineStr">
        <is>
          <t>Reagents</t>
        </is>
      </c>
      <c r="H2303" s="3" t="inlineStr">
        <is>
          <t>Accounts Payable</t>
        </is>
      </c>
      <c r="I2303" s="33" t="n">
        <v>10801.64</v>
      </c>
      <c r="J2303" s="13">
        <f>+J2302+I2303</f>
        <v>191745.11</v>
      </c>
      <c r="K2303" s="19">
        <f>+EOMONTH(B2303,0)</f>
        <v>46203</v>
      </c>
      <c r="L2303" s="3" t="inlineStr">
        <is>
          <t>Accounts Payable</t>
        </is>
      </c>
      <c r="M2303" s="3" t="inlineStr">
        <is>
          <t>Balance Sheet</t>
        </is>
      </c>
    </row>
    <row r="2304">
      <c r="B2304" s="39" t="n">
        <v>46191</v>
      </c>
      <c r="C2304" s="3" t="inlineStr">
        <is>
          <t>Bill</t>
        </is>
      </c>
      <c r="D2304" s="3" t="inlineStr"/>
      <c r="E2304" s="3" t="inlineStr">
        <is>
          <t>Ledgerquill Billing SaaS</t>
        </is>
      </c>
      <c r="F2304" s="3" t="inlineStr">
        <is>
          <t>Billing Software as a Service – June</t>
        </is>
      </c>
      <c r="G2304" s="3" t="inlineStr">
        <is>
          <t>Billing Software as a Service</t>
        </is>
      </c>
      <c r="H2304" s="3" t="inlineStr">
        <is>
          <t>Accounts Payable</t>
        </is>
      </c>
      <c r="I2304" s="33" t="n">
        <v>16584.79</v>
      </c>
      <c r="J2304" s="13">
        <f>+J2303+I2304</f>
        <v>208329.9</v>
      </c>
      <c r="K2304" s="19">
        <f>+EOMONTH(B2304,0)</f>
        <v>46203</v>
      </c>
      <c r="L2304" s="3" t="inlineStr">
        <is>
          <t>Accounts Payable</t>
        </is>
      </c>
      <c r="M2304" s="3" t="inlineStr">
        <is>
          <t>Balance Sheet</t>
        </is>
      </c>
    </row>
    <row r="2305">
      <c r="B2305" s="39" t="n">
        <v>46191</v>
      </c>
      <c r="C2305" s="3" t="inlineStr">
        <is>
          <t>Bill Payment (Check)</t>
        </is>
      </c>
      <c r="D2305" s="3" t="inlineStr">
        <is>
          <t>10431</t>
        </is>
      </c>
      <c r="E2305" s="3" t="inlineStr">
        <is>
          <t>Vialtrace Lab Supplies Inc</t>
        </is>
      </c>
      <c r="F2305" s="3" t="inlineStr">
        <is>
          <t>Lab Expenses – May</t>
        </is>
      </c>
      <c r="G2305" s="3" t="inlineStr">
        <is>
          <t>Checking – Operating</t>
        </is>
      </c>
      <c r="H2305" s="3" t="inlineStr">
        <is>
          <t>Accounts Payable</t>
        </is>
      </c>
      <c r="I2305" s="33" t="n">
        <v>-4773.13</v>
      </c>
      <c r="J2305" s="13">
        <f>+J2304+I2305</f>
        <v>203556.77</v>
      </c>
      <c r="K2305" s="19">
        <f>+EOMONTH(B2305,0)</f>
        <v>46203</v>
      </c>
      <c r="L2305" s="3" t="inlineStr">
        <is>
          <t>Accounts Payable</t>
        </is>
      </c>
      <c r="M2305" s="3" t="inlineStr">
        <is>
          <t>Balance Sheet</t>
        </is>
      </c>
    </row>
    <row r="2306">
      <c r="B2306" s="39" t="n">
        <v>46192</v>
      </c>
      <c r="C2306" s="3" t="inlineStr">
        <is>
          <t>Bill</t>
        </is>
      </c>
      <c r="D2306" s="3" t="inlineStr"/>
      <c r="E2306" s="3" t="inlineStr">
        <is>
          <t>Lumenlease Equipment</t>
        </is>
      </c>
      <c r="F2306" s="3" t="inlineStr">
        <is>
          <t>Lab Equipment – June</t>
        </is>
      </c>
      <c r="G2306" s="3" t="inlineStr">
        <is>
          <t>Lab Equipment</t>
        </is>
      </c>
      <c r="H2306" s="3" t="inlineStr">
        <is>
          <t>Accounts Payable</t>
        </is>
      </c>
      <c r="I2306" s="33" t="n">
        <v>2390.2</v>
      </c>
      <c r="J2306" s="13">
        <f>+J2305+I2306</f>
        <v>205946.97</v>
      </c>
      <c r="K2306" s="19">
        <f>+EOMONTH(B2306,0)</f>
        <v>46203</v>
      </c>
      <c r="L2306" s="3" t="inlineStr">
        <is>
          <t>Accounts Payable</t>
        </is>
      </c>
      <c r="M2306" s="3" t="inlineStr">
        <is>
          <t>Balance Sheet</t>
        </is>
      </c>
    </row>
    <row r="2307">
      <c r="B2307" s="39" t="n">
        <v>46193</v>
      </c>
      <c r="C2307" s="3" t="inlineStr">
        <is>
          <t>Bill</t>
        </is>
      </c>
      <c r="D2307" s="3" t="inlineStr"/>
      <c r="E2307" s="3" t="inlineStr">
        <is>
          <t>Lumenlease Equipment</t>
        </is>
      </c>
      <c r="F2307" s="3" t="inlineStr">
        <is>
          <t>Lab Equipment – June</t>
        </is>
      </c>
      <c r="G2307" s="3" t="inlineStr">
        <is>
          <t>Lab Equipment</t>
        </is>
      </c>
      <c r="H2307" s="3" t="inlineStr">
        <is>
          <t>Accounts Payable</t>
        </is>
      </c>
      <c r="I2307" s="33" t="n">
        <v>3009.8</v>
      </c>
      <c r="J2307" s="13">
        <f>+J2306+I2307</f>
        <v>208956.77</v>
      </c>
      <c r="K2307" s="19">
        <f>+EOMONTH(B2307,0)</f>
        <v>46203</v>
      </c>
      <c r="L2307" s="3" t="inlineStr">
        <is>
          <t>Accounts Payable</t>
        </is>
      </c>
      <c r="M2307" s="3" t="inlineStr">
        <is>
          <t>Balance Sheet</t>
        </is>
      </c>
    </row>
    <row r="2308">
      <c r="B2308" s="39" t="n">
        <v>46193</v>
      </c>
      <c r="C2308" s="3" t="inlineStr">
        <is>
          <t>Bill</t>
        </is>
      </c>
      <c r="D2308" s="3" t="inlineStr"/>
      <c r="E2308" s="3" t="inlineStr">
        <is>
          <t>Northmoor Waste Services</t>
        </is>
      </c>
      <c r="F2308" s="3" t="inlineStr">
        <is>
          <t>Waste Removal – June</t>
        </is>
      </c>
      <c r="G2308" s="3" t="inlineStr">
        <is>
          <t>Waste Removal</t>
        </is>
      </c>
      <c r="H2308" s="3" t="inlineStr">
        <is>
          <t>Accounts Payable</t>
        </is>
      </c>
      <c r="I2308" s="33" t="n">
        <v>552.3</v>
      </c>
      <c r="J2308" s="13">
        <f>+J2307+I2308</f>
        <v>209509.07</v>
      </c>
      <c r="K2308" s="19">
        <f>+EOMONTH(B2308,0)</f>
        <v>46203</v>
      </c>
      <c r="L2308" s="3" t="inlineStr">
        <is>
          <t>Accounts Payable</t>
        </is>
      </c>
      <c r="M2308" s="3" t="inlineStr">
        <is>
          <t>Balance Sheet</t>
        </is>
      </c>
    </row>
    <row r="2309">
      <c r="B2309" s="39" t="n">
        <v>46193</v>
      </c>
      <c r="C2309" s="3" t="inlineStr">
        <is>
          <t>Bill</t>
        </is>
      </c>
      <c r="D2309" s="3" t="inlineStr"/>
      <c r="E2309" s="3" t="inlineStr">
        <is>
          <t>Ledgerquill Billing SaaS</t>
        </is>
      </c>
      <c r="F2309" s="3" t="inlineStr">
        <is>
          <t>Billing Software as a Service – June</t>
        </is>
      </c>
      <c r="G2309" s="3" t="inlineStr">
        <is>
          <t>Billing Software as a Service</t>
        </is>
      </c>
      <c r="H2309" s="3" t="inlineStr">
        <is>
          <t>Accounts Payable</t>
        </is>
      </c>
      <c r="I2309" s="33" t="n">
        <v>8469.959999999999</v>
      </c>
      <c r="J2309" s="13">
        <f>+J2308+I2309</f>
        <v>217979.03</v>
      </c>
      <c r="K2309" s="19">
        <f>+EOMONTH(B2309,0)</f>
        <v>46203</v>
      </c>
      <c r="L2309" s="3" t="inlineStr">
        <is>
          <t>Accounts Payable</t>
        </is>
      </c>
      <c r="M2309" s="3" t="inlineStr">
        <is>
          <t>Balance Sheet</t>
        </is>
      </c>
    </row>
    <row r="2310">
      <c r="B2310" s="39" t="n">
        <v>46193</v>
      </c>
      <c r="C2310" s="3" t="inlineStr">
        <is>
          <t>Bill Payment (Check)</t>
        </is>
      </c>
      <c r="D2310" s="3" t="inlineStr">
        <is>
          <t>10915</t>
        </is>
      </c>
      <c r="E2310" s="3" t="inlineStr">
        <is>
          <t>Halloway Ridge Realty (rent)</t>
        </is>
      </c>
      <c r="F2310" s="3" t="inlineStr">
        <is>
          <t>Rent – May</t>
        </is>
      </c>
      <c r="G2310" s="3" t="inlineStr">
        <is>
          <t>Checking – Operating</t>
        </is>
      </c>
      <c r="H2310" s="3" t="inlineStr">
        <is>
          <t>Accounts Payable</t>
        </is>
      </c>
      <c r="I2310" s="33" t="n">
        <v>-7118.22</v>
      </c>
      <c r="J2310" s="13">
        <f>+J2309+I2310</f>
        <v>210860.81</v>
      </c>
      <c r="K2310" s="19">
        <f>+EOMONTH(B2310,0)</f>
        <v>46203</v>
      </c>
      <c r="L2310" s="3" t="inlineStr">
        <is>
          <t>Accounts Payable</t>
        </is>
      </c>
      <c r="M2310" s="3" t="inlineStr">
        <is>
          <t>Balance Sheet</t>
        </is>
      </c>
    </row>
    <row r="2311">
      <c r="B2311" s="39" t="n">
        <v>46194</v>
      </c>
      <c r="C2311" s="3" t="inlineStr">
        <is>
          <t>Bill</t>
        </is>
      </c>
      <c r="D2311" s="3" t="inlineStr"/>
      <c r="E2311" s="3" t="inlineStr">
        <is>
          <t>Reagentix Corp</t>
        </is>
      </c>
      <c r="F2311" s="3" t="inlineStr">
        <is>
          <t>Lab supplies PO# F2814</t>
        </is>
      </c>
      <c r="G2311" s="3" t="inlineStr">
        <is>
          <t>Reagents</t>
        </is>
      </c>
      <c r="H2311" s="3" t="inlineStr">
        <is>
          <t>Accounts Payable</t>
        </is>
      </c>
      <c r="I2311" s="33" t="n">
        <v>14502.52</v>
      </c>
      <c r="J2311" s="13">
        <f>+J2310+I2311</f>
        <v>225363.33</v>
      </c>
      <c r="K2311" s="19">
        <f>+EOMONTH(B2311,0)</f>
        <v>46203</v>
      </c>
      <c r="L2311" s="3" t="inlineStr">
        <is>
          <t>Accounts Payable</t>
        </is>
      </c>
      <c r="M2311" s="3" t="inlineStr">
        <is>
          <t>Balance Sheet</t>
        </is>
      </c>
    </row>
    <row r="2312">
      <c r="B2312" s="39" t="n">
        <v>46194</v>
      </c>
      <c r="C2312" s="3" t="inlineStr">
        <is>
          <t>Bill Payment (Check)</t>
        </is>
      </c>
      <c r="D2312" s="3" t="inlineStr">
        <is>
          <t>10984</t>
        </is>
      </c>
      <c r="E2312" s="3" t="inlineStr">
        <is>
          <t>Northmoor Waste Services</t>
        </is>
      </c>
      <c r="F2312" s="3" t="inlineStr">
        <is>
          <t>Hazard Waste – June</t>
        </is>
      </c>
      <c r="G2312" s="3" t="inlineStr">
        <is>
          <t>Checking – Operating</t>
        </is>
      </c>
      <c r="H2312" s="3" t="inlineStr">
        <is>
          <t>Accounts Payable</t>
        </is>
      </c>
      <c r="I2312" s="33" t="n">
        <v>-921.64</v>
      </c>
      <c r="J2312" s="13">
        <f>+J2311+I2312</f>
        <v>224441.69</v>
      </c>
      <c r="K2312" s="19">
        <f>+EOMONTH(B2312,0)</f>
        <v>46203</v>
      </c>
      <c r="L2312" s="3" t="inlineStr">
        <is>
          <t>Accounts Payable</t>
        </is>
      </c>
      <c r="M2312" s="3" t="inlineStr">
        <is>
          <t>Balance Sheet</t>
        </is>
      </c>
    </row>
    <row r="2313">
      <c r="B2313" s="39" t="n">
        <v>46195</v>
      </c>
      <c r="C2313" s="3" t="inlineStr">
        <is>
          <t>Bill</t>
        </is>
      </c>
      <c r="D2313" s="3" t="inlineStr"/>
      <c r="E2313" s="3" t="inlineStr">
        <is>
          <t>Reagentix Corp</t>
        </is>
      </c>
      <c r="F2313" s="3" t="inlineStr">
        <is>
          <t>Lab supplies PO# F2782</t>
        </is>
      </c>
      <c r="G2313" s="3" t="inlineStr">
        <is>
          <t>Lab Supplies</t>
        </is>
      </c>
      <c r="H2313" s="3" t="inlineStr">
        <is>
          <t>Accounts Payable</t>
        </is>
      </c>
      <c r="I2313" s="33" t="n">
        <v>26503.39</v>
      </c>
      <c r="J2313" s="13">
        <f>+J2312+I2313</f>
        <v>250945.08</v>
      </c>
      <c r="K2313" s="19">
        <f>+EOMONTH(B2313,0)</f>
        <v>46203</v>
      </c>
      <c r="L2313" s="3" t="inlineStr">
        <is>
          <t>Accounts Payable</t>
        </is>
      </c>
      <c r="M2313" s="3" t="inlineStr">
        <is>
          <t>Balance Sheet</t>
        </is>
      </c>
    </row>
    <row r="2314">
      <c r="B2314" s="39" t="n">
        <v>46195</v>
      </c>
      <c r="C2314" s="3" t="inlineStr">
        <is>
          <t>Bill</t>
        </is>
      </c>
      <c r="D2314" s="3" t="inlineStr"/>
      <c r="E2314" s="3" t="inlineStr">
        <is>
          <t>Reference Lab A</t>
        </is>
      </c>
      <c r="F2314" s="3" t="inlineStr">
        <is>
          <t>Send-out testing – June</t>
        </is>
      </c>
      <c r="G2314" s="3" t="inlineStr">
        <is>
          <t>Laboratory Fees</t>
        </is>
      </c>
      <c r="H2314" s="3" t="inlineStr">
        <is>
          <t>Accounts Payable</t>
        </is>
      </c>
      <c r="I2314" s="33" t="n">
        <v>21193.08</v>
      </c>
      <c r="J2314" s="13">
        <f>+J2313+I2314</f>
        <v>272138.16</v>
      </c>
      <c r="K2314" s="19">
        <f>+EOMONTH(B2314,0)</f>
        <v>46203</v>
      </c>
      <c r="L2314" s="3" t="inlineStr">
        <is>
          <t>Accounts Payable</t>
        </is>
      </c>
      <c r="M2314" s="3" t="inlineStr">
        <is>
          <t>Balance Sheet</t>
        </is>
      </c>
    </row>
    <row r="2315">
      <c r="B2315" s="39" t="n">
        <v>46195</v>
      </c>
      <c r="C2315" s="3" t="inlineStr">
        <is>
          <t>Bill</t>
        </is>
      </c>
      <c r="D2315" s="3" t="inlineStr"/>
      <c r="E2315" s="3" t="inlineStr">
        <is>
          <t>Tarrowmere Mutual Insurance</t>
        </is>
      </c>
      <c r="F2315" s="3" t="inlineStr">
        <is>
          <t>Premium installment</t>
        </is>
      </c>
      <c r="G2315" s="3" t="inlineStr">
        <is>
          <t>Insurance Expense</t>
        </is>
      </c>
      <c r="H2315" s="3" t="inlineStr">
        <is>
          <t>Accounts Payable</t>
        </is>
      </c>
      <c r="I2315" s="33" t="n">
        <v>3359.68</v>
      </c>
      <c r="J2315" s="13">
        <f>+J2314+I2315</f>
        <v>275497.84</v>
      </c>
      <c r="K2315" s="19">
        <f>+EOMONTH(B2315,0)</f>
        <v>46203</v>
      </c>
      <c r="L2315" s="3" t="inlineStr">
        <is>
          <t>Accounts Payable</t>
        </is>
      </c>
      <c r="M2315" s="3" t="inlineStr">
        <is>
          <t>Balance Sheet</t>
        </is>
      </c>
    </row>
    <row r="2316">
      <c r="B2316" s="39" t="n">
        <v>46195</v>
      </c>
      <c r="C2316" s="3" t="inlineStr">
        <is>
          <t>Bill</t>
        </is>
      </c>
      <c r="D2316" s="3" t="inlineStr"/>
      <c r="E2316" s="3" t="inlineStr">
        <is>
          <t>Northmoor Waste Services</t>
        </is>
      </c>
      <c r="F2316" s="3" t="inlineStr">
        <is>
          <t>Hazard Waste – June</t>
        </is>
      </c>
      <c r="G2316" s="3" t="inlineStr">
        <is>
          <t>Hazard Waste</t>
        </is>
      </c>
      <c r="H2316" s="3" t="inlineStr">
        <is>
          <t>Accounts Payable</t>
        </is>
      </c>
      <c r="I2316" s="33" t="n">
        <v>998.36</v>
      </c>
      <c r="J2316" s="13">
        <f>+J2315+I2316</f>
        <v>276496.2</v>
      </c>
      <c r="K2316" s="19">
        <f>+EOMONTH(B2316,0)</f>
        <v>46203</v>
      </c>
      <c r="L2316" s="3" t="inlineStr">
        <is>
          <t>Accounts Payable</t>
        </is>
      </c>
      <c r="M2316" s="3" t="inlineStr">
        <is>
          <t>Balance Sheet</t>
        </is>
      </c>
    </row>
    <row r="2317">
      <c r="B2317" s="39" t="n">
        <v>46195</v>
      </c>
      <c r="C2317" s="3" t="inlineStr">
        <is>
          <t>Bill Payment (Check)</t>
        </is>
      </c>
      <c r="D2317" s="3" t="inlineStr">
        <is>
          <t>10434</t>
        </is>
      </c>
      <c r="E2317" s="3" t="inlineStr">
        <is>
          <t>Reagentix Corp</t>
        </is>
      </c>
      <c r="F2317" s="3" t="inlineStr">
        <is>
          <t>Lab Expenses – June</t>
        </is>
      </c>
      <c r="G2317" s="3" t="inlineStr">
        <is>
          <t>Checking – Operating</t>
        </is>
      </c>
      <c r="H2317" s="3" t="inlineStr">
        <is>
          <t>Accounts Payable</t>
        </is>
      </c>
      <c r="I2317" s="33" t="n">
        <v>-2488.95</v>
      </c>
      <c r="J2317" s="13">
        <f>+J2316+I2317</f>
        <v>274007.25</v>
      </c>
      <c r="K2317" s="19">
        <f>+EOMONTH(B2317,0)</f>
        <v>46203</v>
      </c>
      <c r="L2317" s="3" t="inlineStr">
        <is>
          <t>Accounts Payable</t>
        </is>
      </c>
      <c r="M2317" s="3" t="inlineStr">
        <is>
          <t>Balance Sheet</t>
        </is>
      </c>
    </row>
    <row r="2318">
      <c r="B2318" s="39" t="n">
        <v>46196</v>
      </c>
      <c r="C2318" s="3" t="inlineStr">
        <is>
          <t>Bill</t>
        </is>
      </c>
      <c r="D2318" s="3" t="inlineStr"/>
      <c r="E2318" s="3" t="inlineStr">
        <is>
          <t>Ledgerquill Billing SaaS</t>
        </is>
      </c>
      <c r="F2318" s="3" t="inlineStr">
        <is>
          <t>Billing Software as a Service – June</t>
        </is>
      </c>
      <c r="G2318" s="3" t="inlineStr">
        <is>
          <t>Billing Software as a Service</t>
        </is>
      </c>
      <c r="H2318" s="3" t="inlineStr">
        <is>
          <t>Accounts Payable</t>
        </is>
      </c>
      <c r="I2318" s="33" t="n">
        <v>13721.3</v>
      </c>
      <c r="J2318" s="13">
        <f>+J2317+I2318</f>
        <v>287728.55</v>
      </c>
      <c r="K2318" s="19">
        <f>+EOMONTH(B2318,0)</f>
        <v>46203</v>
      </c>
      <c r="L2318" s="3" t="inlineStr">
        <is>
          <t>Accounts Payable</t>
        </is>
      </c>
      <c r="M2318" s="3" t="inlineStr">
        <is>
          <t>Balance Sheet</t>
        </is>
      </c>
    </row>
    <row r="2319">
      <c r="B2319" s="39" t="n">
        <v>46196</v>
      </c>
      <c r="C2319" s="3" t="inlineStr">
        <is>
          <t>Bill Payment (Check)</t>
        </is>
      </c>
      <c r="D2319" s="3" t="inlineStr">
        <is>
          <t>11028</t>
        </is>
      </c>
      <c r="E2319" s="3" t="inlineStr">
        <is>
          <t>Northmoor Waste Services</t>
        </is>
      </c>
      <c r="F2319" s="3" t="inlineStr">
        <is>
          <t>Waste Removal – June</t>
        </is>
      </c>
      <c r="G2319" s="3" t="inlineStr">
        <is>
          <t>Checking – Operating</t>
        </is>
      </c>
      <c r="H2319" s="3" t="inlineStr">
        <is>
          <t>Accounts Payable</t>
        </is>
      </c>
      <c r="I2319" s="33" t="n">
        <v>-727.7</v>
      </c>
      <c r="J2319" s="13">
        <f>+J2318+I2319</f>
        <v>287000.85</v>
      </c>
      <c r="K2319" s="19">
        <f>+EOMONTH(B2319,0)</f>
        <v>46203</v>
      </c>
      <c r="L2319" s="3" t="inlineStr">
        <is>
          <t>Accounts Payable</t>
        </is>
      </c>
      <c r="M2319" s="3" t="inlineStr">
        <is>
          <t>Balance Sheet</t>
        </is>
      </c>
    </row>
    <row r="2320">
      <c r="B2320" s="39" t="n">
        <v>46197</v>
      </c>
      <c r="C2320" s="3" t="inlineStr">
        <is>
          <t>Bill Payment (Check)</t>
        </is>
      </c>
      <c r="D2320" s="3" t="inlineStr">
        <is>
          <t>10560</t>
        </is>
      </c>
      <c r="E2320" s="3" t="inlineStr">
        <is>
          <t>Reagentix Corp</t>
        </is>
      </c>
      <c r="F2320" s="3" t="inlineStr">
        <is>
          <t>Lab supplies PO# F2460</t>
        </is>
      </c>
      <c r="G2320" s="3" t="inlineStr">
        <is>
          <t>Checking – Operating</t>
        </is>
      </c>
      <c r="H2320" s="3" t="inlineStr">
        <is>
          <t>Accounts Payable</t>
        </is>
      </c>
      <c r="I2320" s="33" t="n">
        <v>-14715.61</v>
      </c>
      <c r="J2320" s="13">
        <f>+J2319+I2320</f>
        <v>272285.24</v>
      </c>
      <c r="K2320" s="19">
        <f>+EOMONTH(B2320,0)</f>
        <v>46203</v>
      </c>
      <c r="L2320" s="3" t="inlineStr">
        <is>
          <t>Accounts Payable</t>
        </is>
      </c>
      <c r="M2320" s="3" t="inlineStr">
        <is>
          <t>Balance Sheet</t>
        </is>
      </c>
    </row>
    <row r="2321">
      <c r="B2321" s="39" t="n">
        <v>46197</v>
      </c>
      <c r="C2321" s="3" t="inlineStr">
        <is>
          <t>Bill Payment (Check)</t>
        </is>
      </c>
      <c r="D2321" s="3" t="inlineStr">
        <is>
          <t>10704</t>
        </is>
      </c>
      <c r="E2321" s="3" t="inlineStr">
        <is>
          <t>Tarrowmere Mutual Insurance</t>
        </is>
      </c>
      <c r="F2321" s="3" t="inlineStr">
        <is>
          <t>Premium installment</t>
        </is>
      </c>
      <c r="G2321" s="3" t="inlineStr">
        <is>
          <t>Checking – Operating</t>
        </is>
      </c>
      <c r="H2321" s="3" t="inlineStr">
        <is>
          <t>Accounts Payable</t>
        </is>
      </c>
      <c r="I2321" s="33" t="n">
        <v>-4123.45</v>
      </c>
      <c r="J2321" s="13">
        <f>+J2320+I2321</f>
        <v>268161.79</v>
      </c>
      <c r="K2321" s="19">
        <f>+EOMONTH(B2321,0)</f>
        <v>46203</v>
      </c>
      <c r="L2321" s="3" t="inlineStr">
        <is>
          <t>Accounts Payable</t>
        </is>
      </c>
      <c r="M2321" s="3" t="inlineStr">
        <is>
          <t>Balance Sheet</t>
        </is>
      </c>
    </row>
    <row r="2322">
      <c r="B2322" s="39" t="n">
        <v>46198</v>
      </c>
      <c r="C2322" s="3" t="inlineStr">
        <is>
          <t>Bill</t>
        </is>
      </c>
      <c r="D2322" s="3" t="inlineStr"/>
      <c r="E2322" s="3" t="inlineStr">
        <is>
          <t>Tarrowmere Mutual Insurance</t>
        </is>
      </c>
      <c r="F2322" s="3" t="inlineStr">
        <is>
          <t>Premium installment</t>
        </is>
      </c>
      <c r="G2322" s="3" t="inlineStr">
        <is>
          <t>Insurance Expense</t>
        </is>
      </c>
      <c r="H2322" s="3" t="inlineStr">
        <is>
          <t>Accounts Payable</t>
        </is>
      </c>
      <c r="I2322" s="33" t="n">
        <v>3626.38</v>
      </c>
      <c r="J2322" s="13">
        <f>+J2321+I2322</f>
        <v>271788.17</v>
      </c>
      <c r="K2322" s="19">
        <f>+EOMONTH(B2322,0)</f>
        <v>46203</v>
      </c>
      <c r="L2322" s="3" t="inlineStr">
        <is>
          <t>Accounts Payable</t>
        </is>
      </c>
      <c r="M2322" s="3" t="inlineStr">
        <is>
          <t>Balance Sheet</t>
        </is>
      </c>
    </row>
    <row r="2323">
      <c r="B2323" s="39" t="n">
        <v>46198</v>
      </c>
      <c r="C2323" s="3" t="inlineStr">
        <is>
          <t>Bill Payment (Check)</t>
        </is>
      </c>
      <c r="D2323" s="3" t="inlineStr">
        <is>
          <t>10435</t>
        </is>
      </c>
      <c r="E2323" s="3" t="inlineStr">
        <is>
          <t>Vialtrace Lab Supplies Inc</t>
        </is>
      </c>
      <c r="F2323" s="3" t="inlineStr">
        <is>
          <t>Lab Expenses – June</t>
        </is>
      </c>
      <c r="G2323" s="3" t="inlineStr">
        <is>
          <t>Checking – Operating</t>
        </is>
      </c>
      <c r="H2323" s="3" t="inlineStr">
        <is>
          <t>Accounts Payable</t>
        </is>
      </c>
      <c r="I2323" s="33" t="n">
        <v>-4024.4</v>
      </c>
      <c r="J2323" s="13">
        <f>+J2322+I2323</f>
        <v>267763.77</v>
      </c>
      <c r="K2323" s="19">
        <f>+EOMONTH(B2323,0)</f>
        <v>46203</v>
      </c>
      <c r="L2323" s="3" t="inlineStr">
        <is>
          <t>Accounts Payable</t>
        </is>
      </c>
      <c r="M2323" s="3" t="inlineStr">
        <is>
          <t>Balance Sheet</t>
        </is>
      </c>
    </row>
    <row r="2324">
      <c r="B2324" s="39" t="n">
        <v>46198</v>
      </c>
      <c r="C2324" s="3" t="inlineStr">
        <is>
          <t>Bill Payment (Check)</t>
        </is>
      </c>
      <c r="D2324" s="3" t="inlineStr">
        <is>
          <t>11155</t>
        </is>
      </c>
      <c r="E2324" s="3" t="inlineStr">
        <is>
          <t>Tarrowmere Mutual Insurance</t>
        </is>
      </c>
      <c r="F2324" s="3" t="inlineStr">
        <is>
          <t>Benefits – June</t>
        </is>
      </c>
      <c r="G2324" s="3" t="inlineStr">
        <is>
          <t>Checking – Operating</t>
        </is>
      </c>
      <c r="H2324" s="3" t="inlineStr">
        <is>
          <t>Accounts Payable</t>
        </is>
      </c>
      <c r="I2324" s="33" t="n">
        <v>-5174.01</v>
      </c>
      <c r="J2324" s="13">
        <f>+J2323+I2324</f>
        <v>262589.76</v>
      </c>
      <c r="K2324" s="19">
        <f>+EOMONTH(B2324,0)</f>
        <v>46203</v>
      </c>
      <c r="L2324" s="3" t="inlineStr">
        <is>
          <t>Accounts Payable</t>
        </is>
      </c>
      <c r="M2324" s="3" t="inlineStr">
        <is>
          <t>Balance Sheet</t>
        </is>
      </c>
    </row>
    <row r="2325">
      <c r="B2325" s="39" t="n">
        <v>46199</v>
      </c>
      <c r="C2325" s="3" t="inlineStr">
        <is>
          <t>Bill</t>
        </is>
      </c>
      <c r="D2325" s="3" t="inlineStr"/>
      <c r="E2325" s="3" t="inlineStr">
        <is>
          <t>Reagentix Corp</t>
        </is>
      </c>
      <c r="F2325" s="3" t="inlineStr">
        <is>
          <t>Lab supplies PO# F2667</t>
        </is>
      </c>
      <c r="G2325" s="3" t="inlineStr">
        <is>
          <t>Reagents</t>
        </is>
      </c>
      <c r="H2325" s="3" t="inlineStr">
        <is>
          <t>Accounts Payable</t>
        </is>
      </c>
      <c r="I2325" s="33" t="n">
        <v>8280.23</v>
      </c>
      <c r="J2325" s="13">
        <f>+J2324+I2325</f>
        <v>270869.99</v>
      </c>
      <c r="K2325" s="19">
        <f>+EOMONTH(B2325,0)</f>
        <v>46203</v>
      </c>
      <c r="L2325" s="3" t="inlineStr">
        <is>
          <t>Accounts Payable</t>
        </is>
      </c>
      <c r="M2325" s="3" t="inlineStr">
        <is>
          <t>Balance Sheet</t>
        </is>
      </c>
    </row>
    <row r="2326">
      <c r="B2326" s="39" t="n">
        <v>46199</v>
      </c>
      <c r="C2326" s="3" t="inlineStr">
        <is>
          <t>Bill</t>
        </is>
      </c>
      <c r="D2326" s="3" t="inlineStr"/>
      <c r="E2326" s="3" t="inlineStr">
        <is>
          <t>Halloway Ridge Realty (rent)</t>
        </is>
      </c>
      <c r="F2326" s="3" t="inlineStr">
        <is>
          <t>Rent – June</t>
        </is>
      </c>
      <c r="G2326" s="3" t="inlineStr">
        <is>
          <t>Rent Expense</t>
        </is>
      </c>
      <c r="H2326" s="3" t="inlineStr">
        <is>
          <t>Accounts Payable</t>
        </is>
      </c>
      <c r="I2326" s="33" t="n">
        <v>12327.29</v>
      </c>
      <c r="J2326" s="13">
        <f>+J2325+I2326</f>
        <v>283197.28</v>
      </c>
      <c r="K2326" s="19">
        <f>+EOMONTH(B2326,0)</f>
        <v>46203</v>
      </c>
      <c r="L2326" s="3" t="inlineStr">
        <is>
          <t>Accounts Payable</t>
        </is>
      </c>
      <c r="M2326" s="3" t="inlineStr">
        <is>
          <t>Balance Sheet</t>
        </is>
      </c>
    </row>
    <row r="2327">
      <c r="B2327" s="39" t="n">
        <v>46199</v>
      </c>
      <c r="C2327" s="3" t="inlineStr">
        <is>
          <t>Bill</t>
        </is>
      </c>
      <c r="D2327" s="3" t="inlineStr"/>
      <c r="E2327" s="3" t="inlineStr">
        <is>
          <t>Tarrowmere Mutual Insurance</t>
        </is>
      </c>
      <c r="F2327" s="3" t="inlineStr">
        <is>
          <t>Benefits – June</t>
        </is>
      </c>
      <c r="G2327" s="3" t="inlineStr">
        <is>
          <t>Benefits</t>
        </is>
      </c>
      <c r="H2327" s="3" t="inlineStr">
        <is>
          <t>Accounts Payable</t>
        </is>
      </c>
      <c r="I2327" s="33" t="n">
        <v>8857.049999999999</v>
      </c>
      <c r="J2327" s="13">
        <f>+J2326+I2327</f>
        <v>292054.33</v>
      </c>
      <c r="K2327" s="19">
        <f>+EOMONTH(B2327,0)</f>
        <v>46203</v>
      </c>
      <c r="L2327" s="3" t="inlineStr">
        <is>
          <t>Accounts Payable</t>
        </is>
      </c>
      <c r="M2327" s="3" t="inlineStr">
        <is>
          <t>Balance Sheet</t>
        </is>
      </c>
    </row>
    <row r="2328">
      <c r="B2328" s="39" t="n">
        <v>46199</v>
      </c>
      <c r="C2328" s="3" t="inlineStr">
        <is>
          <t>Bill Payment (Check)</t>
        </is>
      </c>
      <c r="D2328" s="3" t="inlineStr">
        <is>
          <t>10437</t>
        </is>
      </c>
      <c r="E2328" s="3" t="inlineStr">
        <is>
          <t>Reagentix Corp</t>
        </is>
      </c>
      <c r="F2328" s="3" t="inlineStr">
        <is>
          <t>Lab Expenses – June</t>
        </is>
      </c>
      <c r="G2328" s="3" t="inlineStr">
        <is>
          <t>Checking – Operating</t>
        </is>
      </c>
      <c r="H2328" s="3" t="inlineStr">
        <is>
          <t>Accounts Payable</t>
        </is>
      </c>
      <c r="I2328" s="33" t="n">
        <v>-4204.33</v>
      </c>
      <c r="J2328" s="13">
        <f>+J2327+I2328</f>
        <v>287850</v>
      </c>
      <c r="K2328" s="19">
        <f>+EOMONTH(B2328,0)</f>
        <v>46203</v>
      </c>
      <c r="L2328" s="3" t="inlineStr">
        <is>
          <t>Accounts Payable</t>
        </is>
      </c>
      <c r="M2328" s="3" t="inlineStr">
        <is>
          <t>Balance Sheet</t>
        </is>
      </c>
    </row>
    <row r="2329">
      <c r="B2329" s="39" t="n">
        <v>46199</v>
      </c>
      <c r="C2329" s="3" t="inlineStr">
        <is>
          <t>Bill Payment (Check)</t>
        </is>
      </c>
      <c r="D2329" s="3" t="inlineStr">
        <is>
          <t>10746</t>
        </is>
      </c>
      <c r="E2329" s="3" t="inlineStr">
        <is>
          <t>Lumenlease Equipment</t>
        </is>
      </c>
      <c r="F2329" s="3" t="inlineStr">
        <is>
          <t>Equipment Lease – June</t>
        </is>
      </c>
      <c r="G2329" s="3" t="inlineStr">
        <is>
          <t>Checking – Operating</t>
        </is>
      </c>
      <c r="H2329" s="3" t="inlineStr">
        <is>
          <t>Accounts Payable</t>
        </is>
      </c>
      <c r="I2329" s="33" t="n">
        <v>-3670.91</v>
      </c>
      <c r="J2329" s="13">
        <f>+J2328+I2329</f>
        <v>284179.09</v>
      </c>
      <c r="K2329" s="19">
        <f>+EOMONTH(B2329,0)</f>
        <v>46203</v>
      </c>
      <c r="L2329" s="3" t="inlineStr">
        <is>
          <t>Accounts Payable</t>
        </is>
      </c>
      <c r="M2329" s="3" t="inlineStr">
        <is>
          <t>Balance Sheet</t>
        </is>
      </c>
    </row>
    <row r="2330">
      <c r="B2330" s="39" t="n">
        <v>46199</v>
      </c>
      <c r="C2330" s="3" t="inlineStr">
        <is>
          <t>Bill Payment (Check)</t>
        </is>
      </c>
      <c r="D2330" s="3" t="inlineStr">
        <is>
          <t>11240</t>
        </is>
      </c>
      <c r="E2330" s="3" t="inlineStr">
        <is>
          <t>Ledgerquill Billing SaaS</t>
        </is>
      </c>
      <c r="F2330" s="3" t="inlineStr">
        <is>
          <t>Billing Software as a Service – June</t>
        </is>
      </c>
      <c r="G2330" s="3" t="inlineStr">
        <is>
          <t>Checking – Operating</t>
        </is>
      </c>
      <c r="H2330" s="3" t="inlineStr">
        <is>
          <t>Accounts Payable</t>
        </is>
      </c>
      <c r="I2330" s="33" t="n">
        <v>-11332.06</v>
      </c>
      <c r="J2330" s="13">
        <f>+J2329+I2330</f>
        <v>272847.03</v>
      </c>
      <c r="K2330" s="19">
        <f>+EOMONTH(B2330,0)</f>
        <v>46203</v>
      </c>
      <c r="L2330" s="3" t="inlineStr">
        <is>
          <t>Accounts Payable</t>
        </is>
      </c>
      <c r="M2330" s="3" t="inlineStr">
        <is>
          <t>Balance Sheet</t>
        </is>
      </c>
    </row>
    <row r="2331">
      <c r="B2331" s="39" t="n">
        <v>46200</v>
      </c>
      <c r="C2331" s="3" t="inlineStr">
        <is>
          <t>Bill</t>
        </is>
      </c>
      <c r="D2331" s="3" t="inlineStr"/>
      <c r="E2331" s="3" t="inlineStr">
        <is>
          <t>Reference Lab A</t>
        </is>
      </c>
      <c r="F2331" s="3" t="inlineStr">
        <is>
          <t>Send-out testing – June</t>
        </is>
      </c>
      <c r="G2331" s="3" t="inlineStr">
        <is>
          <t>Laboratory Fees</t>
        </is>
      </c>
      <c r="H2331" s="3" t="inlineStr">
        <is>
          <t>Accounts Payable</t>
        </is>
      </c>
      <c r="I2331" s="33" t="n">
        <v>14237.39</v>
      </c>
      <c r="J2331" s="13">
        <f>+J2330+I2331</f>
        <v>287084.42</v>
      </c>
      <c r="K2331" s="19">
        <f>+EOMONTH(B2331,0)</f>
        <v>46203</v>
      </c>
      <c r="L2331" s="3" t="inlineStr">
        <is>
          <t>Accounts Payable</t>
        </is>
      </c>
      <c r="M2331" s="3" t="inlineStr">
        <is>
          <t>Balance Sheet</t>
        </is>
      </c>
    </row>
    <row r="2332">
      <c r="B2332" s="39" t="n">
        <v>46200</v>
      </c>
      <c r="C2332" s="3" t="inlineStr">
        <is>
          <t>Bill</t>
        </is>
      </c>
      <c r="D2332" s="3" t="inlineStr"/>
      <c r="E2332" s="3" t="inlineStr">
        <is>
          <t>Reference Lab A</t>
        </is>
      </c>
      <c r="F2332" s="3" t="inlineStr">
        <is>
          <t>Send-out testing – June</t>
        </is>
      </c>
      <c r="G2332" s="3" t="inlineStr">
        <is>
          <t>Laboratory Fees</t>
        </is>
      </c>
      <c r="H2332" s="3" t="inlineStr">
        <is>
          <t>Accounts Payable</t>
        </is>
      </c>
      <c r="I2332" s="33" t="n">
        <v>10827.2</v>
      </c>
      <c r="J2332" s="13">
        <f>+J2331+I2332</f>
        <v>297911.62</v>
      </c>
      <c r="K2332" s="19">
        <f>+EOMONTH(B2332,0)</f>
        <v>46203</v>
      </c>
      <c r="L2332" s="3" t="inlineStr">
        <is>
          <t>Accounts Payable</t>
        </is>
      </c>
      <c r="M2332" s="3" t="inlineStr">
        <is>
          <t>Balance Sheet</t>
        </is>
      </c>
    </row>
    <row r="2333">
      <c r="B2333" s="39" t="n">
        <v>46200</v>
      </c>
      <c r="C2333" s="3" t="inlineStr">
        <is>
          <t>Bill Payment (Check)</t>
        </is>
      </c>
      <c r="D2333" s="3" t="inlineStr">
        <is>
          <t>10477</t>
        </is>
      </c>
      <c r="E2333" s="3" t="inlineStr">
        <is>
          <t>Reagentix Corp</t>
        </is>
      </c>
      <c r="F2333" s="3" t="inlineStr">
        <is>
          <t>Lab supplies PO# F2264</t>
        </is>
      </c>
      <c r="G2333" s="3" t="inlineStr">
        <is>
          <t>Checking – Operating</t>
        </is>
      </c>
      <c r="H2333" s="3" t="inlineStr">
        <is>
          <t>Accounts Payable</t>
        </is>
      </c>
      <c r="I2333" s="33" t="n">
        <v>-16316.8</v>
      </c>
      <c r="J2333" s="13">
        <f>+J2332+I2333</f>
        <v>281594.82</v>
      </c>
      <c r="K2333" s="19">
        <f>+EOMONTH(B2333,0)</f>
        <v>46203</v>
      </c>
      <c r="L2333" s="3" t="inlineStr">
        <is>
          <t>Accounts Payable</t>
        </is>
      </c>
      <c r="M2333" s="3" t="inlineStr">
        <is>
          <t>Balance Sheet</t>
        </is>
      </c>
    </row>
    <row r="2334">
      <c r="B2334" s="39" t="n">
        <v>46201</v>
      </c>
      <c r="C2334" s="3" t="inlineStr">
        <is>
          <t>Bill</t>
        </is>
      </c>
      <c r="D2334" s="3" t="inlineStr"/>
      <c r="E2334" s="3" t="inlineStr">
        <is>
          <t>Halloway Ridge Realty (rent)</t>
        </is>
      </c>
      <c r="F2334" s="3" t="inlineStr">
        <is>
          <t>Rent – June</t>
        </is>
      </c>
      <c r="G2334" s="3" t="inlineStr">
        <is>
          <t>Rent Expense</t>
        </is>
      </c>
      <c r="H2334" s="3" t="inlineStr">
        <is>
          <t>Accounts Payable</t>
        </is>
      </c>
      <c r="I2334" s="33" t="n">
        <v>17474.56</v>
      </c>
      <c r="J2334" s="13">
        <f>+J2333+I2334</f>
        <v>299069.38</v>
      </c>
      <c r="K2334" s="19">
        <f>+EOMONTH(B2334,0)</f>
        <v>46203</v>
      </c>
      <c r="L2334" s="3" t="inlineStr">
        <is>
          <t>Accounts Payable</t>
        </is>
      </c>
      <c r="M2334" s="3" t="inlineStr">
        <is>
          <t>Balance Sheet</t>
        </is>
      </c>
    </row>
    <row r="2335">
      <c r="B2335" s="39" t="n">
        <v>46201</v>
      </c>
      <c r="C2335" s="3" t="inlineStr">
        <is>
          <t>Bill Payment (Check)</t>
        </is>
      </c>
      <c r="D2335" s="3" t="inlineStr">
        <is>
          <t>10558</t>
        </is>
      </c>
      <c r="E2335" s="3" t="inlineStr">
        <is>
          <t>Reagentix Corp</t>
        </is>
      </c>
      <c r="F2335" s="3" t="inlineStr">
        <is>
          <t>Lab supplies PO# F2780</t>
        </is>
      </c>
      <c r="G2335" s="3" t="inlineStr">
        <is>
          <t>Checking – Operating</t>
        </is>
      </c>
      <c r="H2335" s="3" t="inlineStr">
        <is>
          <t>Accounts Payable</t>
        </is>
      </c>
      <c r="I2335" s="33" t="n">
        <v>-9237.35</v>
      </c>
      <c r="J2335" s="13">
        <f>+J2334+I2335</f>
        <v>289832.03</v>
      </c>
      <c r="K2335" s="19">
        <f>+EOMONTH(B2335,0)</f>
        <v>46203</v>
      </c>
      <c r="L2335" s="3" t="inlineStr">
        <is>
          <t>Accounts Payable</t>
        </is>
      </c>
      <c r="M2335" s="3" t="inlineStr">
        <is>
          <t>Balance Sheet</t>
        </is>
      </c>
    </row>
    <row r="2336">
      <c r="B2336" s="39" t="n">
        <v>46201</v>
      </c>
      <c r="C2336" s="3" t="inlineStr">
        <is>
          <t>Bill Payment (Check)</t>
        </is>
      </c>
      <c r="D2336" s="3" t="inlineStr">
        <is>
          <t>10707</t>
        </is>
      </c>
      <c r="E2336" s="3" t="inlineStr">
        <is>
          <t>Tarrowmere Mutual Insurance</t>
        </is>
      </c>
      <c r="F2336" s="3" t="inlineStr">
        <is>
          <t>Premium installment</t>
        </is>
      </c>
      <c r="G2336" s="3" t="inlineStr">
        <is>
          <t>Checking – Operating</t>
        </is>
      </c>
      <c r="H2336" s="3" t="inlineStr">
        <is>
          <t>Accounts Payable</t>
        </is>
      </c>
      <c r="I2336" s="33" t="n">
        <v>-5488.9</v>
      </c>
      <c r="J2336" s="13">
        <f>+J2335+I2336</f>
        <v>284343.13</v>
      </c>
      <c r="K2336" s="19">
        <f>+EOMONTH(B2336,0)</f>
        <v>46203</v>
      </c>
      <c r="L2336" s="3" t="inlineStr">
        <is>
          <t>Accounts Payable</t>
        </is>
      </c>
      <c r="M2336" s="3" t="inlineStr">
        <is>
          <t>Balance Sheet</t>
        </is>
      </c>
    </row>
    <row r="2337">
      <c r="B2337" s="39" t="n">
        <v>46202</v>
      </c>
      <c r="C2337" s="3" t="inlineStr">
        <is>
          <t>Bill</t>
        </is>
      </c>
      <c r="D2337" s="3" t="inlineStr"/>
      <c r="E2337" s="3" t="inlineStr">
        <is>
          <t>Halloway Ridge Realty (rent)</t>
        </is>
      </c>
      <c r="F2337" s="3" t="inlineStr">
        <is>
          <t>Rent – June</t>
        </is>
      </c>
      <c r="G2337" s="3" t="inlineStr">
        <is>
          <t>Rent Expense</t>
        </is>
      </c>
      <c r="H2337" s="3" t="inlineStr">
        <is>
          <t>Accounts Payable</t>
        </is>
      </c>
      <c r="I2337" s="33" t="n">
        <v>13698.15</v>
      </c>
      <c r="J2337" s="13">
        <f>+J2336+I2337</f>
        <v>298041.28</v>
      </c>
      <c r="K2337" s="19">
        <f>+EOMONTH(B2337,0)</f>
        <v>46203</v>
      </c>
      <c r="L2337" s="3" t="inlineStr">
        <is>
          <t>Accounts Payable</t>
        </is>
      </c>
      <c r="M2337" s="3" t="inlineStr">
        <is>
          <t>Balance Sheet</t>
        </is>
      </c>
    </row>
    <row r="2338">
      <c r="B2338" s="39" t="n">
        <v>46202</v>
      </c>
      <c r="C2338" s="3" t="inlineStr">
        <is>
          <t>Bill Payment (Check)</t>
        </is>
      </c>
      <c r="D2338" s="3" t="inlineStr">
        <is>
          <t>10562</t>
        </is>
      </c>
      <c r="E2338" s="3" t="inlineStr">
        <is>
          <t>Reagentix Corp</t>
        </is>
      </c>
      <c r="F2338" s="3" t="inlineStr">
        <is>
          <t>Lab supplies PO# F2529</t>
        </is>
      </c>
      <c r="G2338" s="3" t="inlineStr">
        <is>
          <t>Checking – Operating</t>
        </is>
      </c>
      <c r="H2338" s="3" t="inlineStr">
        <is>
          <t>Accounts Payable</t>
        </is>
      </c>
      <c r="I2338" s="33" t="n">
        <v>-10801.64</v>
      </c>
      <c r="J2338" s="13">
        <f>+J2337+I2338</f>
        <v>287239.64</v>
      </c>
      <c r="K2338" s="19">
        <f>+EOMONTH(B2338,0)</f>
        <v>46203</v>
      </c>
      <c r="L2338" s="3" t="inlineStr">
        <is>
          <t>Accounts Payable</t>
        </is>
      </c>
      <c r="M2338" s="3" t="inlineStr">
        <is>
          <t>Balance Sheet</t>
        </is>
      </c>
    </row>
    <row r="2339">
      <c r="B2339" s="39" t="n">
        <v>46203</v>
      </c>
      <c r="C2339" s="3" t="inlineStr">
        <is>
          <t>Bill</t>
        </is>
      </c>
      <c r="D2339" s="3" t="inlineStr"/>
      <c r="E2339" s="3" t="inlineStr">
        <is>
          <t>Swiftmere Courier</t>
        </is>
      </c>
      <c r="F2339" s="3" t="inlineStr">
        <is>
          <t>Delivery and Transportation – June</t>
        </is>
      </c>
      <c r="G2339" s="3" t="inlineStr">
        <is>
          <t>Delivery and Transportation</t>
        </is>
      </c>
      <c r="H2339" s="3" t="inlineStr">
        <is>
          <t>Accounts Payable</t>
        </is>
      </c>
      <c r="I2339" s="33" t="n">
        <v>3924.16</v>
      </c>
      <c r="J2339" s="13">
        <f>+J2338+I2339</f>
        <v>291163.8</v>
      </c>
      <c r="K2339" s="19">
        <f>+EOMONTH(B2339,0)</f>
        <v>46203</v>
      </c>
      <c r="L2339" s="3" t="inlineStr">
        <is>
          <t>Accounts Payable</t>
        </is>
      </c>
      <c r="M2339" s="3" t="inlineStr">
        <is>
          <t>Balance Sheet</t>
        </is>
      </c>
    </row>
    <row r="2340">
      <c r="B2340" s="39" t="n">
        <v>46203</v>
      </c>
      <c r="C2340" s="3" t="inlineStr">
        <is>
          <t>Bill</t>
        </is>
      </c>
      <c r="D2340" s="3" t="inlineStr"/>
      <c r="E2340" s="3" t="inlineStr">
        <is>
          <t>Tarrowmere Mutual Insurance</t>
        </is>
      </c>
      <c r="F2340" s="3" t="inlineStr">
        <is>
          <t>Premium installment</t>
        </is>
      </c>
      <c r="G2340" s="3" t="inlineStr">
        <is>
          <t>Insurance Expense</t>
        </is>
      </c>
      <c r="H2340" s="3" t="inlineStr">
        <is>
          <t>Accounts Payable</t>
        </is>
      </c>
      <c r="I2340" s="33" t="n">
        <v>3555.24</v>
      </c>
      <c r="J2340" s="13">
        <f>+J2339+I2340</f>
        <v>294719.04</v>
      </c>
      <c r="K2340" s="19">
        <f>+EOMONTH(B2340,0)</f>
        <v>46203</v>
      </c>
      <c r="L2340" s="3" t="inlineStr">
        <is>
          <t>Accounts Payable</t>
        </is>
      </c>
      <c r="M2340" s="3" t="inlineStr">
        <is>
          <t>Balance Sheet</t>
        </is>
      </c>
    </row>
    <row r="2341">
      <c r="B2341" s="39" t="n">
        <v>46203</v>
      </c>
      <c r="C2341" s="3" t="inlineStr">
        <is>
          <t>Bill</t>
        </is>
      </c>
      <c r="D2341" s="3" t="inlineStr"/>
      <c r="E2341" s="3" t="inlineStr">
        <is>
          <t>Lumenlease Equipment</t>
        </is>
      </c>
      <c r="F2341" s="3" t="inlineStr">
        <is>
          <t>Equipment Lease – June</t>
        </is>
      </c>
      <c r="G2341" s="3" t="inlineStr">
        <is>
          <t>Equipment Lease</t>
        </is>
      </c>
      <c r="H2341" s="3" t="inlineStr">
        <is>
          <t>Accounts Payable</t>
        </is>
      </c>
      <c r="I2341" s="33" t="n">
        <v>3529.09</v>
      </c>
      <c r="J2341" s="13">
        <f>+J2340+I2341</f>
        <v>298248.13</v>
      </c>
      <c r="K2341" s="19">
        <f>+EOMONTH(B2341,0)</f>
        <v>46203</v>
      </c>
      <c r="L2341" s="3" t="inlineStr">
        <is>
          <t>Accounts Payable</t>
        </is>
      </c>
      <c r="M2341" s="3" t="inlineStr">
        <is>
          <t>Balance Sheet</t>
        </is>
      </c>
    </row>
    <row r="2342">
      <c r="B2342" s="39" t="n">
        <v>46203</v>
      </c>
      <c r="C2342" s="3" t="inlineStr">
        <is>
          <t>Bill</t>
        </is>
      </c>
      <c r="D2342" s="3" t="inlineStr"/>
      <c r="E2342" s="3" t="inlineStr">
        <is>
          <t>Ledgerquill Billing SaaS</t>
        </is>
      </c>
      <c r="F2342" s="3" t="inlineStr">
        <is>
          <t>Billing Software as a Service – June</t>
        </is>
      </c>
      <c r="G2342" s="3" t="inlineStr">
        <is>
          <t>Billing Software as a Service</t>
        </is>
      </c>
      <c r="H2342" s="3" t="inlineStr">
        <is>
          <t>Accounts Payable</t>
        </is>
      </c>
      <c r="I2342" s="33" t="n">
        <v>12291.89</v>
      </c>
      <c r="J2342" s="13">
        <f>+J2341+I2342</f>
        <v>310540.02</v>
      </c>
      <c r="K2342" s="19">
        <f>+EOMONTH(B2342,0)</f>
        <v>46203</v>
      </c>
      <c r="L2342" s="3" t="inlineStr">
        <is>
          <t>Accounts Payable</t>
        </is>
      </c>
      <c r="M2342" s="3" t="inlineStr">
        <is>
          <t>Balance Sheet</t>
        </is>
      </c>
    </row>
    <row r="2343">
      <c r="B2343" s="39" t="n">
        <v>46203</v>
      </c>
      <c r="C2343" s="3" t="inlineStr">
        <is>
          <t>Bill Payment (Check)</t>
        </is>
      </c>
      <c r="D2343" s="3" t="inlineStr">
        <is>
          <t>10705</t>
        </is>
      </c>
      <c r="E2343" s="3" t="inlineStr">
        <is>
          <t>Tarrowmere Mutual Insurance</t>
        </is>
      </c>
      <c r="F2343" s="3" t="inlineStr">
        <is>
          <t>Premium installment</t>
        </is>
      </c>
      <c r="G2343" s="3" t="inlineStr">
        <is>
          <t>Checking – Operating</t>
        </is>
      </c>
      <c r="H2343" s="3" t="inlineStr">
        <is>
          <t>Accounts Payable</t>
        </is>
      </c>
      <c r="I2343" s="33" t="n">
        <v>-4569.8</v>
      </c>
      <c r="J2343" s="13">
        <f>+J2342+I2343</f>
        <v>305970.22</v>
      </c>
      <c r="K2343" s="19">
        <f>+EOMONTH(B2343,0)</f>
        <v>46203</v>
      </c>
      <c r="L2343" s="3" t="inlineStr">
        <is>
          <t>Accounts Payable</t>
        </is>
      </c>
      <c r="M2343" s="3" t="inlineStr">
        <is>
          <t>Balance Sheet</t>
        </is>
      </c>
    </row>
    <row r="2344">
      <c r="B2344" s="39" t="n">
        <v>46204</v>
      </c>
      <c r="C2344" s="3" t="inlineStr">
        <is>
          <t>Bill</t>
        </is>
      </c>
      <c r="D2344" s="3" t="inlineStr"/>
      <c r="E2344" s="3" t="inlineStr">
        <is>
          <t>Reagentix Corp</t>
        </is>
      </c>
      <c r="F2344" s="3" t="inlineStr">
        <is>
          <t>Lab Expenses – July</t>
        </is>
      </c>
      <c r="G2344" s="3" t="inlineStr">
        <is>
          <t>Lab Expenses</t>
        </is>
      </c>
      <c r="H2344" s="3" t="inlineStr">
        <is>
          <t>Accounts Payable</t>
        </is>
      </c>
      <c r="I2344" s="33" t="n">
        <v>3689.9</v>
      </c>
      <c r="J2344" s="13">
        <f>+J2343+I2344</f>
        <v>309660.12</v>
      </c>
      <c r="K2344" s="19">
        <f>+EOMONTH(B2344,0)</f>
        <v>46234</v>
      </c>
      <c r="L2344" s="3" t="inlineStr">
        <is>
          <t>Accounts Payable</t>
        </is>
      </c>
      <c r="M2344" s="3" t="inlineStr">
        <is>
          <t>Balance Sheet</t>
        </is>
      </c>
    </row>
    <row r="2345">
      <c r="B2345" s="39" t="n">
        <v>46204</v>
      </c>
      <c r="C2345" s="3" t="inlineStr">
        <is>
          <t>Bill</t>
        </is>
      </c>
      <c r="D2345" s="3" t="inlineStr"/>
      <c r="E2345" s="3" t="inlineStr">
        <is>
          <t>Vialtrace Lab Supplies Inc</t>
        </is>
      </c>
      <c r="F2345" s="3" t="inlineStr">
        <is>
          <t>Lab supplies PO# F2796</t>
        </is>
      </c>
      <c r="G2345" s="3" t="inlineStr">
        <is>
          <t>Lab Supplies</t>
        </is>
      </c>
      <c r="H2345" s="3" t="inlineStr">
        <is>
          <t>Accounts Payable</t>
        </is>
      </c>
      <c r="I2345" s="33" t="n">
        <v>36303.61</v>
      </c>
      <c r="J2345" s="13">
        <f>+J2344+I2345</f>
        <v>345963.73</v>
      </c>
      <c r="K2345" s="19">
        <f>+EOMONTH(B2345,0)</f>
        <v>46234</v>
      </c>
      <c r="L2345" s="3" t="inlineStr">
        <is>
          <t>Accounts Payable</t>
        </is>
      </c>
      <c r="M2345" s="3" t="inlineStr">
        <is>
          <t>Balance Sheet</t>
        </is>
      </c>
    </row>
    <row r="2346">
      <c r="B2346" s="39" t="n">
        <v>46204</v>
      </c>
      <c r="C2346" s="3" t="inlineStr">
        <is>
          <t>Bill</t>
        </is>
      </c>
      <c r="D2346" s="3" t="inlineStr"/>
      <c r="E2346" s="3" t="inlineStr">
        <is>
          <t>Lumenlease Equipment</t>
        </is>
      </c>
      <c r="F2346" s="3" t="inlineStr">
        <is>
          <t>Equipment Lease – July</t>
        </is>
      </c>
      <c r="G2346" s="3" t="inlineStr">
        <is>
          <t>Equipment Lease</t>
        </is>
      </c>
      <c r="H2346" s="3" t="inlineStr">
        <is>
          <t>Accounts Payable</t>
        </is>
      </c>
      <c r="I2346" s="33" t="n">
        <v>4918.48</v>
      </c>
      <c r="J2346" s="13">
        <f>+J2345+I2346</f>
        <v>350882.21</v>
      </c>
      <c r="K2346" s="19">
        <f>+EOMONTH(B2346,0)</f>
        <v>46234</v>
      </c>
      <c r="L2346" s="3" t="inlineStr">
        <is>
          <t>Accounts Payable</t>
        </is>
      </c>
      <c r="M2346" s="3" t="inlineStr">
        <is>
          <t>Balance Sheet</t>
        </is>
      </c>
    </row>
    <row r="2347">
      <c r="B2347" s="39" t="n">
        <v>46204</v>
      </c>
      <c r="C2347" s="3" t="inlineStr">
        <is>
          <t>Bill</t>
        </is>
      </c>
      <c r="D2347" s="3" t="inlineStr"/>
      <c r="E2347" s="3" t="inlineStr">
        <is>
          <t>Lumenlease Equipment</t>
        </is>
      </c>
      <c r="F2347" s="3" t="inlineStr">
        <is>
          <t>Equipment Lease – July</t>
        </is>
      </c>
      <c r="G2347" s="3" t="inlineStr">
        <is>
          <t>Equipment Lease</t>
        </is>
      </c>
      <c r="H2347" s="3" t="inlineStr">
        <is>
          <t>Accounts Payable</t>
        </is>
      </c>
      <c r="I2347" s="33" t="n">
        <v>2481.52</v>
      </c>
      <c r="J2347" s="13">
        <f>+J2346+I2347</f>
        <v>353363.73</v>
      </c>
      <c r="K2347" s="19">
        <f>+EOMONTH(B2347,0)</f>
        <v>46234</v>
      </c>
      <c r="L2347" s="3" t="inlineStr">
        <is>
          <t>Accounts Payable</t>
        </is>
      </c>
      <c r="M2347" s="3" t="inlineStr">
        <is>
          <t>Balance Sheet</t>
        </is>
      </c>
    </row>
    <row r="2348">
      <c r="B2348" s="39" t="n">
        <v>46204</v>
      </c>
      <c r="C2348" s="3" t="inlineStr">
        <is>
          <t>Bill Payment (Check)</t>
        </is>
      </c>
      <c r="D2348" s="3" t="inlineStr">
        <is>
          <t>10648</t>
        </is>
      </c>
      <c r="E2348" s="3" t="inlineStr">
        <is>
          <t>Swiftmere Courier</t>
        </is>
      </c>
      <c r="F2348" s="3" t="inlineStr">
        <is>
          <t>Delivery and Transportation – June</t>
        </is>
      </c>
      <c r="G2348" s="3" t="inlineStr">
        <is>
          <t>Checking – Operating</t>
        </is>
      </c>
      <c r="H2348" s="3" t="inlineStr">
        <is>
          <t>Accounts Payable</t>
        </is>
      </c>
      <c r="I2348" s="33" t="n">
        <v>-3075.84</v>
      </c>
      <c r="J2348" s="13">
        <f>+J2347+I2348</f>
        <v>350287.89</v>
      </c>
      <c r="K2348" s="19">
        <f>+EOMONTH(B2348,0)</f>
        <v>46234</v>
      </c>
      <c r="L2348" s="3" t="inlineStr">
        <is>
          <t>Accounts Payable</t>
        </is>
      </c>
      <c r="M2348" s="3" t="inlineStr">
        <is>
          <t>Balance Sheet</t>
        </is>
      </c>
    </row>
    <row r="2349">
      <c r="B2349" s="39" t="n">
        <v>46205</v>
      </c>
      <c r="C2349" s="3" t="inlineStr">
        <is>
          <t>Bill</t>
        </is>
      </c>
      <c r="D2349" s="3" t="inlineStr"/>
      <c r="E2349" s="3" t="inlineStr">
        <is>
          <t>Northmoor Waste Services</t>
        </is>
      </c>
      <c r="F2349" s="3" t="inlineStr">
        <is>
          <t>Hazard Waste – July</t>
        </is>
      </c>
      <c r="G2349" s="3" t="inlineStr">
        <is>
          <t>Hazard Waste</t>
        </is>
      </c>
      <c r="H2349" s="3" t="inlineStr">
        <is>
          <t>Accounts Payable</t>
        </is>
      </c>
      <c r="I2349" s="33" t="n">
        <v>1001.87</v>
      </c>
      <c r="J2349" s="13">
        <f>+J2348+I2349</f>
        <v>351289.76</v>
      </c>
      <c r="K2349" s="19">
        <f>+EOMONTH(B2349,0)</f>
        <v>46234</v>
      </c>
      <c r="L2349" s="3" t="inlineStr">
        <is>
          <t>Accounts Payable</t>
        </is>
      </c>
      <c r="M2349" s="3" t="inlineStr">
        <is>
          <t>Balance Sheet</t>
        </is>
      </c>
    </row>
    <row r="2350">
      <c r="B2350" s="39" t="n">
        <v>46205</v>
      </c>
      <c r="C2350" s="3" t="inlineStr">
        <is>
          <t>Bill Payment (Check)</t>
        </is>
      </c>
      <c r="D2350" s="3" t="inlineStr">
        <is>
          <t>10476</t>
        </is>
      </c>
      <c r="E2350" s="3" t="inlineStr">
        <is>
          <t>Reagentix Corp</t>
        </is>
      </c>
      <c r="F2350" s="3" t="inlineStr">
        <is>
          <t>Lab supplies PO# F2398</t>
        </is>
      </c>
      <c r="G2350" s="3" t="inlineStr">
        <is>
          <t>Checking – Operating</t>
        </is>
      </c>
      <c r="H2350" s="3" t="inlineStr">
        <is>
          <t>Accounts Payable</t>
        </is>
      </c>
      <c r="I2350" s="33" t="n">
        <v>-16456.77</v>
      </c>
      <c r="J2350" s="13">
        <f>+J2349+I2350</f>
        <v>334832.99</v>
      </c>
      <c r="K2350" s="19">
        <f>+EOMONTH(B2350,0)</f>
        <v>46234</v>
      </c>
      <c r="L2350" s="3" t="inlineStr">
        <is>
          <t>Accounts Payable</t>
        </is>
      </c>
      <c r="M2350" s="3" t="inlineStr">
        <is>
          <t>Balance Sheet</t>
        </is>
      </c>
    </row>
    <row r="2351">
      <c r="B2351" s="39" t="n">
        <v>46205</v>
      </c>
      <c r="C2351" s="3" t="inlineStr">
        <is>
          <t>Bill Payment (Check)</t>
        </is>
      </c>
      <c r="D2351" s="3" t="inlineStr">
        <is>
          <t>10559</t>
        </is>
      </c>
      <c r="E2351" s="3" t="inlineStr">
        <is>
          <t>Reagentix Corp</t>
        </is>
      </c>
      <c r="F2351" s="3" t="inlineStr">
        <is>
          <t>Lab supplies PO# F2814</t>
        </is>
      </c>
      <c r="G2351" s="3" t="inlineStr">
        <is>
          <t>Checking – Operating</t>
        </is>
      </c>
      <c r="H2351" s="3" t="inlineStr">
        <is>
          <t>Accounts Payable</t>
        </is>
      </c>
      <c r="I2351" s="33" t="n">
        <v>-14502.52</v>
      </c>
      <c r="J2351" s="13">
        <f>+J2350+I2351</f>
        <v>320330.47</v>
      </c>
      <c r="K2351" s="19">
        <f>+EOMONTH(B2351,0)</f>
        <v>46234</v>
      </c>
      <c r="L2351" s="3" t="inlineStr">
        <is>
          <t>Accounts Payable</t>
        </is>
      </c>
      <c r="M2351" s="3" t="inlineStr">
        <is>
          <t>Balance Sheet</t>
        </is>
      </c>
    </row>
    <row r="2352">
      <c r="B2352" s="39" t="n">
        <v>46205</v>
      </c>
      <c r="C2352" s="3" t="inlineStr">
        <is>
          <t>Bill Payment (Check)</t>
        </is>
      </c>
      <c r="D2352" s="3" t="inlineStr">
        <is>
          <t>11025</t>
        </is>
      </c>
      <c r="E2352" s="3" t="inlineStr">
        <is>
          <t>Northmoor Waste Services</t>
        </is>
      </c>
      <c r="F2352" s="3" t="inlineStr">
        <is>
          <t>Waste Removal – May</t>
        </is>
      </c>
      <c r="G2352" s="3" t="inlineStr">
        <is>
          <t>Checking – Operating</t>
        </is>
      </c>
      <c r="H2352" s="3" t="inlineStr">
        <is>
          <t>Accounts Payable</t>
        </is>
      </c>
      <c r="I2352" s="33" t="n">
        <v>-591.5599999999999</v>
      </c>
      <c r="J2352" s="13">
        <f>+J2351+I2352</f>
        <v>319738.91</v>
      </c>
      <c r="K2352" s="19">
        <f>+EOMONTH(B2352,0)</f>
        <v>46234</v>
      </c>
      <c r="L2352" s="3" t="inlineStr">
        <is>
          <t>Accounts Payable</t>
        </is>
      </c>
      <c r="M2352" s="3" t="inlineStr">
        <is>
          <t>Balance Sheet</t>
        </is>
      </c>
    </row>
    <row r="2353">
      <c r="B2353" s="39" t="n">
        <v>46205</v>
      </c>
      <c r="C2353" s="3" t="inlineStr">
        <is>
          <t>Bill Payment (Check)</t>
        </is>
      </c>
      <c r="D2353" s="3" t="inlineStr">
        <is>
          <t>11238</t>
        </is>
      </c>
      <c r="E2353" s="3" t="inlineStr">
        <is>
          <t>Ledgerquill Billing SaaS</t>
        </is>
      </c>
      <c r="F2353" s="3" t="inlineStr">
        <is>
          <t>Billing Software as a Service – June</t>
        </is>
      </c>
      <c r="G2353" s="3" t="inlineStr">
        <is>
          <t>Checking – Operating</t>
        </is>
      </c>
      <c r="H2353" s="3" t="inlineStr">
        <is>
          <t>Accounts Payable</t>
        </is>
      </c>
      <c r="I2353" s="33" t="n">
        <v>-8469.959999999999</v>
      </c>
      <c r="J2353" s="13">
        <f>+J2352+I2353</f>
        <v>311268.95</v>
      </c>
      <c r="K2353" s="19">
        <f>+EOMONTH(B2353,0)</f>
        <v>46234</v>
      </c>
      <c r="L2353" s="3" t="inlineStr">
        <is>
          <t>Accounts Payable</t>
        </is>
      </c>
      <c r="M2353" s="3" t="inlineStr">
        <is>
          <t>Balance Sheet</t>
        </is>
      </c>
    </row>
    <row r="2354">
      <c r="B2354" s="39" t="n">
        <v>46206</v>
      </c>
      <c r="C2354" s="3" t="inlineStr">
        <is>
          <t>Bill</t>
        </is>
      </c>
      <c r="D2354" s="3" t="inlineStr"/>
      <c r="E2354" s="3" t="inlineStr">
        <is>
          <t>Tarrowmere Mutual Insurance</t>
        </is>
      </c>
      <c r="F2354" s="3" t="inlineStr">
        <is>
          <t>Premium installment</t>
        </is>
      </c>
      <c r="G2354" s="3" t="inlineStr">
        <is>
          <t>Insurance Expense</t>
        </is>
      </c>
      <c r="H2354" s="3" t="inlineStr">
        <is>
          <t>Accounts Payable</t>
        </is>
      </c>
      <c r="I2354" s="33" t="n">
        <v>6401.49</v>
      </c>
      <c r="J2354" s="13">
        <f>+J2353+I2354</f>
        <v>317670.44</v>
      </c>
      <c r="K2354" s="19">
        <f>+EOMONTH(B2354,0)</f>
        <v>46234</v>
      </c>
      <c r="L2354" s="3" t="inlineStr">
        <is>
          <t>Accounts Payable</t>
        </is>
      </c>
      <c r="M2354" s="3" t="inlineStr">
        <is>
          <t>Balance Sheet</t>
        </is>
      </c>
    </row>
    <row r="2355">
      <c r="B2355" s="39" t="n">
        <v>46207</v>
      </c>
      <c r="C2355" s="3" t="inlineStr">
        <is>
          <t>Bill</t>
        </is>
      </c>
      <c r="D2355" s="3" t="inlineStr"/>
      <c r="E2355" s="3" t="inlineStr">
        <is>
          <t>Northmoor Waste Services</t>
        </is>
      </c>
      <c r="F2355" s="3" t="inlineStr">
        <is>
          <t>Hazard Waste – July</t>
        </is>
      </c>
      <c r="G2355" s="3" t="inlineStr">
        <is>
          <t>Hazard Waste</t>
        </is>
      </c>
      <c r="H2355" s="3" t="inlineStr">
        <is>
          <t>Accounts Payable</t>
        </is>
      </c>
      <c r="I2355" s="33" t="n">
        <v>738.13</v>
      </c>
      <c r="J2355" s="13">
        <f>+J2354+I2355</f>
        <v>318408.57</v>
      </c>
      <c r="K2355" s="19">
        <f>+EOMONTH(B2355,0)</f>
        <v>46234</v>
      </c>
      <c r="L2355" s="3" t="inlineStr">
        <is>
          <t>Accounts Payable</t>
        </is>
      </c>
      <c r="M2355" s="3" t="inlineStr">
        <is>
          <t>Balance Sheet</t>
        </is>
      </c>
    </row>
    <row r="2356">
      <c r="B2356" s="39" t="n">
        <v>46207</v>
      </c>
      <c r="C2356" s="3" t="inlineStr">
        <is>
          <t>Bill</t>
        </is>
      </c>
      <c r="D2356" s="3" t="inlineStr"/>
      <c r="E2356" s="3" t="inlineStr">
        <is>
          <t>Tarrowmere Mutual Insurance</t>
        </is>
      </c>
      <c r="F2356" s="3" t="inlineStr">
        <is>
          <t>Benefits – July</t>
        </is>
      </c>
      <c r="G2356" s="3" t="inlineStr">
        <is>
          <t>Benefits</t>
        </is>
      </c>
      <c r="H2356" s="3" t="inlineStr">
        <is>
          <t>Accounts Payable</t>
        </is>
      </c>
      <c r="I2356" s="33" t="n">
        <v>3204.16</v>
      </c>
      <c r="J2356" s="13">
        <f>+J2355+I2356</f>
        <v>321612.73</v>
      </c>
      <c r="K2356" s="19">
        <f>+EOMONTH(B2356,0)</f>
        <v>46234</v>
      </c>
      <c r="L2356" s="3" t="inlineStr">
        <is>
          <t>Accounts Payable</t>
        </is>
      </c>
      <c r="M2356" s="3" t="inlineStr">
        <is>
          <t>Balance Sheet</t>
        </is>
      </c>
    </row>
    <row r="2357">
      <c r="B2357" s="39" t="n">
        <v>46207</v>
      </c>
      <c r="C2357" s="3" t="inlineStr">
        <is>
          <t>Bill Payment (Check)</t>
        </is>
      </c>
      <c r="D2357" s="3" t="inlineStr">
        <is>
          <t>10983</t>
        </is>
      </c>
      <c r="E2357" s="3" t="inlineStr">
        <is>
          <t>Northmoor Waste Services</t>
        </is>
      </c>
      <c r="F2357" s="3" t="inlineStr">
        <is>
          <t>Hazard Waste – June</t>
        </is>
      </c>
      <c r="G2357" s="3" t="inlineStr">
        <is>
          <t>Checking – Operating</t>
        </is>
      </c>
      <c r="H2357" s="3" t="inlineStr">
        <is>
          <t>Accounts Payable</t>
        </is>
      </c>
      <c r="I2357" s="33" t="n">
        <v>-998.36</v>
      </c>
      <c r="J2357" s="13">
        <f>+J2356+I2357</f>
        <v>320614.37</v>
      </c>
      <c r="K2357" s="19">
        <f>+EOMONTH(B2357,0)</f>
        <v>46234</v>
      </c>
      <c r="L2357" s="3" t="inlineStr">
        <is>
          <t>Accounts Payable</t>
        </is>
      </c>
      <c r="M2357" s="3" t="inlineStr">
        <is>
          <t>Balance Sheet</t>
        </is>
      </c>
    </row>
    <row r="2358">
      <c r="B2358" s="39" t="n">
        <v>46208</v>
      </c>
      <c r="C2358" s="3" t="inlineStr">
        <is>
          <t>Bill</t>
        </is>
      </c>
      <c r="D2358" s="3" t="inlineStr"/>
      <c r="E2358" s="3" t="inlineStr">
        <is>
          <t>Swiftmere Courier</t>
        </is>
      </c>
      <c r="F2358" s="3" t="inlineStr">
        <is>
          <t>Delivery and Transportation – July</t>
        </is>
      </c>
      <c r="G2358" s="3" t="inlineStr">
        <is>
          <t>Delivery and Transportation</t>
        </is>
      </c>
      <c r="H2358" s="3" t="inlineStr">
        <is>
          <t>Accounts Payable</t>
        </is>
      </c>
      <c r="I2358" s="33" t="n">
        <v>3967.65</v>
      </c>
      <c r="J2358" s="13">
        <f>+J2357+I2358</f>
        <v>324582.02</v>
      </c>
      <c r="K2358" s="19">
        <f>+EOMONTH(B2358,0)</f>
        <v>46234</v>
      </c>
      <c r="L2358" s="3" t="inlineStr">
        <is>
          <t>Accounts Payable</t>
        </is>
      </c>
      <c r="M2358" s="3" t="inlineStr">
        <is>
          <t>Balance Sheet</t>
        </is>
      </c>
    </row>
    <row r="2359">
      <c r="B2359" s="39" t="n">
        <v>46208</v>
      </c>
      <c r="C2359" s="3" t="inlineStr">
        <is>
          <t>Bill</t>
        </is>
      </c>
      <c r="D2359" s="3" t="inlineStr"/>
      <c r="E2359" s="3" t="inlineStr">
        <is>
          <t>Tarrowmere Mutual Insurance</t>
        </is>
      </c>
      <c r="F2359" s="3" t="inlineStr">
        <is>
          <t>Premium installment</t>
        </is>
      </c>
      <c r="G2359" s="3" t="inlineStr">
        <is>
          <t>Insurance Expense</t>
        </is>
      </c>
      <c r="H2359" s="3" t="inlineStr">
        <is>
          <t>Accounts Payable</t>
        </is>
      </c>
      <c r="I2359" s="33" t="n">
        <v>6399.11</v>
      </c>
      <c r="J2359" s="13">
        <f>+J2358+I2359</f>
        <v>330981.13</v>
      </c>
      <c r="K2359" s="19">
        <f>+EOMONTH(B2359,0)</f>
        <v>46234</v>
      </c>
      <c r="L2359" s="3" t="inlineStr">
        <is>
          <t>Accounts Payable</t>
        </is>
      </c>
      <c r="M2359" s="3" t="inlineStr">
        <is>
          <t>Balance Sheet</t>
        </is>
      </c>
    </row>
    <row r="2360">
      <c r="B2360" s="39" t="n">
        <v>46208</v>
      </c>
      <c r="C2360" s="3" t="inlineStr">
        <is>
          <t>Bill</t>
        </is>
      </c>
      <c r="D2360" s="3" t="inlineStr"/>
      <c r="E2360" s="3" t="inlineStr">
        <is>
          <t>Tarrowmere Mutual Insurance</t>
        </is>
      </c>
      <c r="F2360" s="3" t="inlineStr">
        <is>
          <t>Benefits – July</t>
        </is>
      </c>
      <c r="G2360" s="3" t="inlineStr">
        <is>
          <t>Benefits</t>
        </is>
      </c>
      <c r="H2360" s="3" t="inlineStr">
        <is>
          <t>Accounts Payable</t>
        </is>
      </c>
      <c r="I2360" s="33" t="n">
        <v>4526.4</v>
      </c>
      <c r="J2360" s="13">
        <f>+J2359+I2360</f>
        <v>335507.53</v>
      </c>
      <c r="K2360" s="19">
        <f>+EOMONTH(B2360,0)</f>
        <v>46234</v>
      </c>
      <c r="L2360" s="3" t="inlineStr">
        <is>
          <t>Accounts Payable</t>
        </is>
      </c>
      <c r="M2360" s="3" t="inlineStr">
        <is>
          <t>Balance Sheet</t>
        </is>
      </c>
    </row>
    <row r="2361">
      <c r="B2361" s="39" t="n">
        <v>46208</v>
      </c>
      <c r="C2361" s="3" t="inlineStr">
        <is>
          <t>Bill Payment (Check)</t>
        </is>
      </c>
      <c r="D2361" s="3" t="inlineStr">
        <is>
          <t>10479</t>
        </is>
      </c>
      <c r="E2361" s="3" t="inlineStr">
        <is>
          <t>Vialtrace Lab Supplies Inc</t>
        </is>
      </c>
      <c r="F2361" s="3" t="inlineStr">
        <is>
          <t>Lab supplies PO# F2162</t>
        </is>
      </c>
      <c r="G2361" s="3" t="inlineStr">
        <is>
          <t>Checking – Operating</t>
        </is>
      </c>
      <c r="H2361" s="3" t="inlineStr">
        <is>
          <t>Accounts Payable</t>
        </is>
      </c>
      <c r="I2361" s="33" t="n">
        <v>-21626.87</v>
      </c>
      <c r="J2361" s="13">
        <f>+J2360+I2361</f>
        <v>313880.66</v>
      </c>
      <c r="K2361" s="19">
        <f>+EOMONTH(B2361,0)</f>
        <v>46234</v>
      </c>
      <c r="L2361" s="3" t="inlineStr">
        <is>
          <t>Accounts Payable</t>
        </is>
      </c>
      <c r="M2361" s="3" t="inlineStr">
        <is>
          <t>Balance Sheet</t>
        </is>
      </c>
    </row>
    <row r="2362">
      <c r="B2362" s="39" t="n">
        <v>46208</v>
      </c>
      <c r="C2362" s="3" t="inlineStr">
        <is>
          <t>Bill Payment (Check)</t>
        </is>
      </c>
      <c r="D2362" s="3" t="inlineStr">
        <is>
          <t>11340</t>
        </is>
      </c>
      <c r="E2362" s="3" t="inlineStr">
        <is>
          <t>Union Utilities</t>
        </is>
      </c>
      <c r="F2362" s="3" t="inlineStr">
        <is>
          <t>Utilities – June</t>
        </is>
      </c>
      <c r="G2362" s="3" t="inlineStr">
        <is>
          <t>Checking – Operating</t>
        </is>
      </c>
      <c r="H2362" s="3" t="inlineStr">
        <is>
          <t>Accounts Payable</t>
        </is>
      </c>
      <c r="I2362" s="33" t="n">
        <v>-2943.27</v>
      </c>
      <c r="J2362" s="13">
        <f>+J2361+I2362</f>
        <v>310937.39</v>
      </c>
      <c r="K2362" s="19">
        <f>+EOMONTH(B2362,0)</f>
        <v>46234</v>
      </c>
      <c r="L2362" s="3" t="inlineStr">
        <is>
          <t>Accounts Payable</t>
        </is>
      </c>
      <c r="M2362" s="3" t="inlineStr">
        <is>
          <t>Balance Sheet</t>
        </is>
      </c>
    </row>
    <row r="2363">
      <c r="B2363" s="39" t="n">
        <v>46210</v>
      </c>
      <c r="C2363" s="3" t="inlineStr">
        <is>
          <t>Bill Payment (Check)</t>
        </is>
      </c>
      <c r="D2363" s="3" t="inlineStr">
        <is>
          <t>10517</t>
        </is>
      </c>
      <c r="E2363" s="3" t="inlineStr">
        <is>
          <t>Reference Lab A</t>
        </is>
      </c>
      <c r="F2363" s="3" t="inlineStr">
        <is>
          <t>Send-out testing – June</t>
        </is>
      </c>
      <c r="G2363" s="3" t="inlineStr">
        <is>
          <t>Checking – Operating</t>
        </is>
      </c>
      <c r="H2363" s="3" t="inlineStr">
        <is>
          <t>Accounts Payable</t>
        </is>
      </c>
      <c r="I2363" s="33" t="n">
        <v>-14237.39</v>
      </c>
      <c r="J2363" s="13">
        <f>+J2362+I2363</f>
        <v>296700</v>
      </c>
      <c r="K2363" s="19">
        <f>+EOMONTH(B2363,0)</f>
        <v>46234</v>
      </c>
      <c r="L2363" s="3" t="inlineStr">
        <is>
          <t>Accounts Payable</t>
        </is>
      </c>
      <c r="M2363" s="3" t="inlineStr">
        <is>
          <t>Balance Sheet</t>
        </is>
      </c>
    </row>
    <row r="2364">
      <c r="B2364" s="39" t="n">
        <v>46210</v>
      </c>
      <c r="C2364" s="3" t="inlineStr">
        <is>
          <t>Bill Payment (Check)</t>
        </is>
      </c>
      <c r="D2364" s="3" t="inlineStr">
        <is>
          <t>10706</t>
        </is>
      </c>
      <c r="E2364" s="3" t="inlineStr">
        <is>
          <t>Tarrowmere Mutual Insurance</t>
        </is>
      </c>
      <c r="F2364" s="3" t="inlineStr">
        <is>
          <t>Premium installment</t>
        </is>
      </c>
      <c r="G2364" s="3" t="inlineStr">
        <is>
          <t>Checking – Operating</t>
        </is>
      </c>
      <c r="H2364" s="3" t="inlineStr">
        <is>
          <t>Accounts Payable</t>
        </is>
      </c>
      <c r="I2364" s="33" t="n">
        <v>-3359.68</v>
      </c>
      <c r="J2364" s="13">
        <f>+J2363+I2364</f>
        <v>293340.32</v>
      </c>
      <c r="K2364" s="19">
        <f>+EOMONTH(B2364,0)</f>
        <v>46234</v>
      </c>
      <c r="L2364" s="3" t="inlineStr">
        <is>
          <t>Accounts Payable</t>
        </is>
      </c>
      <c r="M2364" s="3" t="inlineStr">
        <is>
          <t>Balance Sheet</t>
        </is>
      </c>
    </row>
    <row r="2365">
      <c r="B2365" s="39" t="n">
        <v>46211</v>
      </c>
      <c r="C2365" s="3" t="inlineStr">
        <is>
          <t>Bill</t>
        </is>
      </c>
      <c r="D2365" s="3" t="inlineStr"/>
      <c r="E2365" s="3" t="inlineStr">
        <is>
          <t>Tarrowmere Mutual Insurance</t>
        </is>
      </c>
      <c r="F2365" s="3" t="inlineStr">
        <is>
          <t>Benefits – July</t>
        </is>
      </c>
      <c r="G2365" s="3" t="inlineStr">
        <is>
          <t>Benefits</t>
        </is>
      </c>
      <c r="H2365" s="3" t="inlineStr">
        <is>
          <t>Accounts Payable</t>
        </is>
      </c>
      <c r="I2365" s="33" t="n">
        <v>4430.76</v>
      </c>
      <c r="J2365" s="13">
        <f>+J2364+I2365</f>
        <v>297771.08</v>
      </c>
      <c r="K2365" s="19">
        <f>+EOMONTH(B2365,0)</f>
        <v>46234</v>
      </c>
      <c r="L2365" s="3" t="inlineStr">
        <is>
          <t>Accounts Payable</t>
        </is>
      </c>
      <c r="M2365" s="3" t="inlineStr">
        <is>
          <t>Balance Sheet</t>
        </is>
      </c>
    </row>
    <row r="2366">
      <c r="B2366" s="39" t="n">
        <v>46212</v>
      </c>
      <c r="C2366" s="3" t="inlineStr">
        <is>
          <t>Bill</t>
        </is>
      </c>
      <c r="D2366" s="3" t="inlineStr"/>
      <c r="E2366" s="3" t="inlineStr">
        <is>
          <t>Reagentix Corp</t>
        </is>
      </c>
      <c r="F2366" s="3" t="inlineStr">
        <is>
          <t>Lab supplies PO# F2059</t>
        </is>
      </c>
      <c r="G2366" s="3" t="inlineStr">
        <is>
          <t>Reagents</t>
        </is>
      </c>
      <c r="H2366" s="3" t="inlineStr">
        <is>
          <t>Accounts Payable</t>
        </is>
      </c>
      <c r="I2366" s="33" t="n">
        <v>8549.879999999999</v>
      </c>
      <c r="J2366" s="13">
        <f>+J2365+I2366</f>
        <v>306320.96</v>
      </c>
      <c r="K2366" s="19">
        <f>+EOMONTH(B2366,0)</f>
        <v>46234</v>
      </c>
      <c r="L2366" s="3" t="inlineStr">
        <is>
          <t>Accounts Payable</t>
        </is>
      </c>
      <c r="M2366" s="3" t="inlineStr">
        <is>
          <t>Balance Sheet</t>
        </is>
      </c>
    </row>
    <row r="2367">
      <c r="B2367" s="39" t="n">
        <v>46212</v>
      </c>
      <c r="C2367" s="3" t="inlineStr">
        <is>
          <t>Bill</t>
        </is>
      </c>
      <c r="D2367" s="3" t="inlineStr"/>
      <c r="E2367" s="3" t="inlineStr">
        <is>
          <t>Lumenlease Equipment</t>
        </is>
      </c>
      <c r="F2367" s="3" t="inlineStr">
        <is>
          <t>Lab Equipment – July</t>
        </is>
      </c>
      <c r="G2367" s="3" t="inlineStr">
        <is>
          <t>Lab Equipment</t>
        </is>
      </c>
      <c r="H2367" s="3" t="inlineStr">
        <is>
          <t>Accounts Payable</t>
        </is>
      </c>
      <c r="I2367" s="33" t="n">
        <v>3213.18</v>
      </c>
      <c r="J2367" s="13">
        <f>+J2366+I2367</f>
        <v>309534.14</v>
      </c>
      <c r="K2367" s="19">
        <f>+EOMONTH(B2367,0)</f>
        <v>46234</v>
      </c>
      <c r="L2367" s="3" t="inlineStr">
        <is>
          <t>Accounts Payable</t>
        </is>
      </c>
      <c r="M2367" s="3" t="inlineStr">
        <is>
          <t>Balance Sheet</t>
        </is>
      </c>
    </row>
    <row r="2368">
      <c r="B2368" s="39" t="n">
        <v>46212</v>
      </c>
      <c r="C2368" s="3" t="inlineStr">
        <is>
          <t>Bill Payment (Check)</t>
        </is>
      </c>
      <c r="D2368" s="3" t="inlineStr">
        <is>
          <t>10520</t>
        </is>
      </c>
      <c r="E2368" s="3" t="inlineStr">
        <is>
          <t>Reference Lab A</t>
        </is>
      </c>
      <c r="F2368" s="3" t="inlineStr">
        <is>
          <t>Send-out testing – June</t>
        </is>
      </c>
      <c r="G2368" s="3" t="inlineStr">
        <is>
          <t>Checking – Operating</t>
        </is>
      </c>
      <c r="H2368" s="3" t="inlineStr">
        <is>
          <t>Accounts Payable</t>
        </is>
      </c>
      <c r="I2368" s="33" t="n">
        <v>-10827.2</v>
      </c>
      <c r="J2368" s="13">
        <f>+J2367+I2368</f>
        <v>298706.94</v>
      </c>
      <c r="K2368" s="19">
        <f>+EOMONTH(B2368,0)</f>
        <v>46234</v>
      </c>
      <c r="L2368" s="3" t="inlineStr">
        <is>
          <t>Accounts Payable</t>
        </is>
      </c>
      <c r="M2368" s="3" t="inlineStr">
        <is>
          <t>Balance Sheet</t>
        </is>
      </c>
    </row>
    <row r="2369">
      <c r="B2369" s="39" t="n">
        <v>46212</v>
      </c>
      <c r="C2369" s="3" t="inlineStr">
        <is>
          <t>Bill Payment (Check)</t>
        </is>
      </c>
      <c r="D2369" s="3" t="inlineStr">
        <is>
          <t>11154</t>
        </is>
      </c>
      <c r="E2369" s="3" t="inlineStr">
        <is>
          <t>Tarrowmere Mutual Insurance</t>
        </is>
      </c>
      <c r="F2369" s="3" t="inlineStr">
        <is>
          <t>Benefits – June</t>
        </is>
      </c>
      <c r="G2369" s="3" t="inlineStr">
        <is>
          <t>Checking – Operating</t>
        </is>
      </c>
      <c r="H2369" s="3" t="inlineStr">
        <is>
          <t>Accounts Payable</t>
        </is>
      </c>
      <c r="I2369" s="33" t="n">
        <v>-8368.940000000001</v>
      </c>
      <c r="J2369" s="13">
        <f>+J2368+I2369</f>
        <v>290338</v>
      </c>
      <c r="K2369" s="19">
        <f>+EOMONTH(B2369,0)</f>
        <v>46234</v>
      </c>
      <c r="L2369" s="3" t="inlineStr">
        <is>
          <t>Accounts Payable</t>
        </is>
      </c>
      <c r="M2369" s="3" t="inlineStr">
        <is>
          <t>Balance Sheet</t>
        </is>
      </c>
    </row>
    <row r="2370">
      <c r="B2370" s="39" t="n">
        <v>46213</v>
      </c>
      <c r="C2370" s="3" t="inlineStr">
        <is>
          <t>Bill</t>
        </is>
      </c>
      <c r="D2370" s="3" t="inlineStr"/>
      <c r="E2370" s="3" t="inlineStr">
        <is>
          <t>Vialtrace Lab Supplies Inc</t>
        </is>
      </c>
      <c r="F2370" s="3" t="inlineStr">
        <is>
          <t>Lab Expenses – July</t>
        </is>
      </c>
      <c r="G2370" s="3" t="inlineStr">
        <is>
          <t>Lab Expenses</t>
        </is>
      </c>
      <c r="H2370" s="3" t="inlineStr">
        <is>
          <t>Accounts Payable</t>
        </is>
      </c>
      <c r="I2370" s="33" t="n">
        <v>7864.13</v>
      </c>
      <c r="J2370" s="13">
        <f>+J2369+I2370</f>
        <v>298202.13</v>
      </c>
      <c r="K2370" s="19">
        <f>+EOMONTH(B2370,0)</f>
        <v>46234</v>
      </c>
      <c r="L2370" s="3" t="inlineStr">
        <is>
          <t>Accounts Payable</t>
        </is>
      </c>
      <c r="M2370" s="3" t="inlineStr">
        <is>
          <t>Balance Sheet</t>
        </is>
      </c>
    </row>
    <row r="2371">
      <c r="B2371" s="39" t="n">
        <v>46213</v>
      </c>
      <c r="C2371" s="3" t="inlineStr">
        <is>
          <t>Bill Payment (Check)</t>
        </is>
      </c>
      <c r="D2371" s="3" t="inlineStr">
        <is>
          <t>10708</t>
        </is>
      </c>
      <c r="E2371" s="3" t="inlineStr">
        <is>
          <t>Tarrowmere Mutual Insurance</t>
        </is>
      </c>
      <c r="F2371" s="3" t="inlineStr">
        <is>
          <t>Premium installment</t>
        </is>
      </c>
      <c r="G2371" s="3" t="inlineStr">
        <is>
          <t>Checking – Operating</t>
        </is>
      </c>
      <c r="H2371" s="3" t="inlineStr">
        <is>
          <t>Accounts Payable</t>
        </is>
      </c>
      <c r="I2371" s="33" t="n">
        <v>-3626.38</v>
      </c>
      <c r="J2371" s="13">
        <f>+J2370+I2371</f>
        <v>294575.75</v>
      </c>
      <c r="K2371" s="19">
        <f>+EOMONTH(B2371,0)</f>
        <v>46234</v>
      </c>
      <c r="L2371" s="3" t="inlineStr">
        <is>
          <t>Accounts Payable</t>
        </is>
      </c>
      <c r="M2371" s="3" t="inlineStr">
        <is>
          <t>Balance Sheet</t>
        </is>
      </c>
    </row>
    <row r="2372">
      <c r="B2372" s="39" t="n">
        <v>46213</v>
      </c>
      <c r="C2372" s="3" t="inlineStr">
        <is>
          <t>Bill Payment (Check)</t>
        </is>
      </c>
      <c r="D2372" s="3" t="inlineStr">
        <is>
          <t>10747</t>
        </is>
      </c>
      <c r="E2372" s="3" t="inlineStr">
        <is>
          <t>Lumenlease Equipment</t>
        </is>
      </c>
      <c r="F2372" s="3" t="inlineStr">
        <is>
          <t>Equipment Lease – June</t>
        </is>
      </c>
      <c r="G2372" s="3" t="inlineStr">
        <is>
          <t>Checking – Operating</t>
        </is>
      </c>
      <c r="H2372" s="3" t="inlineStr">
        <is>
          <t>Accounts Payable</t>
        </is>
      </c>
      <c r="I2372" s="33" t="n">
        <v>-3529.09</v>
      </c>
      <c r="J2372" s="13">
        <f>+J2371+I2372</f>
        <v>291046.66</v>
      </c>
      <c r="K2372" s="19">
        <f>+EOMONTH(B2372,0)</f>
        <v>46234</v>
      </c>
      <c r="L2372" s="3" t="inlineStr">
        <is>
          <t>Accounts Payable</t>
        </is>
      </c>
      <c r="M2372" s="3" t="inlineStr">
        <is>
          <t>Balance Sheet</t>
        </is>
      </c>
    </row>
    <row r="2373">
      <c r="B2373" s="39" t="n">
        <v>46214</v>
      </c>
      <c r="C2373" s="3" t="inlineStr">
        <is>
          <t>Bill</t>
        </is>
      </c>
      <c r="D2373" s="3" t="inlineStr"/>
      <c r="E2373" s="3" t="inlineStr">
        <is>
          <t>Ledgerquill Billing SaaS</t>
        </is>
      </c>
      <c r="F2373" s="3" t="inlineStr">
        <is>
          <t>Billing Software as a Service – July</t>
        </is>
      </c>
      <c r="G2373" s="3" t="inlineStr">
        <is>
          <t>Billing Software as a Service</t>
        </is>
      </c>
      <c r="H2373" s="3" t="inlineStr">
        <is>
          <t>Accounts Payable</t>
        </is>
      </c>
      <c r="I2373" s="33" t="n">
        <v>15959.6</v>
      </c>
      <c r="J2373" s="13">
        <f>+J2372+I2373</f>
        <v>307006.26</v>
      </c>
      <c r="K2373" s="19">
        <f>+EOMONTH(B2373,0)</f>
        <v>46234</v>
      </c>
      <c r="L2373" s="3" t="inlineStr">
        <is>
          <t>Accounts Payable</t>
        </is>
      </c>
      <c r="M2373" s="3" t="inlineStr">
        <is>
          <t>Balance Sheet</t>
        </is>
      </c>
    </row>
    <row r="2374">
      <c r="B2374" s="39" t="n">
        <v>46214</v>
      </c>
      <c r="C2374" s="3" t="inlineStr">
        <is>
          <t>Bill Payment (Check)</t>
        </is>
      </c>
      <c r="D2374" s="3" t="inlineStr">
        <is>
          <t>10561</t>
        </is>
      </c>
      <c r="E2374" s="3" t="inlineStr">
        <is>
          <t>Reagentix Corp</t>
        </is>
      </c>
      <c r="F2374" s="3" t="inlineStr">
        <is>
          <t>Lab supplies PO# F2667</t>
        </is>
      </c>
      <c r="G2374" s="3" t="inlineStr">
        <is>
          <t>Checking – Operating</t>
        </is>
      </c>
      <c r="H2374" s="3" t="inlineStr">
        <is>
          <t>Accounts Payable</t>
        </is>
      </c>
      <c r="I2374" s="33" t="n">
        <v>-8280.23</v>
      </c>
      <c r="J2374" s="13">
        <f>+J2373+I2374</f>
        <v>298726.03</v>
      </c>
      <c r="K2374" s="19">
        <f>+EOMONTH(B2374,0)</f>
        <v>46234</v>
      </c>
      <c r="L2374" s="3" t="inlineStr">
        <is>
          <t>Accounts Payable</t>
        </is>
      </c>
      <c r="M2374" s="3" t="inlineStr">
        <is>
          <t>Balance Sheet</t>
        </is>
      </c>
    </row>
    <row r="2375">
      <c r="B2375" s="39" t="n">
        <v>46215</v>
      </c>
      <c r="C2375" s="3" t="inlineStr">
        <is>
          <t>Bill</t>
        </is>
      </c>
      <c r="D2375" s="3" t="inlineStr"/>
      <c r="E2375" s="3" t="inlineStr">
        <is>
          <t>Lumenlease Equipment</t>
        </is>
      </c>
      <c r="F2375" s="3" t="inlineStr">
        <is>
          <t>Lab Equipment – July</t>
        </is>
      </c>
      <c r="G2375" s="3" t="inlineStr">
        <is>
          <t>Lab Equipment</t>
        </is>
      </c>
      <c r="H2375" s="3" t="inlineStr">
        <is>
          <t>Accounts Payable</t>
        </is>
      </c>
      <c r="I2375" s="33" t="n">
        <v>2086.82</v>
      </c>
      <c r="J2375" s="13">
        <f>+J2374+I2375</f>
        <v>300812.85</v>
      </c>
      <c r="K2375" s="19">
        <f>+EOMONTH(B2375,0)</f>
        <v>46234</v>
      </c>
      <c r="L2375" s="3" t="inlineStr">
        <is>
          <t>Accounts Payable</t>
        </is>
      </c>
      <c r="M2375" s="3" t="inlineStr">
        <is>
          <t>Balance Sheet</t>
        </is>
      </c>
    </row>
    <row r="2376">
      <c r="B2376" s="39" t="n">
        <v>46216</v>
      </c>
      <c r="C2376" s="3" t="inlineStr">
        <is>
          <t>Bill</t>
        </is>
      </c>
      <c r="D2376" s="3" t="inlineStr"/>
      <c r="E2376" s="3" t="inlineStr">
        <is>
          <t>Reagentix Corp</t>
        </is>
      </c>
      <c r="F2376" s="3" t="inlineStr">
        <is>
          <t>Lab supplies PO# F2073</t>
        </is>
      </c>
      <c r="G2376" s="3" t="inlineStr">
        <is>
          <t>Reagents</t>
        </is>
      </c>
      <c r="H2376" s="3" t="inlineStr">
        <is>
          <t>Accounts Payable</t>
        </is>
      </c>
      <c r="I2376" s="33" t="n">
        <v>10748.29</v>
      </c>
      <c r="J2376" s="13">
        <f>+J2375+I2376</f>
        <v>311561.14</v>
      </c>
      <c r="K2376" s="19">
        <f>+EOMONTH(B2376,0)</f>
        <v>46234</v>
      </c>
      <c r="L2376" s="3" t="inlineStr">
        <is>
          <t>Accounts Payable</t>
        </is>
      </c>
      <c r="M2376" s="3" t="inlineStr">
        <is>
          <t>Balance Sheet</t>
        </is>
      </c>
    </row>
    <row r="2377">
      <c r="B2377" s="39" t="n">
        <v>46216</v>
      </c>
      <c r="C2377" s="3" t="inlineStr">
        <is>
          <t>Bill</t>
        </is>
      </c>
      <c r="D2377" s="3" t="inlineStr"/>
      <c r="E2377" s="3" t="inlineStr">
        <is>
          <t>Halloway Ridge Realty (rent)</t>
        </is>
      </c>
      <c r="F2377" s="3" t="inlineStr">
        <is>
          <t>Rent – July</t>
        </is>
      </c>
      <c r="G2377" s="3" t="inlineStr">
        <is>
          <t>Rent Expense</t>
        </is>
      </c>
      <c r="H2377" s="3" t="inlineStr">
        <is>
          <t>Accounts Payable</t>
        </is>
      </c>
      <c r="I2377" s="33" t="n">
        <v>19161.3</v>
      </c>
      <c r="J2377" s="13">
        <f>+J2376+I2377</f>
        <v>330722.44</v>
      </c>
      <c r="K2377" s="19">
        <f>+EOMONTH(B2377,0)</f>
        <v>46234</v>
      </c>
      <c r="L2377" s="3" t="inlineStr">
        <is>
          <t>Accounts Payable</t>
        </is>
      </c>
      <c r="M2377" s="3" t="inlineStr">
        <is>
          <t>Balance Sheet</t>
        </is>
      </c>
    </row>
    <row r="2378">
      <c r="B2378" s="39" t="n">
        <v>46216</v>
      </c>
      <c r="C2378" s="3" t="inlineStr">
        <is>
          <t>Bill Payment (Check)</t>
        </is>
      </c>
      <c r="D2378" s="3" t="inlineStr">
        <is>
          <t>11237</t>
        </is>
      </c>
      <c r="E2378" s="3" t="inlineStr">
        <is>
          <t>Ledgerquill Billing SaaS</t>
        </is>
      </c>
      <c r="F2378" s="3" t="inlineStr">
        <is>
          <t>Billing Software as a Service – June</t>
        </is>
      </c>
      <c r="G2378" s="3" t="inlineStr">
        <is>
          <t>Checking – Operating</t>
        </is>
      </c>
      <c r="H2378" s="3" t="inlineStr">
        <is>
          <t>Accounts Payable</t>
        </is>
      </c>
      <c r="I2378" s="33" t="n">
        <v>-13721.3</v>
      </c>
      <c r="J2378" s="13">
        <f>+J2377+I2378</f>
        <v>317001.14</v>
      </c>
      <c r="K2378" s="19">
        <f>+EOMONTH(B2378,0)</f>
        <v>46234</v>
      </c>
      <c r="L2378" s="3" t="inlineStr">
        <is>
          <t>Accounts Payable</t>
        </is>
      </c>
      <c r="M2378" s="3" t="inlineStr">
        <is>
          <t>Balance Sheet</t>
        </is>
      </c>
    </row>
    <row r="2379">
      <c r="B2379" s="39" t="n">
        <v>46216</v>
      </c>
      <c r="C2379" s="3" t="inlineStr">
        <is>
          <t>Bill Payment (Check)</t>
        </is>
      </c>
      <c r="D2379" s="3" t="inlineStr">
        <is>
          <t>11339</t>
        </is>
      </c>
      <c r="E2379" s="3" t="inlineStr">
        <is>
          <t>Union Utilities</t>
        </is>
      </c>
      <c r="F2379" s="3" t="inlineStr">
        <is>
          <t>Utilities – June</t>
        </is>
      </c>
      <c r="G2379" s="3" t="inlineStr">
        <is>
          <t>Checking – Operating</t>
        </is>
      </c>
      <c r="H2379" s="3" t="inlineStr">
        <is>
          <t>Accounts Payable</t>
        </is>
      </c>
      <c r="I2379" s="33" t="n">
        <v>-4056.73</v>
      </c>
      <c r="J2379" s="13">
        <f>+J2378+I2379</f>
        <v>312944.41</v>
      </c>
      <c r="K2379" s="19">
        <f>+EOMONTH(B2379,0)</f>
        <v>46234</v>
      </c>
      <c r="L2379" s="3" t="inlineStr">
        <is>
          <t>Accounts Payable</t>
        </is>
      </c>
      <c r="M2379" s="3" t="inlineStr">
        <is>
          <t>Balance Sheet</t>
        </is>
      </c>
    </row>
    <row r="2380">
      <c r="B2380" s="39" t="n">
        <v>46217</v>
      </c>
      <c r="C2380" s="3" t="inlineStr">
        <is>
          <t>Bill</t>
        </is>
      </c>
      <c r="D2380" s="3" t="inlineStr"/>
      <c r="E2380" s="3" t="inlineStr">
        <is>
          <t>Reagentix Corp</t>
        </is>
      </c>
      <c r="F2380" s="3" t="inlineStr">
        <is>
          <t>Lab supplies PO# F2343</t>
        </is>
      </c>
      <c r="G2380" s="3" t="inlineStr">
        <is>
          <t>Reagents</t>
        </is>
      </c>
      <c r="H2380" s="3" t="inlineStr">
        <is>
          <t>Accounts Payable</t>
        </is>
      </c>
      <c r="I2380" s="33" t="n">
        <v>11167.52</v>
      </c>
      <c r="J2380" s="13">
        <f>+J2379+I2380</f>
        <v>324111.93</v>
      </c>
      <c r="K2380" s="19">
        <f>+EOMONTH(B2380,0)</f>
        <v>46234</v>
      </c>
      <c r="L2380" s="3" t="inlineStr">
        <is>
          <t>Accounts Payable</t>
        </is>
      </c>
      <c r="M2380" s="3" t="inlineStr">
        <is>
          <t>Balance Sheet</t>
        </is>
      </c>
    </row>
    <row r="2381">
      <c r="B2381" s="39" t="n">
        <v>46217</v>
      </c>
      <c r="C2381" s="3" t="inlineStr">
        <is>
          <t>Bill</t>
        </is>
      </c>
      <c r="D2381" s="3" t="inlineStr"/>
      <c r="E2381" s="3" t="inlineStr">
        <is>
          <t>Tarrowmere Mutual Insurance</t>
        </is>
      </c>
      <c r="F2381" s="3" t="inlineStr">
        <is>
          <t>Premium installment</t>
        </is>
      </c>
      <c r="G2381" s="3" t="inlineStr">
        <is>
          <t>Insurance Expense</t>
        </is>
      </c>
      <c r="H2381" s="3" t="inlineStr">
        <is>
          <t>Accounts Payable</t>
        </is>
      </c>
      <c r="I2381" s="33" t="n">
        <v>6799.4</v>
      </c>
      <c r="J2381" s="13">
        <f>+J2380+I2381</f>
        <v>330911.33</v>
      </c>
      <c r="K2381" s="19">
        <f>+EOMONTH(B2381,0)</f>
        <v>46234</v>
      </c>
      <c r="L2381" s="3" t="inlineStr">
        <is>
          <t>Accounts Payable</t>
        </is>
      </c>
      <c r="M2381" s="3" t="inlineStr">
        <is>
          <t>Balance Sheet</t>
        </is>
      </c>
    </row>
    <row r="2382">
      <c r="B2382" s="39" t="n">
        <v>46217</v>
      </c>
      <c r="C2382" s="3" t="inlineStr">
        <is>
          <t>Bill Payment (Check)</t>
        </is>
      </c>
      <c r="D2382" s="3" t="inlineStr">
        <is>
          <t>10433</t>
        </is>
      </c>
      <c r="E2382" s="3" t="inlineStr">
        <is>
          <t>Reagentix Corp</t>
        </is>
      </c>
      <c r="F2382" s="3" t="inlineStr">
        <is>
          <t>Lab Expenses – June</t>
        </is>
      </c>
      <c r="G2382" s="3" t="inlineStr">
        <is>
          <t>Checking – Operating</t>
        </is>
      </c>
      <c r="H2382" s="3" t="inlineStr">
        <is>
          <t>Accounts Payable</t>
        </is>
      </c>
      <c r="I2382" s="33" t="n">
        <v>-5093.9</v>
      </c>
      <c r="J2382" s="13">
        <f>+J2381+I2382</f>
        <v>325817.43</v>
      </c>
      <c r="K2382" s="19">
        <f>+EOMONTH(B2382,0)</f>
        <v>46234</v>
      </c>
      <c r="L2382" s="3" t="inlineStr">
        <is>
          <t>Accounts Payable</t>
        </is>
      </c>
      <c r="M2382" s="3" t="inlineStr">
        <is>
          <t>Balance Sheet</t>
        </is>
      </c>
    </row>
    <row r="2383">
      <c r="B2383" s="39" t="n">
        <v>46217</v>
      </c>
      <c r="C2383" s="3" t="inlineStr">
        <is>
          <t>Bill Payment (Check)</t>
        </is>
      </c>
      <c r="D2383" s="3" t="inlineStr">
        <is>
          <t>10709</t>
        </is>
      </c>
      <c r="E2383" s="3" t="inlineStr">
        <is>
          <t>Tarrowmere Mutual Insurance</t>
        </is>
      </c>
      <c r="F2383" s="3" t="inlineStr">
        <is>
          <t>Premium installment</t>
        </is>
      </c>
      <c r="G2383" s="3" t="inlineStr">
        <is>
          <t>Checking – Operating</t>
        </is>
      </c>
      <c r="H2383" s="3" t="inlineStr">
        <is>
          <t>Accounts Payable</t>
        </is>
      </c>
      <c r="I2383" s="33" t="n">
        <v>-3555.24</v>
      </c>
      <c r="J2383" s="13">
        <f>+J2382+I2383</f>
        <v>322262.19</v>
      </c>
      <c r="K2383" s="19">
        <f>+EOMONTH(B2383,0)</f>
        <v>46234</v>
      </c>
      <c r="L2383" s="3" t="inlineStr">
        <is>
          <t>Accounts Payable</t>
        </is>
      </c>
      <c r="M2383" s="3" t="inlineStr">
        <is>
          <t>Balance Sheet</t>
        </is>
      </c>
    </row>
    <row r="2384">
      <c r="B2384" s="39" t="n">
        <v>46218</v>
      </c>
      <c r="C2384" s="3" t="inlineStr">
        <is>
          <t>Bill Payment (Check)</t>
        </is>
      </c>
      <c r="D2384" s="3" t="inlineStr">
        <is>
          <t>11241</t>
        </is>
      </c>
      <c r="E2384" s="3" t="inlineStr">
        <is>
          <t>Ledgerquill Billing SaaS</t>
        </is>
      </c>
      <c r="F2384" s="3" t="inlineStr">
        <is>
          <t>Billing Software as a Service – June</t>
        </is>
      </c>
      <c r="G2384" s="3" t="inlineStr">
        <is>
          <t>Checking – Operating</t>
        </is>
      </c>
      <c r="H2384" s="3" t="inlineStr">
        <is>
          <t>Accounts Payable</t>
        </is>
      </c>
      <c r="I2384" s="33" t="n">
        <v>-16584.79</v>
      </c>
      <c r="J2384" s="13">
        <f>+J2383+I2384</f>
        <v>305677.4</v>
      </c>
      <c r="K2384" s="19">
        <f>+EOMONTH(B2384,0)</f>
        <v>46234</v>
      </c>
      <c r="L2384" s="3" t="inlineStr">
        <is>
          <t>Accounts Payable</t>
        </is>
      </c>
      <c r="M2384" s="3" t="inlineStr">
        <is>
          <t>Balance Sheet</t>
        </is>
      </c>
    </row>
    <row r="2385">
      <c r="B2385" s="39" t="n">
        <v>46220</v>
      </c>
      <c r="C2385" s="3" t="inlineStr">
        <is>
          <t>Bill</t>
        </is>
      </c>
      <c r="D2385" s="3" t="inlineStr"/>
      <c r="E2385" s="3" t="inlineStr">
        <is>
          <t>Reagentix Corp</t>
        </is>
      </c>
      <c r="F2385" s="3" t="inlineStr">
        <is>
          <t>Lab supplies PO# F2130</t>
        </is>
      </c>
      <c r="G2385" s="3" t="inlineStr">
        <is>
          <t>Reagents</t>
        </is>
      </c>
      <c r="H2385" s="3" t="inlineStr">
        <is>
          <t>Accounts Payable</t>
        </is>
      </c>
      <c r="I2385" s="33" t="n">
        <v>8513.73</v>
      </c>
      <c r="J2385" s="13">
        <f>+J2384+I2385</f>
        <v>314191.13</v>
      </c>
      <c r="K2385" s="19">
        <f>+EOMONTH(B2385,0)</f>
        <v>46234</v>
      </c>
      <c r="L2385" s="3" t="inlineStr">
        <is>
          <t>Accounts Payable</t>
        </is>
      </c>
      <c r="M2385" s="3" t="inlineStr">
        <is>
          <t>Balance Sheet</t>
        </is>
      </c>
    </row>
    <row r="2386">
      <c r="B2386" s="39" t="n">
        <v>46220</v>
      </c>
      <c r="C2386" s="3" t="inlineStr">
        <is>
          <t>Bill Payment (Check)</t>
        </is>
      </c>
      <c r="D2386" s="3" t="inlineStr">
        <is>
          <t>10478</t>
        </is>
      </c>
      <c r="E2386" s="3" t="inlineStr">
        <is>
          <t>Reagentix Corp</t>
        </is>
      </c>
      <c r="F2386" s="3" t="inlineStr">
        <is>
          <t>Lab supplies PO# F2782</t>
        </is>
      </c>
      <c r="G2386" s="3" t="inlineStr">
        <is>
          <t>Checking – Operating</t>
        </is>
      </c>
      <c r="H2386" s="3" t="inlineStr">
        <is>
          <t>Accounts Payable</t>
        </is>
      </c>
      <c r="I2386" s="33" t="n">
        <v>-26503.39</v>
      </c>
      <c r="J2386" s="13">
        <f>+J2385+I2386</f>
        <v>287687.74</v>
      </c>
      <c r="K2386" s="19">
        <f>+EOMONTH(B2386,0)</f>
        <v>46234</v>
      </c>
      <c r="L2386" s="3" t="inlineStr">
        <is>
          <t>Accounts Payable</t>
        </is>
      </c>
      <c r="M2386" s="3" t="inlineStr">
        <is>
          <t>Balance Sheet</t>
        </is>
      </c>
    </row>
    <row r="2387">
      <c r="B2387" s="39" t="n">
        <v>46220</v>
      </c>
      <c r="C2387" s="3" t="inlineStr">
        <is>
          <t>Bill Payment (Check)</t>
        </is>
      </c>
      <c r="D2387" s="3" t="inlineStr">
        <is>
          <t>10650</t>
        </is>
      </c>
      <c r="E2387" s="3" t="inlineStr">
        <is>
          <t>Swiftmere Courier</t>
        </is>
      </c>
      <c r="F2387" s="3" t="inlineStr">
        <is>
          <t>Delivery and Transportation – July</t>
        </is>
      </c>
      <c r="G2387" s="3" t="inlineStr">
        <is>
          <t>Checking – Operating</t>
        </is>
      </c>
      <c r="H2387" s="3" t="inlineStr">
        <is>
          <t>Accounts Payable</t>
        </is>
      </c>
      <c r="I2387" s="33" t="n">
        <v>-3967.65</v>
      </c>
      <c r="J2387" s="13">
        <f>+J2386+I2387</f>
        <v>283720.09</v>
      </c>
      <c r="K2387" s="19">
        <f>+EOMONTH(B2387,0)</f>
        <v>46234</v>
      </c>
      <c r="L2387" s="3" t="inlineStr">
        <is>
          <t>Accounts Payable</t>
        </is>
      </c>
      <c r="M2387" s="3" t="inlineStr">
        <is>
          <t>Balance Sheet</t>
        </is>
      </c>
    </row>
    <row r="2388">
      <c r="B2388" s="39" t="n">
        <v>46220</v>
      </c>
      <c r="C2388" s="3" t="inlineStr">
        <is>
          <t>Bill Payment (Check)</t>
        </is>
      </c>
      <c r="D2388" s="3" t="inlineStr">
        <is>
          <t>10749</t>
        </is>
      </c>
      <c r="E2388" s="3" t="inlineStr">
        <is>
          <t>Lumenlease Equipment</t>
        </is>
      </c>
      <c r="F2388" s="3" t="inlineStr">
        <is>
          <t>Equipment Lease – July</t>
        </is>
      </c>
      <c r="G2388" s="3" t="inlineStr">
        <is>
          <t>Checking – Operating</t>
        </is>
      </c>
      <c r="H2388" s="3" t="inlineStr">
        <is>
          <t>Accounts Payable</t>
        </is>
      </c>
      <c r="I2388" s="33" t="n">
        <v>-2481.52</v>
      </c>
      <c r="J2388" s="13">
        <f>+J2387+I2388</f>
        <v>281238.57</v>
      </c>
      <c r="K2388" s="19">
        <f>+EOMONTH(B2388,0)</f>
        <v>46234</v>
      </c>
      <c r="L2388" s="3" t="inlineStr">
        <is>
          <t>Accounts Payable</t>
        </is>
      </c>
      <c r="M2388" s="3" t="inlineStr">
        <is>
          <t>Balance Sheet</t>
        </is>
      </c>
    </row>
    <row r="2389">
      <c r="B2389" s="39" t="n">
        <v>46220</v>
      </c>
      <c r="C2389" s="3" t="inlineStr">
        <is>
          <t>Bill Payment (Check)</t>
        </is>
      </c>
      <c r="D2389" s="3" t="inlineStr">
        <is>
          <t>10917</t>
        </is>
      </c>
      <c r="E2389" s="3" t="inlineStr">
        <is>
          <t>Halloway Ridge Realty (rent)</t>
        </is>
      </c>
      <c r="F2389" s="3" t="inlineStr">
        <is>
          <t>Rent – June</t>
        </is>
      </c>
      <c r="G2389" s="3" t="inlineStr">
        <is>
          <t>Checking – Operating</t>
        </is>
      </c>
      <c r="H2389" s="3" t="inlineStr">
        <is>
          <t>Accounts Payable</t>
        </is>
      </c>
      <c r="I2389" s="33" t="n">
        <v>-17474.56</v>
      </c>
      <c r="J2389" s="13">
        <f>+J2388+I2389</f>
        <v>263764.01</v>
      </c>
      <c r="K2389" s="19">
        <f>+EOMONTH(B2389,0)</f>
        <v>46234</v>
      </c>
      <c r="L2389" s="3" t="inlineStr">
        <is>
          <t>Accounts Payable</t>
        </is>
      </c>
      <c r="M2389" s="3" t="inlineStr">
        <is>
          <t>Balance Sheet</t>
        </is>
      </c>
    </row>
    <row r="2390">
      <c r="B2390" s="39" t="n">
        <v>46220</v>
      </c>
      <c r="C2390" s="3" t="inlineStr">
        <is>
          <t>Bill Payment (Check)</t>
        </is>
      </c>
      <c r="D2390" s="3" t="inlineStr">
        <is>
          <t>10918</t>
        </is>
      </c>
      <c r="E2390" s="3" t="inlineStr">
        <is>
          <t>Halloway Ridge Realty (rent)</t>
        </is>
      </c>
      <c r="F2390" s="3" t="inlineStr">
        <is>
          <t>Rent – June</t>
        </is>
      </c>
      <c r="G2390" s="3" t="inlineStr">
        <is>
          <t>Checking – Operating</t>
        </is>
      </c>
      <c r="H2390" s="3" t="inlineStr">
        <is>
          <t>Accounts Payable</t>
        </is>
      </c>
      <c r="I2390" s="33" t="n">
        <v>-12327.29</v>
      </c>
      <c r="J2390" s="13">
        <f>+J2389+I2390</f>
        <v>251436.72</v>
      </c>
      <c r="K2390" s="19">
        <f>+EOMONTH(B2390,0)</f>
        <v>46234</v>
      </c>
      <c r="L2390" s="3" t="inlineStr">
        <is>
          <t>Accounts Payable</t>
        </is>
      </c>
      <c r="M2390" s="3" t="inlineStr">
        <is>
          <t>Balance Sheet</t>
        </is>
      </c>
    </row>
    <row r="2391">
      <c r="B2391" s="39" t="n">
        <v>46220</v>
      </c>
      <c r="C2391" s="3" t="inlineStr">
        <is>
          <t>Bill Payment (Check)</t>
        </is>
      </c>
      <c r="D2391" s="3" t="inlineStr">
        <is>
          <t>11157</t>
        </is>
      </c>
      <c r="E2391" s="3" t="inlineStr">
        <is>
          <t>Tarrowmere Mutual Insurance</t>
        </is>
      </c>
      <c r="F2391" s="3" t="inlineStr">
        <is>
          <t>Benefits – July</t>
        </is>
      </c>
      <c r="G2391" s="3" t="inlineStr">
        <is>
          <t>Checking – Operating</t>
        </is>
      </c>
      <c r="H2391" s="3" t="inlineStr">
        <is>
          <t>Accounts Payable</t>
        </is>
      </c>
      <c r="I2391" s="33" t="n">
        <v>-3204.16</v>
      </c>
      <c r="J2391" s="13">
        <f>+J2390+I2391</f>
        <v>248232.56</v>
      </c>
      <c r="K2391" s="19">
        <f>+EOMONTH(B2391,0)</f>
        <v>46234</v>
      </c>
      <c r="L2391" s="3" t="inlineStr">
        <is>
          <t>Accounts Payable</t>
        </is>
      </c>
      <c r="M2391" s="3" t="inlineStr">
        <is>
          <t>Balance Sheet</t>
        </is>
      </c>
    </row>
    <row r="2392">
      <c r="B2392" s="39" t="n">
        <v>46221</v>
      </c>
      <c r="C2392" s="3" t="inlineStr">
        <is>
          <t>Bill</t>
        </is>
      </c>
      <c r="D2392" s="3" t="inlineStr"/>
      <c r="E2392" s="3" t="inlineStr">
        <is>
          <t>Reference Lab A</t>
        </is>
      </c>
      <c r="F2392" s="3" t="inlineStr">
        <is>
          <t>Send-out testing – July</t>
        </is>
      </c>
      <c r="G2392" s="3" t="inlineStr">
        <is>
          <t>Laboratory Fees</t>
        </is>
      </c>
      <c r="H2392" s="3" t="inlineStr">
        <is>
          <t>Accounts Payable</t>
        </is>
      </c>
      <c r="I2392" s="33" t="n">
        <v>20581.72</v>
      </c>
      <c r="J2392" s="13">
        <f>+J2391+I2392</f>
        <v>268814.28</v>
      </c>
      <c r="K2392" s="19">
        <f>+EOMONTH(B2392,0)</f>
        <v>46234</v>
      </c>
      <c r="L2392" s="3" t="inlineStr">
        <is>
          <t>Accounts Payable</t>
        </is>
      </c>
      <c r="M2392" s="3" t="inlineStr">
        <is>
          <t>Balance Sheet</t>
        </is>
      </c>
    </row>
    <row r="2393">
      <c r="B2393" s="39" t="n">
        <v>46221</v>
      </c>
      <c r="C2393" s="3" t="inlineStr">
        <is>
          <t>Bill Payment (Check)</t>
        </is>
      </c>
      <c r="D2393" s="3" t="inlineStr">
        <is>
          <t>10712</t>
        </is>
      </c>
      <c r="E2393" s="3" t="inlineStr">
        <is>
          <t>Tarrowmere Mutual Insurance</t>
        </is>
      </c>
      <c r="F2393" s="3" t="inlineStr">
        <is>
          <t>Premium installment</t>
        </is>
      </c>
      <c r="G2393" s="3" t="inlineStr">
        <is>
          <t>Checking – Operating</t>
        </is>
      </c>
      <c r="H2393" s="3" t="inlineStr">
        <is>
          <t>Accounts Payable</t>
        </is>
      </c>
      <c r="I2393" s="33" t="n">
        <v>-6399.11</v>
      </c>
      <c r="J2393" s="13">
        <f>+J2392+I2393</f>
        <v>262415.17</v>
      </c>
      <c r="K2393" s="19">
        <f>+EOMONTH(B2393,0)</f>
        <v>46234</v>
      </c>
      <c r="L2393" s="3" t="inlineStr">
        <is>
          <t>Accounts Payable</t>
        </is>
      </c>
      <c r="M2393" s="3" t="inlineStr">
        <is>
          <t>Balance Sheet</t>
        </is>
      </c>
    </row>
    <row r="2394">
      <c r="B2394" s="39" t="n">
        <v>46221</v>
      </c>
      <c r="C2394" s="3" t="inlineStr">
        <is>
          <t>Bill Payment (Check)</t>
        </is>
      </c>
      <c r="D2394" s="3" t="inlineStr">
        <is>
          <t>11027</t>
        </is>
      </c>
      <c r="E2394" s="3" t="inlineStr">
        <is>
          <t>Northmoor Waste Services</t>
        </is>
      </c>
      <c r="F2394" s="3" t="inlineStr">
        <is>
          <t>Waste Removal – June</t>
        </is>
      </c>
      <c r="G2394" s="3" t="inlineStr">
        <is>
          <t>Checking – Operating</t>
        </is>
      </c>
      <c r="H2394" s="3" t="inlineStr">
        <is>
          <t>Accounts Payable</t>
        </is>
      </c>
      <c r="I2394" s="33" t="n">
        <v>-552.3</v>
      </c>
      <c r="J2394" s="13">
        <f>+J2393+I2394</f>
        <v>261862.87</v>
      </c>
      <c r="K2394" s="19">
        <f>+EOMONTH(B2394,0)</f>
        <v>46234</v>
      </c>
      <c r="L2394" s="3" t="inlineStr">
        <is>
          <t>Accounts Payable</t>
        </is>
      </c>
      <c r="M2394" s="3" t="inlineStr">
        <is>
          <t>Balance Sheet</t>
        </is>
      </c>
    </row>
    <row r="2395">
      <c r="B2395" s="39" t="n">
        <v>46222</v>
      </c>
      <c r="C2395" s="3" t="inlineStr">
        <is>
          <t>Bill</t>
        </is>
      </c>
      <c r="D2395" s="3" t="inlineStr"/>
      <c r="E2395" s="3" t="inlineStr">
        <is>
          <t>Tarrowmere Mutual Insurance</t>
        </is>
      </c>
      <c r="F2395" s="3" t="inlineStr">
        <is>
          <t>Benefits – July</t>
        </is>
      </c>
      <c r="G2395" s="3" t="inlineStr">
        <is>
          <t>Benefits</t>
        </is>
      </c>
      <c r="H2395" s="3" t="inlineStr">
        <is>
          <t>Accounts Payable</t>
        </is>
      </c>
      <c r="I2395" s="33" t="n">
        <v>5283.14</v>
      </c>
      <c r="J2395" s="13">
        <f>+J2394+I2395</f>
        <v>267146.01</v>
      </c>
      <c r="K2395" s="19">
        <f>+EOMONTH(B2395,0)</f>
        <v>46234</v>
      </c>
      <c r="L2395" s="3" t="inlineStr">
        <is>
          <t>Accounts Payable</t>
        </is>
      </c>
      <c r="M2395" s="3" t="inlineStr">
        <is>
          <t>Balance Sheet</t>
        </is>
      </c>
    </row>
    <row r="2396">
      <c r="B2396" s="39" t="n">
        <v>46222</v>
      </c>
      <c r="C2396" s="3" t="inlineStr">
        <is>
          <t>Bill</t>
        </is>
      </c>
      <c r="D2396" s="3" t="inlineStr"/>
      <c r="E2396" s="3" t="inlineStr">
        <is>
          <t>Ledgerquill Billing SaaS</t>
        </is>
      </c>
      <c r="F2396" s="3" t="inlineStr">
        <is>
          <t>Billing Software as a Service – July</t>
        </is>
      </c>
      <c r="G2396" s="3" t="inlineStr">
        <is>
          <t>Billing Software as a Service</t>
        </is>
      </c>
      <c r="H2396" s="3" t="inlineStr">
        <is>
          <t>Accounts Payable</t>
        </is>
      </c>
      <c r="I2396" s="33" t="n">
        <v>17550.86</v>
      </c>
      <c r="J2396" s="13">
        <f>+J2395+I2396</f>
        <v>284696.87</v>
      </c>
      <c r="K2396" s="19">
        <f>+EOMONTH(B2396,0)</f>
        <v>46234</v>
      </c>
      <c r="L2396" s="3" t="inlineStr">
        <is>
          <t>Accounts Payable</t>
        </is>
      </c>
      <c r="M2396" s="3" t="inlineStr">
        <is>
          <t>Balance Sheet</t>
        </is>
      </c>
    </row>
    <row r="2397">
      <c r="B2397" s="39" t="n">
        <v>46222</v>
      </c>
      <c r="C2397" s="3" t="inlineStr">
        <is>
          <t>Bill Payment (Check)</t>
        </is>
      </c>
      <c r="D2397" s="3" t="inlineStr">
        <is>
          <t>11239</t>
        </is>
      </c>
      <c r="E2397" s="3" t="inlineStr">
        <is>
          <t>Ledgerquill Billing SaaS</t>
        </is>
      </c>
      <c r="F2397" s="3" t="inlineStr">
        <is>
          <t>Billing Software as a Service – June</t>
        </is>
      </c>
      <c r="G2397" s="3" t="inlineStr">
        <is>
          <t>Checking – Operating</t>
        </is>
      </c>
      <c r="H2397" s="3" t="inlineStr">
        <is>
          <t>Accounts Payable</t>
        </is>
      </c>
      <c r="I2397" s="33" t="n">
        <v>-12291.89</v>
      </c>
      <c r="J2397" s="13">
        <f>+J2396+I2397</f>
        <v>272404.98</v>
      </c>
      <c r="K2397" s="19">
        <f>+EOMONTH(B2397,0)</f>
        <v>46234</v>
      </c>
      <c r="L2397" s="3" t="inlineStr">
        <is>
          <t>Accounts Payable</t>
        </is>
      </c>
      <c r="M2397" s="3" t="inlineStr">
        <is>
          <t>Balance Sheet</t>
        </is>
      </c>
    </row>
    <row r="2398">
      <c r="B2398" s="39" t="n">
        <v>46223</v>
      </c>
      <c r="C2398" s="3" t="inlineStr">
        <is>
          <t>Bill</t>
        </is>
      </c>
      <c r="D2398" s="3" t="inlineStr"/>
      <c r="E2398" s="3" t="inlineStr">
        <is>
          <t>Reagentix Corp</t>
        </is>
      </c>
      <c r="F2398" s="3" t="inlineStr">
        <is>
          <t>Lab supplies PO# F2167</t>
        </is>
      </c>
      <c r="G2398" s="3" t="inlineStr">
        <is>
          <t>Lab Supplies</t>
        </is>
      </c>
      <c r="H2398" s="3" t="inlineStr">
        <is>
          <t>Accounts Payable</t>
        </is>
      </c>
      <c r="I2398" s="33" t="n">
        <v>36420.58</v>
      </c>
      <c r="J2398" s="13">
        <f>+J2397+I2398</f>
        <v>308825.56</v>
      </c>
      <c r="K2398" s="19">
        <f>+EOMONTH(B2398,0)</f>
        <v>46234</v>
      </c>
      <c r="L2398" s="3" t="inlineStr">
        <is>
          <t>Accounts Payable</t>
        </is>
      </c>
      <c r="M2398" s="3" t="inlineStr">
        <is>
          <t>Balance Sheet</t>
        </is>
      </c>
    </row>
    <row r="2399">
      <c r="B2399" s="39" t="n">
        <v>46223</v>
      </c>
      <c r="C2399" s="3" t="inlineStr">
        <is>
          <t>Bill</t>
        </is>
      </c>
      <c r="D2399" s="3" t="inlineStr"/>
      <c r="E2399" s="3" t="inlineStr">
        <is>
          <t>Reagentix Corp</t>
        </is>
      </c>
      <c r="F2399" s="3" t="inlineStr">
        <is>
          <t>Lab supplies PO# F2135</t>
        </is>
      </c>
      <c r="G2399" s="3" t="inlineStr">
        <is>
          <t>Lab Supplies</t>
        </is>
      </c>
      <c r="H2399" s="3" t="inlineStr">
        <is>
          <t>Accounts Payable</t>
        </is>
      </c>
      <c r="I2399" s="33" t="n">
        <v>33575.81</v>
      </c>
      <c r="J2399" s="13">
        <f>+J2398+I2399</f>
        <v>342401.37</v>
      </c>
      <c r="K2399" s="19">
        <f>+EOMONTH(B2399,0)</f>
        <v>46234</v>
      </c>
      <c r="L2399" s="3" t="inlineStr">
        <is>
          <t>Accounts Payable</t>
        </is>
      </c>
      <c r="M2399" s="3" t="inlineStr">
        <is>
          <t>Balance Sheet</t>
        </is>
      </c>
    </row>
    <row r="2400">
      <c r="B2400" s="39" t="n">
        <v>46224</v>
      </c>
      <c r="C2400" s="3" t="inlineStr">
        <is>
          <t>Bill</t>
        </is>
      </c>
      <c r="D2400" s="3" t="inlineStr"/>
      <c r="E2400" s="3" t="inlineStr">
        <is>
          <t>Tarrowmere Mutual Insurance</t>
        </is>
      </c>
      <c r="F2400" s="3" t="inlineStr">
        <is>
          <t>Benefits – July</t>
        </is>
      </c>
      <c r="G2400" s="3" t="inlineStr">
        <is>
          <t>Benefits</t>
        </is>
      </c>
      <c r="H2400" s="3" t="inlineStr">
        <is>
          <t>Accounts Payable</t>
        </is>
      </c>
      <c r="I2400" s="33" t="n">
        <v>4855.54</v>
      </c>
      <c r="J2400" s="13">
        <f>+J2399+I2400</f>
        <v>347256.91</v>
      </c>
      <c r="K2400" s="19">
        <f>+EOMONTH(B2400,0)</f>
        <v>46234</v>
      </c>
      <c r="L2400" s="3" t="inlineStr">
        <is>
          <t>Accounts Payable</t>
        </is>
      </c>
      <c r="M2400" s="3" t="inlineStr">
        <is>
          <t>Balance Sheet</t>
        </is>
      </c>
    </row>
    <row r="2401">
      <c r="B2401" s="39" t="n">
        <v>46225</v>
      </c>
      <c r="C2401" s="3" t="inlineStr">
        <is>
          <t>Bill Payment (Check)</t>
        </is>
      </c>
      <c r="D2401" s="3" t="inlineStr">
        <is>
          <t>10518</t>
        </is>
      </c>
      <c r="E2401" s="3" t="inlineStr">
        <is>
          <t>Reference Lab A</t>
        </is>
      </c>
      <c r="F2401" s="3" t="inlineStr">
        <is>
          <t>Send-out testing – June</t>
        </is>
      </c>
      <c r="G2401" s="3" t="inlineStr">
        <is>
          <t>Checking – Operating</t>
        </is>
      </c>
      <c r="H2401" s="3" t="inlineStr">
        <is>
          <t>Accounts Payable</t>
        </is>
      </c>
      <c r="I2401" s="33" t="n">
        <v>-19842.33</v>
      </c>
      <c r="J2401" s="13">
        <f>+J2400+I2401</f>
        <v>327414.58</v>
      </c>
      <c r="K2401" s="19">
        <f>+EOMONTH(B2401,0)</f>
        <v>46234</v>
      </c>
      <c r="L2401" s="3" t="inlineStr">
        <is>
          <t>Accounts Payable</t>
        </is>
      </c>
      <c r="M2401" s="3" t="inlineStr">
        <is>
          <t>Balance Sheet</t>
        </is>
      </c>
    </row>
    <row r="2402">
      <c r="B2402" s="39" t="n">
        <v>46225</v>
      </c>
      <c r="C2402" s="3" t="inlineStr">
        <is>
          <t>Bill Payment (Check)</t>
        </is>
      </c>
      <c r="D2402" s="3" t="inlineStr">
        <is>
          <t>10678</t>
        </is>
      </c>
      <c r="E2402" s="3" t="inlineStr">
        <is>
          <t>Lumenlease Equipment</t>
        </is>
      </c>
      <c r="F2402" s="3" t="inlineStr">
        <is>
          <t>Lab Equipment – June</t>
        </is>
      </c>
      <c r="G2402" s="3" t="inlineStr">
        <is>
          <t>Checking – Operating</t>
        </is>
      </c>
      <c r="H2402" s="3" t="inlineStr">
        <is>
          <t>Accounts Payable</t>
        </is>
      </c>
      <c r="I2402" s="33" t="n">
        <v>-2390.2</v>
      </c>
      <c r="J2402" s="13">
        <f>+J2401+I2402</f>
        <v>325024.38</v>
      </c>
      <c r="K2402" s="19">
        <f>+EOMONTH(B2402,0)</f>
        <v>46234</v>
      </c>
      <c r="L2402" s="3" t="inlineStr">
        <is>
          <t>Accounts Payable</t>
        </is>
      </c>
      <c r="M2402" s="3" t="inlineStr">
        <is>
          <t>Balance Sheet</t>
        </is>
      </c>
    </row>
    <row r="2403">
      <c r="B2403" s="39" t="n">
        <v>46226</v>
      </c>
      <c r="C2403" s="3" t="inlineStr">
        <is>
          <t>Bill</t>
        </is>
      </c>
      <c r="D2403" s="3" t="inlineStr"/>
      <c r="E2403" s="3" t="inlineStr">
        <is>
          <t>Vialtrace Lab Supplies Inc</t>
        </is>
      </c>
      <c r="F2403" s="3" t="inlineStr">
        <is>
          <t>Lab Expenses – July</t>
        </is>
      </c>
      <c r="G2403" s="3" t="inlineStr">
        <is>
          <t>Lab Expenses</t>
        </is>
      </c>
      <c r="H2403" s="3" t="inlineStr">
        <is>
          <t>Accounts Payable</t>
        </is>
      </c>
      <c r="I2403" s="33" t="n">
        <v>5005.48</v>
      </c>
      <c r="J2403" s="13">
        <f>+J2402+I2403</f>
        <v>330029.86</v>
      </c>
      <c r="K2403" s="19">
        <f>+EOMONTH(B2403,0)</f>
        <v>46234</v>
      </c>
      <c r="L2403" s="3" t="inlineStr">
        <is>
          <t>Accounts Payable</t>
        </is>
      </c>
      <c r="M2403" s="3" t="inlineStr">
        <is>
          <t>Balance Sheet</t>
        </is>
      </c>
    </row>
    <row r="2404">
      <c r="B2404" s="39" t="n">
        <v>46226</v>
      </c>
      <c r="C2404" s="3" t="inlineStr">
        <is>
          <t>Bill</t>
        </is>
      </c>
      <c r="D2404" s="3" t="inlineStr"/>
      <c r="E2404" s="3" t="inlineStr">
        <is>
          <t>Reference Lab A</t>
        </is>
      </c>
      <c r="F2404" s="3" t="inlineStr">
        <is>
          <t>Send-out testing – July</t>
        </is>
      </c>
      <c r="G2404" s="3" t="inlineStr">
        <is>
          <t>Laboratory Fees</t>
        </is>
      </c>
      <c r="H2404" s="3" t="inlineStr">
        <is>
          <t>Accounts Payable</t>
        </is>
      </c>
      <c r="I2404" s="33" t="n">
        <v>27841.75</v>
      </c>
      <c r="J2404" s="13">
        <f>+J2403+I2404</f>
        <v>357871.61</v>
      </c>
      <c r="K2404" s="19">
        <f>+EOMONTH(B2404,0)</f>
        <v>46234</v>
      </c>
      <c r="L2404" s="3" t="inlineStr">
        <is>
          <t>Accounts Payable</t>
        </is>
      </c>
      <c r="M2404" s="3" t="inlineStr">
        <is>
          <t>Balance Sheet</t>
        </is>
      </c>
    </row>
    <row r="2405">
      <c r="B2405" s="39" t="n">
        <v>46226</v>
      </c>
      <c r="C2405" s="3" t="inlineStr">
        <is>
          <t>Bill</t>
        </is>
      </c>
      <c r="D2405" s="3" t="inlineStr"/>
      <c r="E2405" s="3" t="inlineStr">
        <is>
          <t>Union Utilities</t>
        </is>
      </c>
      <c r="F2405" s="3" t="inlineStr">
        <is>
          <t>Utilities – July</t>
        </is>
      </c>
      <c r="G2405" s="3" t="inlineStr">
        <is>
          <t>Utilities</t>
        </is>
      </c>
      <c r="H2405" s="3" t="inlineStr">
        <is>
          <t>Accounts Payable</t>
        </is>
      </c>
      <c r="I2405" s="33" t="n">
        <v>3763.05</v>
      </c>
      <c r="J2405" s="13">
        <f>+J2404+I2405</f>
        <v>361634.66</v>
      </c>
      <c r="K2405" s="19">
        <f>+EOMONTH(B2405,0)</f>
        <v>46234</v>
      </c>
      <c r="L2405" s="3" t="inlineStr">
        <is>
          <t>Accounts Payable</t>
        </is>
      </c>
      <c r="M2405" s="3" t="inlineStr">
        <is>
          <t>Balance Sheet</t>
        </is>
      </c>
    </row>
    <row r="2406">
      <c r="B2406" s="39" t="n">
        <v>46226</v>
      </c>
      <c r="C2406" s="3" t="inlineStr">
        <is>
          <t>Bill Payment (Check)</t>
        </is>
      </c>
      <c r="D2406" s="3" t="inlineStr">
        <is>
          <t>10677</t>
        </is>
      </c>
      <c r="E2406" s="3" t="inlineStr">
        <is>
          <t>Lumenlease Equipment</t>
        </is>
      </c>
      <c r="F2406" s="3" t="inlineStr">
        <is>
          <t>Lab Equipment – June</t>
        </is>
      </c>
      <c r="G2406" s="3" t="inlineStr">
        <is>
          <t>Checking – Operating</t>
        </is>
      </c>
      <c r="H2406" s="3" t="inlineStr">
        <is>
          <t>Accounts Payable</t>
        </is>
      </c>
      <c r="I2406" s="33" t="n">
        <v>-3009.8</v>
      </c>
      <c r="J2406" s="13">
        <f>+J2405+I2406</f>
        <v>358624.86</v>
      </c>
      <c r="K2406" s="19">
        <f>+EOMONTH(B2406,0)</f>
        <v>46234</v>
      </c>
      <c r="L2406" s="3" t="inlineStr">
        <is>
          <t>Accounts Payable</t>
        </is>
      </c>
      <c r="M2406" s="3" t="inlineStr">
        <is>
          <t>Balance Sheet</t>
        </is>
      </c>
    </row>
    <row r="2407">
      <c r="B2407" s="39" t="n">
        <v>46227</v>
      </c>
      <c r="C2407" s="3" t="inlineStr">
        <is>
          <t>Bill Payment (Check)</t>
        </is>
      </c>
      <c r="D2407" s="3" t="inlineStr">
        <is>
          <t>11158</t>
        </is>
      </c>
      <c r="E2407" s="3" t="inlineStr">
        <is>
          <t>Tarrowmere Mutual Insurance</t>
        </is>
      </c>
      <c r="F2407" s="3" t="inlineStr">
        <is>
          <t>Benefits – July</t>
        </is>
      </c>
      <c r="G2407" s="3" t="inlineStr">
        <is>
          <t>Checking – Operating</t>
        </is>
      </c>
      <c r="H2407" s="3" t="inlineStr">
        <is>
          <t>Accounts Payable</t>
        </is>
      </c>
      <c r="I2407" s="33" t="n">
        <v>-4430.76</v>
      </c>
      <c r="J2407" s="13">
        <f>+J2406+I2407</f>
        <v>354194.1</v>
      </c>
      <c r="K2407" s="19">
        <f>+EOMONTH(B2407,0)</f>
        <v>46234</v>
      </c>
      <c r="L2407" s="3" t="inlineStr">
        <is>
          <t>Accounts Payable</t>
        </is>
      </c>
      <c r="M2407" s="3" t="inlineStr">
        <is>
          <t>Balance Sheet</t>
        </is>
      </c>
    </row>
    <row r="2408">
      <c r="B2408" s="39" t="n">
        <v>46228</v>
      </c>
      <c r="C2408" s="3" t="inlineStr">
        <is>
          <t>Bill</t>
        </is>
      </c>
      <c r="D2408" s="3" t="inlineStr"/>
      <c r="E2408" s="3" t="inlineStr">
        <is>
          <t>Reagentix Corp</t>
        </is>
      </c>
      <c r="F2408" s="3" t="inlineStr">
        <is>
          <t>Lab supplies PO# F2175</t>
        </is>
      </c>
      <c r="G2408" s="3" t="inlineStr">
        <is>
          <t>Reagents</t>
        </is>
      </c>
      <c r="H2408" s="3" t="inlineStr">
        <is>
          <t>Accounts Payable</t>
        </is>
      </c>
      <c r="I2408" s="33" t="n">
        <v>11820.58</v>
      </c>
      <c r="J2408" s="13">
        <f>+J2407+I2408</f>
        <v>366014.68</v>
      </c>
      <c r="K2408" s="19">
        <f>+EOMONTH(B2408,0)</f>
        <v>46234</v>
      </c>
      <c r="L2408" s="3" t="inlineStr">
        <is>
          <t>Accounts Payable</t>
        </is>
      </c>
      <c r="M2408" s="3" t="inlineStr">
        <is>
          <t>Balance Sheet</t>
        </is>
      </c>
    </row>
    <row r="2409">
      <c r="B2409" s="39" t="n">
        <v>46228</v>
      </c>
      <c r="C2409" s="3" t="inlineStr">
        <is>
          <t>Bill</t>
        </is>
      </c>
      <c r="D2409" s="3" t="inlineStr"/>
      <c r="E2409" s="3" t="inlineStr">
        <is>
          <t>Swiftmere Courier</t>
        </is>
      </c>
      <c r="F2409" s="3" t="inlineStr">
        <is>
          <t>Delivery and Transportation – July</t>
        </is>
      </c>
      <c r="G2409" s="3" t="inlineStr">
        <is>
          <t>Delivery and Transportation</t>
        </is>
      </c>
      <c r="H2409" s="3" t="inlineStr">
        <is>
          <t>Accounts Payable</t>
        </is>
      </c>
      <c r="I2409" s="33" t="n">
        <v>3632.35</v>
      </c>
      <c r="J2409" s="13">
        <f>+J2408+I2409</f>
        <v>369647.03</v>
      </c>
      <c r="K2409" s="19">
        <f>+EOMONTH(B2409,0)</f>
        <v>46234</v>
      </c>
      <c r="L2409" s="3" t="inlineStr">
        <is>
          <t>Accounts Payable</t>
        </is>
      </c>
      <c r="M2409" s="3" t="inlineStr">
        <is>
          <t>Balance Sheet</t>
        </is>
      </c>
    </row>
    <row r="2410">
      <c r="B2410" s="39" t="n">
        <v>46228</v>
      </c>
      <c r="C2410" s="3" t="inlineStr">
        <is>
          <t>Bill</t>
        </is>
      </c>
      <c r="D2410" s="3" t="inlineStr"/>
      <c r="E2410" s="3" t="inlineStr">
        <is>
          <t>Northmoor Waste Services</t>
        </is>
      </c>
      <c r="F2410" s="3" t="inlineStr">
        <is>
          <t>Waste Removal – July</t>
        </is>
      </c>
      <c r="G2410" s="3" t="inlineStr">
        <is>
          <t>Waste Removal</t>
        </is>
      </c>
      <c r="H2410" s="3" t="inlineStr">
        <is>
          <t>Accounts Payable</t>
        </is>
      </c>
      <c r="I2410" s="33" t="n">
        <v>652.95</v>
      </c>
      <c r="J2410" s="13">
        <f>+J2409+I2410</f>
        <v>370299.98</v>
      </c>
      <c r="K2410" s="19">
        <f>+EOMONTH(B2410,0)</f>
        <v>46234</v>
      </c>
      <c r="L2410" s="3" t="inlineStr">
        <is>
          <t>Accounts Payable</t>
        </is>
      </c>
      <c r="M2410" s="3" t="inlineStr">
        <is>
          <t>Balance Sheet</t>
        </is>
      </c>
    </row>
    <row r="2411">
      <c r="B2411" s="39" t="n">
        <v>46228</v>
      </c>
      <c r="C2411" s="3" t="inlineStr">
        <is>
          <t>Bill Payment (Check)</t>
        </is>
      </c>
      <c r="D2411" s="3" t="inlineStr">
        <is>
          <t>10519</t>
        </is>
      </c>
      <c r="E2411" s="3" t="inlineStr">
        <is>
          <t>Reference Lab A</t>
        </is>
      </c>
      <c r="F2411" s="3" t="inlineStr">
        <is>
          <t>Send-out testing – June</t>
        </is>
      </c>
      <c r="G2411" s="3" t="inlineStr">
        <is>
          <t>Checking – Operating</t>
        </is>
      </c>
      <c r="H2411" s="3" t="inlineStr">
        <is>
          <t>Accounts Payable</t>
        </is>
      </c>
      <c r="I2411" s="33" t="n">
        <v>-21193.08</v>
      </c>
      <c r="J2411" s="13">
        <f>+J2410+I2411</f>
        <v>349106.9</v>
      </c>
      <c r="K2411" s="19">
        <f>+EOMONTH(B2411,0)</f>
        <v>46234</v>
      </c>
      <c r="L2411" s="3" t="inlineStr">
        <is>
          <t>Accounts Payable</t>
        </is>
      </c>
      <c r="M2411" s="3" t="inlineStr">
        <is>
          <t>Balance Sheet</t>
        </is>
      </c>
    </row>
    <row r="2412">
      <c r="B2412" s="39" t="n">
        <v>46229</v>
      </c>
      <c r="C2412" s="3" t="inlineStr">
        <is>
          <t>Bill</t>
        </is>
      </c>
      <c r="D2412" s="3" t="inlineStr"/>
      <c r="E2412" s="3" t="inlineStr">
        <is>
          <t>Ledgerquill Billing SaaS</t>
        </is>
      </c>
      <c r="F2412" s="3" t="inlineStr">
        <is>
          <t>Billing Software as a Service – July</t>
        </is>
      </c>
      <c r="G2412" s="3" t="inlineStr">
        <is>
          <t>Billing Software as a Service</t>
        </is>
      </c>
      <c r="H2412" s="3" t="inlineStr">
        <is>
          <t>Accounts Payable</t>
        </is>
      </c>
      <c r="I2412" s="33" t="n">
        <v>14417.95</v>
      </c>
      <c r="J2412" s="13">
        <f>+J2411+I2412</f>
        <v>363524.85</v>
      </c>
      <c r="K2412" s="19">
        <f>+EOMONTH(B2412,0)</f>
        <v>46234</v>
      </c>
      <c r="L2412" s="3" t="inlineStr">
        <is>
          <t>Accounts Payable</t>
        </is>
      </c>
      <c r="M2412" s="3" t="inlineStr">
        <is>
          <t>Balance Sheet</t>
        </is>
      </c>
    </row>
    <row r="2413">
      <c r="B2413" s="39" t="n">
        <v>46230</v>
      </c>
      <c r="C2413" s="3" t="inlineStr">
        <is>
          <t>Bill</t>
        </is>
      </c>
      <c r="D2413" s="3" t="inlineStr"/>
      <c r="E2413" s="3" t="inlineStr">
        <is>
          <t>Northmoor Waste Services</t>
        </is>
      </c>
      <c r="F2413" s="3" t="inlineStr">
        <is>
          <t>Waste Removal – July</t>
        </is>
      </c>
      <c r="G2413" s="3" t="inlineStr">
        <is>
          <t>Waste Removal</t>
        </is>
      </c>
      <c r="H2413" s="3" t="inlineStr">
        <is>
          <t>Accounts Payable</t>
        </is>
      </c>
      <c r="I2413" s="33" t="n">
        <v>507.05</v>
      </c>
      <c r="J2413" s="13">
        <f>+J2412+I2413</f>
        <v>364031.9</v>
      </c>
      <c r="K2413" s="19">
        <f>+EOMONTH(B2413,0)</f>
        <v>46234</v>
      </c>
      <c r="L2413" s="3" t="inlineStr">
        <is>
          <t>Accounts Payable</t>
        </is>
      </c>
      <c r="M2413" s="3" t="inlineStr">
        <is>
          <t>Balance Sheet</t>
        </is>
      </c>
    </row>
    <row r="2414">
      <c r="B2414" s="39" t="n">
        <v>46230</v>
      </c>
      <c r="C2414" s="3" t="inlineStr">
        <is>
          <t>Bill Payment (Check)</t>
        </is>
      </c>
      <c r="D2414" s="3" t="inlineStr">
        <is>
          <t>10439</t>
        </is>
      </c>
      <c r="E2414" s="3" t="inlineStr">
        <is>
          <t>Reagentix Corp</t>
        </is>
      </c>
      <c r="F2414" s="3" t="inlineStr">
        <is>
          <t>Lab Expenses – July</t>
        </is>
      </c>
      <c r="G2414" s="3" t="inlineStr">
        <is>
          <t>Checking – Operating</t>
        </is>
      </c>
      <c r="H2414" s="3" t="inlineStr">
        <is>
          <t>Accounts Payable</t>
        </is>
      </c>
      <c r="I2414" s="33" t="n">
        <v>-3689.9</v>
      </c>
      <c r="J2414" s="13">
        <f>+J2413+I2414</f>
        <v>360342</v>
      </c>
      <c r="K2414" s="19">
        <f>+EOMONTH(B2414,0)</f>
        <v>46234</v>
      </c>
      <c r="L2414" s="3" t="inlineStr">
        <is>
          <t>Accounts Payable</t>
        </is>
      </c>
      <c r="M2414" s="3" t="inlineStr">
        <is>
          <t>Balance Sheet</t>
        </is>
      </c>
    </row>
    <row r="2415">
      <c r="B2415" s="39" t="n">
        <v>46230</v>
      </c>
      <c r="C2415" s="3" t="inlineStr">
        <is>
          <t>Bill Payment (Check)</t>
        </is>
      </c>
      <c r="D2415" s="3" t="inlineStr">
        <is>
          <t>10711</t>
        </is>
      </c>
      <c r="E2415" s="3" t="inlineStr">
        <is>
          <t>Tarrowmere Mutual Insurance</t>
        </is>
      </c>
      <c r="F2415" s="3" t="inlineStr">
        <is>
          <t>Premium installment</t>
        </is>
      </c>
      <c r="G2415" s="3" t="inlineStr">
        <is>
          <t>Checking – Operating</t>
        </is>
      </c>
      <c r="H2415" s="3" t="inlineStr">
        <is>
          <t>Accounts Payable</t>
        </is>
      </c>
      <c r="I2415" s="33" t="n">
        <v>-6799.4</v>
      </c>
      <c r="J2415" s="13">
        <f>+J2414+I2415</f>
        <v>353542.6</v>
      </c>
      <c r="K2415" s="19">
        <f>+EOMONTH(B2415,0)</f>
        <v>46234</v>
      </c>
      <c r="L2415" s="3" t="inlineStr">
        <is>
          <t>Accounts Payable</t>
        </is>
      </c>
      <c r="M2415" s="3" t="inlineStr">
        <is>
          <t>Balance Sheet</t>
        </is>
      </c>
    </row>
    <row r="2416">
      <c r="B2416" s="39" t="n">
        <v>46231</v>
      </c>
      <c r="C2416" s="3" t="inlineStr">
        <is>
          <t>Bill</t>
        </is>
      </c>
      <c r="D2416" s="3" t="inlineStr"/>
      <c r="E2416" s="3" t="inlineStr">
        <is>
          <t>Halloway Ridge Realty (rent)</t>
        </is>
      </c>
      <c r="F2416" s="3" t="inlineStr">
        <is>
          <t>Rent – July</t>
        </is>
      </c>
      <c r="G2416" s="3" t="inlineStr">
        <is>
          <t>Rent Expense</t>
        </is>
      </c>
      <c r="H2416" s="3" t="inlineStr">
        <is>
          <t>Accounts Payable</t>
        </is>
      </c>
      <c r="I2416" s="33" t="n">
        <v>12225.76</v>
      </c>
      <c r="J2416" s="13">
        <f>+J2415+I2416</f>
        <v>365768.36</v>
      </c>
      <c r="K2416" s="19">
        <f>+EOMONTH(B2416,0)</f>
        <v>46234</v>
      </c>
      <c r="L2416" s="3" t="inlineStr">
        <is>
          <t>Accounts Payable</t>
        </is>
      </c>
      <c r="M2416" s="3" t="inlineStr">
        <is>
          <t>Balance Sheet</t>
        </is>
      </c>
    </row>
    <row r="2417">
      <c r="B2417" s="39" t="n">
        <v>46231</v>
      </c>
      <c r="C2417" s="3" t="inlineStr">
        <is>
          <t>Bill</t>
        </is>
      </c>
      <c r="D2417" s="3" t="inlineStr"/>
      <c r="E2417" s="3" t="inlineStr">
        <is>
          <t>Ledgerquill Billing SaaS</t>
        </is>
      </c>
      <c r="F2417" s="3" t="inlineStr">
        <is>
          <t>Billing Software as a Service – July</t>
        </is>
      </c>
      <c r="G2417" s="3" t="inlineStr">
        <is>
          <t>Billing Software as a Service</t>
        </is>
      </c>
      <c r="H2417" s="3" t="inlineStr">
        <is>
          <t>Accounts Payable</t>
        </is>
      </c>
      <c r="I2417" s="33" t="n">
        <v>14171.59</v>
      </c>
      <c r="J2417" s="13">
        <f>+J2416+I2417</f>
        <v>379939.95</v>
      </c>
      <c r="K2417" s="19">
        <f>+EOMONTH(B2417,0)</f>
        <v>46234</v>
      </c>
      <c r="L2417" s="3" t="inlineStr">
        <is>
          <t>Accounts Payable</t>
        </is>
      </c>
      <c r="M2417" s="3" t="inlineStr">
        <is>
          <t>Balance Sheet</t>
        </is>
      </c>
    </row>
    <row r="2418">
      <c r="B2418" s="39" t="n">
        <v>46231</v>
      </c>
      <c r="C2418" s="3" t="inlineStr">
        <is>
          <t>Bill Payment (Check)</t>
        </is>
      </c>
      <c r="D2418" s="3" t="inlineStr">
        <is>
          <t>10482</t>
        </is>
      </c>
      <c r="E2418" s="3" t="inlineStr">
        <is>
          <t>Vialtrace Lab Supplies Inc</t>
        </is>
      </c>
      <c r="F2418" s="3" t="inlineStr">
        <is>
          <t>Lab supplies PO# F2796</t>
        </is>
      </c>
      <c r="G2418" s="3" t="inlineStr">
        <is>
          <t>Checking – Operating</t>
        </is>
      </c>
      <c r="H2418" s="3" t="inlineStr">
        <is>
          <t>Accounts Payable</t>
        </is>
      </c>
      <c r="I2418" s="33" t="n">
        <v>-36303.61</v>
      </c>
      <c r="J2418" s="13">
        <f>+J2417+I2418</f>
        <v>343636.34</v>
      </c>
      <c r="K2418" s="19">
        <f>+EOMONTH(B2418,0)</f>
        <v>46234</v>
      </c>
      <c r="L2418" s="3" t="inlineStr">
        <is>
          <t>Accounts Payable</t>
        </is>
      </c>
      <c r="M2418" s="3" t="inlineStr">
        <is>
          <t>Balance Sheet</t>
        </is>
      </c>
    </row>
    <row r="2419">
      <c r="B2419" s="39" t="n">
        <v>46231</v>
      </c>
      <c r="C2419" s="3" t="inlineStr">
        <is>
          <t>Bill Payment (Check)</t>
        </is>
      </c>
      <c r="D2419" s="3" t="inlineStr">
        <is>
          <t>10564</t>
        </is>
      </c>
      <c r="E2419" s="3" t="inlineStr">
        <is>
          <t>Reagentix Corp</t>
        </is>
      </c>
      <c r="F2419" s="3" t="inlineStr">
        <is>
          <t>Lab supplies PO# F2130</t>
        </is>
      </c>
      <c r="G2419" s="3" t="inlineStr">
        <is>
          <t>Checking – Operating</t>
        </is>
      </c>
      <c r="H2419" s="3" t="inlineStr">
        <is>
          <t>Accounts Payable</t>
        </is>
      </c>
      <c r="I2419" s="33" t="n">
        <v>-8513.73</v>
      </c>
      <c r="J2419" s="13">
        <f>+J2418+I2419</f>
        <v>335122.61</v>
      </c>
      <c r="K2419" s="19">
        <f>+EOMONTH(B2419,0)</f>
        <v>46234</v>
      </c>
      <c r="L2419" s="3" t="inlineStr">
        <is>
          <t>Accounts Payable</t>
        </is>
      </c>
      <c r="M2419" s="3" t="inlineStr">
        <is>
          <t>Balance Sheet</t>
        </is>
      </c>
    </row>
    <row r="2420">
      <c r="B2420" s="39" t="n">
        <v>46231</v>
      </c>
      <c r="C2420" s="3" t="inlineStr">
        <is>
          <t>Bill Payment (Check)</t>
        </is>
      </c>
      <c r="D2420" s="3" t="inlineStr">
        <is>
          <t>10647</t>
        </is>
      </c>
      <c r="E2420" s="3" t="inlineStr">
        <is>
          <t>Swiftmere Courier</t>
        </is>
      </c>
      <c r="F2420" s="3" t="inlineStr">
        <is>
          <t>Delivery and Transportation – June</t>
        </is>
      </c>
      <c r="G2420" s="3" t="inlineStr">
        <is>
          <t>Checking – Operating</t>
        </is>
      </c>
      <c r="H2420" s="3" t="inlineStr">
        <is>
          <t>Accounts Payable</t>
        </is>
      </c>
      <c r="I2420" s="33" t="n">
        <v>-3924.16</v>
      </c>
      <c r="J2420" s="13">
        <f>+J2419+I2420</f>
        <v>331198.45</v>
      </c>
      <c r="K2420" s="19">
        <f>+EOMONTH(B2420,0)</f>
        <v>46234</v>
      </c>
      <c r="L2420" s="3" t="inlineStr">
        <is>
          <t>Accounts Payable</t>
        </is>
      </c>
      <c r="M2420" s="3" t="inlineStr">
        <is>
          <t>Balance Sheet</t>
        </is>
      </c>
    </row>
    <row r="2421">
      <c r="B2421" s="39" t="n">
        <v>46231</v>
      </c>
      <c r="C2421" s="3" t="inlineStr">
        <is>
          <t>Bill Payment (Check)</t>
        </is>
      </c>
      <c r="D2421" s="3" t="inlineStr">
        <is>
          <t>10679</t>
        </is>
      </c>
      <c r="E2421" s="3" t="inlineStr">
        <is>
          <t>Lumenlease Equipment</t>
        </is>
      </c>
      <c r="F2421" s="3" t="inlineStr">
        <is>
          <t>Lab Equipment – July</t>
        </is>
      </c>
      <c r="G2421" s="3" t="inlineStr">
        <is>
          <t>Checking – Operating</t>
        </is>
      </c>
      <c r="H2421" s="3" t="inlineStr">
        <is>
          <t>Accounts Payable</t>
        </is>
      </c>
      <c r="I2421" s="33" t="n">
        <v>-2086.82</v>
      </c>
      <c r="J2421" s="13">
        <f>+J2420+I2421</f>
        <v>329111.63</v>
      </c>
      <c r="K2421" s="19">
        <f>+EOMONTH(B2421,0)</f>
        <v>46234</v>
      </c>
      <c r="L2421" s="3" t="inlineStr">
        <is>
          <t>Accounts Payable</t>
        </is>
      </c>
      <c r="M2421" s="3" t="inlineStr">
        <is>
          <t>Balance Sheet</t>
        </is>
      </c>
    </row>
    <row r="2422">
      <c r="B2422" s="39" t="n">
        <v>46231</v>
      </c>
      <c r="C2422" s="3" t="inlineStr">
        <is>
          <t>Bill Payment (Check)</t>
        </is>
      </c>
      <c r="D2422" s="3" t="inlineStr">
        <is>
          <t>10985</t>
        </is>
      </c>
      <c r="E2422" s="3" t="inlineStr">
        <is>
          <t>Northmoor Waste Services</t>
        </is>
      </c>
      <c r="F2422" s="3" t="inlineStr">
        <is>
          <t>Hazard Waste – July</t>
        </is>
      </c>
      <c r="G2422" s="3" t="inlineStr">
        <is>
          <t>Checking – Operating</t>
        </is>
      </c>
      <c r="H2422" s="3" t="inlineStr">
        <is>
          <t>Accounts Payable</t>
        </is>
      </c>
      <c r="I2422" s="33" t="n">
        <v>-1001.87</v>
      </c>
      <c r="J2422" s="13">
        <f>+J2421+I2422</f>
        <v>328109.76</v>
      </c>
      <c r="K2422" s="19">
        <f>+EOMONTH(B2422,0)</f>
        <v>46234</v>
      </c>
      <c r="L2422" s="3" t="inlineStr">
        <is>
          <t>Accounts Payable</t>
        </is>
      </c>
      <c r="M2422" s="3" t="inlineStr">
        <is>
          <t>Balance Sheet</t>
        </is>
      </c>
    </row>
    <row r="2423">
      <c r="B2423" s="39" t="n">
        <v>46231</v>
      </c>
      <c r="C2423" s="3" t="inlineStr">
        <is>
          <t>Bill Payment (Check)</t>
        </is>
      </c>
      <c r="D2423" s="3" t="inlineStr">
        <is>
          <t>11153</t>
        </is>
      </c>
      <c r="E2423" s="3" t="inlineStr">
        <is>
          <t>Tarrowmere Mutual Insurance</t>
        </is>
      </c>
      <c r="F2423" s="3" t="inlineStr">
        <is>
          <t>Benefits – June</t>
        </is>
      </c>
      <c r="G2423" s="3" t="inlineStr">
        <is>
          <t>Checking – Operating</t>
        </is>
      </c>
      <c r="H2423" s="3" t="inlineStr">
        <is>
          <t>Accounts Payable</t>
        </is>
      </c>
      <c r="I2423" s="33" t="n">
        <v>-8857.049999999999</v>
      </c>
      <c r="J2423" s="13">
        <f>+J2422+I2423</f>
        <v>319252.71</v>
      </c>
      <c r="K2423" s="19">
        <f>+EOMONTH(B2423,0)</f>
        <v>46234</v>
      </c>
      <c r="L2423" s="3" t="inlineStr">
        <is>
          <t>Accounts Payable</t>
        </is>
      </c>
      <c r="M2423" s="3" t="inlineStr">
        <is>
          <t>Balance Sheet</t>
        </is>
      </c>
    </row>
    <row r="2424">
      <c r="B2424" s="39" t="n">
        <v>46232</v>
      </c>
      <c r="C2424" s="3" t="inlineStr">
        <is>
          <t>Bill</t>
        </is>
      </c>
      <c r="D2424" s="3" t="inlineStr"/>
      <c r="E2424" s="3" t="inlineStr">
        <is>
          <t>Reference Lab A</t>
        </is>
      </c>
      <c r="F2424" s="3" t="inlineStr">
        <is>
          <t>Send-out testing – July</t>
        </is>
      </c>
      <c r="G2424" s="3" t="inlineStr">
        <is>
          <t>Laboratory Fees</t>
        </is>
      </c>
      <c r="H2424" s="3" t="inlineStr">
        <is>
          <t>Accounts Payable</t>
        </is>
      </c>
      <c r="I2424" s="33" t="n">
        <v>23076.53</v>
      </c>
      <c r="J2424" s="13">
        <f>+J2423+I2424</f>
        <v>342329.24</v>
      </c>
      <c r="K2424" s="19">
        <f>+EOMONTH(B2424,0)</f>
        <v>46234</v>
      </c>
      <c r="L2424" s="3" t="inlineStr">
        <is>
          <t>Accounts Payable</t>
        </is>
      </c>
      <c r="M2424" s="3" t="inlineStr">
        <is>
          <t>Balance Sheet</t>
        </is>
      </c>
    </row>
    <row r="2425">
      <c r="B2425" s="39" t="n">
        <v>46233</v>
      </c>
      <c r="C2425" s="3" t="inlineStr">
        <is>
          <t>Bill</t>
        </is>
      </c>
      <c r="D2425" s="3" t="inlineStr"/>
      <c r="E2425" s="3" t="inlineStr">
        <is>
          <t>Vialtrace Lab Supplies Inc</t>
        </is>
      </c>
      <c r="F2425" s="3" t="inlineStr">
        <is>
          <t>Lab Expenses – July</t>
        </is>
      </c>
      <c r="G2425" s="3" t="inlineStr">
        <is>
          <t>Lab Expenses</t>
        </is>
      </c>
      <c r="H2425" s="3" t="inlineStr">
        <is>
          <t>Accounts Payable</t>
        </is>
      </c>
      <c r="I2425" s="33" t="n">
        <v>4640.49</v>
      </c>
      <c r="J2425" s="13">
        <f>+J2424+I2425</f>
        <v>346969.73</v>
      </c>
      <c r="K2425" s="19">
        <f>+EOMONTH(B2425,0)</f>
        <v>46234</v>
      </c>
      <c r="L2425" s="3" t="inlineStr">
        <is>
          <t>Accounts Payable</t>
        </is>
      </c>
      <c r="M2425" s="3" t="inlineStr">
        <is>
          <t>Balance Sheet</t>
        </is>
      </c>
    </row>
    <row r="2426">
      <c r="B2426" s="39" t="n">
        <v>46233</v>
      </c>
      <c r="C2426" s="3" t="inlineStr">
        <is>
          <t>Bill</t>
        </is>
      </c>
      <c r="D2426" s="3" t="inlineStr"/>
      <c r="E2426" s="3" t="inlineStr">
        <is>
          <t>Halloway Ridge Realty (rent)</t>
        </is>
      </c>
      <c r="F2426" s="3" t="inlineStr">
        <is>
          <t>Rent – July</t>
        </is>
      </c>
      <c r="G2426" s="3" t="inlineStr">
        <is>
          <t>Rent Expense</t>
        </is>
      </c>
      <c r="H2426" s="3" t="inlineStr">
        <is>
          <t>Accounts Payable</t>
        </is>
      </c>
      <c r="I2426" s="33" t="n">
        <v>14612.94</v>
      </c>
      <c r="J2426" s="13">
        <f>+J2425+I2426</f>
        <v>361582.67</v>
      </c>
      <c r="K2426" s="19">
        <f>+EOMONTH(B2426,0)</f>
        <v>46234</v>
      </c>
      <c r="L2426" s="3" t="inlineStr">
        <is>
          <t>Accounts Payable</t>
        </is>
      </c>
      <c r="M2426" s="3" t="inlineStr">
        <is>
          <t>Balance Sheet</t>
        </is>
      </c>
    </row>
    <row r="2427">
      <c r="B2427" s="39" t="n">
        <v>46233</v>
      </c>
      <c r="C2427" s="3" t="inlineStr">
        <is>
          <t>Bill Payment (Check)</t>
        </is>
      </c>
      <c r="D2427" s="3" t="inlineStr">
        <is>
          <t>10680</t>
        </is>
      </c>
      <c r="E2427" s="3" t="inlineStr">
        <is>
          <t>Lumenlease Equipment</t>
        </is>
      </c>
      <c r="F2427" s="3" t="inlineStr">
        <is>
          <t>Lab Equipment – July</t>
        </is>
      </c>
      <c r="G2427" s="3" t="inlineStr">
        <is>
          <t>Checking – Operating</t>
        </is>
      </c>
      <c r="H2427" s="3" t="inlineStr">
        <is>
          <t>Accounts Payable</t>
        </is>
      </c>
      <c r="I2427" s="33" t="n">
        <v>-3213.18</v>
      </c>
      <c r="J2427" s="13">
        <f>+J2426+I2427</f>
        <v>358369.49</v>
      </c>
      <c r="K2427" s="19">
        <f>+EOMONTH(B2427,0)</f>
        <v>46234</v>
      </c>
      <c r="L2427" s="3" t="inlineStr">
        <is>
          <t>Accounts Payable</t>
        </is>
      </c>
      <c r="M2427" s="3" t="inlineStr">
        <is>
          <t>Balance Sheet</t>
        </is>
      </c>
    </row>
    <row r="2428">
      <c r="B2428" s="39" t="n">
        <v>46233</v>
      </c>
      <c r="C2428" s="3" t="inlineStr">
        <is>
          <t>Bill Payment (Check)</t>
        </is>
      </c>
      <c r="D2428" s="3" t="inlineStr">
        <is>
          <t>10710</t>
        </is>
      </c>
      <c r="E2428" s="3" t="inlineStr">
        <is>
          <t>Tarrowmere Mutual Insurance</t>
        </is>
      </c>
      <c r="F2428" s="3" t="inlineStr">
        <is>
          <t>Premium installment</t>
        </is>
      </c>
      <c r="G2428" s="3" t="inlineStr">
        <is>
          <t>Checking – Operating</t>
        </is>
      </c>
      <c r="H2428" s="3" t="inlineStr">
        <is>
          <t>Accounts Payable</t>
        </is>
      </c>
      <c r="I2428" s="33" t="n">
        <v>-6401.49</v>
      </c>
      <c r="J2428" s="13">
        <f>+J2427+I2428</f>
        <v>351968</v>
      </c>
      <c r="K2428" s="19">
        <f>+EOMONTH(B2428,0)</f>
        <v>46234</v>
      </c>
      <c r="L2428" s="3" t="inlineStr">
        <is>
          <t>Accounts Payable</t>
        </is>
      </c>
      <c r="M2428" s="3" t="inlineStr">
        <is>
          <t>Balance Sheet</t>
        </is>
      </c>
    </row>
    <row r="2429">
      <c r="B2429" s="39" t="n">
        <v>46233</v>
      </c>
      <c r="C2429" s="3" t="inlineStr">
        <is>
          <t>Bill Payment (Check)</t>
        </is>
      </c>
      <c r="D2429" s="3" t="inlineStr">
        <is>
          <t>11159</t>
        </is>
      </c>
      <c r="E2429" s="3" t="inlineStr">
        <is>
          <t>Tarrowmere Mutual Insurance</t>
        </is>
      </c>
      <c r="F2429" s="3" t="inlineStr">
        <is>
          <t>Benefits – July</t>
        </is>
      </c>
      <c r="G2429" s="3" t="inlineStr">
        <is>
          <t>Checking – Operating</t>
        </is>
      </c>
      <c r="H2429" s="3" t="inlineStr">
        <is>
          <t>Accounts Payable</t>
        </is>
      </c>
      <c r="I2429" s="33" t="n">
        <v>-4526.4</v>
      </c>
      <c r="J2429" s="13">
        <f>+J2428+I2429</f>
        <v>347441.6</v>
      </c>
      <c r="K2429" s="19">
        <f>+EOMONTH(B2429,0)</f>
        <v>46234</v>
      </c>
      <c r="L2429" s="3" t="inlineStr">
        <is>
          <t>Accounts Payable</t>
        </is>
      </c>
      <c r="M2429" s="3" t="inlineStr">
        <is>
          <t>Balance Sheet</t>
        </is>
      </c>
    </row>
    <row r="2430">
      <c r="B2430" s="39" t="n">
        <v>46234</v>
      </c>
      <c r="C2430" s="3" t="inlineStr">
        <is>
          <t>Bill</t>
        </is>
      </c>
      <c r="D2430" s="3" t="inlineStr"/>
      <c r="E2430" s="3" t="inlineStr">
        <is>
          <t>Union Utilities</t>
        </is>
      </c>
      <c r="F2430" s="3" t="inlineStr">
        <is>
          <t>Utilities – July</t>
        </is>
      </c>
      <c r="G2430" s="3" t="inlineStr">
        <is>
          <t>Utilities</t>
        </is>
      </c>
      <c r="H2430" s="3" t="inlineStr">
        <is>
          <t>Accounts Payable</t>
        </is>
      </c>
      <c r="I2430" s="33" t="n">
        <v>3436.95</v>
      </c>
      <c r="J2430" s="13">
        <f>+J2429+I2430</f>
        <v>350878.55</v>
      </c>
      <c r="K2430" s="19">
        <f>+EOMONTH(B2430,0)</f>
        <v>46234</v>
      </c>
      <c r="L2430" s="3" t="inlineStr">
        <is>
          <t>Accounts Payable</t>
        </is>
      </c>
      <c r="M2430" s="3" t="inlineStr">
        <is>
          <t>Balance Sheet</t>
        </is>
      </c>
    </row>
    <row r="2431">
      <c r="B2431" s="39" t="n">
        <v>46234</v>
      </c>
      <c r="C2431" s="3" t="inlineStr">
        <is>
          <t>Bill Payment (Check)</t>
        </is>
      </c>
      <c r="D2431" s="3" t="inlineStr">
        <is>
          <t>10986</t>
        </is>
      </c>
      <c r="E2431" s="3" t="inlineStr">
        <is>
          <t>Northmoor Waste Services</t>
        </is>
      </c>
      <c r="F2431" s="3" t="inlineStr">
        <is>
          <t>Hazard Waste – July</t>
        </is>
      </c>
      <c r="G2431" s="3" t="inlineStr">
        <is>
          <t>Checking – Operating</t>
        </is>
      </c>
      <c r="H2431" s="3" t="inlineStr">
        <is>
          <t>Accounts Payable</t>
        </is>
      </c>
      <c r="I2431" s="33" t="n">
        <v>-738.13</v>
      </c>
      <c r="J2431" s="13">
        <f>+J2430+I2431</f>
        <v>350140.42</v>
      </c>
      <c r="K2431" s="19">
        <f>+EOMONTH(B2431,0)</f>
        <v>46234</v>
      </c>
      <c r="L2431" s="3" t="inlineStr">
        <is>
          <t>Accounts Payable</t>
        </is>
      </c>
      <c r="M2431" s="3" t="inlineStr">
        <is>
          <t>Balance Sheet</t>
        </is>
      </c>
    </row>
    <row r="2432">
      <c r="B2432" s="39" t="n">
        <v>46235</v>
      </c>
      <c r="C2432" s="3" t="inlineStr">
        <is>
          <t>Bill</t>
        </is>
      </c>
      <c r="D2432" s="3" t="inlineStr"/>
      <c r="E2432" s="3" t="inlineStr">
        <is>
          <t>Vialtrace Lab Supplies Inc</t>
        </is>
      </c>
      <c r="F2432" s="3" t="inlineStr">
        <is>
          <t>Lab supplies PO# F2624</t>
        </is>
      </c>
      <c r="G2432" s="3" t="inlineStr">
        <is>
          <t>Lab Supplies</t>
        </is>
      </c>
      <c r="H2432" s="3" t="inlineStr">
        <is>
          <t>Accounts Payable</t>
        </is>
      </c>
      <c r="I2432" s="33" t="n">
        <v>13307.5</v>
      </c>
      <c r="J2432" s="13">
        <f>+J2431+I2432</f>
        <v>363447.92</v>
      </c>
      <c r="K2432" s="19">
        <f>+EOMONTH(B2432,0)</f>
        <v>46265</v>
      </c>
      <c r="L2432" s="3" t="inlineStr">
        <is>
          <t>Accounts Payable</t>
        </is>
      </c>
      <c r="M2432" s="3" t="inlineStr">
        <is>
          <t>Balance Sheet</t>
        </is>
      </c>
    </row>
    <row r="2433">
      <c r="B2433" s="39" t="n">
        <v>46235</v>
      </c>
      <c r="C2433" s="3" t="inlineStr">
        <is>
          <t>Bill</t>
        </is>
      </c>
      <c r="D2433" s="3" t="inlineStr"/>
      <c r="E2433" s="3" t="inlineStr">
        <is>
          <t>Lumenlease Equipment</t>
        </is>
      </c>
      <c r="F2433" s="3" t="inlineStr">
        <is>
          <t>Equipment Lease – August</t>
        </is>
      </c>
      <c r="G2433" s="3" t="inlineStr">
        <is>
          <t>Equipment Lease</t>
        </is>
      </c>
      <c r="H2433" s="3" t="inlineStr">
        <is>
          <t>Accounts Payable</t>
        </is>
      </c>
      <c r="I2433" s="33" t="n">
        <v>4027.13</v>
      </c>
      <c r="J2433" s="13">
        <f>+J2432+I2433</f>
        <v>367475.05</v>
      </c>
      <c r="K2433" s="19">
        <f>+EOMONTH(B2433,0)</f>
        <v>46265</v>
      </c>
      <c r="L2433" s="3" t="inlineStr">
        <is>
          <t>Accounts Payable</t>
        </is>
      </c>
      <c r="M2433" s="3" t="inlineStr">
        <is>
          <t>Balance Sheet</t>
        </is>
      </c>
    </row>
    <row r="2434">
      <c r="B2434" s="39" t="n">
        <v>46235</v>
      </c>
      <c r="C2434" s="3" t="inlineStr">
        <is>
          <t>Bill</t>
        </is>
      </c>
      <c r="D2434" s="3" t="inlineStr"/>
      <c r="E2434" s="3" t="inlineStr">
        <is>
          <t>Halloway Ridge Realty (rent)</t>
        </is>
      </c>
      <c r="F2434" s="3" t="inlineStr">
        <is>
          <t>Rent – August</t>
        </is>
      </c>
      <c r="G2434" s="3" t="inlineStr">
        <is>
          <t>Rent Expense</t>
        </is>
      </c>
      <c r="H2434" s="3" t="inlineStr">
        <is>
          <t>Accounts Payable</t>
        </is>
      </c>
      <c r="I2434" s="33" t="n">
        <v>6947.51</v>
      </c>
      <c r="J2434" s="13">
        <f>+J2433+I2434</f>
        <v>374422.56</v>
      </c>
      <c r="K2434" s="19">
        <f>+EOMONTH(B2434,0)</f>
        <v>46265</v>
      </c>
      <c r="L2434" s="3" t="inlineStr">
        <is>
          <t>Accounts Payable</t>
        </is>
      </c>
      <c r="M2434" s="3" t="inlineStr">
        <is>
          <t>Balance Sheet</t>
        </is>
      </c>
    </row>
    <row r="2435">
      <c r="B2435" s="39" t="n">
        <v>46235</v>
      </c>
      <c r="C2435" s="3" t="inlineStr">
        <is>
          <t>Bill</t>
        </is>
      </c>
      <c r="D2435" s="3" t="inlineStr"/>
      <c r="E2435" s="3" t="inlineStr">
        <is>
          <t>Tarrowmere Mutual Insurance</t>
        </is>
      </c>
      <c r="F2435" s="3" t="inlineStr">
        <is>
          <t>Benefits – August</t>
        </is>
      </c>
      <c r="G2435" s="3" t="inlineStr">
        <is>
          <t>Benefits</t>
        </is>
      </c>
      <c r="H2435" s="3" t="inlineStr">
        <is>
          <t>Accounts Payable</t>
        </is>
      </c>
      <c r="I2435" s="33" t="n">
        <v>5702.82</v>
      </c>
      <c r="J2435" s="13">
        <f>+J2434+I2435</f>
        <v>380125.38</v>
      </c>
      <c r="K2435" s="19">
        <f>+EOMONTH(B2435,0)</f>
        <v>46265</v>
      </c>
      <c r="L2435" s="3" t="inlineStr">
        <is>
          <t>Accounts Payable</t>
        </is>
      </c>
      <c r="M2435" s="3" t="inlineStr">
        <is>
          <t>Balance Sheet</t>
        </is>
      </c>
    </row>
    <row r="2436">
      <c r="B2436" s="39" t="n">
        <v>46235</v>
      </c>
      <c r="C2436" s="3" t="inlineStr">
        <is>
          <t>Bill</t>
        </is>
      </c>
      <c r="D2436" s="3" t="inlineStr"/>
      <c r="E2436" s="3" t="inlineStr">
        <is>
          <t>Tarrowmere Mutual Insurance</t>
        </is>
      </c>
      <c r="F2436" s="3" t="inlineStr">
        <is>
          <t>Benefits – August</t>
        </is>
      </c>
      <c r="G2436" s="3" t="inlineStr">
        <is>
          <t>Benefits</t>
        </is>
      </c>
      <c r="H2436" s="3" t="inlineStr">
        <is>
          <t>Accounts Payable</t>
        </is>
      </c>
      <c r="I2436" s="33" t="n">
        <v>3174.9</v>
      </c>
      <c r="J2436" s="13">
        <f>+J2435+I2436</f>
        <v>383300.28</v>
      </c>
      <c r="K2436" s="19">
        <f>+EOMONTH(B2436,0)</f>
        <v>46265</v>
      </c>
      <c r="L2436" s="3" t="inlineStr">
        <is>
          <t>Accounts Payable</t>
        </is>
      </c>
      <c r="M2436" s="3" t="inlineStr">
        <is>
          <t>Balance Sheet</t>
        </is>
      </c>
    </row>
    <row r="2437">
      <c r="B2437" s="39" t="n">
        <v>46235</v>
      </c>
      <c r="C2437" s="3" t="inlineStr">
        <is>
          <t>Bill</t>
        </is>
      </c>
      <c r="D2437" s="3" t="inlineStr"/>
      <c r="E2437" s="3" t="inlineStr">
        <is>
          <t>Ledgerquill Billing SaaS</t>
        </is>
      </c>
      <c r="F2437" s="3" t="inlineStr">
        <is>
          <t>Billing Software as a Service – August</t>
        </is>
      </c>
      <c r="G2437" s="3" t="inlineStr">
        <is>
          <t>Billing Software as a Service</t>
        </is>
      </c>
      <c r="H2437" s="3" t="inlineStr">
        <is>
          <t>Accounts Payable</t>
        </is>
      </c>
      <c r="I2437" s="33" t="n">
        <v>16833.65</v>
      </c>
      <c r="J2437" s="13">
        <f>+J2436+I2437</f>
        <v>400133.93</v>
      </c>
      <c r="K2437" s="19">
        <f>+EOMONTH(B2437,0)</f>
        <v>46265</v>
      </c>
      <c r="L2437" s="3" t="inlineStr">
        <is>
          <t>Accounts Payable</t>
        </is>
      </c>
      <c r="M2437" s="3" t="inlineStr">
        <is>
          <t>Balance Sheet</t>
        </is>
      </c>
    </row>
    <row r="2438">
      <c r="B2438" s="39" t="n">
        <v>46235</v>
      </c>
      <c r="C2438" s="3" t="inlineStr">
        <is>
          <t>Bill Payment (Check)</t>
        </is>
      </c>
      <c r="D2438" s="3" t="inlineStr">
        <is>
          <t>10566</t>
        </is>
      </c>
      <c r="E2438" s="3" t="inlineStr">
        <is>
          <t>Reagentix Corp</t>
        </is>
      </c>
      <c r="F2438" s="3" t="inlineStr">
        <is>
          <t>Lab supplies PO# F2059</t>
        </is>
      </c>
      <c r="G2438" s="3" t="inlineStr">
        <is>
          <t>Checking – Operating</t>
        </is>
      </c>
      <c r="H2438" s="3" t="inlineStr">
        <is>
          <t>Accounts Payable</t>
        </is>
      </c>
      <c r="I2438" s="33" t="n">
        <v>-8549.879999999999</v>
      </c>
      <c r="J2438" s="13">
        <f>+J2437+I2438</f>
        <v>391584.05</v>
      </c>
      <c r="K2438" s="19">
        <f>+EOMONTH(B2438,0)</f>
        <v>46265</v>
      </c>
      <c r="L2438" s="3" t="inlineStr">
        <is>
          <t>Accounts Payable</t>
        </is>
      </c>
      <c r="M2438" s="3" t="inlineStr">
        <is>
          <t>Balance Sheet</t>
        </is>
      </c>
    </row>
    <row r="2439">
      <c r="B2439" s="39" t="n">
        <v>46235</v>
      </c>
      <c r="C2439" s="3" t="inlineStr">
        <is>
          <t>Bill Payment (Check)</t>
        </is>
      </c>
      <c r="D2439" s="3" t="inlineStr">
        <is>
          <t>10748</t>
        </is>
      </c>
      <c r="E2439" s="3" t="inlineStr">
        <is>
          <t>Lumenlease Equipment</t>
        </is>
      </c>
      <c r="F2439" s="3" t="inlineStr">
        <is>
          <t>Equipment Lease – July</t>
        </is>
      </c>
      <c r="G2439" s="3" t="inlineStr">
        <is>
          <t>Checking – Operating</t>
        </is>
      </c>
      <c r="H2439" s="3" t="inlineStr">
        <is>
          <t>Accounts Payable</t>
        </is>
      </c>
      <c r="I2439" s="33" t="n">
        <v>-4918.48</v>
      </c>
      <c r="J2439" s="13">
        <f>+J2438+I2439</f>
        <v>386665.57</v>
      </c>
      <c r="K2439" s="19">
        <f>+EOMONTH(B2439,0)</f>
        <v>46265</v>
      </c>
      <c r="L2439" s="3" t="inlineStr">
        <is>
          <t>Accounts Payable</t>
        </is>
      </c>
      <c r="M2439" s="3" t="inlineStr">
        <is>
          <t>Balance Sheet</t>
        </is>
      </c>
    </row>
    <row r="2440">
      <c r="B2440" s="39" t="n">
        <v>46236</v>
      </c>
      <c r="C2440" s="3" t="inlineStr">
        <is>
          <t>Bill</t>
        </is>
      </c>
      <c r="D2440" s="3" t="inlineStr"/>
      <c r="E2440" s="3" t="inlineStr">
        <is>
          <t>Northmoor Waste Services</t>
        </is>
      </c>
      <c r="F2440" s="3" t="inlineStr">
        <is>
          <t>Hazard Waste – August</t>
        </is>
      </c>
      <c r="G2440" s="3" t="inlineStr">
        <is>
          <t>Hazard Waste</t>
        </is>
      </c>
      <c r="H2440" s="3" t="inlineStr">
        <is>
          <t>Accounts Payable</t>
        </is>
      </c>
      <c r="I2440" s="33" t="n">
        <v>877.83</v>
      </c>
      <c r="J2440" s="13">
        <f>+J2439+I2440</f>
        <v>387543.4</v>
      </c>
      <c r="K2440" s="19">
        <f>+EOMONTH(B2440,0)</f>
        <v>46265</v>
      </c>
      <c r="L2440" s="3" t="inlineStr">
        <is>
          <t>Accounts Payable</t>
        </is>
      </c>
      <c r="M2440" s="3" t="inlineStr">
        <is>
          <t>Balance Sheet</t>
        </is>
      </c>
    </row>
    <row r="2441">
      <c r="B2441" s="39" t="n">
        <v>46236</v>
      </c>
      <c r="C2441" s="3" t="inlineStr">
        <is>
          <t>Bill</t>
        </is>
      </c>
      <c r="D2441" s="3" t="inlineStr"/>
      <c r="E2441" s="3" t="inlineStr">
        <is>
          <t>Ledgerquill Billing SaaS</t>
        </is>
      </c>
      <c r="F2441" s="3" t="inlineStr">
        <is>
          <t>Billing Software as a Service – August</t>
        </is>
      </c>
      <c r="G2441" s="3" t="inlineStr">
        <is>
          <t>Billing Software as a Service</t>
        </is>
      </c>
      <c r="H2441" s="3" t="inlineStr">
        <is>
          <t>Accounts Payable</t>
        </is>
      </c>
      <c r="I2441" s="33" t="n">
        <v>17195.12</v>
      </c>
      <c r="J2441" s="13">
        <f>+J2440+I2441</f>
        <v>404738.52</v>
      </c>
      <c r="K2441" s="19">
        <f>+EOMONTH(B2441,0)</f>
        <v>46265</v>
      </c>
      <c r="L2441" s="3" t="inlineStr">
        <is>
          <t>Accounts Payable</t>
        </is>
      </c>
      <c r="M2441" s="3" t="inlineStr">
        <is>
          <t>Balance Sheet</t>
        </is>
      </c>
    </row>
    <row r="2442">
      <c r="B2442" s="39" t="n">
        <v>46236</v>
      </c>
      <c r="C2442" s="3" t="inlineStr">
        <is>
          <t>Bill Payment (Check)</t>
        </is>
      </c>
      <c r="D2442" s="3" t="inlineStr">
        <is>
          <t>10481</t>
        </is>
      </c>
      <c r="E2442" s="3" t="inlineStr">
        <is>
          <t>Reagentix Corp</t>
        </is>
      </c>
      <c r="F2442" s="3" t="inlineStr">
        <is>
          <t>Lab supplies PO# F2135</t>
        </is>
      </c>
      <c r="G2442" s="3" t="inlineStr">
        <is>
          <t>Checking – Operating</t>
        </is>
      </c>
      <c r="H2442" s="3" t="inlineStr">
        <is>
          <t>Accounts Payable</t>
        </is>
      </c>
      <c r="I2442" s="33" t="n">
        <v>-33575.81</v>
      </c>
      <c r="J2442" s="13">
        <f>+J2441+I2442</f>
        <v>371162.71</v>
      </c>
      <c r="K2442" s="19">
        <f>+EOMONTH(B2442,0)</f>
        <v>46265</v>
      </c>
      <c r="L2442" s="3" t="inlineStr">
        <is>
          <t>Accounts Payable</t>
        </is>
      </c>
      <c r="M2442" s="3" t="inlineStr">
        <is>
          <t>Balance Sheet</t>
        </is>
      </c>
    </row>
    <row r="2443">
      <c r="B2443" s="39" t="n">
        <v>46236</v>
      </c>
      <c r="C2443" s="3" t="inlineStr">
        <is>
          <t>Bill Payment (Check)</t>
        </is>
      </c>
      <c r="D2443" s="3" t="inlineStr">
        <is>
          <t>10522</t>
        </is>
      </c>
      <c r="E2443" s="3" t="inlineStr">
        <is>
          <t>Reference Lab A</t>
        </is>
      </c>
      <c r="F2443" s="3" t="inlineStr">
        <is>
          <t>Send-out testing – July</t>
        </is>
      </c>
      <c r="G2443" s="3" t="inlineStr">
        <is>
          <t>Checking – Operating</t>
        </is>
      </c>
      <c r="H2443" s="3" t="inlineStr">
        <is>
          <t>Accounts Payable</t>
        </is>
      </c>
      <c r="I2443" s="33" t="n">
        <v>-20581.72</v>
      </c>
      <c r="J2443" s="13">
        <f>+J2442+I2443</f>
        <v>350580.99</v>
      </c>
      <c r="K2443" s="19">
        <f>+EOMONTH(B2443,0)</f>
        <v>46265</v>
      </c>
      <c r="L2443" s="3" t="inlineStr">
        <is>
          <t>Accounts Payable</t>
        </is>
      </c>
      <c r="M2443" s="3" t="inlineStr">
        <is>
          <t>Balance Sheet</t>
        </is>
      </c>
    </row>
    <row r="2444">
      <c r="B2444" s="39" t="n">
        <v>46237</v>
      </c>
      <c r="C2444" s="3" t="inlineStr">
        <is>
          <t>Bill</t>
        </is>
      </c>
      <c r="D2444" s="3" t="inlineStr"/>
      <c r="E2444" s="3" t="inlineStr">
        <is>
          <t>Reference Lab A</t>
        </is>
      </c>
      <c r="F2444" s="3" t="inlineStr">
        <is>
          <t>Send-out testing – August</t>
        </is>
      </c>
      <c r="G2444" s="3" t="inlineStr">
        <is>
          <t>Laboratory Fees</t>
        </is>
      </c>
      <c r="H2444" s="3" t="inlineStr">
        <is>
          <t>Accounts Payable</t>
        </is>
      </c>
      <c r="I2444" s="33" t="n">
        <v>13097.01</v>
      </c>
      <c r="J2444" s="13">
        <f>+J2443+I2444</f>
        <v>363678</v>
      </c>
      <c r="K2444" s="19">
        <f>+EOMONTH(B2444,0)</f>
        <v>46265</v>
      </c>
      <c r="L2444" s="3" t="inlineStr">
        <is>
          <t>Accounts Payable</t>
        </is>
      </c>
      <c r="M2444" s="3" t="inlineStr">
        <is>
          <t>Balance Sheet</t>
        </is>
      </c>
    </row>
    <row r="2445">
      <c r="B2445" s="39" t="n">
        <v>46237</v>
      </c>
      <c r="C2445" s="3" t="inlineStr">
        <is>
          <t>Bill</t>
        </is>
      </c>
      <c r="D2445" s="3" t="inlineStr"/>
      <c r="E2445" s="3" t="inlineStr">
        <is>
          <t>Reference Lab A</t>
        </is>
      </c>
      <c r="F2445" s="3" t="inlineStr">
        <is>
          <t>Send-out testing – August</t>
        </is>
      </c>
      <c r="G2445" s="3" t="inlineStr">
        <is>
          <t>Laboratory Fees</t>
        </is>
      </c>
      <c r="H2445" s="3" t="inlineStr">
        <is>
          <t>Accounts Payable</t>
        </is>
      </c>
      <c r="I2445" s="33" t="n">
        <v>13458.75</v>
      </c>
      <c r="J2445" s="13">
        <f>+J2444+I2445</f>
        <v>377136.75</v>
      </c>
      <c r="K2445" s="19">
        <f>+EOMONTH(B2445,0)</f>
        <v>46265</v>
      </c>
      <c r="L2445" s="3" t="inlineStr">
        <is>
          <t>Accounts Payable</t>
        </is>
      </c>
      <c r="M2445" s="3" t="inlineStr">
        <is>
          <t>Balance Sheet</t>
        </is>
      </c>
    </row>
    <row r="2446">
      <c r="B2446" s="39" t="n">
        <v>46237</v>
      </c>
      <c r="C2446" s="3" t="inlineStr">
        <is>
          <t>Bill Payment (Check)</t>
        </is>
      </c>
      <c r="D2446" s="3" t="inlineStr">
        <is>
          <t>10919</t>
        </is>
      </c>
      <c r="E2446" s="3" t="inlineStr">
        <is>
          <t>Halloway Ridge Realty (rent)</t>
        </is>
      </c>
      <c r="F2446" s="3" t="inlineStr">
        <is>
          <t>Rent – June</t>
        </is>
      </c>
      <c r="G2446" s="3" t="inlineStr">
        <is>
          <t>Checking – Operating</t>
        </is>
      </c>
      <c r="H2446" s="3" t="inlineStr">
        <is>
          <t>Accounts Payable</t>
        </is>
      </c>
      <c r="I2446" s="33" t="n">
        <v>-13698.15</v>
      </c>
      <c r="J2446" s="13">
        <f>+J2445+I2446</f>
        <v>363438.6</v>
      </c>
      <c r="K2446" s="19">
        <f>+EOMONTH(B2446,0)</f>
        <v>46265</v>
      </c>
      <c r="L2446" s="3" t="inlineStr">
        <is>
          <t>Accounts Payable</t>
        </is>
      </c>
      <c r="M2446" s="3" t="inlineStr">
        <is>
          <t>Balance Sheet</t>
        </is>
      </c>
    </row>
    <row r="2447">
      <c r="B2447" s="39" t="n">
        <v>46238</v>
      </c>
      <c r="C2447" s="3" t="inlineStr">
        <is>
          <t>Bill</t>
        </is>
      </c>
      <c r="D2447" s="3" t="inlineStr"/>
      <c r="E2447" s="3" t="inlineStr">
        <is>
          <t>Northmoor Waste Services</t>
        </is>
      </c>
      <c r="F2447" s="3" t="inlineStr">
        <is>
          <t>Hazard Waste – August</t>
        </is>
      </c>
      <c r="G2447" s="3" t="inlineStr">
        <is>
          <t>Hazard Waste</t>
        </is>
      </c>
      <c r="H2447" s="3" t="inlineStr">
        <is>
          <t>Accounts Payable</t>
        </is>
      </c>
      <c r="I2447" s="33" t="n">
        <v>922.17</v>
      </c>
      <c r="J2447" s="13">
        <f>+J2446+I2447</f>
        <v>364360.77</v>
      </c>
      <c r="K2447" s="19">
        <f>+EOMONTH(B2447,0)</f>
        <v>46265</v>
      </c>
      <c r="L2447" s="3" t="inlineStr">
        <is>
          <t>Accounts Payable</t>
        </is>
      </c>
      <c r="M2447" s="3" t="inlineStr">
        <is>
          <t>Balance Sheet</t>
        </is>
      </c>
    </row>
    <row r="2448">
      <c r="B2448" s="39" t="n">
        <v>46238</v>
      </c>
      <c r="C2448" s="3" t="inlineStr">
        <is>
          <t>Bill</t>
        </is>
      </c>
      <c r="D2448" s="3" t="inlineStr"/>
      <c r="E2448" s="3" t="inlineStr">
        <is>
          <t>Northmoor Waste Services</t>
        </is>
      </c>
      <c r="F2448" s="3" t="inlineStr">
        <is>
          <t>Waste Removal – August</t>
        </is>
      </c>
      <c r="G2448" s="3" t="inlineStr">
        <is>
          <t>Waste Removal</t>
        </is>
      </c>
      <c r="H2448" s="3" t="inlineStr">
        <is>
          <t>Accounts Payable</t>
        </is>
      </c>
      <c r="I2448" s="33" t="n">
        <v>694.91</v>
      </c>
      <c r="J2448" s="13">
        <f>+J2447+I2448</f>
        <v>365055.68</v>
      </c>
      <c r="K2448" s="19">
        <f>+EOMONTH(B2448,0)</f>
        <v>46265</v>
      </c>
      <c r="L2448" s="3" t="inlineStr">
        <is>
          <t>Accounts Payable</t>
        </is>
      </c>
      <c r="M2448" s="3" t="inlineStr">
        <is>
          <t>Balance Sheet</t>
        </is>
      </c>
    </row>
    <row r="2449">
      <c r="B2449" s="39" t="n">
        <v>46238</v>
      </c>
      <c r="C2449" s="3" t="inlineStr">
        <is>
          <t>Bill Payment (Check)</t>
        </is>
      </c>
      <c r="D2449" s="3" t="inlineStr">
        <is>
          <t>10438</t>
        </is>
      </c>
      <c r="E2449" s="3" t="inlineStr">
        <is>
          <t>Vialtrace Lab Supplies Inc</t>
        </is>
      </c>
      <c r="F2449" s="3" t="inlineStr">
        <is>
          <t>Lab Expenses – July</t>
        </is>
      </c>
      <c r="G2449" s="3" t="inlineStr">
        <is>
          <t>Checking – Operating</t>
        </is>
      </c>
      <c r="H2449" s="3" t="inlineStr">
        <is>
          <t>Accounts Payable</t>
        </is>
      </c>
      <c r="I2449" s="33" t="n">
        <v>-7864.13</v>
      </c>
      <c r="J2449" s="13">
        <f>+J2448+I2449</f>
        <v>357191.55</v>
      </c>
      <c r="K2449" s="19">
        <f>+EOMONTH(B2449,0)</f>
        <v>46265</v>
      </c>
      <c r="L2449" s="3" t="inlineStr">
        <is>
          <t>Accounts Payable</t>
        </is>
      </c>
      <c r="M2449" s="3" t="inlineStr">
        <is>
          <t>Balance Sheet</t>
        </is>
      </c>
    </row>
    <row r="2450">
      <c r="B2450" s="39" t="n">
        <v>46240</v>
      </c>
      <c r="C2450" s="3" t="inlineStr">
        <is>
          <t>Bill</t>
        </is>
      </c>
      <c r="D2450" s="3" t="inlineStr"/>
      <c r="E2450" s="3" t="inlineStr">
        <is>
          <t>Halloway Ridge Realty (rent)</t>
        </is>
      </c>
      <c r="F2450" s="3" t="inlineStr">
        <is>
          <t>Rent – August</t>
        </is>
      </c>
      <c r="G2450" s="3" t="inlineStr">
        <is>
          <t>Rent Expense</t>
        </is>
      </c>
      <c r="H2450" s="3" t="inlineStr">
        <is>
          <t>Accounts Payable</t>
        </is>
      </c>
      <c r="I2450" s="33" t="n">
        <v>9538.280000000001</v>
      </c>
      <c r="J2450" s="13">
        <f>+J2449+I2450</f>
        <v>366729.83</v>
      </c>
      <c r="K2450" s="19">
        <f>+EOMONTH(B2450,0)</f>
        <v>46265</v>
      </c>
      <c r="L2450" s="3" t="inlineStr">
        <is>
          <t>Accounts Payable</t>
        </is>
      </c>
      <c r="M2450" s="3" t="inlineStr">
        <is>
          <t>Balance Sheet</t>
        </is>
      </c>
    </row>
    <row r="2451">
      <c r="B2451" s="39" t="n">
        <v>46240</v>
      </c>
      <c r="C2451" s="3" t="inlineStr">
        <is>
          <t>Bill Payment (Check)</t>
        </is>
      </c>
      <c r="D2451" s="3" t="inlineStr">
        <is>
          <t>10563</t>
        </is>
      </c>
      <c r="E2451" s="3" t="inlineStr">
        <is>
          <t>Reagentix Corp</t>
        </is>
      </c>
      <c r="F2451" s="3" t="inlineStr">
        <is>
          <t>Lab supplies PO# F2343</t>
        </is>
      </c>
      <c r="G2451" s="3" t="inlineStr">
        <is>
          <t>Checking – Operating</t>
        </is>
      </c>
      <c r="H2451" s="3" t="inlineStr">
        <is>
          <t>Accounts Payable</t>
        </is>
      </c>
      <c r="I2451" s="33" t="n">
        <v>-11167.52</v>
      </c>
      <c r="J2451" s="13">
        <f>+J2450+I2451</f>
        <v>355562.31</v>
      </c>
      <c r="K2451" s="19">
        <f>+EOMONTH(B2451,0)</f>
        <v>46265</v>
      </c>
      <c r="L2451" s="3" t="inlineStr">
        <is>
          <t>Accounts Payable</t>
        </is>
      </c>
      <c r="M2451" s="3" t="inlineStr">
        <is>
          <t>Balance Sheet</t>
        </is>
      </c>
    </row>
    <row r="2452">
      <c r="B2452" s="39" t="n">
        <v>46241</v>
      </c>
      <c r="C2452" s="3" t="inlineStr">
        <is>
          <t>Bill</t>
        </is>
      </c>
      <c r="D2452" s="3" t="inlineStr"/>
      <c r="E2452" s="3" t="inlineStr">
        <is>
          <t>Reference Lab A</t>
        </is>
      </c>
      <c r="F2452" s="3" t="inlineStr">
        <is>
          <t>Send-out testing – August</t>
        </is>
      </c>
      <c r="G2452" s="3" t="inlineStr">
        <is>
          <t>Laboratory Fees</t>
        </is>
      </c>
      <c r="H2452" s="3" t="inlineStr">
        <is>
          <t>Accounts Payable</t>
        </is>
      </c>
      <c r="I2452" s="33" t="n">
        <v>9768.67</v>
      </c>
      <c r="J2452" s="13">
        <f>+J2451+I2452</f>
        <v>365330.98</v>
      </c>
      <c r="K2452" s="19">
        <f>+EOMONTH(B2452,0)</f>
        <v>46265</v>
      </c>
      <c r="L2452" s="3" t="inlineStr">
        <is>
          <t>Accounts Payable</t>
        </is>
      </c>
      <c r="M2452" s="3" t="inlineStr">
        <is>
          <t>Balance Sheet</t>
        </is>
      </c>
    </row>
    <row r="2453">
      <c r="B2453" s="39" t="n">
        <v>46241</v>
      </c>
      <c r="C2453" s="3" t="inlineStr">
        <is>
          <t>Bill</t>
        </is>
      </c>
      <c r="D2453" s="3" t="inlineStr"/>
      <c r="E2453" s="3" t="inlineStr">
        <is>
          <t>Reagentix Corp</t>
        </is>
      </c>
      <c r="F2453" s="3" t="inlineStr">
        <is>
          <t>Lab supplies PO# F2817</t>
        </is>
      </c>
      <c r="G2453" s="3" t="inlineStr">
        <is>
          <t>Reagents</t>
        </is>
      </c>
      <c r="H2453" s="3" t="inlineStr">
        <is>
          <t>Accounts Payable</t>
        </is>
      </c>
      <c r="I2453" s="33" t="n">
        <v>6274.42</v>
      </c>
      <c r="J2453" s="13">
        <f>+J2452+I2453</f>
        <v>371605.4</v>
      </c>
      <c r="K2453" s="19">
        <f>+EOMONTH(B2453,0)</f>
        <v>46265</v>
      </c>
      <c r="L2453" s="3" t="inlineStr">
        <is>
          <t>Accounts Payable</t>
        </is>
      </c>
      <c r="M2453" s="3" t="inlineStr">
        <is>
          <t>Balance Sheet</t>
        </is>
      </c>
    </row>
    <row r="2454">
      <c r="B2454" s="39" t="n">
        <v>46241</v>
      </c>
      <c r="C2454" s="3" t="inlineStr">
        <is>
          <t>Bill</t>
        </is>
      </c>
      <c r="D2454" s="3" t="inlineStr"/>
      <c r="E2454" s="3" t="inlineStr">
        <is>
          <t>Reagentix Corp</t>
        </is>
      </c>
      <c r="F2454" s="3" t="inlineStr">
        <is>
          <t>Lab supplies PO# F2237</t>
        </is>
      </c>
      <c r="G2454" s="3" t="inlineStr">
        <is>
          <t>Reagents</t>
        </is>
      </c>
      <c r="H2454" s="3" t="inlineStr">
        <is>
          <t>Accounts Payable</t>
        </is>
      </c>
      <c r="I2454" s="33" t="n">
        <v>11292.69</v>
      </c>
      <c r="J2454" s="13">
        <f>+J2453+I2454</f>
        <v>382898.09</v>
      </c>
      <c r="K2454" s="19">
        <f>+EOMONTH(B2454,0)</f>
        <v>46265</v>
      </c>
      <c r="L2454" s="3" t="inlineStr">
        <is>
          <t>Accounts Payable</t>
        </is>
      </c>
      <c r="M2454" s="3" t="inlineStr">
        <is>
          <t>Balance Sheet</t>
        </is>
      </c>
    </row>
    <row r="2455">
      <c r="B2455" s="39" t="n">
        <v>46241</v>
      </c>
      <c r="C2455" s="3" t="inlineStr">
        <is>
          <t>Bill Payment (Check)</t>
        </is>
      </c>
      <c r="D2455" s="3" t="inlineStr">
        <is>
          <t>10565</t>
        </is>
      </c>
      <c r="E2455" s="3" t="inlineStr">
        <is>
          <t>Reagentix Corp</t>
        </is>
      </c>
      <c r="F2455" s="3" t="inlineStr">
        <is>
          <t>Lab supplies PO# F2073</t>
        </is>
      </c>
      <c r="G2455" s="3" t="inlineStr">
        <is>
          <t>Checking – Operating</t>
        </is>
      </c>
      <c r="H2455" s="3" t="inlineStr">
        <is>
          <t>Accounts Payable</t>
        </is>
      </c>
      <c r="I2455" s="33" t="n">
        <v>-10748.29</v>
      </c>
      <c r="J2455" s="13">
        <f>+J2454+I2455</f>
        <v>372149.8</v>
      </c>
      <c r="K2455" s="19">
        <f>+EOMONTH(B2455,0)</f>
        <v>46265</v>
      </c>
      <c r="L2455" s="3" t="inlineStr">
        <is>
          <t>Accounts Payable</t>
        </is>
      </c>
      <c r="M2455" s="3" t="inlineStr">
        <is>
          <t>Balance Sheet</t>
        </is>
      </c>
    </row>
    <row r="2456">
      <c r="B2456" s="39" t="n">
        <v>46242</v>
      </c>
      <c r="C2456" s="3" t="inlineStr">
        <is>
          <t>Bill</t>
        </is>
      </c>
      <c r="D2456" s="3" t="inlineStr"/>
      <c r="E2456" s="3" t="inlineStr">
        <is>
          <t>Reagentix Corp</t>
        </is>
      </c>
      <c r="F2456" s="3" t="inlineStr">
        <is>
          <t>Lab supplies PO# F2654</t>
        </is>
      </c>
      <c r="G2456" s="3" t="inlineStr">
        <is>
          <t>Lab Supplies</t>
        </is>
      </c>
      <c r="H2456" s="3" t="inlineStr">
        <is>
          <t>Accounts Payable</t>
        </is>
      </c>
      <c r="I2456" s="33" t="n">
        <v>27771.41</v>
      </c>
      <c r="J2456" s="13">
        <f>+J2455+I2456</f>
        <v>399921.21</v>
      </c>
      <c r="K2456" s="19">
        <f>+EOMONTH(B2456,0)</f>
        <v>46265</v>
      </c>
      <c r="L2456" s="3" t="inlineStr">
        <is>
          <t>Accounts Payable</t>
        </is>
      </c>
      <c r="M2456" s="3" t="inlineStr">
        <is>
          <t>Balance Sheet</t>
        </is>
      </c>
    </row>
    <row r="2457">
      <c r="B2457" s="39" t="n">
        <v>46243</v>
      </c>
      <c r="C2457" s="3" t="inlineStr">
        <is>
          <t>Bill</t>
        </is>
      </c>
      <c r="D2457" s="3" t="inlineStr"/>
      <c r="E2457" s="3" t="inlineStr">
        <is>
          <t>Vialtrace Lab Supplies Inc</t>
        </is>
      </c>
      <c r="F2457" s="3" t="inlineStr">
        <is>
          <t>Lab Expenses – August</t>
        </is>
      </c>
      <c r="G2457" s="3" t="inlineStr">
        <is>
          <t>Lab Expenses</t>
        </is>
      </c>
      <c r="H2457" s="3" t="inlineStr">
        <is>
          <t>Accounts Payable</t>
        </is>
      </c>
      <c r="I2457" s="33" t="n">
        <v>3006.32</v>
      </c>
      <c r="J2457" s="13">
        <f>+J2456+I2457</f>
        <v>402927.53</v>
      </c>
      <c r="K2457" s="19">
        <f>+EOMONTH(B2457,0)</f>
        <v>46265</v>
      </c>
      <c r="L2457" s="3" t="inlineStr">
        <is>
          <t>Accounts Payable</t>
        </is>
      </c>
      <c r="M2457" s="3" t="inlineStr">
        <is>
          <t>Balance Sheet</t>
        </is>
      </c>
    </row>
    <row r="2458">
      <c r="B2458" s="39" t="n">
        <v>46243</v>
      </c>
      <c r="C2458" s="3" t="inlineStr">
        <is>
          <t>Bill</t>
        </is>
      </c>
      <c r="D2458" s="3" t="inlineStr"/>
      <c r="E2458" s="3" t="inlineStr">
        <is>
          <t>Vialtrace Lab Supplies Inc</t>
        </is>
      </c>
      <c r="F2458" s="3" t="inlineStr">
        <is>
          <t>Lab supplies PO# F2815</t>
        </is>
      </c>
      <c r="G2458" s="3" t="inlineStr">
        <is>
          <t>Lab Supplies</t>
        </is>
      </c>
      <c r="H2458" s="3" t="inlineStr">
        <is>
          <t>Accounts Payable</t>
        </is>
      </c>
      <c r="I2458" s="33" t="n">
        <v>27095.56</v>
      </c>
      <c r="J2458" s="13">
        <f>+J2457+I2458</f>
        <v>430023.09</v>
      </c>
      <c r="K2458" s="19">
        <f>+EOMONTH(B2458,0)</f>
        <v>46265</v>
      </c>
      <c r="L2458" s="3" t="inlineStr">
        <is>
          <t>Accounts Payable</t>
        </is>
      </c>
      <c r="M2458" s="3" t="inlineStr">
        <is>
          <t>Balance Sheet</t>
        </is>
      </c>
    </row>
    <row r="2459">
      <c r="B2459" s="39" t="n">
        <v>46243</v>
      </c>
      <c r="C2459" s="3" t="inlineStr">
        <is>
          <t>Bill</t>
        </is>
      </c>
      <c r="D2459" s="3" t="inlineStr"/>
      <c r="E2459" s="3" t="inlineStr">
        <is>
          <t>Reagentix Corp</t>
        </is>
      </c>
      <c r="F2459" s="3" t="inlineStr">
        <is>
          <t>Lab supplies PO# F2903</t>
        </is>
      </c>
      <c r="G2459" s="3" t="inlineStr">
        <is>
          <t>Lab Supplies</t>
        </is>
      </c>
      <c r="H2459" s="3" t="inlineStr">
        <is>
          <t>Accounts Payable</t>
        </is>
      </c>
      <c r="I2459" s="33" t="n">
        <v>17538.54</v>
      </c>
      <c r="J2459" s="13">
        <f>+J2458+I2459</f>
        <v>447561.63</v>
      </c>
      <c r="K2459" s="19">
        <f>+EOMONTH(B2459,0)</f>
        <v>46265</v>
      </c>
      <c r="L2459" s="3" t="inlineStr">
        <is>
          <t>Accounts Payable</t>
        </is>
      </c>
      <c r="M2459" s="3" t="inlineStr">
        <is>
          <t>Balance Sheet</t>
        </is>
      </c>
    </row>
    <row r="2460">
      <c r="B2460" s="39" t="n">
        <v>46243</v>
      </c>
      <c r="C2460" s="3" t="inlineStr">
        <is>
          <t>Bill</t>
        </is>
      </c>
      <c r="D2460" s="3" t="inlineStr"/>
      <c r="E2460" s="3" t="inlineStr">
        <is>
          <t>Lumenlease Equipment</t>
        </is>
      </c>
      <c r="F2460" s="3" t="inlineStr">
        <is>
          <t>Lab Equipment – August</t>
        </is>
      </c>
      <c r="G2460" s="3" t="inlineStr">
        <is>
          <t>Lab Equipment</t>
        </is>
      </c>
      <c r="H2460" s="3" t="inlineStr">
        <is>
          <t>Accounts Payable</t>
        </is>
      </c>
      <c r="I2460" s="33" t="n">
        <v>2140.57</v>
      </c>
      <c r="J2460" s="13">
        <f>+J2459+I2460</f>
        <v>449702.2</v>
      </c>
      <c r="K2460" s="19">
        <f>+EOMONTH(B2460,0)</f>
        <v>46265</v>
      </c>
      <c r="L2460" s="3" t="inlineStr">
        <is>
          <t>Accounts Payable</t>
        </is>
      </c>
      <c r="M2460" s="3" t="inlineStr">
        <is>
          <t>Balance Sheet</t>
        </is>
      </c>
    </row>
    <row r="2461">
      <c r="B2461" s="39" t="n">
        <v>46243</v>
      </c>
      <c r="C2461" s="3" t="inlineStr">
        <is>
          <t>Bill</t>
        </is>
      </c>
      <c r="D2461" s="3" t="inlineStr"/>
      <c r="E2461" s="3" t="inlineStr">
        <is>
          <t>Tarrowmere Mutual Insurance</t>
        </is>
      </c>
      <c r="F2461" s="3" t="inlineStr">
        <is>
          <t>Premium installment</t>
        </is>
      </c>
      <c r="G2461" s="3" t="inlineStr">
        <is>
          <t>Insurance Expense</t>
        </is>
      </c>
      <c r="H2461" s="3" t="inlineStr">
        <is>
          <t>Accounts Payable</t>
        </is>
      </c>
      <c r="I2461" s="33" t="n">
        <v>3337.45</v>
      </c>
      <c r="J2461" s="13">
        <f>+J2460+I2461</f>
        <v>453039.65</v>
      </c>
      <c r="K2461" s="19">
        <f>+EOMONTH(B2461,0)</f>
        <v>46265</v>
      </c>
      <c r="L2461" s="3" t="inlineStr">
        <is>
          <t>Accounts Payable</t>
        </is>
      </c>
      <c r="M2461" s="3" t="inlineStr">
        <is>
          <t>Balance Sheet</t>
        </is>
      </c>
    </row>
    <row r="2462">
      <c r="B2462" s="39" t="n">
        <v>46243</v>
      </c>
      <c r="C2462" s="3" t="inlineStr">
        <is>
          <t>Bill Payment (Check)</t>
        </is>
      </c>
      <c r="D2462" s="3" t="inlineStr">
        <is>
          <t>11242</t>
        </is>
      </c>
      <c r="E2462" s="3" t="inlineStr">
        <is>
          <t>Ledgerquill Billing SaaS</t>
        </is>
      </c>
      <c r="F2462" s="3" t="inlineStr">
        <is>
          <t>Billing Software as a Service – July</t>
        </is>
      </c>
      <c r="G2462" s="3" t="inlineStr">
        <is>
          <t>Checking – Operating</t>
        </is>
      </c>
      <c r="H2462" s="3" t="inlineStr">
        <is>
          <t>Accounts Payable</t>
        </is>
      </c>
      <c r="I2462" s="33" t="n">
        <v>-17550.86</v>
      </c>
      <c r="J2462" s="13">
        <f>+J2461+I2462</f>
        <v>435488.79</v>
      </c>
      <c r="K2462" s="19">
        <f>+EOMONTH(B2462,0)</f>
        <v>46265</v>
      </c>
      <c r="L2462" s="3" t="inlineStr">
        <is>
          <t>Accounts Payable</t>
        </is>
      </c>
      <c r="M2462" s="3" t="inlineStr">
        <is>
          <t>Balance Sheet</t>
        </is>
      </c>
    </row>
    <row r="2463">
      <c r="B2463" s="39" t="n">
        <v>46244</v>
      </c>
      <c r="C2463" s="3" t="inlineStr">
        <is>
          <t>Bill Payment (Check)</t>
        </is>
      </c>
      <c r="D2463" s="3" t="inlineStr">
        <is>
          <t>11029</t>
        </is>
      </c>
      <c r="E2463" s="3" t="inlineStr">
        <is>
          <t>Northmoor Waste Services</t>
        </is>
      </c>
      <c r="F2463" s="3" t="inlineStr">
        <is>
          <t>Waste Removal – July</t>
        </is>
      </c>
      <c r="G2463" s="3" t="inlineStr">
        <is>
          <t>Checking – Operating</t>
        </is>
      </c>
      <c r="H2463" s="3" t="inlineStr">
        <is>
          <t>Accounts Payable</t>
        </is>
      </c>
      <c r="I2463" s="33" t="n">
        <v>-507.05</v>
      </c>
      <c r="J2463" s="13">
        <f>+J2462+I2463</f>
        <v>434981.74</v>
      </c>
      <c r="K2463" s="19">
        <f>+EOMONTH(B2463,0)</f>
        <v>46265</v>
      </c>
      <c r="L2463" s="3" t="inlineStr">
        <is>
          <t>Accounts Payable</t>
        </is>
      </c>
      <c r="M2463" s="3" t="inlineStr">
        <is>
          <t>Balance Sheet</t>
        </is>
      </c>
    </row>
    <row r="2464">
      <c r="B2464" s="39" t="n">
        <v>46245</v>
      </c>
      <c r="C2464" s="3" t="inlineStr">
        <is>
          <t>Bill</t>
        </is>
      </c>
      <c r="D2464" s="3" t="inlineStr"/>
      <c r="E2464" s="3" t="inlineStr">
        <is>
          <t>Ledgerquill Billing SaaS</t>
        </is>
      </c>
      <c r="F2464" s="3" t="inlineStr">
        <is>
          <t>Billing Software as a Service – August</t>
        </is>
      </c>
      <c r="G2464" s="3" t="inlineStr">
        <is>
          <t>Billing Software as a Service</t>
        </is>
      </c>
      <c r="H2464" s="3" t="inlineStr">
        <is>
          <t>Accounts Payable</t>
        </is>
      </c>
      <c r="I2464" s="33" t="n">
        <v>14777.1</v>
      </c>
      <c r="J2464" s="13">
        <f>+J2463+I2464</f>
        <v>449758.84</v>
      </c>
      <c r="K2464" s="19">
        <f>+EOMONTH(B2464,0)</f>
        <v>46265</v>
      </c>
      <c r="L2464" s="3" t="inlineStr">
        <is>
          <t>Accounts Payable</t>
        </is>
      </c>
      <c r="M2464" s="3" t="inlineStr">
        <is>
          <t>Balance Sheet</t>
        </is>
      </c>
    </row>
    <row r="2465">
      <c r="B2465" s="39" t="n">
        <v>46245</v>
      </c>
      <c r="C2465" s="3" t="inlineStr">
        <is>
          <t>Bill Payment (Check)</t>
        </is>
      </c>
      <c r="D2465" s="3" t="inlineStr">
        <is>
          <t>10521</t>
        </is>
      </c>
      <c r="E2465" s="3" t="inlineStr">
        <is>
          <t>Reference Lab A</t>
        </is>
      </c>
      <c r="F2465" s="3" t="inlineStr">
        <is>
          <t>Send-out testing – July</t>
        </is>
      </c>
      <c r="G2465" s="3" t="inlineStr">
        <is>
          <t>Checking – Operating</t>
        </is>
      </c>
      <c r="H2465" s="3" t="inlineStr">
        <is>
          <t>Accounts Payable</t>
        </is>
      </c>
      <c r="I2465" s="33" t="n">
        <v>-23076.53</v>
      </c>
      <c r="J2465" s="13">
        <f>+J2464+I2465</f>
        <v>426682.31</v>
      </c>
      <c r="K2465" s="19">
        <f>+EOMONTH(B2465,0)</f>
        <v>46265</v>
      </c>
      <c r="L2465" s="3" t="inlineStr">
        <is>
          <t>Accounts Payable</t>
        </is>
      </c>
      <c r="M2465" s="3" t="inlineStr">
        <is>
          <t>Balance Sheet</t>
        </is>
      </c>
    </row>
    <row r="2466">
      <c r="B2466" s="39" t="n">
        <v>46245</v>
      </c>
      <c r="C2466" s="3" t="inlineStr">
        <is>
          <t>Bill Payment (Check)</t>
        </is>
      </c>
      <c r="D2466" s="3" t="inlineStr">
        <is>
          <t>11341</t>
        </is>
      </c>
      <c r="E2466" s="3" t="inlineStr">
        <is>
          <t>Union Utilities</t>
        </is>
      </c>
      <c r="F2466" s="3" t="inlineStr">
        <is>
          <t>Utilities – July</t>
        </is>
      </c>
      <c r="G2466" s="3" t="inlineStr">
        <is>
          <t>Checking – Operating</t>
        </is>
      </c>
      <c r="H2466" s="3" t="inlineStr">
        <is>
          <t>Accounts Payable</t>
        </is>
      </c>
      <c r="I2466" s="33" t="n">
        <v>-3763.05</v>
      </c>
      <c r="J2466" s="13">
        <f>+J2465+I2466</f>
        <v>422919.26</v>
      </c>
      <c r="K2466" s="19">
        <f>+EOMONTH(B2466,0)</f>
        <v>46265</v>
      </c>
      <c r="L2466" s="3" t="inlineStr">
        <is>
          <t>Accounts Payable</t>
        </is>
      </c>
      <c r="M2466" s="3" t="inlineStr">
        <is>
          <t>Balance Sheet</t>
        </is>
      </c>
    </row>
    <row r="2467">
      <c r="B2467" s="39" t="n">
        <v>46246</v>
      </c>
      <c r="C2467" s="3" t="inlineStr">
        <is>
          <t>Bill</t>
        </is>
      </c>
      <c r="D2467" s="3" t="inlineStr"/>
      <c r="E2467" s="3" t="inlineStr">
        <is>
          <t>Swiftmere Courier</t>
        </is>
      </c>
      <c r="F2467" s="3" t="inlineStr">
        <is>
          <t>Delivery and Transportation – August</t>
        </is>
      </c>
      <c r="G2467" s="3" t="inlineStr">
        <is>
          <t>Delivery and Transportation</t>
        </is>
      </c>
      <c r="H2467" s="3" t="inlineStr">
        <is>
          <t>Accounts Payable</t>
        </is>
      </c>
      <c r="I2467" s="33" t="n">
        <v>3640.74</v>
      </c>
      <c r="J2467" s="13">
        <f>+J2466+I2467</f>
        <v>426560</v>
      </c>
      <c r="K2467" s="19">
        <f>+EOMONTH(B2467,0)</f>
        <v>46265</v>
      </c>
      <c r="L2467" s="3" t="inlineStr">
        <is>
          <t>Accounts Payable</t>
        </is>
      </c>
      <c r="M2467" s="3" t="inlineStr">
        <is>
          <t>Balance Sheet</t>
        </is>
      </c>
    </row>
    <row r="2468">
      <c r="B2468" s="39" t="n">
        <v>46246</v>
      </c>
      <c r="C2468" s="3" t="inlineStr">
        <is>
          <t>Bill Payment (Check)</t>
        </is>
      </c>
      <c r="D2468" s="3" t="inlineStr">
        <is>
          <t>10567</t>
        </is>
      </c>
      <c r="E2468" s="3" t="inlineStr">
        <is>
          <t>Reagentix Corp</t>
        </is>
      </c>
      <c r="F2468" s="3" t="inlineStr">
        <is>
          <t>Lab supplies PO# F2175</t>
        </is>
      </c>
      <c r="G2468" s="3" t="inlineStr">
        <is>
          <t>Checking – Operating</t>
        </is>
      </c>
      <c r="H2468" s="3" t="inlineStr">
        <is>
          <t>Accounts Payable</t>
        </is>
      </c>
      <c r="I2468" s="33" t="n">
        <v>-11820.58</v>
      </c>
      <c r="J2468" s="13">
        <f>+J2467+I2468</f>
        <v>414739.42</v>
      </c>
      <c r="K2468" s="19">
        <f>+EOMONTH(B2468,0)</f>
        <v>46265</v>
      </c>
      <c r="L2468" s="3" t="inlineStr">
        <is>
          <t>Accounts Payable</t>
        </is>
      </c>
      <c r="M2468" s="3" t="inlineStr">
        <is>
          <t>Balance Sheet</t>
        </is>
      </c>
    </row>
    <row r="2469">
      <c r="B2469" s="39" t="n">
        <v>46248</v>
      </c>
      <c r="C2469" s="3" t="inlineStr">
        <is>
          <t>Bill</t>
        </is>
      </c>
      <c r="D2469" s="3" t="inlineStr"/>
      <c r="E2469" s="3" t="inlineStr">
        <is>
          <t>Vialtrace Lab Supplies Inc</t>
        </is>
      </c>
      <c r="F2469" s="3" t="inlineStr">
        <is>
          <t>Lab Expenses – August</t>
        </is>
      </c>
      <c r="G2469" s="3" t="inlineStr">
        <is>
          <t>Lab Expenses</t>
        </is>
      </c>
      <c r="H2469" s="3" t="inlineStr">
        <is>
          <t>Accounts Payable</t>
        </is>
      </c>
      <c r="I2469" s="33" t="n">
        <v>3515.64</v>
      </c>
      <c r="J2469" s="13">
        <f>+J2468+I2469</f>
        <v>418255.06</v>
      </c>
      <c r="K2469" s="19">
        <f>+EOMONTH(B2469,0)</f>
        <v>46265</v>
      </c>
      <c r="L2469" s="3" t="inlineStr">
        <is>
          <t>Accounts Payable</t>
        </is>
      </c>
      <c r="M2469" s="3" t="inlineStr">
        <is>
          <t>Balance Sheet</t>
        </is>
      </c>
    </row>
    <row r="2470">
      <c r="B2470" s="39" t="n">
        <v>46248</v>
      </c>
      <c r="C2470" s="3" t="inlineStr">
        <is>
          <t>Bill</t>
        </is>
      </c>
      <c r="D2470" s="3" t="inlineStr"/>
      <c r="E2470" s="3" t="inlineStr">
        <is>
          <t>Reference Lab A</t>
        </is>
      </c>
      <c r="F2470" s="3" t="inlineStr">
        <is>
          <t>Send-out testing – August</t>
        </is>
      </c>
      <c r="G2470" s="3" t="inlineStr">
        <is>
          <t>Laboratory Fees</t>
        </is>
      </c>
      <c r="H2470" s="3" t="inlineStr">
        <is>
          <t>Accounts Payable</t>
        </is>
      </c>
      <c r="I2470" s="33" t="n">
        <v>19933.18</v>
      </c>
      <c r="J2470" s="13">
        <f>+J2469+I2470</f>
        <v>438188.24</v>
      </c>
      <c r="K2470" s="19">
        <f>+EOMONTH(B2470,0)</f>
        <v>46265</v>
      </c>
      <c r="L2470" s="3" t="inlineStr">
        <is>
          <t>Accounts Payable</t>
        </is>
      </c>
      <c r="M2470" s="3" t="inlineStr">
        <is>
          <t>Balance Sheet</t>
        </is>
      </c>
    </row>
    <row r="2471">
      <c r="B2471" s="39" t="n">
        <v>46248</v>
      </c>
      <c r="C2471" s="3" t="inlineStr">
        <is>
          <t>Bill</t>
        </is>
      </c>
      <c r="D2471" s="3" t="inlineStr"/>
      <c r="E2471" s="3" t="inlineStr">
        <is>
          <t>Halloway Ridge Realty (rent)</t>
        </is>
      </c>
      <c r="F2471" s="3" t="inlineStr">
        <is>
          <t>Rent – August</t>
        </is>
      </c>
      <c r="G2471" s="3" t="inlineStr">
        <is>
          <t>Rent Expense</t>
        </is>
      </c>
      <c r="H2471" s="3" t="inlineStr">
        <is>
          <t>Accounts Payable</t>
        </is>
      </c>
      <c r="I2471" s="33" t="n">
        <v>15539.74</v>
      </c>
      <c r="J2471" s="13">
        <f>+J2470+I2471</f>
        <v>453727.98</v>
      </c>
      <c r="K2471" s="19">
        <f>+EOMONTH(B2471,0)</f>
        <v>46265</v>
      </c>
      <c r="L2471" s="3" t="inlineStr">
        <is>
          <t>Accounts Payable</t>
        </is>
      </c>
      <c r="M2471" s="3" t="inlineStr">
        <is>
          <t>Balance Sheet</t>
        </is>
      </c>
    </row>
    <row r="2472">
      <c r="B2472" s="39" t="n">
        <v>46248</v>
      </c>
      <c r="C2472" s="3" t="inlineStr">
        <is>
          <t>Bill Payment (Check)</t>
        </is>
      </c>
      <c r="D2472" s="3" t="inlineStr">
        <is>
          <t>10527</t>
        </is>
      </c>
      <c r="E2472" s="3" t="inlineStr">
        <is>
          <t>Reference Lab A</t>
        </is>
      </c>
      <c r="F2472" s="3" t="inlineStr">
        <is>
          <t>Send-out testing – August</t>
        </is>
      </c>
      <c r="G2472" s="3" t="inlineStr">
        <is>
          <t>Checking – Operating</t>
        </is>
      </c>
      <c r="H2472" s="3" t="inlineStr">
        <is>
          <t>Accounts Payable</t>
        </is>
      </c>
      <c r="I2472" s="33" t="n">
        <v>-13097.01</v>
      </c>
      <c r="J2472" s="13">
        <f>+J2471+I2472</f>
        <v>440630.97</v>
      </c>
      <c r="K2472" s="19">
        <f>+EOMONTH(B2472,0)</f>
        <v>46265</v>
      </c>
      <c r="L2472" s="3" t="inlineStr">
        <is>
          <t>Accounts Payable</t>
        </is>
      </c>
      <c r="M2472" s="3" t="inlineStr">
        <is>
          <t>Balance Sheet</t>
        </is>
      </c>
    </row>
    <row r="2473">
      <c r="B2473" s="39" t="n">
        <v>46249</v>
      </c>
      <c r="C2473" s="3" t="inlineStr">
        <is>
          <t>Bill Payment (Check)</t>
        </is>
      </c>
      <c r="D2473" s="3" t="inlineStr">
        <is>
          <t>11244</t>
        </is>
      </c>
      <c r="E2473" s="3" t="inlineStr">
        <is>
          <t>Ledgerquill Billing SaaS</t>
        </is>
      </c>
      <c r="F2473" s="3" t="inlineStr">
        <is>
          <t>Billing Software as a Service – July</t>
        </is>
      </c>
      <c r="G2473" s="3" t="inlineStr">
        <is>
          <t>Checking – Operating</t>
        </is>
      </c>
      <c r="H2473" s="3" t="inlineStr">
        <is>
          <t>Accounts Payable</t>
        </is>
      </c>
      <c r="I2473" s="33" t="n">
        <v>-15959.6</v>
      </c>
      <c r="J2473" s="13">
        <f>+J2472+I2473</f>
        <v>424671.37</v>
      </c>
      <c r="K2473" s="19">
        <f>+EOMONTH(B2473,0)</f>
        <v>46265</v>
      </c>
      <c r="L2473" s="3" t="inlineStr">
        <is>
          <t>Accounts Payable</t>
        </is>
      </c>
      <c r="M2473" s="3" t="inlineStr">
        <is>
          <t>Balance Sheet</t>
        </is>
      </c>
    </row>
    <row r="2474">
      <c r="B2474" s="39" t="n">
        <v>46249</v>
      </c>
      <c r="C2474" s="3" t="inlineStr">
        <is>
          <t>Bill Payment (Check)</t>
        </is>
      </c>
      <c r="D2474" s="3" t="inlineStr">
        <is>
          <t>11245</t>
        </is>
      </c>
      <c r="E2474" s="3" t="inlineStr">
        <is>
          <t>Ledgerquill Billing SaaS</t>
        </is>
      </c>
      <c r="F2474" s="3" t="inlineStr">
        <is>
          <t>Billing Software as a Service – July</t>
        </is>
      </c>
      <c r="G2474" s="3" t="inlineStr">
        <is>
          <t>Checking – Operating</t>
        </is>
      </c>
      <c r="H2474" s="3" t="inlineStr">
        <is>
          <t>Accounts Payable</t>
        </is>
      </c>
      <c r="I2474" s="33" t="n">
        <v>-14417.95</v>
      </c>
      <c r="J2474" s="13">
        <f>+J2473+I2474</f>
        <v>410253.42</v>
      </c>
      <c r="K2474" s="19">
        <f>+EOMONTH(B2474,0)</f>
        <v>46265</v>
      </c>
      <c r="L2474" s="3" t="inlineStr">
        <is>
          <t>Accounts Payable</t>
        </is>
      </c>
      <c r="M2474" s="3" t="inlineStr">
        <is>
          <t>Balance Sheet</t>
        </is>
      </c>
    </row>
    <row r="2475">
      <c r="B2475" s="39" t="n">
        <v>46250</v>
      </c>
      <c r="C2475" s="3" t="inlineStr">
        <is>
          <t>Bill Payment (Check)</t>
        </is>
      </c>
      <c r="D2475" s="3" t="inlineStr">
        <is>
          <t>11247</t>
        </is>
      </c>
      <c r="E2475" s="3" t="inlineStr">
        <is>
          <t>Ledgerquill Billing SaaS</t>
        </is>
      </c>
      <c r="F2475" s="3" t="inlineStr">
        <is>
          <t>Billing Software as a Service – August</t>
        </is>
      </c>
      <c r="G2475" s="3" t="inlineStr">
        <is>
          <t>Checking – Operating</t>
        </is>
      </c>
      <c r="H2475" s="3" t="inlineStr">
        <is>
          <t>Accounts Payable</t>
        </is>
      </c>
      <c r="I2475" s="33" t="n">
        <v>-17195.12</v>
      </c>
      <c r="J2475" s="13">
        <f>+J2474+I2475</f>
        <v>393058.3</v>
      </c>
      <c r="K2475" s="19">
        <f>+EOMONTH(B2475,0)</f>
        <v>46265</v>
      </c>
      <c r="L2475" s="3" t="inlineStr">
        <is>
          <t>Accounts Payable</t>
        </is>
      </c>
      <c r="M2475" s="3" t="inlineStr">
        <is>
          <t>Balance Sheet</t>
        </is>
      </c>
    </row>
    <row r="2476">
      <c r="B2476" s="39" t="n">
        <v>46251</v>
      </c>
      <c r="C2476" s="3" t="inlineStr">
        <is>
          <t>Bill</t>
        </is>
      </c>
      <c r="D2476" s="3" t="inlineStr"/>
      <c r="E2476" s="3" t="inlineStr">
        <is>
          <t>Vialtrace Lab Supplies Inc</t>
        </is>
      </c>
      <c r="F2476" s="3" t="inlineStr">
        <is>
          <t>Lab supplies PO# F2341</t>
        </is>
      </c>
      <c r="G2476" s="3" t="inlineStr">
        <is>
          <t>Lab Supplies</t>
        </is>
      </c>
      <c r="H2476" s="3" t="inlineStr">
        <is>
          <t>Accounts Payable</t>
        </is>
      </c>
      <c r="I2476" s="33" t="n">
        <v>15386.99</v>
      </c>
      <c r="J2476" s="13">
        <f>+J2475+I2476</f>
        <v>408445.29</v>
      </c>
      <c r="K2476" s="19">
        <f>+EOMONTH(B2476,0)</f>
        <v>46265</v>
      </c>
      <c r="L2476" s="3" t="inlineStr">
        <is>
          <t>Accounts Payable</t>
        </is>
      </c>
      <c r="M2476" s="3" t="inlineStr">
        <is>
          <t>Balance Sheet</t>
        </is>
      </c>
    </row>
    <row r="2477">
      <c r="B2477" s="39" t="n">
        <v>46251</v>
      </c>
      <c r="C2477" s="3" t="inlineStr">
        <is>
          <t>Bill</t>
        </is>
      </c>
      <c r="D2477" s="3" t="inlineStr"/>
      <c r="E2477" s="3" t="inlineStr">
        <is>
          <t>Tarrowmere Mutual Insurance</t>
        </is>
      </c>
      <c r="F2477" s="3" t="inlineStr">
        <is>
          <t>Benefits – August</t>
        </is>
      </c>
      <c r="G2477" s="3" t="inlineStr">
        <is>
          <t>Benefits</t>
        </is>
      </c>
      <c r="H2477" s="3" t="inlineStr">
        <is>
          <t>Accounts Payable</t>
        </is>
      </c>
      <c r="I2477" s="33" t="n">
        <v>4622.81</v>
      </c>
      <c r="J2477" s="13">
        <f>+J2476+I2477</f>
        <v>413068.1</v>
      </c>
      <c r="K2477" s="19">
        <f>+EOMONTH(B2477,0)</f>
        <v>46265</v>
      </c>
      <c r="L2477" s="3" t="inlineStr">
        <is>
          <t>Accounts Payable</t>
        </is>
      </c>
      <c r="M2477" s="3" t="inlineStr">
        <is>
          <t>Balance Sheet</t>
        </is>
      </c>
    </row>
    <row r="2478">
      <c r="B2478" s="39" t="n">
        <v>46251</v>
      </c>
      <c r="C2478" s="3" t="inlineStr">
        <is>
          <t>Bill</t>
        </is>
      </c>
      <c r="D2478" s="3" t="inlineStr"/>
      <c r="E2478" s="3" t="inlineStr">
        <is>
          <t>Ledgerquill Billing SaaS</t>
        </is>
      </c>
      <c r="F2478" s="3" t="inlineStr">
        <is>
          <t>Billing Software as a Service – August</t>
        </is>
      </c>
      <c r="G2478" s="3" t="inlineStr">
        <is>
          <t>Billing Software as a Service</t>
        </is>
      </c>
      <c r="H2478" s="3" t="inlineStr">
        <is>
          <t>Accounts Payable</t>
        </is>
      </c>
      <c r="I2478" s="33" t="n">
        <v>11694.13</v>
      </c>
      <c r="J2478" s="13">
        <f>+J2477+I2478</f>
        <v>424762.23</v>
      </c>
      <c r="K2478" s="19">
        <f>+EOMONTH(B2478,0)</f>
        <v>46265</v>
      </c>
      <c r="L2478" s="3" t="inlineStr">
        <is>
          <t>Accounts Payable</t>
        </is>
      </c>
      <c r="M2478" s="3" t="inlineStr">
        <is>
          <t>Balance Sheet</t>
        </is>
      </c>
    </row>
    <row r="2479">
      <c r="B2479" s="39" t="n">
        <v>46251</v>
      </c>
      <c r="C2479" s="3" t="inlineStr">
        <is>
          <t>Bill Payment (Check)</t>
        </is>
      </c>
      <c r="D2479" s="3" t="inlineStr">
        <is>
          <t>10921</t>
        </is>
      </c>
      <c r="E2479" s="3" t="inlineStr">
        <is>
          <t>Halloway Ridge Realty (rent)</t>
        </is>
      </c>
      <c r="F2479" s="3" t="inlineStr">
        <is>
          <t>Rent – July</t>
        </is>
      </c>
      <c r="G2479" s="3" t="inlineStr">
        <is>
          <t>Checking – Operating</t>
        </is>
      </c>
      <c r="H2479" s="3" t="inlineStr">
        <is>
          <t>Accounts Payable</t>
        </is>
      </c>
      <c r="I2479" s="33" t="n">
        <v>-19161.3</v>
      </c>
      <c r="J2479" s="13">
        <f>+J2478+I2479</f>
        <v>405600.93</v>
      </c>
      <c r="K2479" s="19">
        <f>+EOMONTH(B2479,0)</f>
        <v>46265</v>
      </c>
      <c r="L2479" s="3" t="inlineStr">
        <is>
          <t>Accounts Payable</t>
        </is>
      </c>
      <c r="M2479" s="3" t="inlineStr">
        <is>
          <t>Balance Sheet</t>
        </is>
      </c>
    </row>
    <row r="2480">
      <c r="B2480" s="39" t="n">
        <v>46251</v>
      </c>
      <c r="C2480" s="3" t="inlineStr">
        <is>
          <t>Bill Payment (Check)</t>
        </is>
      </c>
      <c r="D2480" s="3" t="inlineStr">
        <is>
          <t>10988</t>
        </is>
      </c>
      <c r="E2480" s="3" t="inlineStr">
        <is>
          <t>Northmoor Waste Services</t>
        </is>
      </c>
      <c r="F2480" s="3" t="inlineStr">
        <is>
          <t>Hazard Waste – August</t>
        </is>
      </c>
      <c r="G2480" s="3" t="inlineStr">
        <is>
          <t>Checking – Operating</t>
        </is>
      </c>
      <c r="H2480" s="3" t="inlineStr">
        <is>
          <t>Accounts Payable</t>
        </is>
      </c>
      <c r="I2480" s="33" t="n">
        <v>-922.17</v>
      </c>
      <c r="J2480" s="13">
        <f>+J2479+I2480</f>
        <v>404678.76</v>
      </c>
      <c r="K2480" s="19">
        <f>+EOMONTH(B2480,0)</f>
        <v>46265</v>
      </c>
      <c r="L2480" s="3" t="inlineStr">
        <is>
          <t>Accounts Payable</t>
        </is>
      </c>
      <c r="M2480" s="3" t="inlineStr">
        <is>
          <t>Balance Sheet</t>
        </is>
      </c>
    </row>
    <row r="2481">
      <c r="B2481" s="39" t="n">
        <v>46251</v>
      </c>
      <c r="C2481" s="3" t="inlineStr">
        <is>
          <t>Bill Payment (Check)</t>
        </is>
      </c>
      <c r="D2481" s="3" t="inlineStr">
        <is>
          <t>11246</t>
        </is>
      </c>
      <c r="E2481" s="3" t="inlineStr">
        <is>
          <t>Ledgerquill Billing SaaS</t>
        </is>
      </c>
      <c r="F2481" s="3" t="inlineStr">
        <is>
          <t>Billing Software as a Service – August</t>
        </is>
      </c>
      <c r="G2481" s="3" t="inlineStr">
        <is>
          <t>Checking – Operating</t>
        </is>
      </c>
      <c r="H2481" s="3" t="inlineStr">
        <is>
          <t>Accounts Payable</t>
        </is>
      </c>
      <c r="I2481" s="33" t="n">
        <v>-16833.65</v>
      </c>
      <c r="J2481" s="13">
        <f>+J2480+I2481</f>
        <v>387845.11</v>
      </c>
      <c r="K2481" s="19">
        <f>+EOMONTH(B2481,0)</f>
        <v>46265</v>
      </c>
      <c r="L2481" s="3" t="inlineStr">
        <is>
          <t>Accounts Payable</t>
        </is>
      </c>
      <c r="M2481" s="3" t="inlineStr">
        <is>
          <t>Balance Sheet</t>
        </is>
      </c>
    </row>
    <row r="2482">
      <c r="B2482" s="39" t="n">
        <v>46251</v>
      </c>
      <c r="C2482" s="3" t="inlineStr">
        <is>
          <t>Bill Payment (Check)</t>
        </is>
      </c>
      <c r="D2482" s="3" t="inlineStr">
        <is>
          <t>11342</t>
        </is>
      </c>
      <c r="E2482" s="3" t="inlineStr">
        <is>
          <t>Union Utilities</t>
        </is>
      </c>
      <c r="F2482" s="3" t="inlineStr">
        <is>
          <t>Utilities – July</t>
        </is>
      </c>
      <c r="G2482" s="3" t="inlineStr">
        <is>
          <t>Checking – Operating</t>
        </is>
      </c>
      <c r="H2482" s="3" t="inlineStr">
        <is>
          <t>Accounts Payable</t>
        </is>
      </c>
      <c r="I2482" s="33" t="n">
        <v>-3436.95</v>
      </c>
      <c r="J2482" s="13">
        <f>+J2481+I2482</f>
        <v>384408.16</v>
      </c>
      <c r="K2482" s="19">
        <f>+EOMONTH(B2482,0)</f>
        <v>46265</v>
      </c>
      <c r="L2482" s="3" t="inlineStr">
        <is>
          <t>Accounts Payable</t>
        </is>
      </c>
      <c r="M2482" s="3" t="inlineStr">
        <is>
          <t>Balance Sheet</t>
        </is>
      </c>
    </row>
    <row r="2483">
      <c r="B2483" s="39" t="n">
        <v>46252</v>
      </c>
      <c r="C2483" s="3" t="inlineStr">
        <is>
          <t>Bill</t>
        </is>
      </c>
      <c r="D2483" s="3" t="inlineStr"/>
      <c r="E2483" s="3" t="inlineStr">
        <is>
          <t>Reference Lab A</t>
        </is>
      </c>
      <c r="F2483" s="3" t="inlineStr">
        <is>
          <t>Send-out testing – August</t>
        </is>
      </c>
      <c r="G2483" s="3" t="inlineStr">
        <is>
          <t>Laboratory Fees</t>
        </is>
      </c>
      <c r="H2483" s="3" t="inlineStr">
        <is>
          <t>Accounts Payable</t>
        </is>
      </c>
      <c r="I2483" s="33" t="n">
        <v>18342.39</v>
      </c>
      <c r="J2483" s="13">
        <f>+J2482+I2483</f>
        <v>402750.55</v>
      </c>
      <c r="K2483" s="19">
        <f>+EOMONTH(B2483,0)</f>
        <v>46265</v>
      </c>
      <c r="L2483" s="3" t="inlineStr">
        <is>
          <t>Accounts Payable</t>
        </is>
      </c>
      <c r="M2483" s="3" t="inlineStr">
        <is>
          <t>Balance Sheet</t>
        </is>
      </c>
    </row>
    <row r="2484">
      <c r="B2484" s="39" t="n">
        <v>46252</v>
      </c>
      <c r="C2484" s="3" t="inlineStr">
        <is>
          <t>Bill</t>
        </is>
      </c>
      <c r="D2484" s="3" t="inlineStr"/>
      <c r="E2484" s="3" t="inlineStr">
        <is>
          <t>Tarrowmere Mutual Insurance</t>
        </is>
      </c>
      <c r="F2484" s="3" t="inlineStr">
        <is>
          <t>Premium installment</t>
        </is>
      </c>
      <c r="G2484" s="3" t="inlineStr">
        <is>
          <t>Insurance Expense</t>
        </is>
      </c>
      <c r="H2484" s="3" t="inlineStr">
        <is>
          <t>Accounts Payable</t>
        </is>
      </c>
      <c r="I2484" s="33" t="n">
        <v>5473.21</v>
      </c>
      <c r="J2484" s="13">
        <f>+J2483+I2484</f>
        <v>408223.76</v>
      </c>
      <c r="K2484" s="19">
        <f>+EOMONTH(B2484,0)</f>
        <v>46265</v>
      </c>
      <c r="L2484" s="3" t="inlineStr">
        <is>
          <t>Accounts Payable</t>
        </is>
      </c>
      <c r="M2484" s="3" t="inlineStr">
        <is>
          <t>Balance Sheet</t>
        </is>
      </c>
    </row>
    <row r="2485">
      <c r="B2485" s="39" t="n">
        <v>46252</v>
      </c>
      <c r="C2485" s="3" t="inlineStr">
        <is>
          <t>Bill</t>
        </is>
      </c>
      <c r="D2485" s="3" t="inlineStr"/>
      <c r="E2485" s="3" t="inlineStr">
        <is>
          <t>Union Utilities</t>
        </is>
      </c>
      <c r="F2485" s="3" t="inlineStr">
        <is>
          <t>Utilities – August</t>
        </is>
      </c>
      <c r="G2485" s="3" t="inlineStr">
        <is>
          <t>Utilities</t>
        </is>
      </c>
      <c r="H2485" s="3" t="inlineStr">
        <is>
          <t>Accounts Payable</t>
        </is>
      </c>
      <c r="I2485" s="33" t="n">
        <v>3666.43</v>
      </c>
      <c r="J2485" s="13">
        <f>+J2484+I2485</f>
        <v>411890.19</v>
      </c>
      <c r="K2485" s="19">
        <f>+EOMONTH(B2485,0)</f>
        <v>46265</v>
      </c>
      <c r="L2485" s="3" t="inlineStr">
        <is>
          <t>Accounts Payable</t>
        </is>
      </c>
      <c r="M2485" s="3" t="inlineStr">
        <is>
          <t>Balance Sheet</t>
        </is>
      </c>
    </row>
    <row r="2486">
      <c r="B2486" s="39" t="n">
        <v>46252</v>
      </c>
      <c r="C2486" s="3" t="inlineStr">
        <is>
          <t>Bill Payment (Check)</t>
        </is>
      </c>
      <c r="D2486" s="3" t="inlineStr">
        <is>
          <t>11156</t>
        </is>
      </c>
      <c r="E2486" s="3" t="inlineStr">
        <is>
          <t>Tarrowmere Mutual Insurance</t>
        </is>
      </c>
      <c r="F2486" s="3" t="inlineStr">
        <is>
          <t>Benefits – July</t>
        </is>
      </c>
      <c r="G2486" s="3" t="inlineStr">
        <is>
          <t>Checking – Operating</t>
        </is>
      </c>
      <c r="H2486" s="3" t="inlineStr">
        <is>
          <t>Accounts Payable</t>
        </is>
      </c>
      <c r="I2486" s="33" t="n">
        <v>-5283.14</v>
      </c>
      <c r="J2486" s="13">
        <f>+J2485+I2486</f>
        <v>406607.05</v>
      </c>
      <c r="K2486" s="19">
        <f>+EOMONTH(B2486,0)</f>
        <v>46265</v>
      </c>
      <c r="L2486" s="3" t="inlineStr">
        <is>
          <t>Accounts Payable</t>
        </is>
      </c>
      <c r="M2486" s="3" t="inlineStr">
        <is>
          <t>Balance Sheet</t>
        </is>
      </c>
    </row>
    <row r="2487">
      <c r="B2487" s="39" t="n">
        <v>46252</v>
      </c>
      <c r="C2487" s="3" t="inlineStr">
        <is>
          <t>Bill Payment (Check)</t>
        </is>
      </c>
      <c r="D2487" s="3" t="inlineStr">
        <is>
          <t>11160</t>
        </is>
      </c>
      <c r="E2487" s="3" t="inlineStr">
        <is>
          <t>Tarrowmere Mutual Insurance</t>
        </is>
      </c>
      <c r="F2487" s="3" t="inlineStr">
        <is>
          <t>Benefits – July</t>
        </is>
      </c>
      <c r="G2487" s="3" t="inlineStr">
        <is>
          <t>Checking – Operating</t>
        </is>
      </c>
      <c r="H2487" s="3" t="inlineStr">
        <is>
          <t>Accounts Payable</t>
        </is>
      </c>
      <c r="I2487" s="33" t="n">
        <v>-4855.54</v>
      </c>
      <c r="J2487" s="13">
        <f>+J2486+I2487</f>
        <v>401751.51</v>
      </c>
      <c r="K2487" s="19">
        <f>+EOMONTH(B2487,0)</f>
        <v>46265</v>
      </c>
      <c r="L2487" s="3" t="inlineStr">
        <is>
          <t>Accounts Payable</t>
        </is>
      </c>
      <c r="M2487" s="3" t="inlineStr">
        <is>
          <t>Balance Sheet</t>
        </is>
      </c>
    </row>
    <row r="2488">
      <c r="B2488" s="39" t="n">
        <v>46253</v>
      </c>
      <c r="C2488" s="3" t="inlineStr">
        <is>
          <t>Bill</t>
        </is>
      </c>
      <c r="D2488" s="3" t="inlineStr"/>
      <c r="E2488" s="3" t="inlineStr">
        <is>
          <t>Tarrowmere Mutual Insurance</t>
        </is>
      </c>
      <c r="F2488" s="3" t="inlineStr">
        <is>
          <t>Premium installment</t>
        </is>
      </c>
      <c r="G2488" s="3" t="inlineStr">
        <is>
          <t>Insurance Expense</t>
        </is>
      </c>
      <c r="H2488" s="3" t="inlineStr">
        <is>
          <t>Accounts Payable</t>
        </is>
      </c>
      <c r="I2488" s="33" t="n">
        <v>5328.41</v>
      </c>
      <c r="J2488" s="13">
        <f>+J2487+I2488</f>
        <v>407079.92</v>
      </c>
      <c r="K2488" s="19">
        <f>+EOMONTH(B2488,0)</f>
        <v>46265</v>
      </c>
      <c r="L2488" s="3" t="inlineStr">
        <is>
          <t>Accounts Payable</t>
        </is>
      </c>
      <c r="M2488" s="3" t="inlineStr">
        <is>
          <t>Balance Sheet</t>
        </is>
      </c>
    </row>
    <row r="2489">
      <c r="B2489" s="39" t="n">
        <v>46253</v>
      </c>
      <c r="C2489" s="3" t="inlineStr">
        <is>
          <t>Bill Payment (Check)</t>
        </is>
      </c>
      <c r="D2489" s="3" t="inlineStr">
        <is>
          <t>10571</t>
        </is>
      </c>
      <c r="E2489" s="3" t="inlineStr">
        <is>
          <t>Reagentix Corp</t>
        </is>
      </c>
      <c r="F2489" s="3" t="inlineStr">
        <is>
          <t>Lab supplies PO# F2237</t>
        </is>
      </c>
      <c r="G2489" s="3" t="inlineStr">
        <is>
          <t>Checking – Operating</t>
        </is>
      </c>
      <c r="H2489" s="3" t="inlineStr">
        <is>
          <t>Accounts Payable</t>
        </is>
      </c>
      <c r="I2489" s="33" t="n">
        <v>-11292.69</v>
      </c>
      <c r="J2489" s="13">
        <f>+J2488+I2489</f>
        <v>395787.23</v>
      </c>
      <c r="K2489" s="19">
        <f>+EOMONTH(B2489,0)</f>
        <v>46265</v>
      </c>
      <c r="L2489" s="3" t="inlineStr">
        <is>
          <t>Accounts Payable</t>
        </is>
      </c>
      <c r="M2489" s="3" t="inlineStr">
        <is>
          <t>Balance Sheet</t>
        </is>
      </c>
    </row>
    <row r="2490">
      <c r="B2490" s="39" t="n">
        <v>46254</v>
      </c>
      <c r="C2490" s="3" t="inlineStr">
        <is>
          <t>Bill</t>
        </is>
      </c>
      <c r="D2490" s="3" t="inlineStr"/>
      <c r="E2490" s="3" t="inlineStr">
        <is>
          <t>Vialtrace Lab Supplies Inc</t>
        </is>
      </c>
      <c r="F2490" s="3" t="inlineStr">
        <is>
          <t>Lab Expenses – August</t>
        </is>
      </c>
      <c r="G2490" s="3" t="inlineStr">
        <is>
          <t>Lab Expenses</t>
        </is>
      </c>
      <c r="H2490" s="3" t="inlineStr">
        <is>
          <t>Accounts Payable</t>
        </is>
      </c>
      <c r="I2490" s="33" t="n">
        <v>5678.21</v>
      </c>
      <c r="J2490" s="13">
        <f>+J2489+I2490</f>
        <v>401465.44</v>
      </c>
      <c r="K2490" s="19">
        <f>+EOMONTH(B2490,0)</f>
        <v>46265</v>
      </c>
      <c r="L2490" s="3" t="inlineStr">
        <is>
          <t>Accounts Payable</t>
        </is>
      </c>
      <c r="M2490" s="3" t="inlineStr">
        <is>
          <t>Balance Sheet</t>
        </is>
      </c>
    </row>
    <row r="2491">
      <c r="B2491" s="39" t="n">
        <v>46254</v>
      </c>
      <c r="C2491" s="3" t="inlineStr">
        <is>
          <t>Bill</t>
        </is>
      </c>
      <c r="D2491" s="3" t="inlineStr"/>
      <c r="E2491" s="3" t="inlineStr">
        <is>
          <t>Reagentix Corp</t>
        </is>
      </c>
      <c r="F2491" s="3" t="inlineStr">
        <is>
          <t>Lab supplies PO# F2733</t>
        </is>
      </c>
      <c r="G2491" s="3" t="inlineStr">
        <is>
          <t>Reagents</t>
        </is>
      </c>
      <c r="H2491" s="3" t="inlineStr">
        <is>
          <t>Accounts Payable</t>
        </is>
      </c>
      <c r="I2491" s="33" t="n">
        <v>7374.46</v>
      </c>
      <c r="J2491" s="13">
        <f>+J2490+I2491</f>
        <v>408839.9</v>
      </c>
      <c r="K2491" s="19">
        <f>+EOMONTH(B2491,0)</f>
        <v>46265</v>
      </c>
      <c r="L2491" s="3" t="inlineStr">
        <is>
          <t>Accounts Payable</t>
        </is>
      </c>
      <c r="M2491" s="3" t="inlineStr">
        <is>
          <t>Balance Sheet</t>
        </is>
      </c>
    </row>
    <row r="2492">
      <c r="B2492" s="39" t="n">
        <v>46254</v>
      </c>
      <c r="C2492" s="3" t="inlineStr">
        <is>
          <t>Bill</t>
        </is>
      </c>
      <c r="D2492" s="3" t="inlineStr"/>
      <c r="E2492" s="3" t="inlineStr">
        <is>
          <t>Northmoor Waste Services</t>
        </is>
      </c>
      <c r="F2492" s="3" t="inlineStr">
        <is>
          <t>Waste Removal – August</t>
        </is>
      </c>
      <c r="G2492" s="3" t="inlineStr">
        <is>
          <t>Waste Removal</t>
        </is>
      </c>
      <c r="H2492" s="3" t="inlineStr">
        <is>
          <t>Accounts Payable</t>
        </is>
      </c>
      <c r="I2492" s="33" t="n">
        <v>505.09</v>
      </c>
      <c r="J2492" s="13">
        <f>+J2491+I2492</f>
        <v>409344.99</v>
      </c>
      <c r="K2492" s="19">
        <f>+EOMONTH(B2492,0)</f>
        <v>46265</v>
      </c>
      <c r="L2492" s="3" t="inlineStr">
        <is>
          <t>Accounts Payable</t>
        </is>
      </c>
      <c r="M2492" s="3" t="inlineStr">
        <is>
          <t>Balance Sheet</t>
        </is>
      </c>
    </row>
    <row r="2493">
      <c r="B2493" s="39" t="n">
        <v>46254</v>
      </c>
      <c r="C2493" s="3" t="inlineStr">
        <is>
          <t>Bill Payment (Check)</t>
        </is>
      </c>
      <c r="D2493" s="3" t="inlineStr">
        <is>
          <t>10480</t>
        </is>
      </c>
      <c r="E2493" s="3" t="inlineStr">
        <is>
          <t>Reagentix Corp</t>
        </is>
      </c>
      <c r="F2493" s="3" t="inlineStr">
        <is>
          <t>Lab supplies PO# F2167</t>
        </is>
      </c>
      <c r="G2493" s="3" t="inlineStr">
        <is>
          <t>Checking – Operating</t>
        </is>
      </c>
      <c r="H2493" s="3" t="inlineStr">
        <is>
          <t>Accounts Payable</t>
        </is>
      </c>
      <c r="I2493" s="33" t="n">
        <v>-36420.58</v>
      </c>
      <c r="J2493" s="13">
        <f>+J2492+I2493</f>
        <v>372924.41</v>
      </c>
      <c r="K2493" s="19">
        <f>+EOMONTH(B2493,0)</f>
        <v>46265</v>
      </c>
      <c r="L2493" s="3" t="inlineStr">
        <is>
          <t>Accounts Payable</t>
        </is>
      </c>
      <c r="M2493" s="3" t="inlineStr">
        <is>
          <t>Balance Sheet</t>
        </is>
      </c>
    </row>
    <row r="2494">
      <c r="B2494" s="39" t="n">
        <v>46254</v>
      </c>
      <c r="C2494" s="3" t="inlineStr">
        <is>
          <t>Bill Payment (Check)</t>
        </is>
      </c>
      <c r="D2494" s="3" t="inlineStr">
        <is>
          <t>10569</t>
        </is>
      </c>
      <c r="E2494" s="3" t="inlineStr">
        <is>
          <t>Reagentix Corp</t>
        </is>
      </c>
      <c r="F2494" s="3" t="inlineStr">
        <is>
          <t>Lab supplies PO# F2817</t>
        </is>
      </c>
      <c r="G2494" s="3" t="inlineStr">
        <is>
          <t>Checking – Operating</t>
        </is>
      </c>
      <c r="H2494" s="3" t="inlineStr">
        <is>
          <t>Accounts Payable</t>
        </is>
      </c>
      <c r="I2494" s="33" t="n">
        <v>-6274.42</v>
      </c>
      <c r="J2494" s="13">
        <f>+J2493+I2494</f>
        <v>366649.99</v>
      </c>
      <c r="K2494" s="19">
        <f>+EOMONTH(B2494,0)</f>
        <v>46265</v>
      </c>
      <c r="L2494" s="3" t="inlineStr">
        <is>
          <t>Accounts Payable</t>
        </is>
      </c>
      <c r="M2494" s="3" t="inlineStr">
        <is>
          <t>Balance Sheet</t>
        </is>
      </c>
    </row>
    <row r="2495">
      <c r="B2495" s="39" t="n">
        <v>46254</v>
      </c>
      <c r="C2495" s="3" t="inlineStr">
        <is>
          <t>Bill Payment (Check)</t>
        </is>
      </c>
      <c r="D2495" s="3" t="inlineStr">
        <is>
          <t>10751</t>
        </is>
      </c>
      <c r="E2495" s="3" t="inlineStr">
        <is>
          <t>Lumenlease Equipment</t>
        </is>
      </c>
      <c r="F2495" s="3" t="inlineStr">
        <is>
          <t>Equipment Lease – August</t>
        </is>
      </c>
      <c r="G2495" s="3" t="inlineStr">
        <is>
          <t>Checking – Operating</t>
        </is>
      </c>
      <c r="H2495" s="3" t="inlineStr">
        <is>
          <t>Accounts Payable</t>
        </is>
      </c>
      <c r="I2495" s="33" t="n">
        <v>-4027.13</v>
      </c>
      <c r="J2495" s="13">
        <f>+J2494+I2495</f>
        <v>362622.86</v>
      </c>
      <c r="K2495" s="19">
        <f>+EOMONTH(B2495,0)</f>
        <v>46265</v>
      </c>
      <c r="L2495" s="3" t="inlineStr">
        <is>
          <t>Accounts Payable</t>
        </is>
      </c>
      <c r="M2495" s="3" t="inlineStr">
        <is>
          <t>Balance Sheet</t>
        </is>
      </c>
    </row>
    <row r="2496">
      <c r="B2496" s="39" t="n">
        <v>46254</v>
      </c>
      <c r="C2496" s="3" t="inlineStr">
        <is>
          <t>Bill Payment (Check)</t>
        </is>
      </c>
      <c r="D2496" s="3" t="inlineStr">
        <is>
          <t>11165</t>
        </is>
      </c>
      <c r="E2496" s="3" t="inlineStr">
        <is>
          <t>Tarrowmere Mutual Insurance</t>
        </is>
      </c>
      <c r="F2496" s="3" t="inlineStr">
        <is>
          <t>Benefits – August</t>
        </is>
      </c>
      <c r="G2496" s="3" t="inlineStr">
        <is>
          <t>Checking – Operating</t>
        </is>
      </c>
      <c r="H2496" s="3" t="inlineStr">
        <is>
          <t>Accounts Payable</t>
        </is>
      </c>
      <c r="I2496" s="33" t="n">
        <v>-3174.9</v>
      </c>
      <c r="J2496" s="13">
        <f>+J2495+I2496</f>
        <v>359447.96</v>
      </c>
      <c r="K2496" s="19">
        <f>+EOMONTH(B2496,0)</f>
        <v>46265</v>
      </c>
      <c r="L2496" s="3" t="inlineStr">
        <is>
          <t>Accounts Payable</t>
        </is>
      </c>
      <c r="M2496" s="3" t="inlineStr">
        <is>
          <t>Balance Sheet</t>
        </is>
      </c>
    </row>
    <row r="2497">
      <c r="B2497" s="39" t="n">
        <v>46255</v>
      </c>
      <c r="C2497" s="3" t="inlineStr">
        <is>
          <t>Bill</t>
        </is>
      </c>
      <c r="D2497" s="3" t="inlineStr"/>
      <c r="E2497" s="3" t="inlineStr">
        <is>
          <t>Reagentix Corp</t>
        </is>
      </c>
      <c r="F2497" s="3" t="inlineStr">
        <is>
          <t>Lab supplies PO# F2399</t>
        </is>
      </c>
      <c r="G2497" s="3" t="inlineStr">
        <is>
          <t>Reagents</t>
        </is>
      </c>
      <c r="H2497" s="3" t="inlineStr">
        <is>
          <t>Accounts Payable</t>
        </is>
      </c>
      <c r="I2497" s="33" t="n">
        <v>12304.5</v>
      </c>
      <c r="J2497" s="13">
        <f>+J2496+I2497</f>
        <v>371752.46</v>
      </c>
      <c r="K2497" s="19">
        <f>+EOMONTH(B2497,0)</f>
        <v>46265</v>
      </c>
      <c r="L2497" s="3" t="inlineStr">
        <is>
          <t>Accounts Payable</t>
        </is>
      </c>
      <c r="M2497" s="3" t="inlineStr">
        <is>
          <t>Balance Sheet</t>
        </is>
      </c>
    </row>
    <row r="2498">
      <c r="B2498" s="39" t="n">
        <v>46255</v>
      </c>
      <c r="C2498" s="3" t="inlineStr">
        <is>
          <t>Bill Payment (Check)</t>
        </is>
      </c>
      <c r="D2498" s="3" t="inlineStr">
        <is>
          <t>10924</t>
        </is>
      </c>
      <c r="E2498" s="3" t="inlineStr">
        <is>
          <t>Halloway Ridge Realty (rent)</t>
        </is>
      </c>
      <c r="F2498" s="3" t="inlineStr">
        <is>
          <t>Rent – August</t>
        </is>
      </c>
      <c r="G2498" s="3" t="inlineStr">
        <is>
          <t>Checking – Operating</t>
        </is>
      </c>
      <c r="H2498" s="3" t="inlineStr">
        <is>
          <t>Accounts Payable</t>
        </is>
      </c>
      <c r="I2498" s="33" t="n">
        <v>-6947.51</v>
      </c>
      <c r="J2498" s="13">
        <f>+J2497+I2498</f>
        <v>364804.95</v>
      </c>
      <c r="K2498" s="19">
        <f>+EOMONTH(B2498,0)</f>
        <v>46265</v>
      </c>
      <c r="L2498" s="3" t="inlineStr">
        <is>
          <t>Accounts Payable</t>
        </is>
      </c>
      <c r="M2498" s="3" t="inlineStr">
        <is>
          <t>Balance Sheet</t>
        </is>
      </c>
    </row>
    <row r="2499">
      <c r="B2499" s="39" t="n">
        <v>46257</v>
      </c>
      <c r="C2499" s="3" t="inlineStr">
        <is>
          <t>Bill</t>
        </is>
      </c>
      <c r="D2499" s="3" t="inlineStr"/>
      <c r="E2499" s="3" t="inlineStr">
        <is>
          <t>Vialtrace Lab Supplies Inc</t>
        </is>
      </c>
      <c r="F2499" s="3" t="inlineStr">
        <is>
          <t>Lab Expenses – August</t>
        </is>
      </c>
      <c r="G2499" s="3" t="inlineStr">
        <is>
          <t>Lab Expenses</t>
        </is>
      </c>
      <c r="H2499" s="3" t="inlineStr">
        <is>
          <t>Accounts Payable</t>
        </is>
      </c>
      <c r="I2499" s="33" t="n">
        <v>3475.54</v>
      </c>
      <c r="J2499" s="13">
        <f>+J2498+I2499</f>
        <v>368280.49</v>
      </c>
      <c r="K2499" s="19">
        <f>+EOMONTH(B2499,0)</f>
        <v>46265</v>
      </c>
      <c r="L2499" s="3" t="inlineStr">
        <is>
          <t>Accounts Payable</t>
        </is>
      </c>
      <c r="M2499" s="3" t="inlineStr">
        <is>
          <t>Balance Sheet</t>
        </is>
      </c>
    </row>
    <row r="2500">
      <c r="B2500" s="39" t="n">
        <v>46257</v>
      </c>
      <c r="C2500" s="3" t="inlineStr">
        <is>
          <t>Bill Payment (Check)</t>
        </is>
      </c>
      <c r="D2500" s="3" t="inlineStr">
        <is>
          <t>10440</t>
        </is>
      </c>
      <c r="E2500" s="3" t="inlineStr">
        <is>
          <t>Vialtrace Lab Supplies Inc</t>
        </is>
      </c>
      <c r="F2500" s="3" t="inlineStr">
        <is>
          <t>Lab Expenses – July</t>
        </is>
      </c>
      <c r="G2500" s="3" t="inlineStr">
        <is>
          <t>Checking – Operating</t>
        </is>
      </c>
      <c r="H2500" s="3" t="inlineStr">
        <is>
          <t>Accounts Payable</t>
        </is>
      </c>
      <c r="I2500" s="33" t="n">
        <v>-4640.49</v>
      </c>
      <c r="J2500" s="13">
        <f>+J2499+I2500</f>
        <v>363640</v>
      </c>
      <c r="K2500" s="19">
        <f>+EOMONTH(B2500,0)</f>
        <v>46265</v>
      </c>
      <c r="L2500" s="3" t="inlineStr">
        <is>
          <t>Accounts Payable</t>
        </is>
      </c>
      <c r="M2500" s="3" t="inlineStr">
        <is>
          <t>Balance Sheet</t>
        </is>
      </c>
    </row>
    <row r="2501">
      <c r="B2501" s="39" t="n">
        <v>46257</v>
      </c>
      <c r="C2501" s="3" t="inlineStr">
        <is>
          <t>Bill Payment (Check)</t>
        </is>
      </c>
      <c r="D2501" s="3" t="inlineStr">
        <is>
          <t>10485</t>
        </is>
      </c>
      <c r="E2501" s="3" t="inlineStr">
        <is>
          <t>Reagentix Corp</t>
        </is>
      </c>
      <c r="F2501" s="3" t="inlineStr">
        <is>
          <t>Lab supplies PO# F2903</t>
        </is>
      </c>
      <c r="G2501" s="3" t="inlineStr">
        <is>
          <t>Checking – Operating</t>
        </is>
      </c>
      <c r="H2501" s="3" t="inlineStr">
        <is>
          <t>Accounts Payable</t>
        </is>
      </c>
      <c r="I2501" s="33" t="n">
        <v>-17538.54</v>
      </c>
      <c r="J2501" s="13">
        <f>+J2500+I2501</f>
        <v>346101.46</v>
      </c>
      <c r="K2501" s="19">
        <f>+EOMONTH(B2501,0)</f>
        <v>46265</v>
      </c>
      <c r="L2501" s="3" t="inlineStr">
        <is>
          <t>Accounts Payable</t>
        </is>
      </c>
      <c r="M2501" s="3" t="inlineStr">
        <is>
          <t>Balance Sheet</t>
        </is>
      </c>
    </row>
    <row r="2502">
      <c r="B2502" s="39" t="n">
        <v>46257</v>
      </c>
      <c r="C2502" s="3" t="inlineStr">
        <is>
          <t>Bill Payment (Check)</t>
        </is>
      </c>
      <c r="D2502" s="3" t="inlineStr">
        <is>
          <t>10681</t>
        </is>
      </c>
      <c r="E2502" s="3" t="inlineStr">
        <is>
          <t>Lumenlease Equipment</t>
        </is>
      </c>
      <c r="F2502" s="3" t="inlineStr">
        <is>
          <t>Lab Equipment – August</t>
        </is>
      </c>
      <c r="G2502" s="3" t="inlineStr">
        <is>
          <t>Checking – Operating</t>
        </is>
      </c>
      <c r="H2502" s="3" t="inlineStr">
        <is>
          <t>Accounts Payable</t>
        </is>
      </c>
      <c r="I2502" s="33" t="n">
        <v>-2140.57</v>
      </c>
      <c r="J2502" s="13">
        <f>+J2501+I2502</f>
        <v>343960.89</v>
      </c>
      <c r="K2502" s="19">
        <f>+EOMONTH(B2502,0)</f>
        <v>46265</v>
      </c>
      <c r="L2502" s="3" t="inlineStr">
        <is>
          <t>Accounts Payable</t>
        </is>
      </c>
      <c r="M2502" s="3" t="inlineStr">
        <is>
          <t>Balance Sheet</t>
        </is>
      </c>
    </row>
    <row r="2503">
      <c r="B2503" s="39" t="n">
        <v>46258</v>
      </c>
      <c r="C2503" s="3" t="inlineStr">
        <is>
          <t>Bill</t>
        </is>
      </c>
      <c r="D2503" s="3" t="inlineStr"/>
      <c r="E2503" s="3" t="inlineStr">
        <is>
          <t>Reagentix Corp</t>
        </is>
      </c>
      <c r="F2503" s="3" t="inlineStr">
        <is>
          <t>Lab Expenses – August</t>
        </is>
      </c>
      <c r="G2503" s="3" t="inlineStr">
        <is>
          <t>Lab Expenses</t>
        </is>
      </c>
      <c r="H2503" s="3" t="inlineStr">
        <is>
          <t>Accounts Payable</t>
        </is>
      </c>
      <c r="I2503" s="33" t="n">
        <v>3624.29</v>
      </c>
      <c r="J2503" s="13">
        <f>+J2502+I2503</f>
        <v>347585.18</v>
      </c>
      <c r="K2503" s="19">
        <f>+EOMONTH(B2503,0)</f>
        <v>46265</v>
      </c>
      <c r="L2503" s="3" t="inlineStr">
        <is>
          <t>Accounts Payable</t>
        </is>
      </c>
      <c r="M2503" s="3" t="inlineStr">
        <is>
          <t>Balance Sheet</t>
        </is>
      </c>
    </row>
    <row r="2504">
      <c r="B2504" s="39" t="n">
        <v>46258</v>
      </c>
      <c r="C2504" s="3" t="inlineStr">
        <is>
          <t>Bill Payment (Check)</t>
        </is>
      </c>
      <c r="D2504" s="3" t="inlineStr">
        <is>
          <t>11163</t>
        </is>
      </c>
      <c r="E2504" s="3" t="inlineStr">
        <is>
          <t>Tarrowmere Mutual Insurance</t>
        </is>
      </c>
      <c r="F2504" s="3" t="inlineStr">
        <is>
          <t>Benefits – August</t>
        </is>
      </c>
      <c r="G2504" s="3" t="inlineStr">
        <is>
          <t>Checking – Operating</t>
        </is>
      </c>
      <c r="H2504" s="3" t="inlineStr">
        <is>
          <t>Accounts Payable</t>
        </is>
      </c>
      <c r="I2504" s="33" t="n">
        <v>-5702.82</v>
      </c>
      <c r="J2504" s="13">
        <f>+J2503+I2504</f>
        <v>341882.36</v>
      </c>
      <c r="K2504" s="19">
        <f>+EOMONTH(B2504,0)</f>
        <v>46265</v>
      </c>
      <c r="L2504" s="3" t="inlineStr">
        <is>
          <t>Accounts Payable</t>
        </is>
      </c>
      <c r="M2504" s="3" t="inlineStr">
        <is>
          <t>Balance Sheet</t>
        </is>
      </c>
    </row>
    <row r="2505">
      <c r="B2505" s="39" t="n">
        <v>46259</v>
      </c>
      <c r="C2505" s="3" t="inlineStr">
        <is>
          <t>Bill</t>
        </is>
      </c>
      <c r="D2505" s="3" t="inlineStr"/>
      <c r="E2505" s="3" t="inlineStr">
        <is>
          <t>Swiftmere Courier</t>
        </is>
      </c>
      <c r="F2505" s="3" t="inlineStr">
        <is>
          <t>Delivery and Transportation – August</t>
        </is>
      </c>
      <c r="G2505" s="3" t="inlineStr">
        <is>
          <t>Delivery and Transportation</t>
        </is>
      </c>
      <c r="H2505" s="3" t="inlineStr">
        <is>
          <t>Accounts Payable</t>
        </is>
      </c>
      <c r="I2505" s="33" t="n">
        <v>3859.26</v>
      </c>
      <c r="J2505" s="13">
        <f>+J2504+I2505</f>
        <v>345741.62</v>
      </c>
      <c r="K2505" s="19">
        <f>+EOMONTH(B2505,0)</f>
        <v>46265</v>
      </c>
      <c r="L2505" s="3" t="inlineStr">
        <is>
          <t>Accounts Payable</t>
        </is>
      </c>
      <c r="M2505" s="3" t="inlineStr">
        <is>
          <t>Balance Sheet</t>
        </is>
      </c>
    </row>
    <row r="2506">
      <c r="B2506" s="39" t="n">
        <v>46259</v>
      </c>
      <c r="C2506" s="3" t="inlineStr">
        <is>
          <t>Bill Payment (Check)</t>
        </is>
      </c>
      <c r="D2506" s="3" t="inlineStr">
        <is>
          <t>10441</t>
        </is>
      </c>
      <c r="E2506" s="3" t="inlineStr">
        <is>
          <t>Vialtrace Lab Supplies Inc</t>
        </is>
      </c>
      <c r="F2506" s="3" t="inlineStr">
        <is>
          <t>Lab Expenses – July</t>
        </is>
      </c>
      <c r="G2506" s="3" t="inlineStr">
        <is>
          <t>Checking – Operating</t>
        </is>
      </c>
      <c r="H2506" s="3" t="inlineStr">
        <is>
          <t>Accounts Payable</t>
        </is>
      </c>
      <c r="I2506" s="33" t="n">
        <v>-5005.48</v>
      </c>
      <c r="J2506" s="13">
        <f>+J2505+I2506</f>
        <v>340736.14</v>
      </c>
      <c r="K2506" s="19">
        <f>+EOMONTH(B2506,0)</f>
        <v>46265</v>
      </c>
      <c r="L2506" s="3" t="inlineStr">
        <is>
          <t>Accounts Payable</t>
        </is>
      </c>
      <c r="M2506" s="3" t="inlineStr">
        <is>
          <t>Balance Sheet</t>
        </is>
      </c>
    </row>
    <row r="2507">
      <c r="B2507" s="39" t="n">
        <v>46259</v>
      </c>
      <c r="C2507" s="3" t="inlineStr">
        <is>
          <t>Bill Payment (Check)</t>
        </is>
      </c>
      <c r="D2507" s="3" t="inlineStr">
        <is>
          <t>10443</t>
        </is>
      </c>
      <c r="E2507" s="3" t="inlineStr">
        <is>
          <t>Vialtrace Lab Supplies Inc</t>
        </is>
      </c>
      <c r="F2507" s="3" t="inlineStr">
        <is>
          <t>Lab Expenses – August</t>
        </is>
      </c>
      <c r="G2507" s="3" t="inlineStr">
        <is>
          <t>Checking – Operating</t>
        </is>
      </c>
      <c r="H2507" s="3" t="inlineStr">
        <is>
          <t>Accounts Payable</t>
        </is>
      </c>
      <c r="I2507" s="33" t="n">
        <v>-3006.32</v>
      </c>
      <c r="J2507" s="13">
        <f>+J2506+I2507</f>
        <v>337729.82</v>
      </c>
      <c r="K2507" s="19">
        <f>+EOMONTH(B2507,0)</f>
        <v>46265</v>
      </c>
      <c r="L2507" s="3" t="inlineStr">
        <is>
          <t>Accounts Payable</t>
        </is>
      </c>
      <c r="M2507" s="3" t="inlineStr">
        <is>
          <t>Balance Sheet</t>
        </is>
      </c>
    </row>
    <row r="2508">
      <c r="B2508" s="39" t="n">
        <v>46259</v>
      </c>
      <c r="C2508" s="3" t="inlineStr">
        <is>
          <t>Bill Payment (Check)</t>
        </is>
      </c>
      <c r="D2508" s="3" t="inlineStr">
        <is>
          <t>10925</t>
        </is>
      </c>
      <c r="E2508" s="3" t="inlineStr">
        <is>
          <t>Halloway Ridge Realty (rent)</t>
        </is>
      </c>
      <c r="F2508" s="3" t="inlineStr">
        <is>
          <t>Rent – August</t>
        </is>
      </c>
      <c r="G2508" s="3" t="inlineStr">
        <is>
          <t>Checking – Operating</t>
        </is>
      </c>
      <c r="H2508" s="3" t="inlineStr">
        <is>
          <t>Accounts Payable</t>
        </is>
      </c>
      <c r="I2508" s="33" t="n">
        <v>-9538.280000000001</v>
      </c>
      <c r="J2508" s="13">
        <f>+J2507+I2508</f>
        <v>328191.54</v>
      </c>
      <c r="K2508" s="19">
        <f>+EOMONTH(B2508,0)</f>
        <v>46265</v>
      </c>
      <c r="L2508" s="3" t="inlineStr">
        <is>
          <t>Accounts Payable</t>
        </is>
      </c>
      <c r="M2508" s="3" t="inlineStr">
        <is>
          <t>Balance Sheet</t>
        </is>
      </c>
    </row>
    <row r="2509">
      <c r="B2509" s="39" t="n">
        <v>46260</v>
      </c>
      <c r="C2509" s="3" t="inlineStr">
        <is>
          <t>Bill</t>
        </is>
      </c>
      <c r="D2509" s="3" t="inlineStr"/>
      <c r="E2509" s="3" t="inlineStr">
        <is>
          <t>Tarrowmere Mutual Insurance</t>
        </is>
      </c>
      <c r="F2509" s="3" t="inlineStr">
        <is>
          <t>Premium installment</t>
        </is>
      </c>
      <c r="G2509" s="3" t="inlineStr">
        <is>
          <t>Insurance Expense</t>
        </is>
      </c>
      <c r="H2509" s="3" t="inlineStr">
        <is>
          <t>Accounts Payable</t>
        </is>
      </c>
      <c r="I2509" s="33" t="n">
        <v>2612.76</v>
      </c>
      <c r="J2509" s="13">
        <f>+J2508+I2509</f>
        <v>330804.3</v>
      </c>
      <c r="K2509" s="19">
        <f>+EOMONTH(B2509,0)</f>
        <v>46265</v>
      </c>
      <c r="L2509" s="3" t="inlineStr">
        <is>
          <t>Accounts Payable</t>
        </is>
      </c>
      <c r="M2509" s="3" t="inlineStr">
        <is>
          <t>Balance Sheet</t>
        </is>
      </c>
    </row>
    <row r="2510">
      <c r="B2510" s="39" t="n">
        <v>46260</v>
      </c>
      <c r="C2510" s="3" t="inlineStr">
        <is>
          <t>Bill Payment (Check)</t>
        </is>
      </c>
      <c r="D2510" s="3" t="inlineStr">
        <is>
          <t>10486</t>
        </is>
      </c>
      <c r="E2510" s="3" t="inlineStr">
        <is>
          <t>Vialtrace Lab Supplies Inc</t>
        </is>
      </c>
      <c r="F2510" s="3" t="inlineStr">
        <is>
          <t>Lab supplies PO# F2624</t>
        </is>
      </c>
      <c r="G2510" s="3" t="inlineStr">
        <is>
          <t>Checking – Operating</t>
        </is>
      </c>
      <c r="H2510" s="3" t="inlineStr">
        <is>
          <t>Accounts Payable</t>
        </is>
      </c>
      <c r="I2510" s="33" t="n">
        <v>-13307.5</v>
      </c>
      <c r="J2510" s="13">
        <f>+J2509+I2510</f>
        <v>317496.8</v>
      </c>
      <c r="K2510" s="19">
        <f>+EOMONTH(B2510,0)</f>
        <v>46265</v>
      </c>
      <c r="L2510" s="3" t="inlineStr">
        <is>
          <t>Accounts Payable</t>
        </is>
      </c>
      <c r="M2510" s="3" t="inlineStr">
        <is>
          <t>Balance Sheet</t>
        </is>
      </c>
    </row>
    <row r="2511">
      <c r="B2511" s="39" t="n">
        <v>46260</v>
      </c>
      <c r="C2511" s="3" t="inlineStr">
        <is>
          <t>Bill Payment (Check)</t>
        </is>
      </c>
      <c r="D2511" s="3" t="inlineStr">
        <is>
          <t>10523</t>
        </is>
      </c>
      <c r="E2511" s="3" t="inlineStr">
        <is>
          <t>Reference Lab A</t>
        </is>
      </c>
      <c r="F2511" s="3" t="inlineStr">
        <is>
          <t>Send-out testing – July</t>
        </is>
      </c>
      <c r="G2511" s="3" t="inlineStr">
        <is>
          <t>Checking – Operating</t>
        </is>
      </c>
      <c r="H2511" s="3" t="inlineStr">
        <is>
          <t>Accounts Payable</t>
        </is>
      </c>
      <c r="I2511" s="33" t="n">
        <v>-27841.75</v>
      </c>
      <c r="J2511" s="13">
        <f>+J2510+I2511</f>
        <v>289655.05</v>
      </c>
      <c r="K2511" s="19">
        <f>+EOMONTH(B2511,0)</f>
        <v>46265</v>
      </c>
      <c r="L2511" s="3" t="inlineStr">
        <is>
          <t>Accounts Payable</t>
        </is>
      </c>
      <c r="M2511" s="3" t="inlineStr">
        <is>
          <t>Balance Sheet</t>
        </is>
      </c>
    </row>
    <row r="2512">
      <c r="B2512" s="39" t="n">
        <v>46261</v>
      </c>
      <c r="C2512" s="3" t="inlineStr">
        <is>
          <t>Bill</t>
        </is>
      </c>
      <c r="D2512" s="3" t="inlineStr"/>
      <c r="E2512" s="3" t="inlineStr">
        <is>
          <t>Tarrowmere Mutual Insurance</t>
        </is>
      </c>
      <c r="F2512" s="3" t="inlineStr">
        <is>
          <t>Premium installment</t>
        </is>
      </c>
      <c r="G2512" s="3" t="inlineStr">
        <is>
          <t>Insurance Expense</t>
        </is>
      </c>
      <c r="H2512" s="3" t="inlineStr">
        <is>
          <t>Accounts Payable</t>
        </is>
      </c>
      <c r="I2512" s="33" t="n">
        <v>3048.17</v>
      </c>
      <c r="J2512" s="13">
        <f>+J2511+I2512</f>
        <v>292703.22</v>
      </c>
      <c r="K2512" s="19">
        <f>+EOMONTH(B2512,0)</f>
        <v>46265</v>
      </c>
      <c r="L2512" s="3" t="inlineStr">
        <is>
          <t>Accounts Payable</t>
        </is>
      </c>
      <c r="M2512" s="3" t="inlineStr">
        <is>
          <t>Balance Sheet</t>
        </is>
      </c>
    </row>
    <row r="2513">
      <c r="B2513" s="39" t="n">
        <v>46261</v>
      </c>
      <c r="C2513" s="3" t="inlineStr">
        <is>
          <t>Bill</t>
        </is>
      </c>
      <c r="D2513" s="3" t="inlineStr"/>
      <c r="E2513" s="3" t="inlineStr">
        <is>
          <t>Halloway Ridge Realty (rent)</t>
        </is>
      </c>
      <c r="F2513" s="3" t="inlineStr">
        <is>
          <t>Rent – August</t>
        </is>
      </c>
      <c r="G2513" s="3" t="inlineStr">
        <is>
          <t>Rent Expense</t>
        </is>
      </c>
      <c r="H2513" s="3" t="inlineStr">
        <is>
          <t>Accounts Payable</t>
        </is>
      </c>
      <c r="I2513" s="33" t="n">
        <v>11474.47</v>
      </c>
      <c r="J2513" s="13">
        <f>+J2512+I2513</f>
        <v>304177.69</v>
      </c>
      <c r="K2513" s="19">
        <f>+EOMONTH(B2513,0)</f>
        <v>46265</v>
      </c>
      <c r="L2513" s="3" t="inlineStr">
        <is>
          <t>Accounts Payable</t>
        </is>
      </c>
      <c r="M2513" s="3" t="inlineStr">
        <is>
          <t>Balance Sheet</t>
        </is>
      </c>
    </row>
    <row r="2514">
      <c r="B2514" s="39" t="n">
        <v>46261</v>
      </c>
      <c r="C2514" s="3" t="inlineStr">
        <is>
          <t>Bill Payment (Check)</t>
        </is>
      </c>
      <c r="D2514" s="3" t="inlineStr">
        <is>
          <t>11243</t>
        </is>
      </c>
      <c r="E2514" s="3" t="inlineStr">
        <is>
          <t>Ledgerquill Billing SaaS</t>
        </is>
      </c>
      <c r="F2514" s="3" t="inlineStr">
        <is>
          <t>Billing Software as a Service – July</t>
        </is>
      </c>
      <c r="G2514" s="3" t="inlineStr">
        <is>
          <t>Checking – Operating</t>
        </is>
      </c>
      <c r="H2514" s="3" t="inlineStr">
        <is>
          <t>Accounts Payable</t>
        </is>
      </c>
      <c r="I2514" s="33" t="n">
        <v>-14171.59</v>
      </c>
      <c r="J2514" s="13">
        <f>+J2513+I2514</f>
        <v>290006.1</v>
      </c>
      <c r="K2514" s="19">
        <f>+EOMONTH(B2514,0)</f>
        <v>46265</v>
      </c>
      <c r="L2514" s="3" t="inlineStr">
        <is>
          <t>Accounts Payable</t>
        </is>
      </c>
      <c r="M2514" s="3" t="inlineStr">
        <is>
          <t>Balance Sheet</t>
        </is>
      </c>
    </row>
    <row r="2515">
      <c r="B2515" s="39" t="n">
        <v>46262</v>
      </c>
      <c r="C2515" s="3" t="inlineStr">
        <is>
          <t>Bill</t>
        </is>
      </c>
      <c r="D2515" s="3" t="inlineStr"/>
      <c r="E2515" s="3" t="inlineStr">
        <is>
          <t>Tarrowmere Mutual Insurance</t>
        </is>
      </c>
      <c r="F2515" s="3" t="inlineStr">
        <is>
          <t>Benefits – August</t>
        </is>
      </c>
      <c r="G2515" s="3" t="inlineStr">
        <is>
          <t>Benefits</t>
        </is>
      </c>
      <c r="H2515" s="3" t="inlineStr">
        <is>
          <t>Accounts Payable</t>
        </is>
      </c>
      <c r="I2515" s="33" t="n">
        <v>4443.54</v>
      </c>
      <c r="J2515" s="13">
        <f>+J2514+I2515</f>
        <v>294449.64</v>
      </c>
      <c r="K2515" s="19">
        <f>+EOMONTH(B2515,0)</f>
        <v>46265</v>
      </c>
      <c r="L2515" s="3" t="inlineStr">
        <is>
          <t>Accounts Payable</t>
        </is>
      </c>
      <c r="M2515" s="3" t="inlineStr">
        <is>
          <t>Balance Sheet</t>
        </is>
      </c>
    </row>
    <row r="2516">
      <c r="B2516" s="39" t="n">
        <v>46262</v>
      </c>
      <c r="C2516" s="3" t="inlineStr">
        <is>
          <t>Bill Payment (Check)</t>
        </is>
      </c>
      <c r="D2516" s="3" t="inlineStr">
        <is>
          <t>10528</t>
        </is>
      </c>
      <c r="E2516" s="3" t="inlineStr">
        <is>
          <t>Reference Lab A</t>
        </is>
      </c>
      <c r="F2516" s="3" t="inlineStr">
        <is>
          <t>Send-out testing – August</t>
        </is>
      </c>
      <c r="G2516" s="3" t="inlineStr">
        <is>
          <t>Checking – Operating</t>
        </is>
      </c>
      <c r="H2516" s="3" t="inlineStr">
        <is>
          <t>Accounts Payable</t>
        </is>
      </c>
      <c r="I2516" s="33" t="n">
        <v>-13458.75</v>
      </c>
      <c r="J2516" s="13">
        <f>+J2515+I2516</f>
        <v>280990.89</v>
      </c>
      <c r="K2516" s="19">
        <f>+EOMONTH(B2516,0)</f>
        <v>46265</v>
      </c>
      <c r="L2516" s="3" t="inlineStr">
        <is>
          <t>Accounts Payable</t>
        </is>
      </c>
      <c r="M2516" s="3" t="inlineStr">
        <is>
          <t>Balance Sheet</t>
        </is>
      </c>
    </row>
    <row r="2517">
      <c r="B2517" s="39" t="n">
        <v>46262</v>
      </c>
      <c r="C2517" s="3" t="inlineStr">
        <is>
          <t>Bill Payment (Check)</t>
        </is>
      </c>
      <c r="D2517" s="3" t="inlineStr">
        <is>
          <t>11343</t>
        </is>
      </c>
      <c r="E2517" s="3" t="inlineStr">
        <is>
          <t>Union Utilities</t>
        </is>
      </c>
      <c r="F2517" s="3" t="inlineStr">
        <is>
          <t>Utilities – August</t>
        </is>
      </c>
      <c r="G2517" s="3" t="inlineStr">
        <is>
          <t>Checking – Operating</t>
        </is>
      </c>
      <c r="H2517" s="3" t="inlineStr">
        <is>
          <t>Accounts Payable</t>
        </is>
      </c>
      <c r="I2517" s="33" t="n">
        <v>-3666.43</v>
      </c>
      <c r="J2517" s="13">
        <f>+J2516+I2517</f>
        <v>277324.46</v>
      </c>
      <c r="K2517" s="19">
        <f>+EOMONTH(B2517,0)</f>
        <v>46265</v>
      </c>
      <c r="L2517" s="3" t="inlineStr">
        <is>
          <t>Accounts Payable</t>
        </is>
      </c>
      <c r="M2517" s="3" t="inlineStr">
        <is>
          <t>Balance Sheet</t>
        </is>
      </c>
    </row>
    <row r="2518">
      <c r="B2518" s="39" t="n">
        <v>46263</v>
      </c>
      <c r="C2518" s="3" t="inlineStr">
        <is>
          <t>Bill</t>
        </is>
      </c>
      <c r="D2518" s="3" t="inlineStr"/>
      <c r="E2518" s="3" t="inlineStr">
        <is>
          <t>Lumenlease Equipment</t>
        </is>
      </c>
      <c r="F2518" s="3" t="inlineStr">
        <is>
          <t>Equipment Lease – August</t>
        </is>
      </c>
      <c r="G2518" s="3" t="inlineStr">
        <is>
          <t>Equipment Lease</t>
        </is>
      </c>
      <c r="H2518" s="3" t="inlineStr">
        <is>
          <t>Accounts Payable</t>
        </is>
      </c>
      <c r="I2518" s="33" t="n">
        <v>3972.87</v>
      </c>
      <c r="J2518" s="13">
        <f>+J2517+I2518</f>
        <v>281297.33</v>
      </c>
      <c r="K2518" s="19">
        <f>+EOMONTH(B2518,0)</f>
        <v>46265</v>
      </c>
      <c r="L2518" s="3" t="inlineStr">
        <is>
          <t>Accounts Payable</t>
        </is>
      </c>
      <c r="M2518" s="3" t="inlineStr">
        <is>
          <t>Balance Sheet</t>
        </is>
      </c>
    </row>
    <row r="2519">
      <c r="B2519" s="39" t="n">
        <v>46263</v>
      </c>
      <c r="C2519" s="3" t="inlineStr">
        <is>
          <t>Bill Payment (Check)</t>
        </is>
      </c>
      <c r="D2519" s="3" t="inlineStr">
        <is>
          <t>10649</t>
        </is>
      </c>
      <c r="E2519" s="3" t="inlineStr">
        <is>
          <t>Swiftmere Courier</t>
        </is>
      </c>
      <c r="F2519" s="3" t="inlineStr">
        <is>
          <t>Delivery and Transportation – July</t>
        </is>
      </c>
      <c r="G2519" s="3" t="inlineStr">
        <is>
          <t>Checking – Operating</t>
        </is>
      </c>
      <c r="H2519" s="3" t="inlineStr">
        <is>
          <t>Accounts Payable</t>
        </is>
      </c>
      <c r="I2519" s="33" t="n">
        <v>-3632.35</v>
      </c>
      <c r="J2519" s="13">
        <f>+J2518+I2519</f>
        <v>277664.98</v>
      </c>
      <c r="K2519" s="19">
        <f>+EOMONTH(B2519,0)</f>
        <v>46265</v>
      </c>
      <c r="L2519" s="3" t="inlineStr">
        <is>
          <t>Accounts Payable</t>
        </is>
      </c>
      <c r="M2519" s="3" t="inlineStr">
        <is>
          <t>Balance Sheet</t>
        </is>
      </c>
    </row>
    <row r="2520">
      <c r="B2520" s="39" t="n">
        <v>46263</v>
      </c>
      <c r="C2520" s="3" t="inlineStr">
        <is>
          <t>Bill Payment (Check)</t>
        </is>
      </c>
      <c r="D2520" s="3" t="inlineStr">
        <is>
          <t>11030</t>
        </is>
      </c>
      <c r="E2520" s="3" t="inlineStr">
        <is>
          <t>Northmoor Waste Services</t>
        </is>
      </c>
      <c r="F2520" s="3" t="inlineStr">
        <is>
          <t>Waste Removal – July</t>
        </is>
      </c>
      <c r="G2520" s="3" t="inlineStr">
        <is>
          <t>Checking – Operating</t>
        </is>
      </c>
      <c r="H2520" s="3" t="inlineStr">
        <is>
          <t>Accounts Payable</t>
        </is>
      </c>
      <c r="I2520" s="33" t="n">
        <v>-652.95</v>
      </c>
      <c r="J2520" s="13">
        <f>+J2519+I2520</f>
        <v>277012.03</v>
      </c>
      <c r="K2520" s="19">
        <f>+EOMONTH(B2520,0)</f>
        <v>46265</v>
      </c>
      <c r="L2520" s="3" t="inlineStr">
        <is>
          <t>Accounts Payable</t>
        </is>
      </c>
      <c r="M2520" s="3" t="inlineStr">
        <is>
          <t>Balance Sheet</t>
        </is>
      </c>
    </row>
    <row r="2521">
      <c r="B2521" s="39" t="n">
        <v>46264</v>
      </c>
      <c r="C2521" s="3" t="inlineStr">
        <is>
          <t>Bill</t>
        </is>
      </c>
      <c r="D2521" s="3" t="inlineStr"/>
      <c r="E2521" s="3" t="inlineStr">
        <is>
          <t>Tarrowmere Mutual Insurance</t>
        </is>
      </c>
      <c r="F2521" s="3" t="inlineStr">
        <is>
          <t>Benefits – August</t>
        </is>
      </c>
      <c r="G2521" s="3" t="inlineStr">
        <is>
          <t>Benefits</t>
        </is>
      </c>
      <c r="H2521" s="3" t="inlineStr">
        <is>
          <t>Accounts Payable</t>
        </is>
      </c>
      <c r="I2521" s="33" t="n">
        <v>4855.93</v>
      </c>
      <c r="J2521" s="13">
        <f>+J2520+I2521</f>
        <v>281867.96</v>
      </c>
      <c r="K2521" s="19">
        <f>+EOMONTH(B2521,0)</f>
        <v>46265</v>
      </c>
      <c r="L2521" s="3" t="inlineStr">
        <is>
          <t>Accounts Payable</t>
        </is>
      </c>
      <c r="M2521" s="3" t="inlineStr">
        <is>
          <t>Balance Sheet</t>
        </is>
      </c>
    </row>
    <row r="2522">
      <c r="B2522" s="39" t="n">
        <v>46264</v>
      </c>
      <c r="C2522" s="3" t="inlineStr">
        <is>
          <t>Bill</t>
        </is>
      </c>
      <c r="D2522" s="3" t="inlineStr"/>
      <c r="E2522" s="3" t="inlineStr">
        <is>
          <t>Union Utilities</t>
        </is>
      </c>
      <c r="F2522" s="3" t="inlineStr">
        <is>
          <t>Utilities – August</t>
        </is>
      </c>
      <c r="G2522" s="3" t="inlineStr">
        <is>
          <t>Utilities</t>
        </is>
      </c>
      <c r="H2522" s="3" t="inlineStr">
        <is>
          <t>Accounts Payable</t>
        </is>
      </c>
      <c r="I2522" s="33" t="n">
        <v>3633.57</v>
      </c>
      <c r="J2522" s="13">
        <f>+J2521+I2522</f>
        <v>285501.53</v>
      </c>
      <c r="K2522" s="19">
        <f>+EOMONTH(B2522,0)</f>
        <v>46265</v>
      </c>
      <c r="L2522" s="3" t="inlineStr">
        <is>
          <t>Accounts Payable</t>
        </is>
      </c>
      <c r="M2522" s="3" t="inlineStr">
        <is>
          <t>Balance Sheet</t>
        </is>
      </c>
    </row>
    <row r="2523">
      <c r="B2523" s="39" t="n">
        <v>46264</v>
      </c>
      <c r="C2523" s="3" t="inlineStr">
        <is>
          <t>Bill Payment (Check)</t>
        </is>
      </c>
      <c r="D2523" s="3" t="inlineStr">
        <is>
          <t>10987</t>
        </is>
      </c>
      <c r="E2523" s="3" t="inlineStr">
        <is>
          <t>Northmoor Waste Services</t>
        </is>
      </c>
      <c r="F2523" s="3" t="inlineStr">
        <is>
          <t>Hazard Waste – August</t>
        </is>
      </c>
      <c r="G2523" s="3" t="inlineStr">
        <is>
          <t>Checking – Operating</t>
        </is>
      </c>
      <c r="H2523" s="3" t="inlineStr">
        <is>
          <t>Accounts Payable</t>
        </is>
      </c>
      <c r="I2523" s="33" t="n">
        <v>-877.83</v>
      </c>
      <c r="J2523" s="13">
        <f>+J2522+I2523</f>
        <v>284623.7</v>
      </c>
      <c r="K2523" s="19">
        <f>+EOMONTH(B2523,0)</f>
        <v>46265</v>
      </c>
      <c r="L2523" s="3" t="inlineStr">
        <is>
          <t>Accounts Payable</t>
        </is>
      </c>
      <c r="M2523" s="3" t="inlineStr">
        <is>
          <t>Balance Sheet</t>
        </is>
      </c>
    </row>
    <row r="2524">
      <c r="B2524" s="39" t="n">
        <v>46265</v>
      </c>
      <c r="C2524" s="3" t="inlineStr">
        <is>
          <t>Bill</t>
        </is>
      </c>
      <c r="D2524" s="3" t="inlineStr"/>
      <c r="E2524" s="3" t="inlineStr">
        <is>
          <t>Reagentix Corp</t>
        </is>
      </c>
      <c r="F2524" s="3" t="inlineStr">
        <is>
          <t>Lab supplies PO# F2944</t>
        </is>
      </c>
      <c r="G2524" s="3" t="inlineStr">
        <is>
          <t>Reagents</t>
        </is>
      </c>
      <c r="H2524" s="3" t="inlineStr">
        <is>
          <t>Accounts Payable</t>
        </is>
      </c>
      <c r="I2524" s="33" t="n">
        <v>10953.93</v>
      </c>
      <c r="J2524" s="13">
        <f>+J2523+I2524</f>
        <v>295577.63</v>
      </c>
      <c r="K2524" s="19">
        <f>+EOMONTH(B2524,0)</f>
        <v>46265</v>
      </c>
      <c r="L2524" s="3" t="inlineStr">
        <is>
          <t>Accounts Payable</t>
        </is>
      </c>
      <c r="M2524" s="3" t="inlineStr">
        <is>
          <t>Balance Sheet</t>
        </is>
      </c>
    </row>
    <row r="2525">
      <c r="B2525" s="39" t="n">
        <v>46265</v>
      </c>
      <c r="C2525" s="3" t="inlineStr">
        <is>
          <t>Bill</t>
        </is>
      </c>
      <c r="D2525" s="3" t="inlineStr"/>
      <c r="E2525" s="3" t="inlineStr">
        <is>
          <t>Lumenlease Equipment</t>
        </is>
      </c>
      <c r="F2525" s="3" t="inlineStr">
        <is>
          <t>Lab Equipment – August</t>
        </is>
      </c>
      <c r="G2525" s="3" t="inlineStr">
        <is>
          <t>Lab Equipment</t>
        </is>
      </c>
      <c r="H2525" s="3" t="inlineStr">
        <is>
          <t>Accounts Payable</t>
        </is>
      </c>
      <c r="I2525" s="33" t="n">
        <v>3659.43</v>
      </c>
      <c r="J2525" s="13">
        <f>+J2524+I2525</f>
        <v>299237.06</v>
      </c>
      <c r="K2525" s="19">
        <f>+EOMONTH(B2525,0)</f>
        <v>46265</v>
      </c>
      <c r="L2525" s="3" t="inlineStr">
        <is>
          <t>Accounts Payable</t>
        </is>
      </c>
      <c r="M2525" s="3" t="inlineStr">
        <is>
          <t>Balance Sheet</t>
        </is>
      </c>
    </row>
    <row r="2526">
      <c r="B2526" s="39" t="n">
        <v>46265</v>
      </c>
      <c r="C2526" s="3" t="inlineStr">
        <is>
          <t>Bill Payment (Check)</t>
        </is>
      </c>
      <c r="D2526" s="3" t="inlineStr">
        <is>
          <t>10716</t>
        </is>
      </c>
      <c r="E2526" s="3" t="inlineStr">
        <is>
          <t>Tarrowmere Mutual Insurance</t>
        </is>
      </c>
      <c r="F2526" s="3" t="inlineStr">
        <is>
          <t>Premium installment</t>
        </is>
      </c>
      <c r="G2526" s="3" t="inlineStr">
        <is>
          <t>Checking – Operating</t>
        </is>
      </c>
      <c r="H2526" s="3" t="inlineStr">
        <is>
          <t>Accounts Payable</t>
        </is>
      </c>
      <c r="I2526" s="33" t="n">
        <v>-5473.21</v>
      </c>
      <c r="J2526" s="13">
        <f>+J2525+I2526</f>
        <v>293763.85</v>
      </c>
      <c r="K2526" s="19">
        <f>+EOMONTH(B2526,0)</f>
        <v>46265</v>
      </c>
      <c r="L2526" s="3" t="inlineStr">
        <is>
          <t>Accounts Payable</t>
        </is>
      </c>
      <c r="M2526" s="3" t="inlineStr">
        <is>
          <t>Balance Sheet</t>
        </is>
      </c>
    </row>
    <row r="2527">
      <c r="B2527" s="39" t="n">
        <v>46266</v>
      </c>
      <c r="C2527" s="3" t="inlineStr">
        <is>
          <t>Bill</t>
        </is>
      </c>
      <c r="D2527" s="3" t="inlineStr"/>
      <c r="E2527" s="3" t="inlineStr">
        <is>
          <t>Vialtrace Lab Supplies Inc</t>
        </is>
      </c>
      <c r="F2527" s="3" t="inlineStr">
        <is>
          <t>Lab Expenses – September</t>
        </is>
      </c>
      <c r="G2527" s="3" t="inlineStr">
        <is>
          <t>Lab Expenses</t>
        </is>
      </c>
      <c r="H2527" s="3" t="inlineStr">
        <is>
          <t>Accounts Payable</t>
        </is>
      </c>
      <c r="I2527" s="33" t="n">
        <v>6110.73</v>
      </c>
      <c r="J2527" s="13">
        <f>+J2526+I2527</f>
        <v>299874.58</v>
      </c>
      <c r="K2527" s="19">
        <f>+EOMONTH(B2527,0)</f>
        <v>46295</v>
      </c>
      <c r="L2527" s="3" t="inlineStr">
        <is>
          <t>Accounts Payable</t>
        </is>
      </c>
      <c r="M2527" s="3" t="inlineStr">
        <is>
          <t>Balance Sheet</t>
        </is>
      </c>
    </row>
    <row r="2528">
      <c r="B2528" s="39" t="n">
        <v>46266</v>
      </c>
      <c r="C2528" s="3" t="inlineStr">
        <is>
          <t>Bill</t>
        </is>
      </c>
      <c r="D2528" s="3" t="inlineStr"/>
      <c r="E2528" s="3" t="inlineStr">
        <is>
          <t>Reference Lab A</t>
        </is>
      </c>
      <c r="F2528" s="3" t="inlineStr">
        <is>
          <t>Send-out testing – September</t>
        </is>
      </c>
      <c r="G2528" s="3" t="inlineStr">
        <is>
          <t>Laboratory Fees</t>
        </is>
      </c>
      <c r="H2528" s="3" t="inlineStr">
        <is>
          <t>Accounts Payable</t>
        </is>
      </c>
      <c r="I2528" s="33" t="n">
        <v>31821.69</v>
      </c>
      <c r="J2528" s="13">
        <f>+J2527+I2528</f>
        <v>331696.27</v>
      </c>
      <c r="K2528" s="19">
        <f>+EOMONTH(B2528,0)</f>
        <v>46295</v>
      </c>
      <c r="L2528" s="3" t="inlineStr">
        <is>
          <t>Accounts Payable</t>
        </is>
      </c>
      <c r="M2528" s="3" t="inlineStr">
        <is>
          <t>Balance Sheet</t>
        </is>
      </c>
    </row>
    <row r="2529">
      <c r="B2529" s="39" t="n">
        <v>46266</v>
      </c>
      <c r="C2529" s="3" t="inlineStr">
        <is>
          <t>Bill</t>
        </is>
      </c>
      <c r="D2529" s="3" t="inlineStr"/>
      <c r="E2529" s="3" t="inlineStr">
        <is>
          <t>Tarrowmere Mutual Insurance</t>
        </is>
      </c>
      <c r="F2529" s="3" t="inlineStr">
        <is>
          <t>Benefits – September</t>
        </is>
      </c>
      <c r="G2529" s="3" t="inlineStr">
        <is>
          <t>Benefits</t>
        </is>
      </c>
      <c r="H2529" s="3" t="inlineStr">
        <is>
          <t>Accounts Payable</t>
        </is>
      </c>
      <c r="I2529" s="33" t="n">
        <v>4217.08</v>
      </c>
      <c r="J2529" s="13">
        <f>+J2528+I2529</f>
        <v>335913.35</v>
      </c>
      <c r="K2529" s="19">
        <f>+EOMONTH(B2529,0)</f>
        <v>46295</v>
      </c>
      <c r="L2529" s="3" t="inlineStr">
        <is>
          <t>Accounts Payable</t>
        </is>
      </c>
      <c r="M2529" s="3" t="inlineStr">
        <is>
          <t>Balance Sheet</t>
        </is>
      </c>
    </row>
    <row r="2530">
      <c r="B2530" s="39" t="n">
        <v>46266</v>
      </c>
      <c r="C2530" s="3" t="inlineStr">
        <is>
          <t>Bill Payment (Check)</t>
        </is>
      </c>
      <c r="D2530" s="3" t="inlineStr">
        <is>
          <t>10922</t>
        </is>
      </c>
      <c r="E2530" s="3" t="inlineStr">
        <is>
          <t>Halloway Ridge Realty (rent)</t>
        </is>
      </c>
      <c r="F2530" s="3" t="inlineStr">
        <is>
          <t>Rent – July</t>
        </is>
      </c>
      <c r="G2530" s="3" t="inlineStr">
        <is>
          <t>Checking – Operating</t>
        </is>
      </c>
      <c r="H2530" s="3" t="inlineStr">
        <is>
          <t>Accounts Payable</t>
        </is>
      </c>
      <c r="I2530" s="33" t="n">
        <v>-12225.76</v>
      </c>
      <c r="J2530" s="13">
        <f>+J2529+I2530</f>
        <v>323687.59</v>
      </c>
      <c r="K2530" s="19">
        <f>+EOMONTH(B2530,0)</f>
        <v>46295</v>
      </c>
      <c r="L2530" s="3" t="inlineStr">
        <is>
          <t>Accounts Payable</t>
        </is>
      </c>
      <c r="M2530" s="3" t="inlineStr">
        <is>
          <t>Balance Sheet</t>
        </is>
      </c>
    </row>
    <row r="2531">
      <c r="B2531" s="39" t="n">
        <v>46267</v>
      </c>
      <c r="C2531" s="3" t="inlineStr">
        <is>
          <t>Bill</t>
        </is>
      </c>
      <c r="D2531" s="3" t="inlineStr"/>
      <c r="E2531" s="3" t="inlineStr">
        <is>
          <t>Swiftmere Courier</t>
        </is>
      </c>
      <c r="F2531" s="3" t="inlineStr">
        <is>
          <t>Delivery and Transportation – September</t>
        </is>
      </c>
      <c r="G2531" s="3" t="inlineStr">
        <is>
          <t>Delivery and Transportation</t>
        </is>
      </c>
      <c r="H2531" s="3" t="inlineStr">
        <is>
          <t>Accounts Payable</t>
        </is>
      </c>
      <c r="I2531" s="33" t="n">
        <v>3777.76</v>
      </c>
      <c r="J2531" s="13">
        <f>+J2530+I2531</f>
        <v>327465.35</v>
      </c>
      <c r="K2531" s="19">
        <f>+EOMONTH(B2531,0)</f>
        <v>46295</v>
      </c>
      <c r="L2531" s="3" t="inlineStr">
        <is>
          <t>Accounts Payable</t>
        </is>
      </c>
      <c r="M2531" s="3" t="inlineStr">
        <is>
          <t>Balance Sheet</t>
        </is>
      </c>
    </row>
    <row r="2532">
      <c r="B2532" s="39" t="n">
        <v>46267</v>
      </c>
      <c r="C2532" s="3" t="inlineStr">
        <is>
          <t>Bill</t>
        </is>
      </c>
      <c r="D2532" s="3" t="inlineStr"/>
      <c r="E2532" s="3" t="inlineStr">
        <is>
          <t>Halloway Ridge Realty (rent)</t>
        </is>
      </c>
      <c r="F2532" s="3" t="inlineStr">
        <is>
          <t>Rent – September</t>
        </is>
      </c>
      <c r="G2532" s="3" t="inlineStr">
        <is>
          <t>Rent Expense</t>
        </is>
      </c>
      <c r="H2532" s="3" t="inlineStr">
        <is>
          <t>Accounts Payable</t>
        </is>
      </c>
      <c r="I2532" s="33" t="n">
        <v>12754.24</v>
      </c>
      <c r="J2532" s="13">
        <f>+J2531+I2532</f>
        <v>340219.59</v>
      </c>
      <c r="K2532" s="19">
        <f>+EOMONTH(B2532,0)</f>
        <v>46295</v>
      </c>
      <c r="L2532" s="3" t="inlineStr">
        <is>
          <t>Accounts Payable</t>
        </is>
      </c>
      <c r="M2532" s="3" t="inlineStr">
        <is>
          <t>Balance Sheet</t>
        </is>
      </c>
    </row>
    <row r="2533">
      <c r="B2533" s="39" t="n">
        <v>46267</v>
      </c>
      <c r="C2533" s="3" t="inlineStr">
        <is>
          <t>Bill</t>
        </is>
      </c>
      <c r="D2533" s="3" t="inlineStr"/>
      <c r="E2533" s="3" t="inlineStr">
        <is>
          <t>Ledgerquill Billing SaaS</t>
        </is>
      </c>
      <c r="F2533" s="3" t="inlineStr">
        <is>
          <t>Billing Software as a Service – September</t>
        </is>
      </c>
      <c r="G2533" s="3" t="inlineStr">
        <is>
          <t>Billing Software as a Service</t>
        </is>
      </c>
      <c r="H2533" s="3" t="inlineStr">
        <is>
          <t>Accounts Payable</t>
        </is>
      </c>
      <c r="I2533" s="33" t="n">
        <v>11925.89</v>
      </c>
      <c r="J2533" s="13">
        <f>+J2532+I2533</f>
        <v>352145.48</v>
      </c>
      <c r="K2533" s="19">
        <f>+EOMONTH(B2533,0)</f>
        <v>46295</v>
      </c>
      <c r="L2533" s="3" t="inlineStr">
        <is>
          <t>Accounts Payable</t>
        </is>
      </c>
      <c r="M2533" s="3" t="inlineStr">
        <is>
          <t>Balance Sheet</t>
        </is>
      </c>
    </row>
    <row r="2534">
      <c r="B2534" s="39" t="n">
        <v>46267</v>
      </c>
      <c r="C2534" s="3" t="inlineStr">
        <is>
          <t>Bill Payment (Check)</t>
        </is>
      </c>
      <c r="D2534" s="3" t="inlineStr">
        <is>
          <t>10920</t>
        </is>
      </c>
      <c r="E2534" s="3" t="inlineStr">
        <is>
          <t>Halloway Ridge Realty (rent)</t>
        </is>
      </c>
      <c r="F2534" s="3" t="inlineStr">
        <is>
          <t>Rent – July</t>
        </is>
      </c>
      <c r="G2534" s="3" t="inlineStr">
        <is>
          <t>Checking – Operating</t>
        </is>
      </c>
      <c r="H2534" s="3" t="inlineStr">
        <is>
          <t>Accounts Payable</t>
        </is>
      </c>
      <c r="I2534" s="33" t="n">
        <v>-14612.94</v>
      </c>
      <c r="J2534" s="13">
        <f>+J2533+I2534</f>
        <v>337532.54</v>
      </c>
      <c r="K2534" s="19">
        <f>+EOMONTH(B2534,0)</f>
        <v>46295</v>
      </c>
      <c r="L2534" s="3" t="inlineStr">
        <is>
          <t>Accounts Payable</t>
        </is>
      </c>
      <c r="M2534" s="3" t="inlineStr">
        <is>
          <t>Balance Sheet</t>
        </is>
      </c>
    </row>
    <row r="2535">
      <c r="B2535" s="39" t="n">
        <v>46268</v>
      </c>
      <c r="C2535" s="3" t="inlineStr">
        <is>
          <t>Bill Payment (Check)</t>
        </is>
      </c>
      <c r="D2535" s="3" t="inlineStr">
        <is>
          <t>10444</t>
        </is>
      </c>
      <c r="E2535" s="3" t="inlineStr">
        <is>
          <t>Vialtrace Lab Supplies Inc</t>
        </is>
      </c>
      <c r="F2535" s="3" t="inlineStr">
        <is>
          <t>Lab Expenses – August</t>
        </is>
      </c>
      <c r="G2535" s="3" t="inlineStr">
        <is>
          <t>Checking – Operating</t>
        </is>
      </c>
      <c r="H2535" s="3" t="inlineStr">
        <is>
          <t>Accounts Payable</t>
        </is>
      </c>
      <c r="I2535" s="33" t="n">
        <v>-3475.54</v>
      </c>
      <c r="J2535" s="13">
        <f>+J2534+I2535</f>
        <v>334057</v>
      </c>
      <c r="K2535" s="19">
        <f>+EOMONTH(B2535,0)</f>
        <v>46295</v>
      </c>
      <c r="L2535" s="3" t="inlineStr">
        <is>
          <t>Accounts Payable</t>
        </is>
      </c>
      <c r="M2535" s="3" t="inlineStr">
        <is>
          <t>Balance Sheet</t>
        </is>
      </c>
    </row>
    <row r="2536">
      <c r="B2536" s="39" t="n">
        <v>46268</v>
      </c>
      <c r="C2536" s="3" t="inlineStr">
        <is>
          <t>Bill Payment (Check)</t>
        </is>
      </c>
      <c r="D2536" s="3" t="inlineStr">
        <is>
          <t>11032</t>
        </is>
      </c>
      <c r="E2536" s="3" t="inlineStr">
        <is>
          <t>Northmoor Waste Services</t>
        </is>
      </c>
      <c r="F2536" s="3" t="inlineStr">
        <is>
          <t>Waste Removal – August</t>
        </is>
      </c>
      <c r="G2536" s="3" t="inlineStr">
        <is>
          <t>Checking – Operating</t>
        </is>
      </c>
      <c r="H2536" s="3" t="inlineStr">
        <is>
          <t>Accounts Payable</t>
        </is>
      </c>
      <c r="I2536" s="33" t="n">
        <v>-505.09</v>
      </c>
      <c r="J2536" s="13">
        <f>+J2535+I2536</f>
        <v>333551.91</v>
      </c>
      <c r="K2536" s="19">
        <f>+EOMONTH(B2536,0)</f>
        <v>46295</v>
      </c>
      <c r="L2536" s="3" t="inlineStr">
        <is>
          <t>Accounts Payable</t>
        </is>
      </c>
      <c r="M2536" s="3" t="inlineStr">
        <is>
          <t>Balance Sheet</t>
        </is>
      </c>
    </row>
    <row r="2537">
      <c r="B2537" s="39" t="n">
        <v>46269</v>
      </c>
      <c r="C2537" s="3" t="inlineStr">
        <is>
          <t>Bill</t>
        </is>
      </c>
      <c r="D2537" s="3" t="inlineStr"/>
      <c r="E2537" s="3" t="inlineStr">
        <is>
          <t>Vialtrace Lab Supplies Inc</t>
        </is>
      </c>
      <c r="F2537" s="3" t="inlineStr">
        <is>
          <t>Lab supplies PO# F2913</t>
        </is>
      </c>
      <c r="G2537" s="3" t="inlineStr">
        <is>
          <t>Lab Supplies</t>
        </is>
      </c>
      <c r="H2537" s="3" t="inlineStr">
        <is>
          <t>Accounts Payable</t>
        </is>
      </c>
      <c r="I2537" s="33" t="n">
        <v>33544.08</v>
      </c>
      <c r="J2537" s="13">
        <f>+J2536+I2537</f>
        <v>367095.99</v>
      </c>
      <c r="K2537" s="19">
        <f>+EOMONTH(B2537,0)</f>
        <v>46295</v>
      </c>
      <c r="L2537" s="3" t="inlineStr">
        <is>
          <t>Accounts Payable</t>
        </is>
      </c>
      <c r="M2537" s="3" t="inlineStr">
        <is>
          <t>Balance Sheet</t>
        </is>
      </c>
    </row>
    <row r="2538">
      <c r="B2538" s="39" t="n">
        <v>46269</v>
      </c>
      <c r="C2538" s="3" t="inlineStr">
        <is>
          <t>Bill</t>
        </is>
      </c>
      <c r="D2538" s="3" t="inlineStr"/>
      <c r="E2538" s="3" t="inlineStr">
        <is>
          <t>Ledgerquill Billing SaaS</t>
        </is>
      </c>
      <c r="F2538" s="3" t="inlineStr">
        <is>
          <t>Billing Software as a Service – September</t>
        </is>
      </c>
      <c r="G2538" s="3" t="inlineStr">
        <is>
          <t>Billing Software as a Service</t>
        </is>
      </c>
      <c r="H2538" s="3" t="inlineStr">
        <is>
          <t>Accounts Payable</t>
        </is>
      </c>
      <c r="I2538" s="33" t="n">
        <v>10389.61</v>
      </c>
      <c r="J2538" s="13">
        <f>+J2537+I2538</f>
        <v>377485.6</v>
      </c>
      <c r="K2538" s="19">
        <f>+EOMONTH(B2538,0)</f>
        <v>46295</v>
      </c>
      <c r="L2538" s="3" t="inlineStr">
        <is>
          <t>Accounts Payable</t>
        </is>
      </c>
      <c r="M2538" s="3" t="inlineStr">
        <is>
          <t>Balance Sheet</t>
        </is>
      </c>
    </row>
    <row r="2539">
      <c r="B2539" s="39" t="n">
        <v>46269</v>
      </c>
      <c r="C2539" s="3" t="inlineStr">
        <is>
          <t>Bill Payment (Check)</t>
        </is>
      </c>
      <c r="D2539" s="3" t="inlineStr">
        <is>
          <t>11031</t>
        </is>
      </c>
      <c r="E2539" s="3" t="inlineStr">
        <is>
          <t>Northmoor Waste Services</t>
        </is>
      </c>
      <c r="F2539" s="3" t="inlineStr">
        <is>
          <t>Waste Removal – August</t>
        </is>
      </c>
      <c r="G2539" s="3" t="inlineStr">
        <is>
          <t>Checking – Operating</t>
        </is>
      </c>
      <c r="H2539" s="3" t="inlineStr">
        <is>
          <t>Accounts Payable</t>
        </is>
      </c>
      <c r="I2539" s="33" t="n">
        <v>-694.91</v>
      </c>
      <c r="J2539" s="13">
        <f>+J2538+I2539</f>
        <v>376790.69</v>
      </c>
      <c r="K2539" s="19">
        <f>+EOMONTH(B2539,0)</f>
        <v>46295</v>
      </c>
      <c r="L2539" s="3" t="inlineStr">
        <is>
          <t>Accounts Payable</t>
        </is>
      </c>
      <c r="M2539" s="3" t="inlineStr">
        <is>
          <t>Balance Sheet</t>
        </is>
      </c>
    </row>
    <row r="2540">
      <c r="B2540" s="39" t="n">
        <v>46270</v>
      </c>
      <c r="C2540" s="3" t="inlineStr">
        <is>
          <t>Bill</t>
        </is>
      </c>
      <c r="D2540" s="3" t="inlineStr"/>
      <c r="E2540" s="3" t="inlineStr">
        <is>
          <t>Lumenlease Equipment</t>
        </is>
      </c>
      <c r="F2540" s="3" t="inlineStr">
        <is>
          <t>Lab Equipment – September</t>
        </is>
      </c>
      <c r="G2540" s="3" t="inlineStr">
        <is>
          <t>Lab Equipment</t>
        </is>
      </c>
      <c r="H2540" s="3" t="inlineStr">
        <is>
          <t>Accounts Payable</t>
        </is>
      </c>
      <c r="I2540" s="33" t="n">
        <v>1893.03</v>
      </c>
      <c r="J2540" s="13">
        <f>+J2539+I2540</f>
        <v>378683.72</v>
      </c>
      <c r="K2540" s="19">
        <f>+EOMONTH(B2540,0)</f>
        <v>46295</v>
      </c>
      <c r="L2540" s="3" t="inlineStr">
        <is>
          <t>Accounts Payable</t>
        </is>
      </c>
      <c r="M2540" s="3" t="inlineStr">
        <is>
          <t>Balance Sheet</t>
        </is>
      </c>
    </row>
    <row r="2541">
      <c r="B2541" s="39" t="n">
        <v>46270</v>
      </c>
      <c r="C2541" s="3" t="inlineStr">
        <is>
          <t>Bill Payment (Check)</t>
        </is>
      </c>
      <c r="D2541" s="3" t="inlineStr">
        <is>
          <t>10526</t>
        </is>
      </c>
      <c r="E2541" s="3" t="inlineStr">
        <is>
          <t>Reference Lab A</t>
        </is>
      </c>
      <c r="F2541" s="3" t="inlineStr">
        <is>
          <t>Send-out testing – August</t>
        </is>
      </c>
      <c r="G2541" s="3" t="inlineStr">
        <is>
          <t>Checking – Operating</t>
        </is>
      </c>
      <c r="H2541" s="3" t="inlineStr">
        <is>
          <t>Accounts Payable</t>
        </is>
      </c>
      <c r="I2541" s="33" t="n">
        <v>-9768.67</v>
      </c>
      <c r="J2541" s="13">
        <f>+J2540+I2541</f>
        <v>368915.05</v>
      </c>
      <c r="K2541" s="19">
        <f>+EOMONTH(B2541,0)</f>
        <v>46295</v>
      </c>
      <c r="L2541" s="3" t="inlineStr">
        <is>
          <t>Accounts Payable</t>
        </is>
      </c>
      <c r="M2541" s="3" t="inlineStr">
        <is>
          <t>Balance Sheet</t>
        </is>
      </c>
    </row>
    <row r="2542">
      <c r="B2542" s="39" t="n">
        <v>46271</v>
      </c>
      <c r="C2542" s="3" t="inlineStr">
        <is>
          <t>Bill Payment (Check)</t>
        </is>
      </c>
      <c r="D2542" s="3" t="inlineStr">
        <is>
          <t>10484</t>
        </is>
      </c>
      <c r="E2542" s="3" t="inlineStr">
        <is>
          <t>Vialtrace Lab Supplies Inc</t>
        </is>
      </c>
      <c r="F2542" s="3" t="inlineStr">
        <is>
          <t>Lab supplies PO# F2815</t>
        </is>
      </c>
      <c r="G2542" s="3" t="inlineStr">
        <is>
          <t>Checking – Operating</t>
        </is>
      </c>
      <c r="H2542" s="3" t="inlineStr">
        <is>
          <t>Accounts Payable</t>
        </is>
      </c>
      <c r="I2542" s="33" t="n">
        <v>-27095.56</v>
      </c>
      <c r="J2542" s="13">
        <f>+J2541+I2542</f>
        <v>341819.49</v>
      </c>
      <c r="K2542" s="19">
        <f>+EOMONTH(B2542,0)</f>
        <v>46295</v>
      </c>
      <c r="L2542" s="3" t="inlineStr">
        <is>
          <t>Accounts Payable</t>
        </is>
      </c>
      <c r="M2542" s="3" t="inlineStr">
        <is>
          <t>Balance Sheet</t>
        </is>
      </c>
    </row>
    <row r="2543">
      <c r="B2543" s="39" t="n">
        <v>46271</v>
      </c>
      <c r="C2543" s="3" t="inlineStr">
        <is>
          <t>Bill Payment (Check)</t>
        </is>
      </c>
      <c r="D2543" s="3" t="inlineStr">
        <is>
          <t>10487</t>
        </is>
      </c>
      <c r="E2543" s="3" t="inlineStr">
        <is>
          <t>Reagentix Corp</t>
        </is>
      </c>
      <c r="F2543" s="3" t="inlineStr">
        <is>
          <t>Lab supplies PO# F2654</t>
        </is>
      </c>
      <c r="G2543" s="3" t="inlineStr">
        <is>
          <t>Checking – Operating</t>
        </is>
      </c>
      <c r="H2543" s="3" t="inlineStr">
        <is>
          <t>Accounts Payable</t>
        </is>
      </c>
      <c r="I2543" s="33" t="n">
        <v>-27771.41</v>
      </c>
      <c r="J2543" s="13">
        <f>+J2542+I2543</f>
        <v>314048.08</v>
      </c>
      <c r="K2543" s="19">
        <f>+EOMONTH(B2543,0)</f>
        <v>46295</v>
      </c>
      <c r="L2543" s="3" t="inlineStr">
        <is>
          <t>Accounts Payable</t>
        </is>
      </c>
      <c r="M2543" s="3" t="inlineStr">
        <is>
          <t>Balance Sheet</t>
        </is>
      </c>
    </row>
    <row r="2544">
      <c r="B2544" s="39" t="n">
        <v>46272</v>
      </c>
      <c r="C2544" s="3" t="inlineStr">
        <is>
          <t>Bill</t>
        </is>
      </c>
      <c r="D2544" s="3" t="inlineStr"/>
      <c r="E2544" s="3" t="inlineStr">
        <is>
          <t>Northmoor Waste Services</t>
        </is>
      </c>
      <c r="F2544" s="3" t="inlineStr">
        <is>
          <t>Hazard Waste – September</t>
        </is>
      </c>
      <c r="G2544" s="3" t="inlineStr">
        <is>
          <t>Hazard Waste</t>
        </is>
      </c>
      <c r="H2544" s="3" t="inlineStr">
        <is>
          <t>Accounts Payable</t>
        </is>
      </c>
      <c r="I2544" s="33" t="n">
        <v>1890.13</v>
      </c>
      <c r="J2544" s="13">
        <f>+J2543+I2544</f>
        <v>315938.21</v>
      </c>
      <c r="K2544" s="19">
        <f>+EOMONTH(B2544,0)</f>
        <v>46295</v>
      </c>
      <c r="L2544" s="3" t="inlineStr">
        <is>
          <t>Accounts Payable</t>
        </is>
      </c>
      <c r="M2544" s="3" t="inlineStr">
        <is>
          <t>Balance Sheet</t>
        </is>
      </c>
    </row>
    <row r="2545">
      <c r="B2545" s="39" t="n">
        <v>46272</v>
      </c>
      <c r="C2545" s="3" t="inlineStr">
        <is>
          <t>Bill Payment (Check)</t>
        </is>
      </c>
      <c r="D2545" s="3" t="inlineStr">
        <is>
          <t>10483</t>
        </is>
      </c>
      <c r="E2545" s="3" t="inlineStr">
        <is>
          <t>Vialtrace Lab Supplies Inc</t>
        </is>
      </c>
      <c r="F2545" s="3" t="inlineStr">
        <is>
          <t>Lab supplies PO# F2341</t>
        </is>
      </c>
      <c r="G2545" s="3" t="inlineStr">
        <is>
          <t>Checking – Operating</t>
        </is>
      </c>
      <c r="H2545" s="3" t="inlineStr">
        <is>
          <t>Accounts Payable</t>
        </is>
      </c>
      <c r="I2545" s="33" t="n">
        <v>-15386.99</v>
      </c>
      <c r="J2545" s="13">
        <f>+J2544+I2545</f>
        <v>300551.22</v>
      </c>
      <c r="K2545" s="19">
        <f>+EOMONTH(B2545,0)</f>
        <v>46295</v>
      </c>
      <c r="L2545" s="3" t="inlineStr">
        <is>
          <t>Accounts Payable</t>
        </is>
      </c>
      <c r="M2545" s="3" t="inlineStr">
        <is>
          <t>Balance Sheet</t>
        </is>
      </c>
    </row>
    <row r="2546">
      <c r="B2546" s="39" t="n">
        <v>46272</v>
      </c>
      <c r="C2546" s="3" t="inlineStr">
        <is>
          <t>Bill Payment (Check)</t>
        </is>
      </c>
      <c r="D2546" s="3" t="inlineStr">
        <is>
          <t>10651</t>
        </is>
      </c>
      <c r="E2546" s="3" t="inlineStr">
        <is>
          <t>Swiftmere Courier</t>
        </is>
      </c>
      <c r="F2546" s="3" t="inlineStr">
        <is>
          <t>Delivery and Transportation – August</t>
        </is>
      </c>
      <c r="G2546" s="3" t="inlineStr">
        <is>
          <t>Checking – Operating</t>
        </is>
      </c>
      <c r="H2546" s="3" t="inlineStr">
        <is>
          <t>Accounts Payable</t>
        </is>
      </c>
      <c r="I2546" s="33" t="n">
        <v>-3640.74</v>
      </c>
      <c r="J2546" s="13">
        <f>+J2545+I2546</f>
        <v>296910.48</v>
      </c>
      <c r="K2546" s="19">
        <f>+EOMONTH(B2546,0)</f>
        <v>46295</v>
      </c>
      <c r="L2546" s="3" t="inlineStr">
        <is>
          <t>Accounts Payable</t>
        </is>
      </c>
      <c r="M2546" s="3" t="inlineStr">
        <is>
          <t>Balance Sheet</t>
        </is>
      </c>
    </row>
    <row r="2547">
      <c r="B2547" s="39" t="n">
        <v>46272</v>
      </c>
      <c r="C2547" s="3" t="inlineStr">
        <is>
          <t>Bill Payment (Check)</t>
        </is>
      </c>
      <c r="D2547" s="3" t="inlineStr">
        <is>
          <t>11249</t>
        </is>
      </c>
      <c r="E2547" s="3" t="inlineStr">
        <is>
          <t>Ledgerquill Billing SaaS</t>
        </is>
      </c>
      <c r="F2547" s="3" t="inlineStr">
        <is>
          <t>Billing Software as a Service – August</t>
        </is>
      </c>
      <c r="G2547" s="3" t="inlineStr">
        <is>
          <t>Checking – Operating</t>
        </is>
      </c>
      <c r="H2547" s="3" t="inlineStr">
        <is>
          <t>Accounts Payable</t>
        </is>
      </c>
      <c r="I2547" s="33" t="n">
        <v>-14777.1</v>
      </c>
      <c r="J2547" s="13">
        <f>+J2546+I2547</f>
        <v>282133.38</v>
      </c>
      <c r="K2547" s="19">
        <f>+EOMONTH(B2547,0)</f>
        <v>46295</v>
      </c>
      <c r="L2547" s="3" t="inlineStr">
        <is>
          <t>Accounts Payable</t>
        </is>
      </c>
      <c r="M2547" s="3" t="inlineStr">
        <is>
          <t>Balance Sheet</t>
        </is>
      </c>
    </row>
    <row r="2548">
      <c r="B2548" s="39" t="n">
        <v>46273</v>
      </c>
      <c r="C2548" s="3" t="inlineStr">
        <is>
          <t>Bill Payment (Check)</t>
        </is>
      </c>
      <c r="D2548" s="3" t="inlineStr">
        <is>
          <t>10524</t>
        </is>
      </c>
      <c r="E2548" s="3" t="inlineStr">
        <is>
          <t>Reference Lab A</t>
        </is>
      </c>
      <c r="F2548" s="3" t="inlineStr">
        <is>
          <t>Send-out testing – August</t>
        </is>
      </c>
      <c r="G2548" s="3" t="inlineStr">
        <is>
          <t>Checking – Operating</t>
        </is>
      </c>
      <c r="H2548" s="3" t="inlineStr">
        <is>
          <t>Accounts Payable</t>
        </is>
      </c>
      <c r="I2548" s="33" t="n">
        <v>-19933.18</v>
      </c>
      <c r="J2548" s="13">
        <f>+J2547+I2548</f>
        <v>262200.2</v>
      </c>
      <c r="K2548" s="19">
        <f>+EOMONTH(B2548,0)</f>
        <v>46295</v>
      </c>
      <c r="L2548" s="3" t="inlineStr">
        <is>
          <t>Accounts Payable</t>
        </is>
      </c>
      <c r="M2548" s="3" t="inlineStr">
        <is>
          <t>Balance Sheet</t>
        </is>
      </c>
    </row>
    <row r="2549">
      <c r="B2549" s="39" t="n">
        <v>46273</v>
      </c>
      <c r="C2549" s="3" t="inlineStr">
        <is>
          <t>Bill Payment (Check)</t>
        </is>
      </c>
      <c r="D2549" s="3" t="inlineStr">
        <is>
          <t>10926</t>
        </is>
      </c>
      <c r="E2549" s="3" t="inlineStr">
        <is>
          <t>Halloway Ridge Realty (rent)</t>
        </is>
      </c>
      <c r="F2549" s="3" t="inlineStr">
        <is>
          <t>Rent – August</t>
        </is>
      </c>
      <c r="G2549" s="3" t="inlineStr">
        <is>
          <t>Checking – Operating</t>
        </is>
      </c>
      <c r="H2549" s="3" t="inlineStr">
        <is>
          <t>Accounts Payable</t>
        </is>
      </c>
      <c r="I2549" s="33" t="n">
        <v>-15539.74</v>
      </c>
      <c r="J2549" s="13">
        <f>+J2548+I2549</f>
        <v>246660.46</v>
      </c>
      <c r="K2549" s="19">
        <f>+EOMONTH(B2549,0)</f>
        <v>46295</v>
      </c>
      <c r="L2549" s="3" t="inlineStr">
        <is>
          <t>Accounts Payable</t>
        </is>
      </c>
      <c r="M2549" s="3" t="inlineStr">
        <is>
          <t>Balance Sheet</t>
        </is>
      </c>
    </row>
    <row r="2550">
      <c r="B2550" s="39" t="n">
        <v>46275</v>
      </c>
      <c r="C2550" s="3" t="inlineStr">
        <is>
          <t>Bill</t>
        </is>
      </c>
      <c r="D2550" s="3" t="inlineStr"/>
      <c r="E2550" s="3" t="inlineStr">
        <is>
          <t>Tarrowmere Mutual Insurance</t>
        </is>
      </c>
      <c r="F2550" s="3" t="inlineStr">
        <is>
          <t>Benefits – September</t>
        </is>
      </c>
      <c r="G2550" s="3" t="inlineStr">
        <is>
          <t>Benefits</t>
        </is>
      </c>
      <c r="H2550" s="3" t="inlineStr">
        <is>
          <t>Accounts Payable</t>
        </is>
      </c>
      <c r="I2550" s="33" t="n">
        <v>3450.84</v>
      </c>
      <c r="J2550" s="13">
        <f>+J2549+I2550</f>
        <v>250111.3</v>
      </c>
      <c r="K2550" s="19">
        <f>+EOMONTH(B2550,0)</f>
        <v>46295</v>
      </c>
      <c r="L2550" s="3" t="inlineStr">
        <is>
          <t>Accounts Payable</t>
        </is>
      </c>
      <c r="M2550" s="3" t="inlineStr">
        <is>
          <t>Balance Sheet</t>
        </is>
      </c>
    </row>
    <row r="2551">
      <c r="B2551" s="39" t="n">
        <v>46276</v>
      </c>
      <c r="C2551" s="3" t="inlineStr">
        <is>
          <t>Bill</t>
        </is>
      </c>
      <c r="D2551" s="3" t="inlineStr"/>
      <c r="E2551" s="3" t="inlineStr">
        <is>
          <t>Reference Lab A</t>
        </is>
      </c>
      <c r="F2551" s="3" t="inlineStr">
        <is>
          <t>Send-out testing – September</t>
        </is>
      </c>
      <c r="G2551" s="3" t="inlineStr">
        <is>
          <t>Laboratory Fees</t>
        </is>
      </c>
      <c r="H2551" s="3" t="inlineStr">
        <is>
          <t>Accounts Payable</t>
        </is>
      </c>
      <c r="I2551" s="33" t="n">
        <v>23880.59</v>
      </c>
      <c r="J2551" s="13">
        <f>+J2550+I2551</f>
        <v>273991.89</v>
      </c>
      <c r="K2551" s="19">
        <f>+EOMONTH(B2551,0)</f>
        <v>46295</v>
      </c>
      <c r="L2551" s="3" t="inlineStr">
        <is>
          <t>Accounts Payable</t>
        </is>
      </c>
      <c r="M2551" s="3" t="inlineStr">
        <is>
          <t>Balance Sheet</t>
        </is>
      </c>
    </row>
    <row r="2552">
      <c r="B2552" s="39" t="n">
        <v>46276</v>
      </c>
      <c r="C2552" s="3" t="inlineStr">
        <is>
          <t>Bill Payment (Check)</t>
        </is>
      </c>
      <c r="D2552" s="3" t="inlineStr">
        <is>
          <t>10713</t>
        </is>
      </c>
      <c r="E2552" s="3" t="inlineStr">
        <is>
          <t>Tarrowmere Mutual Insurance</t>
        </is>
      </c>
      <c r="F2552" s="3" t="inlineStr">
        <is>
          <t>Premium installment</t>
        </is>
      </c>
      <c r="G2552" s="3" t="inlineStr">
        <is>
          <t>Checking – Operating</t>
        </is>
      </c>
      <c r="H2552" s="3" t="inlineStr">
        <is>
          <t>Accounts Payable</t>
        </is>
      </c>
      <c r="I2552" s="33" t="n">
        <v>-3048.17</v>
      </c>
      <c r="J2552" s="13">
        <f>+J2551+I2552</f>
        <v>270943.72</v>
      </c>
      <c r="K2552" s="19">
        <f>+EOMONTH(B2552,0)</f>
        <v>46295</v>
      </c>
      <c r="L2552" s="3" t="inlineStr">
        <is>
          <t>Accounts Payable</t>
        </is>
      </c>
      <c r="M2552" s="3" t="inlineStr">
        <is>
          <t>Balance Sheet</t>
        </is>
      </c>
    </row>
    <row r="2553">
      <c r="B2553" s="39" t="n">
        <v>46276</v>
      </c>
      <c r="C2553" s="3" t="inlineStr">
        <is>
          <t>Bill Payment (Check)</t>
        </is>
      </c>
      <c r="D2553" s="3" t="inlineStr">
        <is>
          <t>10717</t>
        </is>
      </c>
      <c r="E2553" s="3" t="inlineStr">
        <is>
          <t>Tarrowmere Mutual Insurance</t>
        </is>
      </c>
      <c r="F2553" s="3" t="inlineStr">
        <is>
          <t>Premium installment</t>
        </is>
      </c>
      <c r="G2553" s="3" t="inlineStr">
        <is>
          <t>Checking – Operating</t>
        </is>
      </c>
      <c r="H2553" s="3" t="inlineStr">
        <is>
          <t>Accounts Payable</t>
        </is>
      </c>
      <c r="I2553" s="33" t="n">
        <v>-3337.45</v>
      </c>
      <c r="J2553" s="13">
        <f>+J2552+I2553</f>
        <v>267606.27</v>
      </c>
      <c r="K2553" s="19">
        <f>+EOMONTH(B2553,0)</f>
        <v>46295</v>
      </c>
      <c r="L2553" s="3" t="inlineStr">
        <is>
          <t>Accounts Payable</t>
        </is>
      </c>
      <c r="M2553" s="3" t="inlineStr">
        <is>
          <t>Balance Sheet</t>
        </is>
      </c>
    </row>
    <row r="2554">
      <c r="B2554" s="39" t="n">
        <v>46276</v>
      </c>
      <c r="C2554" s="3" t="inlineStr">
        <is>
          <t>Bill Payment (Check)</t>
        </is>
      </c>
      <c r="D2554" s="3" t="inlineStr">
        <is>
          <t>11248</t>
        </is>
      </c>
      <c r="E2554" s="3" t="inlineStr">
        <is>
          <t>Ledgerquill Billing SaaS</t>
        </is>
      </c>
      <c r="F2554" s="3" t="inlineStr">
        <is>
          <t>Billing Software as a Service – August</t>
        </is>
      </c>
      <c r="G2554" s="3" t="inlineStr">
        <is>
          <t>Checking – Operating</t>
        </is>
      </c>
      <c r="H2554" s="3" t="inlineStr">
        <is>
          <t>Accounts Payable</t>
        </is>
      </c>
      <c r="I2554" s="33" t="n">
        <v>-11694.13</v>
      </c>
      <c r="J2554" s="13">
        <f>+J2553+I2554</f>
        <v>255912.14</v>
      </c>
      <c r="K2554" s="19">
        <f>+EOMONTH(B2554,0)</f>
        <v>46295</v>
      </c>
      <c r="L2554" s="3" t="inlineStr">
        <is>
          <t>Accounts Payable</t>
        </is>
      </c>
      <c r="M2554" s="3" t="inlineStr">
        <is>
          <t>Balance Sheet</t>
        </is>
      </c>
    </row>
    <row r="2555">
      <c r="B2555" s="39" t="n">
        <v>46277</v>
      </c>
      <c r="C2555" s="3" t="inlineStr">
        <is>
          <t>Bill</t>
        </is>
      </c>
      <c r="D2555" s="3" t="inlineStr"/>
      <c r="E2555" s="3" t="inlineStr">
        <is>
          <t>Ledgerquill Billing SaaS</t>
        </is>
      </c>
      <c r="F2555" s="3" t="inlineStr">
        <is>
          <t>Billing Software as a Service – September</t>
        </is>
      </c>
      <c r="G2555" s="3" t="inlineStr">
        <is>
          <t>Billing Software as a Service</t>
        </is>
      </c>
      <c r="H2555" s="3" t="inlineStr">
        <is>
          <t>Accounts Payable</t>
        </is>
      </c>
      <c r="I2555" s="33" t="n">
        <v>16338.97</v>
      </c>
      <c r="J2555" s="13">
        <f>+J2554+I2555</f>
        <v>272251.11</v>
      </c>
      <c r="K2555" s="19">
        <f>+EOMONTH(B2555,0)</f>
        <v>46295</v>
      </c>
      <c r="L2555" s="3" t="inlineStr">
        <is>
          <t>Accounts Payable</t>
        </is>
      </c>
      <c r="M2555" s="3" t="inlineStr">
        <is>
          <t>Balance Sheet</t>
        </is>
      </c>
    </row>
    <row r="2556">
      <c r="B2556" s="39" t="n">
        <v>46277</v>
      </c>
      <c r="C2556" s="3" t="inlineStr">
        <is>
          <t>Bill Payment (Check)</t>
        </is>
      </c>
      <c r="D2556" s="3" t="inlineStr">
        <is>
          <t>10448</t>
        </is>
      </c>
      <c r="E2556" s="3" t="inlineStr">
        <is>
          <t>Vialtrace Lab Supplies Inc</t>
        </is>
      </c>
      <c r="F2556" s="3" t="inlineStr">
        <is>
          <t>Lab Expenses – September</t>
        </is>
      </c>
      <c r="G2556" s="3" t="inlineStr">
        <is>
          <t>Checking – Operating</t>
        </is>
      </c>
      <c r="H2556" s="3" t="inlineStr">
        <is>
          <t>Accounts Payable</t>
        </is>
      </c>
      <c r="I2556" s="33" t="n">
        <v>-6110.73</v>
      </c>
      <c r="J2556" s="13">
        <f>+J2555+I2556</f>
        <v>266140.38</v>
      </c>
      <c r="K2556" s="19">
        <f>+EOMONTH(B2556,0)</f>
        <v>46295</v>
      </c>
      <c r="L2556" s="3" t="inlineStr">
        <is>
          <t>Accounts Payable</t>
        </is>
      </c>
      <c r="M2556" s="3" t="inlineStr">
        <is>
          <t>Balance Sheet</t>
        </is>
      </c>
    </row>
    <row r="2557">
      <c r="B2557" s="39" t="n">
        <v>46277</v>
      </c>
      <c r="C2557" s="3" t="inlineStr">
        <is>
          <t>Bill Payment (Check)</t>
        </is>
      </c>
      <c r="D2557" s="3" t="inlineStr">
        <is>
          <t>10568</t>
        </is>
      </c>
      <c r="E2557" s="3" t="inlineStr">
        <is>
          <t>Reagentix Corp</t>
        </is>
      </c>
      <c r="F2557" s="3" t="inlineStr">
        <is>
          <t>Lab supplies PO# F2733</t>
        </is>
      </c>
      <c r="G2557" s="3" t="inlineStr">
        <is>
          <t>Checking – Operating</t>
        </is>
      </c>
      <c r="H2557" s="3" t="inlineStr">
        <is>
          <t>Accounts Payable</t>
        </is>
      </c>
      <c r="I2557" s="33" t="n">
        <v>-7374.46</v>
      </c>
      <c r="J2557" s="13">
        <f>+J2556+I2557</f>
        <v>258765.92</v>
      </c>
      <c r="K2557" s="19">
        <f>+EOMONTH(B2557,0)</f>
        <v>46295</v>
      </c>
      <c r="L2557" s="3" t="inlineStr">
        <is>
          <t>Accounts Payable</t>
        </is>
      </c>
      <c r="M2557" s="3" t="inlineStr">
        <is>
          <t>Balance Sheet</t>
        </is>
      </c>
    </row>
    <row r="2558">
      <c r="B2558" s="39" t="n">
        <v>46278</v>
      </c>
      <c r="C2558" s="3" t="inlineStr">
        <is>
          <t>Bill</t>
        </is>
      </c>
      <c r="D2558" s="3" t="inlineStr"/>
      <c r="E2558" s="3" t="inlineStr">
        <is>
          <t>Tarrowmere Mutual Insurance</t>
        </is>
      </c>
      <c r="F2558" s="3" t="inlineStr">
        <is>
          <t>Premium installment</t>
        </is>
      </c>
      <c r="G2558" s="3" t="inlineStr">
        <is>
          <t>Insurance Expense</t>
        </is>
      </c>
      <c r="H2558" s="3" t="inlineStr">
        <is>
          <t>Accounts Payable</t>
        </is>
      </c>
      <c r="I2558" s="33" t="n">
        <v>8709.85</v>
      </c>
      <c r="J2558" s="13">
        <f>+J2557+I2558</f>
        <v>267475.77</v>
      </c>
      <c r="K2558" s="19">
        <f>+EOMONTH(B2558,0)</f>
        <v>46295</v>
      </c>
      <c r="L2558" s="3" t="inlineStr">
        <is>
          <t>Accounts Payable</t>
        </is>
      </c>
      <c r="M2558" s="3" t="inlineStr">
        <is>
          <t>Balance Sheet</t>
        </is>
      </c>
    </row>
    <row r="2559">
      <c r="B2559" s="39" t="n">
        <v>46279</v>
      </c>
      <c r="C2559" s="3" t="inlineStr">
        <is>
          <t>Bill</t>
        </is>
      </c>
      <c r="D2559" s="3" t="inlineStr"/>
      <c r="E2559" s="3" t="inlineStr">
        <is>
          <t>Vialtrace Lab Supplies Inc</t>
        </is>
      </c>
      <c r="F2559" s="3" t="inlineStr">
        <is>
          <t>Lab supplies PO# F2285</t>
        </is>
      </c>
      <c r="G2559" s="3" t="inlineStr">
        <is>
          <t>Lab Supplies</t>
        </is>
      </c>
      <c r="H2559" s="3" t="inlineStr">
        <is>
          <t>Accounts Payable</t>
        </is>
      </c>
      <c r="I2559" s="33" t="n">
        <v>40498.84</v>
      </c>
      <c r="J2559" s="13">
        <f>+J2558+I2559</f>
        <v>307974.61</v>
      </c>
      <c r="K2559" s="19">
        <f>+EOMONTH(B2559,0)</f>
        <v>46295</v>
      </c>
      <c r="L2559" s="3" t="inlineStr">
        <is>
          <t>Accounts Payable</t>
        </is>
      </c>
      <c r="M2559" s="3" t="inlineStr">
        <is>
          <t>Balance Sheet</t>
        </is>
      </c>
    </row>
    <row r="2560">
      <c r="B2560" s="39" t="n">
        <v>46279</v>
      </c>
      <c r="C2560" s="3" t="inlineStr">
        <is>
          <t>Bill Payment (Check)</t>
        </is>
      </c>
      <c r="D2560" s="3" t="inlineStr">
        <is>
          <t>10446</t>
        </is>
      </c>
      <c r="E2560" s="3" t="inlineStr">
        <is>
          <t>Vialtrace Lab Supplies Inc</t>
        </is>
      </c>
      <c r="F2560" s="3" t="inlineStr">
        <is>
          <t>Lab Expenses – August</t>
        </is>
      </c>
      <c r="G2560" s="3" t="inlineStr">
        <is>
          <t>Checking – Operating</t>
        </is>
      </c>
      <c r="H2560" s="3" t="inlineStr">
        <is>
          <t>Accounts Payable</t>
        </is>
      </c>
      <c r="I2560" s="33" t="n">
        <v>-5678.21</v>
      </c>
      <c r="J2560" s="13">
        <f>+J2559+I2560</f>
        <v>302296.4</v>
      </c>
      <c r="K2560" s="19">
        <f>+EOMONTH(B2560,0)</f>
        <v>46295</v>
      </c>
      <c r="L2560" s="3" t="inlineStr">
        <is>
          <t>Accounts Payable</t>
        </is>
      </c>
      <c r="M2560" s="3" t="inlineStr">
        <is>
          <t>Balance Sheet</t>
        </is>
      </c>
    </row>
    <row r="2561">
      <c r="B2561" s="39" t="n">
        <v>46279</v>
      </c>
      <c r="C2561" s="3" t="inlineStr">
        <is>
          <t>Bill Payment (Check)</t>
        </is>
      </c>
      <c r="D2561" s="3" t="inlineStr">
        <is>
          <t>10715</t>
        </is>
      </c>
      <c r="E2561" s="3" t="inlineStr">
        <is>
          <t>Tarrowmere Mutual Insurance</t>
        </is>
      </c>
      <c r="F2561" s="3" t="inlineStr">
        <is>
          <t>Premium installment</t>
        </is>
      </c>
      <c r="G2561" s="3" t="inlineStr">
        <is>
          <t>Checking – Operating</t>
        </is>
      </c>
      <c r="H2561" s="3" t="inlineStr">
        <is>
          <t>Accounts Payable</t>
        </is>
      </c>
      <c r="I2561" s="33" t="n">
        <v>-5328.41</v>
      </c>
      <c r="J2561" s="13">
        <f>+J2560+I2561</f>
        <v>296967.99</v>
      </c>
      <c r="K2561" s="19">
        <f>+EOMONTH(B2561,0)</f>
        <v>46295</v>
      </c>
      <c r="L2561" s="3" t="inlineStr">
        <is>
          <t>Accounts Payable</t>
        </is>
      </c>
      <c r="M2561" s="3" t="inlineStr">
        <is>
          <t>Balance Sheet</t>
        </is>
      </c>
    </row>
    <row r="2562">
      <c r="B2562" s="39" t="n">
        <v>46279</v>
      </c>
      <c r="C2562" s="3" t="inlineStr">
        <is>
          <t>Bill Payment (Check)</t>
        </is>
      </c>
      <c r="D2562" s="3" t="inlineStr">
        <is>
          <t>11250</t>
        </is>
      </c>
      <c r="E2562" s="3" t="inlineStr">
        <is>
          <t>Ledgerquill Billing SaaS</t>
        </is>
      </c>
      <c r="F2562" s="3" t="inlineStr">
        <is>
          <t>Billing Software as a Service – September</t>
        </is>
      </c>
      <c r="G2562" s="3" t="inlineStr">
        <is>
          <t>Checking – Operating</t>
        </is>
      </c>
      <c r="H2562" s="3" t="inlineStr">
        <is>
          <t>Accounts Payable</t>
        </is>
      </c>
      <c r="I2562" s="33" t="n">
        <v>-11925.89</v>
      </c>
      <c r="J2562" s="13">
        <f>+J2561+I2562</f>
        <v>285042.1</v>
      </c>
      <c r="K2562" s="19">
        <f>+EOMONTH(B2562,0)</f>
        <v>46295</v>
      </c>
      <c r="L2562" s="3" t="inlineStr">
        <is>
          <t>Accounts Payable</t>
        </is>
      </c>
      <c r="M2562" s="3" t="inlineStr">
        <is>
          <t>Balance Sheet</t>
        </is>
      </c>
    </row>
    <row r="2563">
      <c r="B2563" s="39" t="n">
        <v>46280</v>
      </c>
      <c r="C2563" s="3" t="inlineStr">
        <is>
          <t>Bill</t>
        </is>
      </c>
      <c r="D2563" s="3" t="inlineStr"/>
      <c r="E2563" s="3" t="inlineStr">
        <is>
          <t>Reagentix Corp</t>
        </is>
      </c>
      <c r="F2563" s="3" t="inlineStr">
        <is>
          <t>Lab supplies PO# F2313</t>
        </is>
      </c>
      <c r="G2563" s="3" t="inlineStr">
        <is>
          <t>Reagents</t>
        </is>
      </c>
      <c r="H2563" s="3" t="inlineStr">
        <is>
          <t>Accounts Payable</t>
        </is>
      </c>
      <c r="I2563" s="33" t="n">
        <v>14127.2</v>
      </c>
      <c r="J2563" s="13">
        <f>+J2562+I2563</f>
        <v>299169.3</v>
      </c>
      <c r="K2563" s="19">
        <f>+EOMONTH(B2563,0)</f>
        <v>46295</v>
      </c>
      <c r="L2563" s="3" t="inlineStr">
        <is>
          <t>Accounts Payable</t>
        </is>
      </c>
      <c r="M2563" s="3" t="inlineStr">
        <is>
          <t>Balance Sheet</t>
        </is>
      </c>
    </row>
    <row r="2564">
      <c r="B2564" s="39" t="n">
        <v>46280</v>
      </c>
      <c r="C2564" s="3" t="inlineStr">
        <is>
          <t>Bill Payment (Check)</t>
        </is>
      </c>
      <c r="D2564" s="3" t="inlineStr">
        <is>
          <t>10750</t>
        </is>
      </c>
      <c r="E2564" s="3" t="inlineStr">
        <is>
          <t>Lumenlease Equipment</t>
        </is>
      </c>
      <c r="F2564" s="3" t="inlineStr">
        <is>
          <t>Equipment Lease – August</t>
        </is>
      </c>
      <c r="G2564" s="3" t="inlineStr">
        <is>
          <t>Checking – Operating</t>
        </is>
      </c>
      <c r="H2564" s="3" t="inlineStr">
        <is>
          <t>Accounts Payable</t>
        </is>
      </c>
      <c r="I2564" s="33" t="n">
        <v>-3972.87</v>
      </c>
      <c r="J2564" s="13">
        <f>+J2563+I2564</f>
        <v>295196.43</v>
      </c>
      <c r="K2564" s="19">
        <f>+EOMONTH(B2564,0)</f>
        <v>46295</v>
      </c>
      <c r="L2564" s="3" t="inlineStr">
        <is>
          <t>Accounts Payable</t>
        </is>
      </c>
      <c r="M2564" s="3" t="inlineStr">
        <is>
          <t>Balance Sheet</t>
        </is>
      </c>
    </row>
    <row r="2565">
      <c r="B2565" s="39" t="n">
        <v>46281</v>
      </c>
      <c r="C2565" s="3" t="inlineStr">
        <is>
          <t>Bill</t>
        </is>
      </c>
      <c r="D2565" s="3" t="inlineStr"/>
      <c r="E2565" s="3" t="inlineStr">
        <is>
          <t>Tarrowmere Mutual Insurance</t>
        </is>
      </c>
      <c r="F2565" s="3" t="inlineStr">
        <is>
          <t>Premium installment</t>
        </is>
      </c>
      <c r="G2565" s="3" t="inlineStr">
        <is>
          <t>Insurance Expense</t>
        </is>
      </c>
      <c r="H2565" s="3" t="inlineStr">
        <is>
          <t>Accounts Payable</t>
        </is>
      </c>
      <c r="I2565" s="33" t="n">
        <v>6424.17</v>
      </c>
      <c r="J2565" s="13">
        <f>+J2564+I2565</f>
        <v>301620.6</v>
      </c>
      <c r="K2565" s="19">
        <f>+EOMONTH(B2565,0)</f>
        <v>46295</v>
      </c>
      <c r="L2565" s="3" t="inlineStr">
        <is>
          <t>Accounts Payable</t>
        </is>
      </c>
      <c r="M2565" s="3" t="inlineStr">
        <is>
          <t>Balance Sheet</t>
        </is>
      </c>
    </row>
    <row r="2566">
      <c r="B2566" s="39" t="n">
        <v>46281</v>
      </c>
      <c r="C2566" s="3" t="inlineStr">
        <is>
          <t>Bill</t>
        </is>
      </c>
      <c r="D2566" s="3" t="inlineStr"/>
      <c r="E2566" s="3" t="inlineStr">
        <is>
          <t>Lumenlease Equipment</t>
        </is>
      </c>
      <c r="F2566" s="3" t="inlineStr">
        <is>
          <t>Equipment Lease – September</t>
        </is>
      </c>
      <c r="G2566" s="3" t="inlineStr">
        <is>
          <t>Equipment Lease</t>
        </is>
      </c>
      <c r="H2566" s="3" t="inlineStr">
        <is>
          <t>Accounts Payable</t>
        </is>
      </c>
      <c r="I2566" s="33" t="n">
        <v>7426.4</v>
      </c>
      <c r="J2566" s="13">
        <f>+J2565+I2566</f>
        <v>309047</v>
      </c>
      <c r="K2566" s="19">
        <f>+EOMONTH(B2566,0)</f>
        <v>46295</v>
      </c>
      <c r="L2566" s="3" t="inlineStr">
        <is>
          <t>Accounts Payable</t>
        </is>
      </c>
      <c r="M2566" s="3" t="inlineStr">
        <is>
          <t>Balance Sheet</t>
        </is>
      </c>
    </row>
    <row r="2567">
      <c r="B2567" s="39" t="n">
        <v>46281</v>
      </c>
      <c r="C2567" s="3" t="inlineStr">
        <is>
          <t>Bill Payment (Check)</t>
        </is>
      </c>
      <c r="D2567" s="3" t="inlineStr">
        <is>
          <t>10525</t>
        </is>
      </c>
      <c r="E2567" s="3" t="inlineStr">
        <is>
          <t>Reference Lab A</t>
        </is>
      </c>
      <c r="F2567" s="3" t="inlineStr">
        <is>
          <t>Send-out testing – August</t>
        </is>
      </c>
      <c r="G2567" s="3" t="inlineStr">
        <is>
          <t>Checking – Operating</t>
        </is>
      </c>
      <c r="H2567" s="3" t="inlineStr">
        <is>
          <t>Accounts Payable</t>
        </is>
      </c>
      <c r="I2567" s="33" t="n">
        <v>-18342.39</v>
      </c>
      <c r="J2567" s="13">
        <f>+J2566+I2567</f>
        <v>290704.61</v>
      </c>
      <c r="K2567" s="19">
        <f>+EOMONTH(B2567,0)</f>
        <v>46295</v>
      </c>
      <c r="L2567" s="3" t="inlineStr">
        <is>
          <t>Accounts Payable</t>
        </is>
      </c>
      <c r="M2567" s="3" t="inlineStr">
        <is>
          <t>Balance Sheet</t>
        </is>
      </c>
    </row>
    <row r="2568">
      <c r="B2568" s="39" t="n">
        <v>46282</v>
      </c>
      <c r="C2568" s="3" t="inlineStr">
        <is>
          <t>Bill</t>
        </is>
      </c>
      <c r="D2568" s="3" t="inlineStr"/>
      <c r="E2568" s="3" t="inlineStr">
        <is>
          <t>Northmoor Waste Services</t>
        </is>
      </c>
      <c r="F2568" s="3" t="inlineStr">
        <is>
          <t>Waste Removal – September</t>
        </is>
      </c>
      <c r="G2568" s="3" t="inlineStr">
        <is>
          <t>Waste Removal</t>
        </is>
      </c>
      <c r="H2568" s="3" t="inlineStr">
        <is>
          <t>Accounts Payable</t>
        </is>
      </c>
      <c r="I2568" s="33" t="n">
        <v>1260.09</v>
      </c>
      <c r="J2568" s="13">
        <f>+J2567+I2568</f>
        <v>291964.7</v>
      </c>
      <c r="K2568" s="19">
        <f>+EOMONTH(B2568,0)</f>
        <v>46295</v>
      </c>
      <c r="L2568" s="3" t="inlineStr">
        <is>
          <t>Accounts Payable</t>
        </is>
      </c>
      <c r="M2568" s="3" t="inlineStr">
        <is>
          <t>Balance Sheet</t>
        </is>
      </c>
    </row>
    <row r="2569">
      <c r="B2569" s="39" t="n">
        <v>46283</v>
      </c>
      <c r="C2569" s="3" t="inlineStr">
        <is>
          <t>Bill</t>
        </is>
      </c>
      <c r="D2569" s="3" t="inlineStr"/>
      <c r="E2569" s="3" t="inlineStr">
        <is>
          <t>Tarrowmere Mutual Insurance</t>
        </is>
      </c>
      <c r="F2569" s="3" t="inlineStr">
        <is>
          <t>Benefits – September</t>
        </is>
      </c>
      <c r="G2569" s="3" t="inlineStr">
        <is>
          <t>Benefits</t>
        </is>
      </c>
      <c r="H2569" s="3" t="inlineStr">
        <is>
          <t>Accounts Payable</t>
        </is>
      </c>
      <c r="I2569" s="33" t="n">
        <v>4662.9</v>
      </c>
      <c r="J2569" s="13">
        <f>+J2568+I2569</f>
        <v>296627.6</v>
      </c>
      <c r="K2569" s="19">
        <f>+EOMONTH(B2569,0)</f>
        <v>46295</v>
      </c>
      <c r="L2569" s="3" t="inlineStr">
        <is>
          <t>Accounts Payable</t>
        </is>
      </c>
      <c r="M2569" s="3" t="inlineStr">
        <is>
          <t>Balance Sheet</t>
        </is>
      </c>
    </row>
    <row r="2570">
      <c r="B2570" s="39" t="n">
        <v>46283</v>
      </c>
      <c r="C2570" s="3" t="inlineStr">
        <is>
          <t>Bill Payment (Check)</t>
        </is>
      </c>
      <c r="D2570" s="3" t="inlineStr">
        <is>
          <t>10442</t>
        </is>
      </c>
      <c r="E2570" s="3" t="inlineStr">
        <is>
          <t>Vialtrace Lab Supplies Inc</t>
        </is>
      </c>
      <c r="F2570" s="3" t="inlineStr">
        <is>
          <t>Lab Expenses – August</t>
        </is>
      </c>
      <c r="G2570" s="3" t="inlineStr">
        <is>
          <t>Checking – Operating</t>
        </is>
      </c>
      <c r="H2570" s="3" t="inlineStr">
        <is>
          <t>Accounts Payable</t>
        </is>
      </c>
      <c r="I2570" s="33" t="n">
        <v>-3515.64</v>
      </c>
      <c r="J2570" s="13">
        <f>+J2569+I2570</f>
        <v>293111.96</v>
      </c>
      <c r="K2570" s="19">
        <f>+EOMONTH(B2570,0)</f>
        <v>46295</v>
      </c>
      <c r="L2570" s="3" t="inlineStr">
        <is>
          <t>Accounts Payable</t>
        </is>
      </c>
      <c r="M2570" s="3" t="inlineStr">
        <is>
          <t>Balance Sheet</t>
        </is>
      </c>
    </row>
    <row r="2571">
      <c r="B2571" s="39" t="n">
        <v>46284</v>
      </c>
      <c r="C2571" s="3" t="inlineStr">
        <is>
          <t>Bill</t>
        </is>
      </c>
      <c r="D2571" s="3" t="inlineStr"/>
      <c r="E2571" s="3" t="inlineStr">
        <is>
          <t>Reagentix Corp</t>
        </is>
      </c>
      <c r="F2571" s="3" t="inlineStr">
        <is>
          <t>Lab supplies PO# F2770</t>
        </is>
      </c>
      <c r="G2571" s="3" t="inlineStr">
        <is>
          <t>Reagents</t>
        </is>
      </c>
      <c r="H2571" s="3" t="inlineStr">
        <is>
          <t>Accounts Payable</t>
        </is>
      </c>
      <c r="I2571" s="33" t="n">
        <v>11226.84</v>
      </c>
      <c r="J2571" s="13">
        <f>+J2570+I2571</f>
        <v>304338.8</v>
      </c>
      <c r="K2571" s="19">
        <f>+EOMONTH(B2571,0)</f>
        <v>46295</v>
      </c>
      <c r="L2571" s="3" t="inlineStr">
        <is>
          <t>Accounts Payable</t>
        </is>
      </c>
      <c r="M2571" s="3" t="inlineStr">
        <is>
          <t>Balance Sheet</t>
        </is>
      </c>
    </row>
    <row r="2572">
      <c r="B2572" s="39" t="n">
        <v>46284</v>
      </c>
      <c r="C2572" s="3" t="inlineStr">
        <is>
          <t>Bill Payment (Check)</t>
        </is>
      </c>
      <c r="D2572" s="3" t="inlineStr">
        <is>
          <t>10570</t>
        </is>
      </c>
      <c r="E2572" s="3" t="inlineStr">
        <is>
          <t>Reagentix Corp</t>
        </is>
      </c>
      <c r="F2572" s="3" t="inlineStr">
        <is>
          <t>Lab supplies PO# F2944</t>
        </is>
      </c>
      <c r="G2572" s="3" t="inlineStr">
        <is>
          <t>Checking – Operating</t>
        </is>
      </c>
      <c r="H2572" s="3" t="inlineStr">
        <is>
          <t>Accounts Payable</t>
        </is>
      </c>
      <c r="I2572" s="33" t="n">
        <v>-10953.93</v>
      </c>
      <c r="J2572" s="13">
        <f>+J2571+I2572</f>
        <v>293384.87</v>
      </c>
      <c r="K2572" s="19">
        <f>+EOMONTH(B2572,0)</f>
        <v>46295</v>
      </c>
      <c r="L2572" s="3" t="inlineStr">
        <is>
          <t>Accounts Payable</t>
        </is>
      </c>
      <c r="M2572" s="3" t="inlineStr">
        <is>
          <t>Balance Sheet</t>
        </is>
      </c>
    </row>
    <row r="2573">
      <c r="B2573" s="39" t="n">
        <v>46284</v>
      </c>
      <c r="C2573" s="3" t="inlineStr">
        <is>
          <t>Bill Payment (Check)</t>
        </is>
      </c>
      <c r="D2573" s="3" t="inlineStr">
        <is>
          <t>10928</t>
        </is>
      </c>
      <c r="E2573" s="3" t="inlineStr">
        <is>
          <t>Halloway Ridge Realty (rent)</t>
        </is>
      </c>
      <c r="F2573" s="3" t="inlineStr">
        <is>
          <t>Rent – September</t>
        </is>
      </c>
      <c r="G2573" s="3" t="inlineStr">
        <is>
          <t>Checking – Operating</t>
        </is>
      </c>
      <c r="H2573" s="3" t="inlineStr">
        <is>
          <t>Accounts Payable</t>
        </is>
      </c>
      <c r="I2573" s="33" t="n">
        <v>-12754.24</v>
      </c>
      <c r="J2573" s="13">
        <f>+J2572+I2573</f>
        <v>280630.63</v>
      </c>
      <c r="K2573" s="19">
        <f>+EOMONTH(B2573,0)</f>
        <v>46295</v>
      </c>
      <c r="L2573" s="3" t="inlineStr">
        <is>
          <t>Accounts Payable</t>
        </is>
      </c>
      <c r="M2573" s="3" t="inlineStr">
        <is>
          <t>Balance Sheet</t>
        </is>
      </c>
    </row>
    <row r="2574">
      <c r="B2574" s="39" t="n">
        <v>46284</v>
      </c>
      <c r="C2574" s="3" t="inlineStr">
        <is>
          <t>Bill Payment (Check)</t>
        </is>
      </c>
      <c r="D2574" s="3" t="inlineStr">
        <is>
          <t>11162</t>
        </is>
      </c>
      <c r="E2574" s="3" t="inlineStr">
        <is>
          <t>Tarrowmere Mutual Insurance</t>
        </is>
      </c>
      <c r="F2574" s="3" t="inlineStr">
        <is>
          <t>Benefits – August</t>
        </is>
      </c>
      <c r="G2574" s="3" t="inlineStr">
        <is>
          <t>Checking – Operating</t>
        </is>
      </c>
      <c r="H2574" s="3" t="inlineStr">
        <is>
          <t>Accounts Payable</t>
        </is>
      </c>
      <c r="I2574" s="33" t="n">
        <v>-4622.81</v>
      </c>
      <c r="J2574" s="13">
        <f>+J2573+I2574</f>
        <v>276007.82</v>
      </c>
      <c r="K2574" s="19">
        <f>+EOMONTH(B2574,0)</f>
        <v>46295</v>
      </c>
      <c r="L2574" s="3" t="inlineStr">
        <is>
          <t>Accounts Payable</t>
        </is>
      </c>
      <c r="M2574" s="3" t="inlineStr">
        <is>
          <t>Balance Sheet</t>
        </is>
      </c>
    </row>
    <row r="2575">
      <c r="B2575" s="39" t="n">
        <v>46285</v>
      </c>
      <c r="C2575" s="3" t="inlineStr">
        <is>
          <t>Bill</t>
        </is>
      </c>
      <c r="D2575" s="3" t="inlineStr"/>
      <c r="E2575" s="3" t="inlineStr">
        <is>
          <t>Vialtrace Lab Supplies Inc</t>
        </is>
      </c>
      <c r="F2575" s="3" t="inlineStr">
        <is>
          <t>Lab Expenses – September</t>
        </is>
      </c>
      <c r="G2575" s="3" t="inlineStr">
        <is>
          <t>Lab Expenses</t>
        </is>
      </c>
      <c r="H2575" s="3" t="inlineStr">
        <is>
          <t>Accounts Payable</t>
        </is>
      </c>
      <c r="I2575" s="33" t="n">
        <v>4236.8</v>
      </c>
      <c r="J2575" s="13">
        <f>+J2574+I2575</f>
        <v>280244.62</v>
      </c>
      <c r="K2575" s="19">
        <f>+EOMONTH(B2575,0)</f>
        <v>46295</v>
      </c>
      <c r="L2575" s="3" t="inlineStr">
        <is>
          <t>Accounts Payable</t>
        </is>
      </c>
      <c r="M2575" s="3" t="inlineStr">
        <is>
          <t>Balance Sheet</t>
        </is>
      </c>
    </row>
    <row r="2576">
      <c r="B2576" s="39" t="n">
        <v>46286</v>
      </c>
      <c r="C2576" s="3" t="inlineStr">
        <is>
          <t>Bill</t>
        </is>
      </c>
      <c r="D2576" s="3" t="inlineStr"/>
      <c r="E2576" s="3" t="inlineStr">
        <is>
          <t>Tarrowmere Mutual Insurance</t>
        </is>
      </c>
      <c r="F2576" s="3" t="inlineStr">
        <is>
          <t>Premium installment</t>
        </is>
      </c>
      <c r="G2576" s="3" t="inlineStr">
        <is>
          <t>Insurance Expense</t>
        </is>
      </c>
      <c r="H2576" s="3" t="inlineStr">
        <is>
          <t>Accounts Payable</t>
        </is>
      </c>
      <c r="I2576" s="33" t="n">
        <v>5269.35</v>
      </c>
      <c r="J2576" s="13">
        <f>+J2575+I2576</f>
        <v>285513.97</v>
      </c>
      <c r="K2576" s="19">
        <f>+EOMONTH(B2576,0)</f>
        <v>46295</v>
      </c>
      <c r="L2576" s="3" t="inlineStr">
        <is>
          <t>Accounts Payable</t>
        </is>
      </c>
      <c r="M2576" s="3" t="inlineStr">
        <is>
          <t>Balance Sheet</t>
        </is>
      </c>
    </row>
    <row r="2577">
      <c r="B2577" s="39" t="n">
        <v>46286</v>
      </c>
      <c r="C2577" s="3" t="inlineStr">
        <is>
          <t>Bill Payment (Check)</t>
        </is>
      </c>
      <c r="D2577" s="3" t="inlineStr">
        <is>
          <t>10682</t>
        </is>
      </c>
      <c r="E2577" s="3" t="inlineStr">
        <is>
          <t>Lumenlease Equipment</t>
        </is>
      </c>
      <c r="F2577" s="3" t="inlineStr">
        <is>
          <t>Lab Equipment – August</t>
        </is>
      </c>
      <c r="G2577" s="3" t="inlineStr">
        <is>
          <t>Checking – Operating</t>
        </is>
      </c>
      <c r="H2577" s="3" t="inlineStr">
        <is>
          <t>Accounts Payable</t>
        </is>
      </c>
      <c r="I2577" s="33" t="n">
        <v>-3659.43</v>
      </c>
      <c r="J2577" s="13">
        <f>+J2576+I2577</f>
        <v>281854.54</v>
      </c>
      <c r="K2577" s="19">
        <f>+EOMONTH(B2577,0)</f>
        <v>46295</v>
      </c>
      <c r="L2577" s="3" t="inlineStr">
        <is>
          <t>Accounts Payable</t>
        </is>
      </c>
      <c r="M2577" s="3" t="inlineStr">
        <is>
          <t>Balance Sheet</t>
        </is>
      </c>
    </row>
    <row r="2578">
      <c r="B2578" s="39" t="n">
        <v>46286</v>
      </c>
      <c r="C2578" s="3" t="inlineStr">
        <is>
          <t>Bill Payment (Check)</t>
        </is>
      </c>
      <c r="D2578" s="3" t="inlineStr">
        <is>
          <t>11344</t>
        </is>
      </c>
      <c r="E2578" s="3" t="inlineStr">
        <is>
          <t>Union Utilities</t>
        </is>
      </c>
      <c r="F2578" s="3" t="inlineStr">
        <is>
          <t>Utilities – August</t>
        </is>
      </c>
      <c r="G2578" s="3" t="inlineStr">
        <is>
          <t>Checking – Operating</t>
        </is>
      </c>
      <c r="H2578" s="3" t="inlineStr">
        <is>
          <t>Accounts Payable</t>
        </is>
      </c>
      <c r="I2578" s="33" t="n">
        <v>-3633.57</v>
      </c>
      <c r="J2578" s="13">
        <f>+J2577+I2578</f>
        <v>278220.97</v>
      </c>
      <c r="K2578" s="19">
        <f>+EOMONTH(B2578,0)</f>
        <v>46295</v>
      </c>
      <c r="L2578" s="3" t="inlineStr">
        <is>
          <t>Accounts Payable</t>
        </is>
      </c>
      <c r="M2578" s="3" t="inlineStr">
        <is>
          <t>Balance Sheet</t>
        </is>
      </c>
    </row>
    <row r="2579">
      <c r="B2579" s="39" t="n">
        <v>46287</v>
      </c>
      <c r="C2579" s="3" t="inlineStr">
        <is>
          <t>Bill</t>
        </is>
      </c>
      <c r="D2579" s="3" t="inlineStr"/>
      <c r="E2579" s="3" t="inlineStr">
        <is>
          <t>Reagentix Corp</t>
        </is>
      </c>
      <c r="F2579" s="3" t="inlineStr">
        <is>
          <t>Lab supplies PO# F2839</t>
        </is>
      </c>
      <c r="G2579" s="3" t="inlineStr">
        <is>
          <t>Reagents</t>
        </is>
      </c>
      <c r="H2579" s="3" t="inlineStr">
        <is>
          <t>Accounts Payable</t>
        </is>
      </c>
      <c r="I2579" s="33" t="n">
        <v>13374.27</v>
      </c>
      <c r="J2579" s="13">
        <f>+J2578+I2579</f>
        <v>291595.24</v>
      </c>
      <c r="K2579" s="19">
        <f>+EOMONTH(B2579,0)</f>
        <v>46295</v>
      </c>
      <c r="L2579" s="3" t="inlineStr">
        <is>
          <t>Accounts Payable</t>
        </is>
      </c>
      <c r="M2579" s="3" t="inlineStr">
        <is>
          <t>Balance Sheet</t>
        </is>
      </c>
    </row>
    <row r="2580">
      <c r="B2580" s="39" t="n">
        <v>46287</v>
      </c>
      <c r="C2580" s="3" t="inlineStr">
        <is>
          <t>Bill</t>
        </is>
      </c>
      <c r="D2580" s="3" t="inlineStr"/>
      <c r="E2580" s="3" t="inlineStr">
        <is>
          <t>Halloway Ridge Realty (rent)</t>
        </is>
      </c>
      <c r="F2580" s="3" t="inlineStr">
        <is>
          <t>Rent – September</t>
        </is>
      </c>
      <c r="G2580" s="3" t="inlineStr">
        <is>
          <t>Rent Expense</t>
        </is>
      </c>
      <c r="H2580" s="3" t="inlineStr">
        <is>
          <t>Accounts Payable</t>
        </is>
      </c>
      <c r="I2580" s="33" t="n">
        <v>11469.45</v>
      </c>
      <c r="J2580" s="13">
        <f>+J2579+I2580</f>
        <v>303064.69</v>
      </c>
      <c r="K2580" s="19">
        <f>+EOMONTH(B2580,0)</f>
        <v>46295</v>
      </c>
      <c r="L2580" s="3" t="inlineStr">
        <is>
          <t>Accounts Payable</t>
        </is>
      </c>
      <c r="M2580" s="3" t="inlineStr">
        <is>
          <t>Balance Sheet</t>
        </is>
      </c>
    </row>
    <row r="2581">
      <c r="B2581" s="39" t="n">
        <v>46287</v>
      </c>
      <c r="C2581" s="3" t="inlineStr">
        <is>
          <t>Bill</t>
        </is>
      </c>
      <c r="D2581" s="3" t="inlineStr"/>
      <c r="E2581" s="3" t="inlineStr">
        <is>
          <t>Tarrowmere Mutual Insurance</t>
        </is>
      </c>
      <c r="F2581" s="3" t="inlineStr">
        <is>
          <t>Benefits – September</t>
        </is>
      </c>
      <c r="G2581" s="3" t="inlineStr">
        <is>
          <t>Benefits</t>
        </is>
      </c>
      <c r="H2581" s="3" t="inlineStr">
        <is>
          <t>Accounts Payable</t>
        </is>
      </c>
      <c r="I2581" s="33" t="n">
        <v>5846.32</v>
      </c>
      <c r="J2581" s="13">
        <f>+J2580+I2581</f>
        <v>308911.01</v>
      </c>
      <c r="K2581" s="19">
        <f>+EOMONTH(B2581,0)</f>
        <v>46295</v>
      </c>
      <c r="L2581" s="3" t="inlineStr">
        <is>
          <t>Accounts Payable</t>
        </is>
      </c>
      <c r="M2581" s="3" t="inlineStr">
        <is>
          <t>Balance Sheet</t>
        </is>
      </c>
    </row>
    <row r="2582">
      <c r="B2582" s="39" t="n">
        <v>46287</v>
      </c>
      <c r="C2582" s="3" t="inlineStr">
        <is>
          <t>Bill Payment (Check)</t>
        </is>
      </c>
      <c r="D2582" s="3" t="inlineStr">
        <is>
          <t>10653</t>
        </is>
      </c>
      <c r="E2582" s="3" t="inlineStr">
        <is>
          <t>Swiftmere Courier</t>
        </is>
      </c>
      <c r="F2582" s="3" t="inlineStr">
        <is>
          <t>Delivery and Transportation – September</t>
        </is>
      </c>
      <c r="G2582" s="3" t="inlineStr">
        <is>
          <t>Checking – Operating</t>
        </is>
      </c>
      <c r="H2582" s="3" t="inlineStr">
        <is>
          <t>Accounts Payable</t>
        </is>
      </c>
      <c r="I2582" s="33" t="n">
        <v>-3777.76</v>
      </c>
      <c r="J2582" s="13">
        <f>+J2581+I2582</f>
        <v>305133.25</v>
      </c>
      <c r="K2582" s="19">
        <f>+EOMONTH(B2582,0)</f>
        <v>46295</v>
      </c>
      <c r="L2582" s="3" t="inlineStr">
        <is>
          <t>Accounts Payable</t>
        </is>
      </c>
      <c r="M2582" s="3" t="inlineStr">
        <is>
          <t>Balance Sheet</t>
        </is>
      </c>
    </row>
    <row r="2583">
      <c r="B2583" s="39" t="n">
        <v>46287</v>
      </c>
      <c r="C2583" s="3" t="inlineStr">
        <is>
          <t>Bill Payment (Check)</t>
        </is>
      </c>
      <c r="D2583" s="3" t="inlineStr">
        <is>
          <t>11164</t>
        </is>
      </c>
      <c r="E2583" s="3" t="inlineStr">
        <is>
          <t>Tarrowmere Mutual Insurance</t>
        </is>
      </c>
      <c r="F2583" s="3" t="inlineStr">
        <is>
          <t>Benefits – August</t>
        </is>
      </c>
      <c r="G2583" s="3" t="inlineStr">
        <is>
          <t>Checking – Operating</t>
        </is>
      </c>
      <c r="H2583" s="3" t="inlineStr">
        <is>
          <t>Accounts Payable</t>
        </is>
      </c>
      <c r="I2583" s="33" t="n">
        <v>-4443.54</v>
      </c>
      <c r="J2583" s="13">
        <f>+J2582+I2583</f>
        <v>300689.71</v>
      </c>
      <c r="K2583" s="19">
        <f>+EOMONTH(B2583,0)</f>
        <v>46295</v>
      </c>
      <c r="L2583" s="3" t="inlineStr">
        <is>
          <t>Accounts Payable</t>
        </is>
      </c>
      <c r="M2583" s="3" t="inlineStr">
        <is>
          <t>Balance Sheet</t>
        </is>
      </c>
    </row>
    <row r="2584">
      <c r="B2584" s="39" t="n">
        <v>46288</v>
      </c>
      <c r="C2584" s="3" t="inlineStr">
        <is>
          <t>Bill</t>
        </is>
      </c>
      <c r="D2584" s="3" t="inlineStr"/>
      <c r="E2584" s="3" t="inlineStr">
        <is>
          <t>Reagentix Corp</t>
        </is>
      </c>
      <c r="F2584" s="3" t="inlineStr">
        <is>
          <t>Lab supplies PO# F2759</t>
        </is>
      </c>
      <c r="G2584" s="3" t="inlineStr">
        <is>
          <t>Lab Supplies</t>
        </is>
      </c>
      <c r="H2584" s="3" t="inlineStr">
        <is>
          <t>Accounts Payable</t>
        </is>
      </c>
      <c r="I2584" s="33" t="n">
        <v>32171.16</v>
      </c>
      <c r="J2584" s="13">
        <f>+J2583+I2584</f>
        <v>332860.87</v>
      </c>
      <c r="K2584" s="19">
        <f>+EOMONTH(B2584,0)</f>
        <v>46295</v>
      </c>
      <c r="L2584" s="3" t="inlineStr">
        <is>
          <t>Accounts Payable</t>
        </is>
      </c>
      <c r="M2584" s="3" t="inlineStr">
        <is>
          <t>Balance Sheet</t>
        </is>
      </c>
    </row>
    <row r="2585">
      <c r="B2585" s="39" t="n">
        <v>46288</v>
      </c>
      <c r="C2585" s="3" t="inlineStr">
        <is>
          <t>Bill</t>
        </is>
      </c>
      <c r="D2585" s="3" t="inlineStr"/>
      <c r="E2585" s="3" t="inlineStr">
        <is>
          <t>Tarrowmere Mutual Insurance</t>
        </is>
      </c>
      <c r="F2585" s="3" t="inlineStr">
        <is>
          <t>Benefits – September</t>
        </is>
      </c>
      <c r="G2585" s="3" t="inlineStr">
        <is>
          <t>Benefits</t>
        </is>
      </c>
      <c r="H2585" s="3" t="inlineStr">
        <is>
          <t>Accounts Payable</t>
        </is>
      </c>
      <c r="I2585" s="33" t="n">
        <v>4944.08</v>
      </c>
      <c r="J2585" s="13">
        <f>+J2584+I2585</f>
        <v>337804.95</v>
      </c>
      <c r="K2585" s="19">
        <f>+EOMONTH(B2585,0)</f>
        <v>46295</v>
      </c>
      <c r="L2585" s="3" t="inlineStr">
        <is>
          <t>Accounts Payable</t>
        </is>
      </c>
      <c r="M2585" s="3" t="inlineStr">
        <is>
          <t>Balance Sheet</t>
        </is>
      </c>
    </row>
    <row r="2586">
      <c r="B2586" s="39" t="n">
        <v>46288</v>
      </c>
      <c r="C2586" s="3" t="inlineStr">
        <is>
          <t>Bill</t>
        </is>
      </c>
      <c r="D2586" s="3" t="inlineStr"/>
      <c r="E2586" s="3" t="inlineStr">
        <is>
          <t>Union Utilities</t>
        </is>
      </c>
      <c r="F2586" s="3" t="inlineStr">
        <is>
          <t>Utilities – September</t>
        </is>
      </c>
      <c r="G2586" s="3" t="inlineStr">
        <is>
          <t>Utilities</t>
        </is>
      </c>
      <c r="H2586" s="3" t="inlineStr">
        <is>
          <t>Accounts Payable</t>
        </is>
      </c>
      <c r="I2586" s="33" t="n">
        <v>7569.46</v>
      </c>
      <c r="J2586" s="13">
        <f>+J2585+I2586</f>
        <v>345374.41</v>
      </c>
      <c r="K2586" s="19">
        <f>+EOMONTH(B2586,0)</f>
        <v>46295</v>
      </c>
      <c r="L2586" s="3" t="inlineStr">
        <is>
          <t>Accounts Payable</t>
        </is>
      </c>
      <c r="M2586" s="3" t="inlineStr">
        <is>
          <t>Balance Sheet</t>
        </is>
      </c>
    </row>
    <row r="2587">
      <c r="B2587" s="39" t="n">
        <v>46288</v>
      </c>
      <c r="C2587" s="3" t="inlineStr">
        <is>
          <t>Bill Payment (Check)</t>
        </is>
      </c>
      <c r="D2587" s="3" t="inlineStr">
        <is>
          <t>10445</t>
        </is>
      </c>
      <c r="E2587" s="3" t="inlineStr">
        <is>
          <t>Reagentix Corp</t>
        </is>
      </c>
      <c r="F2587" s="3" t="inlineStr">
        <is>
          <t>Lab Expenses – August</t>
        </is>
      </c>
      <c r="G2587" s="3" t="inlineStr">
        <is>
          <t>Checking – Operating</t>
        </is>
      </c>
      <c r="H2587" s="3" t="inlineStr">
        <is>
          <t>Accounts Payable</t>
        </is>
      </c>
      <c r="I2587" s="33" t="n">
        <v>-3624.29</v>
      </c>
      <c r="J2587" s="13">
        <f>+J2586+I2587</f>
        <v>341750.12</v>
      </c>
      <c r="K2587" s="19">
        <f>+EOMONTH(B2587,0)</f>
        <v>46295</v>
      </c>
      <c r="L2587" s="3" t="inlineStr">
        <is>
          <t>Accounts Payable</t>
        </is>
      </c>
      <c r="M2587" s="3" t="inlineStr">
        <is>
          <t>Balance Sheet</t>
        </is>
      </c>
    </row>
    <row r="2588">
      <c r="B2588" s="39" t="n">
        <v>46288</v>
      </c>
      <c r="C2588" s="3" t="inlineStr">
        <is>
          <t>Bill Payment (Check)</t>
        </is>
      </c>
      <c r="D2588" s="3" t="inlineStr">
        <is>
          <t>10572</t>
        </is>
      </c>
      <c r="E2588" s="3" t="inlineStr">
        <is>
          <t>Reagentix Corp</t>
        </is>
      </c>
      <c r="F2588" s="3" t="inlineStr">
        <is>
          <t>Lab supplies PO# F2399</t>
        </is>
      </c>
      <c r="G2588" s="3" t="inlineStr">
        <is>
          <t>Checking – Operating</t>
        </is>
      </c>
      <c r="H2588" s="3" t="inlineStr">
        <is>
          <t>Accounts Payable</t>
        </is>
      </c>
      <c r="I2588" s="33" t="n">
        <v>-12304.5</v>
      </c>
      <c r="J2588" s="13">
        <f>+J2587+I2588</f>
        <v>329445.62</v>
      </c>
      <c r="K2588" s="19">
        <f>+EOMONTH(B2588,0)</f>
        <v>46295</v>
      </c>
      <c r="L2588" s="3" t="inlineStr">
        <is>
          <t>Accounts Payable</t>
        </is>
      </c>
      <c r="M2588" s="3" t="inlineStr">
        <is>
          <t>Balance Sheet</t>
        </is>
      </c>
    </row>
    <row r="2589">
      <c r="B2589" s="39" t="n">
        <v>46288</v>
      </c>
      <c r="C2589" s="3" t="inlineStr">
        <is>
          <t>Bill Payment (Check)</t>
        </is>
      </c>
      <c r="D2589" s="3" t="inlineStr">
        <is>
          <t>10652</t>
        </is>
      </c>
      <c r="E2589" s="3" t="inlineStr">
        <is>
          <t>Swiftmere Courier</t>
        </is>
      </c>
      <c r="F2589" s="3" t="inlineStr">
        <is>
          <t>Delivery and Transportation – August</t>
        </is>
      </c>
      <c r="G2589" s="3" t="inlineStr">
        <is>
          <t>Checking – Operating</t>
        </is>
      </c>
      <c r="H2589" s="3" t="inlineStr">
        <is>
          <t>Accounts Payable</t>
        </is>
      </c>
      <c r="I2589" s="33" t="n">
        <v>-3859.26</v>
      </c>
      <c r="J2589" s="13">
        <f>+J2588+I2589</f>
        <v>325586.36</v>
      </c>
      <c r="K2589" s="19">
        <f>+EOMONTH(B2589,0)</f>
        <v>46295</v>
      </c>
      <c r="L2589" s="3" t="inlineStr">
        <is>
          <t>Accounts Payable</t>
        </is>
      </c>
      <c r="M2589" s="3" t="inlineStr">
        <is>
          <t>Balance Sheet</t>
        </is>
      </c>
    </row>
    <row r="2590">
      <c r="B2590" s="39" t="n">
        <v>46288</v>
      </c>
      <c r="C2590" s="3" t="inlineStr">
        <is>
          <t>Bill Payment (Check)</t>
        </is>
      </c>
      <c r="D2590" s="3" t="inlineStr">
        <is>
          <t>10714</t>
        </is>
      </c>
      <c r="E2590" s="3" t="inlineStr">
        <is>
          <t>Tarrowmere Mutual Insurance</t>
        </is>
      </c>
      <c r="F2590" s="3" t="inlineStr">
        <is>
          <t>Premium installment</t>
        </is>
      </c>
      <c r="G2590" s="3" t="inlineStr">
        <is>
          <t>Checking – Operating</t>
        </is>
      </c>
      <c r="H2590" s="3" t="inlineStr">
        <is>
          <t>Accounts Payable</t>
        </is>
      </c>
      <c r="I2590" s="33" t="n">
        <v>-2612.76</v>
      </c>
      <c r="J2590" s="13">
        <f>+J2589+I2590</f>
        <v>322973.6</v>
      </c>
      <c r="K2590" s="19">
        <f>+EOMONTH(B2590,0)</f>
        <v>46295</v>
      </c>
      <c r="L2590" s="3" t="inlineStr">
        <is>
          <t>Accounts Payable</t>
        </is>
      </c>
      <c r="M2590" s="3" t="inlineStr">
        <is>
          <t>Balance Sheet</t>
        </is>
      </c>
    </row>
    <row r="2591">
      <c r="B2591" s="39" t="n">
        <v>46289</v>
      </c>
      <c r="C2591" s="3" t="inlineStr">
        <is>
          <t>Bill</t>
        </is>
      </c>
      <c r="D2591" s="3" t="inlineStr"/>
      <c r="E2591" s="3" t="inlineStr">
        <is>
          <t>Reagentix Corp</t>
        </is>
      </c>
      <c r="F2591" s="3" t="inlineStr">
        <is>
          <t>Lab supplies PO# F2302</t>
        </is>
      </c>
      <c r="G2591" s="3" t="inlineStr">
        <is>
          <t>Reagents</t>
        </is>
      </c>
      <c r="H2591" s="3" t="inlineStr">
        <is>
          <t>Accounts Payable</t>
        </is>
      </c>
      <c r="I2591" s="33" t="n">
        <v>13311.19</v>
      </c>
      <c r="J2591" s="13">
        <f>+J2590+I2591</f>
        <v>336284.79</v>
      </c>
      <c r="K2591" s="19">
        <f>+EOMONTH(B2591,0)</f>
        <v>46295</v>
      </c>
      <c r="L2591" s="3" t="inlineStr">
        <is>
          <t>Accounts Payable</t>
        </is>
      </c>
      <c r="M2591" s="3" t="inlineStr">
        <is>
          <t>Balance Sheet</t>
        </is>
      </c>
    </row>
    <row r="2592">
      <c r="B2592" s="39" t="n">
        <v>46289</v>
      </c>
      <c r="C2592" s="3" t="inlineStr">
        <is>
          <t>Bill</t>
        </is>
      </c>
      <c r="D2592" s="3" t="inlineStr"/>
      <c r="E2592" s="3" t="inlineStr">
        <is>
          <t>Ledgerquill Billing SaaS</t>
        </is>
      </c>
      <c r="F2592" s="3" t="inlineStr">
        <is>
          <t>Billing Software as a Service – September</t>
        </is>
      </c>
      <c r="G2592" s="3" t="inlineStr">
        <is>
          <t>Billing Software as a Service</t>
        </is>
      </c>
      <c r="H2592" s="3" t="inlineStr">
        <is>
          <t>Accounts Payable</t>
        </is>
      </c>
      <c r="I2592" s="33" t="n">
        <v>16348.36</v>
      </c>
      <c r="J2592" s="13">
        <f>+J2591+I2592</f>
        <v>352633.15</v>
      </c>
      <c r="K2592" s="19">
        <f>+EOMONTH(B2592,0)</f>
        <v>46295</v>
      </c>
      <c r="L2592" s="3" t="inlineStr">
        <is>
          <t>Accounts Payable</t>
        </is>
      </c>
      <c r="M2592" s="3" t="inlineStr">
        <is>
          <t>Balance Sheet</t>
        </is>
      </c>
    </row>
    <row r="2593">
      <c r="B2593" s="39" t="n">
        <v>46289</v>
      </c>
      <c r="C2593" s="3" t="inlineStr">
        <is>
          <t>Bill Payment (Check)</t>
        </is>
      </c>
      <c r="D2593" s="3" t="inlineStr">
        <is>
          <t>10489</t>
        </is>
      </c>
      <c r="E2593" s="3" t="inlineStr">
        <is>
          <t>Vialtrace Lab Supplies Inc</t>
        </is>
      </c>
      <c r="F2593" s="3" t="inlineStr">
        <is>
          <t>Lab supplies PO# F2285</t>
        </is>
      </c>
      <c r="G2593" s="3" t="inlineStr">
        <is>
          <t>Checking – Operating</t>
        </is>
      </c>
      <c r="H2593" s="3" t="inlineStr">
        <is>
          <t>Accounts Payable</t>
        </is>
      </c>
      <c r="I2593" s="33" t="n">
        <v>-40498.84</v>
      </c>
      <c r="J2593" s="13">
        <f>+J2592+I2593</f>
        <v>312134.31</v>
      </c>
      <c r="K2593" s="19">
        <f>+EOMONTH(B2593,0)</f>
        <v>46295</v>
      </c>
      <c r="L2593" s="3" t="inlineStr">
        <is>
          <t>Accounts Payable</t>
        </is>
      </c>
      <c r="M2593" s="3" t="inlineStr">
        <is>
          <t>Balance Sheet</t>
        </is>
      </c>
    </row>
    <row r="2594">
      <c r="B2594" s="39" t="n">
        <v>46290</v>
      </c>
      <c r="C2594" s="3" t="inlineStr">
        <is>
          <t>Bill</t>
        </is>
      </c>
      <c r="D2594" s="3" t="inlineStr"/>
      <c r="E2594" s="3" t="inlineStr">
        <is>
          <t>Reference Lab A</t>
        </is>
      </c>
      <c r="F2594" s="3" t="inlineStr">
        <is>
          <t>Send-out testing – September</t>
        </is>
      </c>
      <c r="G2594" s="3" t="inlineStr">
        <is>
          <t>Laboratory Fees</t>
        </is>
      </c>
      <c r="H2594" s="3" t="inlineStr">
        <is>
          <t>Accounts Payable</t>
        </is>
      </c>
      <c r="I2594" s="33" t="n">
        <v>19056.42</v>
      </c>
      <c r="J2594" s="13">
        <f>+J2593+I2594</f>
        <v>331190.73</v>
      </c>
      <c r="K2594" s="19">
        <f>+EOMONTH(B2594,0)</f>
        <v>46295</v>
      </c>
      <c r="L2594" s="3" t="inlineStr">
        <is>
          <t>Accounts Payable</t>
        </is>
      </c>
      <c r="M2594" s="3" t="inlineStr">
        <is>
          <t>Balance Sheet</t>
        </is>
      </c>
    </row>
    <row r="2595">
      <c r="B2595" s="39" t="n">
        <v>46290</v>
      </c>
      <c r="C2595" s="3" t="inlineStr">
        <is>
          <t>Bill</t>
        </is>
      </c>
      <c r="D2595" s="3" t="inlineStr"/>
      <c r="E2595" s="3" t="inlineStr">
        <is>
          <t>Halloway Ridge Realty (rent)</t>
        </is>
      </c>
      <c r="F2595" s="3" t="inlineStr">
        <is>
          <t>Rent – September</t>
        </is>
      </c>
      <c r="G2595" s="3" t="inlineStr">
        <is>
          <t>Rent Expense</t>
        </is>
      </c>
      <c r="H2595" s="3" t="inlineStr">
        <is>
          <t>Accounts Payable</t>
        </is>
      </c>
      <c r="I2595" s="33" t="n">
        <v>19130.3</v>
      </c>
      <c r="J2595" s="13">
        <f>+J2594+I2595</f>
        <v>350321.03</v>
      </c>
      <c r="K2595" s="19">
        <f>+EOMONTH(B2595,0)</f>
        <v>46295</v>
      </c>
      <c r="L2595" s="3" t="inlineStr">
        <is>
          <t>Accounts Payable</t>
        </is>
      </c>
      <c r="M2595" s="3" t="inlineStr">
        <is>
          <t>Balance Sheet</t>
        </is>
      </c>
    </row>
    <row r="2596">
      <c r="B2596" s="39" t="n">
        <v>46291</v>
      </c>
      <c r="C2596" s="3" t="inlineStr">
        <is>
          <t>Bill</t>
        </is>
      </c>
      <c r="D2596" s="3" t="inlineStr"/>
      <c r="E2596" s="3" t="inlineStr">
        <is>
          <t>Ledgerquill Billing SaaS</t>
        </is>
      </c>
      <c r="F2596" s="3" t="inlineStr">
        <is>
          <t>Billing Software as a Service – September</t>
        </is>
      </c>
      <c r="G2596" s="3" t="inlineStr">
        <is>
          <t>Billing Software as a Service</t>
        </is>
      </c>
      <c r="H2596" s="3" t="inlineStr">
        <is>
          <t>Accounts Payable</t>
        </is>
      </c>
      <c r="I2596" s="33" t="n">
        <v>10889.15</v>
      </c>
      <c r="J2596" s="13">
        <f>+J2595+I2596</f>
        <v>361210.18</v>
      </c>
      <c r="K2596" s="19">
        <f>+EOMONTH(B2596,0)</f>
        <v>46295</v>
      </c>
      <c r="L2596" s="3" t="inlineStr">
        <is>
          <t>Accounts Payable</t>
        </is>
      </c>
      <c r="M2596" s="3" t="inlineStr">
        <is>
          <t>Balance Sheet</t>
        </is>
      </c>
    </row>
    <row r="2597">
      <c r="B2597" s="39" t="n">
        <v>46291</v>
      </c>
      <c r="C2597" s="3" t="inlineStr">
        <is>
          <t>Bill Payment (Check)</t>
        </is>
      </c>
      <c r="D2597" s="3" t="inlineStr">
        <is>
          <t>10684</t>
        </is>
      </c>
      <c r="E2597" s="3" t="inlineStr">
        <is>
          <t>Lumenlease Equipment</t>
        </is>
      </c>
      <c r="F2597" s="3" t="inlineStr">
        <is>
          <t>Lab Equipment – September</t>
        </is>
      </c>
      <c r="G2597" s="3" t="inlineStr">
        <is>
          <t>Checking – Operating</t>
        </is>
      </c>
      <c r="H2597" s="3" t="inlineStr">
        <is>
          <t>Accounts Payable</t>
        </is>
      </c>
      <c r="I2597" s="33" t="n">
        <v>-1893.03</v>
      </c>
      <c r="J2597" s="13">
        <f>+J2596+I2597</f>
        <v>359317.15</v>
      </c>
      <c r="K2597" s="19">
        <f>+EOMONTH(B2597,0)</f>
        <v>46295</v>
      </c>
      <c r="L2597" s="3" t="inlineStr">
        <is>
          <t>Accounts Payable</t>
        </is>
      </c>
      <c r="M2597" s="3" t="inlineStr">
        <is>
          <t>Balance Sheet</t>
        </is>
      </c>
    </row>
    <row r="2598">
      <c r="B2598" s="39" t="n">
        <v>46291</v>
      </c>
      <c r="C2598" s="3" t="inlineStr">
        <is>
          <t>Bill Payment (Check)</t>
        </is>
      </c>
      <c r="D2598" s="3" t="inlineStr">
        <is>
          <t>11254</t>
        </is>
      </c>
      <c r="E2598" s="3" t="inlineStr">
        <is>
          <t>Ledgerquill Billing SaaS</t>
        </is>
      </c>
      <c r="F2598" s="3" t="inlineStr">
        <is>
          <t>Billing Software as a Service – September</t>
        </is>
      </c>
      <c r="G2598" s="3" t="inlineStr">
        <is>
          <t>Checking – Operating</t>
        </is>
      </c>
      <c r="H2598" s="3" t="inlineStr">
        <is>
          <t>Accounts Payable</t>
        </is>
      </c>
      <c r="I2598" s="33" t="n">
        <v>-10389.61</v>
      </c>
      <c r="J2598" s="13">
        <f>+J2597+I2598</f>
        <v>348927.54</v>
      </c>
      <c r="K2598" s="19">
        <f>+EOMONTH(B2598,0)</f>
        <v>46295</v>
      </c>
      <c r="L2598" s="3" t="inlineStr">
        <is>
          <t>Accounts Payable</t>
        </is>
      </c>
      <c r="M2598" s="3" t="inlineStr">
        <is>
          <t>Balance Sheet</t>
        </is>
      </c>
    </row>
    <row r="2599">
      <c r="B2599" s="39" t="n">
        <v>46292</v>
      </c>
      <c r="C2599" s="3" t="inlineStr">
        <is>
          <t>Bill</t>
        </is>
      </c>
      <c r="D2599" s="3" t="inlineStr"/>
      <c r="E2599" s="3" t="inlineStr">
        <is>
          <t>Vialtrace Lab Supplies Inc</t>
        </is>
      </c>
      <c r="F2599" s="3" t="inlineStr">
        <is>
          <t>Lab Expenses – September</t>
        </is>
      </c>
      <c r="G2599" s="3" t="inlineStr">
        <is>
          <t>Lab Expenses</t>
        </is>
      </c>
      <c r="H2599" s="3" t="inlineStr">
        <is>
          <t>Accounts Payable</t>
        </is>
      </c>
      <c r="I2599" s="33" t="n">
        <v>5566.56</v>
      </c>
      <c r="J2599" s="13">
        <f>+J2598+I2599</f>
        <v>354494.1</v>
      </c>
      <c r="K2599" s="19">
        <f>+EOMONTH(B2599,0)</f>
        <v>46295</v>
      </c>
      <c r="L2599" s="3" t="inlineStr">
        <is>
          <t>Accounts Payable</t>
        </is>
      </c>
      <c r="M2599" s="3" t="inlineStr">
        <is>
          <t>Balance Sheet</t>
        </is>
      </c>
    </row>
    <row r="2600">
      <c r="B2600" s="39" t="n">
        <v>46292</v>
      </c>
      <c r="C2600" s="3" t="inlineStr">
        <is>
          <t>Bill</t>
        </is>
      </c>
      <c r="D2600" s="3" t="inlineStr"/>
      <c r="E2600" s="3" t="inlineStr">
        <is>
          <t>Swiftmere Courier</t>
        </is>
      </c>
      <c r="F2600" s="3" t="inlineStr">
        <is>
          <t>Delivery and Transportation – September</t>
        </is>
      </c>
      <c r="G2600" s="3" t="inlineStr">
        <is>
          <t>Delivery and Transportation</t>
        </is>
      </c>
      <c r="H2600" s="3" t="inlineStr">
        <is>
          <t>Accounts Payable</t>
        </is>
      </c>
      <c r="I2600" s="33" t="n">
        <v>3792.33</v>
      </c>
      <c r="J2600" s="13">
        <f>+J2599+I2600</f>
        <v>358286.43</v>
      </c>
      <c r="K2600" s="19">
        <f>+EOMONTH(B2600,0)</f>
        <v>46295</v>
      </c>
      <c r="L2600" s="3" t="inlineStr">
        <is>
          <t>Accounts Payable</t>
        </is>
      </c>
      <c r="M2600" s="3" t="inlineStr">
        <is>
          <t>Balance Sheet</t>
        </is>
      </c>
    </row>
    <row r="2601">
      <c r="B2601" s="39" t="n">
        <v>46292</v>
      </c>
      <c r="C2601" s="3" t="inlineStr">
        <is>
          <t>Bill</t>
        </is>
      </c>
      <c r="D2601" s="3" t="inlineStr"/>
      <c r="E2601" s="3" t="inlineStr">
        <is>
          <t>Lumenlease Equipment</t>
        </is>
      </c>
      <c r="F2601" s="3" t="inlineStr">
        <is>
          <t>Lab Equipment – September</t>
        </is>
      </c>
      <c r="G2601" s="3" t="inlineStr">
        <is>
          <t>Lab Equipment</t>
        </is>
      </c>
      <c r="H2601" s="3" t="inlineStr">
        <is>
          <t>Accounts Payable</t>
        </is>
      </c>
      <c r="I2601" s="33" t="n">
        <v>3624.67</v>
      </c>
      <c r="J2601" s="13">
        <f>+J2600+I2601</f>
        <v>361911.1</v>
      </c>
      <c r="K2601" s="19">
        <f>+EOMONTH(B2601,0)</f>
        <v>46295</v>
      </c>
      <c r="L2601" s="3" t="inlineStr">
        <is>
          <t>Accounts Payable</t>
        </is>
      </c>
      <c r="M2601" s="3" t="inlineStr">
        <is>
          <t>Balance Sheet</t>
        </is>
      </c>
    </row>
    <row r="2602">
      <c r="B2602" s="39" t="n">
        <v>46292</v>
      </c>
      <c r="C2602" s="3" t="inlineStr">
        <is>
          <t>Bill Payment (Check)</t>
        </is>
      </c>
      <c r="D2602" s="3" t="inlineStr">
        <is>
          <t>10989</t>
        </is>
      </c>
      <c r="E2602" s="3" t="inlineStr">
        <is>
          <t>Northmoor Waste Services</t>
        </is>
      </c>
      <c r="F2602" s="3" t="inlineStr">
        <is>
          <t>Hazard Waste – September</t>
        </is>
      </c>
      <c r="G2602" s="3" t="inlineStr">
        <is>
          <t>Checking – Operating</t>
        </is>
      </c>
      <c r="H2602" s="3" t="inlineStr">
        <is>
          <t>Accounts Payable</t>
        </is>
      </c>
      <c r="I2602" s="33" t="n">
        <v>-1890.13</v>
      </c>
      <c r="J2602" s="13">
        <f>+J2601+I2602</f>
        <v>360020.97</v>
      </c>
      <c r="K2602" s="19">
        <f>+EOMONTH(B2602,0)</f>
        <v>46295</v>
      </c>
      <c r="L2602" s="3" t="inlineStr">
        <is>
          <t>Accounts Payable</t>
        </is>
      </c>
      <c r="M2602" s="3" t="inlineStr">
        <is>
          <t>Balance Sheet</t>
        </is>
      </c>
    </row>
    <row r="2603">
      <c r="B2603" s="39" t="n">
        <v>46293</v>
      </c>
      <c r="C2603" s="3" t="inlineStr">
        <is>
          <t>Bill</t>
        </is>
      </c>
      <c r="D2603" s="3" t="inlineStr"/>
      <c r="E2603" s="3" t="inlineStr">
        <is>
          <t>Vialtrace Lab Supplies Inc</t>
        </is>
      </c>
      <c r="F2603" s="3" t="inlineStr">
        <is>
          <t>Lab Expenses – September</t>
        </is>
      </c>
      <c r="G2603" s="3" t="inlineStr">
        <is>
          <t>Lab Expenses</t>
        </is>
      </c>
      <c r="H2603" s="3" t="inlineStr">
        <is>
          <t>Accounts Payable</t>
        </is>
      </c>
      <c r="I2603" s="33" t="n">
        <v>5064.22</v>
      </c>
      <c r="J2603" s="13">
        <f>+J2602+I2603</f>
        <v>365085.19</v>
      </c>
      <c r="K2603" s="19">
        <f>+EOMONTH(B2603,0)</f>
        <v>46295</v>
      </c>
      <c r="L2603" s="3" t="inlineStr">
        <is>
          <t>Accounts Payable</t>
        </is>
      </c>
      <c r="M2603" s="3" t="inlineStr">
        <is>
          <t>Balance Sheet</t>
        </is>
      </c>
    </row>
    <row r="2604">
      <c r="B2604" s="39" t="n">
        <v>46293</v>
      </c>
      <c r="C2604" s="3" t="inlineStr">
        <is>
          <t>Bill Payment (Check)</t>
        </is>
      </c>
      <c r="D2604" s="3" t="inlineStr">
        <is>
          <t>10923</t>
        </is>
      </c>
      <c r="E2604" s="3" t="inlineStr">
        <is>
          <t>Halloway Ridge Realty (rent)</t>
        </is>
      </c>
      <c r="F2604" s="3" t="inlineStr">
        <is>
          <t>Rent – August</t>
        </is>
      </c>
      <c r="G2604" s="3" t="inlineStr">
        <is>
          <t>Checking – Operating</t>
        </is>
      </c>
      <c r="H2604" s="3" t="inlineStr">
        <is>
          <t>Accounts Payable</t>
        </is>
      </c>
      <c r="I2604" s="33" t="n">
        <v>-11474.47</v>
      </c>
      <c r="J2604" s="13">
        <f>+J2603+I2604</f>
        <v>353610.72</v>
      </c>
      <c r="K2604" s="19">
        <f>+EOMONTH(B2604,0)</f>
        <v>46295</v>
      </c>
      <c r="L2604" s="3" t="inlineStr">
        <is>
          <t>Accounts Payable</t>
        </is>
      </c>
      <c r="M2604" s="3" t="inlineStr">
        <is>
          <t>Balance Sheet</t>
        </is>
      </c>
    </row>
    <row r="2605">
      <c r="B2605" s="39" t="n">
        <v>46293</v>
      </c>
      <c r="C2605" s="3" t="inlineStr">
        <is>
          <t>Bill Payment (Check)</t>
        </is>
      </c>
      <c r="D2605" s="3" t="inlineStr">
        <is>
          <t>11161</t>
        </is>
      </c>
      <c r="E2605" s="3" t="inlineStr">
        <is>
          <t>Tarrowmere Mutual Insurance</t>
        </is>
      </c>
      <c r="F2605" s="3" t="inlineStr">
        <is>
          <t>Benefits – August</t>
        </is>
      </c>
      <c r="G2605" s="3" t="inlineStr">
        <is>
          <t>Checking – Operating</t>
        </is>
      </c>
      <c r="H2605" s="3" t="inlineStr">
        <is>
          <t>Accounts Payable</t>
        </is>
      </c>
      <c r="I2605" s="33" t="n">
        <v>-4855.93</v>
      </c>
      <c r="J2605" s="13">
        <f>+J2604+I2605</f>
        <v>348754.79</v>
      </c>
      <c r="K2605" s="19">
        <f>+EOMONTH(B2605,0)</f>
        <v>46295</v>
      </c>
      <c r="L2605" s="3" t="inlineStr">
        <is>
          <t>Accounts Payable</t>
        </is>
      </c>
      <c r="M2605" s="3" t="inlineStr">
        <is>
          <t>Balance Sheet</t>
        </is>
      </c>
    </row>
    <row r="2606">
      <c r="B2606" s="39" t="n">
        <v>46293</v>
      </c>
      <c r="C2606" s="3" t="inlineStr">
        <is>
          <t>Bill Payment (Check)</t>
        </is>
      </c>
      <c r="D2606" s="3" t="inlineStr">
        <is>
          <t>11166</t>
        </is>
      </c>
      <c r="E2606" s="3" t="inlineStr">
        <is>
          <t>Tarrowmere Mutual Insurance</t>
        </is>
      </c>
      <c r="F2606" s="3" t="inlineStr">
        <is>
          <t>Benefits – September</t>
        </is>
      </c>
      <c r="G2606" s="3" t="inlineStr">
        <is>
          <t>Checking – Operating</t>
        </is>
      </c>
      <c r="H2606" s="3" t="inlineStr">
        <is>
          <t>Accounts Payable</t>
        </is>
      </c>
      <c r="I2606" s="33" t="n">
        <v>-3450.84</v>
      </c>
      <c r="J2606" s="13">
        <f>+J2605+I2606</f>
        <v>345303.95</v>
      </c>
      <c r="K2606" s="19">
        <f>+EOMONTH(B2606,0)</f>
        <v>46295</v>
      </c>
      <c r="L2606" s="3" t="inlineStr">
        <is>
          <t>Accounts Payable</t>
        </is>
      </c>
      <c r="M2606" s="3" t="inlineStr">
        <is>
          <t>Balance Sheet</t>
        </is>
      </c>
    </row>
    <row r="2607">
      <c r="B2607" s="39" t="n">
        <v>46293</v>
      </c>
      <c r="C2607" s="3" t="inlineStr">
        <is>
          <t>Bill Payment (Check)</t>
        </is>
      </c>
      <c r="D2607" s="3" t="inlineStr">
        <is>
          <t>11167</t>
        </is>
      </c>
      <c r="E2607" s="3" t="inlineStr">
        <is>
          <t>Tarrowmere Mutual Insurance</t>
        </is>
      </c>
      <c r="F2607" s="3" t="inlineStr">
        <is>
          <t>Benefits – September</t>
        </is>
      </c>
      <c r="G2607" s="3" t="inlineStr">
        <is>
          <t>Checking – Operating</t>
        </is>
      </c>
      <c r="H2607" s="3" t="inlineStr">
        <is>
          <t>Accounts Payable</t>
        </is>
      </c>
      <c r="I2607" s="33" t="n">
        <v>-4217.08</v>
      </c>
      <c r="J2607" s="13">
        <f>+J2606+I2607</f>
        <v>341086.87</v>
      </c>
      <c r="K2607" s="19">
        <f>+EOMONTH(B2607,0)</f>
        <v>46295</v>
      </c>
      <c r="L2607" s="3" t="inlineStr">
        <is>
          <t>Accounts Payable</t>
        </is>
      </c>
      <c r="M2607" s="3" t="inlineStr">
        <is>
          <t>Balance Sheet</t>
        </is>
      </c>
    </row>
    <row r="2608">
      <c r="B2608" s="39" t="n">
        <v>46294</v>
      </c>
      <c r="C2608" s="3" t="inlineStr">
        <is>
          <t>Bill Payment (Check)</t>
        </is>
      </c>
      <c r="D2608" s="3" t="inlineStr">
        <is>
          <t>10529</t>
        </is>
      </c>
      <c r="E2608" s="3" t="inlineStr">
        <is>
          <t>Reference Lab A</t>
        </is>
      </c>
      <c r="F2608" s="3" t="inlineStr">
        <is>
          <t>Send-out testing – September</t>
        </is>
      </c>
      <c r="G2608" s="3" t="inlineStr">
        <is>
          <t>Checking – Operating</t>
        </is>
      </c>
      <c r="H2608" s="3" t="inlineStr">
        <is>
          <t>Accounts Payable</t>
        </is>
      </c>
      <c r="I2608" s="33" t="n">
        <v>-31821.69</v>
      </c>
      <c r="J2608" s="13">
        <f>+J2607+I2608</f>
        <v>309265.18</v>
      </c>
      <c r="K2608" s="19">
        <f>+EOMONTH(B2608,0)</f>
        <v>46295</v>
      </c>
      <c r="L2608" s="3" t="inlineStr">
        <is>
          <t>Accounts Payable</t>
        </is>
      </c>
      <c r="M2608" s="3" t="inlineStr">
        <is>
          <t>Balance Sheet</t>
        </is>
      </c>
    </row>
    <row r="2609">
      <c r="B2609" s="39" t="n">
        <v>46294</v>
      </c>
      <c r="C2609" s="3" t="inlineStr">
        <is>
          <t>Bill Payment (Check)</t>
        </is>
      </c>
      <c r="D2609" s="3" t="inlineStr">
        <is>
          <t>10531</t>
        </is>
      </c>
      <c r="E2609" s="3" t="inlineStr">
        <is>
          <t>Reference Lab A</t>
        </is>
      </c>
      <c r="F2609" s="3" t="inlineStr">
        <is>
          <t>Send-out testing – September</t>
        </is>
      </c>
      <c r="G2609" s="3" t="inlineStr">
        <is>
          <t>Checking – Operating</t>
        </is>
      </c>
      <c r="H2609" s="3" t="inlineStr">
        <is>
          <t>Accounts Payable</t>
        </is>
      </c>
      <c r="I2609" s="33" t="n">
        <v>-23880.59</v>
      </c>
      <c r="J2609" s="13">
        <f>+J2608+I2609</f>
        <v>285384.59</v>
      </c>
      <c r="K2609" s="19">
        <f>+EOMONTH(B2609,0)</f>
        <v>46295</v>
      </c>
      <c r="L2609" s="3" t="inlineStr">
        <is>
          <t>Accounts Payable</t>
        </is>
      </c>
      <c r="M2609" s="3" t="inlineStr">
        <is>
          <t>Balance Sheet</t>
        </is>
      </c>
    </row>
    <row r="2610">
      <c r="B2610" s="39" t="n">
        <v>46294</v>
      </c>
      <c r="C2610" s="3" t="inlineStr">
        <is>
          <t>Bill Payment (Check)</t>
        </is>
      </c>
      <c r="D2610" s="3" t="inlineStr">
        <is>
          <t>10720</t>
        </is>
      </c>
      <c r="E2610" s="3" t="inlineStr">
        <is>
          <t>Tarrowmere Mutual Insurance</t>
        </is>
      </c>
      <c r="F2610" s="3" t="inlineStr">
        <is>
          <t>Premium installment</t>
        </is>
      </c>
      <c r="G2610" s="3" t="inlineStr">
        <is>
          <t>Checking – Operating</t>
        </is>
      </c>
      <c r="H2610" s="3" t="inlineStr">
        <is>
          <t>Accounts Payable</t>
        </is>
      </c>
      <c r="I2610" s="33" t="n">
        <v>-8709.85</v>
      </c>
      <c r="J2610" s="13">
        <f>+J2609+I2610</f>
        <v>276674.74</v>
      </c>
      <c r="K2610" s="19">
        <f>+EOMONTH(B2610,0)</f>
        <v>46295</v>
      </c>
      <c r="L2610" s="3" t="inlineStr">
        <is>
          <t>Accounts Payable</t>
        </is>
      </c>
      <c r="M2610" s="3" t="inlineStr">
        <is>
          <t>Balance Sheet</t>
        </is>
      </c>
    </row>
    <row r="2611">
      <c r="B2611" s="39" t="n">
        <v>46297</v>
      </c>
      <c r="C2611" s="3" t="inlineStr">
        <is>
          <t>Bill</t>
        </is>
      </c>
      <c r="D2611" s="3" t="inlineStr"/>
      <c r="E2611" s="3" t="inlineStr">
        <is>
          <t>Reagentix Corp</t>
        </is>
      </c>
      <c r="F2611" s="3" t="inlineStr">
        <is>
          <t>Lab supplies PO# F2457</t>
        </is>
      </c>
      <c r="G2611" s="3" t="inlineStr">
        <is>
          <t>Reagents</t>
        </is>
      </c>
      <c r="H2611" s="3" t="inlineStr">
        <is>
          <t>Accounts Payable</t>
        </is>
      </c>
      <c r="I2611" s="33" t="n">
        <v>13538.38</v>
      </c>
      <c r="J2611" s="13">
        <f>+J2610+I2611</f>
        <v>290213.12</v>
      </c>
      <c r="K2611" s="19">
        <f>+EOMONTH(B2611,0)</f>
        <v>46326</v>
      </c>
      <c r="L2611" s="3" t="inlineStr">
        <is>
          <t>Accounts Payable</t>
        </is>
      </c>
      <c r="M2611" s="3" t="inlineStr">
        <is>
          <t>Balance Sheet</t>
        </is>
      </c>
    </row>
    <row r="2612">
      <c r="B2612" s="39" t="n">
        <v>46297</v>
      </c>
      <c r="C2612" s="3" t="inlineStr">
        <is>
          <t>Bill Payment (Check)</t>
        </is>
      </c>
      <c r="D2612" s="3" t="inlineStr">
        <is>
          <t>10718</t>
        </is>
      </c>
      <c r="E2612" s="3" t="inlineStr">
        <is>
          <t>Tarrowmere Mutual Insurance</t>
        </is>
      </c>
      <c r="F2612" s="3" t="inlineStr">
        <is>
          <t>Premium installment</t>
        </is>
      </c>
      <c r="G2612" s="3" t="inlineStr">
        <is>
          <t>Checking – Operating</t>
        </is>
      </c>
      <c r="H2612" s="3" t="inlineStr">
        <is>
          <t>Accounts Payable</t>
        </is>
      </c>
      <c r="I2612" s="33" t="n">
        <v>-5269.35</v>
      </c>
      <c r="J2612" s="13">
        <f>+J2611+I2612</f>
        <v>284943.77</v>
      </c>
      <c r="K2612" s="19">
        <f>+EOMONTH(B2612,0)</f>
        <v>46326</v>
      </c>
      <c r="L2612" s="3" t="inlineStr">
        <is>
          <t>Accounts Payable</t>
        </is>
      </c>
      <c r="M2612" s="3" t="inlineStr">
        <is>
          <t>Balance Sheet</t>
        </is>
      </c>
    </row>
    <row r="2613">
      <c r="B2613" s="39" t="n">
        <v>46298</v>
      </c>
      <c r="C2613" s="3" t="inlineStr">
        <is>
          <t>Bill</t>
        </is>
      </c>
      <c r="D2613" s="3" t="inlineStr"/>
      <c r="E2613" s="3" t="inlineStr">
        <is>
          <t>Northmoor Waste Services</t>
        </is>
      </c>
      <c r="F2613" s="3" t="inlineStr">
        <is>
          <t>Hazard Waste – October</t>
        </is>
      </c>
      <c r="G2613" s="3" t="inlineStr">
        <is>
          <t>Hazard Waste</t>
        </is>
      </c>
      <c r="H2613" s="3" t="inlineStr">
        <is>
          <t>Accounts Payable</t>
        </is>
      </c>
      <c r="I2613" s="33" t="n">
        <v>1978.98</v>
      </c>
      <c r="J2613" s="13">
        <f>+J2612+I2613</f>
        <v>286922.75</v>
      </c>
      <c r="K2613" s="19">
        <f>+EOMONTH(B2613,0)</f>
        <v>46326</v>
      </c>
      <c r="L2613" s="3" t="inlineStr">
        <is>
          <t>Accounts Payable</t>
        </is>
      </c>
      <c r="M2613" s="3" t="inlineStr">
        <is>
          <t>Balance Sheet</t>
        </is>
      </c>
    </row>
    <row r="2614">
      <c r="B2614" s="39" t="n">
        <v>46299</v>
      </c>
      <c r="C2614" s="3" t="inlineStr">
        <is>
          <t>Bill</t>
        </is>
      </c>
      <c r="D2614" s="3" t="inlineStr"/>
      <c r="E2614" s="3" t="inlineStr">
        <is>
          <t>Vialtrace Lab Supplies Inc</t>
        </is>
      </c>
      <c r="F2614" s="3" t="inlineStr">
        <is>
          <t>Lab supplies PO# F2741</t>
        </is>
      </c>
      <c r="G2614" s="3" t="inlineStr">
        <is>
          <t>Lab Supplies</t>
        </is>
      </c>
      <c r="H2614" s="3" t="inlineStr">
        <is>
          <t>Accounts Payable</t>
        </is>
      </c>
      <c r="I2614" s="33" t="n">
        <v>29847.56</v>
      </c>
      <c r="J2614" s="13">
        <f>+J2613+I2614</f>
        <v>316770.31</v>
      </c>
      <c r="K2614" s="19">
        <f>+EOMONTH(B2614,0)</f>
        <v>46326</v>
      </c>
      <c r="L2614" s="3" t="inlineStr">
        <is>
          <t>Accounts Payable</t>
        </is>
      </c>
      <c r="M2614" s="3" t="inlineStr">
        <is>
          <t>Balance Sheet</t>
        </is>
      </c>
    </row>
    <row r="2615">
      <c r="B2615" s="39" t="n">
        <v>46299</v>
      </c>
      <c r="C2615" s="3" t="inlineStr">
        <is>
          <t>Bill</t>
        </is>
      </c>
      <c r="D2615" s="3" t="inlineStr"/>
      <c r="E2615" s="3" t="inlineStr">
        <is>
          <t>Tarrowmere Mutual Insurance</t>
        </is>
      </c>
      <c r="F2615" s="3" t="inlineStr">
        <is>
          <t>Benefits – October</t>
        </is>
      </c>
      <c r="G2615" s="3" t="inlineStr">
        <is>
          <t>Benefits</t>
        </is>
      </c>
      <c r="H2615" s="3" t="inlineStr">
        <is>
          <t>Accounts Payable</t>
        </is>
      </c>
      <c r="I2615" s="33" t="n">
        <v>3767.86</v>
      </c>
      <c r="J2615" s="13">
        <f>+J2614+I2615</f>
        <v>320538.17</v>
      </c>
      <c r="K2615" s="19">
        <f>+EOMONTH(B2615,0)</f>
        <v>46326</v>
      </c>
      <c r="L2615" s="3" t="inlineStr">
        <is>
          <t>Accounts Payable</t>
        </is>
      </c>
      <c r="M2615" s="3" t="inlineStr">
        <is>
          <t>Balance Sheet</t>
        </is>
      </c>
    </row>
    <row r="2616">
      <c r="B2616" s="39" t="n">
        <v>46299</v>
      </c>
      <c r="C2616" s="3" t="inlineStr">
        <is>
          <t>Bill Payment (Check)</t>
        </is>
      </c>
      <c r="D2616" s="3" t="inlineStr">
        <is>
          <t>11169</t>
        </is>
      </c>
      <c r="E2616" s="3" t="inlineStr">
        <is>
          <t>Tarrowmere Mutual Insurance</t>
        </is>
      </c>
      <c r="F2616" s="3" t="inlineStr">
        <is>
          <t>Benefits – September</t>
        </is>
      </c>
      <c r="G2616" s="3" t="inlineStr">
        <is>
          <t>Checking – Operating</t>
        </is>
      </c>
      <c r="H2616" s="3" t="inlineStr">
        <is>
          <t>Accounts Payable</t>
        </is>
      </c>
      <c r="I2616" s="33" t="n">
        <v>-5846.32</v>
      </c>
      <c r="J2616" s="13">
        <f>+J2615+I2616</f>
        <v>314691.85</v>
      </c>
      <c r="K2616" s="19">
        <f>+EOMONTH(B2616,0)</f>
        <v>46326</v>
      </c>
      <c r="L2616" s="3" t="inlineStr">
        <is>
          <t>Accounts Payable</t>
        </is>
      </c>
      <c r="M2616" s="3" t="inlineStr">
        <is>
          <t>Balance Sheet</t>
        </is>
      </c>
    </row>
    <row r="2617">
      <c r="B2617" s="39" t="n">
        <v>46300</v>
      </c>
      <c r="C2617" s="3" t="inlineStr">
        <is>
          <t>Bill</t>
        </is>
      </c>
      <c r="D2617" s="3" t="inlineStr"/>
      <c r="E2617" s="3" t="inlineStr">
        <is>
          <t>Reference Lab A</t>
        </is>
      </c>
      <c r="F2617" s="3" t="inlineStr">
        <is>
          <t>Send-out testing – October</t>
        </is>
      </c>
      <c r="G2617" s="3" t="inlineStr">
        <is>
          <t>Laboratory Fees</t>
        </is>
      </c>
      <c r="H2617" s="3" t="inlineStr">
        <is>
          <t>Accounts Payable</t>
        </is>
      </c>
      <c r="I2617" s="33" t="n">
        <v>12479.86</v>
      </c>
      <c r="J2617" s="13">
        <f>+J2616+I2617</f>
        <v>327171.71</v>
      </c>
      <c r="K2617" s="19">
        <f>+EOMONTH(B2617,0)</f>
        <v>46326</v>
      </c>
      <c r="L2617" s="3" t="inlineStr">
        <is>
          <t>Accounts Payable</t>
        </is>
      </c>
      <c r="M2617" s="3" t="inlineStr">
        <is>
          <t>Balance Sheet</t>
        </is>
      </c>
    </row>
    <row r="2618">
      <c r="B2618" s="39" t="n">
        <v>46300</v>
      </c>
      <c r="C2618" s="3" t="inlineStr">
        <is>
          <t>Bill Payment (Check)</t>
        </is>
      </c>
      <c r="D2618" s="3" t="inlineStr">
        <is>
          <t>10575</t>
        </is>
      </c>
      <c r="E2618" s="3" t="inlineStr">
        <is>
          <t>Reagentix Corp</t>
        </is>
      </c>
      <c r="F2618" s="3" t="inlineStr">
        <is>
          <t>Lab supplies PO# F2839</t>
        </is>
      </c>
      <c r="G2618" s="3" t="inlineStr">
        <is>
          <t>Checking – Operating</t>
        </is>
      </c>
      <c r="H2618" s="3" t="inlineStr">
        <is>
          <t>Accounts Payable</t>
        </is>
      </c>
      <c r="I2618" s="33" t="n">
        <v>-13374.27</v>
      </c>
      <c r="J2618" s="13">
        <f>+J2617+I2618</f>
        <v>313797.44</v>
      </c>
      <c r="K2618" s="19">
        <f>+EOMONTH(B2618,0)</f>
        <v>46326</v>
      </c>
      <c r="L2618" s="3" t="inlineStr">
        <is>
          <t>Accounts Payable</t>
        </is>
      </c>
      <c r="M2618" s="3" t="inlineStr">
        <is>
          <t>Balance Sheet</t>
        </is>
      </c>
    </row>
    <row r="2619">
      <c r="B2619" s="39" t="n">
        <v>46301</v>
      </c>
      <c r="C2619" s="3" t="inlineStr">
        <is>
          <t>Bill</t>
        </is>
      </c>
      <c r="D2619" s="3" t="inlineStr"/>
      <c r="E2619" s="3" t="inlineStr">
        <is>
          <t>Tarrowmere Mutual Insurance</t>
        </is>
      </c>
      <c r="F2619" s="3" t="inlineStr">
        <is>
          <t>Benefits – October</t>
        </is>
      </c>
      <c r="G2619" s="3" t="inlineStr">
        <is>
          <t>Benefits</t>
        </is>
      </c>
      <c r="H2619" s="3" t="inlineStr">
        <is>
          <t>Accounts Payable</t>
        </is>
      </c>
      <c r="I2619" s="33" t="n">
        <v>5042.87</v>
      </c>
      <c r="J2619" s="13">
        <f>+J2618+I2619</f>
        <v>318840.31</v>
      </c>
      <c r="K2619" s="19">
        <f>+EOMONTH(B2619,0)</f>
        <v>46326</v>
      </c>
      <c r="L2619" s="3" t="inlineStr">
        <is>
          <t>Accounts Payable</t>
        </is>
      </c>
      <c r="M2619" s="3" t="inlineStr">
        <is>
          <t>Balance Sheet</t>
        </is>
      </c>
    </row>
    <row r="2620">
      <c r="B2620" s="39" t="n">
        <v>46301</v>
      </c>
      <c r="C2620" s="3" t="inlineStr">
        <is>
          <t>Bill</t>
        </is>
      </c>
      <c r="D2620" s="3" t="inlineStr"/>
      <c r="E2620" s="3" t="inlineStr">
        <is>
          <t>Union Utilities</t>
        </is>
      </c>
      <c r="F2620" s="3" t="inlineStr">
        <is>
          <t>Utilities – October</t>
        </is>
      </c>
      <c r="G2620" s="3" t="inlineStr">
        <is>
          <t>Utilities</t>
        </is>
      </c>
      <c r="H2620" s="3" t="inlineStr">
        <is>
          <t>Accounts Payable</t>
        </is>
      </c>
      <c r="I2620" s="33" t="n">
        <v>7723.55</v>
      </c>
      <c r="J2620" s="13">
        <f>+J2619+I2620</f>
        <v>326563.86</v>
      </c>
      <c r="K2620" s="19">
        <f>+EOMONTH(B2620,0)</f>
        <v>46326</v>
      </c>
      <c r="L2620" s="3" t="inlineStr">
        <is>
          <t>Accounts Payable</t>
        </is>
      </c>
      <c r="M2620" s="3" t="inlineStr">
        <is>
          <t>Balance Sheet</t>
        </is>
      </c>
    </row>
    <row r="2621">
      <c r="B2621" s="39" t="n">
        <v>46301</v>
      </c>
      <c r="C2621" s="3" t="inlineStr">
        <is>
          <t>Bill Payment (Check)</t>
        </is>
      </c>
      <c r="D2621" s="3" t="inlineStr">
        <is>
          <t>10488</t>
        </is>
      </c>
      <c r="E2621" s="3" t="inlineStr">
        <is>
          <t>Vialtrace Lab Supplies Inc</t>
        </is>
      </c>
      <c r="F2621" s="3" t="inlineStr">
        <is>
          <t>Lab supplies PO# F2913</t>
        </is>
      </c>
      <c r="G2621" s="3" t="inlineStr">
        <is>
          <t>Checking – Operating</t>
        </is>
      </c>
      <c r="H2621" s="3" t="inlineStr">
        <is>
          <t>Accounts Payable</t>
        </is>
      </c>
      <c r="I2621" s="33" t="n">
        <v>-33544.08</v>
      </c>
      <c r="J2621" s="13">
        <f>+J2620+I2621</f>
        <v>293019.78</v>
      </c>
      <c r="K2621" s="19">
        <f>+EOMONTH(B2621,0)</f>
        <v>46326</v>
      </c>
      <c r="L2621" s="3" t="inlineStr">
        <is>
          <t>Accounts Payable</t>
        </is>
      </c>
      <c r="M2621" s="3" t="inlineStr">
        <is>
          <t>Balance Sheet</t>
        </is>
      </c>
    </row>
    <row r="2622">
      <c r="B2622" s="39" t="n">
        <v>46301</v>
      </c>
      <c r="C2622" s="3" t="inlineStr">
        <is>
          <t>Bill Payment (Check)</t>
        </is>
      </c>
      <c r="D2622" s="3" t="inlineStr">
        <is>
          <t>10929</t>
        </is>
      </c>
      <c r="E2622" s="3" t="inlineStr">
        <is>
          <t>Halloway Ridge Realty (rent)</t>
        </is>
      </c>
      <c r="F2622" s="3" t="inlineStr">
        <is>
          <t>Rent – September</t>
        </is>
      </c>
      <c r="G2622" s="3" t="inlineStr">
        <is>
          <t>Checking – Operating</t>
        </is>
      </c>
      <c r="H2622" s="3" t="inlineStr">
        <is>
          <t>Accounts Payable</t>
        </is>
      </c>
      <c r="I2622" s="33" t="n">
        <v>-11469.45</v>
      </c>
      <c r="J2622" s="13">
        <f>+J2621+I2622</f>
        <v>281550.33</v>
      </c>
      <c r="K2622" s="19">
        <f>+EOMONTH(B2622,0)</f>
        <v>46326</v>
      </c>
      <c r="L2622" s="3" t="inlineStr">
        <is>
          <t>Accounts Payable</t>
        </is>
      </c>
      <c r="M2622" s="3" t="inlineStr">
        <is>
          <t>Balance Sheet</t>
        </is>
      </c>
    </row>
    <row r="2623">
      <c r="B2623" s="39" t="n">
        <v>46302</v>
      </c>
      <c r="C2623" s="3" t="inlineStr">
        <is>
          <t>Bill</t>
        </is>
      </c>
      <c r="D2623" s="3" t="inlineStr"/>
      <c r="E2623" s="3" t="inlineStr">
        <is>
          <t>Reagentix Corp</t>
        </is>
      </c>
      <c r="F2623" s="3" t="inlineStr">
        <is>
          <t>Lab Expenses – October</t>
        </is>
      </c>
      <c r="G2623" s="3" t="inlineStr">
        <is>
          <t>Lab Expenses</t>
        </is>
      </c>
      <c r="H2623" s="3" t="inlineStr">
        <is>
          <t>Accounts Payable</t>
        </is>
      </c>
      <c r="I2623" s="33" t="n">
        <v>7114.65</v>
      </c>
      <c r="J2623" s="13">
        <f>+J2622+I2623</f>
        <v>288664.98</v>
      </c>
      <c r="K2623" s="19">
        <f>+EOMONTH(B2623,0)</f>
        <v>46326</v>
      </c>
      <c r="L2623" s="3" t="inlineStr">
        <is>
          <t>Accounts Payable</t>
        </is>
      </c>
      <c r="M2623" s="3" t="inlineStr">
        <is>
          <t>Balance Sheet</t>
        </is>
      </c>
    </row>
    <row r="2624">
      <c r="B2624" s="39" t="n">
        <v>46302</v>
      </c>
      <c r="C2624" s="3" t="inlineStr">
        <is>
          <t>Bill</t>
        </is>
      </c>
      <c r="D2624" s="3" t="inlineStr"/>
      <c r="E2624" s="3" t="inlineStr">
        <is>
          <t>Vialtrace Lab Supplies Inc</t>
        </is>
      </c>
      <c r="F2624" s="3" t="inlineStr">
        <is>
          <t>Lab supplies PO# F2007</t>
        </is>
      </c>
      <c r="G2624" s="3" t="inlineStr">
        <is>
          <t>Lab Supplies</t>
        </is>
      </c>
      <c r="H2624" s="3" t="inlineStr">
        <is>
          <t>Accounts Payable</t>
        </is>
      </c>
      <c r="I2624" s="33" t="n">
        <v>23331.1</v>
      </c>
      <c r="J2624" s="13">
        <f>+J2623+I2624</f>
        <v>311996.08</v>
      </c>
      <c r="K2624" s="19">
        <f>+EOMONTH(B2624,0)</f>
        <v>46326</v>
      </c>
      <c r="L2624" s="3" t="inlineStr">
        <is>
          <t>Accounts Payable</t>
        </is>
      </c>
      <c r="M2624" s="3" t="inlineStr">
        <is>
          <t>Balance Sheet</t>
        </is>
      </c>
    </row>
    <row r="2625">
      <c r="B2625" s="39" t="n">
        <v>46304</v>
      </c>
      <c r="C2625" s="3" t="inlineStr">
        <is>
          <t>Bill</t>
        </is>
      </c>
      <c r="D2625" s="3" t="inlineStr"/>
      <c r="E2625" s="3" t="inlineStr">
        <is>
          <t>Reference Lab A</t>
        </is>
      </c>
      <c r="F2625" s="3" t="inlineStr">
        <is>
          <t>Send-out testing – October</t>
        </is>
      </c>
      <c r="G2625" s="3" t="inlineStr">
        <is>
          <t>Laboratory Fees</t>
        </is>
      </c>
      <c r="H2625" s="3" t="inlineStr">
        <is>
          <t>Accounts Payable</t>
        </is>
      </c>
      <c r="I2625" s="33" t="n">
        <v>13986.9</v>
      </c>
      <c r="J2625" s="13">
        <f>+J2624+I2625</f>
        <v>325982.98</v>
      </c>
      <c r="K2625" s="19">
        <f>+EOMONTH(B2625,0)</f>
        <v>46326</v>
      </c>
      <c r="L2625" s="3" t="inlineStr">
        <is>
          <t>Accounts Payable</t>
        </is>
      </c>
      <c r="M2625" s="3" t="inlineStr">
        <is>
          <t>Balance Sheet</t>
        </is>
      </c>
    </row>
    <row r="2626">
      <c r="B2626" s="39" t="n">
        <v>46304</v>
      </c>
      <c r="C2626" s="3" t="inlineStr">
        <is>
          <t>Bill</t>
        </is>
      </c>
      <c r="D2626" s="3" t="inlineStr"/>
      <c r="E2626" s="3" t="inlineStr">
        <is>
          <t>Tarrowmere Mutual Insurance</t>
        </is>
      </c>
      <c r="F2626" s="3" t="inlineStr">
        <is>
          <t>Premium installment</t>
        </is>
      </c>
      <c r="G2626" s="3" t="inlineStr">
        <is>
          <t>Insurance Expense</t>
        </is>
      </c>
      <c r="H2626" s="3" t="inlineStr">
        <is>
          <t>Accounts Payable</t>
        </is>
      </c>
      <c r="I2626" s="33" t="n">
        <v>6620.72</v>
      </c>
      <c r="J2626" s="13">
        <f>+J2625+I2626</f>
        <v>332603.7</v>
      </c>
      <c r="K2626" s="19">
        <f>+EOMONTH(B2626,0)</f>
        <v>46326</v>
      </c>
      <c r="L2626" s="3" t="inlineStr">
        <is>
          <t>Accounts Payable</t>
        </is>
      </c>
      <c r="M2626" s="3" t="inlineStr">
        <is>
          <t>Balance Sheet</t>
        </is>
      </c>
    </row>
    <row r="2627">
      <c r="B2627" s="39" t="n">
        <v>46304</v>
      </c>
      <c r="C2627" s="3" t="inlineStr">
        <is>
          <t>Bill</t>
        </is>
      </c>
      <c r="D2627" s="3" t="inlineStr"/>
      <c r="E2627" s="3" t="inlineStr">
        <is>
          <t>Ledgerquill Billing SaaS</t>
        </is>
      </c>
      <c r="F2627" s="3" t="inlineStr">
        <is>
          <t>Billing Software as a Service – October</t>
        </is>
      </c>
      <c r="G2627" s="3" t="inlineStr">
        <is>
          <t>Billing Software as a Service</t>
        </is>
      </c>
      <c r="H2627" s="3" t="inlineStr">
        <is>
          <t>Accounts Payable</t>
        </is>
      </c>
      <c r="I2627" s="33" t="n">
        <v>19451.35</v>
      </c>
      <c r="J2627" s="13">
        <f>+J2626+I2627</f>
        <v>352055.05</v>
      </c>
      <c r="K2627" s="19">
        <f>+EOMONTH(B2627,0)</f>
        <v>46326</v>
      </c>
      <c r="L2627" s="3" t="inlineStr">
        <is>
          <t>Accounts Payable</t>
        </is>
      </c>
      <c r="M2627" s="3" t="inlineStr">
        <is>
          <t>Balance Sheet</t>
        </is>
      </c>
    </row>
    <row r="2628">
      <c r="B2628" s="39" t="n">
        <v>46304</v>
      </c>
      <c r="C2628" s="3" t="inlineStr">
        <is>
          <t>Bill Payment (Check)</t>
        </is>
      </c>
      <c r="D2628" s="3" t="inlineStr">
        <is>
          <t>10490</t>
        </is>
      </c>
      <c r="E2628" s="3" t="inlineStr">
        <is>
          <t>Reagentix Corp</t>
        </is>
      </c>
      <c r="F2628" s="3" t="inlineStr">
        <is>
          <t>Lab supplies PO# F2759</t>
        </is>
      </c>
      <c r="G2628" s="3" t="inlineStr">
        <is>
          <t>Checking – Operating</t>
        </is>
      </c>
      <c r="H2628" s="3" t="inlineStr">
        <is>
          <t>Accounts Payable</t>
        </is>
      </c>
      <c r="I2628" s="33" t="n">
        <v>-32171.16</v>
      </c>
      <c r="J2628" s="13">
        <f>+J2627+I2628</f>
        <v>319883.89</v>
      </c>
      <c r="K2628" s="19">
        <f>+EOMONTH(B2628,0)</f>
        <v>46326</v>
      </c>
      <c r="L2628" s="3" t="inlineStr">
        <is>
          <t>Accounts Payable</t>
        </is>
      </c>
      <c r="M2628" s="3" t="inlineStr">
        <is>
          <t>Balance Sheet</t>
        </is>
      </c>
    </row>
    <row r="2629">
      <c r="B2629" s="39" t="n">
        <v>46304</v>
      </c>
      <c r="C2629" s="3" t="inlineStr">
        <is>
          <t>Bill Payment (Check)</t>
        </is>
      </c>
      <c r="D2629" s="3" t="inlineStr">
        <is>
          <t>10719</t>
        </is>
      </c>
      <c r="E2629" s="3" t="inlineStr">
        <is>
          <t>Tarrowmere Mutual Insurance</t>
        </is>
      </c>
      <c r="F2629" s="3" t="inlineStr">
        <is>
          <t>Premium installment</t>
        </is>
      </c>
      <c r="G2629" s="3" t="inlineStr">
        <is>
          <t>Checking – Operating</t>
        </is>
      </c>
      <c r="H2629" s="3" t="inlineStr">
        <is>
          <t>Accounts Payable</t>
        </is>
      </c>
      <c r="I2629" s="33" t="n">
        <v>-6424.17</v>
      </c>
      <c r="J2629" s="13">
        <f>+J2628+I2629</f>
        <v>313459.72</v>
      </c>
      <c r="K2629" s="19">
        <f>+EOMONTH(B2629,0)</f>
        <v>46326</v>
      </c>
      <c r="L2629" s="3" t="inlineStr">
        <is>
          <t>Accounts Payable</t>
        </is>
      </c>
      <c r="M2629" s="3" t="inlineStr">
        <is>
          <t>Balance Sheet</t>
        </is>
      </c>
    </row>
    <row r="2630">
      <c r="B2630" s="39" t="n">
        <v>46304</v>
      </c>
      <c r="C2630" s="3" t="inlineStr">
        <is>
          <t>Bill Payment (Check)</t>
        </is>
      </c>
      <c r="D2630" s="3" t="inlineStr">
        <is>
          <t>10752</t>
        </is>
      </c>
      <c r="E2630" s="3" t="inlineStr">
        <is>
          <t>Lumenlease Equipment</t>
        </is>
      </c>
      <c r="F2630" s="3" t="inlineStr">
        <is>
          <t>Equipment Lease – September</t>
        </is>
      </c>
      <c r="G2630" s="3" t="inlineStr">
        <is>
          <t>Checking – Operating</t>
        </is>
      </c>
      <c r="H2630" s="3" t="inlineStr">
        <is>
          <t>Accounts Payable</t>
        </is>
      </c>
      <c r="I2630" s="33" t="n">
        <v>-7426.4</v>
      </c>
      <c r="J2630" s="13">
        <f>+J2629+I2630</f>
        <v>306033.32</v>
      </c>
      <c r="K2630" s="19">
        <f>+EOMONTH(B2630,0)</f>
        <v>46326</v>
      </c>
      <c r="L2630" s="3" t="inlineStr">
        <is>
          <t>Accounts Payable</t>
        </is>
      </c>
      <c r="M2630" s="3" t="inlineStr">
        <is>
          <t>Balance Sheet</t>
        </is>
      </c>
    </row>
    <row r="2631">
      <c r="B2631" s="39" t="n">
        <v>46305</v>
      </c>
      <c r="C2631" s="3" t="inlineStr">
        <is>
          <t>Bill Payment (Check)</t>
        </is>
      </c>
      <c r="D2631" s="3" t="inlineStr">
        <is>
          <t>11170</t>
        </is>
      </c>
      <c r="E2631" s="3" t="inlineStr">
        <is>
          <t>Tarrowmere Mutual Insurance</t>
        </is>
      </c>
      <c r="F2631" s="3" t="inlineStr">
        <is>
          <t>Benefits – September</t>
        </is>
      </c>
      <c r="G2631" s="3" t="inlineStr">
        <is>
          <t>Checking – Operating</t>
        </is>
      </c>
      <c r="H2631" s="3" t="inlineStr">
        <is>
          <t>Accounts Payable</t>
        </is>
      </c>
      <c r="I2631" s="33" t="n">
        <v>-4944.08</v>
      </c>
      <c r="J2631" s="13">
        <f>+J2630+I2631</f>
        <v>301089.24</v>
      </c>
      <c r="K2631" s="19">
        <f>+EOMONTH(B2631,0)</f>
        <v>46326</v>
      </c>
      <c r="L2631" s="3" t="inlineStr">
        <is>
          <t>Accounts Payable</t>
        </is>
      </c>
      <c r="M2631" s="3" t="inlineStr">
        <is>
          <t>Balance Sheet</t>
        </is>
      </c>
    </row>
    <row r="2632">
      <c r="B2632" s="39" t="n">
        <v>46305</v>
      </c>
      <c r="C2632" s="3" t="inlineStr">
        <is>
          <t>Bill Payment (Check)</t>
        </is>
      </c>
      <c r="D2632" s="3" t="inlineStr">
        <is>
          <t>11252</t>
        </is>
      </c>
      <c r="E2632" s="3" t="inlineStr">
        <is>
          <t>Ledgerquill Billing SaaS</t>
        </is>
      </c>
      <c r="F2632" s="3" t="inlineStr">
        <is>
          <t>Billing Software as a Service – September</t>
        </is>
      </c>
      <c r="G2632" s="3" t="inlineStr">
        <is>
          <t>Checking – Operating</t>
        </is>
      </c>
      <c r="H2632" s="3" t="inlineStr">
        <is>
          <t>Accounts Payable</t>
        </is>
      </c>
      <c r="I2632" s="33" t="n">
        <v>-16338.97</v>
      </c>
      <c r="J2632" s="13">
        <f>+J2631+I2632</f>
        <v>284750.27</v>
      </c>
      <c r="K2632" s="19">
        <f>+EOMONTH(B2632,0)</f>
        <v>46326</v>
      </c>
      <c r="L2632" s="3" t="inlineStr">
        <is>
          <t>Accounts Payable</t>
        </is>
      </c>
      <c r="M2632" s="3" t="inlineStr">
        <is>
          <t>Balance Sheet</t>
        </is>
      </c>
    </row>
    <row r="2633">
      <c r="B2633" s="39" t="n">
        <v>46306</v>
      </c>
      <c r="C2633" s="3" t="inlineStr">
        <is>
          <t>Bill</t>
        </is>
      </c>
      <c r="D2633" s="3" t="inlineStr"/>
      <c r="E2633" s="3" t="inlineStr">
        <is>
          <t>Reagentix Corp</t>
        </is>
      </c>
      <c r="F2633" s="3" t="inlineStr">
        <is>
          <t>Lab supplies PO# F2610</t>
        </is>
      </c>
      <c r="G2633" s="3" t="inlineStr">
        <is>
          <t>Lab Supplies</t>
        </is>
      </c>
      <c r="H2633" s="3" t="inlineStr">
        <is>
          <t>Accounts Payable</t>
        </is>
      </c>
      <c r="I2633" s="33" t="n">
        <v>18790.47</v>
      </c>
      <c r="J2633" s="13">
        <f>+J2632+I2633</f>
        <v>303540.74</v>
      </c>
      <c r="K2633" s="19">
        <f>+EOMONTH(B2633,0)</f>
        <v>46326</v>
      </c>
      <c r="L2633" s="3" t="inlineStr">
        <is>
          <t>Accounts Payable</t>
        </is>
      </c>
      <c r="M2633" s="3" t="inlineStr">
        <is>
          <t>Balance Sheet</t>
        </is>
      </c>
    </row>
    <row r="2634">
      <c r="B2634" s="39" t="n">
        <v>46306</v>
      </c>
      <c r="C2634" s="3" t="inlineStr">
        <is>
          <t>Bill</t>
        </is>
      </c>
      <c r="D2634" s="3" t="inlineStr"/>
      <c r="E2634" s="3" t="inlineStr">
        <is>
          <t>Lumenlease Equipment</t>
        </is>
      </c>
      <c r="F2634" s="3" t="inlineStr">
        <is>
          <t>Lab Equipment – October</t>
        </is>
      </c>
      <c r="G2634" s="3" t="inlineStr">
        <is>
          <t>Lab Equipment</t>
        </is>
      </c>
      <c r="H2634" s="3" t="inlineStr">
        <is>
          <t>Accounts Payable</t>
        </is>
      </c>
      <c r="I2634" s="33" t="n">
        <v>2761.11</v>
      </c>
      <c r="J2634" s="13">
        <f>+J2633+I2634</f>
        <v>306301.85</v>
      </c>
      <c r="K2634" s="19">
        <f>+EOMONTH(B2634,0)</f>
        <v>46326</v>
      </c>
      <c r="L2634" s="3" t="inlineStr">
        <is>
          <t>Accounts Payable</t>
        </is>
      </c>
      <c r="M2634" s="3" t="inlineStr">
        <is>
          <t>Balance Sheet</t>
        </is>
      </c>
    </row>
    <row r="2635">
      <c r="B2635" s="39" t="n">
        <v>46306</v>
      </c>
      <c r="C2635" s="3" t="inlineStr">
        <is>
          <t>Bill Payment (Check)</t>
        </is>
      </c>
      <c r="D2635" s="3" t="inlineStr">
        <is>
          <t>10573</t>
        </is>
      </c>
      <c r="E2635" s="3" t="inlineStr">
        <is>
          <t>Reagentix Corp</t>
        </is>
      </c>
      <c r="F2635" s="3" t="inlineStr">
        <is>
          <t>Lab supplies PO# F2313</t>
        </is>
      </c>
      <c r="G2635" s="3" t="inlineStr">
        <is>
          <t>Checking – Operating</t>
        </is>
      </c>
      <c r="H2635" s="3" t="inlineStr">
        <is>
          <t>Accounts Payable</t>
        </is>
      </c>
      <c r="I2635" s="33" t="n">
        <v>-14127.2</v>
      </c>
      <c r="J2635" s="13">
        <f>+J2634+I2635</f>
        <v>292174.65</v>
      </c>
      <c r="K2635" s="19">
        <f>+EOMONTH(B2635,0)</f>
        <v>46326</v>
      </c>
      <c r="L2635" s="3" t="inlineStr">
        <is>
          <t>Accounts Payable</t>
        </is>
      </c>
      <c r="M2635" s="3" t="inlineStr">
        <is>
          <t>Balance Sheet</t>
        </is>
      </c>
    </row>
    <row r="2636">
      <c r="B2636" s="39" t="n">
        <v>46307</v>
      </c>
      <c r="C2636" s="3" t="inlineStr">
        <is>
          <t>Bill</t>
        </is>
      </c>
      <c r="D2636" s="3" t="inlineStr"/>
      <c r="E2636" s="3" t="inlineStr">
        <is>
          <t>Reagentix Corp</t>
        </is>
      </c>
      <c r="F2636" s="3" t="inlineStr">
        <is>
          <t>Lab supplies PO# F2808</t>
        </is>
      </c>
      <c r="G2636" s="3" t="inlineStr">
        <is>
          <t>Reagents</t>
        </is>
      </c>
      <c r="H2636" s="3" t="inlineStr">
        <is>
          <t>Accounts Payable</t>
        </is>
      </c>
      <c r="I2636" s="33" t="n">
        <v>24329.83</v>
      </c>
      <c r="J2636" s="13">
        <f>+J2635+I2636</f>
        <v>316504.48</v>
      </c>
      <c r="K2636" s="19">
        <f>+EOMONTH(B2636,0)</f>
        <v>46326</v>
      </c>
      <c r="L2636" s="3" t="inlineStr">
        <is>
          <t>Accounts Payable</t>
        </is>
      </c>
      <c r="M2636" s="3" t="inlineStr">
        <is>
          <t>Balance Sheet</t>
        </is>
      </c>
    </row>
    <row r="2637">
      <c r="B2637" s="39" t="n">
        <v>46308</v>
      </c>
      <c r="C2637" s="3" t="inlineStr">
        <is>
          <t>Bill Payment (Check)</t>
        </is>
      </c>
      <c r="D2637" s="3" t="inlineStr">
        <is>
          <t>10530</t>
        </is>
      </c>
      <c r="E2637" s="3" t="inlineStr">
        <is>
          <t>Reference Lab A</t>
        </is>
      </c>
      <c r="F2637" s="3" t="inlineStr">
        <is>
          <t>Send-out testing – September</t>
        </is>
      </c>
      <c r="G2637" s="3" t="inlineStr">
        <is>
          <t>Checking – Operating</t>
        </is>
      </c>
      <c r="H2637" s="3" t="inlineStr">
        <is>
          <t>Accounts Payable</t>
        </is>
      </c>
      <c r="I2637" s="33" t="n">
        <v>-19056.42</v>
      </c>
      <c r="J2637" s="13">
        <f>+J2636+I2637</f>
        <v>297448.06</v>
      </c>
      <c r="K2637" s="19">
        <f>+EOMONTH(B2637,0)</f>
        <v>46326</v>
      </c>
      <c r="L2637" s="3" t="inlineStr">
        <is>
          <t>Accounts Payable</t>
        </is>
      </c>
      <c r="M2637" s="3" t="inlineStr">
        <is>
          <t>Balance Sheet</t>
        </is>
      </c>
    </row>
    <row r="2638">
      <c r="B2638" s="39" t="n">
        <v>46308</v>
      </c>
      <c r="C2638" s="3" t="inlineStr">
        <is>
          <t>Bill Payment (Check)</t>
        </is>
      </c>
      <c r="D2638" s="3" t="inlineStr">
        <is>
          <t>10574</t>
        </is>
      </c>
      <c r="E2638" s="3" t="inlineStr">
        <is>
          <t>Reagentix Corp</t>
        </is>
      </c>
      <c r="F2638" s="3" t="inlineStr">
        <is>
          <t>Lab supplies PO# F2770</t>
        </is>
      </c>
      <c r="G2638" s="3" t="inlineStr">
        <is>
          <t>Checking – Operating</t>
        </is>
      </c>
      <c r="H2638" s="3" t="inlineStr">
        <is>
          <t>Accounts Payable</t>
        </is>
      </c>
      <c r="I2638" s="33" t="n">
        <v>-11226.84</v>
      </c>
      <c r="J2638" s="13">
        <f>+J2637+I2638</f>
        <v>286221.22</v>
      </c>
      <c r="K2638" s="19">
        <f>+EOMONTH(B2638,0)</f>
        <v>46326</v>
      </c>
      <c r="L2638" s="3" t="inlineStr">
        <is>
          <t>Accounts Payable</t>
        </is>
      </c>
      <c r="M2638" s="3" t="inlineStr">
        <is>
          <t>Balance Sheet</t>
        </is>
      </c>
    </row>
    <row r="2639">
      <c r="B2639" s="39" t="n">
        <v>46308</v>
      </c>
      <c r="C2639" s="3" t="inlineStr">
        <is>
          <t>Bill Payment (Check)</t>
        </is>
      </c>
      <c r="D2639" s="3" t="inlineStr">
        <is>
          <t>11168</t>
        </is>
      </c>
      <c r="E2639" s="3" t="inlineStr">
        <is>
          <t>Tarrowmere Mutual Insurance</t>
        </is>
      </c>
      <c r="F2639" s="3" t="inlineStr">
        <is>
          <t>Benefits – September</t>
        </is>
      </c>
      <c r="G2639" s="3" t="inlineStr">
        <is>
          <t>Checking – Operating</t>
        </is>
      </c>
      <c r="H2639" s="3" t="inlineStr">
        <is>
          <t>Accounts Payable</t>
        </is>
      </c>
      <c r="I2639" s="33" t="n">
        <v>-4662.9</v>
      </c>
      <c r="J2639" s="13">
        <f>+J2638+I2639</f>
        <v>281558.32</v>
      </c>
      <c r="K2639" s="19">
        <f>+EOMONTH(B2639,0)</f>
        <v>46326</v>
      </c>
      <c r="L2639" s="3" t="inlineStr">
        <is>
          <t>Accounts Payable</t>
        </is>
      </c>
      <c r="M2639" s="3" t="inlineStr">
        <is>
          <t>Balance Sheet</t>
        </is>
      </c>
    </row>
    <row r="2640">
      <c r="B2640" s="39" t="n">
        <v>46309</v>
      </c>
      <c r="C2640" s="3" t="inlineStr">
        <is>
          <t>Bill</t>
        </is>
      </c>
      <c r="D2640" s="3" t="inlineStr"/>
      <c r="E2640" s="3" t="inlineStr">
        <is>
          <t>Reagentix Corp</t>
        </is>
      </c>
      <c r="F2640" s="3" t="inlineStr">
        <is>
          <t>Lab supplies PO# F2906</t>
        </is>
      </c>
      <c r="G2640" s="3" t="inlineStr">
        <is>
          <t>Reagents</t>
        </is>
      </c>
      <c r="H2640" s="3" t="inlineStr">
        <is>
          <t>Accounts Payable</t>
        </is>
      </c>
      <c r="I2640" s="33" t="n">
        <v>18349.75</v>
      </c>
      <c r="J2640" s="13">
        <f>+J2639+I2640</f>
        <v>299908.07</v>
      </c>
      <c r="K2640" s="19">
        <f>+EOMONTH(B2640,0)</f>
        <v>46326</v>
      </c>
      <c r="L2640" s="3" t="inlineStr">
        <is>
          <t>Accounts Payable</t>
        </is>
      </c>
      <c r="M2640" s="3" t="inlineStr">
        <is>
          <t>Balance Sheet</t>
        </is>
      </c>
    </row>
    <row r="2641">
      <c r="B2641" s="39" t="n">
        <v>46310</v>
      </c>
      <c r="C2641" s="3" t="inlineStr">
        <is>
          <t>Bill</t>
        </is>
      </c>
      <c r="D2641" s="3" t="inlineStr"/>
      <c r="E2641" s="3" t="inlineStr">
        <is>
          <t>Halloway Ridge Realty (rent)</t>
        </is>
      </c>
      <c r="F2641" s="3" t="inlineStr">
        <is>
          <t>Rent – October</t>
        </is>
      </c>
      <c r="G2641" s="3" t="inlineStr">
        <is>
          <t>Rent Expense</t>
        </is>
      </c>
      <c r="H2641" s="3" t="inlineStr">
        <is>
          <t>Accounts Payable</t>
        </is>
      </c>
      <c r="I2641" s="33" t="n">
        <v>10941.39</v>
      </c>
      <c r="J2641" s="13">
        <f>+J2640+I2641</f>
        <v>310849.46</v>
      </c>
      <c r="K2641" s="19">
        <f>+EOMONTH(B2641,0)</f>
        <v>46326</v>
      </c>
      <c r="L2641" s="3" t="inlineStr">
        <is>
          <t>Accounts Payable</t>
        </is>
      </c>
      <c r="M2641" s="3" t="inlineStr">
        <is>
          <t>Balance Sheet</t>
        </is>
      </c>
    </row>
    <row r="2642">
      <c r="B2642" s="39" t="n">
        <v>46310</v>
      </c>
      <c r="C2642" s="3" t="inlineStr">
        <is>
          <t>Bill</t>
        </is>
      </c>
      <c r="D2642" s="3" t="inlineStr"/>
      <c r="E2642" s="3" t="inlineStr">
        <is>
          <t>Ledgerquill Billing SaaS</t>
        </is>
      </c>
      <c r="F2642" s="3" t="inlineStr">
        <is>
          <t>Billing Software as a Service – October</t>
        </is>
      </c>
      <c r="G2642" s="3" t="inlineStr">
        <is>
          <t>Billing Software as a Service</t>
        </is>
      </c>
      <c r="H2642" s="3" t="inlineStr">
        <is>
          <t>Accounts Payable</t>
        </is>
      </c>
      <c r="I2642" s="33" t="n">
        <v>26598.95</v>
      </c>
      <c r="J2642" s="13">
        <f>+J2641+I2642</f>
        <v>337448.41</v>
      </c>
      <c r="K2642" s="19">
        <f>+EOMONTH(B2642,0)</f>
        <v>46326</v>
      </c>
      <c r="L2642" s="3" t="inlineStr">
        <is>
          <t>Accounts Payable</t>
        </is>
      </c>
      <c r="M2642" s="3" t="inlineStr">
        <is>
          <t>Balance Sheet</t>
        </is>
      </c>
    </row>
    <row r="2643">
      <c r="B2643" s="39" t="n">
        <v>46311</v>
      </c>
      <c r="C2643" s="3" t="inlineStr">
        <is>
          <t>Bill Payment (Check)</t>
        </is>
      </c>
      <c r="D2643" s="3" t="inlineStr">
        <is>
          <t>10654</t>
        </is>
      </c>
      <c r="E2643" s="3" t="inlineStr">
        <is>
          <t>Swiftmere Courier</t>
        </is>
      </c>
      <c r="F2643" s="3" t="inlineStr">
        <is>
          <t>Delivery and Transportation – September</t>
        </is>
      </c>
      <c r="G2643" s="3" t="inlineStr">
        <is>
          <t>Checking – Operating</t>
        </is>
      </c>
      <c r="H2643" s="3" t="inlineStr">
        <is>
          <t>Accounts Payable</t>
        </is>
      </c>
      <c r="I2643" s="33" t="n">
        <v>-3792.33</v>
      </c>
      <c r="J2643" s="13">
        <f>+J2642+I2643</f>
        <v>333656.08</v>
      </c>
      <c r="K2643" s="19">
        <f>+EOMONTH(B2643,0)</f>
        <v>46326</v>
      </c>
      <c r="L2643" s="3" t="inlineStr">
        <is>
          <t>Accounts Payable</t>
        </is>
      </c>
      <c r="M2643" s="3" t="inlineStr">
        <is>
          <t>Balance Sheet</t>
        </is>
      </c>
    </row>
    <row r="2644">
      <c r="B2644" s="39" t="n">
        <v>46312</v>
      </c>
      <c r="C2644" s="3" t="inlineStr">
        <is>
          <t>Bill</t>
        </is>
      </c>
      <c r="D2644" s="3" t="inlineStr"/>
      <c r="E2644" s="3" t="inlineStr">
        <is>
          <t>Vialtrace Lab Supplies Inc</t>
        </is>
      </c>
      <c r="F2644" s="3" t="inlineStr">
        <is>
          <t>Lab supplies PO# F2626</t>
        </is>
      </c>
      <c r="G2644" s="3" t="inlineStr">
        <is>
          <t>Lab Supplies</t>
        </is>
      </c>
      <c r="H2644" s="3" t="inlineStr">
        <is>
          <t>Accounts Payable</t>
        </is>
      </c>
      <c r="I2644" s="33" t="n">
        <v>15594.02</v>
      </c>
      <c r="J2644" s="13">
        <f>+J2643+I2644</f>
        <v>349250.1</v>
      </c>
      <c r="K2644" s="19">
        <f>+EOMONTH(B2644,0)</f>
        <v>46326</v>
      </c>
      <c r="L2644" s="3" t="inlineStr">
        <is>
          <t>Accounts Payable</t>
        </is>
      </c>
      <c r="M2644" s="3" t="inlineStr">
        <is>
          <t>Balance Sheet</t>
        </is>
      </c>
    </row>
    <row r="2645">
      <c r="B2645" s="39" t="n">
        <v>46312</v>
      </c>
      <c r="C2645" s="3" t="inlineStr">
        <is>
          <t>Bill Payment (Check)</t>
        </is>
      </c>
      <c r="D2645" s="3" t="inlineStr">
        <is>
          <t>10450</t>
        </is>
      </c>
      <c r="E2645" s="3" t="inlineStr">
        <is>
          <t>Vialtrace Lab Supplies Inc</t>
        </is>
      </c>
      <c r="F2645" s="3" t="inlineStr">
        <is>
          <t>Lab Expenses – September</t>
        </is>
      </c>
      <c r="G2645" s="3" t="inlineStr">
        <is>
          <t>Checking – Operating</t>
        </is>
      </c>
      <c r="H2645" s="3" t="inlineStr">
        <is>
          <t>Accounts Payable</t>
        </is>
      </c>
      <c r="I2645" s="33" t="n">
        <v>-5566.56</v>
      </c>
      <c r="J2645" s="13">
        <f>+J2644+I2645</f>
        <v>343683.54</v>
      </c>
      <c r="K2645" s="19">
        <f>+EOMONTH(B2645,0)</f>
        <v>46326</v>
      </c>
      <c r="L2645" s="3" t="inlineStr">
        <is>
          <t>Accounts Payable</t>
        </is>
      </c>
      <c r="M2645" s="3" t="inlineStr">
        <is>
          <t>Balance Sheet</t>
        </is>
      </c>
    </row>
    <row r="2646">
      <c r="B2646" s="39" t="n">
        <v>46312</v>
      </c>
      <c r="C2646" s="3" t="inlineStr">
        <is>
          <t>Bill Payment (Check)</t>
        </is>
      </c>
      <c r="D2646" s="3" t="inlineStr">
        <is>
          <t>11033</t>
        </is>
      </c>
      <c r="E2646" s="3" t="inlineStr">
        <is>
          <t>Northmoor Waste Services</t>
        </is>
      </c>
      <c r="F2646" s="3" t="inlineStr">
        <is>
          <t>Waste Removal – September</t>
        </is>
      </c>
      <c r="G2646" s="3" t="inlineStr">
        <is>
          <t>Checking – Operating</t>
        </is>
      </c>
      <c r="H2646" s="3" t="inlineStr">
        <is>
          <t>Accounts Payable</t>
        </is>
      </c>
      <c r="I2646" s="33" t="n">
        <v>-1260.09</v>
      </c>
      <c r="J2646" s="13">
        <f>+J2645+I2646</f>
        <v>342423.45</v>
      </c>
      <c r="K2646" s="19">
        <f>+EOMONTH(B2646,0)</f>
        <v>46326</v>
      </c>
      <c r="L2646" s="3" t="inlineStr">
        <is>
          <t>Accounts Payable</t>
        </is>
      </c>
      <c r="M2646" s="3" t="inlineStr">
        <is>
          <t>Balance Sheet</t>
        </is>
      </c>
    </row>
    <row r="2647">
      <c r="B2647" s="39" t="n">
        <v>46313</v>
      </c>
      <c r="C2647" s="3" t="inlineStr">
        <is>
          <t>Bill</t>
        </is>
      </c>
      <c r="D2647" s="3" t="inlineStr"/>
      <c r="E2647" s="3" t="inlineStr">
        <is>
          <t>Swiftmere Courier</t>
        </is>
      </c>
      <c r="F2647" s="3" t="inlineStr">
        <is>
          <t>Delivery and Transportation – October</t>
        </is>
      </c>
      <c r="G2647" s="3" t="inlineStr">
        <is>
          <t>Delivery and Transportation</t>
        </is>
      </c>
      <c r="H2647" s="3" t="inlineStr">
        <is>
          <t>Accounts Payable</t>
        </is>
      </c>
      <c r="I2647" s="33" t="n">
        <v>8438.76</v>
      </c>
      <c r="J2647" s="13">
        <f>+J2646+I2647</f>
        <v>350862.21</v>
      </c>
      <c r="K2647" s="19">
        <f>+EOMONTH(B2647,0)</f>
        <v>46326</v>
      </c>
      <c r="L2647" s="3" t="inlineStr">
        <is>
          <t>Accounts Payable</t>
        </is>
      </c>
      <c r="M2647" s="3" t="inlineStr">
        <is>
          <t>Balance Sheet</t>
        </is>
      </c>
    </row>
    <row r="2648">
      <c r="B2648" s="39" t="n">
        <v>46313</v>
      </c>
      <c r="C2648" s="3" t="inlineStr">
        <is>
          <t>Bill</t>
        </is>
      </c>
      <c r="D2648" s="3" t="inlineStr"/>
      <c r="E2648" s="3" t="inlineStr">
        <is>
          <t>Lumenlease Equipment</t>
        </is>
      </c>
      <c r="F2648" s="3" t="inlineStr">
        <is>
          <t>Lab Equipment – October</t>
        </is>
      </c>
      <c r="G2648" s="3" t="inlineStr">
        <is>
          <t>Lab Equipment</t>
        </is>
      </c>
      <c r="H2648" s="3" t="inlineStr">
        <is>
          <t>Accounts Payable</t>
        </is>
      </c>
      <c r="I2648" s="33" t="n">
        <v>2979.35</v>
      </c>
      <c r="J2648" s="13">
        <f>+J2647+I2648</f>
        <v>353841.56</v>
      </c>
      <c r="K2648" s="19">
        <f>+EOMONTH(B2648,0)</f>
        <v>46326</v>
      </c>
      <c r="L2648" s="3" t="inlineStr">
        <is>
          <t>Accounts Payable</t>
        </is>
      </c>
      <c r="M2648" s="3" t="inlineStr">
        <is>
          <t>Balance Sheet</t>
        </is>
      </c>
    </row>
    <row r="2649">
      <c r="B2649" s="39" t="n">
        <v>46313</v>
      </c>
      <c r="C2649" s="3" t="inlineStr">
        <is>
          <t>Bill Payment (Check)</t>
        </is>
      </c>
      <c r="D2649" s="3" t="inlineStr">
        <is>
          <t>10492</t>
        </is>
      </c>
      <c r="E2649" s="3" t="inlineStr">
        <is>
          <t>Vialtrace Lab Supplies Inc</t>
        </is>
      </c>
      <c r="F2649" s="3" t="inlineStr">
        <is>
          <t>Lab supplies PO# F2741</t>
        </is>
      </c>
      <c r="G2649" s="3" t="inlineStr">
        <is>
          <t>Checking – Operating</t>
        </is>
      </c>
      <c r="H2649" s="3" t="inlineStr">
        <is>
          <t>Accounts Payable</t>
        </is>
      </c>
      <c r="I2649" s="33" t="n">
        <v>-29847.56</v>
      </c>
      <c r="J2649" s="13">
        <f>+J2648+I2649</f>
        <v>323994</v>
      </c>
      <c r="K2649" s="19">
        <f>+EOMONTH(B2649,0)</f>
        <v>46326</v>
      </c>
      <c r="L2649" s="3" t="inlineStr">
        <is>
          <t>Accounts Payable</t>
        </is>
      </c>
      <c r="M2649" s="3" t="inlineStr">
        <is>
          <t>Balance Sheet</t>
        </is>
      </c>
    </row>
    <row r="2650">
      <c r="B2650" s="39" t="n">
        <v>46315</v>
      </c>
      <c r="C2650" s="3" t="inlineStr">
        <is>
          <t>Bill</t>
        </is>
      </c>
      <c r="D2650" s="3" t="inlineStr"/>
      <c r="E2650" s="3" t="inlineStr">
        <is>
          <t>Vialtrace Lab Supplies Inc</t>
        </is>
      </c>
      <c r="F2650" s="3" t="inlineStr">
        <is>
          <t>Lab Expenses – October</t>
        </is>
      </c>
      <c r="G2650" s="3" t="inlineStr">
        <is>
          <t>Lab Expenses</t>
        </is>
      </c>
      <c r="H2650" s="3" t="inlineStr">
        <is>
          <t>Accounts Payable</t>
        </is>
      </c>
      <c r="I2650" s="33" t="n">
        <v>9027.120000000001</v>
      </c>
      <c r="J2650" s="13">
        <f>+J2649+I2650</f>
        <v>333021.12</v>
      </c>
      <c r="K2650" s="19">
        <f>+EOMONTH(B2650,0)</f>
        <v>46326</v>
      </c>
      <c r="L2650" s="3" t="inlineStr">
        <is>
          <t>Accounts Payable</t>
        </is>
      </c>
      <c r="M2650" s="3" t="inlineStr">
        <is>
          <t>Balance Sheet</t>
        </is>
      </c>
    </row>
    <row r="2651">
      <c r="B2651" s="39" t="n">
        <v>46315</v>
      </c>
      <c r="C2651" s="3" t="inlineStr">
        <is>
          <t>Bill Payment (Check)</t>
        </is>
      </c>
      <c r="D2651" s="3" t="inlineStr">
        <is>
          <t>10447</t>
        </is>
      </c>
      <c r="E2651" s="3" t="inlineStr">
        <is>
          <t>Vialtrace Lab Supplies Inc</t>
        </is>
      </c>
      <c r="F2651" s="3" t="inlineStr">
        <is>
          <t>Lab Expenses – September</t>
        </is>
      </c>
      <c r="G2651" s="3" t="inlineStr">
        <is>
          <t>Checking – Operating</t>
        </is>
      </c>
      <c r="H2651" s="3" t="inlineStr">
        <is>
          <t>Accounts Payable</t>
        </is>
      </c>
      <c r="I2651" s="33" t="n">
        <v>-4236.8</v>
      </c>
      <c r="J2651" s="13">
        <f>+J2650+I2651</f>
        <v>328784.32</v>
      </c>
      <c r="K2651" s="19">
        <f>+EOMONTH(B2651,0)</f>
        <v>46326</v>
      </c>
      <c r="L2651" s="3" t="inlineStr">
        <is>
          <t>Accounts Payable</t>
        </is>
      </c>
      <c r="M2651" s="3" t="inlineStr">
        <is>
          <t>Balance Sheet</t>
        </is>
      </c>
    </row>
    <row r="2652">
      <c r="B2652" s="39" t="n">
        <v>46315</v>
      </c>
      <c r="C2652" s="3" t="inlineStr">
        <is>
          <t>Bill Payment (Check)</t>
        </is>
      </c>
      <c r="D2652" s="3" t="inlineStr">
        <is>
          <t>10990</t>
        </is>
      </c>
      <c r="E2652" s="3" t="inlineStr">
        <is>
          <t>Northmoor Waste Services</t>
        </is>
      </c>
      <c r="F2652" s="3" t="inlineStr">
        <is>
          <t>Hazard Waste – October</t>
        </is>
      </c>
      <c r="G2652" s="3" t="inlineStr">
        <is>
          <t>Checking – Operating</t>
        </is>
      </c>
      <c r="H2652" s="3" t="inlineStr">
        <is>
          <t>Accounts Payable</t>
        </is>
      </c>
      <c r="I2652" s="33" t="n">
        <v>-1978.98</v>
      </c>
      <c r="J2652" s="13">
        <f>+J2651+I2652</f>
        <v>326805.34</v>
      </c>
      <c r="K2652" s="19">
        <f>+EOMONTH(B2652,0)</f>
        <v>46326</v>
      </c>
      <c r="L2652" s="3" t="inlineStr">
        <is>
          <t>Accounts Payable</t>
        </is>
      </c>
      <c r="M2652" s="3" t="inlineStr">
        <is>
          <t>Balance Sheet</t>
        </is>
      </c>
    </row>
    <row r="2653">
      <c r="B2653" s="39" t="n">
        <v>46315</v>
      </c>
      <c r="C2653" s="3" t="inlineStr">
        <is>
          <t>Bill Payment (Check)</t>
        </is>
      </c>
      <c r="D2653" s="3" t="inlineStr">
        <is>
          <t>11173</t>
        </is>
      </c>
      <c r="E2653" s="3" t="inlineStr">
        <is>
          <t>Tarrowmere Mutual Insurance</t>
        </is>
      </c>
      <c r="F2653" s="3" t="inlineStr">
        <is>
          <t>Benefits – October</t>
        </is>
      </c>
      <c r="G2653" s="3" t="inlineStr">
        <is>
          <t>Checking – Operating</t>
        </is>
      </c>
      <c r="H2653" s="3" t="inlineStr">
        <is>
          <t>Accounts Payable</t>
        </is>
      </c>
      <c r="I2653" s="33" t="n">
        <v>-3767.86</v>
      </c>
      <c r="J2653" s="13">
        <f>+J2652+I2653</f>
        <v>323037.48</v>
      </c>
      <c r="K2653" s="19">
        <f>+EOMONTH(B2653,0)</f>
        <v>46326</v>
      </c>
      <c r="L2653" s="3" t="inlineStr">
        <is>
          <t>Accounts Payable</t>
        </is>
      </c>
      <c r="M2653" s="3" t="inlineStr">
        <is>
          <t>Balance Sheet</t>
        </is>
      </c>
    </row>
    <row r="2654">
      <c r="B2654" s="39" t="n">
        <v>46316</v>
      </c>
      <c r="C2654" s="3" t="inlineStr">
        <is>
          <t>Bill</t>
        </is>
      </c>
      <c r="D2654" s="3" t="inlineStr"/>
      <c r="E2654" s="3" t="inlineStr">
        <is>
          <t>Reagentix Corp</t>
        </is>
      </c>
      <c r="F2654" s="3" t="inlineStr">
        <is>
          <t>Lab Expenses – October</t>
        </is>
      </c>
      <c r="G2654" s="3" t="inlineStr">
        <is>
          <t>Lab Expenses</t>
        </is>
      </c>
      <c r="H2654" s="3" t="inlineStr">
        <is>
          <t>Accounts Payable</t>
        </is>
      </c>
      <c r="I2654" s="33" t="n">
        <v>5662.31</v>
      </c>
      <c r="J2654" s="13">
        <f>+J2653+I2654</f>
        <v>328699.79</v>
      </c>
      <c r="K2654" s="19">
        <f>+EOMONTH(B2654,0)</f>
        <v>46326</v>
      </c>
      <c r="L2654" s="3" t="inlineStr">
        <is>
          <t>Accounts Payable</t>
        </is>
      </c>
      <c r="M2654" s="3" t="inlineStr">
        <is>
          <t>Balance Sheet</t>
        </is>
      </c>
    </row>
    <row r="2655">
      <c r="B2655" s="39" t="n">
        <v>46316</v>
      </c>
      <c r="C2655" s="3" t="inlineStr">
        <is>
          <t>Bill</t>
        </is>
      </c>
      <c r="D2655" s="3" t="inlineStr"/>
      <c r="E2655" s="3" t="inlineStr">
        <is>
          <t>Tarrowmere Mutual Insurance</t>
        </is>
      </c>
      <c r="F2655" s="3" t="inlineStr">
        <is>
          <t>Premium installment</t>
        </is>
      </c>
      <c r="G2655" s="3" t="inlineStr">
        <is>
          <t>Insurance Expense</t>
        </is>
      </c>
      <c r="H2655" s="3" t="inlineStr">
        <is>
          <t>Accounts Payable</t>
        </is>
      </c>
      <c r="I2655" s="33" t="n">
        <v>6255.32</v>
      </c>
      <c r="J2655" s="13">
        <f>+J2654+I2655</f>
        <v>334955.11</v>
      </c>
      <c r="K2655" s="19">
        <f>+EOMONTH(B2655,0)</f>
        <v>46326</v>
      </c>
      <c r="L2655" s="3" t="inlineStr">
        <is>
          <t>Accounts Payable</t>
        </is>
      </c>
      <c r="M2655" s="3" t="inlineStr">
        <is>
          <t>Balance Sheet</t>
        </is>
      </c>
    </row>
    <row r="2656">
      <c r="B2656" s="39" t="n">
        <v>46316</v>
      </c>
      <c r="C2656" s="3" t="inlineStr">
        <is>
          <t>Bill</t>
        </is>
      </c>
      <c r="D2656" s="3" t="inlineStr"/>
      <c r="E2656" s="3" t="inlineStr">
        <is>
          <t>Tarrowmere Mutual Insurance</t>
        </is>
      </c>
      <c r="F2656" s="3" t="inlineStr">
        <is>
          <t>Benefits – October</t>
        </is>
      </c>
      <c r="G2656" s="3" t="inlineStr">
        <is>
          <t>Benefits</t>
        </is>
      </c>
      <c r="H2656" s="3" t="inlineStr">
        <is>
          <t>Accounts Payable</t>
        </is>
      </c>
      <c r="I2656" s="33" t="n">
        <v>5011.87</v>
      </c>
      <c r="J2656" s="13">
        <f>+J2655+I2656</f>
        <v>339966.98</v>
      </c>
      <c r="K2656" s="19">
        <f>+EOMONTH(B2656,0)</f>
        <v>46326</v>
      </c>
      <c r="L2656" s="3" t="inlineStr">
        <is>
          <t>Accounts Payable</t>
        </is>
      </c>
      <c r="M2656" s="3" t="inlineStr">
        <is>
          <t>Balance Sheet</t>
        </is>
      </c>
    </row>
    <row r="2657">
      <c r="B2657" s="39" t="n">
        <v>46316</v>
      </c>
      <c r="C2657" s="3" t="inlineStr">
        <is>
          <t>Bill Payment (Check)</t>
        </is>
      </c>
      <c r="D2657" s="3" t="inlineStr">
        <is>
          <t>11171</t>
        </is>
      </c>
      <c r="E2657" s="3" t="inlineStr">
        <is>
          <t>Tarrowmere Mutual Insurance</t>
        </is>
      </c>
      <c r="F2657" s="3" t="inlineStr">
        <is>
          <t>Benefits – October</t>
        </is>
      </c>
      <c r="G2657" s="3" t="inlineStr">
        <is>
          <t>Checking – Operating</t>
        </is>
      </c>
      <c r="H2657" s="3" t="inlineStr">
        <is>
          <t>Accounts Payable</t>
        </is>
      </c>
      <c r="I2657" s="33" t="n">
        <v>-5042.87</v>
      </c>
      <c r="J2657" s="13">
        <f>+J2656+I2657</f>
        <v>334924.11</v>
      </c>
      <c r="K2657" s="19">
        <f>+EOMONTH(B2657,0)</f>
        <v>46326</v>
      </c>
      <c r="L2657" s="3" t="inlineStr">
        <is>
          <t>Accounts Payable</t>
        </is>
      </c>
      <c r="M2657" s="3" t="inlineStr">
        <is>
          <t>Balance Sheet</t>
        </is>
      </c>
    </row>
    <row r="2658">
      <c r="B2658" s="39" t="n">
        <v>46317</v>
      </c>
      <c r="C2658" s="3" t="inlineStr">
        <is>
          <t>Bill</t>
        </is>
      </c>
      <c r="D2658" s="3" t="inlineStr"/>
      <c r="E2658" s="3" t="inlineStr">
        <is>
          <t>Northmoor Waste Services</t>
        </is>
      </c>
      <c r="F2658" s="3" t="inlineStr">
        <is>
          <t>Waste Removal – October</t>
        </is>
      </c>
      <c r="G2658" s="3" t="inlineStr">
        <is>
          <t>Waste Removal</t>
        </is>
      </c>
      <c r="H2658" s="3" t="inlineStr">
        <is>
          <t>Accounts Payable</t>
        </is>
      </c>
      <c r="I2658" s="33" t="n">
        <v>1319.32</v>
      </c>
      <c r="J2658" s="13">
        <f>+J2657+I2658</f>
        <v>336243.43</v>
      </c>
      <c r="K2658" s="19">
        <f>+EOMONTH(B2658,0)</f>
        <v>46326</v>
      </c>
      <c r="L2658" s="3" t="inlineStr">
        <is>
          <t>Accounts Payable</t>
        </is>
      </c>
      <c r="M2658" s="3" t="inlineStr">
        <is>
          <t>Balance Sheet</t>
        </is>
      </c>
    </row>
    <row r="2659">
      <c r="B2659" s="39" t="n">
        <v>46318</v>
      </c>
      <c r="C2659" s="3" t="inlineStr">
        <is>
          <t>Bill</t>
        </is>
      </c>
      <c r="D2659" s="3" t="inlineStr"/>
      <c r="E2659" s="3" t="inlineStr">
        <is>
          <t>Vialtrace Lab Supplies Inc</t>
        </is>
      </c>
      <c r="F2659" s="3" t="inlineStr">
        <is>
          <t>Lab supplies PO# F2630</t>
        </is>
      </c>
      <c r="G2659" s="3" t="inlineStr">
        <is>
          <t>Lab Supplies</t>
        </is>
      </c>
      <c r="H2659" s="3" t="inlineStr">
        <is>
          <t>Accounts Payable</t>
        </is>
      </c>
      <c r="I2659" s="33" t="n">
        <v>32401.18</v>
      </c>
      <c r="J2659" s="13">
        <f>+J2658+I2659</f>
        <v>368644.61</v>
      </c>
      <c r="K2659" s="19">
        <f>+EOMONTH(B2659,0)</f>
        <v>46326</v>
      </c>
      <c r="L2659" s="3" t="inlineStr">
        <is>
          <t>Accounts Payable</t>
        </is>
      </c>
      <c r="M2659" s="3" t="inlineStr">
        <is>
          <t>Balance Sheet</t>
        </is>
      </c>
    </row>
    <row r="2660">
      <c r="B2660" s="39" t="n">
        <v>46319</v>
      </c>
      <c r="C2660" s="3" t="inlineStr">
        <is>
          <t>Bill</t>
        </is>
      </c>
      <c r="D2660" s="3" t="inlineStr"/>
      <c r="E2660" s="3" t="inlineStr">
        <is>
          <t>Tarrowmere Mutual Insurance</t>
        </is>
      </c>
      <c r="F2660" s="3" t="inlineStr">
        <is>
          <t>Premium installment</t>
        </is>
      </c>
      <c r="G2660" s="3" t="inlineStr">
        <is>
          <t>Insurance Expense</t>
        </is>
      </c>
      <c r="H2660" s="3" t="inlineStr">
        <is>
          <t>Accounts Payable</t>
        </is>
      </c>
      <c r="I2660" s="33" t="n">
        <v>7081.07</v>
      </c>
      <c r="J2660" s="13">
        <f>+J2659+I2660</f>
        <v>375725.68</v>
      </c>
      <c r="K2660" s="19">
        <f>+EOMONTH(B2660,0)</f>
        <v>46326</v>
      </c>
      <c r="L2660" s="3" t="inlineStr">
        <is>
          <t>Accounts Payable</t>
        </is>
      </c>
      <c r="M2660" s="3" t="inlineStr">
        <is>
          <t>Balance Sheet</t>
        </is>
      </c>
    </row>
    <row r="2661">
      <c r="B2661" s="39" t="n">
        <v>46319</v>
      </c>
      <c r="C2661" s="3" t="inlineStr">
        <is>
          <t>Bill</t>
        </is>
      </c>
      <c r="D2661" s="3" t="inlineStr"/>
      <c r="E2661" s="3" t="inlineStr">
        <is>
          <t>Halloway Ridge Realty (rent)</t>
        </is>
      </c>
      <c r="F2661" s="3" t="inlineStr">
        <is>
          <t>Rent – October</t>
        </is>
      </c>
      <c r="G2661" s="3" t="inlineStr">
        <is>
          <t>Rent Expense</t>
        </is>
      </c>
      <c r="H2661" s="3" t="inlineStr">
        <is>
          <t>Accounts Payable</t>
        </is>
      </c>
      <c r="I2661" s="33" t="n">
        <v>10034.77</v>
      </c>
      <c r="J2661" s="13">
        <f>+J2660+I2661</f>
        <v>385760.45</v>
      </c>
      <c r="K2661" s="19">
        <f>+EOMONTH(B2661,0)</f>
        <v>46326</v>
      </c>
      <c r="L2661" s="3" t="inlineStr">
        <is>
          <t>Accounts Payable</t>
        </is>
      </c>
      <c r="M2661" s="3" t="inlineStr">
        <is>
          <t>Balance Sheet</t>
        </is>
      </c>
    </row>
    <row r="2662">
      <c r="B2662" s="39" t="n">
        <v>46319</v>
      </c>
      <c r="C2662" s="3" t="inlineStr">
        <is>
          <t>Bill</t>
        </is>
      </c>
      <c r="D2662" s="3" t="inlineStr"/>
      <c r="E2662" s="3" t="inlineStr">
        <is>
          <t>Halloway Ridge Realty (rent)</t>
        </is>
      </c>
      <c r="F2662" s="3" t="inlineStr">
        <is>
          <t>Rent – October</t>
        </is>
      </c>
      <c r="G2662" s="3" t="inlineStr">
        <is>
          <t>Rent Expense</t>
        </is>
      </c>
      <c r="H2662" s="3" t="inlineStr">
        <is>
          <t>Accounts Payable</t>
        </is>
      </c>
      <c r="I2662" s="33" t="n">
        <v>10048.35</v>
      </c>
      <c r="J2662" s="13">
        <f>+J2661+I2662</f>
        <v>395808.8</v>
      </c>
      <c r="K2662" s="19">
        <f>+EOMONTH(B2662,0)</f>
        <v>46326</v>
      </c>
      <c r="L2662" s="3" t="inlineStr">
        <is>
          <t>Accounts Payable</t>
        </is>
      </c>
      <c r="M2662" s="3" t="inlineStr">
        <is>
          <t>Balance Sheet</t>
        </is>
      </c>
    </row>
    <row r="2663">
      <c r="B2663" s="39" t="n">
        <v>46319</v>
      </c>
      <c r="C2663" s="3" t="inlineStr">
        <is>
          <t>Bill Payment (Check)</t>
        </is>
      </c>
      <c r="D2663" s="3" t="inlineStr">
        <is>
          <t>10576</t>
        </is>
      </c>
      <c r="E2663" s="3" t="inlineStr">
        <is>
          <t>Reagentix Corp</t>
        </is>
      </c>
      <c r="F2663" s="3" t="inlineStr">
        <is>
          <t>Lab supplies PO# F2302</t>
        </is>
      </c>
      <c r="G2663" s="3" t="inlineStr">
        <is>
          <t>Checking – Operating</t>
        </is>
      </c>
      <c r="H2663" s="3" t="inlineStr">
        <is>
          <t>Accounts Payable</t>
        </is>
      </c>
      <c r="I2663" s="33" t="n">
        <v>-13311.19</v>
      </c>
      <c r="J2663" s="13">
        <f>+J2662+I2663</f>
        <v>382497.61</v>
      </c>
      <c r="K2663" s="19">
        <f>+EOMONTH(B2663,0)</f>
        <v>46326</v>
      </c>
      <c r="L2663" s="3" t="inlineStr">
        <is>
          <t>Accounts Payable</t>
        </is>
      </c>
      <c r="M2663" s="3" t="inlineStr">
        <is>
          <t>Balance Sheet</t>
        </is>
      </c>
    </row>
    <row r="2664">
      <c r="B2664" s="39" t="n">
        <v>46320</v>
      </c>
      <c r="C2664" s="3" t="inlineStr">
        <is>
          <t>Bill</t>
        </is>
      </c>
      <c r="D2664" s="3" t="inlineStr"/>
      <c r="E2664" s="3" t="inlineStr">
        <is>
          <t>Reference Lab A</t>
        </is>
      </c>
      <c r="F2664" s="3" t="inlineStr">
        <is>
          <t>Send-out testing – October</t>
        </is>
      </c>
      <c r="G2664" s="3" t="inlineStr">
        <is>
          <t>Laboratory Fees</t>
        </is>
      </c>
      <c r="H2664" s="3" t="inlineStr">
        <is>
          <t>Accounts Payable</t>
        </is>
      </c>
      <c r="I2664" s="33" t="n">
        <v>21065.03</v>
      </c>
      <c r="J2664" s="13">
        <f>+J2663+I2664</f>
        <v>403562.64</v>
      </c>
      <c r="K2664" s="19">
        <f>+EOMONTH(B2664,0)</f>
        <v>46326</v>
      </c>
      <c r="L2664" s="3" t="inlineStr">
        <is>
          <t>Accounts Payable</t>
        </is>
      </c>
      <c r="M2664" s="3" t="inlineStr">
        <is>
          <t>Balance Sheet</t>
        </is>
      </c>
    </row>
    <row r="2665">
      <c r="B2665" s="39" t="n">
        <v>46320</v>
      </c>
      <c r="C2665" s="3" t="inlineStr">
        <is>
          <t>Bill Payment (Check)</t>
        </is>
      </c>
      <c r="D2665" s="3" t="inlineStr">
        <is>
          <t>11253</t>
        </is>
      </c>
      <c r="E2665" s="3" t="inlineStr">
        <is>
          <t>Ledgerquill Billing SaaS</t>
        </is>
      </c>
      <c r="F2665" s="3" t="inlineStr">
        <is>
          <t>Billing Software as a Service – September</t>
        </is>
      </c>
      <c r="G2665" s="3" t="inlineStr">
        <is>
          <t>Checking – Operating</t>
        </is>
      </c>
      <c r="H2665" s="3" t="inlineStr">
        <is>
          <t>Accounts Payable</t>
        </is>
      </c>
      <c r="I2665" s="33" t="n">
        <v>-16348.36</v>
      </c>
      <c r="J2665" s="13">
        <f>+J2664+I2665</f>
        <v>387214.28</v>
      </c>
      <c r="K2665" s="19">
        <f>+EOMONTH(B2665,0)</f>
        <v>46326</v>
      </c>
      <c r="L2665" s="3" t="inlineStr">
        <is>
          <t>Accounts Payable</t>
        </is>
      </c>
      <c r="M2665" s="3" t="inlineStr">
        <is>
          <t>Balance Sheet</t>
        </is>
      </c>
    </row>
    <row r="2666">
      <c r="B2666" s="39" t="n">
        <v>46321</v>
      </c>
      <c r="C2666" s="3" t="inlineStr">
        <is>
          <t>Bill Payment (Check)</t>
        </is>
      </c>
      <c r="D2666" s="3" t="inlineStr">
        <is>
          <t>10927</t>
        </is>
      </c>
      <c r="E2666" s="3" t="inlineStr">
        <is>
          <t>Halloway Ridge Realty (rent)</t>
        </is>
      </c>
      <c r="F2666" s="3" t="inlineStr">
        <is>
          <t>Rent – September</t>
        </is>
      </c>
      <c r="G2666" s="3" t="inlineStr">
        <is>
          <t>Checking – Operating</t>
        </is>
      </c>
      <c r="H2666" s="3" t="inlineStr">
        <is>
          <t>Accounts Payable</t>
        </is>
      </c>
      <c r="I2666" s="33" t="n">
        <v>-19130.3</v>
      </c>
      <c r="J2666" s="13">
        <f>+J2665+I2666</f>
        <v>368083.98</v>
      </c>
      <c r="K2666" s="19">
        <f>+EOMONTH(B2666,0)</f>
        <v>46326</v>
      </c>
      <c r="L2666" s="3" t="inlineStr">
        <is>
          <t>Accounts Payable</t>
        </is>
      </c>
      <c r="M2666" s="3" t="inlineStr">
        <is>
          <t>Balance Sheet</t>
        </is>
      </c>
    </row>
    <row r="2667">
      <c r="B2667" s="39" t="n">
        <v>46322</v>
      </c>
      <c r="C2667" s="3" t="inlineStr">
        <is>
          <t>Bill</t>
        </is>
      </c>
      <c r="D2667" s="3" t="inlineStr"/>
      <c r="E2667" s="3" t="inlineStr">
        <is>
          <t>Tarrowmere Mutual Insurance</t>
        </is>
      </c>
      <c r="F2667" s="3" t="inlineStr">
        <is>
          <t>Benefits – October</t>
        </is>
      </c>
      <c r="G2667" s="3" t="inlineStr">
        <is>
          <t>Benefits</t>
        </is>
      </c>
      <c r="H2667" s="3" t="inlineStr">
        <is>
          <t>Accounts Payable</t>
        </is>
      </c>
      <c r="I2667" s="33" t="n">
        <v>4315.8</v>
      </c>
      <c r="J2667" s="13">
        <f>+J2666+I2667</f>
        <v>372399.78</v>
      </c>
      <c r="K2667" s="19">
        <f>+EOMONTH(B2667,0)</f>
        <v>46326</v>
      </c>
      <c r="L2667" s="3" t="inlineStr">
        <is>
          <t>Accounts Payable</t>
        </is>
      </c>
      <c r="M2667" s="3" t="inlineStr">
        <is>
          <t>Balance Sheet</t>
        </is>
      </c>
    </row>
    <row r="2668">
      <c r="B2668" s="39" t="n">
        <v>46322</v>
      </c>
      <c r="C2668" s="3" t="inlineStr">
        <is>
          <t>Bill</t>
        </is>
      </c>
      <c r="D2668" s="3" t="inlineStr"/>
      <c r="E2668" s="3" t="inlineStr">
        <is>
          <t>Ledgerquill Billing SaaS</t>
        </is>
      </c>
      <c r="F2668" s="3" t="inlineStr">
        <is>
          <t>Billing Software as a Service – October</t>
        </is>
      </c>
      <c r="G2668" s="3" t="inlineStr">
        <is>
          <t>Billing Software as a Service</t>
        </is>
      </c>
      <c r="H2668" s="3" t="inlineStr">
        <is>
          <t>Accounts Payable</t>
        </is>
      </c>
      <c r="I2668" s="33" t="n">
        <v>21685.61</v>
      </c>
      <c r="J2668" s="13">
        <f>+J2667+I2668</f>
        <v>394085.39</v>
      </c>
      <c r="K2668" s="19">
        <f>+EOMONTH(B2668,0)</f>
        <v>46326</v>
      </c>
      <c r="L2668" s="3" t="inlineStr">
        <is>
          <t>Accounts Payable</t>
        </is>
      </c>
      <c r="M2668" s="3" t="inlineStr">
        <is>
          <t>Balance Sheet</t>
        </is>
      </c>
    </row>
    <row r="2669">
      <c r="B2669" s="39" t="n">
        <v>46322</v>
      </c>
      <c r="C2669" s="3" t="inlineStr">
        <is>
          <t>Bill Payment (Check)</t>
        </is>
      </c>
      <c r="D2669" s="3" t="inlineStr">
        <is>
          <t>10449</t>
        </is>
      </c>
      <c r="E2669" s="3" t="inlineStr">
        <is>
          <t>Vialtrace Lab Supplies Inc</t>
        </is>
      </c>
      <c r="F2669" s="3" t="inlineStr">
        <is>
          <t>Lab Expenses – September</t>
        </is>
      </c>
      <c r="G2669" s="3" t="inlineStr">
        <is>
          <t>Checking – Operating</t>
        </is>
      </c>
      <c r="H2669" s="3" t="inlineStr">
        <is>
          <t>Accounts Payable</t>
        </is>
      </c>
      <c r="I2669" s="33" t="n">
        <v>-5064.22</v>
      </c>
      <c r="J2669" s="13">
        <f>+J2668+I2669</f>
        <v>389021.17</v>
      </c>
      <c r="K2669" s="19">
        <f>+EOMONTH(B2669,0)</f>
        <v>46326</v>
      </c>
      <c r="L2669" s="3" t="inlineStr">
        <is>
          <t>Accounts Payable</t>
        </is>
      </c>
      <c r="M2669" s="3" t="inlineStr">
        <is>
          <t>Balance Sheet</t>
        </is>
      </c>
    </row>
    <row r="2670">
      <c r="B2670" s="39" t="n">
        <v>46322</v>
      </c>
      <c r="C2670" s="3" t="inlineStr">
        <is>
          <t>Bill Payment (Check)</t>
        </is>
      </c>
      <c r="D2670" s="3" t="inlineStr">
        <is>
          <t>11345</t>
        </is>
      </c>
      <c r="E2670" s="3" t="inlineStr">
        <is>
          <t>Union Utilities</t>
        </is>
      </c>
      <c r="F2670" s="3" t="inlineStr">
        <is>
          <t>Utilities – September</t>
        </is>
      </c>
      <c r="G2670" s="3" t="inlineStr">
        <is>
          <t>Checking – Operating</t>
        </is>
      </c>
      <c r="H2670" s="3" t="inlineStr">
        <is>
          <t>Accounts Payable</t>
        </is>
      </c>
      <c r="I2670" s="33" t="n">
        <v>-7569.46</v>
      </c>
      <c r="J2670" s="13">
        <f>+J2669+I2670</f>
        <v>381451.71</v>
      </c>
      <c r="K2670" s="19">
        <f>+EOMONTH(B2670,0)</f>
        <v>46326</v>
      </c>
      <c r="L2670" s="3" t="inlineStr">
        <is>
          <t>Accounts Payable</t>
        </is>
      </c>
      <c r="M2670" s="3" t="inlineStr">
        <is>
          <t>Balance Sheet</t>
        </is>
      </c>
    </row>
    <row r="2671">
      <c r="B2671" s="39" t="n">
        <v>46323</v>
      </c>
      <c r="C2671" s="3" t="inlineStr">
        <is>
          <t>Bill</t>
        </is>
      </c>
      <c r="D2671" s="3" t="inlineStr"/>
      <c r="E2671" s="3" t="inlineStr">
        <is>
          <t>Tarrowmere Mutual Insurance</t>
        </is>
      </c>
      <c r="F2671" s="3" t="inlineStr">
        <is>
          <t>Benefits – October</t>
        </is>
      </c>
      <c r="G2671" s="3" t="inlineStr">
        <is>
          <t>Benefits</t>
        </is>
      </c>
      <c r="H2671" s="3" t="inlineStr">
        <is>
          <t>Accounts Payable</t>
        </is>
      </c>
      <c r="I2671" s="33" t="n">
        <v>5145.32</v>
      </c>
      <c r="J2671" s="13">
        <f>+J2670+I2671</f>
        <v>386597.03</v>
      </c>
      <c r="K2671" s="19">
        <f>+EOMONTH(B2671,0)</f>
        <v>46326</v>
      </c>
      <c r="L2671" s="3" t="inlineStr">
        <is>
          <t>Accounts Payable</t>
        </is>
      </c>
      <c r="M2671" s="3" t="inlineStr">
        <is>
          <t>Balance Sheet</t>
        </is>
      </c>
    </row>
    <row r="2672">
      <c r="B2672" s="39" t="n">
        <v>46323</v>
      </c>
      <c r="C2672" s="3" t="inlineStr">
        <is>
          <t>Bill Payment (Check)</t>
        </is>
      </c>
      <c r="D2672" s="3" t="inlineStr">
        <is>
          <t>10683</t>
        </is>
      </c>
      <c r="E2672" s="3" t="inlineStr">
        <is>
          <t>Lumenlease Equipment</t>
        </is>
      </c>
      <c r="F2672" s="3" t="inlineStr">
        <is>
          <t>Lab Equipment – September</t>
        </is>
      </c>
      <c r="G2672" s="3" t="inlineStr">
        <is>
          <t>Checking – Operating</t>
        </is>
      </c>
      <c r="H2672" s="3" t="inlineStr">
        <is>
          <t>Accounts Payable</t>
        </is>
      </c>
      <c r="I2672" s="33" t="n">
        <v>-3624.67</v>
      </c>
      <c r="J2672" s="13">
        <f>+J2671+I2672</f>
        <v>382972.36</v>
      </c>
      <c r="K2672" s="19">
        <f>+EOMONTH(B2672,0)</f>
        <v>46326</v>
      </c>
      <c r="L2672" s="3" t="inlineStr">
        <is>
          <t>Accounts Payable</t>
        </is>
      </c>
      <c r="M2672" s="3" t="inlineStr">
        <is>
          <t>Balance Sheet</t>
        </is>
      </c>
    </row>
    <row r="2673">
      <c r="B2673" s="39" t="n">
        <v>46323</v>
      </c>
      <c r="C2673" s="3" t="inlineStr">
        <is>
          <t>Bill Payment (Check)</t>
        </is>
      </c>
      <c r="D2673" s="3" t="inlineStr">
        <is>
          <t>11257</t>
        </is>
      </c>
      <c r="E2673" s="3" t="inlineStr">
        <is>
          <t>Ledgerquill Billing SaaS</t>
        </is>
      </c>
      <c r="F2673" s="3" t="inlineStr">
        <is>
          <t>Billing Software as a Service – October</t>
        </is>
      </c>
      <c r="G2673" s="3" t="inlineStr">
        <is>
          <t>Checking – Operating</t>
        </is>
      </c>
      <c r="H2673" s="3" t="inlineStr">
        <is>
          <t>Accounts Payable</t>
        </is>
      </c>
      <c r="I2673" s="33" t="n">
        <v>-19451.35</v>
      </c>
      <c r="J2673" s="13">
        <f>+J2672+I2673</f>
        <v>363521.01</v>
      </c>
      <c r="K2673" s="19">
        <f>+EOMONTH(B2673,0)</f>
        <v>46326</v>
      </c>
      <c r="L2673" s="3" t="inlineStr">
        <is>
          <t>Accounts Payable</t>
        </is>
      </c>
      <c r="M2673" s="3" t="inlineStr">
        <is>
          <t>Balance Sheet</t>
        </is>
      </c>
    </row>
    <row r="2674">
      <c r="B2674" s="39" t="n">
        <v>46324</v>
      </c>
      <c r="C2674" s="3" t="inlineStr">
        <is>
          <t>Bill</t>
        </is>
      </c>
      <c r="D2674" s="3" t="inlineStr"/>
      <c r="E2674" s="3" t="inlineStr">
        <is>
          <t>Reference Lab A</t>
        </is>
      </c>
      <c r="F2674" s="3" t="inlineStr">
        <is>
          <t>Send-out testing – October</t>
        </is>
      </c>
      <c r="G2674" s="3" t="inlineStr">
        <is>
          <t>Laboratory Fees</t>
        </is>
      </c>
      <c r="H2674" s="3" t="inlineStr">
        <is>
          <t>Accounts Payable</t>
        </is>
      </c>
      <c r="I2674" s="33" t="n">
        <v>18117.29</v>
      </c>
      <c r="J2674" s="13">
        <f>+J2673+I2674</f>
        <v>381638.3</v>
      </c>
      <c r="K2674" s="19">
        <f>+EOMONTH(B2674,0)</f>
        <v>46326</v>
      </c>
      <c r="L2674" s="3" t="inlineStr">
        <is>
          <t>Accounts Payable</t>
        </is>
      </c>
      <c r="M2674" s="3" t="inlineStr">
        <is>
          <t>Balance Sheet</t>
        </is>
      </c>
    </row>
    <row r="2675">
      <c r="B2675" s="39" t="n">
        <v>46324</v>
      </c>
      <c r="C2675" s="3" t="inlineStr">
        <is>
          <t>Bill</t>
        </is>
      </c>
      <c r="D2675" s="3" t="inlineStr"/>
      <c r="E2675" s="3" t="inlineStr">
        <is>
          <t>Halloway Ridge Realty (rent)</t>
        </is>
      </c>
      <c r="F2675" s="3" t="inlineStr">
        <is>
          <t>Rent – October</t>
        </is>
      </c>
      <c r="G2675" s="3" t="inlineStr">
        <is>
          <t>Rent Expense</t>
        </is>
      </c>
      <c r="H2675" s="3" t="inlineStr">
        <is>
          <t>Accounts Payable</t>
        </is>
      </c>
      <c r="I2675" s="33" t="n">
        <v>12718.39</v>
      </c>
      <c r="J2675" s="13">
        <f>+J2674+I2675</f>
        <v>394356.69</v>
      </c>
      <c r="K2675" s="19">
        <f>+EOMONTH(B2675,0)</f>
        <v>46326</v>
      </c>
      <c r="L2675" s="3" t="inlineStr">
        <is>
          <t>Accounts Payable</t>
        </is>
      </c>
      <c r="M2675" s="3" t="inlineStr">
        <is>
          <t>Balance Sheet</t>
        </is>
      </c>
    </row>
    <row r="2676">
      <c r="B2676" s="39" t="n">
        <v>46324</v>
      </c>
      <c r="C2676" s="3" t="inlineStr">
        <is>
          <t>Bill Payment (Check)</t>
        </is>
      </c>
      <c r="D2676" s="3" t="inlineStr">
        <is>
          <t>10579</t>
        </is>
      </c>
      <c r="E2676" s="3" t="inlineStr">
        <is>
          <t>Reagentix Corp</t>
        </is>
      </c>
      <c r="F2676" s="3" t="inlineStr">
        <is>
          <t>Lab supplies PO# F2457</t>
        </is>
      </c>
      <c r="G2676" s="3" t="inlineStr">
        <is>
          <t>Checking – Operating</t>
        </is>
      </c>
      <c r="H2676" s="3" t="inlineStr">
        <is>
          <t>Accounts Payable</t>
        </is>
      </c>
      <c r="I2676" s="33" t="n">
        <v>-13538.38</v>
      </c>
      <c r="J2676" s="13">
        <f>+J2675+I2676</f>
        <v>380818.31</v>
      </c>
      <c r="K2676" s="19">
        <f>+EOMONTH(B2676,0)</f>
        <v>46326</v>
      </c>
      <c r="L2676" s="3" t="inlineStr">
        <is>
          <t>Accounts Payable</t>
        </is>
      </c>
      <c r="M2676" s="3" t="inlineStr">
        <is>
          <t>Balance Sheet</t>
        </is>
      </c>
    </row>
    <row r="2677">
      <c r="B2677" s="39" t="n">
        <v>46325</v>
      </c>
      <c r="C2677" s="3" t="inlineStr">
        <is>
          <t>Bill</t>
        </is>
      </c>
      <c r="D2677" s="3" t="inlineStr"/>
      <c r="E2677" s="3" t="inlineStr">
        <is>
          <t>Reference Lab A</t>
        </is>
      </c>
      <c r="F2677" s="3" t="inlineStr">
        <is>
          <t>Send-out testing – October</t>
        </is>
      </c>
      <c r="G2677" s="3" t="inlineStr">
        <is>
          <t>Laboratory Fees</t>
        </is>
      </c>
      <c r="H2677" s="3" t="inlineStr">
        <is>
          <t>Accounts Payable</t>
        </is>
      </c>
      <c r="I2677" s="33" t="n">
        <v>11352.28</v>
      </c>
      <c r="J2677" s="13">
        <f>+J2676+I2677</f>
        <v>392170.59</v>
      </c>
      <c r="K2677" s="19">
        <f>+EOMONTH(B2677,0)</f>
        <v>46326</v>
      </c>
      <c r="L2677" s="3" t="inlineStr">
        <is>
          <t>Accounts Payable</t>
        </is>
      </c>
      <c r="M2677" s="3" t="inlineStr">
        <is>
          <t>Balance Sheet</t>
        </is>
      </c>
    </row>
    <row r="2678">
      <c r="B2678" s="39" t="n">
        <v>46325</v>
      </c>
      <c r="C2678" s="3" t="inlineStr">
        <is>
          <t>Bill</t>
        </is>
      </c>
      <c r="D2678" s="3" t="inlineStr"/>
      <c r="E2678" s="3" t="inlineStr">
        <is>
          <t>Lumenlease Equipment</t>
        </is>
      </c>
      <c r="F2678" s="3" t="inlineStr">
        <is>
          <t>Equipment Lease – October</t>
        </is>
      </c>
      <c r="G2678" s="3" t="inlineStr">
        <is>
          <t>Equipment Lease</t>
        </is>
      </c>
      <c r="H2678" s="3" t="inlineStr">
        <is>
          <t>Accounts Payable</t>
        </is>
      </c>
      <c r="I2678" s="33" t="n">
        <v>7102.3</v>
      </c>
      <c r="J2678" s="13">
        <f>+J2677+I2678</f>
        <v>399272.89</v>
      </c>
      <c r="K2678" s="19">
        <f>+EOMONTH(B2678,0)</f>
        <v>46326</v>
      </c>
      <c r="L2678" s="3" t="inlineStr">
        <is>
          <t>Accounts Payable</t>
        </is>
      </c>
      <c r="M2678" s="3" t="inlineStr">
        <is>
          <t>Balance Sheet</t>
        </is>
      </c>
    </row>
    <row r="2679">
      <c r="B2679" s="39" t="n">
        <v>46326</v>
      </c>
      <c r="C2679" s="3" t="inlineStr">
        <is>
          <t>Bill Payment (Check)</t>
        </is>
      </c>
      <c r="D2679" s="3" t="inlineStr">
        <is>
          <t>10495</t>
        </is>
      </c>
      <c r="E2679" s="3" t="inlineStr">
        <is>
          <t>Vialtrace Lab Supplies Inc</t>
        </is>
      </c>
      <c r="F2679" s="3" t="inlineStr">
        <is>
          <t>Lab supplies PO# F2007</t>
        </is>
      </c>
      <c r="G2679" s="3" t="inlineStr">
        <is>
          <t>Checking – Operating</t>
        </is>
      </c>
      <c r="H2679" s="3" t="inlineStr">
        <is>
          <t>Accounts Payable</t>
        </is>
      </c>
      <c r="I2679" s="33" t="n">
        <v>-23331.1</v>
      </c>
      <c r="J2679" s="13">
        <f>+J2678+I2679</f>
        <v>375941.79</v>
      </c>
      <c r="K2679" s="19">
        <f>+EOMONTH(B2679,0)</f>
        <v>46326</v>
      </c>
      <c r="L2679" s="3" t="inlineStr">
        <is>
          <t>Accounts Payable</t>
        </is>
      </c>
      <c r="M2679" s="3" t="inlineStr">
        <is>
          <t>Balance Sheet</t>
        </is>
      </c>
    </row>
    <row r="2680">
      <c r="B2680" s="39" t="n">
        <v>46326</v>
      </c>
      <c r="C2680" s="3" t="inlineStr">
        <is>
          <t>Bill Payment (Check)</t>
        </is>
      </c>
      <c r="D2680" s="3" t="inlineStr">
        <is>
          <t>10577</t>
        </is>
      </c>
      <c r="E2680" s="3" t="inlineStr">
        <is>
          <t>Reagentix Corp</t>
        </is>
      </c>
      <c r="F2680" s="3" t="inlineStr">
        <is>
          <t>Lab supplies PO# F2906</t>
        </is>
      </c>
      <c r="G2680" s="3" t="inlineStr">
        <is>
          <t>Checking – Operating</t>
        </is>
      </c>
      <c r="H2680" s="3" t="inlineStr">
        <is>
          <t>Accounts Payable</t>
        </is>
      </c>
      <c r="I2680" s="33" t="n">
        <v>-18349.75</v>
      </c>
      <c r="J2680" s="13">
        <f>+J2679+I2680</f>
        <v>357592.04</v>
      </c>
      <c r="K2680" s="19">
        <f>+EOMONTH(B2680,0)</f>
        <v>46326</v>
      </c>
      <c r="L2680" s="3" t="inlineStr">
        <is>
          <t>Accounts Payable</t>
        </is>
      </c>
      <c r="M2680" s="3" t="inlineStr">
        <is>
          <t>Balance Sheet</t>
        </is>
      </c>
    </row>
    <row r="2681">
      <c r="B2681" s="39" t="n">
        <v>46326</v>
      </c>
      <c r="C2681" s="3" t="inlineStr">
        <is>
          <t>Bill Payment (Check)</t>
        </is>
      </c>
      <c r="D2681" s="3" t="inlineStr">
        <is>
          <t>11251</t>
        </is>
      </c>
      <c r="E2681" s="3" t="inlineStr">
        <is>
          <t>Ledgerquill Billing SaaS</t>
        </is>
      </c>
      <c r="F2681" s="3" t="inlineStr">
        <is>
          <t>Billing Software as a Service – September</t>
        </is>
      </c>
      <c r="G2681" s="3" t="inlineStr">
        <is>
          <t>Checking – Operating</t>
        </is>
      </c>
      <c r="H2681" s="3" t="inlineStr">
        <is>
          <t>Accounts Payable</t>
        </is>
      </c>
      <c r="I2681" s="33" t="n">
        <v>-10889.15</v>
      </c>
      <c r="J2681" s="13">
        <f>+J2680+I2681</f>
        <v>346702.89</v>
      </c>
      <c r="K2681" s="19">
        <f>+EOMONTH(B2681,0)</f>
        <v>46326</v>
      </c>
      <c r="L2681" s="3" t="inlineStr">
        <is>
          <t>Accounts Payable</t>
        </is>
      </c>
      <c r="M2681" s="3" t="inlineStr">
        <is>
          <t>Balance Sheet</t>
        </is>
      </c>
    </row>
    <row r="2682">
      <c r="B2682" s="39" t="n">
        <v>46328</v>
      </c>
      <c r="C2682" s="3" t="inlineStr">
        <is>
          <t>Bill</t>
        </is>
      </c>
      <c r="D2682" s="3" t="inlineStr"/>
      <c r="E2682" s="3" t="inlineStr">
        <is>
          <t>Vialtrace Lab Supplies Inc</t>
        </is>
      </c>
      <c r="F2682" s="3" t="inlineStr">
        <is>
          <t>Lab supplies PO# F2444</t>
        </is>
      </c>
      <c r="G2682" s="3" t="inlineStr">
        <is>
          <t>Lab Supplies</t>
        </is>
      </c>
      <c r="H2682" s="3" t="inlineStr">
        <is>
          <t>Accounts Payable</t>
        </is>
      </c>
      <c r="I2682" s="33" t="n">
        <v>27020.96</v>
      </c>
      <c r="J2682" s="13">
        <f>+J2681+I2682</f>
        <v>373723.85</v>
      </c>
      <c r="K2682" s="19">
        <f>+EOMONTH(B2682,0)</f>
        <v>46356</v>
      </c>
      <c r="L2682" s="3" t="inlineStr">
        <is>
          <t>Accounts Payable</t>
        </is>
      </c>
      <c r="M2682" s="3" t="inlineStr">
        <is>
          <t>Balance Sheet</t>
        </is>
      </c>
    </row>
    <row r="2683">
      <c r="B2683" s="39" t="n">
        <v>46328</v>
      </c>
      <c r="C2683" s="3" t="inlineStr">
        <is>
          <t>Bill</t>
        </is>
      </c>
      <c r="D2683" s="3" t="inlineStr"/>
      <c r="E2683" s="3" t="inlineStr">
        <is>
          <t>Halloway Ridge Realty (rent)</t>
        </is>
      </c>
      <c r="F2683" s="3" t="inlineStr">
        <is>
          <t>Rent – November</t>
        </is>
      </c>
      <c r="G2683" s="3" t="inlineStr">
        <is>
          <t>Rent Expense</t>
        </is>
      </c>
      <c r="H2683" s="3" t="inlineStr">
        <is>
          <t>Accounts Payable</t>
        </is>
      </c>
      <c r="I2683" s="33" t="n">
        <v>10289.73</v>
      </c>
      <c r="J2683" s="13">
        <f>+J2682+I2683</f>
        <v>384013.58</v>
      </c>
      <c r="K2683" s="19">
        <f>+EOMONTH(B2683,0)</f>
        <v>46356</v>
      </c>
      <c r="L2683" s="3" t="inlineStr">
        <is>
          <t>Accounts Payable</t>
        </is>
      </c>
      <c r="M2683" s="3" t="inlineStr">
        <is>
          <t>Balance Sheet</t>
        </is>
      </c>
    </row>
    <row r="2684">
      <c r="B2684" s="39" t="n">
        <v>46328</v>
      </c>
      <c r="C2684" s="3" t="inlineStr">
        <is>
          <t>Bill</t>
        </is>
      </c>
      <c r="D2684" s="3" t="inlineStr"/>
      <c r="E2684" s="3" t="inlineStr">
        <is>
          <t>Northmoor Waste Services</t>
        </is>
      </c>
      <c r="F2684" s="3" t="inlineStr">
        <is>
          <t>Waste Removal – November</t>
        </is>
      </c>
      <c r="G2684" s="3" t="inlineStr">
        <is>
          <t>Waste Removal</t>
        </is>
      </c>
      <c r="H2684" s="3" t="inlineStr">
        <is>
          <t>Accounts Payable</t>
        </is>
      </c>
      <c r="I2684" s="33" t="n">
        <v>1204.2</v>
      </c>
      <c r="J2684" s="13">
        <f>+J2683+I2684</f>
        <v>385217.78</v>
      </c>
      <c r="K2684" s="19">
        <f>+EOMONTH(B2684,0)</f>
        <v>46356</v>
      </c>
      <c r="L2684" s="3" t="inlineStr">
        <is>
          <t>Accounts Payable</t>
        </is>
      </c>
      <c r="M2684" s="3" t="inlineStr">
        <is>
          <t>Balance Sheet</t>
        </is>
      </c>
    </row>
    <row r="2685">
      <c r="B2685" s="39" t="n">
        <v>46328</v>
      </c>
      <c r="C2685" s="3" t="inlineStr">
        <is>
          <t>Bill Payment (Check)</t>
        </is>
      </c>
      <c r="D2685" s="3" t="inlineStr">
        <is>
          <t>10536</t>
        </is>
      </c>
      <c r="E2685" s="3" t="inlineStr">
        <is>
          <t>Reference Lab A</t>
        </is>
      </c>
      <c r="F2685" s="3" t="inlineStr">
        <is>
          <t>Send-out testing – October</t>
        </is>
      </c>
      <c r="G2685" s="3" t="inlineStr">
        <is>
          <t>Checking – Operating</t>
        </is>
      </c>
      <c r="H2685" s="3" t="inlineStr">
        <is>
          <t>Accounts Payable</t>
        </is>
      </c>
      <c r="I2685" s="33" t="n">
        <v>-12479.86</v>
      </c>
      <c r="J2685" s="13">
        <f>+J2684+I2685</f>
        <v>372737.92</v>
      </c>
      <c r="K2685" s="19">
        <f>+EOMONTH(B2685,0)</f>
        <v>46356</v>
      </c>
      <c r="L2685" s="3" t="inlineStr">
        <is>
          <t>Accounts Payable</t>
        </is>
      </c>
      <c r="M2685" s="3" t="inlineStr">
        <is>
          <t>Balance Sheet</t>
        </is>
      </c>
    </row>
    <row r="2686">
      <c r="B2686" s="39" t="n">
        <v>46329</v>
      </c>
      <c r="C2686" s="3" t="inlineStr">
        <is>
          <t>Bill</t>
        </is>
      </c>
      <c r="D2686" s="3" t="inlineStr"/>
      <c r="E2686" s="3" t="inlineStr">
        <is>
          <t>Tarrowmere Mutual Insurance</t>
        </is>
      </c>
      <c r="F2686" s="3" t="inlineStr">
        <is>
          <t>Premium installment</t>
        </is>
      </c>
      <c r="G2686" s="3" t="inlineStr">
        <is>
          <t>Insurance Expense</t>
        </is>
      </c>
      <c r="H2686" s="3" t="inlineStr">
        <is>
          <t>Accounts Payable</t>
        </is>
      </c>
      <c r="I2686" s="33" t="n">
        <v>7747.85</v>
      </c>
      <c r="J2686" s="13">
        <f>+J2685+I2686</f>
        <v>380485.77</v>
      </c>
      <c r="K2686" s="19">
        <f>+EOMONTH(B2686,0)</f>
        <v>46356</v>
      </c>
      <c r="L2686" s="3" t="inlineStr">
        <is>
          <t>Accounts Payable</t>
        </is>
      </c>
      <c r="M2686" s="3" t="inlineStr">
        <is>
          <t>Balance Sheet</t>
        </is>
      </c>
    </row>
    <row r="2687">
      <c r="B2687" s="39" t="n">
        <v>46329</v>
      </c>
      <c r="C2687" s="3" t="inlineStr">
        <is>
          <t>Bill</t>
        </is>
      </c>
      <c r="D2687" s="3" t="inlineStr"/>
      <c r="E2687" s="3" t="inlineStr">
        <is>
          <t>Tarrowmere Mutual Insurance</t>
        </is>
      </c>
      <c r="F2687" s="3" t="inlineStr">
        <is>
          <t>Premium installment</t>
        </is>
      </c>
      <c r="G2687" s="3" t="inlineStr">
        <is>
          <t>Insurance Expense</t>
        </is>
      </c>
      <c r="H2687" s="3" t="inlineStr">
        <is>
          <t>Accounts Payable</t>
        </is>
      </c>
      <c r="I2687" s="33" t="n">
        <v>8781.33</v>
      </c>
      <c r="J2687" s="13">
        <f>+J2686+I2687</f>
        <v>389267.1</v>
      </c>
      <c r="K2687" s="19">
        <f>+EOMONTH(B2687,0)</f>
        <v>46356</v>
      </c>
      <c r="L2687" s="3" t="inlineStr">
        <is>
          <t>Accounts Payable</t>
        </is>
      </c>
      <c r="M2687" s="3" t="inlineStr">
        <is>
          <t>Balance Sheet</t>
        </is>
      </c>
    </row>
    <row r="2688">
      <c r="B2688" s="39" t="n">
        <v>46329</v>
      </c>
      <c r="C2688" s="3" t="inlineStr">
        <is>
          <t>Bill Payment (Check)</t>
        </is>
      </c>
      <c r="D2688" s="3" t="inlineStr">
        <is>
          <t>11346</t>
        </is>
      </c>
      <c r="E2688" s="3" t="inlineStr">
        <is>
          <t>Union Utilities</t>
        </is>
      </c>
      <c r="F2688" s="3" t="inlineStr">
        <is>
          <t>Utilities – October</t>
        </is>
      </c>
      <c r="G2688" s="3" t="inlineStr">
        <is>
          <t>Checking – Operating</t>
        </is>
      </c>
      <c r="H2688" s="3" t="inlineStr">
        <is>
          <t>Accounts Payable</t>
        </is>
      </c>
      <c r="I2688" s="33" t="n">
        <v>-7723.55</v>
      </c>
      <c r="J2688" s="13">
        <f>+J2687+I2688</f>
        <v>381543.55</v>
      </c>
      <c r="K2688" s="19">
        <f>+EOMONTH(B2688,0)</f>
        <v>46356</v>
      </c>
      <c r="L2688" s="3" t="inlineStr">
        <is>
          <t>Accounts Payable</t>
        </is>
      </c>
      <c r="M2688" s="3" t="inlineStr">
        <is>
          <t>Balance Sheet</t>
        </is>
      </c>
    </row>
    <row r="2689">
      <c r="B2689" s="39" t="n">
        <v>46330</v>
      </c>
      <c r="C2689" s="3" t="inlineStr">
        <is>
          <t>Bill</t>
        </is>
      </c>
      <c r="D2689" s="3" t="inlineStr"/>
      <c r="E2689" s="3" t="inlineStr">
        <is>
          <t>Reagentix Corp</t>
        </is>
      </c>
      <c r="F2689" s="3" t="inlineStr">
        <is>
          <t>Lab supplies PO# F2836</t>
        </is>
      </c>
      <c r="G2689" s="3" t="inlineStr">
        <is>
          <t>Reagents</t>
        </is>
      </c>
      <c r="H2689" s="3" t="inlineStr">
        <is>
          <t>Accounts Payable</t>
        </is>
      </c>
      <c r="I2689" s="33" t="n">
        <v>13950.87</v>
      </c>
      <c r="J2689" s="13">
        <f>+J2688+I2689</f>
        <v>395494.42</v>
      </c>
      <c r="K2689" s="19">
        <f>+EOMONTH(B2689,0)</f>
        <v>46356</v>
      </c>
      <c r="L2689" s="3" t="inlineStr">
        <is>
          <t>Accounts Payable</t>
        </is>
      </c>
      <c r="M2689" s="3" t="inlineStr">
        <is>
          <t>Balance Sheet</t>
        </is>
      </c>
    </row>
    <row r="2690">
      <c r="B2690" s="39" t="n">
        <v>46330</v>
      </c>
      <c r="C2690" s="3" t="inlineStr">
        <is>
          <t>Bill</t>
        </is>
      </c>
      <c r="D2690" s="3" t="inlineStr"/>
      <c r="E2690" s="3" t="inlineStr">
        <is>
          <t>Tarrowmere Mutual Insurance</t>
        </is>
      </c>
      <c r="F2690" s="3" t="inlineStr">
        <is>
          <t>Premium installment</t>
        </is>
      </c>
      <c r="G2690" s="3" t="inlineStr">
        <is>
          <t>Insurance Expense</t>
        </is>
      </c>
      <c r="H2690" s="3" t="inlineStr">
        <is>
          <t>Accounts Payable</t>
        </is>
      </c>
      <c r="I2690" s="33" t="n">
        <v>4652.65</v>
      </c>
      <c r="J2690" s="13">
        <f>+J2689+I2690</f>
        <v>400147.07</v>
      </c>
      <c r="K2690" s="19">
        <f>+EOMONTH(B2690,0)</f>
        <v>46356</v>
      </c>
      <c r="L2690" s="3" t="inlineStr">
        <is>
          <t>Accounts Payable</t>
        </is>
      </c>
      <c r="M2690" s="3" t="inlineStr">
        <is>
          <t>Balance Sheet</t>
        </is>
      </c>
    </row>
    <row r="2691">
      <c r="B2691" s="39" t="n">
        <v>46331</v>
      </c>
      <c r="C2691" s="3" t="inlineStr">
        <is>
          <t>Bill</t>
        </is>
      </c>
      <c r="D2691" s="3" t="inlineStr"/>
      <c r="E2691" s="3" t="inlineStr">
        <is>
          <t>Vialtrace Lab Supplies Inc</t>
        </is>
      </c>
      <c r="F2691" s="3" t="inlineStr">
        <is>
          <t>Lab supplies PO# F2225</t>
        </is>
      </c>
      <c r="G2691" s="3" t="inlineStr">
        <is>
          <t>Lab Supplies</t>
        </is>
      </c>
      <c r="H2691" s="3" t="inlineStr">
        <is>
          <t>Accounts Payable</t>
        </is>
      </c>
      <c r="I2691" s="33" t="n">
        <v>36956.71</v>
      </c>
      <c r="J2691" s="13">
        <f>+J2690+I2691</f>
        <v>437103.78</v>
      </c>
      <c r="K2691" s="19">
        <f>+EOMONTH(B2691,0)</f>
        <v>46356</v>
      </c>
      <c r="L2691" s="3" t="inlineStr">
        <is>
          <t>Accounts Payable</t>
        </is>
      </c>
      <c r="M2691" s="3" t="inlineStr">
        <is>
          <t>Balance Sheet</t>
        </is>
      </c>
    </row>
    <row r="2692">
      <c r="B2692" s="39" t="n">
        <v>46331</v>
      </c>
      <c r="C2692" s="3" t="inlineStr">
        <is>
          <t>Bill</t>
        </is>
      </c>
      <c r="D2692" s="3" t="inlineStr"/>
      <c r="E2692" s="3" t="inlineStr">
        <is>
          <t>Lumenlease Equipment</t>
        </is>
      </c>
      <c r="F2692" s="3" t="inlineStr">
        <is>
          <t>Lab Equipment – November</t>
        </is>
      </c>
      <c r="G2692" s="3" t="inlineStr">
        <is>
          <t>Lab Equipment</t>
        </is>
      </c>
      <c r="H2692" s="3" t="inlineStr">
        <is>
          <t>Accounts Payable</t>
        </is>
      </c>
      <c r="I2692" s="33" t="n">
        <v>5333.51</v>
      </c>
      <c r="J2692" s="13">
        <f>+J2691+I2692</f>
        <v>442437.29</v>
      </c>
      <c r="K2692" s="19">
        <f>+EOMONTH(B2692,0)</f>
        <v>46356</v>
      </c>
      <c r="L2692" s="3" t="inlineStr">
        <is>
          <t>Accounts Payable</t>
        </is>
      </c>
      <c r="M2692" s="3" t="inlineStr">
        <is>
          <t>Balance Sheet</t>
        </is>
      </c>
    </row>
    <row r="2693">
      <c r="B2693" s="39" t="n">
        <v>46331</v>
      </c>
      <c r="C2693" s="3" t="inlineStr">
        <is>
          <t>Bill Payment (Check)</t>
        </is>
      </c>
      <c r="D2693" s="3" t="inlineStr">
        <is>
          <t>10532</t>
        </is>
      </c>
      <c r="E2693" s="3" t="inlineStr">
        <is>
          <t>Reference Lab A</t>
        </is>
      </c>
      <c r="F2693" s="3" t="inlineStr">
        <is>
          <t>Send-out testing – October</t>
        </is>
      </c>
      <c r="G2693" s="3" t="inlineStr">
        <is>
          <t>Checking – Operating</t>
        </is>
      </c>
      <c r="H2693" s="3" t="inlineStr">
        <is>
          <t>Accounts Payable</t>
        </is>
      </c>
      <c r="I2693" s="33" t="n">
        <v>-13986.9</v>
      </c>
      <c r="J2693" s="13">
        <f>+J2692+I2693</f>
        <v>428450.39</v>
      </c>
      <c r="K2693" s="19">
        <f>+EOMONTH(B2693,0)</f>
        <v>46356</v>
      </c>
      <c r="L2693" s="3" t="inlineStr">
        <is>
          <t>Accounts Payable</t>
        </is>
      </c>
      <c r="M2693" s="3" t="inlineStr">
        <is>
          <t>Balance Sheet</t>
        </is>
      </c>
    </row>
    <row r="2694">
      <c r="B2694" s="39" t="n">
        <v>46332</v>
      </c>
      <c r="C2694" s="3" t="inlineStr">
        <is>
          <t>Bill</t>
        </is>
      </c>
      <c r="D2694" s="3" t="inlineStr"/>
      <c r="E2694" s="3" t="inlineStr">
        <is>
          <t>Lumenlease Equipment</t>
        </is>
      </c>
      <c r="F2694" s="3" t="inlineStr">
        <is>
          <t>Equipment Lease – November</t>
        </is>
      </c>
      <c r="G2694" s="3" t="inlineStr">
        <is>
          <t>Equipment Lease</t>
        </is>
      </c>
      <c r="H2694" s="3" t="inlineStr">
        <is>
          <t>Accounts Payable</t>
        </is>
      </c>
      <c r="I2694" s="33" t="n">
        <v>7863.62</v>
      </c>
      <c r="J2694" s="13">
        <f>+J2693+I2694</f>
        <v>436314.01</v>
      </c>
      <c r="K2694" s="19">
        <f>+EOMONTH(B2694,0)</f>
        <v>46356</v>
      </c>
      <c r="L2694" s="3" t="inlineStr">
        <is>
          <t>Accounts Payable</t>
        </is>
      </c>
      <c r="M2694" s="3" t="inlineStr">
        <is>
          <t>Balance Sheet</t>
        </is>
      </c>
    </row>
    <row r="2695">
      <c r="B2695" s="39" t="n">
        <v>46332</v>
      </c>
      <c r="C2695" s="3" t="inlineStr">
        <is>
          <t>Bill Payment (Check)</t>
        </is>
      </c>
      <c r="D2695" s="3" t="inlineStr">
        <is>
          <t>10452</t>
        </is>
      </c>
      <c r="E2695" s="3" t="inlineStr">
        <is>
          <t>Reagentix Corp</t>
        </is>
      </c>
      <c r="F2695" s="3" t="inlineStr">
        <is>
          <t>Lab Expenses – October</t>
        </is>
      </c>
      <c r="G2695" s="3" t="inlineStr">
        <is>
          <t>Checking – Operating</t>
        </is>
      </c>
      <c r="H2695" s="3" t="inlineStr">
        <is>
          <t>Accounts Payable</t>
        </is>
      </c>
      <c r="I2695" s="33" t="n">
        <v>-7114.65</v>
      </c>
      <c r="J2695" s="13">
        <f>+J2694+I2695</f>
        <v>429199.36</v>
      </c>
      <c r="K2695" s="19">
        <f>+EOMONTH(B2695,0)</f>
        <v>46356</v>
      </c>
      <c r="L2695" s="3" t="inlineStr">
        <is>
          <t>Accounts Payable</t>
        </is>
      </c>
      <c r="M2695" s="3" t="inlineStr">
        <is>
          <t>Balance Sheet</t>
        </is>
      </c>
    </row>
    <row r="2696">
      <c r="B2696" s="39" t="n">
        <v>46332</v>
      </c>
      <c r="C2696" s="3" t="inlineStr">
        <is>
          <t>Bill Payment (Check)</t>
        </is>
      </c>
      <c r="D2696" s="3" t="inlineStr">
        <is>
          <t>10578</t>
        </is>
      </c>
      <c r="E2696" s="3" t="inlineStr">
        <is>
          <t>Reagentix Corp</t>
        </is>
      </c>
      <c r="F2696" s="3" t="inlineStr">
        <is>
          <t>Lab supplies PO# F2808</t>
        </is>
      </c>
      <c r="G2696" s="3" t="inlineStr">
        <is>
          <t>Checking – Operating</t>
        </is>
      </c>
      <c r="H2696" s="3" t="inlineStr">
        <is>
          <t>Accounts Payable</t>
        </is>
      </c>
      <c r="I2696" s="33" t="n">
        <v>-24329.83</v>
      </c>
      <c r="J2696" s="13">
        <f>+J2695+I2696</f>
        <v>404869.53</v>
      </c>
      <c r="K2696" s="19">
        <f>+EOMONTH(B2696,0)</f>
        <v>46356</v>
      </c>
      <c r="L2696" s="3" t="inlineStr">
        <is>
          <t>Accounts Payable</t>
        </is>
      </c>
      <c r="M2696" s="3" t="inlineStr">
        <is>
          <t>Balance Sheet</t>
        </is>
      </c>
    </row>
    <row r="2697">
      <c r="B2697" s="39" t="n">
        <v>46332</v>
      </c>
      <c r="C2697" s="3" t="inlineStr">
        <is>
          <t>Bill Payment (Check)</t>
        </is>
      </c>
      <c r="D2697" s="3" t="inlineStr">
        <is>
          <t>11256</t>
        </is>
      </c>
      <c r="E2697" s="3" t="inlineStr">
        <is>
          <t>Ledgerquill Billing SaaS</t>
        </is>
      </c>
      <c r="F2697" s="3" t="inlineStr">
        <is>
          <t>Billing Software as a Service – October</t>
        </is>
      </c>
      <c r="G2697" s="3" t="inlineStr">
        <is>
          <t>Checking – Operating</t>
        </is>
      </c>
      <c r="H2697" s="3" t="inlineStr">
        <is>
          <t>Accounts Payable</t>
        </is>
      </c>
      <c r="I2697" s="33" t="n">
        <v>-21685.61</v>
      </c>
      <c r="J2697" s="13">
        <f>+J2696+I2697</f>
        <v>383183.92</v>
      </c>
      <c r="K2697" s="19">
        <f>+EOMONTH(B2697,0)</f>
        <v>46356</v>
      </c>
      <c r="L2697" s="3" t="inlineStr">
        <is>
          <t>Accounts Payable</t>
        </is>
      </c>
      <c r="M2697" s="3" t="inlineStr">
        <is>
          <t>Balance Sheet</t>
        </is>
      </c>
    </row>
    <row r="2698">
      <c r="B2698" s="39" t="n">
        <v>46333</v>
      </c>
      <c r="C2698" s="3" t="inlineStr">
        <is>
          <t>Bill</t>
        </is>
      </c>
      <c r="D2698" s="3" t="inlineStr"/>
      <c r="E2698" s="3" t="inlineStr">
        <is>
          <t>Vialtrace Lab Supplies Inc</t>
        </is>
      </c>
      <c r="F2698" s="3" t="inlineStr">
        <is>
          <t>Lab Expenses – November</t>
        </is>
      </c>
      <c r="G2698" s="3" t="inlineStr">
        <is>
          <t>Lab Expenses</t>
        </is>
      </c>
      <c r="H2698" s="3" t="inlineStr">
        <is>
          <t>Accounts Payable</t>
        </is>
      </c>
      <c r="I2698" s="33" t="n">
        <v>7152.05</v>
      </c>
      <c r="J2698" s="13">
        <f>+J2697+I2698</f>
        <v>390335.97</v>
      </c>
      <c r="K2698" s="19">
        <f>+EOMONTH(B2698,0)</f>
        <v>46356</v>
      </c>
      <c r="L2698" s="3" t="inlineStr">
        <is>
          <t>Accounts Payable</t>
        </is>
      </c>
      <c r="M2698" s="3" t="inlineStr">
        <is>
          <t>Balance Sheet</t>
        </is>
      </c>
    </row>
    <row r="2699">
      <c r="B2699" s="39" t="n">
        <v>46333</v>
      </c>
      <c r="C2699" s="3" t="inlineStr">
        <is>
          <t>Bill</t>
        </is>
      </c>
      <c r="D2699" s="3" t="inlineStr"/>
      <c r="E2699" s="3" t="inlineStr">
        <is>
          <t>Reference Lab A</t>
        </is>
      </c>
      <c r="F2699" s="3" t="inlineStr">
        <is>
          <t>Send-out testing – November</t>
        </is>
      </c>
      <c r="G2699" s="3" t="inlineStr">
        <is>
          <t>Laboratory Fees</t>
        </is>
      </c>
      <c r="H2699" s="3" t="inlineStr">
        <is>
          <t>Accounts Payable</t>
        </is>
      </c>
      <c r="I2699" s="33" t="n">
        <v>15885.3</v>
      </c>
      <c r="J2699" s="13">
        <f>+J2698+I2699</f>
        <v>406221.27</v>
      </c>
      <c r="K2699" s="19">
        <f>+EOMONTH(B2699,0)</f>
        <v>46356</v>
      </c>
      <c r="L2699" s="3" t="inlineStr">
        <is>
          <t>Accounts Payable</t>
        </is>
      </c>
      <c r="M2699" s="3" t="inlineStr">
        <is>
          <t>Balance Sheet</t>
        </is>
      </c>
    </row>
    <row r="2700">
      <c r="B2700" s="39" t="n">
        <v>46333</v>
      </c>
      <c r="C2700" s="3" t="inlineStr">
        <is>
          <t>Bill Payment (Check)</t>
        </is>
      </c>
      <c r="D2700" s="3" t="inlineStr">
        <is>
          <t>10722</t>
        </is>
      </c>
      <c r="E2700" s="3" t="inlineStr">
        <is>
          <t>Tarrowmere Mutual Insurance</t>
        </is>
      </c>
      <c r="F2700" s="3" t="inlineStr">
        <is>
          <t>Premium installment</t>
        </is>
      </c>
      <c r="G2700" s="3" t="inlineStr">
        <is>
          <t>Checking – Operating</t>
        </is>
      </c>
      <c r="H2700" s="3" t="inlineStr">
        <is>
          <t>Accounts Payable</t>
        </is>
      </c>
      <c r="I2700" s="33" t="n">
        <v>-7081.07</v>
      </c>
      <c r="J2700" s="13">
        <f>+J2699+I2700</f>
        <v>399140.2</v>
      </c>
      <c r="K2700" s="19">
        <f>+EOMONTH(B2700,0)</f>
        <v>46356</v>
      </c>
      <c r="L2700" s="3" t="inlineStr">
        <is>
          <t>Accounts Payable</t>
        </is>
      </c>
      <c r="M2700" s="3" t="inlineStr">
        <is>
          <t>Balance Sheet</t>
        </is>
      </c>
    </row>
    <row r="2701">
      <c r="B2701" s="39" t="n">
        <v>46334</v>
      </c>
      <c r="C2701" s="3" t="inlineStr">
        <is>
          <t>Bill</t>
        </is>
      </c>
      <c r="D2701" s="3" t="inlineStr"/>
      <c r="E2701" s="3" t="inlineStr">
        <is>
          <t>Vialtrace Lab Supplies Inc</t>
        </is>
      </c>
      <c r="F2701" s="3" t="inlineStr">
        <is>
          <t>Lab Expenses – November</t>
        </is>
      </c>
      <c r="G2701" s="3" t="inlineStr">
        <is>
          <t>Lab Expenses</t>
        </is>
      </c>
      <c r="H2701" s="3" t="inlineStr">
        <is>
          <t>Accounts Payable</t>
        </is>
      </c>
      <c r="I2701" s="33" t="n">
        <v>6973.13</v>
      </c>
      <c r="J2701" s="13">
        <f>+J2700+I2701</f>
        <v>406113.33</v>
      </c>
      <c r="K2701" s="19">
        <f>+EOMONTH(B2701,0)</f>
        <v>46356</v>
      </c>
      <c r="L2701" s="3" t="inlineStr">
        <is>
          <t>Accounts Payable</t>
        </is>
      </c>
      <c r="M2701" s="3" t="inlineStr">
        <is>
          <t>Balance Sheet</t>
        </is>
      </c>
    </row>
    <row r="2702">
      <c r="B2702" s="39" t="n">
        <v>46334</v>
      </c>
      <c r="C2702" s="3" t="inlineStr">
        <is>
          <t>Bill</t>
        </is>
      </c>
      <c r="D2702" s="3" t="inlineStr"/>
      <c r="E2702" s="3" t="inlineStr">
        <is>
          <t>Reference Lab A</t>
        </is>
      </c>
      <c r="F2702" s="3" t="inlineStr">
        <is>
          <t>Send-out testing – November</t>
        </is>
      </c>
      <c r="G2702" s="3" t="inlineStr">
        <is>
          <t>Laboratory Fees</t>
        </is>
      </c>
      <c r="H2702" s="3" t="inlineStr">
        <is>
          <t>Accounts Payable</t>
        </is>
      </c>
      <c r="I2702" s="33" t="n">
        <v>18356.78</v>
      </c>
      <c r="J2702" s="13">
        <f>+J2701+I2702</f>
        <v>424470.11</v>
      </c>
      <c r="K2702" s="19">
        <f>+EOMONTH(B2702,0)</f>
        <v>46356</v>
      </c>
      <c r="L2702" s="3" t="inlineStr">
        <is>
          <t>Accounts Payable</t>
        </is>
      </c>
      <c r="M2702" s="3" t="inlineStr">
        <is>
          <t>Balance Sheet</t>
        </is>
      </c>
    </row>
    <row r="2703">
      <c r="B2703" s="39" t="n">
        <v>46334</v>
      </c>
      <c r="C2703" s="3" t="inlineStr">
        <is>
          <t>Bill</t>
        </is>
      </c>
      <c r="D2703" s="3" t="inlineStr"/>
      <c r="E2703" s="3" t="inlineStr">
        <is>
          <t>Halloway Ridge Realty (rent)</t>
        </is>
      </c>
      <c r="F2703" s="3" t="inlineStr">
        <is>
          <t>Rent – November</t>
        </is>
      </c>
      <c r="G2703" s="3" t="inlineStr">
        <is>
          <t>Rent Expense</t>
        </is>
      </c>
      <c r="H2703" s="3" t="inlineStr">
        <is>
          <t>Accounts Payable</t>
        </is>
      </c>
      <c r="I2703" s="33" t="n">
        <v>5635.31</v>
      </c>
      <c r="J2703" s="13">
        <f>+J2702+I2703</f>
        <v>430105.42</v>
      </c>
      <c r="K2703" s="19">
        <f>+EOMONTH(B2703,0)</f>
        <v>46356</v>
      </c>
      <c r="L2703" s="3" t="inlineStr">
        <is>
          <t>Accounts Payable</t>
        </is>
      </c>
      <c r="M2703" s="3" t="inlineStr">
        <is>
          <t>Balance Sheet</t>
        </is>
      </c>
    </row>
    <row r="2704">
      <c r="B2704" s="39" t="n">
        <v>46334</v>
      </c>
      <c r="C2704" s="3" t="inlineStr">
        <is>
          <t>Bill</t>
        </is>
      </c>
      <c r="D2704" s="3" t="inlineStr"/>
      <c r="E2704" s="3" t="inlineStr">
        <is>
          <t>Halloway Ridge Realty (rent)</t>
        </is>
      </c>
      <c r="F2704" s="3" t="inlineStr">
        <is>
          <t>Rent – November</t>
        </is>
      </c>
      <c r="G2704" s="3" t="inlineStr">
        <is>
          <t>Rent Expense</t>
        </is>
      </c>
      <c r="H2704" s="3" t="inlineStr">
        <is>
          <t>Accounts Payable</t>
        </is>
      </c>
      <c r="I2704" s="33" t="n">
        <v>7549.79</v>
      </c>
      <c r="J2704" s="13">
        <f>+J2703+I2704</f>
        <v>437655.21</v>
      </c>
      <c r="K2704" s="19">
        <f>+EOMONTH(B2704,0)</f>
        <v>46356</v>
      </c>
      <c r="L2704" s="3" t="inlineStr">
        <is>
          <t>Accounts Payable</t>
        </is>
      </c>
      <c r="M2704" s="3" t="inlineStr">
        <is>
          <t>Balance Sheet</t>
        </is>
      </c>
    </row>
    <row r="2705">
      <c r="B2705" s="39" t="n">
        <v>46334</v>
      </c>
      <c r="C2705" s="3" t="inlineStr">
        <is>
          <t>Bill Payment (Check)</t>
        </is>
      </c>
      <c r="D2705" s="3" t="inlineStr">
        <is>
          <t>10451</t>
        </is>
      </c>
      <c r="E2705" s="3" t="inlineStr">
        <is>
          <t>Reagentix Corp</t>
        </is>
      </c>
      <c r="F2705" s="3" t="inlineStr">
        <is>
          <t>Lab Expenses – October</t>
        </is>
      </c>
      <c r="G2705" s="3" t="inlineStr">
        <is>
          <t>Checking – Operating</t>
        </is>
      </c>
      <c r="H2705" s="3" t="inlineStr">
        <is>
          <t>Accounts Payable</t>
        </is>
      </c>
      <c r="I2705" s="33" t="n">
        <v>-5662.31</v>
      </c>
      <c r="J2705" s="13">
        <f>+J2704+I2705</f>
        <v>431992.9</v>
      </c>
      <c r="K2705" s="19">
        <f>+EOMONTH(B2705,0)</f>
        <v>46356</v>
      </c>
      <c r="L2705" s="3" t="inlineStr">
        <is>
          <t>Accounts Payable</t>
        </is>
      </c>
      <c r="M2705" s="3" t="inlineStr">
        <is>
          <t>Balance Sheet</t>
        </is>
      </c>
    </row>
    <row r="2706">
      <c r="B2706" s="39" t="n">
        <v>46334</v>
      </c>
      <c r="C2706" s="3" t="inlineStr">
        <is>
          <t>Bill Payment (Check)</t>
        </is>
      </c>
      <c r="D2706" s="3" t="inlineStr">
        <is>
          <t>10493</t>
        </is>
      </c>
      <c r="E2706" s="3" t="inlineStr">
        <is>
          <t>Reagentix Corp</t>
        </is>
      </c>
      <c r="F2706" s="3" t="inlineStr">
        <is>
          <t>Lab supplies PO# F2610</t>
        </is>
      </c>
      <c r="G2706" s="3" t="inlineStr">
        <is>
          <t>Checking – Operating</t>
        </is>
      </c>
      <c r="H2706" s="3" t="inlineStr">
        <is>
          <t>Accounts Payable</t>
        </is>
      </c>
      <c r="I2706" s="33" t="n">
        <v>-18790.47</v>
      </c>
      <c r="J2706" s="13">
        <f>+J2705+I2706</f>
        <v>413202.43</v>
      </c>
      <c r="K2706" s="19">
        <f>+EOMONTH(B2706,0)</f>
        <v>46356</v>
      </c>
      <c r="L2706" s="3" t="inlineStr">
        <is>
          <t>Accounts Payable</t>
        </is>
      </c>
      <c r="M2706" s="3" t="inlineStr">
        <is>
          <t>Balance Sheet</t>
        </is>
      </c>
    </row>
    <row r="2707">
      <c r="B2707" s="39" t="n">
        <v>46334</v>
      </c>
      <c r="C2707" s="3" t="inlineStr">
        <is>
          <t>Bill Payment (Check)</t>
        </is>
      </c>
      <c r="D2707" s="3" t="inlineStr">
        <is>
          <t>10655</t>
        </is>
      </c>
      <c r="E2707" s="3" t="inlineStr">
        <is>
          <t>Swiftmere Courier</t>
        </is>
      </c>
      <c r="F2707" s="3" t="inlineStr">
        <is>
          <t>Delivery and Transportation – October</t>
        </is>
      </c>
      <c r="G2707" s="3" t="inlineStr">
        <is>
          <t>Checking – Operating</t>
        </is>
      </c>
      <c r="H2707" s="3" t="inlineStr">
        <is>
          <t>Accounts Payable</t>
        </is>
      </c>
      <c r="I2707" s="33" t="n">
        <v>-8438.76</v>
      </c>
      <c r="J2707" s="13">
        <f>+J2706+I2707</f>
        <v>404763.67</v>
      </c>
      <c r="K2707" s="19">
        <f>+EOMONTH(B2707,0)</f>
        <v>46356</v>
      </c>
      <c r="L2707" s="3" t="inlineStr">
        <is>
          <t>Accounts Payable</t>
        </is>
      </c>
      <c r="M2707" s="3" t="inlineStr">
        <is>
          <t>Balance Sheet</t>
        </is>
      </c>
    </row>
    <row r="2708">
      <c r="B2708" s="39" t="n">
        <v>46334</v>
      </c>
      <c r="C2708" s="3" t="inlineStr">
        <is>
          <t>Bill Payment (Check)</t>
        </is>
      </c>
      <c r="D2708" s="3" t="inlineStr">
        <is>
          <t>11034</t>
        </is>
      </c>
      <c r="E2708" s="3" t="inlineStr">
        <is>
          <t>Northmoor Waste Services</t>
        </is>
      </c>
      <c r="F2708" s="3" t="inlineStr">
        <is>
          <t>Waste Removal – October</t>
        </is>
      </c>
      <c r="G2708" s="3" t="inlineStr">
        <is>
          <t>Checking – Operating</t>
        </is>
      </c>
      <c r="H2708" s="3" t="inlineStr">
        <is>
          <t>Accounts Payable</t>
        </is>
      </c>
      <c r="I2708" s="33" t="n">
        <v>-1319.32</v>
      </c>
      <c r="J2708" s="13">
        <f>+J2707+I2708</f>
        <v>403444.35</v>
      </c>
      <c r="K2708" s="19">
        <f>+EOMONTH(B2708,0)</f>
        <v>46356</v>
      </c>
      <c r="L2708" s="3" t="inlineStr">
        <is>
          <t>Accounts Payable</t>
        </is>
      </c>
      <c r="M2708" s="3" t="inlineStr">
        <is>
          <t>Balance Sheet</t>
        </is>
      </c>
    </row>
    <row r="2709">
      <c r="B2709" s="39" t="n">
        <v>46334</v>
      </c>
      <c r="C2709" s="3" t="inlineStr">
        <is>
          <t>Bill Payment (Check)</t>
        </is>
      </c>
      <c r="D2709" s="3" t="inlineStr">
        <is>
          <t>11172</t>
        </is>
      </c>
      <c r="E2709" s="3" t="inlineStr">
        <is>
          <t>Tarrowmere Mutual Insurance</t>
        </is>
      </c>
      <c r="F2709" s="3" t="inlineStr">
        <is>
          <t>Benefits – October</t>
        </is>
      </c>
      <c r="G2709" s="3" t="inlineStr">
        <is>
          <t>Checking – Operating</t>
        </is>
      </c>
      <c r="H2709" s="3" t="inlineStr">
        <is>
          <t>Accounts Payable</t>
        </is>
      </c>
      <c r="I2709" s="33" t="n">
        <v>-5011.87</v>
      </c>
      <c r="J2709" s="13">
        <f>+J2708+I2709</f>
        <v>398432.48</v>
      </c>
      <c r="K2709" s="19">
        <f>+EOMONTH(B2709,0)</f>
        <v>46356</v>
      </c>
      <c r="L2709" s="3" t="inlineStr">
        <is>
          <t>Accounts Payable</t>
        </is>
      </c>
      <c r="M2709" s="3" t="inlineStr">
        <is>
          <t>Balance Sheet</t>
        </is>
      </c>
    </row>
    <row r="2710">
      <c r="B2710" s="39" t="n">
        <v>46335</v>
      </c>
      <c r="C2710" s="3" t="inlineStr">
        <is>
          <t>Bill</t>
        </is>
      </c>
      <c r="D2710" s="3" t="inlineStr"/>
      <c r="E2710" s="3" t="inlineStr">
        <is>
          <t>Reagentix Corp</t>
        </is>
      </c>
      <c r="F2710" s="3" t="inlineStr">
        <is>
          <t>Lab supplies PO# F2659</t>
        </is>
      </c>
      <c r="G2710" s="3" t="inlineStr">
        <is>
          <t>Reagents</t>
        </is>
      </c>
      <c r="H2710" s="3" t="inlineStr">
        <is>
          <t>Accounts Payable</t>
        </is>
      </c>
      <c r="I2710" s="33" t="n">
        <v>15105.29</v>
      </c>
      <c r="J2710" s="13">
        <f>+J2709+I2710</f>
        <v>413537.77</v>
      </c>
      <c r="K2710" s="19">
        <f>+EOMONTH(B2710,0)</f>
        <v>46356</v>
      </c>
      <c r="L2710" s="3" t="inlineStr">
        <is>
          <t>Accounts Payable</t>
        </is>
      </c>
      <c r="M2710" s="3" t="inlineStr">
        <is>
          <t>Balance Sheet</t>
        </is>
      </c>
    </row>
    <row r="2711">
      <c r="B2711" s="39" t="n">
        <v>46335</v>
      </c>
      <c r="C2711" s="3" t="inlineStr">
        <is>
          <t>Bill Payment (Check)</t>
        </is>
      </c>
      <c r="D2711" s="3" t="inlineStr">
        <is>
          <t>10685</t>
        </is>
      </c>
      <c r="E2711" s="3" t="inlineStr">
        <is>
          <t>Lumenlease Equipment</t>
        </is>
      </c>
      <c r="F2711" s="3" t="inlineStr">
        <is>
          <t>Lab Equipment – October</t>
        </is>
      </c>
      <c r="G2711" s="3" t="inlineStr">
        <is>
          <t>Checking – Operating</t>
        </is>
      </c>
      <c r="H2711" s="3" t="inlineStr">
        <is>
          <t>Accounts Payable</t>
        </is>
      </c>
      <c r="I2711" s="33" t="n">
        <v>-2761.11</v>
      </c>
      <c r="J2711" s="13">
        <f>+J2710+I2711</f>
        <v>410776.66</v>
      </c>
      <c r="K2711" s="19">
        <f>+EOMONTH(B2711,0)</f>
        <v>46356</v>
      </c>
      <c r="L2711" s="3" t="inlineStr">
        <is>
          <t>Accounts Payable</t>
        </is>
      </c>
      <c r="M2711" s="3" t="inlineStr">
        <is>
          <t>Balance Sheet</t>
        </is>
      </c>
    </row>
    <row r="2712">
      <c r="B2712" s="39" t="n">
        <v>46336</v>
      </c>
      <c r="C2712" s="3" t="inlineStr">
        <is>
          <t>Bill</t>
        </is>
      </c>
      <c r="D2712" s="3" t="inlineStr"/>
      <c r="E2712" s="3" t="inlineStr">
        <is>
          <t>Reagentix Corp</t>
        </is>
      </c>
      <c r="F2712" s="3" t="inlineStr">
        <is>
          <t>Lab Expenses – November</t>
        </is>
      </c>
      <c r="G2712" s="3" t="inlineStr">
        <is>
          <t>Lab Expenses</t>
        </is>
      </c>
      <c r="H2712" s="3" t="inlineStr">
        <is>
          <t>Accounts Payable</t>
        </is>
      </c>
      <c r="I2712" s="33" t="n">
        <v>5263.44</v>
      </c>
      <c r="J2712" s="13">
        <f>+J2711+I2712</f>
        <v>416040.1</v>
      </c>
      <c r="K2712" s="19">
        <f>+EOMONTH(B2712,0)</f>
        <v>46356</v>
      </c>
      <c r="L2712" s="3" t="inlineStr">
        <is>
          <t>Accounts Payable</t>
        </is>
      </c>
      <c r="M2712" s="3" t="inlineStr">
        <is>
          <t>Balance Sheet</t>
        </is>
      </c>
    </row>
    <row r="2713">
      <c r="B2713" s="39" t="n">
        <v>46336</v>
      </c>
      <c r="C2713" s="3" t="inlineStr">
        <is>
          <t>Bill</t>
        </is>
      </c>
      <c r="D2713" s="3" t="inlineStr"/>
      <c r="E2713" s="3" t="inlineStr">
        <is>
          <t>Ledgerquill Billing SaaS</t>
        </is>
      </c>
      <c r="F2713" s="3" t="inlineStr">
        <is>
          <t>Billing Software as a Service – November</t>
        </is>
      </c>
      <c r="G2713" s="3" t="inlineStr">
        <is>
          <t>Billing Software as a Service</t>
        </is>
      </c>
      <c r="H2713" s="3" t="inlineStr">
        <is>
          <t>Accounts Payable</t>
        </is>
      </c>
      <c r="I2713" s="33" t="n">
        <v>14713.76</v>
      </c>
      <c r="J2713" s="13">
        <f>+J2712+I2713</f>
        <v>430753.86</v>
      </c>
      <c r="K2713" s="19">
        <f>+EOMONTH(B2713,0)</f>
        <v>46356</v>
      </c>
      <c r="L2713" s="3" t="inlineStr">
        <is>
          <t>Accounts Payable</t>
        </is>
      </c>
      <c r="M2713" s="3" t="inlineStr">
        <is>
          <t>Balance Sheet</t>
        </is>
      </c>
    </row>
    <row r="2714">
      <c r="B2714" s="39" t="n">
        <v>46336</v>
      </c>
      <c r="C2714" s="3" t="inlineStr">
        <is>
          <t>Bill Payment (Check)</t>
        </is>
      </c>
      <c r="D2714" s="3" t="inlineStr">
        <is>
          <t>10721</t>
        </is>
      </c>
      <c r="E2714" s="3" t="inlineStr">
        <is>
          <t>Tarrowmere Mutual Insurance</t>
        </is>
      </c>
      <c r="F2714" s="3" t="inlineStr">
        <is>
          <t>Premium installment</t>
        </is>
      </c>
      <c r="G2714" s="3" t="inlineStr">
        <is>
          <t>Checking – Operating</t>
        </is>
      </c>
      <c r="H2714" s="3" t="inlineStr">
        <is>
          <t>Accounts Payable</t>
        </is>
      </c>
      <c r="I2714" s="33" t="n">
        <v>-6620.72</v>
      </c>
      <c r="J2714" s="13">
        <f>+J2713+I2714</f>
        <v>424133.14</v>
      </c>
      <c r="K2714" s="19">
        <f>+EOMONTH(B2714,0)</f>
        <v>46356</v>
      </c>
      <c r="L2714" s="3" t="inlineStr">
        <is>
          <t>Accounts Payable</t>
        </is>
      </c>
      <c r="M2714" s="3" t="inlineStr">
        <is>
          <t>Balance Sheet</t>
        </is>
      </c>
    </row>
    <row r="2715">
      <c r="B2715" s="39" t="n">
        <v>46337</v>
      </c>
      <c r="C2715" s="3" t="inlineStr">
        <is>
          <t>Bill Payment (Check)</t>
        </is>
      </c>
      <c r="D2715" s="3" t="inlineStr">
        <is>
          <t>10535</t>
        </is>
      </c>
      <c r="E2715" s="3" t="inlineStr">
        <is>
          <t>Reference Lab A</t>
        </is>
      </c>
      <c r="F2715" s="3" t="inlineStr">
        <is>
          <t>Send-out testing – October</t>
        </is>
      </c>
      <c r="G2715" s="3" t="inlineStr">
        <is>
          <t>Checking – Operating</t>
        </is>
      </c>
      <c r="H2715" s="3" t="inlineStr">
        <is>
          <t>Accounts Payable</t>
        </is>
      </c>
      <c r="I2715" s="33" t="n">
        <v>-21065.03</v>
      </c>
      <c r="J2715" s="13">
        <f>+J2714+I2715</f>
        <v>403068.11</v>
      </c>
      <c r="K2715" s="19">
        <f>+EOMONTH(B2715,0)</f>
        <v>46356</v>
      </c>
      <c r="L2715" s="3" t="inlineStr">
        <is>
          <t>Accounts Payable</t>
        </is>
      </c>
      <c r="M2715" s="3" t="inlineStr">
        <is>
          <t>Balance Sheet</t>
        </is>
      </c>
    </row>
    <row r="2716">
      <c r="B2716" s="39" t="n">
        <v>46337</v>
      </c>
      <c r="C2716" s="3" t="inlineStr">
        <is>
          <t>Bill Payment (Check)</t>
        </is>
      </c>
      <c r="D2716" s="3" t="inlineStr">
        <is>
          <t>10933</t>
        </is>
      </c>
      <c r="E2716" s="3" t="inlineStr">
        <is>
          <t>Halloway Ridge Realty (rent)</t>
        </is>
      </c>
      <c r="F2716" s="3" t="inlineStr">
        <is>
          <t>Rent – October</t>
        </is>
      </c>
      <c r="G2716" s="3" t="inlineStr">
        <is>
          <t>Checking – Operating</t>
        </is>
      </c>
      <c r="H2716" s="3" t="inlineStr">
        <is>
          <t>Accounts Payable</t>
        </is>
      </c>
      <c r="I2716" s="33" t="n">
        <v>-12718.39</v>
      </c>
      <c r="J2716" s="13">
        <f>+J2715+I2716</f>
        <v>390349.72</v>
      </c>
      <c r="K2716" s="19">
        <f>+EOMONTH(B2716,0)</f>
        <v>46356</v>
      </c>
      <c r="L2716" s="3" t="inlineStr">
        <is>
          <t>Accounts Payable</t>
        </is>
      </c>
      <c r="M2716" s="3" t="inlineStr">
        <is>
          <t>Balance Sheet</t>
        </is>
      </c>
    </row>
    <row r="2717">
      <c r="B2717" s="39" t="n">
        <v>46338</v>
      </c>
      <c r="C2717" s="3" t="inlineStr">
        <is>
          <t>Bill</t>
        </is>
      </c>
      <c r="D2717" s="3" t="inlineStr"/>
      <c r="E2717" s="3" t="inlineStr">
        <is>
          <t>Reagentix Corp</t>
        </is>
      </c>
      <c r="F2717" s="3" t="inlineStr">
        <is>
          <t>Lab supplies PO# F2745</t>
        </is>
      </c>
      <c r="G2717" s="3" t="inlineStr">
        <is>
          <t>Lab Supplies</t>
        </is>
      </c>
      <c r="H2717" s="3" t="inlineStr">
        <is>
          <t>Accounts Payable</t>
        </is>
      </c>
      <c r="I2717" s="33" t="n">
        <v>34262.52</v>
      </c>
      <c r="J2717" s="13">
        <f>+J2716+I2717</f>
        <v>424612.24</v>
      </c>
      <c r="K2717" s="19">
        <f>+EOMONTH(B2717,0)</f>
        <v>46356</v>
      </c>
      <c r="L2717" s="3" t="inlineStr">
        <is>
          <t>Accounts Payable</t>
        </is>
      </c>
      <c r="M2717" s="3" t="inlineStr">
        <is>
          <t>Balance Sheet</t>
        </is>
      </c>
    </row>
    <row r="2718">
      <c r="B2718" s="39" t="n">
        <v>46338</v>
      </c>
      <c r="C2718" s="3" t="inlineStr">
        <is>
          <t>Bill Payment (Check)</t>
        </is>
      </c>
      <c r="D2718" s="3" t="inlineStr">
        <is>
          <t>10494</t>
        </is>
      </c>
      <c r="E2718" s="3" t="inlineStr">
        <is>
          <t>Vialtrace Lab Supplies Inc</t>
        </is>
      </c>
      <c r="F2718" s="3" t="inlineStr">
        <is>
          <t>Lab supplies PO# F2630</t>
        </is>
      </c>
      <c r="G2718" s="3" t="inlineStr">
        <is>
          <t>Checking – Operating</t>
        </is>
      </c>
      <c r="H2718" s="3" t="inlineStr">
        <is>
          <t>Accounts Payable</t>
        </is>
      </c>
      <c r="I2718" s="33" t="n">
        <v>-32401.18</v>
      </c>
      <c r="J2718" s="13">
        <f>+J2717+I2718</f>
        <v>392211.06</v>
      </c>
      <c r="K2718" s="19">
        <f>+EOMONTH(B2718,0)</f>
        <v>46356</v>
      </c>
      <c r="L2718" s="3" t="inlineStr">
        <is>
          <t>Accounts Payable</t>
        </is>
      </c>
      <c r="M2718" s="3" t="inlineStr">
        <is>
          <t>Balance Sheet</t>
        </is>
      </c>
    </row>
    <row r="2719">
      <c r="B2719" s="39" t="n">
        <v>46340</v>
      </c>
      <c r="C2719" s="3" t="inlineStr">
        <is>
          <t>Bill</t>
        </is>
      </c>
      <c r="D2719" s="3" t="inlineStr"/>
      <c r="E2719" s="3" t="inlineStr">
        <is>
          <t>Swiftmere Courier</t>
        </is>
      </c>
      <c r="F2719" s="3" t="inlineStr">
        <is>
          <t>Delivery and Transportation – November</t>
        </is>
      </c>
      <c r="G2719" s="3" t="inlineStr">
        <is>
          <t>Delivery and Transportation</t>
        </is>
      </c>
      <c r="H2719" s="3" t="inlineStr">
        <is>
          <t>Accounts Payable</t>
        </is>
      </c>
      <c r="I2719" s="33" t="n">
        <v>7180.27</v>
      </c>
      <c r="J2719" s="13">
        <f>+J2718+I2719</f>
        <v>399391.33</v>
      </c>
      <c r="K2719" s="19">
        <f>+EOMONTH(B2719,0)</f>
        <v>46356</v>
      </c>
      <c r="L2719" s="3" t="inlineStr">
        <is>
          <t>Accounts Payable</t>
        </is>
      </c>
      <c r="M2719" s="3" t="inlineStr">
        <is>
          <t>Balance Sheet</t>
        </is>
      </c>
    </row>
    <row r="2720">
      <c r="B2720" s="39" t="n">
        <v>46340</v>
      </c>
      <c r="C2720" s="3" t="inlineStr">
        <is>
          <t>Bill</t>
        </is>
      </c>
      <c r="D2720" s="3" t="inlineStr"/>
      <c r="E2720" s="3" t="inlineStr">
        <is>
          <t>Halloway Ridge Realty (rent)</t>
        </is>
      </c>
      <c r="F2720" s="3" t="inlineStr">
        <is>
          <t>Rent – November</t>
        </is>
      </c>
      <c r="G2720" s="3" t="inlineStr">
        <is>
          <t>Rent Expense</t>
        </is>
      </c>
      <c r="H2720" s="3" t="inlineStr">
        <is>
          <t>Accounts Payable</t>
        </is>
      </c>
      <c r="I2720" s="33" t="n">
        <v>8863.25</v>
      </c>
      <c r="J2720" s="13">
        <f>+J2719+I2720</f>
        <v>408254.58</v>
      </c>
      <c r="K2720" s="19">
        <f>+EOMONTH(B2720,0)</f>
        <v>46356</v>
      </c>
      <c r="L2720" s="3" t="inlineStr">
        <is>
          <t>Accounts Payable</t>
        </is>
      </c>
      <c r="M2720" s="3" t="inlineStr">
        <is>
          <t>Balance Sheet</t>
        </is>
      </c>
    </row>
    <row r="2721">
      <c r="B2721" s="39" t="n">
        <v>46340</v>
      </c>
      <c r="C2721" s="3" t="inlineStr">
        <is>
          <t>Bill</t>
        </is>
      </c>
      <c r="D2721" s="3" t="inlineStr"/>
      <c r="E2721" s="3" t="inlineStr">
        <is>
          <t>Tarrowmere Mutual Insurance</t>
        </is>
      </c>
      <c r="F2721" s="3" t="inlineStr">
        <is>
          <t>Benefits – November</t>
        </is>
      </c>
      <c r="G2721" s="3" t="inlineStr">
        <is>
          <t>Benefits</t>
        </is>
      </c>
      <c r="H2721" s="3" t="inlineStr">
        <is>
          <t>Accounts Payable</t>
        </is>
      </c>
      <c r="I2721" s="33" t="n">
        <v>4072.24</v>
      </c>
      <c r="J2721" s="13">
        <f>+J2720+I2721</f>
        <v>412326.82</v>
      </c>
      <c r="K2721" s="19">
        <f>+EOMONTH(B2721,0)</f>
        <v>46356</v>
      </c>
      <c r="L2721" s="3" t="inlineStr">
        <is>
          <t>Accounts Payable</t>
        </is>
      </c>
      <c r="M2721" s="3" t="inlineStr">
        <is>
          <t>Balance Sheet</t>
        </is>
      </c>
    </row>
    <row r="2722">
      <c r="B2722" s="39" t="n">
        <v>46340</v>
      </c>
      <c r="C2722" s="3" t="inlineStr">
        <is>
          <t>Bill Payment (Check)</t>
        </is>
      </c>
      <c r="D2722" s="3" t="inlineStr">
        <is>
          <t>10723</t>
        </is>
      </c>
      <c r="E2722" s="3" t="inlineStr">
        <is>
          <t>Tarrowmere Mutual Insurance</t>
        </is>
      </c>
      <c r="F2722" s="3" t="inlineStr">
        <is>
          <t>Premium installment</t>
        </is>
      </c>
      <c r="G2722" s="3" t="inlineStr">
        <is>
          <t>Checking – Operating</t>
        </is>
      </c>
      <c r="H2722" s="3" t="inlineStr">
        <is>
          <t>Accounts Payable</t>
        </is>
      </c>
      <c r="I2722" s="33" t="n">
        <v>-6255.32</v>
      </c>
      <c r="J2722" s="13">
        <f>+J2721+I2722</f>
        <v>406071.5</v>
      </c>
      <c r="K2722" s="19">
        <f>+EOMONTH(B2722,0)</f>
        <v>46356</v>
      </c>
      <c r="L2722" s="3" t="inlineStr">
        <is>
          <t>Accounts Payable</t>
        </is>
      </c>
      <c r="M2722" s="3" t="inlineStr">
        <is>
          <t>Balance Sheet</t>
        </is>
      </c>
    </row>
    <row r="2723">
      <c r="B2723" s="39" t="n">
        <v>46340</v>
      </c>
      <c r="C2723" s="3" t="inlineStr">
        <is>
          <t>Bill Payment (Check)</t>
        </is>
      </c>
      <c r="D2723" s="3" t="inlineStr">
        <is>
          <t>11175</t>
        </is>
      </c>
      <c r="E2723" s="3" t="inlineStr">
        <is>
          <t>Tarrowmere Mutual Insurance</t>
        </is>
      </c>
      <c r="F2723" s="3" t="inlineStr">
        <is>
          <t>Benefits – October</t>
        </is>
      </c>
      <c r="G2723" s="3" t="inlineStr">
        <is>
          <t>Checking – Operating</t>
        </is>
      </c>
      <c r="H2723" s="3" t="inlineStr">
        <is>
          <t>Accounts Payable</t>
        </is>
      </c>
      <c r="I2723" s="33" t="n">
        <v>-4315.8</v>
      </c>
      <c r="J2723" s="13">
        <f>+J2722+I2723</f>
        <v>401755.7</v>
      </c>
      <c r="K2723" s="19">
        <f>+EOMONTH(B2723,0)</f>
        <v>46356</v>
      </c>
      <c r="L2723" s="3" t="inlineStr">
        <is>
          <t>Accounts Payable</t>
        </is>
      </c>
      <c r="M2723" s="3" t="inlineStr">
        <is>
          <t>Balance Sheet</t>
        </is>
      </c>
    </row>
    <row r="2724">
      <c r="B2724" s="39" t="n">
        <v>46341</v>
      </c>
      <c r="C2724" s="3" t="inlineStr">
        <is>
          <t>Bill</t>
        </is>
      </c>
      <c r="D2724" s="3" t="inlineStr"/>
      <c r="E2724" s="3" t="inlineStr">
        <is>
          <t>Union Utilities</t>
        </is>
      </c>
      <c r="F2724" s="3" t="inlineStr">
        <is>
          <t>Utilities – November</t>
        </is>
      </c>
      <c r="G2724" s="3" t="inlineStr">
        <is>
          <t>Utilities</t>
        </is>
      </c>
      <c r="H2724" s="3" t="inlineStr">
        <is>
          <t>Accounts Payable</t>
        </is>
      </c>
      <c r="I2724" s="33" t="n">
        <v>7138.56</v>
      </c>
      <c r="J2724" s="13">
        <f>+J2723+I2724</f>
        <v>408894.26</v>
      </c>
      <c r="K2724" s="19">
        <f>+EOMONTH(B2724,0)</f>
        <v>46356</v>
      </c>
      <c r="L2724" s="3" t="inlineStr">
        <is>
          <t>Accounts Payable</t>
        </is>
      </c>
      <c r="M2724" s="3" t="inlineStr">
        <is>
          <t>Balance Sheet</t>
        </is>
      </c>
    </row>
    <row r="2725">
      <c r="B2725" s="39" t="n">
        <v>46341</v>
      </c>
      <c r="C2725" s="3" t="inlineStr">
        <is>
          <t>Bill Payment (Check)</t>
        </is>
      </c>
      <c r="D2725" s="3" t="inlineStr">
        <is>
          <t>10453</t>
        </is>
      </c>
      <c r="E2725" s="3" t="inlineStr">
        <is>
          <t>Vialtrace Lab Supplies Inc</t>
        </is>
      </c>
      <c r="F2725" s="3" t="inlineStr">
        <is>
          <t>Lab Expenses – October</t>
        </is>
      </c>
      <c r="G2725" s="3" t="inlineStr">
        <is>
          <t>Checking – Operating</t>
        </is>
      </c>
      <c r="H2725" s="3" t="inlineStr">
        <is>
          <t>Accounts Payable</t>
        </is>
      </c>
      <c r="I2725" s="33" t="n">
        <v>-9027.120000000001</v>
      </c>
      <c r="J2725" s="13">
        <f>+J2724+I2725</f>
        <v>399867.14</v>
      </c>
      <c r="K2725" s="19">
        <f>+EOMONTH(B2725,0)</f>
        <v>46356</v>
      </c>
      <c r="L2725" s="3" t="inlineStr">
        <is>
          <t>Accounts Payable</t>
        </is>
      </c>
      <c r="M2725" s="3" t="inlineStr">
        <is>
          <t>Balance Sheet</t>
        </is>
      </c>
    </row>
    <row r="2726">
      <c r="B2726" s="39" t="n">
        <v>46341</v>
      </c>
      <c r="C2726" s="3" t="inlineStr">
        <is>
          <t>Bill Payment (Check)</t>
        </is>
      </c>
      <c r="D2726" s="3" t="inlineStr">
        <is>
          <t>10753</t>
        </is>
      </c>
      <c r="E2726" s="3" t="inlineStr">
        <is>
          <t>Lumenlease Equipment</t>
        </is>
      </c>
      <c r="F2726" s="3" t="inlineStr">
        <is>
          <t>Equipment Lease – October</t>
        </is>
      </c>
      <c r="G2726" s="3" t="inlineStr">
        <is>
          <t>Checking – Operating</t>
        </is>
      </c>
      <c r="H2726" s="3" t="inlineStr">
        <is>
          <t>Accounts Payable</t>
        </is>
      </c>
      <c r="I2726" s="33" t="n">
        <v>-7102.3</v>
      </c>
      <c r="J2726" s="13">
        <f>+J2725+I2726</f>
        <v>392764.84</v>
      </c>
      <c r="K2726" s="19">
        <f>+EOMONTH(B2726,0)</f>
        <v>46356</v>
      </c>
      <c r="L2726" s="3" t="inlineStr">
        <is>
          <t>Accounts Payable</t>
        </is>
      </c>
      <c r="M2726" s="3" t="inlineStr">
        <is>
          <t>Balance Sheet</t>
        </is>
      </c>
    </row>
    <row r="2727">
      <c r="B2727" s="39" t="n">
        <v>46341</v>
      </c>
      <c r="C2727" s="3" t="inlineStr">
        <is>
          <t>Bill Payment (Check)</t>
        </is>
      </c>
      <c r="D2727" s="3" t="inlineStr">
        <is>
          <t>10930</t>
        </is>
      </c>
      <c r="E2727" s="3" t="inlineStr">
        <is>
          <t>Halloway Ridge Realty (rent)</t>
        </is>
      </c>
      <c r="F2727" s="3" t="inlineStr">
        <is>
          <t>Rent – October</t>
        </is>
      </c>
      <c r="G2727" s="3" t="inlineStr">
        <is>
          <t>Checking – Operating</t>
        </is>
      </c>
      <c r="H2727" s="3" t="inlineStr">
        <is>
          <t>Accounts Payable</t>
        </is>
      </c>
      <c r="I2727" s="33" t="n">
        <v>-10941.39</v>
      </c>
      <c r="J2727" s="13">
        <f>+J2726+I2727</f>
        <v>381823.45</v>
      </c>
      <c r="K2727" s="19">
        <f>+EOMONTH(B2727,0)</f>
        <v>46356</v>
      </c>
      <c r="L2727" s="3" t="inlineStr">
        <is>
          <t>Accounts Payable</t>
        </is>
      </c>
      <c r="M2727" s="3" t="inlineStr">
        <is>
          <t>Balance Sheet</t>
        </is>
      </c>
    </row>
    <row r="2728">
      <c r="B2728" s="39" t="n">
        <v>46342</v>
      </c>
      <c r="C2728" s="3" t="inlineStr">
        <is>
          <t>Bill</t>
        </is>
      </c>
      <c r="D2728" s="3" t="inlineStr"/>
      <c r="E2728" s="3" t="inlineStr">
        <is>
          <t>Ledgerquill Billing SaaS</t>
        </is>
      </c>
      <c r="F2728" s="3" t="inlineStr">
        <is>
          <t>Billing Software as a Service – November</t>
        </is>
      </c>
      <c r="G2728" s="3" t="inlineStr">
        <is>
          <t>Billing Software as a Service</t>
        </is>
      </c>
      <c r="H2728" s="3" t="inlineStr">
        <is>
          <t>Accounts Payable</t>
        </is>
      </c>
      <c r="I2728" s="33" t="n">
        <v>7542.39</v>
      </c>
      <c r="J2728" s="13">
        <f>+J2727+I2728</f>
        <v>389365.84</v>
      </c>
      <c r="K2728" s="19">
        <f>+EOMONTH(B2728,0)</f>
        <v>46356</v>
      </c>
      <c r="L2728" s="3" t="inlineStr">
        <is>
          <t>Accounts Payable</t>
        </is>
      </c>
      <c r="M2728" s="3" t="inlineStr">
        <is>
          <t>Balance Sheet</t>
        </is>
      </c>
    </row>
    <row r="2729">
      <c r="B2729" s="39" t="n">
        <v>46342</v>
      </c>
      <c r="C2729" s="3" t="inlineStr">
        <is>
          <t>Bill</t>
        </is>
      </c>
      <c r="D2729" s="3" t="inlineStr"/>
      <c r="E2729" s="3" t="inlineStr">
        <is>
          <t>Ledgerquill Billing SaaS</t>
        </is>
      </c>
      <c r="F2729" s="3" t="inlineStr">
        <is>
          <t>Billing Software as a Service – November</t>
        </is>
      </c>
      <c r="G2729" s="3" t="inlineStr">
        <is>
          <t>Billing Software as a Service</t>
        </is>
      </c>
      <c r="H2729" s="3" t="inlineStr">
        <is>
          <t>Accounts Payable</t>
        </is>
      </c>
      <c r="I2729" s="33" t="n">
        <v>10544.22</v>
      </c>
      <c r="J2729" s="13">
        <f>+J2728+I2729</f>
        <v>399910.06</v>
      </c>
      <c r="K2729" s="19">
        <f>+EOMONTH(B2729,0)</f>
        <v>46356</v>
      </c>
      <c r="L2729" s="3" t="inlineStr">
        <is>
          <t>Accounts Payable</t>
        </is>
      </c>
      <c r="M2729" s="3" t="inlineStr">
        <is>
          <t>Balance Sheet</t>
        </is>
      </c>
    </row>
    <row r="2730">
      <c r="B2730" s="39" t="n">
        <v>46342</v>
      </c>
      <c r="C2730" s="3" t="inlineStr">
        <is>
          <t>Bill Payment (Check)</t>
        </is>
      </c>
      <c r="D2730" s="3" t="inlineStr">
        <is>
          <t>10932</t>
        </is>
      </c>
      <c r="E2730" s="3" t="inlineStr">
        <is>
          <t>Halloway Ridge Realty (rent)</t>
        </is>
      </c>
      <c r="F2730" s="3" t="inlineStr">
        <is>
          <t>Rent – October</t>
        </is>
      </c>
      <c r="G2730" s="3" t="inlineStr">
        <is>
          <t>Checking – Operating</t>
        </is>
      </c>
      <c r="H2730" s="3" t="inlineStr">
        <is>
          <t>Accounts Payable</t>
        </is>
      </c>
      <c r="I2730" s="33" t="n">
        <v>-10048.35</v>
      </c>
      <c r="J2730" s="13">
        <f>+J2729+I2730</f>
        <v>389861.71</v>
      </c>
      <c r="K2730" s="19">
        <f>+EOMONTH(B2730,0)</f>
        <v>46356</v>
      </c>
      <c r="L2730" s="3" t="inlineStr">
        <is>
          <t>Accounts Payable</t>
        </is>
      </c>
      <c r="M2730" s="3" t="inlineStr">
        <is>
          <t>Balance Sheet</t>
        </is>
      </c>
    </row>
    <row r="2731">
      <c r="B2731" s="39" t="n">
        <v>46345</v>
      </c>
      <c r="C2731" s="3" t="inlineStr">
        <is>
          <t>Bill</t>
        </is>
      </c>
      <c r="D2731" s="3" t="inlineStr"/>
      <c r="E2731" s="3" t="inlineStr">
        <is>
          <t>Ledgerquill Billing SaaS</t>
        </is>
      </c>
      <c r="F2731" s="3" t="inlineStr">
        <is>
          <t>Billing Software as a Service – November</t>
        </is>
      </c>
      <c r="G2731" s="3" t="inlineStr">
        <is>
          <t>Billing Software as a Service</t>
        </is>
      </c>
      <c r="H2731" s="3" t="inlineStr">
        <is>
          <t>Accounts Payable</t>
        </is>
      </c>
      <c r="I2731" s="33" t="n">
        <v>14167.59</v>
      </c>
      <c r="J2731" s="13">
        <f>+J2730+I2731</f>
        <v>404029.3</v>
      </c>
      <c r="K2731" s="19">
        <f>+EOMONTH(B2731,0)</f>
        <v>46356</v>
      </c>
      <c r="L2731" s="3" t="inlineStr">
        <is>
          <t>Accounts Payable</t>
        </is>
      </c>
      <c r="M2731" s="3" t="inlineStr">
        <is>
          <t>Balance Sheet</t>
        </is>
      </c>
    </row>
    <row r="2732">
      <c r="B2732" s="39" t="n">
        <v>46345</v>
      </c>
      <c r="C2732" s="3" t="inlineStr">
        <is>
          <t>Bill Payment (Check)</t>
        </is>
      </c>
      <c r="D2732" s="3" t="inlineStr">
        <is>
          <t>10497</t>
        </is>
      </c>
      <c r="E2732" s="3" t="inlineStr">
        <is>
          <t>Vialtrace Lab Supplies Inc</t>
        </is>
      </c>
      <c r="F2732" s="3" t="inlineStr">
        <is>
          <t>Lab supplies PO# F2444</t>
        </is>
      </c>
      <c r="G2732" s="3" t="inlineStr">
        <is>
          <t>Checking – Operating</t>
        </is>
      </c>
      <c r="H2732" s="3" t="inlineStr">
        <is>
          <t>Accounts Payable</t>
        </is>
      </c>
      <c r="I2732" s="33" t="n">
        <v>-27020.96</v>
      </c>
      <c r="J2732" s="13">
        <f>+J2731+I2732</f>
        <v>377008.34</v>
      </c>
      <c r="K2732" s="19">
        <f>+EOMONTH(B2732,0)</f>
        <v>46356</v>
      </c>
      <c r="L2732" s="3" t="inlineStr">
        <is>
          <t>Accounts Payable</t>
        </is>
      </c>
      <c r="M2732" s="3" t="inlineStr">
        <is>
          <t>Balance Sheet</t>
        </is>
      </c>
    </row>
    <row r="2733">
      <c r="B2733" s="39" t="n">
        <v>46345</v>
      </c>
      <c r="C2733" s="3" t="inlineStr">
        <is>
          <t>Bill Payment (Check)</t>
        </is>
      </c>
      <c r="D2733" s="3" t="inlineStr">
        <is>
          <t>10686</t>
        </is>
      </c>
      <c r="E2733" s="3" t="inlineStr">
        <is>
          <t>Lumenlease Equipment</t>
        </is>
      </c>
      <c r="F2733" s="3" t="inlineStr">
        <is>
          <t>Lab Equipment – October</t>
        </is>
      </c>
      <c r="G2733" s="3" t="inlineStr">
        <is>
          <t>Checking – Operating</t>
        </is>
      </c>
      <c r="H2733" s="3" t="inlineStr">
        <is>
          <t>Accounts Payable</t>
        </is>
      </c>
      <c r="I2733" s="33" t="n">
        <v>-2979.35</v>
      </c>
      <c r="J2733" s="13">
        <f>+J2732+I2733</f>
        <v>374028.99</v>
      </c>
      <c r="K2733" s="19">
        <f>+EOMONTH(B2733,0)</f>
        <v>46356</v>
      </c>
      <c r="L2733" s="3" t="inlineStr">
        <is>
          <t>Accounts Payable</t>
        </is>
      </c>
      <c r="M2733" s="3" t="inlineStr">
        <is>
          <t>Balance Sheet</t>
        </is>
      </c>
    </row>
    <row r="2734">
      <c r="B2734" s="39" t="n">
        <v>46345</v>
      </c>
      <c r="C2734" s="3" t="inlineStr">
        <is>
          <t>Bill Payment (Check)</t>
        </is>
      </c>
      <c r="D2734" s="3" t="inlineStr">
        <is>
          <t>10931</t>
        </is>
      </c>
      <c r="E2734" s="3" t="inlineStr">
        <is>
          <t>Halloway Ridge Realty (rent)</t>
        </is>
      </c>
      <c r="F2734" s="3" t="inlineStr">
        <is>
          <t>Rent – October</t>
        </is>
      </c>
      <c r="G2734" s="3" t="inlineStr">
        <is>
          <t>Checking – Operating</t>
        </is>
      </c>
      <c r="H2734" s="3" t="inlineStr">
        <is>
          <t>Accounts Payable</t>
        </is>
      </c>
      <c r="I2734" s="33" t="n">
        <v>-10034.77</v>
      </c>
      <c r="J2734" s="13">
        <f>+J2733+I2734</f>
        <v>363994.22</v>
      </c>
      <c r="K2734" s="19">
        <f>+EOMONTH(B2734,0)</f>
        <v>46356</v>
      </c>
      <c r="L2734" s="3" t="inlineStr">
        <is>
          <t>Accounts Payable</t>
        </is>
      </c>
      <c r="M2734" s="3" t="inlineStr">
        <is>
          <t>Balance Sheet</t>
        </is>
      </c>
    </row>
    <row r="2735">
      <c r="B2735" s="39" t="n">
        <v>46345</v>
      </c>
      <c r="C2735" s="3" t="inlineStr">
        <is>
          <t>Bill Payment (Check)</t>
        </is>
      </c>
      <c r="D2735" s="3" t="inlineStr">
        <is>
          <t>10935</t>
        </is>
      </c>
      <c r="E2735" s="3" t="inlineStr">
        <is>
          <t>Halloway Ridge Realty (rent)</t>
        </is>
      </c>
      <c r="F2735" s="3" t="inlineStr">
        <is>
          <t>Rent – November</t>
        </is>
      </c>
      <c r="G2735" s="3" t="inlineStr">
        <is>
          <t>Checking – Operating</t>
        </is>
      </c>
      <c r="H2735" s="3" t="inlineStr">
        <is>
          <t>Accounts Payable</t>
        </is>
      </c>
      <c r="I2735" s="33" t="n">
        <v>-10289.73</v>
      </c>
      <c r="J2735" s="13">
        <f>+J2734+I2735</f>
        <v>353704.49</v>
      </c>
      <c r="K2735" s="19">
        <f>+EOMONTH(B2735,0)</f>
        <v>46356</v>
      </c>
      <c r="L2735" s="3" t="inlineStr">
        <is>
          <t>Accounts Payable</t>
        </is>
      </c>
      <c r="M2735" s="3" t="inlineStr">
        <is>
          <t>Balance Sheet</t>
        </is>
      </c>
    </row>
    <row r="2736">
      <c r="B2736" s="39" t="n">
        <v>46345</v>
      </c>
      <c r="C2736" s="3" t="inlineStr">
        <is>
          <t>Bill Payment (Check)</t>
        </is>
      </c>
      <c r="D2736" s="3" t="inlineStr">
        <is>
          <t>11255</t>
        </is>
      </c>
      <c r="E2736" s="3" t="inlineStr">
        <is>
          <t>Ledgerquill Billing SaaS</t>
        </is>
      </c>
      <c r="F2736" s="3" t="inlineStr">
        <is>
          <t>Billing Software as a Service – October</t>
        </is>
      </c>
      <c r="G2736" s="3" t="inlineStr">
        <is>
          <t>Checking – Operating</t>
        </is>
      </c>
      <c r="H2736" s="3" t="inlineStr">
        <is>
          <t>Accounts Payable</t>
        </is>
      </c>
      <c r="I2736" s="33" t="n">
        <v>-26598.95</v>
      </c>
      <c r="J2736" s="13">
        <f>+J2735+I2736</f>
        <v>327105.54</v>
      </c>
      <c r="K2736" s="19">
        <f>+EOMONTH(B2736,0)</f>
        <v>46356</v>
      </c>
      <c r="L2736" s="3" t="inlineStr">
        <is>
          <t>Accounts Payable</t>
        </is>
      </c>
      <c r="M2736" s="3" t="inlineStr">
        <is>
          <t>Balance Sheet</t>
        </is>
      </c>
    </row>
    <row r="2737">
      <c r="B2737" s="39" t="n">
        <v>46346</v>
      </c>
      <c r="C2737" s="3" t="inlineStr">
        <is>
          <t>Bill Payment (Check)</t>
        </is>
      </c>
      <c r="D2737" s="3" t="inlineStr">
        <is>
          <t>10491</t>
        </is>
      </c>
      <c r="E2737" s="3" t="inlineStr">
        <is>
          <t>Vialtrace Lab Supplies Inc</t>
        </is>
      </c>
      <c r="F2737" s="3" t="inlineStr">
        <is>
          <t>Lab supplies PO# F2626</t>
        </is>
      </c>
      <c r="G2737" s="3" t="inlineStr">
        <is>
          <t>Checking – Operating</t>
        </is>
      </c>
      <c r="H2737" s="3" t="inlineStr">
        <is>
          <t>Accounts Payable</t>
        </is>
      </c>
      <c r="I2737" s="33" t="n">
        <v>-15594.02</v>
      </c>
      <c r="J2737" s="13">
        <f>+J2736+I2737</f>
        <v>311511.52</v>
      </c>
      <c r="K2737" s="19">
        <f>+EOMONTH(B2737,0)</f>
        <v>46356</v>
      </c>
      <c r="L2737" s="3" t="inlineStr">
        <is>
          <t>Accounts Payable</t>
        </is>
      </c>
      <c r="M2737" s="3" t="inlineStr">
        <is>
          <t>Balance Sheet</t>
        </is>
      </c>
    </row>
    <row r="2738">
      <c r="B2738" s="39" t="n">
        <v>46346</v>
      </c>
      <c r="C2738" s="3" t="inlineStr">
        <is>
          <t>Bill Payment (Check)</t>
        </is>
      </c>
      <c r="D2738" s="3" t="inlineStr">
        <is>
          <t>10537</t>
        </is>
      </c>
      <c r="E2738" s="3" t="inlineStr">
        <is>
          <t>Reference Lab A</t>
        </is>
      </c>
      <c r="F2738" s="3" t="inlineStr">
        <is>
          <t>Send-out testing – November</t>
        </is>
      </c>
      <c r="G2738" s="3" t="inlineStr">
        <is>
          <t>Checking – Operating</t>
        </is>
      </c>
      <c r="H2738" s="3" t="inlineStr">
        <is>
          <t>Accounts Payable</t>
        </is>
      </c>
      <c r="I2738" s="33" t="n">
        <v>-15885.3</v>
      </c>
      <c r="J2738" s="13">
        <f>+J2737+I2738</f>
        <v>295626.22</v>
      </c>
      <c r="K2738" s="19">
        <f>+EOMONTH(B2738,0)</f>
        <v>46356</v>
      </c>
      <c r="L2738" s="3" t="inlineStr">
        <is>
          <t>Accounts Payable</t>
        </is>
      </c>
      <c r="M2738" s="3" t="inlineStr">
        <is>
          <t>Balance Sheet</t>
        </is>
      </c>
    </row>
    <row r="2739">
      <c r="B2739" s="39" t="n">
        <v>46346</v>
      </c>
      <c r="C2739" s="3" t="inlineStr">
        <is>
          <t>Bill Payment (Check)</t>
        </is>
      </c>
      <c r="D2739" s="3" t="inlineStr">
        <is>
          <t>10580</t>
        </is>
      </c>
      <c r="E2739" s="3" t="inlineStr">
        <is>
          <t>Reagentix Corp</t>
        </is>
      </c>
      <c r="F2739" s="3" t="inlineStr">
        <is>
          <t>Lab supplies PO# F2836</t>
        </is>
      </c>
      <c r="G2739" s="3" t="inlineStr">
        <is>
          <t>Checking – Operating</t>
        </is>
      </c>
      <c r="H2739" s="3" t="inlineStr">
        <is>
          <t>Accounts Payable</t>
        </is>
      </c>
      <c r="I2739" s="33" t="n">
        <v>-13950.87</v>
      </c>
      <c r="J2739" s="13">
        <f>+J2738+I2739</f>
        <v>281675.35</v>
      </c>
      <c r="K2739" s="19">
        <f>+EOMONTH(B2739,0)</f>
        <v>46356</v>
      </c>
      <c r="L2739" s="3" t="inlineStr">
        <is>
          <t>Accounts Payable</t>
        </is>
      </c>
      <c r="M2739" s="3" t="inlineStr">
        <is>
          <t>Balance Sheet</t>
        </is>
      </c>
    </row>
    <row r="2740">
      <c r="B2740" s="39" t="n">
        <v>46346</v>
      </c>
      <c r="C2740" s="3" t="inlineStr">
        <is>
          <t>Bill Payment (Check)</t>
        </is>
      </c>
      <c r="D2740" s="3" t="inlineStr">
        <is>
          <t>10726</t>
        </is>
      </c>
      <c r="E2740" s="3" t="inlineStr">
        <is>
          <t>Tarrowmere Mutual Insurance</t>
        </is>
      </c>
      <c r="F2740" s="3" t="inlineStr">
        <is>
          <t>Premium installment</t>
        </is>
      </c>
      <c r="G2740" s="3" t="inlineStr">
        <is>
          <t>Checking – Operating</t>
        </is>
      </c>
      <c r="H2740" s="3" t="inlineStr">
        <is>
          <t>Accounts Payable</t>
        </is>
      </c>
      <c r="I2740" s="33" t="n">
        <v>-4652.65</v>
      </c>
      <c r="J2740" s="13">
        <f>+J2739+I2740</f>
        <v>277022.7</v>
      </c>
      <c r="K2740" s="19">
        <f>+EOMONTH(B2740,0)</f>
        <v>46356</v>
      </c>
      <c r="L2740" s="3" t="inlineStr">
        <is>
          <t>Accounts Payable</t>
        </is>
      </c>
      <c r="M2740" s="3" t="inlineStr">
        <is>
          <t>Balance Sheet</t>
        </is>
      </c>
    </row>
    <row r="2741">
      <c r="B2741" s="39" t="n">
        <v>46347</v>
      </c>
      <c r="C2741" s="3" t="inlineStr">
        <is>
          <t>Bill</t>
        </is>
      </c>
      <c r="D2741" s="3" t="inlineStr"/>
      <c r="E2741" s="3" t="inlineStr">
        <is>
          <t>Tarrowmere Mutual Insurance</t>
        </is>
      </c>
      <c r="F2741" s="3" t="inlineStr">
        <is>
          <t>Benefits – November</t>
        </is>
      </c>
      <c r="G2741" s="3" t="inlineStr">
        <is>
          <t>Benefits</t>
        </is>
      </c>
      <c r="H2741" s="3" t="inlineStr">
        <is>
          <t>Accounts Payable</t>
        </is>
      </c>
      <c r="I2741" s="33" t="n">
        <v>7101.56</v>
      </c>
      <c r="J2741" s="13">
        <f>+J2740+I2741</f>
        <v>284124.26</v>
      </c>
      <c r="K2741" s="19">
        <f>+EOMONTH(B2741,0)</f>
        <v>46356</v>
      </c>
      <c r="L2741" s="3" t="inlineStr">
        <is>
          <t>Accounts Payable</t>
        </is>
      </c>
      <c r="M2741" s="3" t="inlineStr">
        <is>
          <t>Balance Sheet</t>
        </is>
      </c>
    </row>
    <row r="2742">
      <c r="B2742" s="39" t="n">
        <v>46347</v>
      </c>
      <c r="C2742" s="3" t="inlineStr">
        <is>
          <t>Bill Payment (Check)</t>
        </is>
      </c>
      <c r="D2742" s="3" t="inlineStr">
        <is>
          <t>10534</t>
        </is>
      </c>
      <c r="E2742" s="3" t="inlineStr">
        <is>
          <t>Reference Lab A</t>
        </is>
      </c>
      <c r="F2742" s="3" t="inlineStr">
        <is>
          <t>Send-out testing – October</t>
        </is>
      </c>
      <c r="G2742" s="3" t="inlineStr">
        <is>
          <t>Checking – Operating</t>
        </is>
      </c>
      <c r="H2742" s="3" t="inlineStr">
        <is>
          <t>Accounts Payable</t>
        </is>
      </c>
      <c r="I2742" s="33" t="n">
        <v>-18117.29</v>
      </c>
      <c r="J2742" s="13">
        <f>+J2741+I2742</f>
        <v>266006.97</v>
      </c>
      <c r="K2742" s="19">
        <f>+EOMONTH(B2742,0)</f>
        <v>46356</v>
      </c>
      <c r="L2742" s="3" t="inlineStr">
        <is>
          <t>Accounts Payable</t>
        </is>
      </c>
      <c r="M2742" s="3" t="inlineStr">
        <is>
          <t>Balance Sheet</t>
        </is>
      </c>
    </row>
    <row r="2743">
      <c r="B2743" s="39" t="n">
        <v>46347</v>
      </c>
      <c r="C2743" s="3" t="inlineStr">
        <is>
          <t>Bill Payment (Check)</t>
        </is>
      </c>
      <c r="D2743" s="3" t="inlineStr">
        <is>
          <t>10934</t>
        </is>
      </c>
      <c r="E2743" s="3" t="inlineStr">
        <is>
          <t>Halloway Ridge Realty (rent)</t>
        </is>
      </c>
      <c r="F2743" s="3" t="inlineStr">
        <is>
          <t>Rent – November</t>
        </is>
      </c>
      <c r="G2743" s="3" t="inlineStr">
        <is>
          <t>Checking – Operating</t>
        </is>
      </c>
      <c r="H2743" s="3" t="inlineStr">
        <is>
          <t>Accounts Payable</t>
        </is>
      </c>
      <c r="I2743" s="33" t="n">
        <v>-5635.31</v>
      </c>
      <c r="J2743" s="13">
        <f>+J2742+I2743</f>
        <v>260371.66</v>
      </c>
      <c r="K2743" s="19">
        <f>+EOMONTH(B2743,0)</f>
        <v>46356</v>
      </c>
      <c r="L2743" s="3" t="inlineStr">
        <is>
          <t>Accounts Payable</t>
        </is>
      </c>
      <c r="M2743" s="3" t="inlineStr">
        <is>
          <t>Balance Sheet</t>
        </is>
      </c>
    </row>
    <row r="2744">
      <c r="B2744" s="39" t="n">
        <v>46349</v>
      </c>
      <c r="C2744" s="3" t="inlineStr">
        <is>
          <t>Bill Payment (Check)</t>
        </is>
      </c>
      <c r="D2744" s="3" t="inlineStr">
        <is>
          <t>10724</t>
        </is>
      </c>
      <c r="E2744" s="3" t="inlineStr">
        <is>
          <t>Tarrowmere Mutual Insurance</t>
        </is>
      </c>
      <c r="F2744" s="3" t="inlineStr">
        <is>
          <t>Premium installment</t>
        </is>
      </c>
      <c r="G2744" s="3" t="inlineStr">
        <is>
          <t>Checking – Operating</t>
        </is>
      </c>
      <c r="H2744" s="3" t="inlineStr">
        <is>
          <t>Accounts Payable</t>
        </is>
      </c>
      <c r="I2744" s="33" t="n">
        <v>-7747.85</v>
      </c>
      <c r="J2744" s="13">
        <f>+J2743+I2744</f>
        <v>252623.81</v>
      </c>
      <c r="K2744" s="19">
        <f>+EOMONTH(B2744,0)</f>
        <v>46356</v>
      </c>
      <c r="L2744" s="3" t="inlineStr">
        <is>
          <t>Accounts Payable</t>
        </is>
      </c>
      <c r="M2744" s="3" t="inlineStr">
        <is>
          <t>Balance Sheet</t>
        </is>
      </c>
    </row>
    <row r="2745">
      <c r="B2745" s="39" t="n">
        <v>46350</v>
      </c>
      <c r="C2745" s="3" t="inlineStr">
        <is>
          <t>Bill</t>
        </is>
      </c>
      <c r="D2745" s="3" t="inlineStr"/>
      <c r="E2745" s="3" t="inlineStr">
        <is>
          <t>Reference Lab A</t>
        </is>
      </c>
      <c r="F2745" s="3" t="inlineStr">
        <is>
          <t>Send-out testing – November</t>
        </is>
      </c>
      <c r="G2745" s="3" t="inlineStr">
        <is>
          <t>Laboratory Fees</t>
        </is>
      </c>
      <c r="H2745" s="3" t="inlineStr">
        <is>
          <t>Accounts Payable</t>
        </is>
      </c>
      <c r="I2745" s="33" t="n">
        <v>11586.73</v>
      </c>
      <c r="J2745" s="13">
        <f>+J2744+I2745</f>
        <v>264210.54</v>
      </c>
      <c r="K2745" s="19">
        <f>+EOMONTH(B2745,0)</f>
        <v>46356</v>
      </c>
      <c r="L2745" s="3" t="inlineStr">
        <is>
          <t>Accounts Payable</t>
        </is>
      </c>
      <c r="M2745" s="3" t="inlineStr">
        <is>
          <t>Balance Sheet</t>
        </is>
      </c>
    </row>
    <row r="2746">
      <c r="B2746" s="39" t="n">
        <v>46350</v>
      </c>
      <c r="C2746" s="3" t="inlineStr">
        <is>
          <t>Bill</t>
        </is>
      </c>
      <c r="D2746" s="3" t="inlineStr"/>
      <c r="E2746" s="3" t="inlineStr">
        <is>
          <t>Tarrowmere Mutual Insurance</t>
        </is>
      </c>
      <c r="F2746" s="3" t="inlineStr">
        <is>
          <t>Benefits – November</t>
        </is>
      </c>
      <c r="G2746" s="3" t="inlineStr">
        <is>
          <t>Benefits</t>
        </is>
      </c>
      <c r="H2746" s="3" t="inlineStr">
        <is>
          <t>Accounts Payable</t>
        </is>
      </c>
      <c r="I2746" s="33" t="n">
        <v>7124.07</v>
      </c>
      <c r="J2746" s="13">
        <f>+J2745+I2746</f>
        <v>271334.61</v>
      </c>
      <c r="K2746" s="19">
        <f>+EOMONTH(B2746,0)</f>
        <v>46356</v>
      </c>
      <c r="L2746" s="3" t="inlineStr">
        <is>
          <t>Accounts Payable</t>
        </is>
      </c>
      <c r="M2746" s="3" t="inlineStr">
        <is>
          <t>Balance Sheet</t>
        </is>
      </c>
    </row>
    <row r="2747">
      <c r="B2747" s="39" t="n">
        <v>46351</v>
      </c>
      <c r="C2747" s="3" t="inlineStr">
        <is>
          <t>Bill</t>
        </is>
      </c>
      <c r="D2747" s="3" t="inlineStr"/>
      <c r="E2747" s="3" t="inlineStr">
        <is>
          <t>Ledgerquill Billing SaaS</t>
        </is>
      </c>
      <c r="F2747" s="3" t="inlineStr">
        <is>
          <t>Billing Software as a Service – November</t>
        </is>
      </c>
      <c r="G2747" s="3" t="inlineStr">
        <is>
          <t>Billing Software as a Service</t>
        </is>
      </c>
      <c r="H2747" s="3" t="inlineStr">
        <is>
          <t>Accounts Payable</t>
        </is>
      </c>
      <c r="I2747" s="33" t="n">
        <v>13705.41</v>
      </c>
      <c r="J2747" s="13">
        <f>+J2746+I2747</f>
        <v>285040.02</v>
      </c>
      <c r="K2747" s="19">
        <f>+EOMONTH(B2747,0)</f>
        <v>46356</v>
      </c>
      <c r="L2747" s="3" t="inlineStr">
        <is>
          <t>Accounts Payable</t>
        </is>
      </c>
      <c r="M2747" s="3" t="inlineStr">
        <is>
          <t>Balance Sheet</t>
        </is>
      </c>
    </row>
    <row r="2748">
      <c r="B2748" s="39" t="n">
        <v>46351</v>
      </c>
      <c r="C2748" s="3" t="inlineStr">
        <is>
          <t>Bill Payment (Check)</t>
        </is>
      </c>
      <c r="D2748" s="3" t="inlineStr">
        <is>
          <t>10455</t>
        </is>
      </c>
      <c r="E2748" s="3" t="inlineStr">
        <is>
          <t>Vialtrace Lab Supplies Inc</t>
        </is>
      </c>
      <c r="F2748" s="3" t="inlineStr">
        <is>
          <t>Lab Expenses – November</t>
        </is>
      </c>
      <c r="G2748" s="3" t="inlineStr">
        <is>
          <t>Checking – Operating</t>
        </is>
      </c>
      <c r="H2748" s="3" t="inlineStr">
        <is>
          <t>Accounts Payable</t>
        </is>
      </c>
      <c r="I2748" s="33" t="n">
        <v>-7152.05</v>
      </c>
      <c r="J2748" s="13">
        <f>+J2747+I2748</f>
        <v>277887.97</v>
      </c>
      <c r="K2748" s="19">
        <f>+EOMONTH(B2748,0)</f>
        <v>46356</v>
      </c>
      <c r="L2748" s="3" t="inlineStr">
        <is>
          <t>Accounts Payable</t>
        </is>
      </c>
      <c r="M2748" s="3" t="inlineStr">
        <is>
          <t>Balance Sheet</t>
        </is>
      </c>
    </row>
    <row r="2749">
      <c r="B2749" s="39" t="n">
        <v>46351</v>
      </c>
      <c r="C2749" s="3" t="inlineStr">
        <is>
          <t>Bill Payment (Check)</t>
        </is>
      </c>
      <c r="D2749" s="3" t="inlineStr">
        <is>
          <t>10936</t>
        </is>
      </c>
      <c r="E2749" s="3" t="inlineStr">
        <is>
          <t>Halloway Ridge Realty (rent)</t>
        </is>
      </c>
      <c r="F2749" s="3" t="inlineStr">
        <is>
          <t>Rent – November</t>
        </is>
      </c>
      <c r="G2749" s="3" t="inlineStr">
        <is>
          <t>Checking – Operating</t>
        </is>
      </c>
      <c r="H2749" s="3" t="inlineStr">
        <is>
          <t>Accounts Payable</t>
        </is>
      </c>
      <c r="I2749" s="33" t="n">
        <v>-8863.25</v>
      </c>
      <c r="J2749" s="13">
        <f>+J2748+I2749</f>
        <v>269024.72</v>
      </c>
      <c r="K2749" s="19">
        <f>+EOMONTH(B2749,0)</f>
        <v>46356</v>
      </c>
      <c r="L2749" s="3" t="inlineStr">
        <is>
          <t>Accounts Payable</t>
        </is>
      </c>
      <c r="M2749" s="3" t="inlineStr">
        <is>
          <t>Balance Sheet</t>
        </is>
      </c>
    </row>
    <row r="2750">
      <c r="B2750" s="39" t="n">
        <v>46352</v>
      </c>
      <c r="C2750" s="3" t="inlineStr">
        <is>
          <t>Bill</t>
        </is>
      </c>
      <c r="D2750" s="3" t="inlineStr"/>
      <c r="E2750" s="3" t="inlineStr">
        <is>
          <t>Northmoor Waste Services</t>
        </is>
      </c>
      <c r="F2750" s="3" t="inlineStr">
        <is>
          <t>Hazard Waste – November</t>
        </is>
      </c>
      <c r="G2750" s="3" t="inlineStr">
        <is>
          <t>Hazard Waste</t>
        </is>
      </c>
      <c r="H2750" s="3" t="inlineStr">
        <is>
          <t>Accounts Payable</t>
        </is>
      </c>
      <c r="I2750" s="33" t="n">
        <v>1806.3</v>
      </c>
      <c r="J2750" s="13">
        <f>+J2749+I2750</f>
        <v>270831.02</v>
      </c>
      <c r="K2750" s="19">
        <f>+EOMONTH(B2750,0)</f>
        <v>46356</v>
      </c>
      <c r="L2750" s="3" t="inlineStr">
        <is>
          <t>Accounts Payable</t>
        </is>
      </c>
      <c r="M2750" s="3" t="inlineStr">
        <is>
          <t>Balance Sheet</t>
        </is>
      </c>
    </row>
    <row r="2751">
      <c r="B2751" s="39" t="n">
        <v>46353</v>
      </c>
      <c r="C2751" s="3" t="inlineStr">
        <is>
          <t>Bill</t>
        </is>
      </c>
      <c r="D2751" s="3" t="inlineStr"/>
      <c r="E2751" s="3" t="inlineStr">
        <is>
          <t>Reference Lab A</t>
        </is>
      </c>
      <c r="F2751" s="3" t="inlineStr">
        <is>
          <t>Send-out testing – November</t>
        </is>
      </c>
      <c r="G2751" s="3" t="inlineStr">
        <is>
          <t>Laboratory Fees</t>
        </is>
      </c>
      <c r="H2751" s="3" t="inlineStr">
        <is>
          <t>Accounts Payable</t>
        </is>
      </c>
      <c r="I2751" s="33" t="n">
        <v>11557.21</v>
      </c>
      <c r="J2751" s="13">
        <f>+J2750+I2751</f>
        <v>282388.23</v>
      </c>
      <c r="K2751" s="19">
        <f>+EOMONTH(B2751,0)</f>
        <v>46356</v>
      </c>
      <c r="L2751" s="3" t="inlineStr">
        <is>
          <t>Accounts Payable</t>
        </is>
      </c>
      <c r="M2751" s="3" t="inlineStr">
        <is>
          <t>Balance Sheet</t>
        </is>
      </c>
    </row>
    <row r="2752">
      <c r="B2752" s="39" t="n">
        <v>46353</v>
      </c>
      <c r="C2752" s="3" t="inlineStr">
        <is>
          <t>Bill</t>
        </is>
      </c>
      <c r="D2752" s="3" t="inlineStr"/>
      <c r="E2752" s="3" t="inlineStr">
        <is>
          <t>Tarrowmere Mutual Insurance</t>
        </is>
      </c>
      <c r="F2752" s="3" t="inlineStr">
        <is>
          <t>Benefits – November</t>
        </is>
      </c>
      <c r="G2752" s="3" t="inlineStr">
        <is>
          <t>Benefits</t>
        </is>
      </c>
      <c r="H2752" s="3" t="inlineStr">
        <is>
          <t>Accounts Payable</t>
        </is>
      </c>
      <c r="I2752" s="33" t="n">
        <v>4943.14</v>
      </c>
      <c r="J2752" s="13">
        <f>+J2751+I2752</f>
        <v>287331.37</v>
      </c>
      <c r="K2752" s="19">
        <f>+EOMONTH(B2752,0)</f>
        <v>46356</v>
      </c>
      <c r="L2752" s="3" t="inlineStr">
        <is>
          <t>Accounts Payable</t>
        </is>
      </c>
      <c r="M2752" s="3" t="inlineStr">
        <is>
          <t>Balance Sheet</t>
        </is>
      </c>
    </row>
    <row r="2753">
      <c r="B2753" s="39" t="n">
        <v>46354</v>
      </c>
      <c r="C2753" s="3" t="inlineStr">
        <is>
          <t>Bill</t>
        </is>
      </c>
      <c r="D2753" s="3" t="inlineStr"/>
      <c r="E2753" s="3" t="inlineStr">
        <is>
          <t>Reference Lab A</t>
        </is>
      </c>
      <c r="F2753" s="3" t="inlineStr">
        <is>
          <t>Send-out testing – November</t>
        </is>
      </c>
      <c r="G2753" s="3" t="inlineStr">
        <is>
          <t>Laboratory Fees</t>
        </is>
      </c>
      <c r="H2753" s="3" t="inlineStr">
        <is>
          <t>Accounts Payable</t>
        </is>
      </c>
      <c r="I2753" s="33" t="n">
        <v>12474.46</v>
      </c>
      <c r="J2753" s="13">
        <f>+J2752+I2753</f>
        <v>299805.83</v>
      </c>
      <c r="K2753" s="19">
        <f>+EOMONTH(B2753,0)</f>
        <v>46356</v>
      </c>
      <c r="L2753" s="3" t="inlineStr">
        <is>
          <t>Accounts Payable</t>
        </is>
      </c>
      <c r="M2753" s="3" t="inlineStr">
        <is>
          <t>Balance Sheet</t>
        </is>
      </c>
    </row>
    <row r="2754">
      <c r="B2754" s="39" t="n">
        <v>46354</v>
      </c>
      <c r="C2754" s="3" t="inlineStr">
        <is>
          <t>Bill Payment (Check)</t>
        </is>
      </c>
      <c r="D2754" s="3" t="inlineStr">
        <is>
          <t>10454</t>
        </is>
      </c>
      <c r="E2754" s="3" t="inlineStr">
        <is>
          <t>Vialtrace Lab Supplies Inc</t>
        </is>
      </c>
      <c r="F2754" s="3" t="inlineStr">
        <is>
          <t>Lab Expenses – November</t>
        </is>
      </c>
      <c r="G2754" s="3" t="inlineStr">
        <is>
          <t>Checking – Operating</t>
        </is>
      </c>
      <c r="H2754" s="3" t="inlineStr">
        <is>
          <t>Accounts Payable</t>
        </is>
      </c>
      <c r="I2754" s="33" t="n">
        <v>-6973.13</v>
      </c>
      <c r="J2754" s="13">
        <f>+J2753+I2754</f>
        <v>292832.7</v>
      </c>
      <c r="K2754" s="19">
        <f>+EOMONTH(B2754,0)</f>
        <v>46356</v>
      </c>
      <c r="L2754" s="3" t="inlineStr">
        <is>
          <t>Accounts Payable</t>
        </is>
      </c>
      <c r="M2754" s="3" t="inlineStr">
        <is>
          <t>Balance Sheet</t>
        </is>
      </c>
    </row>
    <row r="2755">
      <c r="B2755" s="39" t="n">
        <v>46355</v>
      </c>
      <c r="C2755" s="3" t="inlineStr">
        <is>
          <t>Bill</t>
        </is>
      </c>
      <c r="D2755" s="3" t="inlineStr"/>
      <c r="E2755" s="3" t="inlineStr">
        <is>
          <t>Halloway Ridge Realty (rent)</t>
        </is>
      </c>
      <c r="F2755" s="3" t="inlineStr">
        <is>
          <t>Rent – November</t>
        </is>
      </c>
      <c r="G2755" s="3" t="inlineStr">
        <is>
          <t>Rent Expense</t>
        </is>
      </c>
      <c r="H2755" s="3" t="inlineStr">
        <is>
          <t>Accounts Payable</t>
        </is>
      </c>
      <c r="I2755" s="33" t="n">
        <v>13022.08</v>
      </c>
      <c r="J2755" s="13">
        <f>+J2754+I2755</f>
        <v>305854.78</v>
      </c>
      <c r="K2755" s="19">
        <f>+EOMONTH(B2755,0)</f>
        <v>46356</v>
      </c>
      <c r="L2755" s="3" t="inlineStr">
        <is>
          <t>Accounts Payable</t>
        </is>
      </c>
      <c r="M2755" s="3" t="inlineStr">
        <is>
          <t>Balance Sheet</t>
        </is>
      </c>
    </row>
    <row r="2756">
      <c r="B2756" s="39" t="n">
        <v>46355</v>
      </c>
      <c r="C2756" s="3" t="inlineStr">
        <is>
          <t>Bill Payment (Check)</t>
        </is>
      </c>
      <c r="D2756" s="3" t="inlineStr">
        <is>
          <t>10533</t>
        </is>
      </c>
      <c r="E2756" s="3" t="inlineStr">
        <is>
          <t>Reference Lab A</t>
        </is>
      </c>
      <c r="F2756" s="3" t="inlineStr">
        <is>
          <t>Send-out testing – October</t>
        </is>
      </c>
      <c r="G2756" s="3" t="inlineStr">
        <is>
          <t>Checking – Operating</t>
        </is>
      </c>
      <c r="H2756" s="3" t="inlineStr">
        <is>
          <t>Accounts Payable</t>
        </is>
      </c>
      <c r="I2756" s="33" t="n">
        <v>-11352.28</v>
      </c>
      <c r="J2756" s="13">
        <f>+J2755+I2756</f>
        <v>294502.5</v>
      </c>
      <c r="K2756" s="19">
        <f>+EOMONTH(B2756,0)</f>
        <v>46356</v>
      </c>
      <c r="L2756" s="3" t="inlineStr">
        <is>
          <t>Accounts Payable</t>
        </is>
      </c>
      <c r="M2756" s="3" t="inlineStr">
        <is>
          <t>Balance Sheet</t>
        </is>
      </c>
    </row>
    <row r="2757">
      <c r="B2757" s="39" t="n">
        <v>46355</v>
      </c>
      <c r="C2757" s="3" t="inlineStr">
        <is>
          <t>Bill Payment (Check)</t>
        </is>
      </c>
      <c r="D2757" s="3" t="inlineStr">
        <is>
          <t>10725</t>
        </is>
      </c>
      <c r="E2757" s="3" t="inlineStr">
        <is>
          <t>Tarrowmere Mutual Insurance</t>
        </is>
      </c>
      <c r="F2757" s="3" t="inlineStr">
        <is>
          <t>Premium installment</t>
        </is>
      </c>
      <c r="G2757" s="3" t="inlineStr">
        <is>
          <t>Checking – Operating</t>
        </is>
      </c>
      <c r="H2757" s="3" t="inlineStr">
        <is>
          <t>Accounts Payable</t>
        </is>
      </c>
      <c r="I2757" s="33" t="n">
        <v>-8781.33</v>
      </c>
      <c r="J2757" s="13">
        <f>+J2756+I2757</f>
        <v>285721.17</v>
      </c>
      <c r="K2757" s="19">
        <f>+EOMONTH(B2757,0)</f>
        <v>46356</v>
      </c>
      <c r="L2757" s="3" t="inlineStr">
        <is>
          <t>Accounts Payable</t>
        </is>
      </c>
      <c r="M2757" s="3" t="inlineStr">
        <is>
          <t>Balance Sheet</t>
        </is>
      </c>
    </row>
    <row r="2758">
      <c r="B2758" s="39" t="n">
        <v>46355</v>
      </c>
      <c r="C2758" s="3" t="inlineStr">
        <is>
          <t>Bill Payment (Check)</t>
        </is>
      </c>
      <c r="D2758" s="3" t="inlineStr">
        <is>
          <t>11035</t>
        </is>
      </c>
      <c r="E2758" s="3" t="inlineStr">
        <is>
          <t>Northmoor Waste Services</t>
        </is>
      </c>
      <c r="F2758" s="3" t="inlineStr">
        <is>
          <t>Waste Removal – November</t>
        </is>
      </c>
      <c r="G2758" s="3" t="inlineStr">
        <is>
          <t>Checking – Operating</t>
        </is>
      </c>
      <c r="H2758" s="3" t="inlineStr">
        <is>
          <t>Accounts Payable</t>
        </is>
      </c>
      <c r="I2758" s="33" t="n">
        <v>-1204.2</v>
      </c>
      <c r="J2758" s="13">
        <f>+J2757+I2758</f>
        <v>284516.97</v>
      </c>
      <c r="K2758" s="19">
        <f>+EOMONTH(B2758,0)</f>
        <v>46356</v>
      </c>
      <c r="L2758" s="3" t="inlineStr">
        <is>
          <t>Accounts Payable</t>
        </is>
      </c>
      <c r="M2758" s="3" t="inlineStr">
        <is>
          <t>Balance Sheet</t>
        </is>
      </c>
    </row>
    <row r="2759">
      <c r="B2759" s="39" t="n">
        <v>46355</v>
      </c>
      <c r="C2759" s="3" t="inlineStr">
        <is>
          <t>Bill Payment (Check)</t>
        </is>
      </c>
      <c r="D2759" s="3" t="inlineStr">
        <is>
          <t>11174</t>
        </is>
      </c>
      <c r="E2759" s="3" t="inlineStr">
        <is>
          <t>Tarrowmere Mutual Insurance</t>
        </is>
      </c>
      <c r="F2759" s="3" t="inlineStr">
        <is>
          <t>Benefits – October</t>
        </is>
      </c>
      <c r="G2759" s="3" t="inlineStr">
        <is>
          <t>Checking – Operating</t>
        </is>
      </c>
      <c r="H2759" s="3" t="inlineStr">
        <is>
          <t>Accounts Payable</t>
        </is>
      </c>
      <c r="I2759" s="33" t="n">
        <v>-5145.32</v>
      </c>
      <c r="J2759" s="13">
        <f>+J2758+I2759</f>
        <v>279371.65</v>
      </c>
      <c r="K2759" s="19">
        <f>+EOMONTH(B2759,0)</f>
        <v>46356</v>
      </c>
      <c r="L2759" s="3" t="inlineStr">
        <is>
          <t>Accounts Payable</t>
        </is>
      </c>
      <c r="M2759" s="3" t="inlineStr">
        <is>
          <t>Balance Sheet</t>
        </is>
      </c>
    </row>
    <row r="2760">
      <c r="B2760" s="39" t="n">
        <v>46356</v>
      </c>
      <c r="C2760" s="3" t="inlineStr">
        <is>
          <t>Bill</t>
        </is>
      </c>
      <c r="D2760" s="3" t="inlineStr"/>
      <c r="E2760" s="3" t="inlineStr">
        <is>
          <t>Reagentix Corp</t>
        </is>
      </c>
      <c r="F2760" s="3" t="inlineStr">
        <is>
          <t>Lab supplies PO# F2012</t>
        </is>
      </c>
      <c r="G2760" s="3" t="inlineStr">
        <is>
          <t>Reagents</t>
        </is>
      </c>
      <c r="H2760" s="3" t="inlineStr">
        <is>
          <t>Accounts Payable</t>
        </is>
      </c>
      <c r="I2760" s="33" t="n">
        <v>17680.03</v>
      </c>
      <c r="J2760" s="13">
        <f>+J2759+I2760</f>
        <v>297051.68</v>
      </c>
      <c r="K2760" s="19">
        <f>+EOMONTH(B2760,0)</f>
        <v>46356</v>
      </c>
      <c r="L2760" s="3" t="inlineStr">
        <is>
          <t>Accounts Payable</t>
        </is>
      </c>
      <c r="M2760" s="3" t="inlineStr">
        <is>
          <t>Balance Sheet</t>
        </is>
      </c>
    </row>
    <row r="2761">
      <c r="B2761" s="39" t="n">
        <v>46356</v>
      </c>
      <c r="C2761" s="3" t="inlineStr">
        <is>
          <t>Bill Payment (Check)</t>
        </is>
      </c>
      <c r="D2761" s="3" t="inlineStr">
        <is>
          <t>10496</t>
        </is>
      </c>
      <c r="E2761" s="3" t="inlineStr">
        <is>
          <t>Vialtrace Lab Supplies Inc</t>
        </is>
      </c>
      <c r="F2761" s="3" t="inlineStr">
        <is>
          <t>Lab supplies PO# F2225</t>
        </is>
      </c>
      <c r="G2761" s="3" t="inlineStr">
        <is>
          <t>Checking – Operating</t>
        </is>
      </c>
      <c r="H2761" s="3" t="inlineStr">
        <is>
          <t>Accounts Payable</t>
        </is>
      </c>
      <c r="I2761" s="33" t="n">
        <v>-36956.71</v>
      </c>
      <c r="J2761" s="13">
        <f>+J2760+I2761</f>
        <v>260094.97</v>
      </c>
      <c r="K2761" s="19">
        <f>+EOMONTH(B2761,0)</f>
        <v>46356</v>
      </c>
      <c r="L2761" s="3" t="inlineStr">
        <is>
          <t>Accounts Payable</t>
        </is>
      </c>
      <c r="M2761" s="3" t="inlineStr">
        <is>
          <t>Balance Sheet</t>
        </is>
      </c>
    </row>
    <row r="2762">
      <c r="A2762" s="2" t="inlineStr">
        <is>
          <t>Total for Accounts Payable</t>
        </is>
      </c>
      <c r="I2762" s="35">
        <f>SUM(I1850:I2761)</f>
        <v>260094.97</v>
      </c>
    </row>
    <row r="2764">
      <c r="A2764" s="2" t="inlineStr">
        <is>
          <t>Payroll Liabilities</t>
        </is>
      </c>
    </row>
    <row r="2765">
      <c r="B2765" s="39" t="n">
        <v>46034</v>
      </c>
      <c r="C2765" s="3" t="inlineStr">
        <is>
          <t>Payroll Check</t>
        </is>
      </c>
      <c r="D2765" s="3" t="inlineStr"/>
      <c r="E2765" s="3" t="inlineStr">
        <is>
          <t>Tessarand Payroll Services</t>
        </is>
      </c>
      <c r="F2765" s="3" t="inlineStr">
        <is>
          <t>Employer tax accrual</t>
        </is>
      </c>
      <c r="G2765" s="3" t="inlineStr">
        <is>
          <t>Payroll Taxes</t>
        </is>
      </c>
      <c r="H2765" s="3" t="inlineStr">
        <is>
          <t>Payroll Liabilities</t>
        </is>
      </c>
      <c r="I2765" s="33" t="n">
        <v>413.97</v>
      </c>
      <c r="J2765" s="13">
        <f>+I2765</f>
        <v>413.97</v>
      </c>
      <c r="K2765" s="19">
        <f>+EOMONTH(B2765,0)</f>
        <v>46053</v>
      </c>
      <c r="L2765" s="3" t="inlineStr">
        <is>
          <t>Payroll Liabilities</t>
        </is>
      </c>
      <c r="M2765" s="3" t="inlineStr">
        <is>
          <t>Balance Sheet</t>
        </is>
      </c>
    </row>
    <row r="2766">
      <c r="B2766" s="39" t="n">
        <v>46037</v>
      </c>
      <c r="C2766" s="3" t="inlineStr">
        <is>
          <t>Bill Payment (Check)</t>
        </is>
      </c>
      <c r="D2766" s="3" t="inlineStr">
        <is>
          <t>11061</t>
        </is>
      </c>
      <c r="E2766" s="3" t="inlineStr">
        <is>
          <t>Tessarand Payroll Services</t>
        </is>
      </c>
      <c r="F2766" s="3" t="inlineStr">
        <is>
          <t>Tax remittance</t>
        </is>
      </c>
      <c r="G2766" s="3" t="inlineStr">
        <is>
          <t>Checking – Operating</t>
        </is>
      </c>
      <c r="H2766" s="3" t="inlineStr">
        <is>
          <t>Payroll Liabilities</t>
        </is>
      </c>
      <c r="I2766" s="33" t="n">
        <v>-413.97</v>
      </c>
      <c r="J2766" s="13">
        <f>+J2765+I2766</f>
        <v>0</v>
      </c>
      <c r="K2766" s="19">
        <f>+EOMONTH(B2766,0)</f>
        <v>46053</v>
      </c>
      <c r="L2766" s="3" t="inlineStr">
        <is>
          <t>Payroll Liabilities</t>
        </is>
      </c>
      <c r="M2766" s="3" t="inlineStr">
        <is>
          <t>Balance Sheet</t>
        </is>
      </c>
    </row>
    <row r="2767">
      <c r="B2767" s="39" t="n">
        <v>46048</v>
      </c>
      <c r="C2767" s="3" t="inlineStr">
        <is>
          <t>Payroll Check</t>
        </is>
      </c>
      <c r="D2767" s="3" t="inlineStr"/>
      <c r="E2767" s="3" t="inlineStr">
        <is>
          <t>Tessarand Payroll Services</t>
        </is>
      </c>
      <c r="F2767" s="3" t="inlineStr">
        <is>
          <t>Employer tax accrual</t>
        </is>
      </c>
      <c r="G2767" s="3" t="inlineStr">
        <is>
          <t>Payroll Taxes</t>
        </is>
      </c>
      <c r="H2767" s="3" t="inlineStr">
        <is>
          <t>Payroll Liabilities</t>
        </is>
      </c>
      <c r="I2767" s="33" t="n">
        <v>245.97</v>
      </c>
      <c r="J2767" s="13">
        <f>+J2766+I2767</f>
        <v>245.97</v>
      </c>
      <c r="K2767" s="19">
        <f>+EOMONTH(B2767,0)</f>
        <v>46053</v>
      </c>
      <c r="L2767" s="3" t="inlineStr">
        <is>
          <t>Payroll Liabilities</t>
        </is>
      </c>
      <c r="M2767" s="3" t="inlineStr">
        <is>
          <t>Balance Sheet</t>
        </is>
      </c>
    </row>
    <row r="2768">
      <c r="B2768" s="39" t="n">
        <v>46049</v>
      </c>
      <c r="C2768" s="3" t="inlineStr">
        <is>
          <t>Payroll Check</t>
        </is>
      </c>
      <c r="D2768" s="3" t="inlineStr"/>
      <c r="E2768" s="3" t="inlineStr">
        <is>
          <t>Tessarand Payroll Services</t>
        </is>
      </c>
      <c r="F2768" s="3" t="inlineStr">
        <is>
          <t>Employer tax accrual</t>
        </is>
      </c>
      <c r="G2768" s="3" t="inlineStr">
        <is>
          <t>Payroll Taxes</t>
        </is>
      </c>
      <c r="H2768" s="3" t="inlineStr">
        <is>
          <t>Payroll Liabilities</t>
        </is>
      </c>
      <c r="I2768" s="33" t="n">
        <v>232.56</v>
      </c>
      <c r="J2768" s="13">
        <f>+J2767+I2768</f>
        <v>478.53</v>
      </c>
      <c r="K2768" s="19">
        <f>+EOMONTH(B2768,0)</f>
        <v>46053</v>
      </c>
      <c r="L2768" s="3" t="inlineStr">
        <is>
          <t>Payroll Liabilities</t>
        </is>
      </c>
      <c r="M2768" s="3" t="inlineStr">
        <is>
          <t>Balance Sheet</t>
        </is>
      </c>
    </row>
    <row r="2769">
      <c r="B2769" s="39" t="n">
        <v>46051</v>
      </c>
      <c r="C2769" s="3" t="inlineStr">
        <is>
          <t>Bill Payment (Check)</t>
        </is>
      </c>
      <c r="D2769" s="3" t="inlineStr">
        <is>
          <t>11063</t>
        </is>
      </c>
      <c r="E2769" s="3" t="inlineStr">
        <is>
          <t>Tessarand Payroll Services</t>
        </is>
      </c>
      <c r="F2769" s="3" t="inlineStr">
        <is>
          <t>Tax remittance</t>
        </is>
      </c>
      <c r="G2769" s="3" t="inlineStr">
        <is>
          <t>Checking – Operating</t>
        </is>
      </c>
      <c r="H2769" s="3" t="inlineStr">
        <is>
          <t>Payroll Liabilities</t>
        </is>
      </c>
      <c r="I2769" s="33" t="n">
        <v>-245.97</v>
      </c>
      <c r="J2769" s="13">
        <f>+J2768+I2769</f>
        <v>232.56</v>
      </c>
      <c r="K2769" s="19">
        <f>+EOMONTH(B2769,0)</f>
        <v>46053</v>
      </c>
      <c r="L2769" s="3" t="inlineStr">
        <is>
          <t>Payroll Liabilities</t>
        </is>
      </c>
      <c r="M2769" s="3" t="inlineStr">
        <is>
          <t>Balance Sheet</t>
        </is>
      </c>
    </row>
    <row r="2770">
      <c r="B2770" s="39" t="n">
        <v>46052</v>
      </c>
      <c r="C2770" s="3" t="inlineStr">
        <is>
          <t>Bill Payment (Check)</t>
        </is>
      </c>
      <c r="D2770" s="3" t="inlineStr">
        <is>
          <t>11065</t>
        </is>
      </c>
      <c r="E2770" s="3" t="inlineStr">
        <is>
          <t>Tessarand Payroll Services</t>
        </is>
      </c>
      <c r="F2770" s="3" t="inlineStr">
        <is>
          <t>Tax remittance</t>
        </is>
      </c>
      <c r="G2770" s="3" t="inlineStr">
        <is>
          <t>Checking – Operating</t>
        </is>
      </c>
      <c r="H2770" s="3" t="inlineStr">
        <is>
          <t>Payroll Liabilities</t>
        </is>
      </c>
      <c r="I2770" s="33" t="n">
        <v>-232.56</v>
      </c>
      <c r="J2770" s="13">
        <f>+J2769+I2770</f>
        <v>0</v>
      </c>
      <c r="K2770" s="19">
        <f>+EOMONTH(B2770,0)</f>
        <v>46053</v>
      </c>
      <c r="L2770" s="3" t="inlineStr">
        <is>
          <t>Payroll Liabilities</t>
        </is>
      </c>
      <c r="M2770" s="3" t="inlineStr">
        <is>
          <t>Balance Sheet</t>
        </is>
      </c>
    </row>
    <row r="2771">
      <c r="B2771" s="39" t="n">
        <v>46065</v>
      </c>
      <c r="C2771" s="3" t="inlineStr">
        <is>
          <t>Payroll Check</t>
        </is>
      </c>
      <c r="D2771" s="3" t="inlineStr"/>
      <c r="E2771" s="3" t="inlineStr">
        <is>
          <t>Tessarand Payroll Services</t>
        </is>
      </c>
      <c r="F2771" s="3" t="inlineStr">
        <is>
          <t>Employer tax accrual</t>
        </is>
      </c>
      <c r="G2771" s="3" t="inlineStr">
        <is>
          <t>Payroll Taxes</t>
        </is>
      </c>
      <c r="H2771" s="3" t="inlineStr">
        <is>
          <t>Payroll Liabilities</t>
        </is>
      </c>
      <c r="I2771" s="33" t="n">
        <v>437.84</v>
      </c>
      <c r="J2771" s="13">
        <f>+J2770+I2771</f>
        <v>437.84</v>
      </c>
      <c r="K2771" s="19">
        <f>+EOMONTH(B2771,0)</f>
        <v>46081</v>
      </c>
      <c r="L2771" s="3" t="inlineStr">
        <is>
          <t>Payroll Liabilities</t>
        </is>
      </c>
      <c r="M2771" s="3" t="inlineStr">
        <is>
          <t>Balance Sheet</t>
        </is>
      </c>
    </row>
    <row r="2772">
      <c r="B2772" s="39" t="n">
        <v>46068</v>
      </c>
      <c r="C2772" s="3" t="inlineStr">
        <is>
          <t>Bill Payment (Check)</t>
        </is>
      </c>
      <c r="D2772" s="3" t="inlineStr">
        <is>
          <t>11067</t>
        </is>
      </c>
      <c r="E2772" s="3" t="inlineStr">
        <is>
          <t>Tessarand Payroll Services</t>
        </is>
      </c>
      <c r="F2772" s="3" t="inlineStr">
        <is>
          <t>Tax remittance</t>
        </is>
      </c>
      <c r="G2772" s="3" t="inlineStr">
        <is>
          <t>Checking – Operating</t>
        </is>
      </c>
      <c r="H2772" s="3" t="inlineStr">
        <is>
          <t>Payroll Liabilities</t>
        </is>
      </c>
      <c r="I2772" s="33" t="n">
        <v>-437.84</v>
      </c>
      <c r="J2772" s="13">
        <f>+J2771+I2772</f>
        <v>0</v>
      </c>
      <c r="K2772" s="19">
        <f>+EOMONTH(B2772,0)</f>
        <v>46081</v>
      </c>
      <c r="L2772" s="3" t="inlineStr">
        <is>
          <t>Payroll Liabilities</t>
        </is>
      </c>
      <c r="M2772" s="3" t="inlineStr">
        <is>
          <t>Balance Sheet</t>
        </is>
      </c>
    </row>
    <row r="2773">
      <c r="B2773" s="39" t="n">
        <v>46073</v>
      </c>
      <c r="C2773" s="3" t="inlineStr">
        <is>
          <t>Payroll Check</t>
        </is>
      </c>
      <c r="D2773" s="3" t="inlineStr"/>
      <c r="E2773" s="3" t="inlineStr">
        <is>
          <t>Tessarand Payroll Services</t>
        </is>
      </c>
      <c r="F2773" s="3" t="inlineStr">
        <is>
          <t>Employer tax accrual</t>
        </is>
      </c>
      <c r="G2773" s="3" t="inlineStr">
        <is>
          <t>Payroll Taxes</t>
        </is>
      </c>
      <c r="H2773" s="3" t="inlineStr">
        <is>
          <t>Payroll Liabilities</t>
        </is>
      </c>
      <c r="I2773" s="33" t="n">
        <v>402.16</v>
      </c>
      <c r="J2773" s="13">
        <f>+J2772+I2773</f>
        <v>402.16</v>
      </c>
      <c r="K2773" s="19">
        <f>+EOMONTH(B2773,0)</f>
        <v>46081</v>
      </c>
      <c r="L2773" s="3" t="inlineStr">
        <is>
          <t>Payroll Liabilities</t>
        </is>
      </c>
      <c r="M2773" s="3" t="inlineStr">
        <is>
          <t>Balance Sheet</t>
        </is>
      </c>
    </row>
    <row r="2774">
      <c r="B2774" s="39" t="n">
        <v>46076</v>
      </c>
      <c r="C2774" s="3" t="inlineStr">
        <is>
          <t>Bill Payment (Check)</t>
        </is>
      </c>
      <c r="D2774" s="3" t="inlineStr">
        <is>
          <t>11069</t>
        </is>
      </c>
      <c r="E2774" s="3" t="inlineStr">
        <is>
          <t>Tessarand Payroll Services</t>
        </is>
      </c>
      <c r="F2774" s="3" t="inlineStr">
        <is>
          <t>Tax remittance</t>
        </is>
      </c>
      <c r="G2774" s="3" t="inlineStr">
        <is>
          <t>Checking – Operating</t>
        </is>
      </c>
      <c r="H2774" s="3" t="inlineStr">
        <is>
          <t>Payroll Liabilities</t>
        </is>
      </c>
      <c r="I2774" s="33" t="n">
        <v>-402.16</v>
      </c>
      <c r="J2774" s="13">
        <f>+J2773+I2774</f>
        <v>0</v>
      </c>
      <c r="K2774" s="19">
        <f>+EOMONTH(B2774,0)</f>
        <v>46081</v>
      </c>
      <c r="L2774" s="3" t="inlineStr">
        <is>
          <t>Payroll Liabilities</t>
        </is>
      </c>
      <c r="M2774" s="3" t="inlineStr">
        <is>
          <t>Balance Sheet</t>
        </is>
      </c>
    </row>
    <row r="2775">
      <c r="B2775" s="39" t="n">
        <v>46091</v>
      </c>
      <c r="C2775" s="3" t="inlineStr">
        <is>
          <t>Payroll Check</t>
        </is>
      </c>
      <c r="D2775" s="3" t="inlineStr"/>
      <c r="E2775" s="3" t="inlineStr">
        <is>
          <t>Tessarand Payroll Services</t>
        </is>
      </c>
      <c r="F2775" s="3" t="inlineStr">
        <is>
          <t>Employer tax accrual</t>
        </is>
      </c>
      <c r="G2775" s="3" t="inlineStr">
        <is>
          <t>Payroll Taxes</t>
        </is>
      </c>
      <c r="H2775" s="3" t="inlineStr">
        <is>
          <t>Payroll Liabilities</t>
        </is>
      </c>
      <c r="I2775" s="33" t="n">
        <v>440.7</v>
      </c>
      <c r="J2775" s="13">
        <f>+J2774+I2775</f>
        <v>440.7</v>
      </c>
      <c r="K2775" s="19">
        <f>+EOMONTH(B2775,0)</f>
        <v>46112</v>
      </c>
      <c r="L2775" s="3" t="inlineStr">
        <is>
          <t>Payroll Liabilities</t>
        </is>
      </c>
      <c r="M2775" s="3" t="inlineStr">
        <is>
          <t>Balance Sheet</t>
        </is>
      </c>
    </row>
    <row r="2776">
      <c r="B2776" s="39" t="n">
        <v>46094</v>
      </c>
      <c r="C2776" s="3" t="inlineStr">
        <is>
          <t>Bill Payment (Check)</t>
        </is>
      </c>
      <c r="D2776" s="3" t="inlineStr">
        <is>
          <t>11071</t>
        </is>
      </c>
      <c r="E2776" s="3" t="inlineStr">
        <is>
          <t>Tessarand Payroll Services</t>
        </is>
      </c>
      <c r="F2776" s="3" t="inlineStr">
        <is>
          <t>Tax remittance</t>
        </is>
      </c>
      <c r="G2776" s="3" t="inlineStr">
        <is>
          <t>Checking – Operating</t>
        </is>
      </c>
      <c r="H2776" s="3" t="inlineStr">
        <is>
          <t>Payroll Liabilities</t>
        </is>
      </c>
      <c r="I2776" s="33" t="n">
        <v>-440.7</v>
      </c>
      <c r="J2776" s="13">
        <f>+J2775+I2776</f>
        <v>0</v>
      </c>
      <c r="K2776" s="19">
        <f>+EOMONTH(B2776,0)</f>
        <v>46112</v>
      </c>
      <c r="L2776" s="3" t="inlineStr">
        <is>
          <t>Payroll Liabilities</t>
        </is>
      </c>
      <c r="M2776" s="3" t="inlineStr">
        <is>
          <t>Balance Sheet</t>
        </is>
      </c>
    </row>
    <row r="2777">
      <c r="B2777" s="39" t="n">
        <v>46104</v>
      </c>
      <c r="C2777" s="3" t="inlineStr">
        <is>
          <t>Payroll Check</t>
        </is>
      </c>
      <c r="D2777" s="3" t="inlineStr"/>
      <c r="E2777" s="3" t="inlineStr">
        <is>
          <t>Tessarand Payroll Services</t>
        </is>
      </c>
      <c r="F2777" s="3" t="inlineStr">
        <is>
          <t>Employer tax accrual</t>
        </is>
      </c>
      <c r="G2777" s="3" t="inlineStr">
        <is>
          <t>Payroll Taxes</t>
        </is>
      </c>
      <c r="H2777" s="3" t="inlineStr">
        <is>
          <t>Payroll Liabilities</t>
        </is>
      </c>
      <c r="I2777" s="33" t="n">
        <v>402.8</v>
      </c>
      <c r="J2777" s="13">
        <f>+J2776+I2777</f>
        <v>402.8</v>
      </c>
      <c r="K2777" s="19">
        <f>+EOMONTH(B2777,0)</f>
        <v>46112</v>
      </c>
      <c r="L2777" s="3" t="inlineStr">
        <is>
          <t>Payroll Liabilities</t>
        </is>
      </c>
      <c r="M2777" s="3" t="inlineStr">
        <is>
          <t>Balance Sheet</t>
        </is>
      </c>
    </row>
    <row r="2778">
      <c r="B2778" s="39" t="n">
        <v>46107</v>
      </c>
      <c r="C2778" s="3" t="inlineStr">
        <is>
          <t>Bill Payment (Check)</t>
        </is>
      </c>
      <c r="D2778" s="3" t="inlineStr">
        <is>
          <t>11073</t>
        </is>
      </c>
      <c r="E2778" s="3" t="inlineStr">
        <is>
          <t>Tessarand Payroll Services</t>
        </is>
      </c>
      <c r="F2778" s="3" t="inlineStr">
        <is>
          <t>Tax remittance</t>
        </is>
      </c>
      <c r="G2778" s="3" t="inlineStr">
        <is>
          <t>Checking – Operating</t>
        </is>
      </c>
      <c r="H2778" s="3" t="inlineStr">
        <is>
          <t>Payroll Liabilities</t>
        </is>
      </c>
      <c r="I2778" s="33" t="n">
        <v>-402.8</v>
      </c>
      <c r="J2778" s="13">
        <f>+J2777+I2778</f>
        <v>0</v>
      </c>
      <c r="K2778" s="19">
        <f>+EOMONTH(B2778,0)</f>
        <v>46112</v>
      </c>
      <c r="L2778" s="3" t="inlineStr">
        <is>
          <t>Payroll Liabilities</t>
        </is>
      </c>
      <c r="M2778" s="3" t="inlineStr">
        <is>
          <t>Balance Sheet</t>
        </is>
      </c>
    </row>
    <row r="2779">
      <c r="B2779" s="39" t="n">
        <v>46123</v>
      </c>
      <c r="C2779" s="3" t="inlineStr">
        <is>
          <t>Payroll Check</t>
        </is>
      </c>
      <c r="D2779" s="3" t="inlineStr"/>
      <c r="E2779" s="3" t="inlineStr">
        <is>
          <t>Tessarand Payroll Services</t>
        </is>
      </c>
      <c r="F2779" s="3" t="inlineStr">
        <is>
          <t>Employer tax accrual</t>
        </is>
      </c>
      <c r="G2779" s="3" t="inlineStr">
        <is>
          <t>Payroll Taxes</t>
        </is>
      </c>
      <c r="H2779" s="3" t="inlineStr">
        <is>
          <t>Payroll Liabilities</t>
        </is>
      </c>
      <c r="I2779" s="33" t="n">
        <v>363.84</v>
      </c>
      <c r="J2779" s="13">
        <f>+J2778+I2779</f>
        <v>363.84</v>
      </c>
      <c r="K2779" s="19">
        <f>+EOMONTH(B2779,0)</f>
        <v>46142</v>
      </c>
      <c r="L2779" s="3" t="inlineStr">
        <is>
          <t>Payroll Liabilities</t>
        </is>
      </c>
      <c r="M2779" s="3" t="inlineStr">
        <is>
          <t>Balance Sheet</t>
        </is>
      </c>
    </row>
    <row r="2780">
      <c r="B2780" s="39" t="n">
        <v>46126</v>
      </c>
      <c r="C2780" s="3" t="inlineStr">
        <is>
          <t>Bill Payment (Check)</t>
        </is>
      </c>
      <c r="D2780" s="3" t="inlineStr">
        <is>
          <t>11075</t>
        </is>
      </c>
      <c r="E2780" s="3" t="inlineStr">
        <is>
          <t>Tessarand Payroll Services</t>
        </is>
      </c>
      <c r="F2780" s="3" t="inlineStr">
        <is>
          <t>Tax remittance</t>
        </is>
      </c>
      <c r="G2780" s="3" t="inlineStr">
        <is>
          <t>Checking – Operating</t>
        </is>
      </c>
      <c r="H2780" s="3" t="inlineStr">
        <is>
          <t>Payroll Liabilities</t>
        </is>
      </c>
      <c r="I2780" s="33" t="n">
        <v>-363.84</v>
      </c>
      <c r="J2780" s="13">
        <f>+J2779+I2780</f>
        <v>0</v>
      </c>
      <c r="K2780" s="19">
        <f>+EOMONTH(B2780,0)</f>
        <v>46142</v>
      </c>
      <c r="L2780" s="3" t="inlineStr">
        <is>
          <t>Payroll Liabilities</t>
        </is>
      </c>
      <c r="M2780" s="3" t="inlineStr">
        <is>
          <t>Balance Sheet</t>
        </is>
      </c>
    </row>
    <row r="2781">
      <c r="B2781" s="39" t="n">
        <v>46136</v>
      </c>
      <c r="C2781" s="3" t="inlineStr">
        <is>
          <t>Payroll Check</t>
        </is>
      </c>
      <c r="D2781" s="3" t="inlineStr"/>
      <c r="E2781" s="3" t="inlineStr">
        <is>
          <t>Tessarand Payroll Services</t>
        </is>
      </c>
      <c r="F2781" s="3" t="inlineStr">
        <is>
          <t>Employer tax accrual</t>
        </is>
      </c>
      <c r="G2781" s="3" t="inlineStr">
        <is>
          <t>Payroll Taxes</t>
        </is>
      </c>
      <c r="H2781" s="3" t="inlineStr">
        <is>
          <t>Payroll Liabilities</t>
        </is>
      </c>
      <c r="I2781" s="33" t="n">
        <v>472.66</v>
      </c>
      <c r="J2781" s="13">
        <f>+J2780+I2781</f>
        <v>472.66</v>
      </c>
      <c r="K2781" s="19">
        <f>+EOMONTH(B2781,0)</f>
        <v>46142</v>
      </c>
      <c r="L2781" s="3" t="inlineStr">
        <is>
          <t>Payroll Liabilities</t>
        </is>
      </c>
      <c r="M2781" s="3" t="inlineStr">
        <is>
          <t>Balance Sheet</t>
        </is>
      </c>
    </row>
    <row r="2782">
      <c r="B2782" s="39" t="n">
        <v>46139</v>
      </c>
      <c r="C2782" s="3" t="inlineStr">
        <is>
          <t>Bill Payment (Check)</t>
        </is>
      </c>
      <c r="D2782" s="3" t="inlineStr">
        <is>
          <t>11077</t>
        </is>
      </c>
      <c r="E2782" s="3" t="inlineStr">
        <is>
          <t>Tessarand Payroll Services</t>
        </is>
      </c>
      <c r="F2782" s="3" t="inlineStr">
        <is>
          <t>Tax remittance</t>
        </is>
      </c>
      <c r="G2782" s="3" t="inlineStr">
        <is>
          <t>Checking – Operating</t>
        </is>
      </c>
      <c r="H2782" s="3" t="inlineStr">
        <is>
          <t>Payroll Liabilities</t>
        </is>
      </c>
      <c r="I2782" s="33" t="n">
        <v>-472.66</v>
      </c>
      <c r="J2782" s="13">
        <f>+J2781+I2782</f>
        <v>0</v>
      </c>
      <c r="K2782" s="19">
        <f>+EOMONTH(B2782,0)</f>
        <v>46142</v>
      </c>
      <c r="L2782" s="3" t="inlineStr">
        <is>
          <t>Payroll Liabilities</t>
        </is>
      </c>
      <c r="M2782" s="3" t="inlineStr">
        <is>
          <t>Balance Sheet</t>
        </is>
      </c>
    </row>
    <row r="2783">
      <c r="B2783" s="39" t="n">
        <v>46146</v>
      </c>
      <c r="C2783" s="3" t="inlineStr">
        <is>
          <t>Payroll Check</t>
        </is>
      </c>
      <c r="D2783" s="3" t="inlineStr"/>
      <c r="E2783" s="3" t="inlineStr">
        <is>
          <t>Tessarand Payroll Services</t>
        </is>
      </c>
      <c r="F2783" s="3" t="inlineStr">
        <is>
          <t>Employer tax accrual</t>
        </is>
      </c>
      <c r="G2783" s="3" t="inlineStr">
        <is>
          <t>Payroll Taxes</t>
        </is>
      </c>
      <c r="H2783" s="3" t="inlineStr">
        <is>
          <t>Payroll Liabilities</t>
        </is>
      </c>
      <c r="I2783" s="33" t="n">
        <v>584.84</v>
      </c>
      <c r="J2783" s="13">
        <f>+J2782+I2783</f>
        <v>584.84</v>
      </c>
      <c r="K2783" s="19">
        <f>+EOMONTH(B2783,0)</f>
        <v>46173</v>
      </c>
      <c r="L2783" s="3" t="inlineStr">
        <is>
          <t>Payroll Liabilities</t>
        </is>
      </c>
      <c r="M2783" s="3" t="inlineStr">
        <is>
          <t>Balance Sheet</t>
        </is>
      </c>
    </row>
    <row r="2784">
      <c r="B2784" s="39" t="n">
        <v>46149</v>
      </c>
      <c r="C2784" s="3" t="inlineStr">
        <is>
          <t>Bill Payment (Check)</t>
        </is>
      </c>
      <c r="D2784" s="3" t="inlineStr">
        <is>
          <t>11079</t>
        </is>
      </c>
      <c r="E2784" s="3" t="inlineStr">
        <is>
          <t>Tessarand Payroll Services</t>
        </is>
      </c>
      <c r="F2784" s="3" t="inlineStr">
        <is>
          <t>Tax remittance</t>
        </is>
      </c>
      <c r="G2784" s="3" t="inlineStr">
        <is>
          <t>Checking – Operating</t>
        </is>
      </c>
      <c r="H2784" s="3" t="inlineStr">
        <is>
          <t>Payroll Liabilities</t>
        </is>
      </c>
      <c r="I2784" s="33" t="n">
        <v>-584.84</v>
      </c>
      <c r="J2784" s="13">
        <f>+J2783+I2784</f>
        <v>0</v>
      </c>
      <c r="K2784" s="19">
        <f>+EOMONTH(B2784,0)</f>
        <v>46173</v>
      </c>
      <c r="L2784" s="3" t="inlineStr">
        <is>
          <t>Payroll Liabilities</t>
        </is>
      </c>
      <c r="M2784" s="3" t="inlineStr">
        <is>
          <t>Balance Sheet</t>
        </is>
      </c>
    </row>
    <row r="2785">
      <c r="B2785" s="39" t="n">
        <v>46161</v>
      </c>
      <c r="C2785" s="3" t="inlineStr">
        <is>
          <t>Payroll Check</t>
        </is>
      </c>
      <c r="D2785" s="3" t="inlineStr"/>
      <c r="E2785" s="3" t="inlineStr">
        <is>
          <t>Tessarand Payroll Services</t>
        </is>
      </c>
      <c r="F2785" s="3" t="inlineStr">
        <is>
          <t>Employer tax accrual</t>
        </is>
      </c>
      <c r="G2785" s="3" t="inlineStr">
        <is>
          <t>Payroll Taxes</t>
        </is>
      </c>
      <c r="H2785" s="3" t="inlineStr">
        <is>
          <t>Payroll Liabilities</t>
        </is>
      </c>
      <c r="I2785" s="33" t="n">
        <v>311.16</v>
      </c>
      <c r="J2785" s="13">
        <f>+J2784+I2785</f>
        <v>311.16</v>
      </c>
      <c r="K2785" s="19">
        <f>+EOMONTH(B2785,0)</f>
        <v>46173</v>
      </c>
      <c r="L2785" s="3" t="inlineStr">
        <is>
          <t>Payroll Liabilities</t>
        </is>
      </c>
      <c r="M2785" s="3" t="inlineStr">
        <is>
          <t>Balance Sheet</t>
        </is>
      </c>
    </row>
    <row r="2786">
      <c r="B2786" s="39" t="n">
        <v>46164</v>
      </c>
      <c r="C2786" s="3" t="inlineStr">
        <is>
          <t>Bill Payment (Check)</t>
        </is>
      </c>
      <c r="D2786" s="3" t="inlineStr">
        <is>
          <t>11081</t>
        </is>
      </c>
      <c r="E2786" s="3" t="inlineStr">
        <is>
          <t>Tessarand Payroll Services</t>
        </is>
      </c>
      <c r="F2786" s="3" t="inlineStr">
        <is>
          <t>Tax remittance</t>
        </is>
      </c>
      <c r="G2786" s="3" t="inlineStr">
        <is>
          <t>Checking – Operating</t>
        </is>
      </c>
      <c r="H2786" s="3" t="inlineStr">
        <is>
          <t>Payroll Liabilities</t>
        </is>
      </c>
      <c r="I2786" s="33" t="n">
        <v>-311.16</v>
      </c>
      <c r="J2786" s="13">
        <f>+J2785+I2786</f>
        <v>0</v>
      </c>
      <c r="K2786" s="19">
        <f>+EOMONTH(B2786,0)</f>
        <v>46173</v>
      </c>
      <c r="L2786" s="3" t="inlineStr">
        <is>
          <t>Payroll Liabilities</t>
        </is>
      </c>
      <c r="M2786" s="3" t="inlineStr">
        <is>
          <t>Balance Sheet</t>
        </is>
      </c>
    </row>
    <row r="2787">
      <c r="B2787" s="39" t="n">
        <v>46179</v>
      </c>
      <c r="C2787" s="3" t="inlineStr">
        <is>
          <t>Payroll Check</t>
        </is>
      </c>
      <c r="D2787" s="3" t="inlineStr"/>
      <c r="E2787" s="3" t="inlineStr">
        <is>
          <t>Tessarand Payroll Services</t>
        </is>
      </c>
      <c r="F2787" s="3" t="inlineStr">
        <is>
          <t>Employer tax accrual</t>
        </is>
      </c>
      <c r="G2787" s="3" t="inlineStr">
        <is>
          <t>Payroll Taxes</t>
        </is>
      </c>
      <c r="H2787" s="3" t="inlineStr">
        <is>
          <t>Payroll Liabilities</t>
        </is>
      </c>
      <c r="I2787" s="33" t="n">
        <v>462.97</v>
      </c>
      <c r="J2787" s="13">
        <f>+J2786+I2787</f>
        <v>462.97</v>
      </c>
      <c r="K2787" s="19">
        <f>+EOMONTH(B2787,0)</f>
        <v>46203</v>
      </c>
      <c r="L2787" s="3" t="inlineStr">
        <is>
          <t>Payroll Liabilities</t>
        </is>
      </c>
      <c r="M2787" s="3" t="inlineStr">
        <is>
          <t>Balance Sheet</t>
        </is>
      </c>
    </row>
    <row r="2788">
      <c r="B2788" s="39" t="n">
        <v>46182</v>
      </c>
      <c r="C2788" s="3" t="inlineStr">
        <is>
          <t>Bill Payment (Check)</t>
        </is>
      </c>
      <c r="D2788" s="3" t="inlineStr">
        <is>
          <t>11083</t>
        </is>
      </c>
      <c r="E2788" s="3" t="inlineStr">
        <is>
          <t>Tessarand Payroll Services</t>
        </is>
      </c>
      <c r="F2788" s="3" t="inlineStr">
        <is>
          <t>Tax remittance</t>
        </is>
      </c>
      <c r="G2788" s="3" t="inlineStr">
        <is>
          <t>Checking – Operating</t>
        </is>
      </c>
      <c r="H2788" s="3" t="inlineStr">
        <is>
          <t>Payroll Liabilities</t>
        </is>
      </c>
      <c r="I2788" s="33" t="n">
        <v>-462.97</v>
      </c>
      <c r="J2788" s="13">
        <f>+J2787+I2788</f>
        <v>0</v>
      </c>
      <c r="K2788" s="19">
        <f>+EOMONTH(B2788,0)</f>
        <v>46203</v>
      </c>
      <c r="L2788" s="3" t="inlineStr">
        <is>
          <t>Payroll Liabilities</t>
        </is>
      </c>
      <c r="M2788" s="3" t="inlineStr">
        <is>
          <t>Balance Sheet</t>
        </is>
      </c>
    </row>
    <row r="2789">
      <c r="B2789" s="39" t="n">
        <v>46191</v>
      </c>
      <c r="C2789" s="3" t="inlineStr">
        <is>
          <t>Payroll Check</t>
        </is>
      </c>
      <c r="D2789" s="3" t="inlineStr"/>
      <c r="E2789" s="3" t="inlineStr">
        <is>
          <t>Tessarand Payroll Services</t>
        </is>
      </c>
      <c r="F2789" s="3" t="inlineStr">
        <is>
          <t>Employer tax accrual</t>
        </is>
      </c>
      <c r="G2789" s="3" t="inlineStr">
        <is>
          <t>Payroll Taxes</t>
        </is>
      </c>
      <c r="H2789" s="3" t="inlineStr">
        <is>
          <t>Payroll Liabilities</t>
        </is>
      </c>
      <c r="I2789" s="33" t="n">
        <v>380.53</v>
      </c>
      <c r="J2789" s="13">
        <f>+J2788+I2789</f>
        <v>380.53</v>
      </c>
      <c r="K2789" s="19">
        <f>+EOMONTH(B2789,0)</f>
        <v>46203</v>
      </c>
      <c r="L2789" s="3" t="inlineStr">
        <is>
          <t>Payroll Liabilities</t>
        </is>
      </c>
      <c r="M2789" s="3" t="inlineStr">
        <is>
          <t>Balance Sheet</t>
        </is>
      </c>
    </row>
    <row r="2790">
      <c r="B2790" s="39" t="n">
        <v>46194</v>
      </c>
      <c r="C2790" s="3" t="inlineStr">
        <is>
          <t>Bill Payment (Check)</t>
        </is>
      </c>
      <c r="D2790" s="3" t="inlineStr">
        <is>
          <t>11085</t>
        </is>
      </c>
      <c r="E2790" s="3" t="inlineStr">
        <is>
          <t>Tessarand Payroll Services</t>
        </is>
      </c>
      <c r="F2790" s="3" t="inlineStr">
        <is>
          <t>Tax remittance</t>
        </is>
      </c>
      <c r="G2790" s="3" t="inlineStr">
        <is>
          <t>Checking – Operating</t>
        </is>
      </c>
      <c r="H2790" s="3" t="inlineStr">
        <is>
          <t>Payroll Liabilities</t>
        </is>
      </c>
      <c r="I2790" s="33" t="n">
        <v>-380.53</v>
      </c>
      <c r="J2790" s="13">
        <f>+J2789+I2790</f>
        <v>0</v>
      </c>
      <c r="K2790" s="19">
        <f>+EOMONTH(B2790,0)</f>
        <v>46203</v>
      </c>
      <c r="L2790" s="3" t="inlineStr">
        <is>
          <t>Payroll Liabilities</t>
        </is>
      </c>
      <c r="M2790" s="3" t="inlineStr">
        <is>
          <t>Balance Sheet</t>
        </is>
      </c>
    </row>
    <row r="2791">
      <c r="B2791" s="39" t="n">
        <v>46215</v>
      </c>
      <c r="C2791" s="3" t="inlineStr">
        <is>
          <t>Payroll Check</t>
        </is>
      </c>
      <c r="D2791" s="3" t="inlineStr"/>
      <c r="E2791" s="3" t="inlineStr">
        <is>
          <t>Tessarand Payroll Services</t>
        </is>
      </c>
      <c r="F2791" s="3" t="inlineStr">
        <is>
          <t>Employer tax accrual</t>
        </is>
      </c>
      <c r="G2791" s="3" t="inlineStr">
        <is>
          <t>Payroll Taxes</t>
        </is>
      </c>
      <c r="H2791" s="3" t="inlineStr">
        <is>
          <t>Payroll Liabilities</t>
        </is>
      </c>
      <c r="I2791" s="33" t="n">
        <v>351.47</v>
      </c>
      <c r="J2791" s="13">
        <f>+J2790+I2791</f>
        <v>351.47</v>
      </c>
      <c r="K2791" s="19">
        <f>+EOMONTH(B2791,0)</f>
        <v>46234</v>
      </c>
      <c r="L2791" s="3" t="inlineStr">
        <is>
          <t>Payroll Liabilities</t>
        </is>
      </c>
      <c r="M2791" s="3" t="inlineStr">
        <is>
          <t>Balance Sheet</t>
        </is>
      </c>
    </row>
    <row r="2792">
      <c r="B2792" s="39" t="n">
        <v>46218</v>
      </c>
      <c r="C2792" s="3" t="inlineStr">
        <is>
          <t>Bill Payment (Check)</t>
        </is>
      </c>
      <c r="D2792" s="3" t="inlineStr">
        <is>
          <t>11087</t>
        </is>
      </c>
      <c r="E2792" s="3" t="inlineStr">
        <is>
          <t>Tessarand Payroll Services</t>
        </is>
      </c>
      <c r="F2792" s="3" t="inlineStr">
        <is>
          <t>Tax remittance</t>
        </is>
      </c>
      <c r="G2792" s="3" t="inlineStr">
        <is>
          <t>Checking – Operating</t>
        </is>
      </c>
      <c r="H2792" s="3" t="inlineStr">
        <is>
          <t>Payroll Liabilities</t>
        </is>
      </c>
      <c r="I2792" s="33" t="n">
        <v>-351.47</v>
      </c>
      <c r="J2792" s="13">
        <f>+J2791+I2792</f>
        <v>0</v>
      </c>
      <c r="K2792" s="19">
        <f>+EOMONTH(B2792,0)</f>
        <v>46234</v>
      </c>
      <c r="L2792" s="3" t="inlineStr">
        <is>
          <t>Payroll Liabilities</t>
        </is>
      </c>
      <c r="M2792" s="3" t="inlineStr">
        <is>
          <t>Balance Sheet</t>
        </is>
      </c>
    </row>
    <row r="2793">
      <c r="B2793" s="39" t="n">
        <v>46229</v>
      </c>
      <c r="C2793" s="3" t="inlineStr">
        <is>
          <t>Payroll Check</t>
        </is>
      </c>
      <c r="D2793" s="3" t="inlineStr"/>
      <c r="E2793" s="3" t="inlineStr">
        <is>
          <t>Tessarand Payroll Services</t>
        </is>
      </c>
      <c r="F2793" s="3" t="inlineStr">
        <is>
          <t>Employer tax accrual</t>
        </is>
      </c>
      <c r="G2793" s="3" t="inlineStr">
        <is>
          <t>Payroll Taxes</t>
        </is>
      </c>
      <c r="H2793" s="3" t="inlineStr">
        <is>
          <t>Payroll Liabilities</t>
        </is>
      </c>
      <c r="I2793" s="33" t="n">
        <v>326.68</v>
      </c>
      <c r="J2793" s="13">
        <f>+J2792+I2793</f>
        <v>326.68</v>
      </c>
      <c r="K2793" s="19">
        <f>+EOMONTH(B2793,0)</f>
        <v>46234</v>
      </c>
      <c r="L2793" s="3" t="inlineStr">
        <is>
          <t>Payroll Liabilities</t>
        </is>
      </c>
      <c r="M2793" s="3" t="inlineStr">
        <is>
          <t>Balance Sheet</t>
        </is>
      </c>
    </row>
    <row r="2794">
      <c r="B2794" s="39" t="n">
        <v>46230</v>
      </c>
      <c r="C2794" s="3" t="inlineStr">
        <is>
          <t>Payroll Check</t>
        </is>
      </c>
      <c r="D2794" s="3" t="inlineStr"/>
      <c r="E2794" s="3" t="inlineStr">
        <is>
          <t>Tessarand Payroll Services</t>
        </is>
      </c>
      <c r="F2794" s="3" t="inlineStr">
        <is>
          <t>Employer tax accrual</t>
        </is>
      </c>
      <c r="G2794" s="3" t="inlineStr">
        <is>
          <t>Payroll Taxes</t>
        </is>
      </c>
      <c r="H2794" s="3" t="inlineStr">
        <is>
          <t>Payroll Liabilities</t>
        </is>
      </c>
      <c r="I2794" s="33" t="n">
        <v>182.85</v>
      </c>
      <c r="J2794" s="13">
        <f>+J2793+I2794</f>
        <v>509.53</v>
      </c>
      <c r="K2794" s="19">
        <f>+EOMONTH(B2794,0)</f>
        <v>46234</v>
      </c>
      <c r="L2794" s="3" t="inlineStr">
        <is>
          <t>Payroll Liabilities</t>
        </is>
      </c>
      <c r="M2794" s="3" t="inlineStr">
        <is>
          <t>Balance Sheet</t>
        </is>
      </c>
    </row>
    <row r="2795">
      <c r="B2795" s="39" t="n">
        <v>46232</v>
      </c>
      <c r="C2795" s="3" t="inlineStr">
        <is>
          <t>Bill Payment (Check)</t>
        </is>
      </c>
      <c r="D2795" s="3" t="inlineStr">
        <is>
          <t>11089</t>
        </is>
      </c>
      <c r="E2795" s="3" t="inlineStr">
        <is>
          <t>Tessarand Payroll Services</t>
        </is>
      </c>
      <c r="F2795" s="3" t="inlineStr">
        <is>
          <t>Tax remittance</t>
        </is>
      </c>
      <c r="G2795" s="3" t="inlineStr">
        <is>
          <t>Checking – Operating</t>
        </is>
      </c>
      <c r="H2795" s="3" t="inlineStr">
        <is>
          <t>Payroll Liabilities</t>
        </is>
      </c>
      <c r="I2795" s="33" t="n">
        <v>-326.68</v>
      </c>
      <c r="J2795" s="13">
        <f>+J2794+I2795</f>
        <v>182.85</v>
      </c>
      <c r="K2795" s="19">
        <f>+EOMONTH(B2795,0)</f>
        <v>46234</v>
      </c>
      <c r="L2795" s="3" t="inlineStr">
        <is>
          <t>Payroll Liabilities</t>
        </is>
      </c>
      <c r="M2795" s="3" t="inlineStr">
        <is>
          <t>Balance Sheet</t>
        </is>
      </c>
    </row>
    <row r="2796">
      <c r="B2796" s="39" t="n">
        <v>46233</v>
      </c>
      <c r="C2796" s="3" t="inlineStr">
        <is>
          <t>Bill Payment (Check)</t>
        </is>
      </c>
      <c r="D2796" s="3" t="inlineStr">
        <is>
          <t>11091</t>
        </is>
      </c>
      <c r="E2796" s="3" t="inlineStr">
        <is>
          <t>Tessarand Payroll Services</t>
        </is>
      </c>
      <c r="F2796" s="3" t="inlineStr">
        <is>
          <t>Tax remittance</t>
        </is>
      </c>
      <c r="G2796" s="3" t="inlineStr">
        <is>
          <t>Checking – Operating</t>
        </is>
      </c>
      <c r="H2796" s="3" t="inlineStr">
        <is>
          <t>Payroll Liabilities</t>
        </is>
      </c>
      <c r="I2796" s="33" t="n">
        <v>-182.85</v>
      </c>
      <c r="J2796" s="13">
        <f>+J2795+I2796</f>
        <v>0</v>
      </c>
      <c r="K2796" s="19">
        <f>+EOMONTH(B2796,0)</f>
        <v>46234</v>
      </c>
      <c r="L2796" s="3" t="inlineStr">
        <is>
          <t>Payroll Liabilities</t>
        </is>
      </c>
      <c r="M2796" s="3" t="inlineStr">
        <is>
          <t>Balance Sheet</t>
        </is>
      </c>
    </row>
    <row r="2797">
      <c r="B2797" s="39" t="n">
        <v>46247</v>
      </c>
      <c r="C2797" s="3" t="inlineStr">
        <is>
          <t>Payroll Check</t>
        </is>
      </c>
      <c r="D2797" s="3" t="inlineStr"/>
      <c r="E2797" s="3" t="inlineStr">
        <is>
          <t>Tessarand Payroll Services</t>
        </is>
      </c>
      <c r="F2797" s="3" t="inlineStr">
        <is>
          <t>Employer tax accrual</t>
        </is>
      </c>
      <c r="G2797" s="3" t="inlineStr">
        <is>
          <t>Payroll Taxes</t>
        </is>
      </c>
      <c r="H2797" s="3" t="inlineStr">
        <is>
          <t>Payroll Liabilities</t>
        </is>
      </c>
      <c r="I2797" s="33" t="n">
        <v>480.38</v>
      </c>
      <c r="J2797" s="13">
        <f>+J2796+I2797</f>
        <v>480.38</v>
      </c>
      <c r="K2797" s="19">
        <f>+EOMONTH(B2797,0)</f>
        <v>46265</v>
      </c>
      <c r="L2797" s="3" t="inlineStr">
        <is>
          <t>Payroll Liabilities</t>
        </is>
      </c>
      <c r="M2797" s="3" t="inlineStr">
        <is>
          <t>Balance Sheet</t>
        </is>
      </c>
    </row>
    <row r="2798">
      <c r="B2798" s="39" t="n">
        <v>46250</v>
      </c>
      <c r="C2798" s="3" t="inlineStr">
        <is>
          <t>Bill Payment (Check)</t>
        </is>
      </c>
      <c r="D2798" s="3" t="inlineStr">
        <is>
          <t>11093</t>
        </is>
      </c>
      <c r="E2798" s="3" t="inlineStr">
        <is>
          <t>Tessarand Payroll Services</t>
        </is>
      </c>
      <c r="F2798" s="3" t="inlineStr">
        <is>
          <t>Tax remittance</t>
        </is>
      </c>
      <c r="G2798" s="3" t="inlineStr">
        <is>
          <t>Checking – Operating</t>
        </is>
      </c>
      <c r="H2798" s="3" t="inlineStr">
        <is>
          <t>Payroll Liabilities</t>
        </is>
      </c>
      <c r="I2798" s="33" t="n">
        <v>-480.38</v>
      </c>
      <c r="J2798" s="13">
        <f>+J2797+I2798</f>
        <v>0</v>
      </c>
      <c r="K2798" s="19">
        <f>+EOMONTH(B2798,0)</f>
        <v>46265</v>
      </c>
      <c r="L2798" s="3" t="inlineStr">
        <is>
          <t>Payroll Liabilities</t>
        </is>
      </c>
      <c r="M2798" s="3" t="inlineStr">
        <is>
          <t>Balance Sheet</t>
        </is>
      </c>
    </row>
    <row r="2799">
      <c r="B2799" s="39" t="n">
        <v>46250</v>
      </c>
      <c r="C2799" s="3" t="inlineStr">
        <is>
          <t>Payroll Check</t>
        </is>
      </c>
      <c r="D2799" s="3" t="inlineStr"/>
      <c r="E2799" s="3" t="inlineStr">
        <is>
          <t>Tessarand Payroll Services</t>
        </is>
      </c>
      <c r="F2799" s="3" t="inlineStr">
        <is>
          <t>Employer tax accrual</t>
        </is>
      </c>
      <c r="G2799" s="3" t="inlineStr">
        <is>
          <t>Payroll Taxes</t>
        </is>
      </c>
      <c r="H2799" s="3" t="inlineStr">
        <is>
          <t>Payroll Liabilities</t>
        </is>
      </c>
      <c r="I2799" s="33" t="n">
        <v>380.62</v>
      </c>
      <c r="J2799" s="13">
        <f>+J2798+I2799</f>
        <v>380.62</v>
      </c>
      <c r="K2799" s="19">
        <f>+EOMONTH(B2799,0)</f>
        <v>46265</v>
      </c>
      <c r="L2799" s="3" t="inlineStr">
        <is>
          <t>Payroll Liabilities</t>
        </is>
      </c>
      <c r="M2799" s="3" t="inlineStr">
        <is>
          <t>Balance Sheet</t>
        </is>
      </c>
    </row>
    <row r="2800">
      <c r="B2800" s="39" t="n">
        <v>46253</v>
      </c>
      <c r="C2800" s="3" t="inlineStr">
        <is>
          <t>Bill Payment (Check)</t>
        </is>
      </c>
      <c r="D2800" s="3" t="inlineStr">
        <is>
          <t>11095</t>
        </is>
      </c>
      <c r="E2800" s="3" t="inlineStr">
        <is>
          <t>Tessarand Payroll Services</t>
        </is>
      </c>
      <c r="F2800" s="3" t="inlineStr">
        <is>
          <t>Tax remittance</t>
        </is>
      </c>
      <c r="G2800" s="3" t="inlineStr">
        <is>
          <t>Checking – Operating</t>
        </is>
      </c>
      <c r="H2800" s="3" t="inlineStr">
        <is>
          <t>Payroll Liabilities</t>
        </is>
      </c>
      <c r="I2800" s="33" t="n">
        <v>-380.62</v>
      </c>
      <c r="J2800" s="13">
        <f>+J2799+I2800</f>
        <v>0</v>
      </c>
      <c r="K2800" s="19">
        <f>+EOMONTH(B2800,0)</f>
        <v>46265</v>
      </c>
      <c r="L2800" s="3" t="inlineStr">
        <is>
          <t>Payroll Liabilities</t>
        </is>
      </c>
      <c r="M2800" s="3" t="inlineStr">
        <is>
          <t>Balance Sheet</t>
        </is>
      </c>
    </row>
    <row r="2801">
      <c r="B2801" s="39" t="n">
        <v>46267</v>
      </c>
      <c r="C2801" s="3" t="inlineStr">
        <is>
          <t>Payroll Check</t>
        </is>
      </c>
      <c r="D2801" s="3" t="inlineStr"/>
      <c r="E2801" s="3" t="inlineStr">
        <is>
          <t>Tessarand Payroll Services</t>
        </is>
      </c>
      <c r="F2801" s="3" t="inlineStr">
        <is>
          <t>Employer tax accrual</t>
        </is>
      </c>
      <c r="G2801" s="3" t="inlineStr">
        <is>
          <t>Payroll Taxes</t>
        </is>
      </c>
      <c r="H2801" s="3" t="inlineStr">
        <is>
          <t>Payroll Liabilities</t>
        </is>
      </c>
      <c r="I2801" s="33" t="n">
        <v>456.89</v>
      </c>
      <c r="J2801" s="13">
        <f>+J2800+I2801</f>
        <v>456.89</v>
      </c>
      <c r="K2801" s="19">
        <f>+EOMONTH(B2801,0)</f>
        <v>46295</v>
      </c>
      <c r="L2801" s="3" t="inlineStr">
        <is>
          <t>Payroll Liabilities</t>
        </is>
      </c>
      <c r="M2801" s="3" t="inlineStr">
        <is>
          <t>Balance Sheet</t>
        </is>
      </c>
    </row>
    <row r="2802">
      <c r="B2802" s="39" t="n">
        <v>46270</v>
      </c>
      <c r="C2802" s="3" t="inlineStr">
        <is>
          <t>Bill Payment (Check)</t>
        </is>
      </c>
      <c r="D2802" s="3" t="inlineStr">
        <is>
          <t>11097</t>
        </is>
      </c>
      <c r="E2802" s="3" t="inlineStr">
        <is>
          <t>Tessarand Payroll Services</t>
        </is>
      </c>
      <c r="F2802" s="3" t="inlineStr">
        <is>
          <t>Tax remittance</t>
        </is>
      </c>
      <c r="G2802" s="3" t="inlineStr">
        <is>
          <t>Checking – Operating</t>
        </is>
      </c>
      <c r="H2802" s="3" t="inlineStr">
        <is>
          <t>Payroll Liabilities</t>
        </is>
      </c>
      <c r="I2802" s="33" t="n">
        <v>-456.89</v>
      </c>
      <c r="J2802" s="13">
        <f>+J2801+I2802</f>
        <v>0</v>
      </c>
      <c r="K2802" s="19">
        <f>+EOMONTH(B2802,0)</f>
        <v>46295</v>
      </c>
      <c r="L2802" s="3" t="inlineStr">
        <is>
          <t>Payroll Liabilities</t>
        </is>
      </c>
      <c r="M2802" s="3" t="inlineStr">
        <is>
          <t>Balance Sheet</t>
        </is>
      </c>
    </row>
    <row r="2803">
      <c r="B2803" s="39" t="n">
        <v>46286</v>
      </c>
      <c r="C2803" s="3" t="inlineStr">
        <is>
          <t>Payroll Check</t>
        </is>
      </c>
      <c r="D2803" s="3" t="inlineStr"/>
      <c r="E2803" s="3" t="inlineStr">
        <is>
          <t>Tessarand Payroll Services</t>
        </is>
      </c>
      <c r="F2803" s="3" t="inlineStr">
        <is>
          <t>Employer tax accrual</t>
        </is>
      </c>
      <c r="G2803" s="3" t="inlineStr">
        <is>
          <t>Payroll Taxes</t>
        </is>
      </c>
      <c r="H2803" s="3" t="inlineStr">
        <is>
          <t>Payroll Liabilities</t>
        </is>
      </c>
      <c r="I2803" s="33" t="n">
        <v>409.17</v>
      </c>
      <c r="J2803" s="13">
        <f>+J2802+I2803</f>
        <v>409.17</v>
      </c>
      <c r="K2803" s="19">
        <f>+EOMONTH(B2803,0)</f>
        <v>46295</v>
      </c>
      <c r="L2803" s="3" t="inlineStr">
        <is>
          <t>Payroll Liabilities</t>
        </is>
      </c>
      <c r="M2803" s="3" t="inlineStr">
        <is>
          <t>Balance Sheet</t>
        </is>
      </c>
    </row>
    <row r="2804">
      <c r="B2804" s="39" t="n">
        <v>46289</v>
      </c>
      <c r="C2804" s="3" t="inlineStr">
        <is>
          <t>Bill Payment (Check)</t>
        </is>
      </c>
      <c r="D2804" s="3" t="inlineStr">
        <is>
          <t>11099</t>
        </is>
      </c>
      <c r="E2804" s="3" t="inlineStr">
        <is>
          <t>Tessarand Payroll Services</t>
        </is>
      </c>
      <c r="F2804" s="3" t="inlineStr">
        <is>
          <t>Tax remittance</t>
        </is>
      </c>
      <c r="G2804" s="3" t="inlineStr">
        <is>
          <t>Checking – Operating</t>
        </is>
      </c>
      <c r="H2804" s="3" t="inlineStr">
        <is>
          <t>Payroll Liabilities</t>
        </is>
      </c>
      <c r="I2804" s="33" t="n">
        <v>-409.17</v>
      </c>
      <c r="J2804" s="13">
        <f>+J2803+I2804</f>
        <v>0</v>
      </c>
      <c r="K2804" s="19">
        <f>+EOMONTH(B2804,0)</f>
        <v>46295</v>
      </c>
      <c r="L2804" s="3" t="inlineStr">
        <is>
          <t>Payroll Liabilities</t>
        </is>
      </c>
      <c r="M2804" s="3" t="inlineStr">
        <is>
          <t>Balance Sheet</t>
        </is>
      </c>
    </row>
    <row r="2805">
      <c r="B2805" s="39" t="n">
        <v>46302</v>
      </c>
      <c r="C2805" s="3" t="inlineStr">
        <is>
          <t>Payroll Check</t>
        </is>
      </c>
      <c r="D2805" s="3" t="inlineStr"/>
      <c r="E2805" s="3" t="inlineStr">
        <is>
          <t>Tessarand Payroll Services</t>
        </is>
      </c>
      <c r="F2805" s="3" t="inlineStr">
        <is>
          <t>Employer tax accrual</t>
        </is>
      </c>
      <c r="G2805" s="3" t="inlineStr">
        <is>
          <t>Payroll Taxes</t>
        </is>
      </c>
      <c r="H2805" s="3" t="inlineStr">
        <is>
          <t>Payroll Liabilities</t>
        </is>
      </c>
      <c r="I2805" s="33" t="n">
        <v>372.62</v>
      </c>
      <c r="J2805" s="13">
        <f>+J2804+I2805</f>
        <v>372.62</v>
      </c>
      <c r="K2805" s="19">
        <f>+EOMONTH(B2805,0)</f>
        <v>46326</v>
      </c>
      <c r="L2805" s="3" t="inlineStr">
        <is>
          <t>Payroll Liabilities</t>
        </is>
      </c>
      <c r="M2805" s="3" t="inlineStr">
        <is>
          <t>Balance Sheet</t>
        </is>
      </c>
    </row>
    <row r="2806">
      <c r="B2806" s="39" t="n">
        <v>46305</v>
      </c>
      <c r="C2806" s="3" t="inlineStr">
        <is>
          <t>Bill Payment (Check)</t>
        </is>
      </c>
      <c r="D2806" s="3" t="inlineStr">
        <is>
          <t>11101</t>
        </is>
      </c>
      <c r="E2806" s="3" t="inlineStr">
        <is>
          <t>Tessarand Payroll Services</t>
        </is>
      </c>
      <c r="F2806" s="3" t="inlineStr">
        <is>
          <t>Tax remittance</t>
        </is>
      </c>
      <c r="G2806" s="3" t="inlineStr">
        <is>
          <t>Checking – Operating</t>
        </is>
      </c>
      <c r="H2806" s="3" t="inlineStr">
        <is>
          <t>Payroll Liabilities</t>
        </is>
      </c>
      <c r="I2806" s="33" t="n">
        <v>-372.62</v>
      </c>
      <c r="J2806" s="13">
        <f>+J2805+I2806</f>
        <v>0</v>
      </c>
      <c r="K2806" s="19">
        <f>+EOMONTH(B2806,0)</f>
        <v>46326</v>
      </c>
      <c r="L2806" s="3" t="inlineStr">
        <is>
          <t>Payroll Liabilities</t>
        </is>
      </c>
      <c r="M2806" s="3" t="inlineStr">
        <is>
          <t>Balance Sheet</t>
        </is>
      </c>
    </row>
    <row r="2807">
      <c r="B2807" s="39" t="n">
        <v>46315</v>
      </c>
      <c r="C2807" s="3" t="inlineStr">
        <is>
          <t>Payroll Check</t>
        </is>
      </c>
      <c r="D2807" s="3" t="inlineStr"/>
      <c r="E2807" s="3" t="inlineStr">
        <is>
          <t>Tessarand Payroll Services</t>
        </is>
      </c>
      <c r="F2807" s="3" t="inlineStr">
        <is>
          <t>Employer tax accrual</t>
        </is>
      </c>
      <c r="G2807" s="3" t="inlineStr">
        <is>
          <t>Payroll Taxes</t>
        </is>
      </c>
      <c r="H2807" s="3" t="inlineStr">
        <is>
          <t>Payroll Liabilities</t>
        </is>
      </c>
      <c r="I2807" s="33" t="n">
        <v>495.36</v>
      </c>
      <c r="J2807" s="13">
        <f>+J2806+I2807</f>
        <v>495.36</v>
      </c>
      <c r="K2807" s="19">
        <f>+EOMONTH(B2807,0)</f>
        <v>46326</v>
      </c>
      <c r="L2807" s="3" t="inlineStr">
        <is>
          <t>Payroll Liabilities</t>
        </is>
      </c>
      <c r="M2807" s="3" t="inlineStr">
        <is>
          <t>Balance Sheet</t>
        </is>
      </c>
    </row>
    <row r="2808">
      <c r="B2808" s="39" t="n">
        <v>46318</v>
      </c>
      <c r="C2808" s="3" t="inlineStr">
        <is>
          <t>Bill Payment (Check)</t>
        </is>
      </c>
      <c r="D2808" s="3" t="inlineStr">
        <is>
          <t>11103</t>
        </is>
      </c>
      <c r="E2808" s="3" t="inlineStr">
        <is>
          <t>Tessarand Payroll Services</t>
        </is>
      </c>
      <c r="F2808" s="3" t="inlineStr">
        <is>
          <t>Tax remittance</t>
        </is>
      </c>
      <c r="G2808" s="3" t="inlineStr">
        <is>
          <t>Checking – Operating</t>
        </is>
      </c>
      <c r="H2808" s="3" t="inlineStr">
        <is>
          <t>Payroll Liabilities</t>
        </is>
      </c>
      <c r="I2808" s="33" t="n">
        <v>-495.36</v>
      </c>
      <c r="J2808" s="13">
        <f>+J2807+I2808</f>
        <v>0</v>
      </c>
      <c r="K2808" s="19">
        <f>+EOMONTH(B2808,0)</f>
        <v>46326</v>
      </c>
      <c r="L2808" s="3" t="inlineStr">
        <is>
          <t>Payroll Liabilities</t>
        </is>
      </c>
      <c r="M2808" s="3" t="inlineStr">
        <is>
          <t>Balance Sheet</t>
        </is>
      </c>
    </row>
    <row r="2809">
      <c r="B2809" s="39" t="n">
        <v>46330</v>
      </c>
      <c r="C2809" s="3" t="inlineStr">
        <is>
          <t>Payroll Check</t>
        </is>
      </c>
      <c r="D2809" s="3" t="inlineStr"/>
      <c r="E2809" s="3" t="inlineStr">
        <is>
          <t>Tessarand Payroll Services</t>
        </is>
      </c>
      <c r="F2809" s="3" t="inlineStr">
        <is>
          <t>Employer tax accrual</t>
        </is>
      </c>
      <c r="G2809" s="3" t="inlineStr">
        <is>
          <t>Payroll Taxes</t>
        </is>
      </c>
      <c r="H2809" s="3" t="inlineStr">
        <is>
          <t>Payroll Liabilities</t>
        </is>
      </c>
      <c r="I2809" s="33" t="n">
        <v>438.74</v>
      </c>
      <c r="J2809" s="13">
        <f>+J2808+I2809</f>
        <v>438.74</v>
      </c>
      <c r="K2809" s="19">
        <f>+EOMONTH(B2809,0)</f>
        <v>46356</v>
      </c>
      <c r="L2809" s="3" t="inlineStr">
        <is>
          <t>Payroll Liabilities</t>
        </is>
      </c>
      <c r="M2809" s="3" t="inlineStr">
        <is>
          <t>Balance Sheet</t>
        </is>
      </c>
    </row>
    <row r="2810">
      <c r="B2810" s="39" t="n">
        <v>46333</v>
      </c>
      <c r="C2810" s="3" t="inlineStr">
        <is>
          <t>Bill Payment (Check)</t>
        </is>
      </c>
      <c r="D2810" s="3" t="inlineStr">
        <is>
          <t>11105</t>
        </is>
      </c>
      <c r="E2810" s="3" t="inlineStr">
        <is>
          <t>Tessarand Payroll Services</t>
        </is>
      </c>
      <c r="F2810" s="3" t="inlineStr">
        <is>
          <t>Tax remittance</t>
        </is>
      </c>
      <c r="G2810" s="3" t="inlineStr">
        <is>
          <t>Checking – Operating</t>
        </is>
      </c>
      <c r="H2810" s="3" t="inlineStr">
        <is>
          <t>Payroll Liabilities</t>
        </is>
      </c>
      <c r="I2810" s="33" t="n">
        <v>-438.74</v>
      </c>
      <c r="J2810" s="13">
        <f>+J2809+I2810</f>
        <v>0</v>
      </c>
      <c r="K2810" s="19">
        <f>+EOMONTH(B2810,0)</f>
        <v>46356</v>
      </c>
      <c r="L2810" s="3" t="inlineStr">
        <is>
          <t>Payroll Liabilities</t>
        </is>
      </c>
      <c r="M2810" s="3" t="inlineStr">
        <is>
          <t>Balance Sheet</t>
        </is>
      </c>
    </row>
    <row r="2811">
      <c r="B2811" s="39" t="n">
        <v>46347</v>
      </c>
      <c r="C2811" s="3" t="inlineStr">
        <is>
          <t>Payroll Check</t>
        </is>
      </c>
      <c r="D2811" s="3" t="inlineStr"/>
      <c r="E2811" s="3" t="inlineStr">
        <is>
          <t>Tessarand Payroll Services</t>
        </is>
      </c>
      <c r="F2811" s="3" t="inlineStr">
        <is>
          <t>Employer tax accrual</t>
        </is>
      </c>
      <c r="G2811" s="3" t="inlineStr">
        <is>
          <t>Payroll Taxes</t>
        </is>
      </c>
      <c r="H2811" s="3" t="inlineStr">
        <is>
          <t>Payroll Liabilities</t>
        </is>
      </c>
      <c r="I2811" s="33" t="n">
        <v>426.67</v>
      </c>
      <c r="J2811" s="13">
        <f>+J2810+I2811</f>
        <v>426.67</v>
      </c>
      <c r="K2811" s="19">
        <f>+EOMONTH(B2811,0)</f>
        <v>46356</v>
      </c>
      <c r="L2811" s="3" t="inlineStr">
        <is>
          <t>Payroll Liabilities</t>
        </is>
      </c>
      <c r="M2811" s="3" t="inlineStr">
        <is>
          <t>Balance Sheet</t>
        </is>
      </c>
    </row>
    <row r="2812">
      <c r="B2812" s="39" t="n">
        <v>46350</v>
      </c>
      <c r="C2812" s="3" t="inlineStr">
        <is>
          <t>Bill Payment (Check)</t>
        </is>
      </c>
      <c r="D2812" s="3" t="inlineStr">
        <is>
          <t>11107</t>
        </is>
      </c>
      <c r="E2812" s="3" t="inlineStr">
        <is>
          <t>Tessarand Payroll Services</t>
        </is>
      </c>
      <c r="F2812" s="3" t="inlineStr">
        <is>
          <t>Tax remittance</t>
        </is>
      </c>
      <c r="G2812" s="3" t="inlineStr">
        <is>
          <t>Checking – Operating</t>
        </is>
      </c>
      <c r="H2812" s="3" t="inlineStr">
        <is>
          <t>Payroll Liabilities</t>
        </is>
      </c>
      <c r="I2812" s="33" t="n">
        <v>-426.67</v>
      </c>
      <c r="J2812" s="13">
        <f>+J2811+I2812</f>
        <v>0</v>
      </c>
      <c r="K2812" s="19">
        <f>+EOMONTH(B2812,0)</f>
        <v>46356</v>
      </c>
      <c r="L2812" s="3" t="inlineStr">
        <is>
          <t>Payroll Liabilities</t>
        </is>
      </c>
      <c r="M2812" s="3" t="inlineStr">
        <is>
          <t>Balance Sheet</t>
        </is>
      </c>
    </row>
    <row r="2813">
      <c r="A2813" s="2" t="inlineStr">
        <is>
          <t>Total for Payroll Liabilities</t>
        </is>
      </c>
      <c r="I2813" s="35">
        <f>SUM(I2765:I2812)</f>
        <v>0</v>
      </c>
    </row>
    <row r="2815">
      <c r="A2815" s="2" t="inlineStr">
        <is>
          <t>Interest income</t>
        </is>
      </c>
    </row>
    <row r="2816">
      <c r="B2816" s="39" t="n">
        <v>46053</v>
      </c>
      <c r="C2816" s="3" t="inlineStr">
        <is>
          <t>Deposit</t>
        </is>
      </c>
      <c r="D2816" s="3" t="inlineStr"/>
      <c r="E2816" s="3" t="inlineStr"/>
      <c r="F2816" s="3" t="inlineStr">
        <is>
          <t>Interest – operating account</t>
        </is>
      </c>
      <c r="G2816" s="3" t="inlineStr">
        <is>
          <t>Checking – Operating</t>
        </is>
      </c>
      <c r="H2816" s="3" t="inlineStr">
        <is>
          <t>Interest income</t>
        </is>
      </c>
      <c r="I2816" s="33" t="n">
        <v>500</v>
      </c>
      <c r="J2816" s="13">
        <f>+I2816</f>
        <v>500</v>
      </c>
      <c r="K2816" s="19">
        <f>+EOMONTH(B2816,0)</f>
        <v>46053</v>
      </c>
      <c r="L2816" s="3" t="inlineStr">
        <is>
          <t>Interest income</t>
        </is>
      </c>
      <c r="M2816" s="3" t="inlineStr">
        <is>
          <t>Interest Income</t>
        </is>
      </c>
    </row>
    <row r="2817">
      <c r="B2817" s="39" t="n">
        <v>46081</v>
      </c>
      <c r="C2817" s="3" t="inlineStr">
        <is>
          <t>Deposit</t>
        </is>
      </c>
      <c r="D2817" s="3" t="inlineStr"/>
      <c r="E2817" s="3" t="inlineStr"/>
      <c r="F2817" s="3" t="inlineStr">
        <is>
          <t>Interest – operating account</t>
        </is>
      </c>
      <c r="G2817" s="3" t="inlineStr">
        <is>
          <t>Checking – Operating</t>
        </is>
      </c>
      <c r="H2817" s="3" t="inlineStr">
        <is>
          <t>Interest income</t>
        </is>
      </c>
      <c r="I2817" s="33" t="n">
        <v>400</v>
      </c>
      <c r="J2817" s="13">
        <f>+J2816+I2817</f>
        <v>900</v>
      </c>
      <c r="K2817" s="19">
        <f>+EOMONTH(B2817,0)</f>
        <v>46081</v>
      </c>
      <c r="L2817" s="3" t="inlineStr">
        <is>
          <t>Interest income</t>
        </is>
      </c>
      <c r="M2817" s="3" t="inlineStr">
        <is>
          <t>Interest Income</t>
        </is>
      </c>
    </row>
    <row r="2818">
      <c r="B2818" s="39" t="n">
        <v>46112</v>
      </c>
      <c r="C2818" s="3" t="inlineStr">
        <is>
          <t>Deposit</t>
        </is>
      </c>
      <c r="D2818" s="3" t="inlineStr"/>
      <c r="E2818" s="3" t="inlineStr"/>
      <c r="F2818" s="3" t="inlineStr">
        <is>
          <t>Interest – operating account</t>
        </is>
      </c>
      <c r="G2818" s="3" t="inlineStr">
        <is>
          <t>Checking – Operating</t>
        </is>
      </c>
      <c r="H2818" s="3" t="inlineStr">
        <is>
          <t>Interest income</t>
        </is>
      </c>
      <c r="I2818" s="33" t="n">
        <v>400</v>
      </c>
      <c r="J2818" s="13">
        <f>+J2817+I2818</f>
        <v>1300</v>
      </c>
      <c r="K2818" s="19">
        <f>+EOMONTH(B2818,0)</f>
        <v>46112</v>
      </c>
      <c r="L2818" s="3" t="inlineStr">
        <is>
          <t>Interest income</t>
        </is>
      </c>
      <c r="M2818" s="3" t="inlineStr">
        <is>
          <t>Interest Income</t>
        </is>
      </c>
    </row>
    <row r="2819">
      <c r="B2819" s="39" t="n">
        <v>46142</v>
      </c>
      <c r="C2819" s="3" t="inlineStr">
        <is>
          <t>Deposit</t>
        </is>
      </c>
      <c r="D2819" s="3" t="inlineStr"/>
      <c r="E2819" s="3" t="inlineStr"/>
      <c r="F2819" s="3" t="inlineStr">
        <is>
          <t>Interest – operating account</t>
        </is>
      </c>
      <c r="G2819" s="3" t="inlineStr">
        <is>
          <t>Checking – Operating</t>
        </is>
      </c>
      <c r="H2819" s="3" t="inlineStr">
        <is>
          <t>Interest income</t>
        </is>
      </c>
      <c r="I2819" s="33" t="n">
        <v>400</v>
      </c>
      <c r="J2819" s="13">
        <f>+J2818+I2819</f>
        <v>1700</v>
      </c>
      <c r="K2819" s="19">
        <f>+EOMONTH(B2819,0)</f>
        <v>46142</v>
      </c>
      <c r="L2819" s="3" t="inlineStr">
        <is>
          <t>Interest income</t>
        </is>
      </c>
      <c r="M2819" s="3" t="inlineStr">
        <is>
          <t>Interest Income</t>
        </is>
      </c>
    </row>
    <row r="2820">
      <c r="B2820" s="39" t="n">
        <v>46173</v>
      </c>
      <c r="C2820" s="3" t="inlineStr">
        <is>
          <t>Deposit</t>
        </is>
      </c>
      <c r="D2820" s="3" t="inlineStr"/>
      <c r="E2820" s="3" t="inlineStr"/>
      <c r="F2820" s="3" t="inlineStr">
        <is>
          <t>Interest – operating account</t>
        </is>
      </c>
      <c r="G2820" s="3" t="inlineStr">
        <is>
          <t>Checking – Operating</t>
        </is>
      </c>
      <c r="H2820" s="3" t="inlineStr">
        <is>
          <t>Interest income</t>
        </is>
      </c>
      <c r="I2820" s="33" t="n">
        <v>400</v>
      </c>
      <c r="J2820" s="13">
        <f>+J2819+I2820</f>
        <v>2100</v>
      </c>
      <c r="K2820" s="19">
        <f>+EOMONTH(B2820,0)</f>
        <v>46173</v>
      </c>
      <c r="L2820" s="3" t="inlineStr">
        <is>
          <t>Interest income</t>
        </is>
      </c>
      <c r="M2820" s="3" t="inlineStr">
        <is>
          <t>Interest Income</t>
        </is>
      </c>
    </row>
    <row r="2821">
      <c r="B2821" s="39" t="n">
        <v>46203</v>
      </c>
      <c r="C2821" s="3" t="inlineStr">
        <is>
          <t>Deposit</t>
        </is>
      </c>
      <c r="D2821" s="3" t="inlineStr"/>
      <c r="E2821" s="3" t="inlineStr"/>
      <c r="F2821" s="3" t="inlineStr">
        <is>
          <t>Interest – operating account</t>
        </is>
      </c>
      <c r="G2821" s="3" t="inlineStr">
        <is>
          <t>Checking – Operating</t>
        </is>
      </c>
      <c r="H2821" s="3" t="inlineStr">
        <is>
          <t>Interest income</t>
        </is>
      </c>
      <c r="I2821" s="33" t="n">
        <v>400</v>
      </c>
      <c r="J2821" s="13">
        <f>+J2820+I2821</f>
        <v>2500</v>
      </c>
      <c r="K2821" s="19">
        <f>+EOMONTH(B2821,0)</f>
        <v>46203</v>
      </c>
      <c r="L2821" s="3" t="inlineStr">
        <is>
          <t>Interest income</t>
        </is>
      </c>
      <c r="M2821" s="3" t="inlineStr">
        <is>
          <t>Interest Income</t>
        </is>
      </c>
    </row>
    <row r="2822">
      <c r="B2822" s="39" t="n">
        <v>46234</v>
      </c>
      <c r="C2822" s="3" t="inlineStr">
        <is>
          <t>Deposit</t>
        </is>
      </c>
      <c r="D2822" s="3" t="inlineStr"/>
      <c r="E2822" s="3" t="inlineStr"/>
      <c r="F2822" s="3" t="inlineStr">
        <is>
          <t>Interest – operating account</t>
        </is>
      </c>
      <c r="G2822" s="3" t="inlineStr">
        <is>
          <t>Checking – Operating</t>
        </is>
      </c>
      <c r="H2822" s="3" t="inlineStr">
        <is>
          <t>Interest income</t>
        </is>
      </c>
      <c r="I2822" s="33" t="n">
        <v>400</v>
      </c>
      <c r="J2822" s="13">
        <f>+J2821+I2822</f>
        <v>2900</v>
      </c>
      <c r="K2822" s="19">
        <f>+EOMONTH(B2822,0)</f>
        <v>46234</v>
      </c>
      <c r="L2822" s="3" t="inlineStr">
        <is>
          <t>Interest income</t>
        </is>
      </c>
      <c r="M2822" s="3" t="inlineStr">
        <is>
          <t>Interest Income</t>
        </is>
      </c>
    </row>
    <row r="2823">
      <c r="B2823" s="39" t="n">
        <v>46265</v>
      </c>
      <c r="C2823" s="3" t="inlineStr">
        <is>
          <t>Deposit</t>
        </is>
      </c>
      <c r="D2823" s="3" t="inlineStr"/>
      <c r="E2823" s="3" t="inlineStr"/>
      <c r="F2823" s="3" t="inlineStr">
        <is>
          <t>Interest – operating account</t>
        </is>
      </c>
      <c r="G2823" s="3" t="inlineStr">
        <is>
          <t>Checking – Operating</t>
        </is>
      </c>
      <c r="H2823" s="3" t="inlineStr">
        <is>
          <t>Interest income</t>
        </is>
      </c>
      <c r="I2823" s="33" t="n">
        <v>400</v>
      </c>
      <c r="J2823" s="13">
        <f>+J2822+I2823</f>
        <v>3300</v>
      </c>
      <c r="K2823" s="19">
        <f>+EOMONTH(B2823,0)</f>
        <v>46265</v>
      </c>
      <c r="L2823" s="3" t="inlineStr">
        <is>
          <t>Interest income</t>
        </is>
      </c>
      <c r="M2823" s="3" t="inlineStr">
        <is>
          <t>Interest Income</t>
        </is>
      </c>
    </row>
    <row r="2824">
      <c r="B2824" s="39" t="n">
        <v>46295</v>
      </c>
      <c r="C2824" s="3" t="inlineStr">
        <is>
          <t>Deposit</t>
        </is>
      </c>
      <c r="D2824" s="3" t="inlineStr"/>
      <c r="E2824" s="3" t="inlineStr"/>
      <c r="F2824" s="3" t="inlineStr">
        <is>
          <t>Interest – operating account</t>
        </is>
      </c>
      <c r="G2824" s="3" t="inlineStr">
        <is>
          <t>Checking – Operating</t>
        </is>
      </c>
      <c r="H2824" s="3" t="inlineStr">
        <is>
          <t>Interest income</t>
        </is>
      </c>
      <c r="I2824" s="33" t="n">
        <v>407.27</v>
      </c>
      <c r="J2824" s="13">
        <f>+J2823+I2824</f>
        <v>3707.27</v>
      </c>
      <c r="K2824" s="19">
        <f>+EOMONTH(B2824,0)</f>
        <v>46295</v>
      </c>
      <c r="L2824" s="3" t="inlineStr">
        <is>
          <t>Interest income</t>
        </is>
      </c>
      <c r="M2824" s="3" t="inlineStr">
        <is>
          <t>Interest Income</t>
        </is>
      </c>
    </row>
    <row r="2825">
      <c r="B2825" s="39" t="n">
        <v>46326</v>
      </c>
      <c r="C2825" s="3" t="inlineStr">
        <is>
          <t>Deposit</t>
        </is>
      </c>
      <c r="D2825" s="3" t="inlineStr"/>
      <c r="E2825" s="3" t="inlineStr"/>
      <c r="F2825" s="3" t="inlineStr">
        <is>
          <t>Interest – operating account</t>
        </is>
      </c>
      <c r="G2825" s="3" t="inlineStr">
        <is>
          <t>Checking – Operating</t>
        </is>
      </c>
      <c r="H2825" s="3" t="inlineStr">
        <is>
          <t>Interest income</t>
        </is>
      </c>
      <c r="I2825" s="33" t="n">
        <v>429.84</v>
      </c>
      <c r="J2825" s="13">
        <f>+J2824+I2825</f>
        <v>4137.11</v>
      </c>
      <c r="K2825" s="19">
        <f>+EOMONTH(B2825,0)</f>
        <v>46326</v>
      </c>
      <c r="L2825" s="3" t="inlineStr">
        <is>
          <t>Interest income</t>
        </is>
      </c>
      <c r="M2825" s="3" t="inlineStr">
        <is>
          <t>Interest Income</t>
        </is>
      </c>
    </row>
    <row r="2826">
      <c r="B2826" s="39" t="n">
        <v>46356</v>
      </c>
      <c r="C2826" s="3" t="inlineStr">
        <is>
          <t>Deposit</t>
        </is>
      </c>
      <c r="D2826" s="3" t="inlineStr"/>
      <c r="E2826" s="3" t="inlineStr"/>
      <c r="F2826" s="3" t="inlineStr">
        <is>
          <t>Interest – operating account</t>
        </is>
      </c>
      <c r="G2826" s="3" t="inlineStr">
        <is>
          <t>Checking – Operating</t>
        </is>
      </c>
      <c r="H2826" s="3" t="inlineStr">
        <is>
          <t>Interest income</t>
        </is>
      </c>
      <c r="I2826" s="33" t="n">
        <v>450.79</v>
      </c>
      <c r="J2826" s="13">
        <f>+J2825+I2826</f>
        <v>4587.9</v>
      </c>
      <c r="K2826" s="19">
        <f>+EOMONTH(B2826,0)</f>
        <v>46356</v>
      </c>
      <c r="L2826" s="3" t="inlineStr">
        <is>
          <t>Interest income</t>
        </is>
      </c>
      <c r="M2826" s="3" t="inlineStr">
        <is>
          <t>Interest Income</t>
        </is>
      </c>
    </row>
    <row r="2827">
      <c r="A2827" s="2" t="inlineStr">
        <is>
          <t>Total for Interest income</t>
        </is>
      </c>
      <c r="I2827" s="35">
        <f>SUM(I2816:I2826)</f>
        <v>4587.9</v>
      </c>
    </row>
    <row r="2829">
      <c r="A2829" s="2" t="inlineStr">
        <is>
          <t>Service Income</t>
        </is>
      </c>
    </row>
    <row r="2830">
      <c r="B2830" s="39" t="n">
        <v>46024</v>
      </c>
      <c r="C2830" s="3" t="inlineStr">
        <is>
          <t>Deposit</t>
        </is>
      </c>
      <c r="D2830" s="3" t="inlineStr"/>
      <c r="E2830" s="3" t="inlineStr">
        <is>
          <t>Silvermoss Senior Living</t>
        </is>
      </c>
      <c r="F2830" s="3" t="inlineStr">
        <is>
          <t>ORIG CO NAME:SILVERMOSS SL ORIG ID:XXXXXX4216 DESC DATE:260102 CO ENTRY DESCR:HCCLAIMPMT SEC:CCD TRACE#:XXXXXXXX8974530 EED:260102 IND ID:</t>
        </is>
      </c>
      <c r="G2830" s="3" t="inlineStr">
        <is>
          <t>Checking – Operating</t>
        </is>
      </c>
      <c r="H2830" s="3" t="inlineStr">
        <is>
          <t>Service Income</t>
        </is>
      </c>
      <c r="I2830" s="33" t="n">
        <v>41213.01</v>
      </c>
      <c r="J2830" s="13">
        <f>+I2830</f>
        <v>41213.01</v>
      </c>
      <c r="K2830" s="19">
        <f>+EOMONTH(B2830,0)</f>
        <v>46053</v>
      </c>
      <c r="L2830" s="3" t="inlineStr">
        <is>
          <t>Service Income</t>
        </is>
      </c>
      <c r="M2830" s="3" t="inlineStr">
        <is>
          <t>Net Fee-for-Service</t>
        </is>
      </c>
    </row>
    <row r="2831">
      <c r="B2831" s="39" t="n">
        <v>46024</v>
      </c>
      <c r="C2831" s="3" t="inlineStr">
        <is>
          <t>Deposit</t>
        </is>
      </c>
      <c r="D2831" s="3" t="inlineStr"/>
      <c r="E2831" s="3" t="inlineStr">
        <is>
          <t>Lanternway Benefits</t>
        </is>
      </c>
      <c r="F2831" s="3" t="inlineStr">
        <is>
          <t>ORIG CO NAME:LANTERNWAY BEN ORIG ID:XXXXXX8407 DESC DATE:260102 CO ENTRY DESCR:HCCLAIMPMT SEC:CCD TRACE#:XXXXXXXX4611892 EED:260102 IND ID:</t>
        </is>
      </c>
      <c r="G2831" s="3" t="inlineStr">
        <is>
          <t>Checking – Operating</t>
        </is>
      </c>
      <c r="H2831" s="3" t="inlineStr">
        <is>
          <t>Service Income</t>
        </is>
      </c>
      <c r="I2831" s="33" t="n">
        <v>54034.1</v>
      </c>
      <c r="J2831" s="13">
        <f>+J2830+I2831</f>
        <v>95247.11</v>
      </c>
      <c r="K2831" s="19">
        <f>+EOMONTH(B2831,0)</f>
        <v>46053</v>
      </c>
      <c r="L2831" s="3" t="inlineStr">
        <is>
          <t>Service Income</t>
        </is>
      </c>
      <c r="M2831" s="3" t="inlineStr">
        <is>
          <t>Net Fee-for-Service</t>
        </is>
      </c>
    </row>
    <row r="2832">
      <c r="B2832" s="39" t="n">
        <v>46025</v>
      </c>
      <c r="C2832" s="3" t="inlineStr">
        <is>
          <t>Deposit</t>
        </is>
      </c>
      <c r="D2832" s="3" t="inlineStr"/>
      <c r="E2832" s="3" t="inlineStr">
        <is>
          <t>Quayside Choice Senior Plan</t>
        </is>
      </c>
      <c r="F2832" s="3" t="inlineStr">
        <is>
          <t>ORIG CO NAME:QUAYSIDE CHOICE SP ORIG ID:XXXXXX4889 DESC DATE:260103 CO ENTRY DESCR:HCCLAIMPMT SEC:CCD TRACE#:XXXXXXXX6043312 EED:260103 IND ID:</t>
        </is>
      </c>
      <c r="G2832" s="3" t="inlineStr">
        <is>
          <t>Checking – Operating</t>
        </is>
      </c>
      <c r="H2832" s="3" t="inlineStr">
        <is>
          <t>Service Income</t>
        </is>
      </c>
      <c r="I2832" s="33" t="n">
        <v>35891.36</v>
      </c>
      <c r="J2832" s="13">
        <f>+J2831+I2832</f>
        <v>131138.47</v>
      </c>
      <c r="K2832" s="19">
        <f>+EOMONTH(B2832,0)</f>
        <v>46053</v>
      </c>
      <c r="L2832" s="3" t="inlineStr">
        <is>
          <t>Service Income</t>
        </is>
      </c>
      <c r="M2832" s="3" t="inlineStr">
        <is>
          <t>Net Fee-for-Service</t>
        </is>
      </c>
    </row>
    <row r="2833">
      <c r="B2833" s="39" t="n">
        <v>46030</v>
      </c>
      <c r="C2833" s="3" t="inlineStr">
        <is>
          <t>Deposit</t>
        </is>
      </c>
      <c r="D2833" s="3" t="inlineStr"/>
      <c r="E2833" s="3" t="inlineStr">
        <is>
          <t>Quayside Choice Senior Plan</t>
        </is>
      </c>
      <c r="F2833" s="3" t="inlineStr">
        <is>
          <t>ORIG CO NAME:QUAYSIDE CHOICE SP ORIG ID:XXXXXX1812 DESC DATE:260108 CO ENTRY DESCR:HCCLAIMPMT SEC:CCD TRACE#:XXXXXXXX8303767 EED:260108 IND ID:</t>
        </is>
      </c>
      <c r="G2833" s="3" t="inlineStr">
        <is>
          <t>Checking – Operating</t>
        </is>
      </c>
      <c r="H2833" s="3" t="inlineStr">
        <is>
          <t>Service Income</t>
        </is>
      </c>
      <c r="I2833" s="33" t="n">
        <v>61228.14</v>
      </c>
      <c r="J2833" s="13">
        <f>+J2832+I2833</f>
        <v>192366.61</v>
      </c>
      <c r="K2833" s="19">
        <f>+EOMONTH(B2833,0)</f>
        <v>46053</v>
      </c>
      <c r="L2833" s="3" t="inlineStr">
        <is>
          <t>Service Income</t>
        </is>
      </c>
      <c r="M2833" s="3" t="inlineStr">
        <is>
          <t>Net Fee-for-Service</t>
        </is>
      </c>
    </row>
    <row r="2834">
      <c r="B2834" s="39" t="n">
        <v>46033</v>
      </c>
      <c r="C2834" s="3" t="inlineStr">
        <is>
          <t>Deposit</t>
        </is>
      </c>
      <c r="D2834" s="3" t="inlineStr"/>
      <c r="E2834" s="3" t="inlineStr">
        <is>
          <t>Marrowby Mutual</t>
        </is>
      </c>
      <c r="F2834" s="3" t="inlineStr">
        <is>
          <t>ORIG CO NAME:MARROWBY MUTUAL ORIG ID:XXXXXX3976 DESC DATE:260111 CO ENTRY DESCR:HCCLAIMPMT SEC:CCD TRACE#:XXXXXXXX5710973 EED:260111 IND ID:</t>
        </is>
      </c>
      <c r="G2834" s="3" t="inlineStr">
        <is>
          <t>Checking – Operating</t>
        </is>
      </c>
      <c r="H2834" s="3" t="inlineStr">
        <is>
          <t>Service Income</t>
        </is>
      </c>
      <c r="I2834" s="33" t="n">
        <v>79687.48</v>
      </c>
      <c r="J2834" s="13">
        <f>+J2833+I2834</f>
        <v>272054.09</v>
      </c>
      <c r="K2834" s="19">
        <f>+EOMONTH(B2834,0)</f>
        <v>46053</v>
      </c>
      <c r="L2834" s="3" t="inlineStr">
        <is>
          <t>Service Income</t>
        </is>
      </c>
      <c r="M2834" s="3" t="inlineStr">
        <is>
          <t>Net Fee-for-Service</t>
        </is>
      </c>
    </row>
    <row r="2835">
      <c r="B2835" s="39" t="n">
        <v>46034</v>
      </c>
      <c r="C2835" s="3" t="inlineStr">
        <is>
          <t>Deposit</t>
        </is>
      </c>
      <c r="D2835" s="3" t="inlineStr"/>
      <c r="E2835" s="3" t="inlineStr">
        <is>
          <t>Federal Program A</t>
        </is>
      </c>
      <c r="F2835" s="3" t="inlineStr">
        <is>
          <t>ORIG CO NAME:FEDERAL PROG A ORIG ID:XXXXXX1796 DESC DATE:260112 CO ENTRY DESCR:HCCLAIMPMT SEC:CCD TRACE#:XXXXXXXX8723458 EED:260112 IND ID:</t>
        </is>
      </c>
      <c r="G2835" s="3" t="inlineStr">
        <is>
          <t>Checking – Operating</t>
        </is>
      </c>
      <c r="H2835" s="3" t="inlineStr">
        <is>
          <t>Service Income</t>
        </is>
      </c>
      <c r="I2835" s="33" t="n">
        <v>92474.10000000001</v>
      </c>
      <c r="J2835" s="13">
        <f>+J2834+I2835</f>
        <v>364528.19</v>
      </c>
      <c r="K2835" s="19">
        <f>+EOMONTH(B2835,0)</f>
        <v>46053</v>
      </c>
      <c r="L2835" s="3" t="inlineStr">
        <is>
          <t>Service Income</t>
        </is>
      </c>
      <c r="M2835" s="3" t="inlineStr">
        <is>
          <t>Net Fee-for-Service</t>
        </is>
      </c>
    </row>
    <row r="2836">
      <c r="B2836" s="39" t="n">
        <v>46034</v>
      </c>
      <c r="C2836" s="3" t="inlineStr">
        <is>
          <t>Deposit</t>
        </is>
      </c>
      <c r="D2836" s="3" t="inlineStr"/>
      <c r="E2836" s="3" t="inlineStr">
        <is>
          <t>Quayside Choice Senior Plan</t>
        </is>
      </c>
      <c r="F2836" s="3" t="inlineStr">
        <is>
          <t>ORIG CO NAME:QUAYSIDE CHOICE SP ORIG ID:XXXXXX6371 DESC DATE:260112 CO ENTRY DESCR:HCCLAIMPMT SEC:CCD TRACE#:XXXXXXXX6959018 EED:260112 IND ID:</t>
        </is>
      </c>
      <c r="G2836" s="3" t="inlineStr">
        <is>
          <t>Checking – Operating</t>
        </is>
      </c>
      <c r="H2836" s="3" t="inlineStr">
        <is>
          <t>Service Income</t>
        </is>
      </c>
      <c r="I2836" s="33" t="n">
        <v>36946.09</v>
      </c>
      <c r="J2836" s="13">
        <f>+J2835+I2836</f>
        <v>401474.28</v>
      </c>
      <c r="K2836" s="19">
        <f>+EOMONTH(B2836,0)</f>
        <v>46053</v>
      </c>
      <c r="L2836" s="3" t="inlineStr">
        <is>
          <t>Service Income</t>
        </is>
      </c>
      <c r="M2836" s="3" t="inlineStr">
        <is>
          <t>Net Fee-for-Service</t>
        </is>
      </c>
    </row>
    <row r="2837">
      <c r="B2837" s="39" t="n">
        <v>46037</v>
      </c>
      <c r="C2837" s="3" t="inlineStr">
        <is>
          <t>Deposit</t>
        </is>
      </c>
      <c r="D2837" s="3" t="inlineStr"/>
      <c r="E2837" s="3" t="inlineStr">
        <is>
          <t>Vantrelle Health Plan</t>
        </is>
      </c>
      <c r="F2837" s="3" t="inlineStr">
        <is>
          <t>ORIG CO NAME:VANTRELLE HP ORIG ID:XXXXXX2520 DESC DATE:260115 CO ENTRY DESCR:HCCLAIMPMT SEC:CCD TRACE#:XXXXXXXX3081973 EED:260115 IND ID:</t>
        </is>
      </c>
      <c r="G2837" s="3" t="inlineStr">
        <is>
          <t>Checking – Operating</t>
        </is>
      </c>
      <c r="H2837" s="3" t="inlineStr">
        <is>
          <t>Service Income</t>
        </is>
      </c>
      <c r="I2837" s="33" t="n">
        <v>72489.84</v>
      </c>
      <c r="J2837" s="13">
        <f>+J2836+I2837</f>
        <v>473964.12</v>
      </c>
      <c r="K2837" s="19">
        <f>+EOMONTH(B2837,0)</f>
        <v>46053</v>
      </c>
      <c r="L2837" s="3" t="inlineStr">
        <is>
          <t>Service Income</t>
        </is>
      </c>
      <c r="M2837" s="3" t="inlineStr">
        <is>
          <t>Net Fee-for-Service</t>
        </is>
      </c>
    </row>
    <row r="2838">
      <c r="B2838" s="39" t="n">
        <v>46038</v>
      </c>
      <c r="C2838" s="3" t="inlineStr">
        <is>
          <t>Deposit</t>
        </is>
      </c>
      <c r="D2838" s="3" t="inlineStr"/>
      <c r="E2838" s="3" t="inlineStr">
        <is>
          <t>Marrowby Mutual</t>
        </is>
      </c>
      <c r="F2838" s="3" t="inlineStr">
        <is>
          <t>ORIG CO NAME:MARROWBY MUTUAL ORIG ID:XXXXXX1067 DESC DATE:260116 CO ENTRY DESCR:HCCLAIMPMT SEC:CCD TRACE#:XXXXXXXX2996908 EED:260116 IND ID:</t>
        </is>
      </c>
      <c r="G2838" s="3" t="inlineStr">
        <is>
          <t>Checking – Operating</t>
        </is>
      </c>
      <c r="H2838" s="3" t="inlineStr">
        <is>
          <t>Service Income</t>
        </is>
      </c>
      <c r="I2838" s="33" t="n">
        <v>90941.46000000001</v>
      </c>
      <c r="J2838" s="13">
        <f>+J2837+I2838</f>
        <v>564905.58</v>
      </c>
      <c r="K2838" s="19">
        <f>+EOMONTH(B2838,0)</f>
        <v>46053</v>
      </c>
      <c r="L2838" s="3" t="inlineStr">
        <is>
          <t>Service Income</t>
        </is>
      </c>
      <c r="M2838" s="3" t="inlineStr">
        <is>
          <t>Net Fee-for-Service</t>
        </is>
      </c>
    </row>
    <row r="2839">
      <c r="B2839" s="39" t="n">
        <v>46039</v>
      </c>
      <c r="C2839" s="3" t="inlineStr">
        <is>
          <t>Deposit</t>
        </is>
      </c>
      <c r="D2839" s="3" t="inlineStr"/>
      <c r="E2839" s="3" t="inlineStr">
        <is>
          <t>State Program B</t>
        </is>
      </c>
      <c r="F2839" s="3" t="inlineStr">
        <is>
          <t>ORIG CO NAME:STATE PROG B ORIG ID:XXXXXX7401 DESC DATE:260117 CO ENTRY DESCR:HCCLAIMPMT SEC:CCD TRACE#:XXXXXXXX1598433 EED:260117 IND ID:</t>
        </is>
      </c>
      <c r="G2839" s="3" t="inlineStr">
        <is>
          <t>Checking – Operating</t>
        </is>
      </c>
      <c r="H2839" s="3" t="inlineStr">
        <is>
          <t>Service Income</t>
        </is>
      </c>
      <c r="I2839" s="33" t="n">
        <v>49535.86</v>
      </c>
      <c r="J2839" s="13">
        <f>+J2838+I2839</f>
        <v>614441.44</v>
      </c>
      <c r="K2839" s="19">
        <f>+EOMONTH(B2839,0)</f>
        <v>46053</v>
      </c>
      <c r="L2839" s="3" t="inlineStr">
        <is>
          <t>Service Income</t>
        </is>
      </c>
      <c r="M2839" s="3" t="inlineStr">
        <is>
          <t>Net Fee-for-Service</t>
        </is>
      </c>
    </row>
    <row r="2840">
      <c r="B2840" s="39" t="n">
        <v>46039</v>
      </c>
      <c r="C2840" s="3" t="inlineStr">
        <is>
          <t>Deposit</t>
        </is>
      </c>
      <c r="D2840" s="3" t="inlineStr"/>
      <c r="E2840" s="3" t="inlineStr">
        <is>
          <t>Silvermoss Senior Living</t>
        </is>
      </c>
      <c r="F2840" s="3" t="inlineStr">
        <is>
          <t>ORIG CO NAME:SILVERMOSS SL ORIG ID:XXXXXX9493 DESC DATE:260117 CO ENTRY DESCR:HCCLAIMPMT SEC:CCD TRACE#:XXXXXXXX9481569 EED:260117 IND ID:</t>
        </is>
      </c>
      <c r="G2840" s="3" t="inlineStr">
        <is>
          <t>Checking – Operating</t>
        </is>
      </c>
      <c r="H2840" s="3" t="inlineStr">
        <is>
          <t>Service Income</t>
        </is>
      </c>
      <c r="I2840" s="33" t="n">
        <v>56289.24</v>
      </c>
      <c r="J2840" s="13">
        <f>+J2839+I2840</f>
        <v>670730.68</v>
      </c>
      <c r="K2840" s="19">
        <f>+EOMONTH(B2840,0)</f>
        <v>46053</v>
      </c>
      <c r="L2840" s="3" t="inlineStr">
        <is>
          <t>Service Income</t>
        </is>
      </c>
      <c r="M2840" s="3" t="inlineStr">
        <is>
          <t>Net Fee-for-Service</t>
        </is>
      </c>
    </row>
    <row r="2841">
      <c r="B2841" s="39" t="n">
        <v>46041</v>
      </c>
      <c r="C2841" s="3" t="inlineStr">
        <is>
          <t>Deposit</t>
        </is>
      </c>
      <c r="D2841" s="3" t="inlineStr"/>
      <c r="E2841" s="3" t="inlineStr">
        <is>
          <t>Lanternway Benefits</t>
        </is>
      </c>
      <c r="F2841" s="3" t="inlineStr">
        <is>
          <t>ORIG CO NAME:LANTERNWAY BEN ORIG ID:XXXXXX8762 DESC DATE:260119 CO ENTRY DESCR:HCCLAIMPMT SEC:CCD TRACE#:XXXXXXXX4577245 EED:260119 IND ID:</t>
        </is>
      </c>
      <c r="G2841" s="3" t="inlineStr">
        <is>
          <t>Checking – Operating</t>
        </is>
      </c>
      <c r="H2841" s="3" t="inlineStr">
        <is>
          <t>Service Income</t>
        </is>
      </c>
      <c r="I2841" s="33" t="n">
        <v>40133.88</v>
      </c>
      <c r="J2841" s="13">
        <f>+J2840+I2841</f>
        <v>710864.56</v>
      </c>
      <c r="K2841" s="19">
        <f>+EOMONTH(B2841,0)</f>
        <v>46053</v>
      </c>
      <c r="L2841" s="3" t="inlineStr">
        <is>
          <t>Service Income</t>
        </is>
      </c>
      <c r="M2841" s="3" t="inlineStr">
        <is>
          <t>Net Fee-for-Service</t>
        </is>
      </c>
    </row>
    <row r="2842">
      <c r="B2842" s="39" t="n">
        <v>46048</v>
      </c>
      <c r="C2842" s="3" t="inlineStr">
        <is>
          <t>Deposit</t>
        </is>
      </c>
      <c r="D2842" s="3" t="inlineStr"/>
      <c r="E2842" s="3" t="inlineStr">
        <is>
          <t>Lanternway Benefits</t>
        </is>
      </c>
      <c r="F2842" s="3" t="inlineStr">
        <is>
          <t>ORIG CO NAME:LANTERNWAY BEN ORIG ID:XXXXXX4548 DESC DATE:260126 CO ENTRY DESCR:HCCLAIMPMT SEC:CCD TRACE#:XXXXXXXX2761285 EED:260126 IND ID:</t>
        </is>
      </c>
      <c r="G2842" s="3" t="inlineStr">
        <is>
          <t>Checking – Operating</t>
        </is>
      </c>
      <c r="H2842" s="3" t="inlineStr">
        <is>
          <t>Service Income</t>
        </is>
      </c>
      <c r="I2842" s="33" t="n">
        <v>27709.83</v>
      </c>
      <c r="J2842" s="13">
        <f>+J2841+I2842</f>
        <v>738574.39</v>
      </c>
      <c r="K2842" s="19">
        <f>+EOMONTH(B2842,0)</f>
        <v>46053</v>
      </c>
      <c r="L2842" s="3" t="inlineStr">
        <is>
          <t>Service Income</t>
        </is>
      </c>
      <c r="M2842" s="3" t="inlineStr">
        <is>
          <t>Net Fee-for-Service</t>
        </is>
      </c>
    </row>
    <row r="2843">
      <c r="B2843" s="39" t="n">
        <v>46050</v>
      </c>
      <c r="C2843" s="3" t="inlineStr">
        <is>
          <t>Deposit</t>
        </is>
      </c>
      <c r="D2843" s="3" t="inlineStr"/>
      <c r="E2843" s="3" t="inlineStr">
        <is>
          <t>Cobaltmere Health</t>
        </is>
      </c>
      <c r="F2843" s="3" t="inlineStr">
        <is>
          <t>ORIG CO NAME:COBALTMERE HEALTH ORIG ID:XXXXXX2840 DESC DATE:260128 CO ENTRY DESCR:HCCLAIMPMT SEC:CCD TRACE#:XXXXXXXX9993778 EED:260128 IND ID:</t>
        </is>
      </c>
      <c r="G2843" s="3" t="inlineStr">
        <is>
          <t>Checking – Operating</t>
        </is>
      </c>
      <c r="H2843" s="3" t="inlineStr">
        <is>
          <t>Service Income</t>
        </is>
      </c>
      <c r="I2843" s="33" t="n">
        <v>47009.47</v>
      </c>
      <c r="J2843" s="13">
        <f>+J2842+I2843</f>
        <v>785583.86</v>
      </c>
      <c r="K2843" s="19">
        <f>+EOMONTH(B2843,0)</f>
        <v>46053</v>
      </c>
      <c r="L2843" s="3" t="inlineStr">
        <is>
          <t>Service Income</t>
        </is>
      </c>
      <c r="M2843" s="3" t="inlineStr">
        <is>
          <t>Net Fee-for-Service</t>
        </is>
      </c>
    </row>
    <row r="2844">
      <c r="B2844" s="39" t="n">
        <v>46050</v>
      </c>
      <c r="C2844" s="3" t="inlineStr">
        <is>
          <t>Deposit</t>
        </is>
      </c>
      <c r="D2844" s="3" t="inlineStr"/>
      <c r="E2844" s="3" t="inlineStr">
        <is>
          <t>Cobaltmere Health</t>
        </is>
      </c>
      <c r="F2844" s="3" t="inlineStr">
        <is>
          <t>ORIG CO NAME:COBALTMERE HEALTH ORIG ID:XXXXXX1415 DESC DATE:260128 CO ENTRY DESCR:HCCLAIMPMT SEC:CCD TRACE#:XXXXXXXX6539310 EED:260128 IND ID:</t>
        </is>
      </c>
      <c r="G2844" s="3" t="inlineStr">
        <is>
          <t>Checking – Operating</t>
        </is>
      </c>
      <c r="H2844" s="3" t="inlineStr">
        <is>
          <t>Service Income</t>
        </is>
      </c>
      <c r="I2844" s="33" t="n">
        <v>26117.22</v>
      </c>
      <c r="J2844" s="13">
        <f>+J2843+I2844</f>
        <v>811701.08</v>
      </c>
      <c r="K2844" s="19">
        <f>+EOMONTH(B2844,0)</f>
        <v>46053</v>
      </c>
      <c r="L2844" s="3" t="inlineStr">
        <is>
          <t>Service Income</t>
        </is>
      </c>
      <c r="M2844" s="3" t="inlineStr">
        <is>
          <t>Net Fee-for-Service</t>
        </is>
      </c>
    </row>
    <row r="2845">
      <c r="B2845" s="39" t="n">
        <v>46051</v>
      </c>
      <c r="C2845" s="3" t="inlineStr">
        <is>
          <t>Deposit</t>
        </is>
      </c>
      <c r="D2845" s="3" t="inlineStr"/>
      <c r="E2845" s="3" t="inlineStr">
        <is>
          <t>Vantrelle Health Plan</t>
        </is>
      </c>
      <c r="F2845" s="3" t="inlineStr">
        <is>
          <t>ORIG CO NAME:VANTRELLE HP ORIG ID:XXXXXX3786 DESC DATE:260129 CO ENTRY DESCR:HCCLAIMPMT SEC:CCD TRACE#:XXXXXXXX2539497 EED:260129 IND ID:</t>
        </is>
      </c>
      <c r="G2845" s="3" t="inlineStr">
        <is>
          <t>Checking – Operating</t>
        </is>
      </c>
      <c r="H2845" s="3" t="inlineStr">
        <is>
          <t>Service Income</t>
        </is>
      </c>
      <c r="I2845" s="33" t="n">
        <v>89038.67</v>
      </c>
      <c r="J2845" s="13">
        <f>+J2844+I2845</f>
        <v>900739.75</v>
      </c>
      <c r="K2845" s="19">
        <f>+EOMONTH(B2845,0)</f>
        <v>46053</v>
      </c>
      <c r="L2845" s="3" t="inlineStr">
        <is>
          <t>Service Income</t>
        </is>
      </c>
      <c r="M2845" s="3" t="inlineStr">
        <is>
          <t>Net Fee-for-Service</t>
        </is>
      </c>
    </row>
    <row r="2846">
      <c r="B2846" s="39" t="n">
        <v>46051</v>
      </c>
      <c r="C2846" s="3" t="inlineStr">
        <is>
          <t>Deposit</t>
        </is>
      </c>
      <c r="D2846" s="3" t="inlineStr"/>
      <c r="E2846" s="3" t="inlineStr">
        <is>
          <t>Vantrelle Health Plan</t>
        </is>
      </c>
      <c r="F2846" s="3" t="inlineStr">
        <is>
          <t>ORIG CO NAME:VANTRELLE HP ORIG ID:XXXXXX8721 DESC DATE:260129 CO ENTRY DESCR:HCCLAIMPMT SEC:CCD TRACE#:XXXXXXXX8417924 EED:260129 IND ID:</t>
        </is>
      </c>
      <c r="G2846" s="3" t="inlineStr">
        <is>
          <t>Checking – Operating</t>
        </is>
      </c>
      <c r="H2846" s="3" t="inlineStr">
        <is>
          <t>Service Income</t>
        </is>
      </c>
      <c r="I2846" s="33" t="n">
        <v>130978.24</v>
      </c>
      <c r="J2846" s="13">
        <f>+J2845+I2846</f>
        <v>1031717.99</v>
      </c>
      <c r="K2846" s="19">
        <f>+EOMONTH(B2846,0)</f>
        <v>46053</v>
      </c>
      <c r="L2846" s="3" t="inlineStr">
        <is>
          <t>Service Income</t>
        </is>
      </c>
      <c r="M2846" s="3" t="inlineStr">
        <is>
          <t>Net Fee-for-Service</t>
        </is>
      </c>
    </row>
    <row r="2847">
      <c r="B2847" s="39" t="n">
        <v>46051</v>
      </c>
      <c r="C2847" s="3" t="inlineStr">
        <is>
          <t>Deposit</t>
        </is>
      </c>
      <c r="D2847" s="3" t="inlineStr"/>
      <c r="E2847" s="3" t="inlineStr">
        <is>
          <t>State Program B</t>
        </is>
      </c>
      <c r="F2847" s="3" t="inlineStr">
        <is>
          <t>ORIG CO NAME:STATE PROG B ORIG ID:XXXXXX5032 DESC DATE:260129 CO ENTRY DESCR:HCCLAIMPMT SEC:CCD TRACE#:XXXXXXXX1129926 EED:260129 IND ID:</t>
        </is>
      </c>
      <c r="G2847" s="3" t="inlineStr">
        <is>
          <t>Checking – Operating</t>
        </is>
      </c>
      <c r="H2847" s="3" t="inlineStr">
        <is>
          <t>Service Income</t>
        </is>
      </c>
      <c r="I2847" s="33" t="n">
        <v>60154.17</v>
      </c>
      <c r="J2847" s="13">
        <f>+J2846+I2847</f>
        <v>1091872.16</v>
      </c>
      <c r="K2847" s="19">
        <f>+EOMONTH(B2847,0)</f>
        <v>46053</v>
      </c>
      <c r="L2847" s="3" t="inlineStr">
        <is>
          <t>Service Income</t>
        </is>
      </c>
      <c r="M2847" s="3" t="inlineStr">
        <is>
          <t>Net Fee-for-Service</t>
        </is>
      </c>
    </row>
    <row r="2848">
      <c r="B2848" s="39" t="n">
        <v>46052</v>
      </c>
      <c r="C2848" s="3" t="inlineStr">
        <is>
          <t>Deposit</t>
        </is>
      </c>
      <c r="D2848" s="3" t="inlineStr"/>
      <c r="E2848" s="3" t="inlineStr">
        <is>
          <t>Federal Program A</t>
        </is>
      </c>
      <c r="F2848" s="3" t="inlineStr">
        <is>
          <t>ORIG CO NAME:FEDERAL PROG A ORIG ID:XXXXXX6178 DESC DATE:260130 CO ENTRY DESCR:HCCLAIMPMT SEC:CCD TRACE#:XXXXXXXX2653104 EED:260130 IND ID:</t>
        </is>
      </c>
      <c r="G2848" s="3" t="inlineStr">
        <is>
          <t>Checking – Operating</t>
        </is>
      </c>
      <c r="H2848" s="3" t="inlineStr">
        <is>
          <t>Service Income</t>
        </is>
      </c>
      <c r="I2848" s="33" t="n">
        <v>126905.96</v>
      </c>
      <c r="J2848" s="13">
        <f>+J2847+I2848</f>
        <v>1218778.12</v>
      </c>
      <c r="K2848" s="19">
        <f>+EOMONTH(B2848,0)</f>
        <v>46053</v>
      </c>
      <c r="L2848" s="3" t="inlineStr">
        <is>
          <t>Service Income</t>
        </is>
      </c>
      <c r="M2848" s="3" t="inlineStr">
        <is>
          <t>Net Fee-for-Service</t>
        </is>
      </c>
    </row>
    <row r="2849">
      <c r="B2849" s="39" t="n">
        <v>46057</v>
      </c>
      <c r="C2849" s="3" t="inlineStr">
        <is>
          <t>Deposit</t>
        </is>
      </c>
      <c r="D2849" s="3" t="inlineStr"/>
      <c r="E2849" s="3" t="inlineStr">
        <is>
          <t>Federal Program A</t>
        </is>
      </c>
      <c r="F2849" s="3" t="inlineStr">
        <is>
          <t>ORIG CO NAME:FEDERAL PROG A ORIG ID:XXXXXX4296 DESC DATE:260204 CO ENTRY DESCR:HCCLAIMPMT SEC:CCD TRACE#:XXXXXXXX9472368 EED:260204 IND ID:</t>
        </is>
      </c>
      <c r="G2849" s="3" t="inlineStr">
        <is>
          <t>Checking – Operating</t>
        </is>
      </c>
      <c r="H2849" s="3" t="inlineStr">
        <is>
          <t>Service Income</t>
        </is>
      </c>
      <c r="I2849" s="33" t="n">
        <v>74922.23</v>
      </c>
      <c r="J2849" s="13">
        <f>+J2848+I2849</f>
        <v>1293700.35</v>
      </c>
      <c r="K2849" s="19">
        <f>+EOMONTH(B2849,0)</f>
        <v>46081</v>
      </c>
      <c r="L2849" s="3" t="inlineStr">
        <is>
          <t>Service Income</t>
        </is>
      </c>
      <c r="M2849" s="3" t="inlineStr">
        <is>
          <t>Net Fee-for-Service</t>
        </is>
      </c>
    </row>
    <row r="2850">
      <c r="B2850" s="39" t="n">
        <v>46060</v>
      </c>
      <c r="C2850" s="3" t="inlineStr">
        <is>
          <t>Deposit</t>
        </is>
      </c>
      <c r="D2850" s="3" t="inlineStr"/>
      <c r="E2850" s="3" t="inlineStr">
        <is>
          <t>Quayside Choice Senior Plan</t>
        </is>
      </c>
      <c r="F2850" s="3" t="inlineStr">
        <is>
          <t>ORIG CO NAME:QUAYSIDE CHOICE SP ORIG ID:XXXXXX6196 DESC DATE:260207 CO ENTRY DESCR:HCCLAIMPMT SEC:CCD TRACE#:XXXXXXXX2233163 EED:260207 IND ID:</t>
        </is>
      </c>
      <c r="G2850" s="3" t="inlineStr">
        <is>
          <t>Checking – Operating</t>
        </is>
      </c>
      <c r="H2850" s="3" t="inlineStr">
        <is>
          <t>Service Income</t>
        </is>
      </c>
      <c r="I2850" s="33" t="n">
        <v>47467.15</v>
      </c>
      <c r="J2850" s="13">
        <f>+J2849+I2850</f>
        <v>1341167.5</v>
      </c>
      <c r="K2850" s="19">
        <f>+EOMONTH(B2850,0)</f>
        <v>46081</v>
      </c>
      <c r="L2850" s="3" t="inlineStr">
        <is>
          <t>Service Income</t>
        </is>
      </c>
      <c r="M2850" s="3" t="inlineStr">
        <is>
          <t>Net Fee-for-Service</t>
        </is>
      </c>
    </row>
    <row r="2851">
      <c r="B2851" s="39" t="n">
        <v>46061</v>
      </c>
      <c r="C2851" s="3" t="inlineStr">
        <is>
          <t>Deposit</t>
        </is>
      </c>
      <c r="D2851" s="3" t="inlineStr"/>
      <c r="E2851" s="3" t="inlineStr">
        <is>
          <t>Silvermoss Senior Living</t>
        </is>
      </c>
      <c r="F2851" s="3" t="inlineStr">
        <is>
          <t>ORIG CO NAME:SILVERMOSS SL ORIG ID:XXXXXX1883 DESC DATE:260208 CO ENTRY DESCR:HCCLAIMPMT SEC:CCD TRACE#:XXXXXXXX9844821 EED:260208 IND ID:</t>
        </is>
      </c>
      <c r="G2851" s="3" t="inlineStr">
        <is>
          <t>Checking – Operating</t>
        </is>
      </c>
      <c r="H2851" s="3" t="inlineStr">
        <is>
          <t>Service Income</t>
        </is>
      </c>
      <c r="I2851" s="33" t="n">
        <v>25833.03</v>
      </c>
      <c r="J2851" s="13">
        <f>+J2850+I2851</f>
        <v>1367000.53</v>
      </c>
      <c r="K2851" s="19">
        <f>+EOMONTH(B2851,0)</f>
        <v>46081</v>
      </c>
      <c r="L2851" s="3" t="inlineStr">
        <is>
          <t>Service Income</t>
        </is>
      </c>
      <c r="M2851" s="3" t="inlineStr">
        <is>
          <t>Net Fee-for-Service</t>
        </is>
      </c>
    </row>
    <row r="2852">
      <c r="B2852" s="39" t="n">
        <v>46062</v>
      </c>
      <c r="C2852" s="3" t="inlineStr">
        <is>
          <t>Deposit</t>
        </is>
      </c>
      <c r="D2852" s="3" t="inlineStr"/>
      <c r="E2852" s="3" t="inlineStr">
        <is>
          <t>Vantrelle Health Plan</t>
        </is>
      </c>
      <c r="F2852" s="3" t="inlineStr">
        <is>
          <t>ORIG CO NAME:VANTRELLE HP ORIG ID:XXXXXX9202 DESC DATE:260209 CO ENTRY DESCR:HCCLAIMPMT SEC:CCD TRACE#:XXXXXXXX7845177 EED:260209 IND ID:</t>
        </is>
      </c>
      <c r="G2852" s="3" t="inlineStr">
        <is>
          <t>Checking – Operating</t>
        </is>
      </c>
      <c r="H2852" s="3" t="inlineStr">
        <is>
          <t>Service Income</t>
        </is>
      </c>
      <c r="I2852" s="33" t="n">
        <v>105574.02</v>
      </c>
      <c r="J2852" s="13">
        <f>+J2851+I2852</f>
        <v>1472574.55</v>
      </c>
      <c r="K2852" s="19">
        <f>+EOMONTH(B2852,0)</f>
        <v>46081</v>
      </c>
      <c r="L2852" s="3" t="inlineStr">
        <is>
          <t>Service Income</t>
        </is>
      </c>
      <c r="M2852" s="3" t="inlineStr">
        <is>
          <t>Net Fee-for-Service</t>
        </is>
      </c>
    </row>
    <row r="2853">
      <c r="B2853" s="39" t="n">
        <v>46063</v>
      </c>
      <c r="C2853" s="3" t="inlineStr">
        <is>
          <t>Deposit</t>
        </is>
      </c>
      <c r="D2853" s="3" t="inlineStr"/>
      <c r="E2853" s="3" t="inlineStr">
        <is>
          <t>Silvermoss Senior Living</t>
        </is>
      </c>
      <c r="F2853" s="3" t="inlineStr">
        <is>
          <t>ORIG CO NAME:SILVERMOSS SL ORIG ID:XXXXXX7183 DESC DATE:260210 CO ENTRY DESCR:HCCLAIMPMT SEC:CCD TRACE#:XXXXXXXX8937099 EED:260210 IND ID:</t>
        </is>
      </c>
      <c r="G2853" s="3" t="inlineStr">
        <is>
          <t>Checking – Operating</t>
        </is>
      </c>
      <c r="H2853" s="3" t="inlineStr">
        <is>
          <t>Service Income</t>
        </is>
      </c>
      <c r="I2853" s="33" t="n">
        <v>22222.8</v>
      </c>
      <c r="J2853" s="13">
        <f>+J2852+I2853</f>
        <v>1494797.35</v>
      </c>
      <c r="K2853" s="19">
        <f>+EOMONTH(B2853,0)</f>
        <v>46081</v>
      </c>
      <c r="L2853" s="3" t="inlineStr">
        <is>
          <t>Service Income</t>
        </is>
      </c>
      <c r="M2853" s="3" t="inlineStr">
        <is>
          <t>Net Fee-for-Service</t>
        </is>
      </c>
    </row>
    <row r="2854">
      <c r="B2854" s="39" t="n">
        <v>46063</v>
      </c>
      <c r="C2854" s="3" t="inlineStr">
        <is>
          <t>Deposit</t>
        </is>
      </c>
      <c r="D2854" s="3" t="inlineStr"/>
      <c r="E2854" s="3" t="inlineStr">
        <is>
          <t>Quayside Choice Senior Plan</t>
        </is>
      </c>
      <c r="F2854" s="3" t="inlineStr">
        <is>
          <t>ORIG CO NAME:QUAYSIDE CHOICE SP ORIG ID:XXXXXX5032 DESC DATE:260210 CO ENTRY DESCR:HCCLAIMPMT SEC:CCD TRACE#:XXXXXXXX7279966 EED:260210 IND ID:</t>
        </is>
      </c>
      <c r="G2854" s="3" t="inlineStr">
        <is>
          <t>Checking – Operating</t>
        </is>
      </c>
      <c r="H2854" s="3" t="inlineStr">
        <is>
          <t>Service Income</t>
        </is>
      </c>
      <c r="I2854" s="33" t="n">
        <v>31577.13</v>
      </c>
      <c r="J2854" s="13">
        <f>+J2853+I2854</f>
        <v>1526374.48</v>
      </c>
      <c r="K2854" s="19">
        <f>+EOMONTH(B2854,0)</f>
        <v>46081</v>
      </c>
      <c r="L2854" s="3" t="inlineStr">
        <is>
          <t>Service Income</t>
        </is>
      </c>
      <c r="M2854" s="3" t="inlineStr">
        <is>
          <t>Net Fee-for-Service</t>
        </is>
      </c>
    </row>
    <row r="2855">
      <c r="B2855" s="39" t="n">
        <v>46064</v>
      </c>
      <c r="C2855" s="3" t="inlineStr">
        <is>
          <t>Deposit</t>
        </is>
      </c>
      <c r="D2855" s="3" t="inlineStr"/>
      <c r="E2855" s="3" t="inlineStr">
        <is>
          <t>State Program B</t>
        </is>
      </c>
      <c r="F2855" s="3" t="inlineStr">
        <is>
          <t>ORIG CO NAME:STATE PROG B ORIG ID:XXXXXX1582 DESC DATE:260211 CO ENTRY DESCR:HCCLAIMPMT SEC:CCD TRACE#:XXXXXXXX1169519 EED:260211 IND ID:</t>
        </is>
      </c>
      <c r="G2855" s="3" t="inlineStr">
        <is>
          <t>Checking – Operating</t>
        </is>
      </c>
      <c r="H2855" s="3" t="inlineStr">
        <is>
          <t>Service Income</t>
        </is>
      </c>
      <c r="I2855" s="33" t="n">
        <v>29653.82</v>
      </c>
      <c r="J2855" s="13">
        <f>+J2854+I2855</f>
        <v>1556028.3</v>
      </c>
      <c r="K2855" s="19">
        <f>+EOMONTH(B2855,0)</f>
        <v>46081</v>
      </c>
      <c r="L2855" s="3" t="inlineStr">
        <is>
          <t>Service Income</t>
        </is>
      </c>
      <c r="M2855" s="3" t="inlineStr">
        <is>
          <t>Net Fee-for-Service</t>
        </is>
      </c>
    </row>
    <row r="2856">
      <c r="B2856" s="39" t="n">
        <v>46065</v>
      </c>
      <c r="C2856" s="3" t="inlineStr">
        <is>
          <t>Deposit</t>
        </is>
      </c>
      <c r="D2856" s="3" t="inlineStr"/>
      <c r="E2856" s="3" t="inlineStr">
        <is>
          <t>Vantrelle Health Plan</t>
        </is>
      </c>
      <c r="F2856" s="3" t="inlineStr">
        <is>
          <t>ORIG CO NAME:VANTRELLE HP ORIG ID:XXXXXX2683 DESC DATE:260212 CO ENTRY DESCR:HCCLAIMPMT SEC:CCD TRACE#:XXXXXXXX6141393 EED:260212 IND ID:</t>
        </is>
      </c>
      <c r="G2856" s="3" t="inlineStr">
        <is>
          <t>Checking – Operating</t>
        </is>
      </c>
      <c r="H2856" s="3" t="inlineStr">
        <is>
          <t>Service Income</t>
        </is>
      </c>
      <c r="I2856" s="33" t="n">
        <v>142083.11</v>
      </c>
      <c r="J2856" s="13">
        <f>+J2855+I2856</f>
        <v>1698111.41</v>
      </c>
      <c r="K2856" s="19">
        <f>+EOMONTH(B2856,0)</f>
        <v>46081</v>
      </c>
      <c r="L2856" s="3" t="inlineStr">
        <is>
          <t>Service Income</t>
        </is>
      </c>
      <c r="M2856" s="3" t="inlineStr">
        <is>
          <t>Net Fee-for-Service</t>
        </is>
      </c>
    </row>
    <row r="2857">
      <c r="B2857" s="39" t="n">
        <v>46065</v>
      </c>
      <c r="C2857" s="3" t="inlineStr">
        <is>
          <t>Deposit</t>
        </is>
      </c>
      <c r="D2857" s="3" t="inlineStr"/>
      <c r="E2857" s="3" t="inlineStr">
        <is>
          <t>Marrowby Mutual</t>
        </is>
      </c>
      <c r="F2857" s="3" t="inlineStr">
        <is>
          <t>ORIG CO NAME:MARROWBY MUTUAL ORIG ID:XXXXXX1415 DESC DATE:260212 CO ENTRY DESCR:HCCLAIMPMT SEC:CCD TRACE#:XXXXXXXX7757760 EED:260212 IND ID:</t>
        </is>
      </c>
      <c r="G2857" s="3" t="inlineStr">
        <is>
          <t>Checking – Operating</t>
        </is>
      </c>
      <c r="H2857" s="3" t="inlineStr">
        <is>
          <t>Service Income</t>
        </is>
      </c>
      <c r="I2857" s="33" t="n">
        <v>72223.64</v>
      </c>
      <c r="J2857" s="13">
        <f>+J2856+I2857</f>
        <v>1770335.05</v>
      </c>
      <c r="K2857" s="19">
        <f>+EOMONTH(B2857,0)</f>
        <v>46081</v>
      </c>
      <c r="L2857" s="3" t="inlineStr">
        <is>
          <t>Service Income</t>
        </is>
      </c>
      <c r="M2857" s="3" t="inlineStr">
        <is>
          <t>Net Fee-for-Service</t>
        </is>
      </c>
    </row>
    <row r="2858">
      <c r="B2858" s="39" t="n">
        <v>46065</v>
      </c>
      <c r="C2858" s="3" t="inlineStr">
        <is>
          <t>Deposit</t>
        </is>
      </c>
      <c r="D2858" s="3" t="inlineStr"/>
      <c r="E2858" s="3" t="inlineStr">
        <is>
          <t>Lanternway Benefits</t>
        </is>
      </c>
      <c r="F2858" s="3" t="inlineStr">
        <is>
          <t>ORIG CO NAME:LANTERNWAY BEN ORIG ID:XXXXXX5506 DESC DATE:260212 CO ENTRY DESCR:HCCLAIMPMT SEC:CCD TRACE#:XXXXXXXX5426006 EED:260212 IND ID:</t>
        </is>
      </c>
      <c r="G2858" s="3" t="inlineStr">
        <is>
          <t>Checking – Operating</t>
        </is>
      </c>
      <c r="H2858" s="3" t="inlineStr">
        <is>
          <t>Service Income</t>
        </is>
      </c>
      <c r="I2858" s="33" t="n">
        <v>28901.28</v>
      </c>
      <c r="J2858" s="13">
        <f>+J2857+I2858</f>
        <v>1799236.33</v>
      </c>
      <c r="K2858" s="19">
        <f>+EOMONTH(B2858,0)</f>
        <v>46081</v>
      </c>
      <c r="L2858" s="3" t="inlineStr">
        <is>
          <t>Service Income</t>
        </is>
      </c>
      <c r="M2858" s="3" t="inlineStr">
        <is>
          <t>Net Fee-for-Service</t>
        </is>
      </c>
    </row>
    <row r="2859">
      <c r="B2859" s="39" t="n">
        <v>46067</v>
      </c>
      <c r="C2859" s="3" t="inlineStr">
        <is>
          <t>Deposit</t>
        </is>
      </c>
      <c r="D2859" s="3" t="inlineStr"/>
      <c r="E2859" s="3" t="inlineStr">
        <is>
          <t>Lanternway Benefits</t>
        </is>
      </c>
      <c r="F2859" s="3" t="inlineStr">
        <is>
          <t>ORIG CO NAME:LANTERNWAY BEN ORIG ID:XXXXXX9554 DESC DATE:260214 CO ENTRY DESCR:HCCLAIMPMT SEC:CCD TRACE#:XXXXXXXX5810899 EED:260214 IND ID:</t>
        </is>
      </c>
      <c r="G2859" s="3" t="inlineStr">
        <is>
          <t>Checking – Operating</t>
        </is>
      </c>
      <c r="H2859" s="3" t="inlineStr">
        <is>
          <t>Service Income</t>
        </is>
      </c>
      <c r="I2859" s="33" t="n">
        <v>37458.18</v>
      </c>
      <c r="J2859" s="13">
        <f>+J2858+I2859</f>
        <v>1836694.51</v>
      </c>
      <c r="K2859" s="19">
        <f>+EOMONTH(B2859,0)</f>
        <v>46081</v>
      </c>
      <c r="L2859" s="3" t="inlineStr">
        <is>
          <t>Service Income</t>
        </is>
      </c>
      <c r="M2859" s="3" t="inlineStr">
        <is>
          <t>Net Fee-for-Service</t>
        </is>
      </c>
    </row>
    <row r="2860">
      <c r="B2860" s="39" t="n">
        <v>46067</v>
      </c>
      <c r="C2860" s="3" t="inlineStr">
        <is>
          <t>Deposit</t>
        </is>
      </c>
      <c r="D2860" s="3" t="inlineStr"/>
      <c r="E2860" s="3" t="inlineStr">
        <is>
          <t>Quayside Choice Senior Plan</t>
        </is>
      </c>
      <c r="F2860" s="3" t="inlineStr">
        <is>
          <t>ORIG CO NAME:QUAYSIDE CHOICE SP ORIG ID:XXXXXX1318 DESC DATE:260214 CO ENTRY DESCR:HCCLAIMPMT SEC:CCD TRACE#:XXXXXXXX7829012 EED:260214 IND ID:</t>
        </is>
      </c>
      <c r="G2860" s="3" t="inlineStr">
        <is>
          <t>Checking – Operating</t>
        </is>
      </c>
      <c r="H2860" s="3" t="inlineStr">
        <is>
          <t>Service Income</t>
        </is>
      </c>
      <c r="I2860" s="33" t="n">
        <v>34465.24</v>
      </c>
      <c r="J2860" s="13">
        <f>+J2859+I2860</f>
        <v>1871159.75</v>
      </c>
      <c r="K2860" s="19">
        <f>+EOMONTH(B2860,0)</f>
        <v>46081</v>
      </c>
      <c r="L2860" s="3" t="inlineStr">
        <is>
          <t>Service Income</t>
        </is>
      </c>
      <c r="M2860" s="3" t="inlineStr">
        <is>
          <t>Net Fee-for-Service</t>
        </is>
      </c>
    </row>
    <row r="2861">
      <c r="B2861" s="39" t="n">
        <v>46071</v>
      </c>
      <c r="C2861" s="3" t="inlineStr">
        <is>
          <t>Deposit</t>
        </is>
      </c>
      <c r="D2861" s="3" t="inlineStr"/>
      <c r="E2861" s="3" t="inlineStr">
        <is>
          <t>State Program B</t>
        </is>
      </c>
      <c r="F2861" s="3" t="inlineStr">
        <is>
          <t>ORIG CO NAME:STATE PROG B ORIG ID:XXXXXX2323 DESC DATE:260218 CO ENTRY DESCR:HCCLAIMPMT SEC:CCD TRACE#:XXXXXXXX4358239 EED:260218 IND ID:</t>
        </is>
      </c>
      <c r="G2861" s="3" t="inlineStr">
        <is>
          <t>Checking – Operating</t>
        </is>
      </c>
      <c r="H2861" s="3" t="inlineStr">
        <is>
          <t>Service Income</t>
        </is>
      </c>
      <c r="I2861" s="33" t="n">
        <v>29904.81</v>
      </c>
      <c r="J2861" s="13">
        <f>+J2860+I2861</f>
        <v>1901064.56</v>
      </c>
      <c r="K2861" s="19">
        <f>+EOMONTH(B2861,0)</f>
        <v>46081</v>
      </c>
      <c r="L2861" s="3" t="inlineStr">
        <is>
          <t>Service Income</t>
        </is>
      </c>
      <c r="M2861" s="3" t="inlineStr">
        <is>
          <t>Net Fee-for-Service</t>
        </is>
      </c>
    </row>
    <row r="2862">
      <c r="B2862" s="39" t="n">
        <v>46073</v>
      </c>
      <c r="C2862" s="3" t="inlineStr">
        <is>
          <t>Deposit</t>
        </is>
      </c>
      <c r="D2862" s="3" t="inlineStr"/>
      <c r="E2862" s="3" t="inlineStr">
        <is>
          <t>Federal Program A</t>
        </is>
      </c>
      <c r="F2862" s="3" t="inlineStr">
        <is>
          <t>ORIG CO NAME:FEDERAL PROG A ORIG ID:XXXXXX1780 DESC DATE:260220 CO ENTRY DESCR:HCCLAIMPMT SEC:CCD TRACE#:XXXXXXXX3474026 EED:260220 IND ID:</t>
        </is>
      </c>
      <c r="G2862" s="3" t="inlineStr">
        <is>
          <t>Checking – Operating</t>
        </is>
      </c>
      <c r="H2862" s="3" t="inlineStr">
        <is>
          <t>Service Income</t>
        </is>
      </c>
      <c r="I2862" s="33" t="n">
        <v>55015.92</v>
      </c>
      <c r="J2862" s="13">
        <f>+J2861+I2862</f>
        <v>1956080.48</v>
      </c>
      <c r="K2862" s="19">
        <f>+EOMONTH(B2862,0)</f>
        <v>46081</v>
      </c>
      <c r="L2862" s="3" t="inlineStr">
        <is>
          <t>Service Income</t>
        </is>
      </c>
      <c r="M2862" s="3" t="inlineStr">
        <is>
          <t>Net Fee-for-Service</t>
        </is>
      </c>
    </row>
    <row r="2863">
      <c r="B2863" s="39" t="n">
        <v>46074</v>
      </c>
      <c r="C2863" s="3" t="inlineStr">
        <is>
          <t>Deposit</t>
        </is>
      </c>
      <c r="D2863" s="3" t="inlineStr"/>
      <c r="E2863" s="3" t="inlineStr">
        <is>
          <t>State Program B</t>
        </is>
      </c>
      <c r="F2863" s="3" t="inlineStr">
        <is>
          <t>ORIG CO NAME:STATE PROG B ORIG ID:XXXXXX6713 DESC DATE:260221 CO ENTRY DESCR:HCCLAIMPMT SEC:CCD TRACE#:XXXXXXXX3780749 EED:260221 IND ID:</t>
        </is>
      </c>
      <c r="G2863" s="3" t="inlineStr">
        <is>
          <t>Checking – Operating</t>
        </is>
      </c>
      <c r="H2863" s="3" t="inlineStr">
        <is>
          <t>Service Income</t>
        </is>
      </c>
      <c r="I2863" s="33" t="n">
        <v>33312.79</v>
      </c>
      <c r="J2863" s="13">
        <f>+J2862+I2863</f>
        <v>1989393.27</v>
      </c>
      <c r="K2863" s="19">
        <f>+EOMONTH(B2863,0)</f>
        <v>46081</v>
      </c>
      <c r="L2863" s="3" t="inlineStr">
        <is>
          <t>Service Income</t>
        </is>
      </c>
      <c r="M2863" s="3" t="inlineStr">
        <is>
          <t>Net Fee-for-Service</t>
        </is>
      </c>
    </row>
    <row r="2864">
      <c r="B2864" s="39" t="n">
        <v>46074</v>
      </c>
      <c r="C2864" s="3" t="inlineStr">
        <is>
          <t>Deposit</t>
        </is>
      </c>
      <c r="D2864" s="3" t="inlineStr"/>
      <c r="E2864" s="3" t="inlineStr">
        <is>
          <t>Silvermoss Senior Living</t>
        </is>
      </c>
      <c r="F2864" s="3" t="inlineStr">
        <is>
          <t>ORIG CO NAME:SILVERMOSS SL ORIG ID:XXXXXX9793 DESC DATE:260221 CO ENTRY DESCR:HCCLAIMPMT SEC:CCD TRACE#:XXXXXXXX3172220 EED:260221 IND ID:</t>
        </is>
      </c>
      <c r="G2864" s="3" t="inlineStr">
        <is>
          <t>Checking – Operating</t>
        </is>
      </c>
      <c r="H2864" s="3" t="inlineStr">
        <is>
          <t>Service Income</t>
        </is>
      </c>
      <c r="I2864" s="33" t="n">
        <v>34496.55</v>
      </c>
      <c r="J2864" s="13">
        <f>+J2863+I2864</f>
        <v>2023889.82</v>
      </c>
      <c r="K2864" s="19">
        <f>+EOMONTH(B2864,0)</f>
        <v>46081</v>
      </c>
      <c r="L2864" s="3" t="inlineStr">
        <is>
          <t>Service Income</t>
        </is>
      </c>
      <c r="M2864" s="3" t="inlineStr">
        <is>
          <t>Net Fee-for-Service</t>
        </is>
      </c>
    </row>
    <row r="2865">
      <c r="B2865" s="39" t="n">
        <v>46074</v>
      </c>
      <c r="C2865" s="3" t="inlineStr">
        <is>
          <t>Deposit</t>
        </is>
      </c>
      <c r="D2865" s="3" t="inlineStr"/>
      <c r="E2865" s="3" t="inlineStr">
        <is>
          <t>Cobaltmere Health</t>
        </is>
      </c>
      <c r="F2865" s="3" t="inlineStr">
        <is>
          <t>ORIG CO NAME:COBALTMERE HEALTH ORIG ID:XXXXXX3754 DESC DATE:260221 CO ENTRY DESCR:HCCLAIMPMT SEC:CCD TRACE#:XXXXXXXX8705062 EED:260221 IND ID:</t>
        </is>
      </c>
      <c r="G2865" s="3" t="inlineStr">
        <is>
          <t>Checking – Operating</t>
        </is>
      </c>
      <c r="H2865" s="3" t="inlineStr">
        <is>
          <t>Service Income</t>
        </is>
      </c>
      <c r="I2865" s="33" t="n">
        <v>25327.82</v>
      </c>
      <c r="J2865" s="13">
        <f>+J2864+I2865</f>
        <v>2049217.64</v>
      </c>
      <c r="K2865" s="19">
        <f>+EOMONTH(B2865,0)</f>
        <v>46081</v>
      </c>
      <c r="L2865" s="3" t="inlineStr">
        <is>
          <t>Service Income</t>
        </is>
      </c>
      <c r="M2865" s="3" t="inlineStr">
        <is>
          <t>Net Fee-for-Service</t>
        </is>
      </c>
    </row>
    <row r="2866">
      <c r="B2866" s="39" t="n">
        <v>46075</v>
      </c>
      <c r="C2866" s="3" t="inlineStr">
        <is>
          <t>Deposit</t>
        </is>
      </c>
      <c r="D2866" s="3" t="inlineStr"/>
      <c r="E2866" s="3" t="inlineStr">
        <is>
          <t>Federal Program A</t>
        </is>
      </c>
      <c r="F2866" s="3" t="inlineStr">
        <is>
          <t>ORIG CO NAME:FEDERAL PROG A ORIG ID:XXXXXX6778 DESC DATE:260222 CO ENTRY DESCR:HCCLAIMPMT SEC:CCD TRACE#:XXXXXXXX9658790 EED:260222 IND ID:</t>
        </is>
      </c>
      <c r="G2866" s="3" t="inlineStr">
        <is>
          <t>Checking – Operating</t>
        </is>
      </c>
      <c r="H2866" s="3" t="inlineStr">
        <is>
          <t>Service Income</t>
        </is>
      </c>
      <c r="I2866" s="33" t="n">
        <v>55804.7</v>
      </c>
      <c r="J2866" s="13">
        <f>+J2865+I2866</f>
        <v>2105022.34</v>
      </c>
      <c r="K2866" s="19">
        <f>+EOMONTH(B2866,0)</f>
        <v>46081</v>
      </c>
      <c r="L2866" s="3" t="inlineStr">
        <is>
          <t>Service Income</t>
        </is>
      </c>
      <c r="M2866" s="3" t="inlineStr">
        <is>
          <t>Net Fee-for-Service</t>
        </is>
      </c>
    </row>
    <row r="2867">
      <c r="B2867" s="39" t="n">
        <v>46075</v>
      </c>
      <c r="C2867" s="3" t="inlineStr">
        <is>
          <t>Deposit</t>
        </is>
      </c>
      <c r="D2867" s="3" t="inlineStr"/>
      <c r="E2867" s="3" t="inlineStr">
        <is>
          <t>Cobaltmere Health</t>
        </is>
      </c>
      <c r="F2867" s="3" t="inlineStr">
        <is>
          <t>ORIG CO NAME:COBALTMERE HEALTH ORIG ID:XXXXXX5404 DESC DATE:260222 CO ENTRY DESCR:HCCLAIMPMT SEC:CCD TRACE#:XXXXXXXX7138816 EED:260222 IND ID:</t>
        </is>
      </c>
      <c r="G2867" s="3" t="inlineStr">
        <is>
          <t>Checking – Operating</t>
        </is>
      </c>
      <c r="H2867" s="3" t="inlineStr">
        <is>
          <t>Service Income</t>
        </is>
      </c>
      <c r="I2867" s="33" t="n">
        <v>18938.85</v>
      </c>
      <c r="J2867" s="13">
        <f>+J2866+I2867</f>
        <v>2123961.19</v>
      </c>
      <c r="K2867" s="19">
        <f>+EOMONTH(B2867,0)</f>
        <v>46081</v>
      </c>
      <c r="L2867" s="3" t="inlineStr">
        <is>
          <t>Service Income</t>
        </is>
      </c>
      <c r="M2867" s="3" t="inlineStr">
        <is>
          <t>Net Fee-for-Service</t>
        </is>
      </c>
    </row>
    <row r="2868">
      <c r="B2868" s="39" t="n">
        <v>46077</v>
      </c>
      <c r="C2868" s="3" t="inlineStr">
        <is>
          <t>Deposit</t>
        </is>
      </c>
      <c r="D2868" s="3" t="inlineStr"/>
      <c r="E2868" s="3" t="inlineStr">
        <is>
          <t>Marrowby Mutual</t>
        </is>
      </c>
      <c r="F2868" s="3" t="inlineStr">
        <is>
          <t>ORIG CO NAME:MARROWBY MUTUAL ORIG ID:XXXXXX3763 DESC DATE:260224 CO ENTRY DESCR:HCCLAIMPMT SEC:CCD TRACE#:XXXXXXXX5396232 EED:260224 IND ID:</t>
        </is>
      </c>
      <c r="G2868" s="3" t="inlineStr">
        <is>
          <t>Checking – Operating</t>
        </is>
      </c>
      <c r="H2868" s="3" t="inlineStr">
        <is>
          <t>Service Income</t>
        </is>
      </c>
      <c r="I2868" s="33" t="n">
        <v>72243.02</v>
      </c>
      <c r="J2868" s="13">
        <f>+J2867+I2868</f>
        <v>2196204.21</v>
      </c>
      <c r="K2868" s="19">
        <f>+EOMONTH(B2868,0)</f>
        <v>46081</v>
      </c>
      <c r="L2868" s="3" t="inlineStr">
        <is>
          <t>Service Income</t>
        </is>
      </c>
      <c r="M2868" s="3" t="inlineStr">
        <is>
          <t>Net Fee-for-Service</t>
        </is>
      </c>
    </row>
    <row r="2869">
      <c r="B2869" s="39" t="n">
        <v>46079</v>
      </c>
      <c r="C2869" s="3" t="inlineStr">
        <is>
          <t>Deposit</t>
        </is>
      </c>
      <c r="D2869" s="3" t="inlineStr"/>
      <c r="E2869" s="3" t="inlineStr">
        <is>
          <t>Cobaltmere Health</t>
        </is>
      </c>
      <c r="F2869" s="3" t="inlineStr">
        <is>
          <t>ORIG CO NAME:COBALTMERE HEALTH ORIG ID:XXXXXX5504 DESC DATE:260226 CO ENTRY DESCR:HCCLAIMPMT SEC:CCD TRACE#:XXXXXXXX5374890 EED:260226 IND ID:</t>
        </is>
      </c>
      <c r="G2869" s="3" t="inlineStr">
        <is>
          <t>Checking – Operating</t>
        </is>
      </c>
      <c r="H2869" s="3" t="inlineStr">
        <is>
          <t>Service Income</t>
        </is>
      </c>
      <c r="I2869" s="33" t="n">
        <v>17647.61</v>
      </c>
      <c r="J2869" s="13">
        <f>+J2868+I2869</f>
        <v>2213851.82</v>
      </c>
      <c r="K2869" s="19">
        <f>+EOMONTH(B2869,0)</f>
        <v>46081</v>
      </c>
      <c r="L2869" s="3" t="inlineStr">
        <is>
          <t>Service Income</t>
        </is>
      </c>
      <c r="M2869" s="3" t="inlineStr">
        <is>
          <t>Net Fee-for-Service</t>
        </is>
      </c>
    </row>
    <row r="2870">
      <c r="B2870" s="39" t="n">
        <v>46080</v>
      </c>
      <c r="C2870" s="3" t="inlineStr">
        <is>
          <t>Deposit</t>
        </is>
      </c>
      <c r="D2870" s="3" t="inlineStr"/>
      <c r="E2870" s="3" t="inlineStr">
        <is>
          <t>Lanternway Benefits</t>
        </is>
      </c>
      <c r="F2870" s="3" t="inlineStr">
        <is>
          <t>ORIG CO NAME:LANTERNWAY BEN ORIG ID:XXXXXX9640 DESC DATE:260227 CO ENTRY DESCR:HCCLAIMPMT SEC:CCD TRACE#:XXXXXXXX2950279 EED:260227 IND ID:</t>
        </is>
      </c>
      <c r="G2870" s="3" t="inlineStr">
        <is>
          <t>Checking – Operating</t>
        </is>
      </c>
      <c r="H2870" s="3" t="inlineStr">
        <is>
          <t>Service Income</t>
        </is>
      </c>
      <c r="I2870" s="33" t="n">
        <v>36831.01</v>
      </c>
      <c r="J2870" s="13">
        <f>+J2869+I2870</f>
        <v>2250682.83</v>
      </c>
      <c r="K2870" s="19">
        <f>+EOMONTH(B2870,0)</f>
        <v>46081</v>
      </c>
      <c r="L2870" s="3" t="inlineStr">
        <is>
          <t>Service Income</t>
        </is>
      </c>
      <c r="M2870" s="3" t="inlineStr">
        <is>
          <t>Net Fee-for-Service</t>
        </is>
      </c>
    </row>
    <row r="2871">
      <c r="B2871" s="39" t="n">
        <v>46082</v>
      </c>
      <c r="C2871" s="3" t="inlineStr">
        <is>
          <t>Deposit</t>
        </is>
      </c>
      <c r="D2871" s="3" t="inlineStr"/>
      <c r="E2871" s="3" t="inlineStr">
        <is>
          <t>State Program B</t>
        </is>
      </c>
      <c r="F2871" s="3" t="inlineStr">
        <is>
          <t>ORIG CO NAME:STATE PROG B ORIG ID:XXXXXX1234 DESC DATE:260301 CO ENTRY DESCR:HCCLAIMPMT SEC:CCD TRACE#:XXXXXXXX1976287 EED:260301 IND ID:</t>
        </is>
      </c>
      <c r="G2871" s="3" t="inlineStr">
        <is>
          <t>Checking – Operating</t>
        </is>
      </c>
      <c r="H2871" s="3" t="inlineStr">
        <is>
          <t>Service Income</t>
        </is>
      </c>
      <c r="I2871" s="33" t="n">
        <v>51923.81</v>
      </c>
      <c r="J2871" s="13">
        <f>+J2870+I2871</f>
        <v>2302606.64</v>
      </c>
      <c r="K2871" s="19">
        <f>+EOMONTH(B2871,0)</f>
        <v>46112</v>
      </c>
      <c r="L2871" s="3" t="inlineStr">
        <is>
          <t>Service Income</t>
        </is>
      </c>
      <c r="M2871" s="3" t="inlineStr">
        <is>
          <t>Net Fee-for-Service</t>
        </is>
      </c>
    </row>
    <row r="2872">
      <c r="B2872" s="39" t="n">
        <v>46085</v>
      </c>
      <c r="C2872" s="3" t="inlineStr">
        <is>
          <t>Deposit</t>
        </is>
      </c>
      <c r="D2872" s="3" t="inlineStr"/>
      <c r="E2872" s="3" t="inlineStr">
        <is>
          <t>Vantrelle Health Plan</t>
        </is>
      </c>
      <c r="F2872" s="3" t="inlineStr">
        <is>
          <t>ORIG CO NAME:VANTRELLE HP ORIG ID:XXXXXX4299 DESC DATE:260304 CO ENTRY DESCR:HCCLAIMPMT SEC:CCD TRACE#:XXXXXXXX8551586 EED:260304 IND ID:</t>
        </is>
      </c>
      <c r="G2872" s="3" t="inlineStr">
        <is>
          <t>Checking – Operating</t>
        </is>
      </c>
      <c r="H2872" s="3" t="inlineStr">
        <is>
          <t>Service Income</t>
        </is>
      </c>
      <c r="I2872" s="33" t="n">
        <v>142128.56</v>
      </c>
      <c r="J2872" s="13">
        <f>+J2871+I2872</f>
        <v>2444735.2</v>
      </c>
      <c r="K2872" s="19">
        <f>+EOMONTH(B2872,0)</f>
        <v>46112</v>
      </c>
      <c r="L2872" s="3" t="inlineStr">
        <is>
          <t>Service Income</t>
        </is>
      </c>
      <c r="M2872" s="3" t="inlineStr">
        <is>
          <t>Net Fee-for-Service</t>
        </is>
      </c>
    </row>
    <row r="2873">
      <c r="B2873" s="39" t="n">
        <v>46090</v>
      </c>
      <c r="C2873" s="3" t="inlineStr">
        <is>
          <t>Deposit</t>
        </is>
      </c>
      <c r="D2873" s="3" t="inlineStr"/>
      <c r="E2873" s="3" t="inlineStr">
        <is>
          <t>Silvermoss Senior Living</t>
        </is>
      </c>
      <c r="F2873" s="3" t="inlineStr">
        <is>
          <t>ORIG CO NAME:SILVERMOSS SL ORIG ID:XXXXXX7391 DESC DATE:260309 CO ENTRY DESCR:HCCLAIMPMT SEC:CCD TRACE#:XXXXXXXX7639108 EED:260309 IND ID:</t>
        </is>
      </c>
      <c r="G2873" s="3" t="inlineStr">
        <is>
          <t>Checking – Operating</t>
        </is>
      </c>
      <c r="H2873" s="3" t="inlineStr">
        <is>
          <t>Service Income</t>
        </is>
      </c>
      <c r="I2873" s="33" t="n">
        <v>50589.99</v>
      </c>
      <c r="J2873" s="13">
        <f>+J2872+I2873</f>
        <v>2495325.19</v>
      </c>
      <c r="K2873" s="19">
        <f>+EOMONTH(B2873,0)</f>
        <v>46112</v>
      </c>
      <c r="L2873" s="3" t="inlineStr">
        <is>
          <t>Service Income</t>
        </is>
      </c>
      <c r="M2873" s="3" t="inlineStr">
        <is>
          <t>Net Fee-for-Service</t>
        </is>
      </c>
    </row>
    <row r="2874">
      <c r="B2874" s="39" t="n">
        <v>46093</v>
      </c>
      <c r="C2874" s="3" t="inlineStr">
        <is>
          <t>Deposit</t>
        </is>
      </c>
      <c r="D2874" s="3" t="inlineStr"/>
      <c r="E2874" s="3" t="inlineStr">
        <is>
          <t>Quayside Choice Senior Plan</t>
        </is>
      </c>
      <c r="F2874" s="3" t="inlineStr">
        <is>
          <t>ORIG CO NAME:QUAYSIDE CHOICE SP ORIG ID:XXXXXX8014 DESC DATE:260312 CO ENTRY DESCR:HCCLAIMPMT SEC:CCD TRACE#:XXXXXXXX6002314 EED:260312 IND ID:</t>
        </is>
      </c>
      <c r="G2874" s="3" t="inlineStr">
        <is>
          <t>Checking – Operating</t>
        </is>
      </c>
      <c r="H2874" s="3" t="inlineStr">
        <is>
          <t>Service Income</t>
        </is>
      </c>
      <c r="I2874" s="33" t="n">
        <v>53595.34</v>
      </c>
      <c r="J2874" s="13">
        <f>+J2873+I2874</f>
        <v>2548920.53</v>
      </c>
      <c r="K2874" s="19">
        <f>+EOMONTH(B2874,0)</f>
        <v>46112</v>
      </c>
      <c r="L2874" s="3" t="inlineStr">
        <is>
          <t>Service Income</t>
        </is>
      </c>
      <c r="M2874" s="3" t="inlineStr">
        <is>
          <t>Net Fee-for-Service</t>
        </is>
      </c>
    </row>
    <row r="2875">
      <c r="B2875" s="39" t="n">
        <v>46095</v>
      </c>
      <c r="C2875" s="3" t="inlineStr">
        <is>
          <t>Deposit</t>
        </is>
      </c>
      <c r="D2875" s="3" t="inlineStr"/>
      <c r="E2875" s="3" t="inlineStr">
        <is>
          <t>State Program B</t>
        </is>
      </c>
      <c r="F2875" s="3" t="inlineStr">
        <is>
          <t>ORIG CO NAME:STATE PROG B ORIG ID:XXXXXX7521 DESC DATE:260314 CO ENTRY DESCR:HCCLAIMPMT SEC:CCD TRACE#:XXXXXXXX1186445 EED:260314 IND ID:</t>
        </is>
      </c>
      <c r="G2875" s="3" t="inlineStr">
        <is>
          <t>Checking – Operating</t>
        </is>
      </c>
      <c r="H2875" s="3" t="inlineStr">
        <is>
          <t>Service Income</t>
        </is>
      </c>
      <c r="I2875" s="33" t="n">
        <v>58249.86</v>
      </c>
      <c r="J2875" s="13">
        <f>+J2874+I2875</f>
        <v>2607170.39</v>
      </c>
      <c r="K2875" s="19">
        <f>+EOMONTH(B2875,0)</f>
        <v>46112</v>
      </c>
      <c r="L2875" s="3" t="inlineStr">
        <is>
          <t>Service Income</t>
        </is>
      </c>
      <c r="M2875" s="3" t="inlineStr">
        <is>
          <t>Net Fee-for-Service</t>
        </is>
      </c>
    </row>
    <row r="2876">
      <c r="B2876" s="39" t="n">
        <v>46097</v>
      </c>
      <c r="C2876" s="3" t="inlineStr">
        <is>
          <t>Deposit</t>
        </is>
      </c>
      <c r="D2876" s="3" t="inlineStr"/>
      <c r="E2876" s="3" t="inlineStr">
        <is>
          <t>Cobaltmere Health</t>
        </is>
      </c>
      <c r="F2876" s="3" t="inlineStr">
        <is>
          <t>ORIG CO NAME:COBALTMERE HEALTH ORIG ID:XXXXXX2663 DESC DATE:260316 CO ENTRY DESCR:HCCLAIMPMT SEC:CCD TRACE#:XXXXXXXX8480936 EED:260316 IND ID:</t>
        </is>
      </c>
      <c r="G2876" s="3" t="inlineStr">
        <is>
          <t>Checking – Operating</t>
        </is>
      </c>
      <c r="H2876" s="3" t="inlineStr">
        <is>
          <t>Service Income</t>
        </is>
      </c>
      <c r="I2876" s="33" t="n">
        <v>19160.3</v>
      </c>
      <c r="J2876" s="13">
        <f>+J2875+I2876</f>
        <v>2626330.69</v>
      </c>
      <c r="K2876" s="19">
        <f>+EOMONTH(B2876,0)</f>
        <v>46112</v>
      </c>
      <c r="L2876" s="3" t="inlineStr">
        <is>
          <t>Service Income</t>
        </is>
      </c>
      <c r="M2876" s="3" t="inlineStr">
        <is>
          <t>Net Fee-for-Service</t>
        </is>
      </c>
    </row>
    <row r="2877">
      <c r="B2877" s="39" t="n">
        <v>46100</v>
      </c>
      <c r="C2877" s="3" t="inlineStr">
        <is>
          <t>Deposit</t>
        </is>
      </c>
      <c r="D2877" s="3" t="inlineStr"/>
      <c r="E2877" s="3" t="inlineStr">
        <is>
          <t>Lanternway Benefits</t>
        </is>
      </c>
      <c r="F2877" s="3" t="inlineStr">
        <is>
          <t>ORIG CO NAME:LANTERNWAY BEN ORIG ID:XXXXXX7977 DESC DATE:260319 CO ENTRY DESCR:HCCLAIMPMT SEC:CCD TRACE#:XXXXXXXX1271175 EED:260319 IND ID:</t>
        </is>
      </c>
      <c r="G2877" s="3" t="inlineStr">
        <is>
          <t>Checking – Operating</t>
        </is>
      </c>
      <c r="H2877" s="3" t="inlineStr">
        <is>
          <t>Service Income</t>
        </is>
      </c>
      <c r="I2877" s="33" t="n">
        <v>29344.02</v>
      </c>
      <c r="J2877" s="13">
        <f>+J2876+I2877</f>
        <v>2655674.71</v>
      </c>
      <c r="K2877" s="19">
        <f>+EOMONTH(B2877,0)</f>
        <v>46112</v>
      </c>
      <c r="L2877" s="3" t="inlineStr">
        <is>
          <t>Service Income</t>
        </is>
      </c>
      <c r="M2877" s="3" t="inlineStr">
        <is>
          <t>Net Fee-for-Service</t>
        </is>
      </c>
    </row>
    <row r="2878">
      <c r="B2878" s="39" t="n">
        <v>46100</v>
      </c>
      <c r="C2878" s="3" t="inlineStr">
        <is>
          <t>Deposit</t>
        </is>
      </c>
      <c r="D2878" s="3" t="inlineStr"/>
      <c r="E2878" s="3" t="inlineStr">
        <is>
          <t>Cobaltmere Health</t>
        </is>
      </c>
      <c r="F2878" s="3" t="inlineStr">
        <is>
          <t>ORIG CO NAME:COBALTMERE HEALTH ORIG ID:XXXXXX1223 DESC DATE:260319 CO ENTRY DESCR:HCCLAIMPMT SEC:CCD TRACE#:XXXXXXXX3609371 EED:260319 IND ID:</t>
        </is>
      </c>
      <c r="G2878" s="3" t="inlineStr">
        <is>
          <t>Checking – Operating</t>
        </is>
      </c>
      <c r="H2878" s="3" t="inlineStr">
        <is>
          <t>Service Income</t>
        </is>
      </c>
      <c r="I2878" s="33" t="n">
        <v>34884.22</v>
      </c>
      <c r="J2878" s="13">
        <f>+J2877+I2878</f>
        <v>2690558.93</v>
      </c>
      <c r="K2878" s="19">
        <f>+EOMONTH(B2878,0)</f>
        <v>46112</v>
      </c>
      <c r="L2878" s="3" t="inlineStr">
        <is>
          <t>Service Income</t>
        </is>
      </c>
      <c r="M2878" s="3" t="inlineStr">
        <is>
          <t>Net Fee-for-Service</t>
        </is>
      </c>
    </row>
    <row r="2879">
      <c r="B2879" s="39" t="n">
        <v>46103</v>
      </c>
      <c r="C2879" s="3" t="inlineStr">
        <is>
          <t>Deposit</t>
        </is>
      </c>
      <c r="D2879" s="3" t="inlineStr"/>
      <c r="E2879" s="3" t="inlineStr">
        <is>
          <t>Silvermoss Senior Living</t>
        </is>
      </c>
      <c r="F2879" s="3" t="inlineStr">
        <is>
          <t>ORIG CO NAME:SILVERMOSS SL ORIG ID:XXXXXX9696 DESC DATE:260322 CO ENTRY DESCR:HCCLAIMPMT SEC:CCD TRACE#:XXXXXXXX5945567 EED:260322 IND ID:</t>
        </is>
      </c>
      <c r="G2879" s="3" t="inlineStr">
        <is>
          <t>Checking – Operating</t>
        </is>
      </c>
      <c r="H2879" s="3" t="inlineStr">
        <is>
          <t>Service Income</t>
        </is>
      </c>
      <c r="I2879" s="33" t="n">
        <v>47342.16</v>
      </c>
      <c r="J2879" s="13">
        <f>+J2878+I2879</f>
        <v>2737901.09</v>
      </c>
      <c r="K2879" s="19">
        <f>+EOMONTH(B2879,0)</f>
        <v>46112</v>
      </c>
      <c r="L2879" s="3" t="inlineStr">
        <is>
          <t>Service Income</t>
        </is>
      </c>
      <c r="M2879" s="3" t="inlineStr">
        <is>
          <t>Net Fee-for-Service</t>
        </is>
      </c>
    </row>
    <row r="2880">
      <c r="B2880" s="39" t="n">
        <v>46103</v>
      </c>
      <c r="C2880" s="3" t="inlineStr">
        <is>
          <t>Deposit</t>
        </is>
      </c>
      <c r="D2880" s="3" t="inlineStr"/>
      <c r="E2880" s="3" t="inlineStr">
        <is>
          <t>Lanternway Benefits</t>
        </is>
      </c>
      <c r="F2880" s="3" t="inlineStr">
        <is>
          <t>ORIG CO NAME:LANTERNWAY BEN ORIG ID:XXXXXX2164 DESC DATE:260322 CO ENTRY DESCR:HCCLAIMPMT SEC:CCD TRACE#:XXXXXXXX4652944 EED:260322 IND ID:</t>
        </is>
      </c>
      <c r="G2880" s="3" t="inlineStr">
        <is>
          <t>Checking – Operating</t>
        </is>
      </c>
      <c r="H2880" s="3" t="inlineStr">
        <is>
          <t>Service Income</t>
        </is>
      </c>
      <c r="I2880" s="33" t="n">
        <v>38074.97</v>
      </c>
      <c r="J2880" s="13">
        <f>+J2879+I2880</f>
        <v>2775976.06</v>
      </c>
      <c r="K2880" s="19">
        <f>+EOMONTH(B2880,0)</f>
        <v>46112</v>
      </c>
      <c r="L2880" s="3" t="inlineStr">
        <is>
          <t>Service Income</t>
        </is>
      </c>
      <c r="M2880" s="3" t="inlineStr">
        <is>
          <t>Net Fee-for-Service</t>
        </is>
      </c>
    </row>
    <row r="2881">
      <c r="B2881" s="39" t="n">
        <v>46104</v>
      </c>
      <c r="C2881" s="3" t="inlineStr">
        <is>
          <t>Deposit</t>
        </is>
      </c>
      <c r="D2881" s="3" t="inlineStr"/>
      <c r="E2881" s="3" t="inlineStr">
        <is>
          <t>Vantrelle Health Plan</t>
        </is>
      </c>
      <c r="F2881" s="3" t="inlineStr">
        <is>
          <t>ORIG CO NAME:VANTRELLE HP ORIG ID:XXXXXX9798 DESC DATE:260323 CO ENTRY DESCR:HCCLAIMPMT SEC:CCD TRACE#:XXXXXXXX1607400 EED:260323 IND ID:</t>
        </is>
      </c>
      <c r="G2881" s="3" t="inlineStr">
        <is>
          <t>Checking – Operating</t>
        </is>
      </c>
      <c r="H2881" s="3" t="inlineStr">
        <is>
          <t>Service Income</t>
        </is>
      </c>
      <c r="I2881" s="33" t="n">
        <v>151667.9</v>
      </c>
      <c r="J2881" s="13">
        <f>+J2880+I2881</f>
        <v>2927643.96</v>
      </c>
      <c r="K2881" s="19">
        <f>+EOMONTH(B2881,0)</f>
        <v>46112</v>
      </c>
      <c r="L2881" s="3" t="inlineStr">
        <is>
          <t>Service Income</t>
        </is>
      </c>
      <c r="M2881" s="3" t="inlineStr">
        <is>
          <t>Net Fee-for-Service</t>
        </is>
      </c>
    </row>
    <row r="2882">
      <c r="B2882" s="39" t="n">
        <v>46104</v>
      </c>
      <c r="C2882" s="3" t="inlineStr">
        <is>
          <t>Deposit</t>
        </is>
      </c>
      <c r="D2882" s="3" t="inlineStr"/>
      <c r="E2882" s="3" t="inlineStr">
        <is>
          <t>Lanternway Benefits</t>
        </is>
      </c>
      <c r="F2882" s="3" t="inlineStr">
        <is>
          <t>ORIG CO NAME:LANTERNWAY BEN ORIG ID:XXXXXX2017 DESC DATE:260323 CO ENTRY DESCR:HCCLAIMPMT SEC:CCD TRACE#:XXXXXXXX8820961 EED:260323 IND ID:</t>
        </is>
      </c>
      <c r="G2882" s="3" t="inlineStr">
        <is>
          <t>Checking – Operating</t>
        </is>
      </c>
      <c r="H2882" s="3" t="inlineStr">
        <is>
          <t>Service Income</t>
        </is>
      </c>
      <c r="I2882" s="33" t="n">
        <v>54996.2</v>
      </c>
      <c r="J2882" s="13">
        <f>+J2881+I2882</f>
        <v>2982640.16</v>
      </c>
      <c r="K2882" s="19">
        <f>+EOMONTH(B2882,0)</f>
        <v>46112</v>
      </c>
      <c r="L2882" s="3" t="inlineStr">
        <is>
          <t>Service Income</t>
        </is>
      </c>
      <c r="M2882" s="3" t="inlineStr">
        <is>
          <t>Net Fee-for-Service</t>
        </is>
      </c>
    </row>
    <row r="2883">
      <c r="B2883" s="39" t="n">
        <v>46104</v>
      </c>
      <c r="C2883" s="3" t="inlineStr">
        <is>
          <t>Deposit</t>
        </is>
      </c>
      <c r="D2883" s="3" t="inlineStr"/>
      <c r="E2883" s="3" t="inlineStr">
        <is>
          <t>Quayside Choice Senior Plan</t>
        </is>
      </c>
      <c r="F2883" s="3" t="inlineStr">
        <is>
          <t>ORIG CO NAME:QUAYSIDE CHOICE SP ORIG ID:XXXXXX5878 DESC DATE:260323 CO ENTRY DESCR:HCCLAIMPMT SEC:CCD TRACE#:XXXXXXXX8270136 EED:260323 IND ID:</t>
        </is>
      </c>
      <c r="G2883" s="3" t="inlineStr">
        <is>
          <t>Checking – Operating</t>
        </is>
      </c>
      <c r="H2883" s="3" t="inlineStr">
        <is>
          <t>Service Income</t>
        </is>
      </c>
      <c r="I2883" s="33" t="n">
        <v>81061.37</v>
      </c>
      <c r="J2883" s="13">
        <f>+J2882+I2883</f>
        <v>3063701.53</v>
      </c>
      <c r="K2883" s="19">
        <f>+EOMONTH(B2883,0)</f>
        <v>46112</v>
      </c>
      <c r="L2883" s="3" t="inlineStr">
        <is>
          <t>Service Income</t>
        </is>
      </c>
      <c r="M2883" s="3" t="inlineStr">
        <is>
          <t>Net Fee-for-Service</t>
        </is>
      </c>
    </row>
    <row r="2884">
      <c r="B2884" s="39" t="n">
        <v>46104</v>
      </c>
      <c r="C2884" s="3" t="inlineStr">
        <is>
          <t>Deposit</t>
        </is>
      </c>
      <c r="D2884" s="3" t="inlineStr"/>
      <c r="E2884" s="3" t="inlineStr">
        <is>
          <t>Cobaltmere Health</t>
        </is>
      </c>
      <c r="F2884" s="3" t="inlineStr">
        <is>
          <t>ORIG CO NAME:COBALTMERE HEALTH ORIG ID:XXXXXX9950 DESC DATE:260323 CO ENTRY DESCR:HCCLAIMPMT SEC:CCD TRACE#:XXXXXXXX3766974 EED:260323 IND ID:</t>
        </is>
      </c>
      <c r="G2884" s="3" t="inlineStr">
        <is>
          <t>Checking – Operating</t>
        </is>
      </c>
      <c r="H2884" s="3" t="inlineStr">
        <is>
          <t>Service Income</t>
        </is>
      </c>
      <c r="I2884" s="33" t="n">
        <v>19404.6</v>
      </c>
      <c r="J2884" s="13">
        <f>+J2883+I2884</f>
        <v>3083106.13</v>
      </c>
      <c r="K2884" s="19">
        <f>+EOMONTH(B2884,0)</f>
        <v>46112</v>
      </c>
      <c r="L2884" s="3" t="inlineStr">
        <is>
          <t>Service Income</t>
        </is>
      </c>
      <c r="M2884" s="3" t="inlineStr">
        <is>
          <t>Net Fee-for-Service</t>
        </is>
      </c>
    </row>
    <row r="2885">
      <c r="B2885" s="39" t="n">
        <v>46105</v>
      </c>
      <c r="C2885" s="3" t="inlineStr">
        <is>
          <t>Deposit</t>
        </is>
      </c>
      <c r="D2885" s="3" t="inlineStr"/>
      <c r="E2885" s="3" t="inlineStr">
        <is>
          <t>Federal Program A</t>
        </is>
      </c>
      <c r="F2885" s="3" t="inlineStr">
        <is>
          <t>ORIG CO NAME:FEDERAL PROG A ORIG ID:XXXXXX9759 DESC DATE:260324 CO ENTRY DESCR:HCCLAIMPMT SEC:CCD TRACE#:XXXXXXXX2717572 EED:260324 IND ID:</t>
        </is>
      </c>
      <c r="G2885" s="3" t="inlineStr">
        <is>
          <t>Checking – Operating</t>
        </is>
      </c>
      <c r="H2885" s="3" t="inlineStr">
        <is>
          <t>Service Income</t>
        </is>
      </c>
      <c r="I2885" s="33" t="n">
        <v>72499.92</v>
      </c>
      <c r="J2885" s="13">
        <f>+J2884+I2885</f>
        <v>3155606.05</v>
      </c>
      <c r="K2885" s="19">
        <f>+EOMONTH(B2885,0)</f>
        <v>46112</v>
      </c>
      <c r="L2885" s="3" t="inlineStr">
        <is>
          <t>Service Income</t>
        </is>
      </c>
      <c r="M2885" s="3" t="inlineStr">
        <is>
          <t>Net Fee-for-Service</t>
        </is>
      </c>
    </row>
    <row r="2886">
      <c r="B2886" s="39" t="n">
        <v>46109</v>
      </c>
      <c r="C2886" s="3" t="inlineStr">
        <is>
          <t>Deposit</t>
        </is>
      </c>
      <c r="D2886" s="3" t="inlineStr"/>
      <c r="E2886" s="3" t="inlineStr">
        <is>
          <t>Marrowby Mutual</t>
        </is>
      </c>
      <c r="F2886" s="3" t="inlineStr">
        <is>
          <t>ORIG CO NAME:MARROWBY MUTUAL ORIG ID:XXXXXX5377 DESC DATE:260328 CO ENTRY DESCR:HCCLAIMPMT SEC:CCD TRACE#:XXXXXXXX9357915 EED:260328 IND ID:</t>
        </is>
      </c>
      <c r="G2886" s="3" t="inlineStr">
        <is>
          <t>Checking – Operating</t>
        </is>
      </c>
      <c r="H2886" s="3" t="inlineStr">
        <is>
          <t>Service Income</t>
        </is>
      </c>
      <c r="I2886" s="33" t="n">
        <v>80917.11</v>
      </c>
      <c r="J2886" s="13">
        <f>+J2885+I2886</f>
        <v>3236523.16</v>
      </c>
      <c r="K2886" s="19">
        <f>+EOMONTH(B2886,0)</f>
        <v>46112</v>
      </c>
      <c r="L2886" s="3" t="inlineStr">
        <is>
          <t>Service Income</t>
        </is>
      </c>
      <c r="M2886" s="3" t="inlineStr">
        <is>
          <t>Net Fee-for-Service</t>
        </is>
      </c>
    </row>
    <row r="2887">
      <c r="B2887" s="39" t="n">
        <v>46110</v>
      </c>
      <c r="C2887" s="3" t="inlineStr">
        <is>
          <t>Deposit</t>
        </is>
      </c>
      <c r="D2887" s="3" t="inlineStr"/>
      <c r="E2887" s="3" t="inlineStr">
        <is>
          <t>Federal Program A</t>
        </is>
      </c>
      <c r="F2887" s="3" t="inlineStr">
        <is>
          <t>ORIG CO NAME:FEDERAL PROG A ORIG ID:XXXXXX7064 DESC DATE:260329 CO ENTRY DESCR:HCCLAIMPMT SEC:CCD TRACE#:XXXXXXXX1542704 EED:260329 IND ID:</t>
        </is>
      </c>
      <c r="G2887" s="3" t="inlineStr">
        <is>
          <t>Checking – Operating</t>
        </is>
      </c>
      <c r="H2887" s="3" t="inlineStr">
        <is>
          <t>Service Income</t>
        </is>
      </c>
      <c r="I2887" s="33" t="n">
        <v>87201.96000000001</v>
      </c>
      <c r="J2887" s="13">
        <f>+J2886+I2887</f>
        <v>3323725.12</v>
      </c>
      <c r="K2887" s="19">
        <f>+EOMONTH(B2887,0)</f>
        <v>46112</v>
      </c>
      <c r="L2887" s="3" t="inlineStr">
        <is>
          <t>Service Income</t>
        </is>
      </c>
      <c r="M2887" s="3" t="inlineStr">
        <is>
          <t>Net Fee-for-Service</t>
        </is>
      </c>
    </row>
    <row r="2888">
      <c r="B2888" s="39" t="n">
        <v>46111</v>
      </c>
      <c r="C2888" s="3" t="inlineStr">
        <is>
          <t>Deposit</t>
        </is>
      </c>
      <c r="D2888" s="3" t="inlineStr"/>
      <c r="E2888" s="3" t="inlineStr">
        <is>
          <t>Marrowby Mutual</t>
        </is>
      </c>
      <c r="F2888" s="3" t="inlineStr">
        <is>
          <t>ORIG CO NAME:MARROWBY MUTUAL ORIG ID:XXXXXX3001 DESC DATE:260330 CO ENTRY DESCR:HCCLAIMPMT SEC:CCD TRACE#:XXXXXXXX1935236 EED:260330 IND ID:</t>
        </is>
      </c>
      <c r="G2888" s="3" t="inlineStr">
        <is>
          <t>Checking – Operating</t>
        </is>
      </c>
      <c r="H2888" s="3" t="inlineStr">
        <is>
          <t>Service Income</t>
        </is>
      </c>
      <c r="I2888" s="33" t="n">
        <v>90464.16</v>
      </c>
      <c r="J2888" s="13">
        <f>+J2887+I2888</f>
        <v>3414189.28</v>
      </c>
      <c r="K2888" s="19">
        <f>+EOMONTH(B2888,0)</f>
        <v>46112</v>
      </c>
      <c r="L2888" s="3" t="inlineStr">
        <is>
          <t>Service Income</t>
        </is>
      </c>
      <c r="M2888" s="3" t="inlineStr">
        <is>
          <t>Net Fee-for-Service</t>
        </is>
      </c>
    </row>
    <row r="2889">
      <c r="B2889" s="39" t="n">
        <v>46112</v>
      </c>
      <c r="C2889" s="3" t="inlineStr">
        <is>
          <t>Deposit</t>
        </is>
      </c>
      <c r="D2889" s="3" t="inlineStr"/>
      <c r="E2889" s="3" t="inlineStr">
        <is>
          <t>Federal Program A</t>
        </is>
      </c>
      <c r="F2889" s="3" t="inlineStr">
        <is>
          <t>ORIG CO NAME:FEDERAL PROG A ORIG ID:XXXXXX6223 DESC DATE:260331 CO ENTRY DESCR:HCCLAIMPMT SEC:CCD TRACE#:XXXXXXXX5989124 EED:260331 IND ID:</t>
        </is>
      </c>
      <c r="G2889" s="3" t="inlineStr">
        <is>
          <t>Checking – Operating</t>
        </is>
      </c>
      <c r="H2889" s="3" t="inlineStr">
        <is>
          <t>Service Income</t>
        </is>
      </c>
      <c r="I2889" s="33" t="n">
        <v>60645.47</v>
      </c>
      <c r="J2889" s="13">
        <f>+J2888+I2889</f>
        <v>3474834.75</v>
      </c>
      <c r="K2889" s="19">
        <f>+EOMONTH(B2889,0)</f>
        <v>46112</v>
      </c>
      <c r="L2889" s="3" t="inlineStr">
        <is>
          <t>Service Income</t>
        </is>
      </c>
      <c r="M2889" s="3" t="inlineStr">
        <is>
          <t>Net Fee-for-Service</t>
        </is>
      </c>
    </row>
    <row r="2890">
      <c r="B2890" s="39" t="n">
        <v>46113</v>
      </c>
      <c r="C2890" s="3" t="inlineStr">
        <is>
          <t>Deposit</t>
        </is>
      </c>
      <c r="D2890" s="3" t="inlineStr"/>
      <c r="E2890" s="3" t="inlineStr">
        <is>
          <t>Cobaltmere Health</t>
        </is>
      </c>
      <c r="F2890" s="3" t="inlineStr">
        <is>
          <t>ORIG CO NAME:COBALTMERE HEALTH ORIG ID:XXXXXX7041 DESC DATE:260401 CO ENTRY DESCR:HCCLAIMPMT SEC:CCD TRACE#:XXXXXXXX7216152 EED:260401 IND ID:</t>
        </is>
      </c>
      <c r="G2890" s="3" t="inlineStr">
        <is>
          <t>Checking – Operating</t>
        </is>
      </c>
      <c r="H2890" s="3" t="inlineStr">
        <is>
          <t>Service Income</t>
        </is>
      </c>
      <c r="I2890" s="33" t="n">
        <v>37434.17</v>
      </c>
      <c r="J2890" s="13">
        <f>+J2889+I2890</f>
        <v>3512268.92</v>
      </c>
      <c r="K2890" s="19">
        <f>+EOMONTH(B2890,0)</f>
        <v>46142</v>
      </c>
      <c r="L2890" s="3" t="inlineStr">
        <is>
          <t>Service Income</t>
        </is>
      </c>
      <c r="M2890" s="3" t="inlineStr">
        <is>
          <t>Net Fee-for-Service</t>
        </is>
      </c>
    </row>
    <row r="2891">
      <c r="B2891" s="39" t="n">
        <v>46114</v>
      </c>
      <c r="C2891" s="3" t="inlineStr">
        <is>
          <t>Deposit</t>
        </is>
      </c>
      <c r="D2891" s="3" t="inlineStr"/>
      <c r="E2891" s="3" t="inlineStr">
        <is>
          <t>Federal Program A</t>
        </is>
      </c>
      <c r="F2891" s="3" t="inlineStr">
        <is>
          <t>ORIG CO NAME:FEDERAL PROG A ORIG ID:XXXXXX7995 DESC DATE:260402 CO ENTRY DESCR:HCCLAIMPMT SEC:CCD TRACE#:XXXXXXXX4491256 EED:260402 IND ID:</t>
        </is>
      </c>
      <c r="G2891" s="3" t="inlineStr">
        <is>
          <t>Checking – Operating</t>
        </is>
      </c>
      <c r="H2891" s="3" t="inlineStr">
        <is>
          <t>Service Income</t>
        </is>
      </c>
      <c r="I2891" s="33" t="n">
        <v>113998.32</v>
      </c>
      <c r="J2891" s="13">
        <f>+J2890+I2891</f>
        <v>3626267.24</v>
      </c>
      <c r="K2891" s="19">
        <f>+EOMONTH(B2891,0)</f>
        <v>46142</v>
      </c>
      <c r="L2891" s="3" t="inlineStr">
        <is>
          <t>Service Income</t>
        </is>
      </c>
      <c r="M2891" s="3" t="inlineStr">
        <is>
          <t>Net Fee-for-Service</t>
        </is>
      </c>
    </row>
    <row r="2892">
      <c r="B2892" s="39" t="n">
        <v>46115</v>
      </c>
      <c r="C2892" s="3" t="inlineStr">
        <is>
          <t>Deposit</t>
        </is>
      </c>
      <c r="D2892" s="3" t="inlineStr"/>
      <c r="E2892" s="3" t="inlineStr">
        <is>
          <t>Marrowby Mutual</t>
        </is>
      </c>
      <c r="F2892" s="3" t="inlineStr">
        <is>
          <t>ORIG CO NAME:MARROWBY MUTUAL ORIG ID:XXXXXX8902 DESC DATE:260403 CO ENTRY DESCR:HCCLAIMPMT SEC:CCD TRACE#:XXXXXXXX3883921 EED:260403 IND ID:</t>
        </is>
      </c>
      <c r="G2892" s="3" t="inlineStr">
        <is>
          <t>Checking – Operating</t>
        </is>
      </c>
      <c r="H2892" s="3" t="inlineStr">
        <is>
          <t>Service Income</t>
        </is>
      </c>
      <c r="I2892" s="33" t="n">
        <v>70809.64999999999</v>
      </c>
      <c r="J2892" s="13">
        <f>+J2891+I2892</f>
        <v>3697076.89</v>
      </c>
      <c r="K2892" s="19">
        <f>+EOMONTH(B2892,0)</f>
        <v>46142</v>
      </c>
      <c r="L2892" s="3" t="inlineStr">
        <is>
          <t>Service Income</t>
        </is>
      </c>
      <c r="M2892" s="3" t="inlineStr">
        <is>
          <t>Net Fee-for-Service</t>
        </is>
      </c>
    </row>
    <row r="2893">
      <c r="B2893" s="39" t="n">
        <v>46116</v>
      </c>
      <c r="C2893" s="3" t="inlineStr">
        <is>
          <t>Deposit</t>
        </is>
      </c>
      <c r="D2893" s="3" t="inlineStr"/>
      <c r="E2893" s="3" t="inlineStr">
        <is>
          <t>Vantrelle Health Plan</t>
        </is>
      </c>
      <c r="F2893" s="3" t="inlineStr">
        <is>
          <t>ORIG CO NAME:VANTRELLE HP ORIG ID:XXXXXX4286 DESC DATE:260404 CO ENTRY DESCR:HCCLAIMPMT SEC:CCD TRACE#:XXXXXXXX5462195 EED:260404 IND ID:</t>
        </is>
      </c>
      <c r="G2893" s="3" t="inlineStr">
        <is>
          <t>Checking – Operating</t>
        </is>
      </c>
      <c r="H2893" s="3" t="inlineStr">
        <is>
          <t>Service Income</t>
        </is>
      </c>
      <c r="I2893" s="33" t="n">
        <v>129407.29</v>
      </c>
      <c r="J2893" s="13">
        <f>+J2892+I2893</f>
        <v>3826484.18</v>
      </c>
      <c r="K2893" s="19">
        <f>+EOMONTH(B2893,0)</f>
        <v>46142</v>
      </c>
      <c r="L2893" s="3" t="inlineStr">
        <is>
          <t>Service Income</t>
        </is>
      </c>
      <c r="M2893" s="3" t="inlineStr">
        <is>
          <t>Net Fee-for-Service</t>
        </is>
      </c>
    </row>
    <row r="2894">
      <c r="B2894" s="39" t="n">
        <v>46117</v>
      </c>
      <c r="C2894" s="3" t="inlineStr">
        <is>
          <t>Deposit</t>
        </is>
      </c>
      <c r="D2894" s="3" t="inlineStr"/>
      <c r="E2894" s="3" t="inlineStr">
        <is>
          <t>Quayside Choice Senior Plan</t>
        </is>
      </c>
      <c r="F2894" s="3" t="inlineStr">
        <is>
          <t>ORIG CO NAME:QUAYSIDE CHOICE SP ORIG ID:XXXXXX7008 DESC DATE:260405 CO ENTRY DESCR:HCCLAIMPMT SEC:CCD TRACE#:XXXXXXXX6588153 EED:260405 IND ID:</t>
        </is>
      </c>
      <c r="G2894" s="3" t="inlineStr">
        <is>
          <t>Checking – Operating</t>
        </is>
      </c>
      <c r="H2894" s="3" t="inlineStr">
        <is>
          <t>Service Income</t>
        </is>
      </c>
      <c r="I2894" s="33" t="n">
        <v>61510.33</v>
      </c>
      <c r="J2894" s="13">
        <f>+J2893+I2894</f>
        <v>3887994.51</v>
      </c>
      <c r="K2894" s="19">
        <f>+EOMONTH(B2894,0)</f>
        <v>46142</v>
      </c>
      <c r="L2894" s="3" t="inlineStr">
        <is>
          <t>Service Income</t>
        </is>
      </c>
      <c r="M2894" s="3" t="inlineStr">
        <is>
          <t>Net Fee-for-Service</t>
        </is>
      </c>
    </row>
    <row r="2895">
      <c r="B2895" s="39" t="n">
        <v>46121</v>
      </c>
      <c r="C2895" s="3" t="inlineStr">
        <is>
          <t>Deposit</t>
        </is>
      </c>
      <c r="D2895" s="3" t="inlineStr"/>
      <c r="E2895" s="3" t="inlineStr">
        <is>
          <t>Vantrelle Health Plan</t>
        </is>
      </c>
      <c r="F2895" s="3" t="inlineStr">
        <is>
          <t>ORIG CO NAME:VANTRELLE HP ORIG ID:XXXXXX4736 DESC DATE:260409 CO ENTRY DESCR:HCCLAIMPMT SEC:CCD TRACE#:XXXXXXXX3530600 EED:260409 IND ID:</t>
        </is>
      </c>
      <c r="G2895" s="3" t="inlineStr">
        <is>
          <t>Checking – Operating</t>
        </is>
      </c>
      <c r="H2895" s="3" t="inlineStr">
        <is>
          <t>Service Income</t>
        </is>
      </c>
      <c r="I2895" s="33" t="n">
        <v>82910.39999999999</v>
      </c>
      <c r="J2895" s="13">
        <f>+J2894+I2895</f>
        <v>3970904.91</v>
      </c>
      <c r="K2895" s="19">
        <f>+EOMONTH(B2895,0)</f>
        <v>46142</v>
      </c>
      <c r="L2895" s="3" t="inlineStr">
        <is>
          <t>Service Income</t>
        </is>
      </c>
      <c r="M2895" s="3" t="inlineStr">
        <is>
          <t>Net Fee-for-Service</t>
        </is>
      </c>
    </row>
    <row r="2896">
      <c r="B2896" s="39" t="n">
        <v>46121</v>
      </c>
      <c r="C2896" s="3" t="inlineStr">
        <is>
          <t>Deposit</t>
        </is>
      </c>
      <c r="D2896" s="3" t="inlineStr"/>
      <c r="E2896" s="3" t="inlineStr">
        <is>
          <t>Vantrelle Health Plan</t>
        </is>
      </c>
      <c r="F2896" s="3" t="inlineStr">
        <is>
          <t>ORIG CO NAME:VANTRELLE HP ORIG ID:XXXXXX7611 DESC DATE:260409 CO ENTRY DESCR:HCCLAIMPMT SEC:CCD TRACE#:XXXXXXXX7697173 EED:260409 IND ID:</t>
        </is>
      </c>
      <c r="G2896" s="3" t="inlineStr">
        <is>
          <t>Checking – Operating</t>
        </is>
      </c>
      <c r="H2896" s="3" t="inlineStr">
        <is>
          <t>Service Income</t>
        </is>
      </c>
      <c r="I2896" s="33" t="n">
        <v>93042.06</v>
      </c>
      <c r="J2896" s="13">
        <f>+J2895+I2896</f>
        <v>4063946.97</v>
      </c>
      <c r="K2896" s="19">
        <f>+EOMONTH(B2896,0)</f>
        <v>46142</v>
      </c>
      <c r="L2896" s="3" t="inlineStr">
        <is>
          <t>Service Income</t>
        </is>
      </c>
      <c r="M2896" s="3" t="inlineStr">
        <is>
          <t>Net Fee-for-Service</t>
        </is>
      </c>
    </row>
    <row r="2897">
      <c r="B2897" s="39" t="n">
        <v>46122</v>
      </c>
      <c r="C2897" s="3" t="inlineStr">
        <is>
          <t>Deposit</t>
        </is>
      </c>
      <c r="D2897" s="3" t="inlineStr"/>
      <c r="E2897" s="3" t="inlineStr">
        <is>
          <t>State Program B</t>
        </is>
      </c>
      <c r="F2897" s="3" t="inlineStr">
        <is>
          <t>ORIG CO NAME:STATE PROG B ORIG ID:XXXXXX3352 DESC DATE:260410 CO ENTRY DESCR:HCCLAIMPMT SEC:CCD TRACE#:XXXXXXXX6768039 EED:260410 IND ID:</t>
        </is>
      </c>
      <c r="G2897" s="3" t="inlineStr">
        <is>
          <t>Checking – Operating</t>
        </is>
      </c>
      <c r="H2897" s="3" t="inlineStr">
        <is>
          <t>Service Income</t>
        </is>
      </c>
      <c r="I2897" s="33" t="n">
        <v>38731.49</v>
      </c>
      <c r="J2897" s="13">
        <f>+J2896+I2897</f>
        <v>4102678.46</v>
      </c>
      <c r="K2897" s="19">
        <f>+EOMONTH(B2897,0)</f>
        <v>46142</v>
      </c>
      <c r="L2897" s="3" t="inlineStr">
        <is>
          <t>Service Income</t>
        </is>
      </c>
      <c r="M2897" s="3" t="inlineStr">
        <is>
          <t>Net Fee-for-Service</t>
        </is>
      </c>
    </row>
    <row r="2898">
      <c r="B2898" s="39" t="n">
        <v>46122</v>
      </c>
      <c r="C2898" s="3" t="inlineStr">
        <is>
          <t>Deposit</t>
        </is>
      </c>
      <c r="D2898" s="3" t="inlineStr"/>
      <c r="E2898" s="3" t="inlineStr">
        <is>
          <t>Silvermoss Senior Living</t>
        </is>
      </c>
      <c r="F2898" s="3" t="inlineStr">
        <is>
          <t>ORIG CO NAME:SILVERMOSS SL ORIG ID:XXXXXX9969 DESC DATE:260410 CO ENTRY DESCR:HCCLAIMPMT SEC:CCD TRACE#:XXXXXXXX7377336 EED:260410 IND ID:</t>
        </is>
      </c>
      <c r="G2898" s="3" t="inlineStr">
        <is>
          <t>Checking – Operating</t>
        </is>
      </c>
      <c r="H2898" s="3" t="inlineStr">
        <is>
          <t>Service Income</t>
        </is>
      </c>
      <c r="I2898" s="33" t="n">
        <v>28779.14</v>
      </c>
      <c r="J2898" s="13">
        <f>+J2897+I2898</f>
        <v>4131457.6</v>
      </c>
      <c r="K2898" s="19">
        <f>+EOMONTH(B2898,0)</f>
        <v>46142</v>
      </c>
      <c r="L2898" s="3" t="inlineStr">
        <is>
          <t>Service Income</t>
        </is>
      </c>
      <c r="M2898" s="3" t="inlineStr">
        <is>
          <t>Net Fee-for-Service</t>
        </is>
      </c>
    </row>
    <row r="2899">
      <c r="B2899" s="39" t="n">
        <v>46123</v>
      </c>
      <c r="C2899" s="3" t="inlineStr">
        <is>
          <t>Deposit</t>
        </is>
      </c>
      <c r="D2899" s="3" t="inlineStr"/>
      <c r="E2899" s="3" t="inlineStr">
        <is>
          <t>State Program B</t>
        </is>
      </c>
      <c r="F2899" s="3" t="inlineStr">
        <is>
          <t>ORIG CO NAME:STATE PROG B ORIG ID:XXXXXX1912 DESC DATE:260411 CO ENTRY DESCR:HCCLAIMPMT SEC:CCD TRACE#:XXXXXXXX7313942 EED:260411 IND ID:</t>
        </is>
      </c>
      <c r="G2899" s="3" t="inlineStr">
        <is>
          <t>Checking – Operating</t>
        </is>
      </c>
      <c r="H2899" s="3" t="inlineStr">
        <is>
          <t>Service Income</t>
        </is>
      </c>
      <c r="I2899" s="33" t="n">
        <v>36576.17</v>
      </c>
      <c r="J2899" s="13">
        <f>+J2898+I2899</f>
        <v>4168033.77</v>
      </c>
      <c r="K2899" s="19">
        <f>+EOMONTH(B2899,0)</f>
        <v>46142</v>
      </c>
      <c r="L2899" s="3" t="inlineStr">
        <is>
          <t>Service Income</t>
        </is>
      </c>
      <c r="M2899" s="3" t="inlineStr">
        <is>
          <t>Net Fee-for-Service</t>
        </is>
      </c>
    </row>
    <row r="2900">
      <c r="B2900" s="39" t="n">
        <v>46123</v>
      </c>
      <c r="C2900" s="3" t="inlineStr">
        <is>
          <t>Deposit</t>
        </is>
      </c>
      <c r="D2900" s="3" t="inlineStr"/>
      <c r="E2900" s="3" t="inlineStr">
        <is>
          <t>Quayside Choice Senior Plan</t>
        </is>
      </c>
      <c r="F2900" s="3" t="inlineStr">
        <is>
          <t>ORIG CO NAME:QUAYSIDE CHOICE SP ORIG ID:XXXXXX6905 DESC DATE:260411 CO ENTRY DESCR:HCCLAIMPMT SEC:CCD TRACE#:XXXXXXXX7898096 EED:260411 IND ID:</t>
        </is>
      </c>
      <c r="G2900" s="3" t="inlineStr">
        <is>
          <t>Checking – Operating</t>
        </is>
      </c>
      <c r="H2900" s="3" t="inlineStr">
        <is>
          <t>Service Income</t>
        </is>
      </c>
      <c r="I2900" s="33" t="n">
        <v>50629.97</v>
      </c>
      <c r="J2900" s="13">
        <f>+J2899+I2900</f>
        <v>4218663.74</v>
      </c>
      <c r="K2900" s="19">
        <f>+EOMONTH(B2900,0)</f>
        <v>46142</v>
      </c>
      <c r="L2900" s="3" t="inlineStr">
        <is>
          <t>Service Income</t>
        </is>
      </c>
      <c r="M2900" s="3" t="inlineStr">
        <is>
          <t>Net Fee-for-Service</t>
        </is>
      </c>
    </row>
    <row r="2901">
      <c r="B2901" s="39" t="n">
        <v>46125</v>
      </c>
      <c r="C2901" s="3" t="inlineStr">
        <is>
          <t>Deposit</t>
        </is>
      </c>
      <c r="D2901" s="3" t="inlineStr"/>
      <c r="E2901" s="3" t="inlineStr">
        <is>
          <t>Marrowby Mutual</t>
        </is>
      </c>
      <c r="F2901" s="3" t="inlineStr">
        <is>
          <t>ORIG CO NAME:MARROWBY MUTUAL ORIG ID:XXXXXX4350 DESC DATE:260413 CO ENTRY DESCR:HCCLAIMPMT SEC:CCD TRACE#:XXXXXXXX9265466 EED:260413 IND ID:</t>
        </is>
      </c>
      <c r="G2901" s="3" t="inlineStr">
        <is>
          <t>Checking – Operating</t>
        </is>
      </c>
      <c r="H2901" s="3" t="inlineStr">
        <is>
          <t>Service Income</t>
        </is>
      </c>
      <c r="I2901" s="33" t="n">
        <v>43537.53</v>
      </c>
      <c r="J2901" s="13">
        <f>+J2900+I2901</f>
        <v>4262201.27</v>
      </c>
      <c r="K2901" s="19">
        <f>+EOMONTH(B2901,0)</f>
        <v>46142</v>
      </c>
      <c r="L2901" s="3" t="inlineStr">
        <is>
          <t>Service Income</t>
        </is>
      </c>
      <c r="M2901" s="3" t="inlineStr">
        <is>
          <t>Net Fee-for-Service</t>
        </is>
      </c>
    </row>
    <row r="2902">
      <c r="B2902" s="39" t="n">
        <v>46125</v>
      </c>
      <c r="C2902" s="3" t="inlineStr">
        <is>
          <t>Deposit</t>
        </is>
      </c>
      <c r="D2902" s="3" t="inlineStr"/>
      <c r="E2902" s="3" t="inlineStr">
        <is>
          <t>State Program B</t>
        </is>
      </c>
      <c r="F2902" s="3" t="inlineStr">
        <is>
          <t>ORIG CO NAME:STATE PROG B ORIG ID:XXXXXX1778 DESC DATE:260413 CO ENTRY DESCR:HCCLAIMPMT SEC:CCD TRACE#:XXXXXXXX7872591 EED:260413 IND ID:</t>
        </is>
      </c>
      <c r="G2902" s="3" t="inlineStr">
        <is>
          <t>Checking – Operating</t>
        </is>
      </c>
      <c r="H2902" s="3" t="inlineStr">
        <is>
          <t>Service Income</t>
        </is>
      </c>
      <c r="I2902" s="33" t="n">
        <v>39202.25</v>
      </c>
      <c r="J2902" s="13">
        <f>+J2901+I2902</f>
        <v>4301403.52</v>
      </c>
      <c r="K2902" s="19">
        <f>+EOMONTH(B2902,0)</f>
        <v>46142</v>
      </c>
      <c r="L2902" s="3" t="inlineStr">
        <is>
          <t>Service Income</t>
        </is>
      </c>
      <c r="M2902" s="3" t="inlineStr">
        <is>
          <t>Net Fee-for-Service</t>
        </is>
      </c>
    </row>
    <row r="2903">
      <c r="B2903" s="39" t="n">
        <v>46126</v>
      </c>
      <c r="C2903" s="3" t="inlineStr">
        <is>
          <t>Deposit</t>
        </is>
      </c>
      <c r="D2903" s="3" t="inlineStr"/>
      <c r="E2903" s="3" t="inlineStr">
        <is>
          <t>Cobaltmere Health</t>
        </is>
      </c>
      <c r="F2903" s="3" t="inlineStr">
        <is>
          <t>ORIG CO NAME:COBALTMERE HEALTH ORIG ID:XXXXXX5963 DESC DATE:260414 CO ENTRY DESCR:HCCLAIMPMT SEC:CCD TRACE#:XXXXXXXX7056268 EED:260414 IND ID:</t>
        </is>
      </c>
      <c r="G2903" s="3" t="inlineStr">
        <is>
          <t>Checking – Operating</t>
        </is>
      </c>
      <c r="H2903" s="3" t="inlineStr">
        <is>
          <t>Service Income</t>
        </is>
      </c>
      <c r="I2903" s="33" t="n">
        <v>21419.78</v>
      </c>
      <c r="J2903" s="13">
        <f>+J2902+I2903</f>
        <v>4322823.3</v>
      </c>
      <c r="K2903" s="19">
        <f>+EOMONTH(B2903,0)</f>
        <v>46142</v>
      </c>
      <c r="L2903" s="3" t="inlineStr">
        <is>
          <t>Service Income</t>
        </is>
      </c>
      <c r="M2903" s="3" t="inlineStr">
        <is>
          <t>Net Fee-for-Service</t>
        </is>
      </c>
    </row>
    <row r="2904">
      <c r="B2904" s="39" t="n">
        <v>46128</v>
      </c>
      <c r="C2904" s="3" t="inlineStr">
        <is>
          <t>Deposit</t>
        </is>
      </c>
      <c r="D2904" s="3" t="inlineStr"/>
      <c r="E2904" s="3" t="inlineStr">
        <is>
          <t>Federal Program A</t>
        </is>
      </c>
      <c r="F2904" s="3" t="inlineStr">
        <is>
          <t>ORIG CO NAME:FEDERAL PROG A ORIG ID:XXXXXX2261 DESC DATE:260416 CO ENTRY DESCR:HCCLAIMPMT SEC:CCD TRACE#:XXXXXXXX7941653 EED:260416 IND ID:</t>
        </is>
      </c>
      <c r="G2904" s="3" t="inlineStr">
        <is>
          <t>Checking – Operating</t>
        </is>
      </c>
      <c r="H2904" s="3" t="inlineStr">
        <is>
          <t>Service Income</t>
        </is>
      </c>
      <c r="I2904" s="33" t="n">
        <v>115021.49</v>
      </c>
      <c r="J2904" s="13">
        <f>+J2903+I2904</f>
        <v>4437844.79</v>
      </c>
      <c r="K2904" s="19">
        <f>+EOMONTH(B2904,0)</f>
        <v>46142</v>
      </c>
      <c r="L2904" s="3" t="inlineStr">
        <is>
          <t>Service Income</t>
        </is>
      </c>
      <c r="M2904" s="3" t="inlineStr">
        <is>
          <t>Net Fee-for-Service</t>
        </is>
      </c>
    </row>
    <row r="2905">
      <c r="B2905" s="39" t="n">
        <v>46131</v>
      </c>
      <c r="C2905" s="3" t="inlineStr">
        <is>
          <t>Deposit</t>
        </is>
      </c>
      <c r="D2905" s="3" t="inlineStr"/>
      <c r="E2905" s="3" t="inlineStr">
        <is>
          <t>Silvermoss Senior Living</t>
        </is>
      </c>
      <c r="F2905" s="3" t="inlineStr">
        <is>
          <t>ORIG CO NAME:SILVERMOSS SL ORIG ID:XXXXXX5474 DESC DATE:260419 CO ENTRY DESCR:HCCLAIMPMT SEC:CCD TRACE#:XXXXXXXX2732515 EED:260419 IND ID:</t>
        </is>
      </c>
      <c r="G2905" s="3" t="inlineStr">
        <is>
          <t>Checking – Operating</t>
        </is>
      </c>
      <c r="H2905" s="3" t="inlineStr">
        <is>
          <t>Service Income</t>
        </is>
      </c>
      <c r="I2905" s="33" t="n">
        <v>38059.27</v>
      </c>
      <c r="J2905" s="13">
        <f>+J2904+I2905</f>
        <v>4475904.06</v>
      </c>
      <c r="K2905" s="19">
        <f>+EOMONTH(B2905,0)</f>
        <v>46142</v>
      </c>
      <c r="L2905" s="3" t="inlineStr">
        <is>
          <t>Service Income</t>
        </is>
      </c>
      <c r="M2905" s="3" t="inlineStr">
        <is>
          <t>Net Fee-for-Service</t>
        </is>
      </c>
    </row>
    <row r="2906">
      <c r="B2906" s="39" t="n">
        <v>46132</v>
      </c>
      <c r="C2906" s="3" t="inlineStr">
        <is>
          <t>Deposit</t>
        </is>
      </c>
      <c r="D2906" s="3" t="inlineStr"/>
      <c r="E2906" s="3" t="inlineStr">
        <is>
          <t>Lanternway Benefits</t>
        </is>
      </c>
      <c r="F2906" s="3" t="inlineStr">
        <is>
          <t>ORIG CO NAME:LANTERNWAY BEN ORIG ID:XXXXXX3753 DESC DATE:260420 CO ENTRY DESCR:HCCLAIMPMT SEC:CCD TRACE#:XXXXXXXX9006863 EED:260420 IND ID:</t>
        </is>
      </c>
      <c r="G2906" s="3" t="inlineStr">
        <is>
          <t>Checking – Operating</t>
        </is>
      </c>
      <c r="H2906" s="3" t="inlineStr">
        <is>
          <t>Service Income</t>
        </is>
      </c>
      <c r="I2906" s="33" t="n">
        <v>58836.3</v>
      </c>
      <c r="J2906" s="13">
        <f>+J2905+I2906</f>
        <v>4534740.36</v>
      </c>
      <c r="K2906" s="19">
        <f>+EOMONTH(B2906,0)</f>
        <v>46142</v>
      </c>
      <c r="L2906" s="3" t="inlineStr">
        <is>
          <t>Service Income</t>
        </is>
      </c>
      <c r="M2906" s="3" t="inlineStr">
        <is>
          <t>Net Fee-for-Service</t>
        </is>
      </c>
    </row>
    <row r="2907">
      <c r="B2907" s="39" t="n">
        <v>46132</v>
      </c>
      <c r="C2907" s="3" t="inlineStr">
        <is>
          <t>Deposit</t>
        </is>
      </c>
      <c r="D2907" s="3" t="inlineStr"/>
      <c r="E2907" s="3" t="inlineStr">
        <is>
          <t>Quayside Choice Senior Plan</t>
        </is>
      </c>
      <c r="F2907" s="3" t="inlineStr">
        <is>
          <t>ORIG CO NAME:QUAYSIDE CHOICE SP ORIG ID:XXXXXX8234 DESC DATE:260420 CO ENTRY DESCR:HCCLAIMPMT SEC:CCD TRACE#:XXXXXXXX6646991 EED:260420 IND ID:</t>
        </is>
      </c>
      <c r="G2907" s="3" t="inlineStr">
        <is>
          <t>Checking – Operating</t>
        </is>
      </c>
      <c r="H2907" s="3" t="inlineStr">
        <is>
          <t>Service Income</t>
        </is>
      </c>
      <c r="I2907" s="33" t="n">
        <v>27816.25</v>
      </c>
      <c r="J2907" s="13">
        <f>+J2906+I2907</f>
        <v>4562556.61</v>
      </c>
      <c r="K2907" s="19">
        <f>+EOMONTH(B2907,0)</f>
        <v>46142</v>
      </c>
      <c r="L2907" s="3" t="inlineStr">
        <is>
          <t>Service Income</t>
        </is>
      </c>
      <c r="M2907" s="3" t="inlineStr">
        <is>
          <t>Net Fee-for-Service</t>
        </is>
      </c>
    </row>
    <row r="2908">
      <c r="B2908" s="39" t="n">
        <v>46136</v>
      </c>
      <c r="C2908" s="3" t="inlineStr">
        <is>
          <t>Deposit</t>
        </is>
      </c>
      <c r="D2908" s="3" t="inlineStr"/>
      <c r="E2908" s="3" t="inlineStr">
        <is>
          <t>Silvermoss Senior Living</t>
        </is>
      </c>
      <c r="F2908" s="3" t="inlineStr">
        <is>
          <t>ORIG CO NAME:SILVERMOSS SL ORIG ID:XXXXXX2515 DESC DATE:260424 CO ENTRY DESCR:HCCLAIMPMT SEC:CCD TRACE#:XXXXXXXX3950990 EED:260424 IND ID:</t>
        </is>
      </c>
      <c r="G2908" s="3" t="inlineStr">
        <is>
          <t>Checking – Operating</t>
        </is>
      </c>
      <c r="H2908" s="3" t="inlineStr">
        <is>
          <t>Service Income</t>
        </is>
      </c>
      <c r="I2908" s="33" t="n">
        <v>34948.17</v>
      </c>
      <c r="J2908" s="13">
        <f>+J2907+I2908</f>
        <v>4597504.78</v>
      </c>
      <c r="K2908" s="19">
        <f>+EOMONTH(B2908,0)</f>
        <v>46142</v>
      </c>
      <c r="L2908" s="3" t="inlineStr">
        <is>
          <t>Service Income</t>
        </is>
      </c>
      <c r="M2908" s="3" t="inlineStr">
        <is>
          <t>Net Fee-for-Service</t>
        </is>
      </c>
    </row>
    <row r="2909">
      <c r="B2909" s="39" t="n">
        <v>46137</v>
      </c>
      <c r="C2909" s="3" t="inlineStr">
        <is>
          <t>Deposit</t>
        </is>
      </c>
      <c r="D2909" s="3" t="inlineStr"/>
      <c r="E2909" s="3" t="inlineStr">
        <is>
          <t>Cobaltmere Health</t>
        </is>
      </c>
      <c r="F2909" s="3" t="inlineStr">
        <is>
          <t>ORIG CO NAME:COBALTMERE HEALTH ORIG ID:XXXXXX4023 DESC DATE:260425 CO ENTRY DESCR:HCCLAIMPMT SEC:CCD TRACE#:XXXXXXXX3507830 EED:260425 IND ID:</t>
        </is>
      </c>
      <c r="G2909" s="3" t="inlineStr">
        <is>
          <t>Checking – Operating</t>
        </is>
      </c>
      <c r="H2909" s="3" t="inlineStr">
        <is>
          <t>Service Income</t>
        </is>
      </c>
      <c r="I2909" s="33" t="n">
        <v>17485.99</v>
      </c>
      <c r="J2909" s="13">
        <f>+J2908+I2909</f>
        <v>4614990.77</v>
      </c>
      <c r="K2909" s="19">
        <f>+EOMONTH(B2909,0)</f>
        <v>46142</v>
      </c>
      <c r="L2909" s="3" t="inlineStr">
        <is>
          <t>Service Income</t>
        </is>
      </c>
      <c r="M2909" s="3" t="inlineStr">
        <is>
          <t>Net Fee-for-Service</t>
        </is>
      </c>
    </row>
    <row r="2910">
      <c r="B2910" s="39" t="n">
        <v>46140</v>
      </c>
      <c r="C2910" s="3" t="inlineStr">
        <is>
          <t>Deposit</t>
        </is>
      </c>
      <c r="D2910" s="3" t="inlineStr"/>
      <c r="E2910" s="3" t="inlineStr">
        <is>
          <t>Marrowby Mutual</t>
        </is>
      </c>
      <c r="F2910" s="3" t="inlineStr">
        <is>
          <t>ORIG CO NAME:MARROWBY MUTUAL ORIG ID:XXXXXX8012 DESC DATE:260428 CO ENTRY DESCR:HCCLAIMPMT SEC:CCD TRACE#:XXXXXXXX8624597 EED:260428 IND ID:</t>
        </is>
      </c>
      <c r="G2910" s="3" t="inlineStr">
        <is>
          <t>Checking – Operating</t>
        </is>
      </c>
      <c r="H2910" s="3" t="inlineStr">
        <is>
          <t>Service Income</t>
        </is>
      </c>
      <c r="I2910" s="33" t="n">
        <v>63779.34</v>
      </c>
      <c r="J2910" s="13">
        <f>+J2909+I2910</f>
        <v>4678770.11</v>
      </c>
      <c r="K2910" s="19">
        <f>+EOMONTH(B2910,0)</f>
        <v>46142</v>
      </c>
      <c r="L2910" s="3" t="inlineStr">
        <is>
          <t>Service Income</t>
        </is>
      </c>
      <c r="M2910" s="3" t="inlineStr">
        <is>
          <t>Net Fee-for-Service</t>
        </is>
      </c>
    </row>
    <row r="2911">
      <c r="B2911" s="39" t="n">
        <v>46140</v>
      </c>
      <c r="C2911" s="3" t="inlineStr">
        <is>
          <t>Deposit</t>
        </is>
      </c>
      <c r="D2911" s="3" t="inlineStr"/>
      <c r="E2911" s="3" t="inlineStr">
        <is>
          <t>Lanternway Benefits</t>
        </is>
      </c>
      <c r="F2911" s="3" t="inlineStr">
        <is>
          <t>ORIG CO NAME:LANTERNWAY BEN ORIG ID:XXXXXX1467 DESC DATE:260428 CO ENTRY DESCR:HCCLAIMPMT SEC:CCD TRACE#:XXXXXXXX7058175 EED:260428 IND ID:</t>
        </is>
      </c>
      <c r="G2911" s="3" t="inlineStr">
        <is>
          <t>Checking – Operating</t>
        </is>
      </c>
      <c r="H2911" s="3" t="inlineStr">
        <is>
          <t>Service Income</t>
        </is>
      </c>
      <c r="I2911" s="33" t="n">
        <v>68396.92999999999</v>
      </c>
      <c r="J2911" s="13">
        <f>+J2910+I2911</f>
        <v>4747167.04</v>
      </c>
      <c r="K2911" s="19">
        <f>+EOMONTH(B2911,0)</f>
        <v>46142</v>
      </c>
      <c r="L2911" s="3" t="inlineStr">
        <is>
          <t>Service Income</t>
        </is>
      </c>
      <c r="M2911" s="3" t="inlineStr">
        <is>
          <t>Net Fee-for-Service</t>
        </is>
      </c>
    </row>
    <row r="2912">
      <c r="B2912" s="39" t="n">
        <v>46144</v>
      </c>
      <c r="C2912" s="3" t="inlineStr">
        <is>
          <t>Deposit</t>
        </is>
      </c>
      <c r="D2912" s="3" t="inlineStr"/>
      <c r="E2912" s="3" t="inlineStr">
        <is>
          <t>State Program B</t>
        </is>
      </c>
      <c r="F2912" s="3" t="inlineStr">
        <is>
          <t>ORIG CO NAME:STATE PROG B ORIG ID:XXXXXX8181 DESC DATE:260502 CO ENTRY DESCR:HCCLAIMPMT SEC:CCD TRACE#:XXXXXXXX4809394 EED:260502 IND ID:</t>
        </is>
      </c>
      <c r="G2912" s="3" t="inlineStr">
        <is>
          <t>Checking – Operating</t>
        </is>
      </c>
      <c r="H2912" s="3" t="inlineStr">
        <is>
          <t>Service Income</t>
        </is>
      </c>
      <c r="I2912" s="33" t="n">
        <v>34184.07</v>
      </c>
      <c r="J2912" s="13">
        <f>+J2911+I2912</f>
        <v>4781351.11</v>
      </c>
      <c r="K2912" s="19">
        <f>+EOMONTH(B2912,0)</f>
        <v>46173</v>
      </c>
      <c r="L2912" s="3" t="inlineStr">
        <is>
          <t>Service Income</t>
        </is>
      </c>
      <c r="M2912" s="3" t="inlineStr">
        <is>
          <t>Net Fee-for-Service</t>
        </is>
      </c>
    </row>
    <row r="2913">
      <c r="B2913" s="39" t="n">
        <v>46145</v>
      </c>
      <c r="C2913" s="3" t="inlineStr">
        <is>
          <t>Deposit</t>
        </is>
      </c>
      <c r="D2913" s="3" t="inlineStr"/>
      <c r="E2913" s="3" t="inlineStr">
        <is>
          <t>Lanternway Benefits</t>
        </is>
      </c>
      <c r="F2913" s="3" t="inlineStr">
        <is>
          <t>ORIG CO NAME:LANTERNWAY BEN ORIG ID:XXXXXX8710 DESC DATE:260503 CO ENTRY DESCR:HCCLAIMPMT SEC:CCD TRACE#:XXXXXXXX1719196 EED:260503 IND ID:</t>
        </is>
      </c>
      <c r="G2913" s="3" t="inlineStr">
        <is>
          <t>Checking – Operating</t>
        </is>
      </c>
      <c r="H2913" s="3" t="inlineStr">
        <is>
          <t>Service Income</t>
        </is>
      </c>
      <c r="I2913" s="33" t="n">
        <v>48262.55</v>
      </c>
      <c r="J2913" s="13">
        <f>+J2912+I2913</f>
        <v>4829613.66</v>
      </c>
      <c r="K2913" s="19">
        <f>+EOMONTH(B2913,0)</f>
        <v>46173</v>
      </c>
      <c r="L2913" s="3" t="inlineStr">
        <is>
          <t>Service Income</t>
        </is>
      </c>
      <c r="M2913" s="3" t="inlineStr">
        <is>
          <t>Net Fee-for-Service</t>
        </is>
      </c>
    </row>
    <row r="2914">
      <c r="B2914" s="39" t="n">
        <v>46145</v>
      </c>
      <c r="C2914" s="3" t="inlineStr">
        <is>
          <t>Deposit</t>
        </is>
      </c>
      <c r="D2914" s="3" t="inlineStr"/>
      <c r="E2914" s="3" t="inlineStr">
        <is>
          <t>Cobaltmere Health</t>
        </is>
      </c>
      <c r="F2914" s="3" t="inlineStr">
        <is>
          <t>ORIG CO NAME:COBALTMERE HEALTH ORIG ID:XXXXXX9299 DESC DATE:260503 CO ENTRY DESCR:HCCLAIMPMT SEC:CCD TRACE#:XXXXXXXX4509357 EED:260503 IND ID:</t>
        </is>
      </c>
      <c r="G2914" s="3" t="inlineStr">
        <is>
          <t>Checking – Operating</t>
        </is>
      </c>
      <c r="H2914" s="3" t="inlineStr">
        <is>
          <t>Service Income</t>
        </is>
      </c>
      <c r="I2914" s="33" t="n">
        <v>28942.46</v>
      </c>
      <c r="J2914" s="13">
        <f>+J2913+I2914</f>
        <v>4858556.12</v>
      </c>
      <c r="K2914" s="19">
        <f>+EOMONTH(B2914,0)</f>
        <v>46173</v>
      </c>
      <c r="L2914" s="3" t="inlineStr">
        <is>
          <t>Service Income</t>
        </is>
      </c>
      <c r="M2914" s="3" t="inlineStr">
        <is>
          <t>Net Fee-for-Service</t>
        </is>
      </c>
    </row>
    <row r="2915">
      <c r="B2915" s="39" t="n">
        <v>46147</v>
      </c>
      <c r="C2915" s="3" t="inlineStr">
        <is>
          <t>Deposit</t>
        </is>
      </c>
      <c r="D2915" s="3" t="inlineStr"/>
      <c r="E2915" s="3" t="inlineStr">
        <is>
          <t>State Program B</t>
        </is>
      </c>
      <c r="F2915" s="3" t="inlineStr">
        <is>
          <t>ORIG CO NAME:STATE PROG B ORIG ID:XXXXXX1879 DESC DATE:260505 CO ENTRY DESCR:HCCLAIMPMT SEC:CCD TRACE#:XXXXXXXX6476410 EED:260505 IND ID:</t>
        </is>
      </c>
      <c r="G2915" s="3" t="inlineStr">
        <is>
          <t>Checking – Operating</t>
        </is>
      </c>
      <c r="H2915" s="3" t="inlineStr">
        <is>
          <t>Service Income</t>
        </is>
      </c>
      <c r="I2915" s="33" t="n">
        <v>44314.16</v>
      </c>
      <c r="J2915" s="13">
        <f>+J2914+I2915</f>
        <v>4902870.28</v>
      </c>
      <c r="K2915" s="19">
        <f>+EOMONTH(B2915,0)</f>
        <v>46173</v>
      </c>
      <c r="L2915" s="3" t="inlineStr">
        <is>
          <t>Service Income</t>
        </is>
      </c>
      <c r="M2915" s="3" t="inlineStr">
        <is>
          <t>Net Fee-for-Service</t>
        </is>
      </c>
    </row>
    <row r="2916">
      <c r="B2916" s="39" t="n">
        <v>46151</v>
      </c>
      <c r="C2916" s="3" t="inlineStr">
        <is>
          <t>Deposit</t>
        </is>
      </c>
      <c r="D2916" s="3" t="inlineStr"/>
      <c r="E2916" s="3" t="inlineStr">
        <is>
          <t>Federal Program A</t>
        </is>
      </c>
      <c r="F2916" s="3" t="inlineStr">
        <is>
          <t>ORIG CO NAME:FEDERAL PROG A ORIG ID:XXXXXX2712 DESC DATE:260509 CO ENTRY DESCR:HCCLAIMPMT SEC:CCD TRACE#:XXXXXXXX6541150 EED:260509 IND ID:</t>
        </is>
      </c>
      <c r="G2916" s="3" t="inlineStr">
        <is>
          <t>Checking – Operating</t>
        </is>
      </c>
      <c r="H2916" s="3" t="inlineStr">
        <is>
          <t>Service Income</t>
        </is>
      </c>
      <c r="I2916" s="33" t="n">
        <v>48905.76</v>
      </c>
      <c r="J2916" s="13">
        <f>+J2915+I2916</f>
        <v>4951776.04</v>
      </c>
      <c r="K2916" s="19">
        <f>+EOMONTH(B2916,0)</f>
        <v>46173</v>
      </c>
      <c r="L2916" s="3" t="inlineStr">
        <is>
          <t>Service Income</t>
        </is>
      </c>
      <c r="M2916" s="3" t="inlineStr">
        <is>
          <t>Net Fee-for-Service</t>
        </is>
      </c>
    </row>
    <row r="2917">
      <c r="B2917" s="39" t="n">
        <v>46153</v>
      </c>
      <c r="C2917" s="3" t="inlineStr">
        <is>
          <t>Deposit</t>
        </is>
      </c>
      <c r="D2917" s="3" t="inlineStr"/>
      <c r="E2917" s="3" t="inlineStr">
        <is>
          <t>Silvermoss Senior Living</t>
        </is>
      </c>
      <c r="F2917" s="3" t="inlineStr">
        <is>
          <t>ORIG CO NAME:SILVERMOSS SL ORIG ID:XXXXXX7728 DESC DATE:260511 CO ENTRY DESCR:HCCLAIMPMT SEC:CCD TRACE#:XXXXXXXX1755127 EED:260511 IND ID:</t>
        </is>
      </c>
      <c r="G2917" s="3" t="inlineStr">
        <is>
          <t>Checking – Operating</t>
        </is>
      </c>
      <c r="H2917" s="3" t="inlineStr">
        <is>
          <t>Service Income</t>
        </is>
      </c>
      <c r="I2917" s="33" t="n">
        <v>32380.84</v>
      </c>
      <c r="J2917" s="13">
        <f>+J2916+I2917</f>
        <v>4984156.88</v>
      </c>
      <c r="K2917" s="19">
        <f>+EOMONTH(B2917,0)</f>
        <v>46173</v>
      </c>
      <c r="L2917" s="3" t="inlineStr">
        <is>
          <t>Service Income</t>
        </is>
      </c>
      <c r="M2917" s="3" t="inlineStr">
        <is>
          <t>Net Fee-for-Service</t>
        </is>
      </c>
    </row>
    <row r="2918">
      <c r="B2918" s="39" t="n">
        <v>46155</v>
      </c>
      <c r="C2918" s="3" t="inlineStr">
        <is>
          <t>Deposit</t>
        </is>
      </c>
      <c r="D2918" s="3" t="inlineStr"/>
      <c r="E2918" s="3" t="inlineStr">
        <is>
          <t>Marrowby Mutual</t>
        </is>
      </c>
      <c r="F2918" s="3" t="inlineStr">
        <is>
          <t>ORIG CO NAME:MARROWBY MUTUAL ORIG ID:XXXXXX1727 DESC DATE:260513 CO ENTRY DESCR:HCCLAIMPMT SEC:CCD TRACE#:XXXXXXXX8278679 EED:260513 IND ID:</t>
        </is>
      </c>
      <c r="G2918" s="3" t="inlineStr">
        <is>
          <t>Checking – Operating</t>
        </is>
      </c>
      <c r="H2918" s="3" t="inlineStr">
        <is>
          <t>Service Income</t>
        </is>
      </c>
      <c r="I2918" s="33" t="n">
        <v>72881.60000000001</v>
      </c>
      <c r="J2918" s="13">
        <f>+J2917+I2918</f>
        <v>5057038.48</v>
      </c>
      <c r="K2918" s="19">
        <f>+EOMONTH(B2918,0)</f>
        <v>46173</v>
      </c>
      <c r="L2918" s="3" t="inlineStr">
        <is>
          <t>Service Income</t>
        </is>
      </c>
      <c r="M2918" s="3" t="inlineStr">
        <is>
          <t>Net Fee-for-Service</t>
        </is>
      </c>
    </row>
    <row r="2919">
      <c r="B2919" s="39" t="n">
        <v>46155</v>
      </c>
      <c r="C2919" s="3" t="inlineStr">
        <is>
          <t>Deposit</t>
        </is>
      </c>
      <c r="D2919" s="3" t="inlineStr"/>
      <c r="E2919" s="3" t="inlineStr">
        <is>
          <t>Quayside Choice Senior Plan</t>
        </is>
      </c>
      <c r="F2919" s="3" t="inlineStr">
        <is>
          <t>ORIG CO NAME:QUAYSIDE CHOICE SP ORIG ID:XXXXXX2641 DESC DATE:260513 CO ENTRY DESCR:HCCLAIMPMT SEC:CCD TRACE#:XXXXXXXX5946740 EED:260513 IND ID:</t>
        </is>
      </c>
      <c r="G2919" s="3" t="inlineStr">
        <is>
          <t>Checking – Operating</t>
        </is>
      </c>
      <c r="H2919" s="3" t="inlineStr">
        <is>
          <t>Service Income</t>
        </is>
      </c>
      <c r="I2919" s="33" t="n">
        <v>53580.53</v>
      </c>
      <c r="J2919" s="13">
        <f>+J2918+I2919</f>
        <v>5110619.01</v>
      </c>
      <c r="K2919" s="19">
        <f>+EOMONTH(B2919,0)</f>
        <v>46173</v>
      </c>
      <c r="L2919" s="3" t="inlineStr">
        <is>
          <t>Service Income</t>
        </is>
      </c>
      <c r="M2919" s="3" t="inlineStr">
        <is>
          <t>Net Fee-for-Service</t>
        </is>
      </c>
    </row>
    <row r="2920">
      <c r="B2920" s="39" t="n">
        <v>46156</v>
      </c>
      <c r="C2920" s="3" t="inlineStr">
        <is>
          <t>Deposit</t>
        </is>
      </c>
      <c r="D2920" s="3" t="inlineStr"/>
      <c r="E2920" s="3" t="inlineStr">
        <is>
          <t>Federal Program A</t>
        </is>
      </c>
      <c r="F2920" s="3" t="inlineStr">
        <is>
          <t>ORIG CO NAME:FEDERAL PROG A ORIG ID:XXXXXX6873 DESC DATE:260514 CO ENTRY DESCR:HCCLAIMPMT SEC:CCD TRACE#:XXXXXXXX7251035 EED:260514 IND ID:</t>
        </is>
      </c>
      <c r="G2920" s="3" t="inlineStr">
        <is>
          <t>Checking – Operating</t>
        </is>
      </c>
      <c r="H2920" s="3" t="inlineStr">
        <is>
          <t>Service Income</t>
        </is>
      </c>
      <c r="I2920" s="33" t="n">
        <v>75769.64999999999</v>
      </c>
      <c r="J2920" s="13">
        <f>+J2919+I2920</f>
        <v>5186388.66</v>
      </c>
      <c r="K2920" s="19">
        <f>+EOMONTH(B2920,0)</f>
        <v>46173</v>
      </c>
      <c r="L2920" s="3" t="inlineStr">
        <is>
          <t>Service Income</t>
        </is>
      </c>
      <c r="M2920" s="3" t="inlineStr">
        <is>
          <t>Net Fee-for-Service</t>
        </is>
      </c>
    </row>
    <row r="2921">
      <c r="B2921" s="39" t="n">
        <v>46157</v>
      </c>
      <c r="C2921" s="3" t="inlineStr">
        <is>
          <t>Deposit</t>
        </is>
      </c>
      <c r="D2921" s="3" t="inlineStr"/>
      <c r="E2921" s="3" t="inlineStr">
        <is>
          <t>Quayside Choice Senior Plan</t>
        </is>
      </c>
      <c r="F2921" s="3" t="inlineStr">
        <is>
          <t>ORIG CO NAME:QUAYSIDE CHOICE SP ORIG ID:XXXXXX3999 DESC DATE:260515 CO ENTRY DESCR:HCCLAIMPMT SEC:CCD TRACE#:XXXXXXXX2984819 EED:260515 IND ID:</t>
        </is>
      </c>
      <c r="G2921" s="3" t="inlineStr">
        <is>
          <t>Checking – Operating</t>
        </is>
      </c>
      <c r="H2921" s="3" t="inlineStr">
        <is>
          <t>Service Income</t>
        </is>
      </c>
      <c r="I2921" s="33" t="n">
        <v>32907.23</v>
      </c>
      <c r="J2921" s="13">
        <f>+J2920+I2921</f>
        <v>5219295.89</v>
      </c>
      <c r="K2921" s="19">
        <f>+EOMONTH(B2921,0)</f>
        <v>46173</v>
      </c>
      <c r="L2921" s="3" t="inlineStr">
        <is>
          <t>Service Income</t>
        </is>
      </c>
      <c r="M2921" s="3" t="inlineStr">
        <is>
          <t>Net Fee-for-Service</t>
        </is>
      </c>
    </row>
    <row r="2922">
      <c r="B2922" s="39" t="n">
        <v>46158</v>
      </c>
      <c r="C2922" s="3" t="inlineStr">
        <is>
          <t>Deposit</t>
        </is>
      </c>
      <c r="D2922" s="3" t="inlineStr"/>
      <c r="E2922" s="3" t="inlineStr">
        <is>
          <t>Silvermoss Senior Living</t>
        </is>
      </c>
      <c r="F2922" s="3" t="inlineStr">
        <is>
          <t>ORIG CO NAME:SILVERMOSS SL ORIG ID:XXXXXX4336 DESC DATE:260516 CO ENTRY DESCR:HCCLAIMPMT SEC:CCD TRACE#:XXXXXXXX4716414 EED:260516 IND ID:</t>
        </is>
      </c>
      <c r="G2922" s="3" t="inlineStr">
        <is>
          <t>Checking – Operating</t>
        </is>
      </c>
      <c r="H2922" s="3" t="inlineStr">
        <is>
          <t>Service Income</t>
        </is>
      </c>
      <c r="I2922" s="33" t="n">
        <v>31944.29</v>
      </c>
      <c r="J2922" s="13">
        <f>+J2921+I2922</f>
        <v>5251240.18</v>
      </c>
      <c r="K2922" s="19">
        <f>+EOMONTH(B2922,0)</f>
        <v>46173</v>
      </c>
      <c r="L2922" s="3" t="inlineStr">
        <is>
          <t>Service Income</t>
        </is>
      </c>
      <c r="M2922" s="3" t="inlineStr">
        <is>
          <t>Net Fee-for-Service</t>
        </is>
      </c>
    </row>
    <row r="2923">
      <c r="B2923" s="39" t="n">
        <v>46159</v>
      </c>
      <c r="C2923" s="3" t="inlineStr">
        <is>
          <t>Deposit</t>
        </is>
      </c>
      <c r="D2923" s="3" t="inlineStr"/>
      <c r="E2923" s="3" t="inlineStr">
        <is>
          <t>Vantrelle Health Plan</t>
        </is>
      </c>
      <c r="F2923" s="3" t="inlineStr">
        <is>
          <t>ORIG CO NAME:VANTRELLE HP ORIG ID:XXXXXX2508 DESC DATE:260517 CO ENTRY DESCR:HCCLAIMPMT SEC:CCD TRACE#:XXXXXXXX5743621 EED:260517 IND ID:</t>
        </is>
      </c>
      <c r="G2923" s="3" t="inlineStr">
        <is>
          <t>Checking – Operating</t>
        </is>
      </c>
      <c r="H2923" s="3" t="inlineStr">
        <is>
          <t>Service Income</t>
        </is>
      </c>
      <c r="I2923" s="33" t="n">
        <v>83056.92</v>
      </c>
      <c r="J2923" s="13">
        <f>+J2922+I2923</f>
        <v>5334297.1</v>
      </c>
      <c r="K2923" s="19">
        <f>+EOMONTH(B2923,0)</f>
        <v>46173</v>
      </c>
      <c r="L2923" s="3" t="inlineStr">
        <is>
          <t>Service Income</t>
        </is>
      </c>
      <c r="M2923" s="3" t="inlineStr">
        <is>
          <t>Net Fee-for-Service</t>
        </is>
      </c>
    </row>
    <row r="2924">
      <c r="B2924" s="39" t="n">
        <v>46161</v>
      </c>
      <c r="C2924" s="3" t="inlineStr">
        <is>
          <t>Deposit</t>
        </is>
      </c>
      <c r="D2924" s="3" t="inlineStr"/>
      <c r="E2924" s="3" t="inlineStr">
        <is>
          <t>Marrowby Mutual</t>
        </is>
      </c>
      <c r="F2924" s="3" t="inlineStr">
        <is>
          <t>ORIG CO NAME:MARROWBY MUTUAL ORIG ID:XXXXXX8384 DESC DATE:260519 CO ENTRY DESCR:HCCLAIMPMT SEC:CCD TRACE#:XXXXXXXX3213520 EED:260519 IND ID:</t>
        </is>
      </c>
      <c r="G2924" s="3" t="inlineStr">
        <is>
          <t>Checking – Operating</t>
        </is>
      </c>
      <c r="H2924" s="3" t="inlineStr">
        <is>
          <t>Service Income</t>
        </is>
      </c>
      <c r="I2924" s="33" t="n">
        <v>99845.67999999999</v>
      </c>
      <c r="J2924" s="13">
        <f>+J2923+I2924</f>
        <v>5434142.78</v>
      </c>
      <c r="K2924" s="19">
        <f>+EOMONTH(B2924,0)</f>
        <v>46173</v>
      </c>
      <c r="L2924" s="3" t="inlineStr">
        <is>
          <t>Service Income</t>
        </is>
      </c>
      <c r="M2924" s="3" t="inlineStr">
        <is>
          <t>Net Fee-for-Service</t>
        </is>
      </c>
    </row>
    <row r="2925">
      <c r="B2925" s="39" t="n">
        <v>46164</v>
      </c>
      <c r="C2925" s="3" t="inlineStr">
        <is>
          <t>Deposit</t>
        </is>
      </c>
      <c r="D2925" s="3" t="inlineStr"/>
      <c r="E2925" s="3" t="inlineStr">
        <is>
          <t>Federal Program A</t>
        </is>
      </c>
      <c r="F2925" s="3" t="inlineStr">
        <is>
          <t>ORIG CO NAME:FEDERAL PROG A ORIG ID:XXXXXX8072 DESC DATE:260522 CO ENTRY DESCR:HCCLAIMPMT SEC:CCD TRACE#:XXXXXXXX7683275 EED:260522 IND ID:</t>
        </is>
      </c>
      <c r="G2925" s="3" t="inlineStr">
        <is>
          <t>Checking – Operating</t>
        </is>
      </c>
      <c r="H2925" s="3" t="inlineStr">
        <is>
          <t>Service Income</t>
        </is>
      </c>
      <c r="I2925" s="33" t="n">
        <v>97402.52</v>
      </c>
      <c r="J2925" s="13">
        <f>+J2924+I2925</f>
        <v>5531545.3</v>
      </c>
      <c r="K2925" s="19">
        <f>+EOMONTH(B2925,0)</f>
        <v>46173</v>
      </c>
      <c r="L2925" s="3" t="inlineStr">
        <is>
          <t>Service Income</t>
        </is>
      </c>
      <c r="M2925" s="3" t="inlineStr">
        <is>
          <t>Net Fee-for-Service</t>
        </is>
      </c>
    </row>
    <row r="2926">
      <c r="B2926" s="39" t="n">
        <v>46165</v>
      </c>
      <c r="C2926" s="3" t="inlineStr">
        <is>
          <t>Deposit</t>
        </is>
      </c>
      <c r="D2926" s="3" t="inlineStr"/>
      <c r="E2926" s="3" t="inlineStr">
        <is>
          <t>Vantrelle Health Plan</t>
        </is>
      </c>
      <c r="F2926" s="3" t="inlineStr">
        <is>
          <t>ORIG CO NAME:VANTRELLE HP ORIG ID:XXXXXX2527 DESC DATE:260523 CO ENTRY DESCR:HCCLAIMPMT SEC:CCD TRACE#:XXXXXXXX8958895 EED:260523 IND ID:</t>
        </is>
      </c>
      <c r="G2926" s="3" t="inlineStr">
        <is>
          <t>Checking – Operating</t>
        </is>
      </c>
      <c r="H2926" s="3" t="inlineStr">
        <is>
          <t>Service Income</t>
        </is>
      </c>
      <c r="I2926" s="33" t="n">
        <v>87709.35000000001</v>
      </c>
      <c r="J2926" s="13">
        <f>+J2925+I2926</f>
        <v>5619254.65</v>
      </c>
      <c r="K2926" s="19">
        <f>+EOMONTH(B2926,0)</f>
        <v>46173</v>
      </c>
      <c r="L2926" s="3" t="inlineStr">
        <is>
          <t>Service Income</t>
        </is>
      </c>
      <c r="M2926" s="3" t="inlineStr">
        <is>
          <t>Net Fee-for-Service</t>
        </is>
      </c>
    </row>
    <row r="2927">
      <c r="B2927" s="39" t="n">
        <v>46165</v>
      </c>
      <c r="C2927" s="3" t="inlineStr">
        <is>
          <t>Deposit</t>
        </is>
      </c>
      <c r="D2927" s="3" t="inlineStr"/>
      <c r="E2927" s="3" t="inlineStr">
        <is>
          <t>Lanternway Benefits</t>
        </is>
      </c>
      <c r="F2927" s="3" t="inlineStr">
        <is>
          <t>ORIG CO NAME:LANTERNWAY BEN ORIG ID:XXXXXX7746 DESC DATE:260523 CO ENTRY DESCR:HCCLAIMPMT SEC:CCD TRACE#:XXXXXXXX2575373 EED:260523 IND ID:</t>
        </is>
      </c>
      <c r="G2927" s="3" t="inlineStr">
        <is>
          <t>Checking – Operating</t>
        </is>
      </c>
      <c r="H2927" s="3" t="inlineStr">
        <is>
          <t>Service Income</t>
        </is>
      </c>
      <c r="I2927" s="33" t="n">
        <v>40272.11</v>
      </c>
      <c r="J2927" s="13">
        <f>+J2926+I2927</f>
        <v>5659526.76</v>
      </c>
      <c r="K2927" s="19">
        <f>+EOMONTH(B2927,0)</f>
        <v>46173</v>
      </c>
      <c r="L2927" s="3" t="inlineStr">
        <is>
          <t>Service Income</t>
        </is>
      </c>
      <c r="M2927" s="3" t="inlineStr">
        <is>
          <t>Net Fee-for-Service</t>
        </is>
      </c>
    </row>
    <row r="2928">
      <c r="B2928" s="39" t="n">
        <v>46168</v>
      </c>
      <c r="C2928" s="3" t="inlineStr">
        <is>
          <t>Deposit</t>
        </is>
      </c>
      <c r="D2928" s="3" t="inlineStr"/>
      <c r="E2928" s="3" t="inlineStr">
        <is>
          <t>Silvermoss Senior Living</t>
        </is>
      </c>
      <c r="F2928" s="3" t="inlineStr">
        <is>
          <t>ORIG CO NAME:SILVERMOSS SL ORIG ID:XXXXXX3083 DESC DATE:260526 CO ENTRY DESCR:HCCLAIMPMT SEC:CCD TRACE#:XXXXXXXX4151714 EED:260526 IND ID:</t>
        </is>
      </c>
      <c r="G2928" s="3" t="inlineStr">
        <is>
          <t>Checking – Operating</t>
        </is>
      </c>
      <c r="H2928" s="3" t="inlineStr">
        <is>
          <t>Service Income</t>
        </is>
      </c>
      <c r="I2928" s="33" t="n">
        <v>34376.17</v>
      </c>
      <c r="J2928" s="13">
        <f>+J2927+I2928</f>
        <v>5693902.93</v>
      </c>
      <c r="K2928" s="19">
        <f>+EOMONTH(B2928,0)</f>
        <v>46173</v>
      </c>
      <c r="L2928" s="3" t="inlineStr">
        <is>
          <t>Service Income</t>
        </is>
      </c>
      <c r="M2928" s="3" t="inlineStr">
        <is>
          <t>Net Fee-for-Service</t>
        </is>
      </c>
    </row>
    <row r="2929">
      <c r="B2929" s="39" t="n">
        <v>46168</v>
      </c>
      <c r="C2929" s="3" t="inlineStr">
        <is>
          <t>Deposit</t>
        </is>
      </c>
      <c r="D2929" s="3" t="inlineStr"/>
      <c r="E2929" s="3" t="inlineStr">
        <is>
          <t>Quayside Choice Senior Plan</t>
        </is>
      </c>
      <c r="F2929" s="3" t="inlineStr">
        <is>
          <t>ORIG CO NAME:QUAYSIDE CHOICE SP ORIG ID:XXXXXX3079 DESC DATE:260526 CO ENTRY DESCR:HCCLAIMPMT SEC:CCD TRACE#:XXXXXXXX3659884 EED:260526 IND ID:</t>
        </is>
      </c>
      <c r="G2929" s="3" t="inlineStr">
        <is>
          <t>Checking – Operating</t>
        </is>
      </c>
      <c r="H2929" s="3" t="inlineStr">
        <is>
          <t>Service Income</t>
        </is>
      </c>
      <c r="I2929" s="33" t="n">
        <v>49226.53</v>
      </c>
      <c r="J2929" s="13">
        <f>+J2928+I2929</f>
        <v>5743129.46</v>
      </c>
      <c r="K2929" s="19">
        <f>+EOMONTH(B2929,0)</f>
        <v>46173</v>
      </c>
      <c r="L2929" s="3" t="inlineStr">
        <is>
          <t>Service Income</t>
        </is>
      </c>
      <c r="M2929" s="3" t="inlineStr">
        <is>
          <t>Net Fee-for-Service</t>
        </is>
      </c>
    </row>
    <row r="2930">
      <c r="B2930" s="39" t="n">
        <v>46170</v>
      </c>
      <c r="C2930" s="3" t="inlineStr">
        <is>
          <t>Deposit</t>
        </is>
      </c>
      <c r="D2930" s="3" t="inlineStr"/>
      <c r="E2930" s="3" t="inlineStr">
        <is>
          <t>State Program B</t>
        </is>
      </c>
      <c r="F2930" s="3" t="inlineStr">
        <is>
          <t>ORIG CO NAME:STATE PROG B ORIG ID:XXXXXX3671 DESC DATE:260528 CO ENTRY DESCR:HCCLAIMPMT SEC:CCD TRACE#:XXXXXXXX6994041 EED:260528 IND ID:</t>
        </is>
      </c>
      <c r="G2930" s="3" t="inlineStr">
        <is>
          <t>Checking – Operating</t>
        </is>
      </c>
      <c r="H2930" s="3" t="inlineStr">
        <is>
          <t>Service Income</t>
        </is>
      </c>
      <c r="I2930" s="33" t="n">
        <v>32540.74</v>
      </c>
      <c r="J2930" s="13">
        <f>+J2929+I2930</f>
        <v>5775670.2</v>
      </c>
      <c r="K2930" s="19">
        <f>+EOMONTH(B2930,0)</f>
        <v>46173</v>
      </c>
      <c r="L2930" s="3" t="inlineStr">
        <is>
          <t>Service Income</t>
        </is>
      </c>
      <c r="M2930" s="3" t="inlineStr">
        <is>
          <t>Net Fee-for-Service</t>
        </is>
      </c>
    </row>
    <row r="2931">
      <c r="B2931" s="39" t="n">
        <v>46170</v>
      </c>
      <c r="C2931" s="3" t="inlineStr">
        <is>
          <t>Deposit</t>
        </is>
      </c>
      <c r="D2931" s="3" t="inlineStr"/>
      <c r="E2931" s="3" t="inlineStr">
        <is>
          <t>Lanternway Benefits</t>
        </is>
      </c>
      <c r="F2931" s="3" t="inlineStr">
        <is>
          <t>ORIG CO NAME:LANTERNWAY BEN ORIG ID:XXXXXX6677 DESC DATE:260528 CO ENTRY DESCR:HCCLAIMPMT SEC:CCD TRACE#:XXXXXXXX3423464 EED:260528 IND ID:</t>
        </is>
      </c>
      <c r="G2931" s="3" t="inlineStr">
        <is>
          <t>Checking – Operating</t>
        </is>
      </c>
      <c r="H2931" s="3" t="inlineStr">
        <is>
          <t>Service Income</t>
        </is>
      </c>
      <c r="I2931" s="33" t="n">
        <v>34841.97</v>
      </c>
      <c r="J2931" s="13">
        <f>+J2930+I2931</f>
        <v>5810512.17</v>
      </c>
      <c r="K2931" s="19">
        <f>+EOMONTH(B2931,0)</f>
        <v>46173</v>
      </c>
      <c r="L2931" s="3" t="inlineStr">
        <is>
          <t>Service Income</t>
        </is>
      </c>
      <c r="M2931" s="3" t="inlineStr">
        <is>
          <t>Net Fee-for-Service</t>
        </is>
      </c>
    </row>
    <row r="2932">
      <c r="B2932" s="39" t="n">
        <v>46172</v>
      </c>
      <c r="C2932" s="3" t="inlineStr">
        <is>
          <t>Deposit</t>
        </is>
      </c>
      <c r="D2932" s="3" t="inlineStr"/>
      <c r="E2932" s="3" t="inlineStr">
        <is>
          <t>Vantrelle Health Plan</t>
        </is>
      </c>
      <c r="F2932" s="3" t="inlineStr">
        <is>
          <t>ORIG CO NAME:VANTRELLE HP ORIG ID:XXXXXX6061 DESC DATE:260530 CO ENTRY DESCR:HCCLAIMPMT SEC:CCD TRACE#:XXXXXXXX4181423 EED:260530 IND ID:</t>
        </is>
      </c>
      <c r="G2932" s="3" t="inlineStr">
        <is>
          <t>Checking – Operating</t>
        </is>
      </c>
      <c r="H2932" s="3" t="inlineStr">
        <is>
          <t>Service Income</t>
        </is>
      </c>
      <c r="I2932" s="33" t="n">
        <v>125337.64</v>
      </c>
      <c r="J2932" s="13">
        <f>+J2931+I2932</f>
        <v>5935849.81</v>
      </c>
      <c r="K2932" s="19">
        <f>+EOMONTH(B2932,0)</f>
        <v>46173</v>
      </c>
      <c r="L2932" s="3" t="inlineStr">
        <is>
          <t>Service Income</t>
        </is>
      </c>
      <c r="M2932" s="3" t="inlineStr">
        <is>
          <t>Net Fee-for-Service</t>
        </is>
      </c>
    </row>
    <row r="2933">
      <c r="B2933" s="39" t="n">
        <v>46172</v>
      </c>
      <c r="C2933" s="3" t="inlineStr">
        <is>
          <t>Deposit</t>
        </is>
      </c>
      <c r="D2933" s="3" t="inlineStr"/>
      <c r="E2933" s="3" t="inlineStr">
        <is>
          <t>Cobaltmere Health</t>
        </is>
      </c>
      <c r="F2933" s="3" t="inlineStr">
        <is>
          <t>ORIG CO NAME:COBALTMERE HEALTH ORIG ID:XXXXXX6666 DESC DATE:260530 CO ENTRY DESCR:HCCLAIMPMT SEC:CCD TRACE#:XXXXXXXX7465935 EED:260530 IND ID:</t>
        </is>
      </c>
      <c r="G2933" s="3" t="inlineStr">
        <is>
          <t>Checking – Operating</t>
        </is>
      </c>
      <c r="H2933" s="3" t="inlineStr">
        <is>
          <t>Service Income</t>
        </is>
      </c>
      <c r="I2933" s="33" t="n">
        <v>14282.99</v>
      </c>
      <c r="J2933" s="13">
        <f>+J2932+I2933</f>
        <v>5950132.8</v>
      </c>
      <c r="K2933" s="19">
        <f>+EOMONTH(B2933,0)</f>
        <v>46173</v>
      </c>
      <c r="L2933" s="3" t="inlineStr">
        <is>
          <t>Service Income</t>
        </is>
      </c>
      <c r="M2933" s="3" t="inlineStr">
        <is>
          <t>Net Fee-for-Service</t>
        </is>
      </c>
    </row>
    <row r="2934">
      <c r="B2934" s="39" t="n">
        <v>46173</v>
      </c>
      <c r="C2934" s="3" t="inlineStr">
        <is>
          <t>Deposit</t>
        </is>
      </c>
      <c r="D2934" s="3" t="inlineStr"/>
      <c r="E2934" s="3" t="inlineStr">
        <is>
          <t>Cobaltmere Health</t>
        </is>
      </c>
      <c r="F2934" s="3" t="inlineStr">
        <is>
          <t>ORIG CO NAME:COBALTMERE HEALTH ORIG ID:XXXXXX2251 DESC DATE:260531 CO ENTRY DESCR:HCCLAIMPMT SEC:CCD TRACE#:XXXXXXXX4602838 EED:260531 IND ID:</t>
        </is>
      </c>
      <c r="G2934" s="3" t="inlineStr">
        <is>
          <t>Checking – Operating</t>
        </is>
      </c>
      <c r="H2934" s="3" t="inlineStr">
        <is>
          <t>Service Income</t>
        </is>
      </c>
      <c r="I2934" s="33" t="n">
        <v>30800.53</v>
      </c>
      <c r="J2934" s="13">
        <f>+J2933+I2934</f>
        <v>5980933.33</v>
      </c>
      <c r="K2934" s="19">
        <f>+EOMONTH(B2934,0)</f>
        <v>46173</v>
      </c>
      <c r="L2934" s="3" t="inlineStr">
        <is>
          <t>Service Income</t>
        </is>
      </c>
      <c r="M2934" s="3" t="inlineStr">
        <is>
          <t>Net Fee-for-Service</t>
        </is>
      </c>
    </row>
    <row r="2935">
      <c r="B2935" s="39" t="n">
        <v>46176</v>
      </c>
      <c r="C2935" s="3" t="inlineStr">
        <is>
          <t>Deposit</t>
        </is>
      </c>
      <c r="D2935" s="3" t="inlineStr"/>
      <c r="E2935" s="3" t="inlineStr">
        <is>
          <t>Marrowby Mutual</t>
        </is>
      </c>
      <c r="F2935" s="3" t="inlineStr">
        <is>
          <t>ORIG CO NAME:MARROWBY MUTUAL ORIG ID:XXXXXX7449 DESC DATE:260603 CO ENTRY DESCR:HCCLAIMPMT SEC:CCD TRACE#:XXXXXXXX3172023 EED:260603 IND ID:</t>
        </is>
      </c>
      <c r="G2935" s="3" t="inlineStr">
        <is>
          <t>Checking – Operating</t>
        </is>
      </c>
      <c r="H2935" s="3" t="inlineStr">
        <is>
          <t>Service Income</t>
        </is>
      </c>
      <c r="I2935" s="33" t="n">
        <v>57665.89</v>
      </c>
      <c r="J2935" s="13">
        <f>+J2934+I2935</f>
        <v>6038599.22</v>
      </c>
      <c r="K2935" s="19">
        <f>+EOMONTH(B2935,0)</f>
        <v>46203</v>
      </c>
      <c r="L2935" s="3" t="inlineStr">
        <is>
          <t>Service Income</t>
        </is>
      </c>
      <c r="M2935" s="3" t="inlineStr">
        <is>
          <t>Net Fee-for-Service</t>
        </is>
      </c>
    </row>
    <row r="2936">
      <c r="B2936" s="39" t="n">
        <v>46177</v>
      </c>
      <c r="C2936" s="3" t="inlineStr">
        <is>
          <t>Deposit</t>
        </is>
      </c>
      <c r="D2936" s="3" t="inlineStr"/>
      <c r="E2936" s="3" t="inlineStr">
        <is>
          <t>Lanternway Benefits</t>
        </is>
      </c>
      <c r="F2936" s="3" t="inlineStr">
        <is>
          <t>ORIG CO NAME:LANTERNWAY BEN ORIG ID:XXXXXX1082 DESC DATE:260604 CO ENTRY DESCR:HCCLAIMPMT SEC:CCD TRACE#:XXXXXXXX5090016 EED:260604 IND ID:</t>
        </is>
      </c>
      <c r="G2936" s="3" t="inlineStr">
        <is>
          <t>Checking – Operating</t>
        </is>
      </c>
      <c r="H2936" s="3" t="inlineStr">
        <is>
          <t>Service Income</t>
        </is>
      </c>
      <c r="I2936" s="33" t="n">
        <v>34554.1</v>
      </c>
      <c r="J2936" s="13">
        <f>+J2935+I2936</f>
        <v>6073153.32</v>
      </c>
      <c r="K2936" s="19">
        <f>+EOMONTH(B2936,0)</f>
        <v>46203</v>
      </c>
      <c r="L2936" s="3" t="inlineStr">
        <is>
          <t>Service Income</t>
        </is>
      </c>
      <c r="M2936" s="3" t="inlineStr">
        <is>
          <t>Net Fee-for-Service</t>
        </is>
      </c>
    </row>
    <row r="2937">
      <c r="B2937" s="39" t="n">
        <v>46178</v>
      </c>
      <c r="C2937" s="3" t="inlineStr">
        <is>
          <t>Deposit</t>
        </is>
      </c>
      <c r="D2937" s="3" t="inlineStr"/>
      <c r="E2937" s="3" t="inlineStr">
        <is>
          <t>Lanternway Benefits</t>
        </is>
      </c>
      <c r="F2937" s="3" t="inlineStr">
        <is>
          <t>ORIG CO NAME:LANTERNWAY BEN ORIG ID:XXXXXX3702 DESC DATE:260605 CO ENTRY DESCR:HCCLAIMPMT SEC:CCD TRACE#:XXXXXXXX8281369 EED:260605 IND ID:</t>
        </is>
      </c>
      <c r="G2937" s="3" t="inlineStr">
        <is>
          <t>Checking – Operating</t>
        </is>
      </c>
      <c r="H2937" s="3" t="inlineStr">
        <is>
          <t>Service Income</t>
        </is>
      </c>
      <c r="I2937" s="33" t="n">
        <v>33300.12</v>
      </c>
      <c r="J2937" s="13">
        <f>+J2936+I2937</f>
        <v>6106453.44</v>
      </c>
      <c r="K2937" s="19">
        <f>+EOMONTH(B2937,0)</f>
        <v>46203</v>
      </c>
      <c r="L2937" s="3" t="inlineStr">
        <is>
          <t>Service Income</t>
        </is>
      </c>
      <c r="M2937" s="3" t="inlineStr">
        <is>
          <t>Net Fee-for-Service</t>
        </is>
      </c>
    </row>
    <row r="2938">
      <c r="B2938" s="39" t="n">
        <v>46178</v>
      </c>
      <c r="C2938" s="3" t="inlineStr">
        <is>
          <t>Deposit</t>
        </is>
      </c>
      <c r="D2938" s="3" t="inlineStr"/>
      <c r="E2938" s="3" t="inlineStr">
        <is>
          <t>Quayside Choice Senior Plan</t>
        </is>
      </c>
      <c r="F2938" s="3" t="inlineStr">
        <is>
          <t>ORIG CO NAME:QUAYSIDE CHOICE SP ORIG ID:XXXXXX8516 DESC DATE:260605 CO ENTRY DESCR:HCCLAIMPMT SEC:CCD TRACE#:XXXXXXXX1097311 EED:260605 IND ID:</t>
        </is>
      </c>
      <c r="G2938" s="3" t="inlineStr">
        <is>
          <t>Checking – Operating</t>
        </is>
      </c>
      <c r="H2938" s="3" t="inlineStr">
        <is>
          <t>Service Income</t>
        </is>
      </c>
      <c r="I2938" s="33" t="n">
        <v>45596.35</v>
      </c>
      <c r="J2938" s="13">
        <f>+J2937+I2938</f>
        <v>6152049.79</v>
      </c>
      <c r="K2938" s="19">
        <f>+EOMONTH(B2938,0)</f>
        <v>46203</v>
      </c>
      <c r="L2938" s="3" t="inlineStr">
        <is>
          <t>Service Income</t>
        </is>
      </c>
      <c r="M2938" s="3" t="inlineStr">
        <is>
          <t>Net Fee-for-Service</t>
        </is>
      </c>
    </row>
    <row r="2939">
      <c r="B2939" s="39" t="n">
        <v>46178</v>
      </c>
      <c r="C2939" s="3" t="inlineStr">
        <is>
          <t>Deposit</t>
        </is>
      </c>
      <c r="D2939" s="3" t="inlineStr"/>
      <c r="E2939" s="3" t="inlineStr">
        <is>
          <t>Cobaltmere Health</t>
        </is>
      </c>
      <c r="F2939" s="3" t="inlineStr">
        <is>
          <t>ORIG CO NAME:COBALTMERE HEALTH ORIG ID:XXXXXX4087 DESC DATE:260605 CO ENTRY DESCR:HCCLAIMPMT SEC:CCD TRACE#:XXXXXXXX7018477 EED:260605 IND ID:</t>
        </is>
      </c>
      <c r="G2939" s="3" t="inlineStr">
        <is>
          <t>Checking – Operating</t>
        </is>
      </c>
      <c r="H2939" s="3" t="inlineStr">
        <is>
          <t>Service Income</t>
        </is>
      </c>
      <c r="I2939" s="33" t="n">
        <v>30368.87</v>
      </c>
      <c r="J2939" s="13">
        <f>+J2938+I2939</f>
        <v>6182418.66</v>
      </c>
      <c r="K2939" s="19">
        <f>+EOMONTH(B2939,0)</f>
        <v>46203</v>
      </c>
      <c r="L2939" s="3" t="inlineStr">
        <is>
          <t>Service Income</t>
        </is>
      </c>
      <c r="M2939" s="3" t="inlineStr">
        <is>
          <t>Net Fee-for-Service</t>
        </is>
      </c>
    </row>
    <row r="2940">
      <c r="B2940" s="39" t="n">
        <v>46180</v>
      </c>
      <c r="C2940" s="3" t="inlineStr">
        <is>
          <t>Deposit</t>
        </is>
      </c>
      <c r="D2940" s="3" t="inlineStr"/>
      <c r="E2940" s="3" t="inlineStr">
        <is>
          <t>Federal Program A</t>
        </is>
      </c>
      <c r="F2940" s="3" t="inlineStr">
        <is>
          <t>ORIG CO NAME:FEDERAL PROG A ORIG ID:XXXXXX3086 DESC DATE:260607 CO ENTRY DESCR:HCCLAIMPMT SEC:CCD TRACE#:XXXXXXXX2567927 EED:260607 IND ID:</t>
        </is>
      </c>
      <c r="G2940" s="3" t="inlineStr">
        <is>
          <t>Checking – Operating</t>
        </is>
      </c>
      <c r="H2940" s="3" t="inlineStr">
        <is>
          <t>Service Income</t>
        </is>
      </c>
      <c r="I2940" s="33" t="n">
        <v>120779.11</v>
      </c>
      <c r="J2940" s="13">
        <f>+J2939+I2940</f>
        <v>6303197.77</v>
      </c>
      <c r="K2940" s="19">
        <f>+EOMONTH(B2940,0)</f>
        <v>46203</v>
      </c>
      <c r="L2940" s="3" t="inlineStr">
        <is>
          <t>Service Income</t>
        </is>
      </c>
      <c r="M2940" s="3" t="inlineStr">
        <is>
          <t>Net Fee-for-Service</t>
        </is>
      </c>
    </row>
    <row r="2941">
      <c r="B2941" s="39" t="n">
        <v>46180</v>
      </c>
      <c r="C2941" s="3" t="inlineStr">
        <is>
          <t>Deposit</t>
        </is>
      </c>
      <c r="D2941" s="3" t="inlineStr"/>
      <c r="E2941" s="3" t="inlineStr">
        <is>
          <t>Lanternway Benefits</t>
        </is>
      </c>
      <c r="F2941" s="3" t="inlineStr">
        <is>
          <t>ORIG CO NAME:LANTERNWAY BEN ORIG ID:XXXXXX3907 DESC DATE:260607 CO ENTRY DESCR:HCCLAIMPMT SEC:CCD TRACE#:XXXXXXXX4641550 EED:260607 IND ID:</t>
        </is>
      </c>
      <c r="G2941" s="3" t="inlineStr">
        <is>
          <t>Checking – Operating</t>
        </is>
      </c>
      <c r="H2941" s="3" t="inlineStr">
        <is>
          <t>Service Income</t>
        </is>
      </c>
      <c r="I2941" s="33" t="n">
        <v>49525.34</v>
      </c>
      <c r="J2941" s="13">
        <f>+J2940+I2941</f>
        <v>6352723.11</v>
      </c>
      <c r="K2941" s="19">
        <f>+EOMONTH(B2941,0)</f>
        <v>46203</v>
      </c>
      <c r="L2941" s="3" t="inlineStr">
        <is>
          <t>Service Income</t>
        </is>
      </c>
      <c r="M2941" s="3" t="inlineStr">
        <is>
          <t>Net Fee-for-Service</t>
        </is>
      </c>
    </row>
    <row r="2942">
      <c r="B2942" s="39" t="n">
        <v>46184</v>
      </c>
      <c r="C2942" s="3" t="inlineStr">
        <is>
          <t>Deposit</t>
        </is>
      </c>
      <c r="D2942" s="3" t="inlineStr"/>
      <c r="E2942" s="3" t="inlineStr">
        <is>
          <t>Vantrelle Health Plan</t>
        </is>
      </c>
      <c r="F2942" s="3" t="inlineStr">
        <is>
          <t>ORIG CO NAME:VANTRELLE HP ORIG ID:XXXXXX6725 DESC DATE:260611 CO ENTRY DESCR:HCCLAIMPMT SEC:CCD TRACE#:XXXXXXXX4429076 EED:260611 IND ID:</t>
        </is>
      </c>
      <c r="G2942" s="3" t="inlineStr">
        <is>
          <t>Checking – Operating</t>
        </is>
      </c>
      <c r="H2942" s="3" t="inlineStr">
        <is>
          <t>Service Income</t>
        </is>
      </c>
      <c r="I2942" s="33" t="n">
        <v>147074.87</v>
      </c>
      <c r="J2942" s="13">
        <f>+J2941+I2942</f>
        <v>6499797.98</v>
      </c>
      <c r="K2942" s="19">
        <f>+EOMONTH(B2942,0)</f>
        <v>46203</v>
      </c>
      <c r="L2942" s="3" t="inlineStr">
        <is>
          <t>Service Income</t>
        </is>
      </c>
      <c r="M2942" s="3" t="inlineStr">
        <is>
          <t>Net Fee-for-Service</t>
        </is>
      </c>
    </row>
    <row r="2943">
      <c r="B2943" s="39" t="n">
        <v>46185</v>
      </c>
      <c r="C2943" s="3" t="inlineStr">
        <is>
          <t>Deposit</t>
        </is>
      </c>
      <c r="D2943" s="3" t="inlineStr"/>
      <c r="E2943" s="3" t="inlineStr">
        <is>
          <t>Federal Program A</t>
        </is>
      </c>
      <c r="F2943" s="3" t="inlineStr">
        <is>
          <t>ORIG CO NAME:FEDERAL PROG A ORIG ID:XXXXXX8357 DESC DATE:260612 CO ENTRY DESCR:HCCLAIMPMT SEC:CCD TRACE#:XXXXXXXX5667614 EED:260612 IND ID:</t>
        </is>
      </c>
      <c r="G2943" s="3" t="inlineStr">
        <is>
          <t>Checking – Operating</t>
        </is>
      </c>
      <c r="H2943" s="3" t="inlineStr">
        <is>
          <t>Service Income</t>
        </is>
      </c>
      <c r="I2943" s="33" t="n">
        <v>90504.09</v>
      </c>
      <c r="J2943" s="13">
        <f>+J2942+I2943</f>
        <v>6590302.07</v>
      </c>
      <c r="K2943" s="19">
        <f>+EOMONTH(B2943,0)</f>
        <v>46203</v>
      </c>
      <c r="L2943" s="3" t="inlineStr">
        <is>
          <t>Service Income</t>
        </is>
      </c>
      <c r="M2943" s="3" t="inlineStr">
        <is>
          <t>Net Fee-for-Service</t>
        </is>
      </c>
    </row>
    <row r="2944">
      <c r="B2944" s="39" t="n">
        <v>46187</v>
      </c>
      <c r="C2944" s="3" t="inlineStr">
        <is>
          <t>Deposit</t>
        </is>
      </c>
      <c r="D2944" s="3" t="inlineStr"/>
      <c r="E2944" s="3" t="inlineStr">
        <is>
          <t>Marrowby Mutual</t>
        </is>
      </c>
      <c r="F2944" s="3" t="inlineStr">
        <is>
          <t>ORIG CO NAME:MARROWBY MUTUAL ORIG ID:XXXXXX5047 DESC DATE:260614 CO ENTRY DESCR:HCCLAIMPMT SEC:CCD TRACE#:XXXXXXXX1507369 EED:260614 IND ID:</t>
        </is>
      </c>
      <c r="G2944" s="3" t="inlineStr">
        <is>
          <t>Checking – Operating</t>
        </is>
      </c>
      <c r="H2944" s="3" t="inlineStr">
        <is>
          <t>Service Income</t>
        </is>
      </c>
      <c r="I2944" s="33" t="n">
        <v>63054.96</v>
      </c>
      <c r="J2944" s="13">
        <f>+J2943+I2944</f>
        <v>6653357.03</v>
      </c>
      <c r="K2944" s="19">
        <f>+EOMONTH(B2944,0)</f>
        <v>46203</v>
      </c>
      <c r="L2944" s="3" t="inlineStr">
        <is>
          <t>Service Income</t>
        </is>
      </c>
      <c r="M2944" s="3" t="inlineStr">
        <is>
          <t>Net Fee-for-Service</t>
        </is>
      </c>
    </row>
    <row r="2945">
      <c r="B2945" s="39" t="n">
        <v>46187</v>
      </c>
      <c r="C2945" s="3" t="inlineStr">
        <is>
          <t>Deposit</t>
        </is>
      </c>
      <c r="D2945" s="3" t="inlineStr"/>
      <c r="E2945" s="3" t="inlineStr">
        <is>
          <t>Quayside Choice Senior Plan</t>
        </is>
      </c>
      <c r="F2945" s="3" t="inlineStr">
        <is>
          <t>ORIG CO NAME:QUAYSIDE CHOICE SP ORIG ID:XXXXXX1159 DESC DATE:260614 CO ENTRY DESCR:HCCLAIMPMT SEC:CCD TRACE#:XXXXXXXX3843326 EED:260614 IND ID:</t>
        </is>
      </c>
      <c r="G2945" s="3" t="inlineStr">
        <is>
          <t>Checking – Operating</t>
        </is>
      </c>
      <c r="H2945" s="3" t="inlineStr">
        <is>
          <t>Service Income</t>
        </is>
      </c>
      <c r="I2945" s="33" t="n">
        <v>45300.38</v>
      </c>
      <c r="J2945" s="13">
        <f>+J2944+I2945</f>
        <v>6698657.41</v>
      </c>
      <c r="K2945" s="19">
        <f>+EOMONTH(B2945,0)</f>
        <v>46203</v>
      </c>
      <c r="L2945" s="3" t="inlineStr">
        <is>
          <t>Service Income</t>
        </is>
      </c>
      <c r="M2945" s="3" t="inlineStr">
        <is>
          <t>Net Fee-for-Service</t>
        </is>
      </c>
    </row>
    <row r="2946">
      <c r="B2946" s="39" t="n">
        <v>46191</v>
      </c>
      <c r="C2946" s="3" t="inlineStr">
        <is>
          <t>Deposit</t>
        </is>
      </c>
      <c r="D2946" s="3" t="inlineStr"/>
      <c r="E2946" s="3" t="inlineStr">
        <is>
          <t>State Program B</t>
        </is>
      </c>
      <c r="F2946" s="3" t="inlineStr">
        <is>
          <t>ORIG CO NAME:STATE PROG B ORIG ID:XXXXXX5636 DESC DATE:260618 CO ENTRY DESCR:HCCLAIMPMT SEC:CCD TRACE#:XXXXXXXX7719325 EED:260618 IND ID:</t>
        </is>
      </c>
      <c r="G2946" s="3" t="inlineStr">
        <is>
          <t>Checking – Operating</t>
        </is>
      </c>
      <c r="H2946" s="3" t="inlineStr">
        <is>
          <t>Service Income</t>
        </is>
      </c>
      <c r="I2946" s="33" t="n">
        <v>33831.87</v>
      </c>
      <c r="J2946" s="13">
        <f>+J2945+I2946</f>
        <v>6732489.28</v>
      </c>
      <c r="K2946" s="19">
        <f>+EOMONTH(B2946,0)</f>
        <v>46203</v>
      </c>
      <c r="L2946" s="3" t="inlineStr">
        <is>
          <t>Service Income</t>
        </is>
      </c>
      <c r="M2946" s="3" t="inlineStr">
        <is>
          <t>Net Fee-for-Service</t>
        </is>
      </c>
    </row>
    <row r="2947">
      <c r="B2947" s="39" t="n">
        <v>46193</v>
      </c>
      <c r="C2947" s="3" t="inlineStr">
        <is>
          <t>Deposit</t>
        </is>
      </c>
      <c r="D2947" s="3" t="inlineStr"/>
      <c r="E2947" s="3" t="inlineStr">
        <is>
          <t>Vantrelle Health Plan</t>
        </is>
      </c>
      <c r="F2947" s="3" t="inlineStr">
        <is>
          <t>ORIG CO NAME:VANTRELLE HP ORIG ID:XXXXXX5022 DESC DATE:260620 CO ENTRY DESCR:HCCLAIMPMT SEC:CCD TRACE#:XXXXXXXX2761369 EED:260620 IND ID:</t>
        </is>
      </c>
      <c r="G2947" s="3" t="inlineStr">
        <is>
          <t>Checking – Operating</t>
        </is>
      </c>
      <c r="H2947" s="3" t="inlineStr">
        <is>
          <t>Service Income</t>
        </is>
      </c>
      <c r="I2947" s="33" t="n">
        <v>134636.06</v>
      </c>
      <c r="J2947" s="13">
        <f>+J2946+I2947</f>
        <v>6867125.34</v>
      </c>
      <c r="K2947" s="19">
        <f>+EOMONTH(B2947,0)</f>
        <v>46203</v>
      </c>
      <c r="L2947" s="3" t="inlineStr">
        <is>
          <t>Service Income</t>
        </is>
      </c>
      <c r="M2947" s="3" t="inlineStr">
        <is>
          <t>Net Fee-for-Service</t>
        </is>
      </c>
    </row>
    <row r="2948">
      <c r="B2948" s="39" t="n">
        <v>46194</v>
      </c>
      <c r="C2948" s="3" t="inlineStr">
        <is>
          <t>Deposit</t>
        </is>
      </c>
      <c r="D2948" s="3" t="inlineStr"/>
      <c r="E2948" s="3" t="inlineStr">
        <is>
          <t>State Program B</t>
        </is>
      </c>
      <c r="F2948" s="3" t="inlineStr">
        <is>
          <t>ORIG CO NAME:STATE PROG B ORIG ID:XXXXXX2528 DESC DATE:260621 CO ENTRY DESCR:HCCLAIMPMT SEC:CCD TRACE#:XXXXXXXX9077002 EED:260621 IND ID:</t>
        </is>
      </c>
      <c r="G2948" s="3" t="inlineStr">
        <is>
          <t>Checking – Operating</t>
        </is>
      </c>
      <c r="H2948" s="3" t="inlineStr">
        <is>
          <t>Service Income</t>
        </is>
      </c>
      <c r="I2948" s="33" t="n">
        <v>33110.86</v>
      </c>
      <c r="J2948" s="13">
        <f>+J2947+I2948</f>
        <v>6900236.2</v>
      </c>
      <c r="K2948" s="19">
        <f>+EOMONTH(B2948,0)</f>
        <v>46203</v>
      </c>
      <c r="L2948" s="3" t="inlineStr">
        <is>
          <t>Service Income</t>
        </is>
      </c>
      <c r="M2948" s="3" t="inlineStr">
        <is>
          <t>Net Fee-for-Service</t>
        </is>
      </c>
    </row>
    <row r="2949">
      <c r="B2949" s="39" t="n">
        <v>46195</v>
      </c>
      <c r="C2949" s="3" t="inlineStr">
        <is>
          <t>Deposit</t>
        </is>
      </c>
      <c r="D2949" s="3" t="inlineStr"/>
      <c r="E2949" s="3" t="inlineStr">
        <is>
          <t>State Program B</t>
        </is>
      </c>
      <c r="F2949" s="3" t="inlineStr">
        <is>
          <t>ORIG CO NAME:STATE PROG B ORIG ID:XXXXXX6824 DESC DATE:260622 CO ENTRY DESCR:HCCLAIMPMT SEC:CCD TRACE#:XXXXXXXX5236569 EED:260622 IND ID:</t>
        </is>
      </c>
      <c r="G2949" s="3" t="inlineStr">
        <is>
          <t>Checking – Operating</t>
        </is>
      </c>
      <c r="H2949" s="3" t="inlineStr">
        <is>
          <t>Service Income</t>
        </is>
      </c>
      <c r="I2949" s="33" t="n">
        <v>38698.87</v>
      </c>
      <c r="J2949" s="13">
        <f>+J2948+I2949</f>
        <v>6938935.07</v>
      </c>
      <c r="K2949" s="19">
        <f>+EOMONTH(B2949,0)</f>
        <v>46203</v>
      </c>
      <c r="L2949" s="3" t="inlineStr">
        <is>
          <t>Service Income</t>
        </is>
      </c>
      <c r="M2949" s="3" t="inlineStr">
        <is>
          <t>Net Fee-for-Service</t>
        </is>
      </c>
    </row>
    <row r="2950">
      <c r="B2950" s="39" t="n">
        <v>46195</v>
      </c>
      <c r="C2950" s="3" t="inlineStr">
        <is>
          <t>Deposit</t>
        </is>
      </c>
      <c r="D2950" s="3" t="inlineStr"/>
      <c r="E2950" s="3" t="inlineStr">
        <is>
          <t>Silvermoss Senior Living</t>
        </is>
      </c>
      <c r="F2950" s="3" t="inlineStr">
        <is>
          <t>ORIG CO NAME:SILVERMOSS SL ORIG ID:XXXXXX3357 DESC DATE:260622 CO ENTRY DESCR:HCCLAIMPMT SEC:CCD TRACE#:XXXXXXXX6953694 EED:260622 IND ID:</t>
        </is>
      </c>
      <c r="G2950" s="3" t="inlineStr">
        <is>
          <t>Checking – Operating</t>
        </is>
      </c>
      <c r="H2950" s="3" t="inlineStr">
        <is>
          <t>Service Income</t>
        </is>
      </c>
      <c r="I2950" s="33" t="n">
        <v>54540.91</v>
      </c>
      <c r="J2950" s="13">
        <f>+J2949+I2950</f>
        <v>6993475.98</v>
      </c>
      <c r="K2950" s="19">
        <f>+EOMONTH(B2950,0)</f>
        <v>46203</v>
      </c>
      <c r="L2950" s="3" t="inlineStr">
        <is>
          <t>Service Income</t>
        </is>
      </c>
      <c r="M2950" s="3" t="inlineStr">
        <is>
          <t>Net Fee-for-Service</t>
        </is>
      </c>
    </row>
    <row r="2951">
      <c r="B2951" s="39" t="n">
        <v>46196</v>
      </c>
      <c r="C2951" s="3" t="inlineStr">
        <is>
          <t>Deposit</t>
        </is>
      </c>
      <c r="D2951" s="3" t="inlineStr"/>
      <c r="E2951" s="3" t="inlineStr">
        <is>
          <t>Quayside Choice Senior Plan</t>
        </is>
      </c>
      <c r="F2951" s="3" t="inlineStr">
        <is>
          <t>ORIG CO NAME:QUAYSIDE CHOICE SP ORIG ID:XXXXXX7216 DESC DATE:260623 CO ENTRY DESCR:HCCLAIMPMT SEC:CCD TRACE#:XXXXXXXX7045025 EED:260623 IND ID:</t>
        </is>
      </c>
      <c r="G2951" s="3" t="inlineStr">
        <is>
          <t>Checking – Operating</t>
        </is>
      </c>
      <c r="H2951" s="3" t="inlineStr">
        <is>
          <t>Service Income</t>
        </is>
      </c>
      <c r="I2951" s="33" t="n">
        <v>38220.78</v>
      </c>
      <c r="J2951" s="13">
        <f>+J2950+I2951</f>
        <v>7031696.76</v>
      </c>
      <c r="K2951" s="19">
        <f>+EOMONTH(B2951,0)</f>
        <v>46203</v>
      </c>
      <c r="L2951" s="3" t="inlineStr">
        <is>
          <t>Service Income</t>
        </is>
      </c>
      <c r="M2951" s="3" t="inlineStr">
        <is>
          <t>Net Fee-for-Service</t>
        </is>
      </c>
    </row>
    <row r="2952">
      <c r="B2952" s="39" t="n">
        <v>46201</v>
      </c>
      <c r="C2952" s="3" t="inlineStr">
        <is>
          <t>Deposit</t>
        </is>
      </c>
      <c r="D2952" s="3" t="inlineStr"/>
      <c r="E2952" s="3" t="inlineStr">
        <is>
          <t>Cobaltmere Health</t>
        </is>
      </c>
      <c r="F2952" s="3" t="inlineStr">
        <is>
          <t>ORIG CO NAME:COBALTMERE HEALTH ORIG ID:XXXXXX9134 DESC DATE:260628 CO ENTRY DESCR:HCCLAIMPMT SEC:CCD TRACE#:XXXXXXXX6775857 EED:260628 IND ID:</t>
        </is>
      </c>
      <c r="G2952" s="3" t="inlineStr">
        <is>
          <t>Checking – Operating</t>
        </is>
      </c>
      <c r="H2952" s="3" t="inlineStr">
        <is>
          <t>Service Income</t>
        </is>
      </c>
      <c r="I2952" s="33" t="n">
        <v>40058.86</v>
      </c>
      <c r="J2952" s="13">
        <f>+J2951+I2952</f>
        <v>7071755.62</v>
      </c>
      <c r="K2952" s="19">
        <f>+EOMONTH(B2952,0)</f>
        <v>46203</v>
      </c>
      <c r="L2952" s="3" t="inlineStr">
        <is>
          <t>Service Income</t>
        </is>
      </c>
      <c r="M2952" s="3" t="inlineStr">
        <is>
          <t>Net Fee-for-Service</t>
        </is>
      </c>
    </row>
    <row r="2953">
      <c r="B2953" s="39" t="n">
        <v>46202</v>
      </c>
      <c r="C2953" s="3" t="inlineStr">
        <is>
          <t>Deposit</t>
        </is>
      </c>
      <c r="D2953" s="3" t="inlineStr"/>
      <c r="E2953" s="3" t="inlineStr">
        <is>
          <t>Marrowby Mutual</t>
        </is>
      </c>
      <c r="F2953" s="3" t="inlineStr">
        <is>
          <t>ORIG CO NAME:MARROWBY MUTUAL ORIG ID:XXXXXX1125 DESC DATE:260629 CO ENTRY DESCR:HCCLAIMPMT SEC:CCD TRACE#:XXXXXXXX2079195 EED:260629 IND ID:</t>
        </is>
      </c>
      <c r="G2953" s="3" t="inlineStr">
        <is>
          <t>Checking – Operating</t>
        </is>
      </c>
      <c r="H2953" s="3" t="inlineStr">
        <is>
          <t>Service Income</t>
        </is>
      </c>
      <c r="I2953" s="33" t="n">
        <v>43610.53</v>
      </c>
      <c r="J2953" s="13">
        <f>+J2952+I2953</f>
        <v>7115366.15</v>
      </c>
      <c r="K2953" s="19">
        <f>+EOMONTH(B2953,0)</f>
        <v>46203</v>
      </c>
      <c r="L2953" s="3" t="inlineStr">
        <is>
          <t>Service Income</t>
        </is>
      </c>
      <c r="M2953" s="3" t="inlineStr">
        <is>
          <t>Net Fee-for-Service</t>
        </is>
      </c>
    </row>
    <row r="2954">
      <c r="B2954" s="39" t="n">
        <v>46202</v>
      </c>
      <c r="C2954" s="3" t="inlineStr">
        <is>
          <t>Deposit</t>
        </is>
      </c>
      <c r="D2954" s="3" t="inlineStr"/>
      <c r="E2954" s="3" t="inlineStr">
        <is>
          <t>Silvermoss Senior Living</t>
        </is>
      </c>
      <c r="F2954" s="3" t="inlineStr">
        <is>
          <t>ORIG CO NAME:SILVERMOSS SL ORIG ID:XXXXXX9844 DESC DATE:260629 CO ENTRY DESCR:HCCLAIMPMT SEC:CCD TRACE#:XXXXXXXX2183792 EED:260629 IND ID:</t>
        </is>
      </c>
      <c r="G2954" s="3" t="inlineStr">
        <is>
          <t>Checking – Operating</t>
        </is>
      </c>
      <c r="H2954" s="3" t="inlineStr">
        <is>
          <t>Service Income</t>
        </is>
      </c>
      <c r="I2954" s="33" t="n">
        <v>39362.73</v>
      </c>
      <c r="J2954" s="13">
        <f>+J2953+I2954</f>
        <v>7154728.88</v>
      </c>
      <c r="K2954" s="19">
        <f>+EOMONTH(B2954,0)</f>
        <v>46203</v>
      </c>
      <c r="L2954" s="3" t="inlineStr">
        <is>
          <t>Service Income</t>
        </is>
      </c>
      <c r="M2954" s="3" t="inlineStr">
        <is>
          <t>Net Fee-for-Service</t>
        </is>
      </c>
    </row>
    <row r="2955">
      <c r="B2955" s="39" t="n">
        <v>46204</v>
      </c>
      <c r="C2955" s="3" t="inlineStr">
        <is>
          <t>Deposit</t>
        </is>
      </c>
      <c r="D2955" s="3" t="inlineStr"/>
      <c r="E2955" s="3" t="inlineStr">
        <is>
          <t>Vantrelle Health Plan</t>
        </is>
      </c>
      <c r="F2955" s="3" t="inlineStr">
        <is>
          <t>ORIG CO NAME:VANTRELLE HP ORIG ID:XXXXXX2610 DESC DATE:260701 CO ENTRY DESCR:HCCLAIMPMT SEC:CCD TRACE#:XXXXXXXX2287750 EED:260701 IND ID:</t>
        </is>
      </c>
      <c r="G2955" s="3" t="inlineStr">
        <is>
          <t>Checking – Operating</t>
        </is>
      </c>
      <c r="H2955" s="3" t="inlineStr">
        <is>
          <t>Service Income</t>
        </is>
      </c>
      <c r="I2955" s="33" t="n">
        <v>102912.31</v>
      </c>
      <c r="J2955" s="13">
        <f>+J2954+I2955</f>
        <v>7257641.19</v>
      </c>
      <c r="K2955" s="19">
        <f>+EOMONTH(B2955,0)</f>
        <v>46234</v>
      </c>
      <c r="L2955" s="3" t="inlineStr">
        <is>
          <t>Service Income</t>
        </is>
      </c>
      <c r="M2955" s="3" t="inlineStr">
        <is>
          <t>Net Fee-for-Service</t>
        </is>
      </c>
    </row>
    <row r="2956">
      <c r="B2956" s="39" t="n">
        <v>46204</v>
      </c>
      <c r="C2956" s="3" t="inlineStr">
        <is>
          <t>Deposit</t>
        </is>
      </c>
      <c r="D2956" s="3" t="inlineStr"/>
      <c r="E2956" s="3" t="inlineStr">
        <is>
          <t>Cobaltmere Health</t>
        </is>
      </c>
      <c r="F2956" s="3" t="inlineStr">
        <is>
          <t>ORIG CO NAME:COBALTMERE HEALTH ORIG ID:XXXXXX5094 DESC DATE:260701 CO ENTRY DESCR:HCCLAIMPMT SEC:CCD TRACE#:XXXXXXXX8438919 EED:260701 IND ID:</t>
        </is>
      </c>
      <c r="G2956" s="3" t="inlineStr">
        <is>
          <t>Checking – Operating</t>
        </is>
      </c>
      <c r="H2956" s="3" t="inlineStr">
        <is>
          <t>Service Income</t>
        </is>
      </c>
      <c r="I2956" s="33" t="n">
        <v>35555.32</v>
      </c>
      <c r="J2956" s="13">
        <f>+J2955+I2956</f>
        <v>7293196.51</v>
      </c>
      <c r="K2956" s="19">
        <f>+EOMONTH(B2956,0)</f>
        <v>46234</v>
      </c>
      <c r="L2956" s="3" t="inlineStr">
        <is>
          <t>Service Income</t>
        </is>
      </c>
      <c r="M2956" s="3" t="inlineStr">
        <is>
          <t>Net Fee-for-Service</t>
        </is>
      </c>
    </row>
    <row r="2957">
      <c r="B2957" s="39" t="n">
        <v>46204</v>
      </c>
      <c r="C2957" s="3" t="inlineStr">
        <is>
          <t>Deposit</t>
        </is>
      </c>
      <c r="D2957" s="3" t="inlineStr"/>
      <c r="E2957" s="3" t="inlineStr">
        <is>
          <t>Cobaltmere Health</t>
        </is>
      </c>
      <c r="F2957" s="3" t="inlineStr">
        <is>
          <t>ORIG CO NAME:COBALTMERE HEALTH ORIG ID:XXXXXX6919 DESC DATE:260701 CO ENTRY DESCR:HCCLAIMPMT SEC:CCD TRACE#:XXXXXXXX9122761 EED:260701 IND ID:</t>
        </is>
      </c>
      <c r="G2957" s="3" t="inlineStr">
        <is>
          <t>Checking – Operating</t>
        </is>
      </c>
      <c r="H2957" s="3" t="inlineStr">
        <is>
          <t>Service Income</t>
        </is>
      </c>
      <c r="I2957" s="33" t="n">
        <v>41346.24</v>
      </c>
      <c r="J2957" s="13">
        <f>+J2956+I2957</f>
        <v>7334542.75</v>
      </c>
      <c r="K2957" s="19">
        <f>+EOMONTH(B2957,0)</f>
        <v>46234</v>
      </c>
      <c r="L2957" s="3" t="inlineStr">
        <is>
          <t>Service Income</t>
        </is>
      </c>
      <c r="M2957" s="3" t="inlineStr">
        <is>
          <t>Net Fee-for-Service</t>
        </is>
      </c>
    </row>
    <row r="2958">
      <c r="B2958" s="39" t="n">
        <v>46205</v>
      </c>
      <c r="C2958" s="3" t="inlineStr">
        <is>
          <t>Deposit</t>
        </is>
      </c>
      <c r="D2958" s="3" t="inlineStr"/>
      <c r="E2958" s="3" t="inlineStr">
        <is>
          <t>Vantrelle Health Plan</t>
        </is>
      </c>
      <c r="F2958" s="3" t="inlineStr">
        <is>
          <t>ORIG CO NAME:VANTRELLE HP ORIG ID:XXXXXX1858 DESC DATE:260702 CO ENTRY DESCR:HCCLAIMPMT SEC:CCD TRACE#:XXXXXXXX2020732 EED:260702 IND ID:</t>
        </is>
      </c>
      <c r="G2958" s="3" t="inlineStr">
        <is>
          <t>Checking – Operating</t>
        </is>
      </c>
      <c r="H2958" s="3" t="inlineStr">
        <is>
          <t>Service Income</t>
        </is>
      </c>
      <c r="I2958" s="33" t="n">
        <v>96823.85000000001</v>
      </c>
      <c r="J2958" s="13">
        <f>+J2957+I2958</f>
        <v>7431366.6</v>
      </c>
      <c r="K2958" s="19">
        <f>+EOMONTH(B2958,0)</f>
        <v>46234</v>
      </c>
      <c r="L2958" s="3" t="inlineStr">
        <is>
          <t>Service Income</t>
        </is>
      </c>
      <c r="M2958" s="3" t="inlineStr">
        <is>
          <t>Net Fee-for-Service</t>
        </is>
      </c>
    </row>
    <row r="2959">
      <c r="B2959" s="39" t="n">
        <v>46206</v>
      </c>
      <c r="C2959" s="3" t="inlineStr">
        <is>
          <t>Deposit</t>
        </is>
      </c>
      <c r="D2959" s="3" t="inlineStr"/>
      <c r="E2959" s="3" t="inlineStr">
        <is>
          <t>Federal Program A</t>
        </is>
      </c>
      <c r="F2959" s="3" t="inlineStr">
        <is>
          <t>ORIG CO NAME:FEDERAL PROG A ORIG ID:XXXXXX4780 DESC DATE:260703 CO ENTRY DESCR:HCCLAIMPMT SEC:CCD TRACE#:XXXXXXXX4927918 EED:260703 IND ID:</t>
        </is>
      </c>
      <c r="G2959" s="3" t="inlineStr">
        <is>
          <t>Checking – Operating</t>
        </is>
      </c>
      <c r="H2959" s="3" t="inlineStr">
        <is>
          <t>Service Income</t>
        </is>
      </c>
      <c r="I2959" s="33" t="n">
        <v>153455.12</v>
      </c>
      <c r="J2959" s="13">
        <f>+J2958+I2959</f>
        <v>7584821.72</v>
      </c>
      <c r="K2959" s="19">
        <f>+EOMONTH(B2959,0)</f>
        <v>46234</v>
      </c>
      <c r="L2959" s="3" t="inlineStr">
        <is>
          <t>Service Income</t>
        </is>
      </c>
      <c r="M2959" s="3" t="inlineStr">
        <is>
          <t>Net Fee-for-Service</t>
        </is>
      </c>
    </row>
    <row r="2960">
      <c r="B2960" s="39" t="n">
        <v>46206</v>
      </c>
      <c r="C2960" s="3" t="inlineStr">
        <is>
          <t>Deposit</t>
        </is>
      </c>
      <c r="D2960" s="3" t="inlineStr"/>
      <c r="E2960" s="3" t="inlineStr">
        <is>
          <t>State Program B</t>
        </is>
      </c>
      <c r="F2960" s="3" t="inlineStr">
        <is>
          <t>ORIG CO NAME:STATE PROG B ORIG ID:XXXXXX4139 DESC DATE:260703 CO ENTRY DESCR:HCCLAIMPMT SEC:CCD TRACE#:XXXXXXXX2871958 EED:260703 IND ID:</t>
        </is>
      </c>
      <c r="G2960" s="3" t="inlineStr">
        <is>
          <t>Checking – Operating</t>
        </is>
      </c>
      <c r="H2960" s="3" t="inlineStr">
        <is>
          <t>Service Income</t>
        </is>
      </c>
      <c r="I2960" s="33" t="n">
        <v>36432.08</v>
      </c>
      <c r="J2960" s="13">
        <f>+J2959+I2960</f>
        <v>7621253.8</v>
      </c>
      <c r="K2960" s="19">
        <f>+EOMONTH(B2960,0)</f>
        <v>46234</v>
      </c>
      <c r="L2960" s="3" t="inlineStr">
        <is>
          <t>Service Income</t>
        </is>
      </c>
      <c r="M2960" s="3" t="inlineStr">
        <is>
          <t>Net Fee-for-Service</t>
        </is>
      </c>
    </row>
    <row r="2961">
      <c r="B2961" s="39" t="n">
        <v>46206</v>
      </c>
      <c r="C2961" s="3" t="inlineStr">
        <is>
          <t>Deposit</t>
        </is>
      </c>
      <c r="D2961" s="3" t="inlineStr"/>
      <c r="E2961" s="3" t="inlineStr">
        <is>
          <t>Silvermoss Senior Living</t>
        </is>
      </c>
      <c r="F2961" s="3" t="inlineStr">
        <is>
          <t>ORIG CO NAME:SILVERMOSS SL ORIG ID:XXXXXX3125 DESC DATE:260703 CO ENTRY DESCR:HCCLAIMPMT SEC:CCD TRACE#:XXXXXXXX1412352 EED:260703 IND ID:</t>
        </is>
      </c>
      <c r="G2961" s="3" t="inlineStr">
        <is>
          <t>Checking – Operating</t>
        </is>
      </c>
      <c r="H2961" s="3" t="inlineStr">
        <is>
          <t>Service Income</t>
        </is>
      </c>
      <c r="I2961" s="33" t="n">
        <v>53879.83</v>
      </c>
      <c r="J2961" s="13">
        <f>+J2960+I2961</f>
        <v>7675133.63</v>
      </c>
      <c r="K2961" s="19">
        <f>+EOMONTH(B2961,0)</f>
        <v>46234</v>
      </c>
      <c r="L2961" s="3" t="inlineStr">
        <is>
          <t>Service Income</t>
        </is>
      </c>
      <c r="M2961" s="3" t="inlineStr">
        <is>
          <t>Net Fee-for-Service</t>
        </is>
      </c>
    </row>
    <row r="2962">
      <c r="B2962" s="39" t="n">
        <v>46206</v>
      </c>
      <c r="C2962" s="3" t="inlineStr">
        <is>
          <t>Deposit</t>
        </is>
      </c>
      <c r="D2962" s="3" t="inlineStr"/>
      <c r="E2962" s="3" t="inlineStr">
        <is>
          <t>Lanternway Benefits</t>
        </is>
      </c>
      <c r="F2962" s="3" t="inlineStr">
        <is>
          <t>ORIG CO NAME:LANTERNWAY BEN ORIG ID:XXXXXX2297 DESC DATE:260703 CO ENTRY DESCR:HCCLAIMPMT SEC:CCD TRACE#:XXXXXXXX7861136 EED:260703 IND ID:</t>
        </is>
      </c>
      <c r="G2962" s="3" t="inlineStr">
        <is>
          <t>Checking – Operating</t>
        </is>
      </c>
      <c r="H2962" s="3" t="inlineStr">
        <is>
          <t>Service Income</t>
        </is>
      </c>
      <c r="I2962" s="33" t="n">
        <v>40016.93</v>
      </c>
      <c r="J2962" s="13">
        <f>+J2961+I2962</f>
        <v>7715150.56</v>
      </c>
      <c r="K2962" s="19">
        <f>+EOMONTH(B2962,0)</f>
        <v>46234</v>
      </c>
      <c r="L2962" s="3" t="inlineStr">
        <is>
          <t>Service Income</t>
        </is>
      </c>
      <c r="M2962" s="3" t="inlineStr">
        <is>
          <t>Net Fee-for-Service</t>
        </is>
      </c>
    </row>
    <row r="2963">
      <c r="B2963" s="39" t="n">
        <v>46206</v>
      </c>
      <c r="C2963" s="3" t="inlineStr">
        <is>
          <t>Deposit</t>
        </is>
      </c>
      <c r="D2963" s="3" t="inlineStr"/>
      <c r="E2963" s="3" t="inlineStr">
        <is>
          <t>Quayside Choice Senior Plan</t>
        </is>
      </c>
      <c r="F2963" s="3" t="inlineStr">
        <is>
          <t>ORIG CO NAME:QUAYSIDE CHOICE SP ORIG ID:XXXXXX2143 DESC DATE:260703 CO ENTRY DESCR:HCCLAIMPMT SEC:CCD TRACE#:XXXXXXXX9791017 EED:260703 IND ID:</t>
        </is>
      </c>
      <c r="G2963" s="3" t="inlineStr">
        <is>
          <t>Checking – Operating</t>
        </is>
      </c>
      <c r="H2963" s="3" t="inlineStr">
        <is>
          <t>Service Income</t>
        </is>
      </c>
      <c r="I2963" s="33" t="n">
        <v>53316.09</v>
      </c>
      <c r="J2963" s="13">
        <f>+J2962+I2963</f>
        <v>7768466.65</v>
      </c>
      <c r="K2963" s="19">
        <f>+EOMONTH(B2963,0)</f>
        <v>46234</v>
      </c>
      <c r="L2963" s="3" t="inlineStr">
        <is>
          <t>Service Income</t>
        </is>
      </c>
      <c r="M2963" s="3" t="inlineStr">
        <is>
          <t>Net Fee-for-Service</t>
        </is>
      </c>
    </row>
    <row r="2964">
      <c r="B2964" s="39" t="n">
        <v>46211</v>
      </c>
      <c r="C2964" s="3" t="inlineStr">
        <is>
          <t>Deposit</t>
        </is>
      </c>
      <c r="D2964" s="3" t="inlineStr"/>
      <c r="E2964" s="3" t="inlineStr">
        <is>
          <t>Marrowby Mutual</t>
        </is>
      </c>
      <c r="F2964" s="3" t="inlineStr">
        <is>
          <t>ORIG CO NAME:MARROWBY MUTUAL ORIG ID:XXXXXX8653 DESC DATE:260708 CO ENTRY DESCR:HCCLAIMPMT SEC:CCD TRACE#:XXXXXXXX8237690 EED:260708 IND ID:</t>
        </is>
      </c>
      <c r="G2964" s="3" t="inlineStr">
        <is>
          <t>Checking – Operating</t>
        </is>
      </c>
      <c r="H2964" s="3" t="inlineStr">
        <is>
          <t>Service Income</t>
        </is>
      </c>
      <c r="I2964" s="33" t="n">
        <v>104941.88</v>
      </c>
      <c r="J2964" s="13">
        <f>+J2963+I2964</f>
        <v>7873408.53</v>
      </c>
      <c r="K2964" s="19">
        <f>+EOMONTH(B2964,0)</f>
        <v>46234</v>
      </c>
      <c r="L2964" s="3" t="inlineStr">
        <is>
          <t>Service Income</t>
        </is>
      </c>
      <c r="M2964" s="3" t="inlineStr">
        <is>
          <t>Net Fee-for-Service</t>
        </is>
      </c>
    </row>
    <row r="2965">
      <c r="B2965" s="39" t="n">
        <v>46211</v>
      </c>
      <c r="C2965" s="3" t="inlineStr">
        <is>
          <t>Deposit</t>
        </is>
      </c>
      <c r="D2965" s="3" t="inlineStr"/>
      <c r="E2965" s="3" t="inlineStr">
        <is>
          <t>Federal Program A</t>
        </is>
      </c>
      <c r="F2965" s="3" t="inlineStr">
        <is>
          <t>ORIG CO NAME:FEDERAL PROG A ORIG ID:XXXXXX3768 DESC DATE:260708 CO ENTRY DESCR:HCCLAIMPMT SEC:CCD TRACE#:XXXXXXXX6307493 EED:260708 IND ID:</t>
        </is>
      </c>
      <c r="G2965" s="3" t="inlineStr">
        <is>
          <t>Checking – Operating</t>
        </is>
      </c>
      <c r="H2965" s="3" t="inlineStr">
        <is>
          <t>Service Income</t>
        </is>
      </c>
      <c r="I2965" s="33" t="n">
        <v>77249.55</v>
      </c>
      <c r="J2965" s="13">
        <f>+J2964+I2965</f>
        <v>7950658.08</v>
      </c>
      <c r="K2965" s="19">
        <f>+EOMONTH(B2965,0)</f>
        <v>46234</v>
      </c>
      <c r="L2965" s="3" t="inlineStr">
        <is>
          <t>Service Income</t>
        </is>
      </c>
      <c r="M2965" s="3" t="inlineStr">
        <is>
          <t>Net Fee-for-Service</t>
        </is>
      </c>
    </row>
    <row r="2966">
      <c r="B2966" s="39" t="n">
        <v>46213</v>
      </c>
      <c r="C2966" s="3" t="inlineStr">
        <is>
          <t>Deposit</t>
        </is>
      </c>
      <c r="D2966" s="3" t="inlineStr"/>
      <c r="E2966" s="3" t="inlineStr">
        <is>
          <t>Lanternway Benefits</t>
        </is>
      </c>
      <c r="F2966" s="3" t="inlineStr">
        <is>
          <t>ORIG CO NAME:LANTERNWAY BEN ORIG ID:XXXXXX2790 DESC DATE:260710 CO ENTRY DESCR:HCCLAIMPMT SEC:CCD TRACE#:XXXXXXXX2554313 EED:260710 IND ID:</t>
        </is>
      </c>
      <c r="G2966" s="3" t="inlineStr">
        <is>
          <t>Checking – Operating</t>
        </is>
      </c>
      <c r="H2966" s="3" t="inlineStr">
        <is>
          <t>Service Income</t>
        </is>
      </c>
      <c r="I2966" s="33" t="n">
        <v>41975.72</v>
      </c>
      <c r="J2966" s="13">
        <f>+J2965+I2966</f>
        <v>7992633.8</v>
      </c>
      <c r="K2966" s="19">
        <f>+EOMONTH(B2966,0)</f>
        <v>46234</v>
      </c>
      <c r="L2966" s="3" t="inlineStr">
        <is>
          <t>Service Income</t>
        </is>
      </c>
      <c r="M2966" s="3" t="inlineStr">
        <is>
          <t>Net Fee-for-Service</t>
        </is>
      </c>
    </row>
    <row r="2967">
      <c r="B2967" s="39" t="n">
        <v>46213</v>
      </c>
      <c r="C2967" s="3" t="inlineStr">
        <is>
          <t>Deposit</t>
        </is>
      </c>
      <c r="D2967" s="3" t="inlineStr"/>
      <c r="E2967" s="3" t="inlineStr">
        <is>
          <t>Quayside Choice Senior Plan</t>
        </is>
      </c>
      <c r="F2967" s="3" t="inlineStr">
        <is>
          <t>ORIG CO NAME:QUAYSIDE CHOICE SP ORIG ID:XXXXXX1695 DESC DATE:260710 CO ENTRY DESCR:HCCLAIMPMT SEC:CCD TRACE#:XXXXXXXX8856932 EED:260710 IND ID:</t>
        </is>
      </c>
      <c r="G2967" s="3" t="inlineStr">
        <is>
          <t>Checking – Operating</t>
        </is>
      </c>
      <c r="H2967" s="3" t="inlineStr">
        <is>
          <t>Service Income</t>
        </is>
      </c>
      <c r="I2967" s="33" t="n">
        <v>29928.67</v>
      </c>
      <c r="J2967" s="13">
        <f>+J2966+I2967</f>
        <v>8022562.47</v>
      </c>
      <c r="K2967" s="19">
        <f>+EOMONTH(B2967,0)</f>
        <v>46234</v>
      </c>
      <c r="L2967" s="3" t="inlineStr">
        <is>
          <t>Service Income</t>
        </is>
      </c>
      <c r="M2967" s="3" t="inlineStr">
        <is>
          <t>Net Fee-for-Service</t>
        </is>
      </c>
    </row>
    <row r="2968">
      <c r="B2968" s="39" t="n">
        <v>46215</v>
      </c>
      <c r="C2968" s="3" t="inlineStr">
        <is>
          <t>Deposit</t>
        </is>
      </c>
      <c r="D2968" s="3" t="inlineStr"/>
      <c r="E2968" s="3" t="inlineStr">
        <is>
          <t>State Program B</t>
        </is>
      </c>
      <c r="F2968" s="3" t="inlineStr">
        <is>
          <t>ORIG CO NAME:STATE PROG B ORIG ID:XXXXXX2994 DESC DATE:260712 CO ENTRY DESCR:HCCLAIMPMT SEC:CCD TRACE#:XXXXXXXX8282527 EED:260712 IND ID:</t>
        </is>
      </c>
      <c r="G2968" s="3" t="inlineStr">
        <is>
          <t>Checking – Operating</t>
        </is>
      </c>
      <c r="H2968" s="3" t="inlineStr">
        <is>
          <t>Service Income</t>
        </is>
      </c>
      <c r="I2968" s="33" t="n">
        <v>36765.42</v>
      </c>
      <c r="J2968" s="13">
        <f>+J2967+I2968</f>
        <v>8059327.89</v>
      </c>
      <c r="K2968" s="19">
        <f>+EOMONTH(B2968,0)</f>
        <v>46234</v>
      </c>
      <c r="L2968" s="3" t="inlineStr">
        <is>
          <t>Service Income</t>
        </is>
      </c>
      <c r="M2968" s="3" t="inlineStr">
        <is>
          <t>Net Fee-for-Service</t>
        </is>
      </c>
    </row>
    <row r="2969">
      <c r="B2969" s="39" t="n">
        <v>46215</v>
      </c>
      <c r="C2969" s="3" t="inlineStr">
        <is>
          <t>Deposit</t>
        </is>
      </c>
      <c r="D2969" s="3" t="inlineStr"/>
      <c r="E2969" s="3" t="inlineStr">
        <is>
          <t>Lanternway Benefits</t>
        </is>
      </c>
      <c r="F2969" s="3" t="inlineStr">
        <is>
          <t>ORIG CO NAME:LANTERNWAY BEN ORIG ID:XXXXXX3789 DESC DATE:260712 CO ENTRY DESCR:HCCLAIMPMT SEC:CCD TRACE#:XXXXXXXX9249650 EED:260712 IND ID:</t>
        </is>
      </c>
      <c r="G2969" s="3" t="inlineStr">
        <is>
          <t>Checking – Operating</t>
        </is>
      </c>
      <c r="H2969" s="3" t="inlineStr">
        <is>
          <t>Service Income</t>
        </is>
      </c>
      <c r="I2969" s="33" t="n">
        <v>46176.61</v>
      </c>
      <c r="J2969" s="13">
        <f>+J2968+I2969</f>
        <v>8105504.5</v>
      </c>
      <c r="K2969" s="19">
        <f>+EOMONTH(B2969,0)</f>
        <v>46234</v>
      </c>
      <c r="L2969" s="3" t="inlineStr">
        <is>
          <t>Service Income</t>
        </is>
      </c>
      <c r="M2969" s="3" t="inlineStr">
        <is>
          <t>Net Fee-for-Service</t>
        </is>
      </c>
    </row>
    <row r="2970">
      <c r="B2970" s="39" t="n">
        <v>46220</v>
      </c>
      <c r="C2970" s="3" t="inlineStr">
        <is>
          <t>Deposit</t>
        </is>
      </c>
      <c r="D2970" s="3" t="inlineStr"/>
      <c r="E2970" s="3" t="inlineStr">
        <is>
          <t>State Program B</t>
        </is>
      </c>
      <c r="F2970" s="3" t="inlineStr">
        <is>
          <t>ORIG CO NAME:STATE PROG B ORIG ID:XXXXXX8764 DESC DATE:260717 CO ENTRY DESCR:HCCLAIMPMT SEC:CCD TRACE#:XXXXXXXX1477181 EED:260717 IND ID:</t>
        </is>
      </c>
      <c r="G2970" s="3" t="inlineStr">
        <is>
          <t>Checking – Operating</t>
        </is>
      </c>
      <c r="H2970" s="3" t="inlineStr">
        <is>
          <t>Service Income</t>
        </is>
      </c>
      <c r="I2970" s="33" t="n">
        <v>42154.84</v>
      </c>
      <c r="J2970" s="13">
        <f>+J2969+I2970</f>
        <v>8147659.34</v>
      </c>
      <c r="K2970" s="19">
        <f>+EOMONTH(B2970,0)</f>
        <v>46234</v>
      </c>
      <c r="L2970" s="3" t="inlineStr">
        <is>
          <t>Service Income</t>
        </is>
      </c>
      <c r="M2970" s="3" t="inlineStr">
        <is>
          <t>Net Fee-for-Service</t>
        </is>
      </c>
    </row>
    <row r="2971">
      <c r="B2971" s="39" t="n">
        <v>46221</v>
      </c>
      <c r="C2971" s="3" t="inlineStr">
        <is>
          <t>Deposit</t>
        </is>
      </c>
      <c r="D2971" s="3" t="inlineStr"/>
      <c r="E2971" s="3" t="inlineStr">
        <is>
          <t>Vantrelle Health Plan</t>
        </is>
      </c>
      <c r="F2971" s="3" t="inlineStr">
        <is>
          <t>ORIG CO NAME:VANTRELLE HP ORIG ID:XXXXXX3244 DESC DATE:260718 CO ENTRY DESCR:HCCLAIMPMT SEC:CCD TRACE#:XXXXXXXX1112003 EED:260718 IND ID:</t>
        </is>
      </c>
      <c r="G2971" s="3" t="inlineStr">
        <is>
          <t>Checking – Operating</t>
        </is>
      </c>
      <c r="H2971" s="3" t="inlineStr">
        <is>
          <t>Service Income</t>
        </is>
      </c>
      <c r="I2971" s="33" t="n">
        <v>107870.07</v>
      </c>
      <c r="J2971" s="13">
        <f>+J2970+I2971</f>
        <v>8255529.41</v>
      </c>
      <c r="K2971" s="19">
        <f>+EOMONTH(B2971,0)</f>
        <v>46234</v>
      </c>
      <c r="L2971" s="3" t="inlineStr">
        <is>
          <t>Service Income</t>
        </is>
      </c>
      <c r="M2971" s="3" t="inlineStr">
        <is>
          <t>Net Fee-for-Service</t>
        </is>
      </c>
    </row>
    <row r="2972">
      <c r="B2972" s="39" t="n">
        <v>46222</v>
      </c>
      <c r="C2972" s="3" t="inlineStr">
        <is>
          <t>Deposit</t>
        </is>
      </c>
      <c r="D2972" s="3" t="inlineStr"/>
      <c r="E2972" s="3" t="inlineStr">
        <is>
          <t>Quayside Choice Senior Plan</t>
        </is>
      </c>
      <c r="F2972" s="3" t="inlineStr">
        <is>
          <t>ORIG CO NAME:QUAYSIDE CHOICE SP ORIG ID:XXXXXX4567 DESC DATE:260719 CO ENTRY DESCR:HCCLAIMPMT SEC:CCD TRACE#:XXXXXXXX7624833 EED:260719 IND ID:</t>
        </is>
      </c>
      <c r="G2972" s="3" t="inlineStr">
        <is>
          <t>Checking – Operating</t>
        </is>
      </c>
      <c r="H2972" s="3" t="inlineStr">
        <is>
          <t>Service Income</t>
        </is>
      </c>
      <c r="I2972" s="33" t="n">
        <v>57741.43</v>
      </c>
      <c r="J2972" s="13">
        <f>+J2971+I2972</f>
        <v>8313270.84</v>
      </c>
      <c r="K2972" s="19">
        <f>+EOMONTH(B2972,0)</f>
        <v>46234</v>
      </c>
      <c r="L2972" s="3" t="inlineStr">
        <is>
          <t>Service Income</t>
        </is>
      </c>
      <c r="M2972" s="3" t="inlineStr">
        <is>
          <t>Net Fee-for-Service</t>
        </is>
      </c>
    </row>
    <row r="2973">
      <c r="B2973" s="39" t="n">
        <v>46229</v>
      </c>
      <c r="C2973" s="3" t="inlineStr">
        <is>
          <t>Deposit</t>
        </is>
      </c>
      <c r="D2973" s="3" t="inlineStr"/>
      <c r="E2973" s="3" t="inlineStr">
        <is>
          <t>Marrowby Mutual</t>
        </is>
      </c>
      <c r="F2973" s="3" t="inlineStr">
        <is>
          <t>ORIG CO NAME:MARROWBY MUTUAL ORIG ID:XXXXXX7287 DESC DATE:260726 CO ENTRY DESCR:HCCLAIMPMT SEC:CCD TRACE#:XXXXXXXX3339583 EED:260726 IND ID:</t>
        </is>
      </c>
      <c r="G2973" s="3" t="inlineStr">
        <is>
          <t>Checking – Operating</t>
        </is>
      </c>
      <c r="H2973" s="3" t="inlineStr">
        <is>
          <t>Service Income</t>
        </is>
      </c>
      <c r="I2973" s="33" t="n">
        <v>74495.09</v>
      </c>
      <c r="J2973" s="13">
        <f>+J2972+I2973</f>
        <v>8387765.93</v>
      </c>
      <c r="K2973" s="19">
        <f>+EOMONTH(B2973,0)</f>
        <v>46234</v>
      </c>
      <c r="L2973" s="3" t="inlineStr">
        <is>
          <t>Service Income</t>
        </is>
      </c>
      <c r="M2973" s="3" t="inlineStr">
        <is>
          <t>Net Fee-for-Service</t>
        </is>
      </c>
    </row>
    <row r="2974">
      <c r="B2974" s="39" t="n">
        <v>46234</v>
      </c>
      <c r="C2974" s="3" t="inlineStr">
        <is>
          <t>Deposit</t>
        </is>
      </c>
      <c r="D2974" s="3" t="inlineStr"/>
      <c r="E2974" s="3" t="inlineStr">
        <is>
          <t>Silvermoss Senior Living</t>
        </is>
      </c>
      <c r="F2974" s="3" t="inlineStr">
        <is>
          <t>ORIG CO NAME:SILVERMOSS SL ORIG ID:XXXXXX2125 DESC DATE:260731 CO ENTRY DESCR:HCCLAIMPMT SEC:CCD TRACE#:XXXXXXXX1164564 EED:260731 IND ID:</t>
        </is>
      </c>
      <c r="G2974" s="3" t="inlineStr">
        <is>
          <t>Checking – Operating</t>
        </is>
      </c>
      <c r="H2974" s="3" t="inlineStr">
        <is>
          <t>Service Income</t>
        </is>
      </c>
      <c r="I2974" s="33" t="n">
        <v>48655.58</v>
      </c>
      <c r="J2974" s="13">
        <f>+J2973+I2974</f>
        <v>8436421.51</v>
      </c>
      <c r="K2974" s="19">
        <f>+EOMONTH(B2974,0)</f>
        <v>46234</v>
      </c>
      <c r="L2974" s="3" t="inlineStr">
        <is>
          <t>Service Income</t>
        </is>
      </c>
      <c r="M2974" s="3" t="inlineStr">
        <is>
          <t>Net Fee-for-Service</t>
        </is>
      </c>
    </row>
    <row r="2975">
      <c r="B2975" s="39" t="n">
        <v>46235</v>
      </c>
      <c r="C2975" s="3" t="inlineStr">
        <is>
          <t>Deposit</t>
        </is>
      </c>
      <c r="D2975" s="3" t="inlineStr"/>
      <c r="E2975" s="3" t="inlineStr">
        <is>
          <t>Federal Program A</t>
        </is>
      </c>
      <c r="F2975" s="3" t="inlineStr">
        <is>
          <t>ORIG CO NAME:FEDERAL PROG A ORIG ID:XXXXXX6822 DESC DATE:260801 CO ENTRY DESCR:HCCLAIMPMT SEC:CCD TRACE#:XXXXXXXX8993356 EED:260801 IND ID:</t>
        </is>
      </c>
      <c r="G2975" s="3" t="inlineStr">
        <is>
          <t>Checking – Operating</t>
        </is>
      </c>
      <c r="H2975" s="3" t="inlineStr">
        <is>
          <t>Service Income</t>
        </is>
      </c>
      <c r="I2975" s="33" t="n">
        <v>84806.14999999999</v>
      </c>
      <c r="J2975" s="13">
        <f>+J2974+I2975</f>
        <v>8521227.66</v>
      </c>
      <c r="K2975" s="19">
        <f>+EOMONTH(B2975,0)</f>
        <v>46265</v>
      </c>
      <c r="L2975" s="3" t="inlineStr">
        <is>
          <t>Service Income</t>
        </is>
      </c>
      <c r="M2975" s="3" t="inlineStr">
        <is>
          <t>Net Fee-for-Service</t>
        </is>
      </c>
    </row>
    <row r="2976">
      <c r="B2976" s="39" t="n">
        <v>46235</v>
      </c>
      <c r="C2976" s="3" t="inlineStr">
        <is>
          <t>Deposit</t>
        </is>
      </c>
      <c r="D2976" s="3" t="inlineStr"/>
      <c r="E2976" s="3" t="inlineStr">
        <is>
          <t>Cobaltmere Health</t>
        </is>
      </c>
      <c r="F2976" s="3" t="inlineStr">
        <is>
          <t>ORIG CO NAME:COBALTMERE HEALTH ORIG ID:XXXXXX5417 DESC DATE:260801 CO ENTRY DESCR:HCCLAIMPMT SEC:CCD TRACE#:XXXXXXXX1559672 EED:260801 IND ID:</t>
        </is>
      </c>
      <c r="G2976" s="3" t="inlineStr">
        <is>
          <t>Checking – Operating</t>
        </is>
      </c>
      <c r="H2976" s="3" t="inlineStr">
        <is>
          <t>Service Income</t>
        </is>
      </c>
      <c r="I2976" s="33" t="n">
        <v>16692.26</v>
      </c>
      <c r="J2976" s="13">
        <f>+J2975+I2976</f>
        <v>8537919.92</v>
      </c>
      <c r="K2976" s="19">
        <f>+EOMONTH(B2976,0)</f>
        <v>46265</v>
      </c>
      <c r="L2976" s="3" t="inlineStr">
        <is>
          <t>Service Income</t>
        </is>
      </c>
      <c r="M2976" s="3" t="inlineStr">
        <is>
          <t>Net Fee-for-Service</t>
        </is>
      </c>
    </row>
    <row r="2977">
      <c r="B2977" s="39" t="n">
        <v>46236</v>
      </c>
      <c r="C2977" s="3" t="inlineStr">
        <is>
          <t>Deposit</t>
        </is>
      </c>
      <c r="D2977" s="3" t="inlineStr"/>
      <c r="E2977" s="3" t="inlineStr">
        <is>
          <t>Vantrelle Health Plan</t>
        </is>
      </c>
      <c r="F2977" s="3" t="inlineStr">
        <is>
          <t>ORIG CO NAME:VANTRELLE HP ORIG ID:XXXXXX3786 DESC DATE:260802 CO ENTRY DESCR:HCCLAIMPMT SEC:CCD TRACE#:XXXXXXXX9760052 EED:260802 IND ID:</t>
        </is>
      </c>
      <c r="G2977" s="3" t="inlineStr">
        <is>
          <t>Checking – Operating</t>
        </is>
      </c>
      <c r="H2977" s="3" t="inlineStr">
        <is>
          <t>Service Income</t>
        </is>
      </c>
      <c r="I2977" s="33" t="n">
        <v>112611.21</v>
      </c>
      <c r="J2977" s="13">
        <f>+J2976+I2977</f>
        <v>8650531.13</v>
      </c>
      <c r="K2977" s="19">
        <f>+EOMONTH(B2977,0)</f>
        <v>46265</v>
      </c>
      <c r="L2977" s="3" t="inlineStr">
        <is>
          <t>Service Income</t>
        </is>
      </c>
      <c r="M2977" s="3" t="inlineStr">
        <is>
          <t>Net Fee-for-Service</t>
        </is>
      </c>
    </row>
    <row r="2978">
      <c r="B2978" s="39" t="n">
        <v>46237</v>
      </c>
      <c r="C2978" s="3" t="inlineStr">
        <is>
          <t>Deposit</t>
        </is>
      </c>
      <c r="D2978" s="3" t="inlineStr"/>
      <c r="E2978" s="3" t="inlineStr">
        <is>
          <t>Marrowby Mutual</t>
        </is>
      </c>
      <c r="F2978" s="3" t="inlineStr">
        <is>
          <t>ORIG CO NAME:MARROWBY MUTUAL ORIG ID:XXXXXX6960 DESC DATE:260803 CO ENTRY DESCR:HCCLAIMPMT SEC:CCD TRACE#:XXXXXXXX2302375 EED:260803 IND ID:</t>
        </is>
      </c>
      <c r="G2978" s="3" t="inlineStr">
        <is>
          <t>Checking – Operating</t>
        </is>
      </c>
      <c r="H2978" s="3" t="inlineStr">
        <is>
          <t>Service Income</t>
        </is>
      </c>
      <c r="I2978" s="33" t="n">
        <v>72425.28</v>
      </c>
      <c r="J2978" s="13">
        <f>+J2977+I2978</f>
        <v>8722956.41</v>
      </c>
      <c r="K2978" s="19">
        <f>+EOMONTH(B2978,0)</f>
        <v>46265</v>
      </c>
      <c r="L2978" s="3" t="inlineStr">
        <is>
          <t>Service Income</t>
        </is>
      </c>
      <c r="M2978" s="3" t="inlineStr">
        <is>
          <t>Net Fee-for-Service</t>
        </is>
      </c>
    </row>
    <row r="2979">
      <c r="B2979" s="39" t="n">
        <v>46238</v>
      </c>
      <c r="C2979" s="3" t="inlineStr">
        <is>
          <t>Deposit</t>
        </is>
      </c>
      <c r="D2979" s="3" t="inlineStr"/>
      <c r="E2979" s="3" t="inlineStr">
        <is>
          <t>Federal Program A</t>
        </is>
      </c>
      <c r="F2979" s="3" t="inlineStr">
        <is>
          <t>ORIG CO NAME:FEDERAL PROG A ORIG ID:XXXXXX7065 DESC DATE:260804 CO ENTRY DESCR:HCCLAIMPMT SEC:CCD TRACE#:XXXXXXXX2857685 EED:260804 IND ID:</t>
        </is>
      </c>
      <c r="G2979" s="3" t="inlineStr">
        <is>
          <t>Checking – Operating</t>
        </is>
      </c>
      <c r="H2979" s="3" t="inlineStr">
        <is>
          <t>Service Income</t>
        </is>
      </c>
      <c r="I2979" s="33" t="n">
        <v>134271.9</v>
      </c>
      <c r="J2979" s="13">
        <f>+J2978+I2979</f>
        <v>8857228.31</v>
      </c>
      <c r="K2979" s="19">
        <f>+EOMONTH(B2979,0)</f>
        <v>46265</v>
      </c>
      <c r="L2979" s="3" t="inlineStr">
        <is>
          <t>Service Income</t>
        </is>
      </c>
      <c r="M2979" s="3" t="inlineStr">
        <is>
          <t>Net Fee-for-Service</t>
        </is>
      </c>
    </row>
    <row r="2980">
      <c r="B2980" s="39" t="n">
        <v>46238</v>
      </c>
      <c r="C2980" s="3" t="inlineStr">
        <is>
          <t>Deposit</t>
        </is>
      </c>
      <c r="D2980" s="3" t="inlineStr"/>
      <c r="E2980" s="3" t="inlineStr">
        <is>
          <t>Lanternway Benefits</t>
        </is>
      </c>
      <c r="F2980" s="3" t="inlineStr">
        <is>
          <t>ORIG CO NAME:LANTERNWAY BEN ORIG ID:XXXXXX7011 DESC DATE:260804 CO ENTRY DESCR:HCCLAIMPMT SEC:CCD TRACE#:XXXXXXXX9463366 EED:260804 IND ID:</t>
        </is>
      </c>
      <c r="G2980" s="3" t="inlineStr">
        <is>
          <t>Checking – Operating</t>
        </is>
      </c>
      <c r="H2980" s="3" t="inlineStr">
        <is>
          <t>Service Income</t>
        </is>
      </c>
      <c r="I2980" s="33" t="n">
        <v>43013.83</v>
      </c>
      <c r="J2980" s="13">
        <f>+J2979+I2980</f>
        <v>8900242.14</v>
      </c>
      <c r="K2980" s="19">
        <f>+EOMONTH(B2980,0)</f>
        <v>46265</v>
      </c>
      <c r="L2980" s="3" t="inlineStr">
        <is>
          <t>Service Income</t>
        </is>
      </c>
      <c r="M2980" s="3" t="inlineStr">
        <is>
          <t>Net Fee-for-Service</t>
        </is>
      </c>
    </row>
    <row r="2981">
      <c r="B2981" s="39" t="n">
        <v>46240</v>
      </c>
      <c r="C2981" s="3" t="inlineStr">
        <is>
          <t>Deposit</t>
        </is>
      </c>
      <c r="D2981" s="3" t="inlineStr"/>
      <c r="E2981" s="3" t="inlineStr">
        <is>
          <t>Quayside Choice Senior Plan</t>
        </is>
      </c>
      <c r="F2981" s="3" t="inlineStr">
        <is>
          <t>ORIG CO NAME:QUAYSIDE CHOICE SP ORIG ID:XXXXXX5105 DESC DATE:260806 CO ENTRY DESCR:HCCLAIMPMT SEC:CCD TRACE#:XXXXXXXX8123027 EED:260806 IND ID:</t>
        </is>
      </c>
      <c r="G2981" s="3" t="inlineStr">
        <is>
          <t>Checking – Operating</t>
        </is>
      </c>
      <c r="H2981" s="3" t="inlineStr">
        <is>
          <t>Service Income</t>
        </is>
      </c>
      <c r="I2981" s="33" t="n">
        <v>75370.64999999999</v>
      </c>
      <c r="J2981" s="13">
        <f>+J2980+I2981</f>
        <v>8975612.79</v>
      </c>
      <c r="K2981" s="19">
        <f>+EOMONTH(B2981,0)</f>
        <v>46265</v>
      </c>
      <c r="L2981" s="3" t="inlineStr">
        <is>
          <t>Service Income</t>
        </is>
      </c>
      <c r="M2981" s="3" t="inlineStr">
        <is>
          <t>Net Fee-for-Service</t>
        </is>
      </c>
    </row>
    <row r="2982">
      <c r="B2982" s="39" t="n">
        <v>46242</v>
      </c>
      <c r="C2982" s="3" t="inlineStr">
        <is>
          <t>Deposit</t>
        </is>
      </c>
      <c r="D2982" s="3" t="inlineStr"/>
      <c r="E2982" s="3" t="inlineStr">
        <is>
          <t>Cobaltmere Health</t>
        </is>
      </c>
      <c r="F2982" s="3" t="inlineStr">
        <is>
          <t>ORIG CO NAME:COBALTMERE HEALTH ORIG ID:XXXXXX6250 DESC DATE:260808 CO ENTRY DESCR:HCCLAIMPMT SEC:CCD TRACE#:XXXXXXXX1243201 EED:260808 IND ID:</t>
        </is>
      </c>
      <c r="G2982" s="3" t="inlineStr">
        <is>
          <t>Checking – Operating</t>
        </is>
      </c>
      <c r="H2982" s="3" t="inlineStr">
        <is>
          <t>Service Income</t>
        </is>
      </c>
      <c r="I2982" s="33" t="n">
        <v>28601.68</v>
      </c>
      <c r="J2982" s="13">
        <f>+J2981+I2982</f>
        <v>9004214.47</v>
      </c>
      <c r="K2982" s="19">
        <f>+EOMONTH(B2982,0)</f>
        <v>46265</v>
      </c>
      <c r="L2982" s="3" t="inlineStr">
        <is>
          <t>Service Income</t>
        </is>
      </c>
      <c r="M2982" s="3" t="inlineStr">
        <is>
          <t>Net Fee-for-Service</t>
        </is>
      </c>
    </row>
    <row r="2983">
      <c r="B2983" s="39" t="n">
        <v>46247</v>
      </c>
      <c r="C2983" s="3" t="inlineStr">
        <is>
          <t>Deposit</t>
        </is>
      </c>
      <c r="D2983" s="3" t="inlineStr"/>
      <c r="E2983" s="3" t="inlineStr">
        <is>
          <t>Marrowby Mutual</t>
        </is>
      </c>
      <c r="F2983" s="3" t="inlineStr">
        <is>
          <t>ORIG CO NAME:MARROWBY MUTUAL ORIG ID:XXXXXX5920 DESC DATE:260813 CO ENTRY DESCR:HCCLAIMPMT SEC:CCD TRACE#:XXXXXXXX3314636 EED:260813 IND ID:</t>
        </is>
      </c>
      <c r="G2983" s="3" t="inlineStr">
        <is>
          <t>Checking – Operating</t>
        </is>
      </c>
      <c r="H2983" s="3" t="inlineStr">
        <is>
          <t>Service Income</t>
        </is>
      </c>
      <c r="I2983" s="33" t="n">
        <v>97968.75999999999</v>
      </c>
      <c r="J2983" s="13">
        <f>+J2982+I2983</f>
        <v>9102183.23</v>
      </c>
      <c r="K2983" s="19">
        <f>+EOMONTH(B2983,0)</f>
        <v>46265</v>
      </c>
      <c r="L2983" s="3" t="inlineStr">
        <is>
          <t>Service Income</t>
        </is>
      </c>
      <c r="M2983" s="3" t="inlineStr">
        <is>
          <t>Net Fee-for-Service</t>
        </is>
      </c>
    </row>
    <row r="2984">
      <c r="B2984" s="39" t="n">
        <v>46249</v>
      </c>
      <c r="C2984" s="3" t="inlineStr">
        <is>
          <t>Deposit</t>
        </is>
      </c>
      <c r="D2984" s="3" t="inlineStr"/>
      <c r="E2984" s="3" t="inlineStr">
        <is>
          <t>Silvermoss Senior Living</t>
        </is>
      </c>
      <c r="F2984" s="3" t="inlineStr">
        <is>
          <t>ORIG CO NAME:SILVERMOSS SL ORIG ID:XXXXXX9409 DESC DATE:260815 CO ENTRY DESCR:HCCLAIMPMT SEC:CCD TRACE#:XXXXXXXX3410829 EED:260815 IND ID:</t>
        </is>
      </c>
      <c r="G2984" s="3" t="inlineStr">
        <is>
          <t>Checking – Operating</t>
        </is>
      </c>
      <c r="H2984" s="3" t="inlineStr">
        <is>
          <t>Service Income</t>
        </is>
      </c>
      <c r="I2984" s="33" t="n">
        <v>20809.24</v>
      </c>
      <c r="J2984" s="13">
        <f>+J2983+I2984</f>
        <v>9122992.47</v>
      </c>
      <c r="K2984" s="19">
        <f>+EOMONTH(B2984,0)</f>
        <v>46265</v>
      </c>
      <c r="L2984" s="3" t="inlineStr">
        <is>
          <t>Service Income</t>
        </is>
      </c>
      <c r="M2984" s="3" t="inlineStr">
        <is>
          <t>Net Fee-for-Service</t>
        </is>
      </c>
    </row>
    <row r="2985">
      <c r="B2985" s="39" t="n">
        <v>46251</v>
      </c>
      <c r="C2985" s="3" t="inlineStr">
        <is>
          <t>Deposit</t>
        </is>
      </c>
      <c r="D2985" s="3" t="inlineStr"/>
      <c r="E2985" s="3" t="inlineStr">
        <is>
          <t>Silvermoss Senior Living</t>
        </is>
      </c>
      <c r="F2985" s="3" t="inlineStr">
        <is>
          <t>ORIG CO NAME:SILVERMOSS SL ORIG ID:XXXXXX1452 DESC DATE:260817 CO ENTRY DESCR:HCCLAIMPMT SEC:CCD TRACE#:XXXXXXXX6335101 EED:260817 IND ID:</t>
        </is>
      </c>
      <c r="G2985" s="3" t="inlineStr">
        <is>
          <t>Checking – Operating</t>
        </is>
      </c>
      <c r="H2985" s="3" t="inlineStr">
        <is>
          <t>Service Income</t>
        </is>
      </c>
      <c r="I2985" s="33" t="n">
        <v>32708.27</v>
      </c>
      <c r="J2985" s="13">
        <f>+J2984+I2985</f>
        <v>9155700.74</v>
      </c>
      <c r="K2985" s="19">
        <f>+EOMONTH(B2985,0)</f>
        <v>46265</v>
      </c>
      <c r="L2985" s="3" t="inlineStr">
        <is>
          <t>Service Income</t>
        </is>
      </c>
      <c r="M2985" s="3" t="inlineStr">
        <is>
          <t>Net Fee-for-Service</t>
        </is>
      </c>
    </row>
    <row r="2986">
      <c r="B2986" s="39" t="n">
        <v>46254</v>
      </c>
      <c r="C2986" s="3" t="inlineStr">
        <is>
          <t>Deposit</t>
        </is>
      </c>
      <c r="D2986" s="3" t="inlineStr"/>
      <c r="E2986" s="3" t="inlineStr">
        <is>
          <t>State Program B</t>
        </is>
      </c>
      <c r="F2986" s="3" t="inlineStr">
        <is>
          <t>ORIG CO NAME:STATE PROG B ORIG ID:XXXXXX1613 DESC DATE:260820 CO ENTRY DESCR:HCCLAIMPMT SEC:CCD TRACE#:XXXXXXXX9792896 EED:260820 IND ID:</t>
        </is>
      </c>
      <c r="G2986" s="3" t="inlineStr">
        <is>
          <t>Checking – Operating</t>
        </is>
      </c>
      <c r="H2986" s="3" t="inlineStr">
        <is>
          <t>Service Income</t>
        </is>
      </c>
      <c r="I2986" s="33" t="n">
        <v>44740.02</v>
      </c>
      <c r="J2986" s="13">
        <f>+J2985+I2986</f>
        <v>9200440.76</v>
      </c>
      <c r="K2986" s="19">
        <f>+EOMONTH(B2986,0)</f>
        <v>46265</v>
      </c>
      <c r="L2986" s="3" t="inlineStr">
        <is>
          <t>Service Income</t>
        </is>
      </c>
      <c r="M2986" s="3" t="inlineStr">
        <is>
          <t>Net Fee-for-Service</t>
        </is>
      </c>
    </row>
    <row r="2987">
      <c r="B2987" s="39" t="n">
        <v>46255</v>
      </c>
      <c r="C2987" s="3" t="inlineStr">
        <is>
          <t>Deposit</t>
        </is>
      </c>
      <c r="D2987" s="3" t="inlineStr"/>
      <c r="E2987" s="3" t="inlineStr">
        <is>
          <t>State Program B</t>
        </is>
      </c>
      <c r="F2987" s="3" t="inlineStr">
        <is>
          <t>ORIG CO NAME:STATE PROG B ORIG ID:XXXXXX5323 DESC DATE:260821 CO ENTRY DESCR:HCCLAIMPMT SEC:CCD TRACE#:XXXXXXXX8722478 EED:260821 IND ID:</t>
        </is>
      </c>
      <c r="G2987" s="3" t="inlineStr">
        <is>
          <t>Checking – Operating</t>
        </is>
      </c>
      <c r="H2987" s="3" t="inlineStr">
        <is>
          <t>Service Income</t>
        </is>
      </c>
      <c r="I2987" s="33" t="n">
        <v>64799.01</v>
      </c>
      <c r="J2987" s="13">
        <f>+J2986+I2987</f>
        <v>9265239.77</v>
      </c>
      <c r="K2987" s="19">
        <f>+EOMONTH(B2987,0)</f>
        <v>46265</v>
      </c>
      <c r="L2987" s="3" t="inlineStr">
        <is>
          <t>Service Income</t>
        </is>
      </c>
      <c r="M2987" s="3" t="inlineStr">
        <is>
          <t>Net Fee-for-Service</t>
        </is>
      </c>
    </row>
    <row r="2988">
      <c r="B2988" s="39" t="n">
        <v>46255</v>
      </c>
      <c r="C2988" s="3" t="inlineStr">
        <is>
          <t>Deposit</t>
        </is>
      </c>
      <c r="D2988" s="3" t="inlineStr"/>
      <c r="E2988" s="3" t="inlineStr">
        <is>
          <t>Lanternway Benefits</t>
        </is>
      </c>
      <c r="F2988" s="3" t="inlineStr">
        <is>
          <t>ORIG CO NAME:LANTERNWAY BEN ORIG ID:XXXXXX9516 DESC DATE:260821 CO ENTRY DESCR:HCCLAIMPMT SEC:CCD TRACE#:XXXXXXXX7016988 EED:260821 IND ID:</t>
        </is>
      </c>
      <c r="G2988" s="3" t="inlineStr">
        <is>
          <t>Checking – Operating</t>
        </is>
      </c>
      <c r="H2988" s="3" t="inlineStr">
        <is>
          <t>Service Income</t>
        </is>
      </c>
      <c r="I2988" s="33" t="n">
        <v>31917.93</v>
      </c>
      <c r="J2988" s="13">
        <f>+J2987+I2988</f>
        <v>9297157.7</v>
      </c>
      <c r="K2988" s="19">
        <f>+EOMONTH(B2988,0)</f>
        <v>46265</v>
      </c>
      <c r="L2988" s="3" t="inlineStr">
        <is>
          <t>Service Income</t>
        </is>
      </c>
      <c r="M2988" s="3" t="inlineStr">
        <is>
          <t>Net Fee-for-Service</t>
        </is>
      </c>
    </row>
    <row r="2989">
      <c r="B2989" s="39" t="n">
        <v>46256</v>
      </c>
      <c r="C2989" s="3" t="inlineStr">
        <is>
          <t>Deposit</t>
        </is>
      </c>
      <c r="D2989" s="3" t="inlineStr"/>
      <c r="E2989" s="3" t="inlineStr">
        <is>
          <t>Silvermoss Senior Living</t>
        </is>
      </c>
      <c r="F2989" s="3" t="inlineStr">
        <is>
          <t>ORIG CO NAME:SILVERMOSS SL ORIG ID:XXXXXX3536 DESC DATE:260822 CO ENTRY DESCR:HCCLAIMPMT SEC:CCD TRACE#:XXXXXXXX7274413 EED:260822 IND ID:</t>
        </is>
      </c>
      <c r="G2989" s="3" t="inlineStr">
        <is>
          <t>Checking – Operating</t>
        </is>
      </c>
      <c r="H2989" s="3" t="inlineStr">
        <is>
          <t>Service Income</t>
        </is>
      </c>
      <c r="I2989" s="33" t="n">
        <v>43850.51</v>
      </c>
      <c r="J2989" s="13">
        <f>+J2988+I2989</f>
        <v>9341008.21</v>
      </c>
      <c r="K2989" s="19">
        <f>+EOMONTH(B2989,0)</f>
        <v>46265</v>
      </c>
      <c r="L2989" s="3" t="inlineStr">
        <is>
          <t>Service Income</t>
        </is>
      </c>
      <c r="M2989" s="3" t="inlineStr">
        <is>
          <t>Net Fee-for-Service</t>
        </is>
      </c>
    </row>
    <row r="2990">
      <c r="B2990" s="39" t="n">
        <v>46258</v>
      </c>
      <c r="C2990" s="3" t="inlineStr">
        <is>
          <t>Deposit</t>
        </is>
      </c>
      <c r="D2990" s="3" t="inlineStr"/>
      <c r="E2990" s="3" t="inlineStr">
        <is>
          <t>Lanternway Benefits</t>
        </is>
      </c>
      <c r="F2990" s="3" t="inlineStr">
        <is>
          <t>ORIG CO NAME:LANTERNWAY BEN ORIG ID:XXXXXX2788 DESC DATE:260824 CO ENTRY DESCR:HCCLAIMPMT SEC:CCD TRACE#:XXXXXXXX1959453 EED:260824 IND ID:</t>
        </is>
      </c>
      <c r="G2990" s="3" t="inlineStr">
        <is>
          <t>Checking – Operating</t>
        </is>
      </c>
      <c r="H2990" s="3" t="inlineStr">
        <is>
          <t>Service Income</t>
        </is>
      </c>
      <c r="I2990" s="33" t="n">
        <v>46778.27</v>
      </c>
      <c r="J2990" s="13">
        <f>+J2989+I2990</f>
        <v>9387786.48</v>
      </c>
      <c r="K2990" s="19">
        <f>+EOMONTH(B2990,0)</f>
        <v>46265</v>
      </c>
      <c r="L2990" s="3" t="inlineStr">
        <is>
          <t>Service Income</t>
        </is>
      </c>
      <c r="M2990" s="3" t="inlineStr">
        <is>
          <t>Net Fee-for-Service</t>
        </is>
      </c>
    </row>
    <row r="2991">
      <c r="B2991" s="39" t="n">
        <v>46261</v>
      </c>
      <c r="C2991" s="3" t="inlineStr">
        <is>
          <t>Deposit</t>
        </is>
      </c>
      <c r="D2991" s="3" t="inlineStr"/>
      <c r="E2991" s="3" t="inlineStr">
        <is>
          <t>Cobaltmere Health</t>
        </is>
      </c>
      <c r="F2991" s="3" t="inlineStr">
        <is>
          <t>ORIG CO NAME:COBALTMERE HEALTH ORIG ID:XXXXXX7271 DESC DATE:260827 CO ENTRY DESCR:HCCLAIMPMT SEC:CCD TRACE#:XXXXXXXX1248824 EED:260827 IND ID:</t>
        </is>
      </c>
      <c r="G2991" s="3" t="inlineStr">
        <is>
          <t>Checking – Operating</t>
        </is>
      </c>
      <c r="H2991" s="3" t="inlineStr">
        <is>
          <t>Service Income</t>
        </is>
      </c>
      <c r="I2991" s="33" t="n">
        <v>27732.08</v>
      </c>
      <c r="J2991" s="13">
        <f>+J2990+I2991</f>
        <v>9415518.56</v>
      </c>
      <c r="K2991" s="19">
        <f>+EOMONTH(B2991,0)</f>
        <v>46265</v>
      </c>
      <c r="L2991" s="3" t="inlineStr">
        <is>
          <t>Service Income</t>
        </is>
      </c>
      <c r="M2991" s="3" t="inlineStr">
        <is>
          <t>Net Fee-for-Service</t>
        </is>
      </c>
    </row>
    <row r="2992">
      <c r="B2992" s="39" t="n">
        <v>46263</v>
      </c>
      <c r="C2992" s="3" t="inlineStr">
        <is>
          <t>Deposit</t>
        </is>
      </c>
      <c r="D2992" s="3" t="inlineStr"/>
      <c r="E2992" s="3" t="inlineStr">
        <is>
          <t>Quayside Choice Senior Plan</t>
        </is>
      </c>
      <c r="F2992" s="3" t="inlineStr">
        <is>
          <t>ORIG CO NAME:QUAYSIDE CHOICE SP ORIG ID:XXXXXX7891 DESC DATE:260829 CO ENTRY DESCR:HCCLAIMPMT SEC:CCD TRACE#:XXXXXXXX3428207 EED:260829 IND ID:</t>
        </is>
      </c>
      <c r="G2992" s="3" t="inlineStr">
        <is>
          <t>Checking – Operating</t>
        </is>
      </c>
      <c r="H2992" s="3" t="inlineStr">
        <is>
          <t>Service Income</t>
        </is>
      </c>
      <c r="I2992" s="33" t="n">
        <v>58510.38</v>
      </c>
      <c r="J2992" s="13">
        <f>+J2991+I2992</f>
        <v>9474028.94</v>
      </c>
      <c r="K2992" s="19">
        <f>+EOMONTH(B2992,0)</f>
        <v>46265</v>
      </c>
      <c r="L2992" s="3" t="inlineStr">
        <is>
          <t>Service Income</t>
        </is>
      </c>
      <c r="M2992" s="3" t="inlineStr">
        <is>
          <t>Net Fee-for-Service</t>
        </is>
      </c>
    </row>
    <row r="2993">
      <c r="B2993" s="39" t="n">
        <v>46264</v>
      </c>
      <c r="C2993" s="3" t="inlineStr">
        <is>
          <t>Deposit</t>
        </is>
      </c>
      <c r="D2993" s="3" t="inlineStr"/>
      <c r="E2993" s="3" t="inlineStr">
        <is>
          <t>Vantrelle Health Plan</t>
        </is>
      </c>
      <c r="F2993" s="3" t="inlineStr">
        <is>
          <t>ORIG CO NAME:VANTRELLE HP ORIG ID:XXXXXX5258 DESC DATE:260830 CO ENTRY DESCR:HCCLAIMPMT SEC:CCD TRACE#:XXXXXXXX9234871 EED:260830 IND ID:</t>
        </is>
      </c>
      <c r="G2993" s="3" t="inlineStr">
        <is>
          <t>Checking – Operating</t>
        </is>
      </c>
      <c r="H2993" s="3" t="inlineStr">
        <is>
          <t>Service Income</t>
        </is>
      </c>
      <c r="I2993" s="33" t="n">
        <v>179492.86</v>
      </c>
      <c r="J2993" s="13">
        <f>+J2992+I2993</f>
        <v>9653521.8</v>
      </c>
      <c r="K2993" s="19">
        <f>+EOMONTH(B2993,0)</f>
        <v>46265</v>
      </c>
      <c r="L2993" s="3" t="inlineStr">
        <is>
          <t>Service Income</t>
        </is>
      </c>
      <c r="M2993" s="3" t="inlineStr">
        <is>
          <t>Net Fee-for-Service</t>
        </is>
      </c>
    </row>
    <row r="2994">
      <c r="B2994" s="39" t="n">
        <v>46268</v>
      </c>
      <c r="C2994" s="3" t="inlineStr">
        <is>
          <t>Deposit</t>
        </is>
      </c>
      <c r="D2994" s="3" t="inlineStr"/>
      <c r="E2994" s="3" t="inlineStr">
        <is>
          <t>Federal Program A</t>
        </is>
      </c>
      <c r="F2994" s="3" t="inlineStr">
        <is>
          <t>ORIG CO NAME:FEDERAL PROG A ORIG ID:XXXXXX6482 DESC DATE:260903 CO ENTRY DESCR:HCCLAIMPMT SEC:CCD TRACE#:XXXXXXXX7366391 EED:260903 IND ID:</t>
        </is>
      </c>
      <c r="G2994" s="3" t="inlineStr">
        <is>
          <t>Checking – Operating</t>
        </is>
      </c>
      <c r="H2994" s="3" t="inlineStr">
        <is>
          <t>Service Income</t>
        </is>
      </c>
      <c r="I2994" s="33" t="n">
        <v>72970.25</v>
      </c>
      <c r="J2994" s="13">
        <f>+J2993+I2994</f>
        <v>9726492.05</v>
      </c>
      <c r="K2994" s="19">
        <f>+EOMONTH(B2994,0)</f>
        <v>46295</v>
      </c>
      <c r="L2994" s="3" t="inlineStr">
        <is>
          <t>Service Income</t>
        </is>
      </c>
      <c r="M2994" s="3" t="inlineStr">
        <is>
          <t>Net Fee-for-Service</t>
        </is>
      </c>
    </row>
    <row r="2995">
      <c r="B2995" s="39" t="n">
        <v>46268</v>
      </c>
      <c r="C2995" s="3" t="inlineStr">
        <is>
          <t>Deposit</t>
        </is>
      </c>
      <c r="D2995" s="3" t="inlineStr"/>
      <c r="E2995" s="3" t="inlineStr">
        <is>
          <t>Silvermoss Senior Living</t>
        </is>
      </c>
      <c r="F2995" s="3" t="inlineStr">
        <is>
          <t>ORIG CO NAME:SILVERMOSS SL ORIG ID:XXXXXX1870 DESC DATE:260903 CO ENTRY DESCR:HCCLAIMPMT SEC:CCD TRACE#:XXXXXXXX1973328 EED:260903 IND ID:</t>
        </is>
      </c>
      <c r="G2995" s="3" t="inlineStr">
        <is>
          <t>Checking – Operating</t>
        </is>
      </c>
      <c r="H2995" s="3" t="inlineStr">
        <is>
          <t>Service Income</t>
        </is>
      </c>
      <c r="I2995" s="33" t="n">
        <v>35252.7</v>
      </c>
      <c r="J2995" s="13">
        <f>+J2994+I2995</f>
        <v>9761744.75</v>
      </c>
      <c r="K2995" s="19">
        <f>+EOMONTH(B2995,0)</f>
        <v>46295</v>
      </c>
      <c r="L2995" s="3" t="inlineStr">
        <is>
          <t>Service Income</t>
        </is>
      </c>
      <c r="M2995" s="3" t="inlineStr">
        <is>
          <t>Net Fee-for-Service</t>
        </is>
      </c>
    </row>
    <row r="2996">
      <c r="B2996" s="39" t="n">
        <v>46269</v>
      </c>
      <c r="C2996" s="3" t="inlineStr">
        <is>
          <t>Deposit</t>
        </is>
      </c>
      <c r="D2996" s="3" t="inlineStr"/>
      <c r="E2996" s="3" t="inlineStr">
        <is>
          <t>Marrowby Mutual</t>
        </is>
      </c>
      <c r="F2996" s="3" t="inlineStr">
        <is>
          <t>ORIG CO NAME:MARROWBY MUTUAL ORIG ID:XXXXXX2188 DESC DATE:260904 CO ENTRY DESCR:HCCLAIMPMT SEC:CCD TRACE#:XXXXXXXX1766897 EED:260904 IND ID:</t>
        </is>
      </c>
      <c r="G2996" s="3" t="inlineStr">
        <is>
          <t>Checking – Operating</t>
        </is>
      </c>
      <c r="H2996" s="3" t="inlineStr">
        <is>
          <t>Service Income</t>
        </is>
      </c>
      <c r="I2996" s="33" t="n">
        <v>84277.75</v>
      </c>
      <c r="J2996" s="13">
        <f>+J2995+I2996</f>
        <v>9846022.5</v>
      </c>
      <c r="K2996" s="19">
        <f>+EOMONTH(B2996,0)</f>
        <v>46295</v>
      </c>
      <c r="L2996" s="3" t="inlineStr">
        <is>
          <t>Service Income</t>
        </is>
      </c>
      <c r="M2996" s="3" t="inlineStr">
        <is>
          <t>Net Fee-for-Service</t>
        </is>
      </c>
    </row>
    <row r="2997">
      <c r="B2997" s="39" t="n">
        <v>46270</v>
      </c>
      <c r="C2997" s="3" t="inlineStr">
        <is>
          <t>Deposit</t>
        </is>
      </c>
      <c r="D2997" s="3" t="inlineStr"/>
      <c r="E2997" s="3" t="inlineStr">
        <is>
          <t>State Program B</t>
        </is>
      </c>
      <c r="F2997" s="3" t="inlineStr">
        <is>
          <t>ORIG CO NAME:STATE PROG B ORIG ID:XXXXXX5815 DESC DATE:260905 CO ENTRY DESCR:HCCLAIMPMT SEC:CCD TRACE#:XXXXXXXX8337588 EED:260905 IND ID:</t>
        </is>
      </c>
      <c r="G2997" s="3" t="inlineStr">
        <is>
          <t>Checking – Operating</t>
        </is>
      </c>
      <c r="H2997" s="3" t="inlineStr">
        <is>
          <t>Service Income</t>
        </is>
      </c>
      <c r="I2997" s="33" t="n">
        <v>70887.47</v>
      </c>
      <c r="J2997" s="13">
        <f>+J2996+I2997</f>
        <v>9916909.97</v>
      </c>
      <c r="K2997" s="19">
        <f>+EOMONTH(B2997,0)</f>
        <v>46295</v>
      </c>
      <c r="L2997" s="3" t="inlineStr">
        <is>
          <t>Service Income</t>
        </is>
      </c>
      <c r="M2997" s="3" t="inlineStr">
        <is>
          <t>Net Fee-for-Service</t>
        </is>
      </c>
    </row>
    <row r="2998">
      <c r="B2998" s="39" t="n">
        <v>46270</v>
      </c>
      <c r="C2998" s="3" t="inlineStr">
        <is>
          <t>Deposit</t>
        </is>
      </c>
      <c r="D2998" s="3" t="inlineStr"/>
      <c r="E2998" s="3" t="inlineStr">
        <is>
          <t>Quayside Choice Senior Plan</t>
        </is>
      </c>
      <c r="F2998" s="3" t="inlineStr">
        <is>
          <t>ORIG CO NAME:QUAYSIDE CHOICE SP ORIG ID:XXXXXX9306 DESC DATE:260905 CO ENTRY DESCR:HCCLAIMPMT SEC:CCD TRACE#:XXXXXXXX2442632 EED:260905 IND ID:</t>
        </is>
      </c>
      <c r="G2998" s="3" t="inlineStr">
        <is>
          <t>Checking – Operating</t>
        </is>
      </c>
      <c r="H2998" s="3" t="inlineStr">
        <is>
          <t>Service Income</t>
        </is>
      </c>
      <c r="I2998" s="33" t="n">
        <v>59194.89</v>
      </c>
      <c r="J2998" s="13">
        <f>+J2997+I2998</f>
        <v>9976104.86</v>
      </c>
      <c r="K2998" s="19">
        <f>+EOMONTH(B2998,0)</f>
        <v>46295</v>
      </c>
      <c r="L2998" s="3" t="inlineStr">
        <is>
          <t>Service Income</t>
        </is>
      </c>
      <c r="M2998" s="3" t="inlineStr">
        <is>
          <t>Net Fee-for-Service</t>
        </is>
      </c>
    </row>
    <row r="2999">
      <c r="B2999" s="39" t="n">
        <v>46272</v>
      </c>
      <c r="C2999" s="3" t="inlineStr">
        <is>
          <t>Deposit</t>
        </is>
      </c>
      <c r="D2999" s="3" t="inlineStr"/>
      <c r="E2999" s="3" t="inlineStr">
        <is>
          <t>Silvermoss Senior Living</t>
        </is>
      </c>
      <c r="F2999" s="3" t="inlineStr">
        <is>
          <t>ORIG CO NAME:SILVERMOSS SL ORIG ID:XXXXXX2736 DESC DATE:260907 CO ENTRY DESCR:HCCLAIMPMT SEC:CCD TRACE#:XXXXXXXX5010171 EED:260907 IND ID:</t>
        </is>
      </c>
      <c r="G2999" s="3" t="inlineStr">
        <is>
          <t>Checking – Operating</t>
        </is>
      </c>
      <c r="H2999" s="3" t="inlineStr">
        <is>
          <t>Service Income</t>
        </is>
      </c>
      <c r="I2999" s="33" t="n">
        <v>68400.42</v>
      </c>
      <c r="J2999" s="13">
        <f>+J2998+I2999</f>
        <v>10044505.28</v>
      </c>
      <c r="K2999" s="19">
        <f>+EOMONTH(B2999,0)</f>
        <v>46295</v>
      </c>
      <c r="L2999" s="3" t="inlineStr">
        <is>
          <t>Service Income</t>
        </is>
      </c>
      <c r="M2999" s="3" t="inlineStr">
        <is>
          <t>Net Fee-for-Service</t>
        </is>
      </c>
    </row>
    <row r="3000">
      <c r="B3000" s="39" t="n">
        <v>46274</v>
      </c>
      <c r="C3000" s="3" t="inlineStr">
        <is>
          <t>Deposit</t>
        </is>
      </c>
      <c r="D3000" s="3" t="inlineStr"/>
      <c r="E3000" s="3" t="inlineStr">
        <is>
          <t>Federal Program A</t>
        </is>
      </c>
      <c r="F3000" s="3" t="inlineStr">
        <is>
          <t>ORIG CO NAME:FEDERAL PROG A ORIG ID:XXXXXX3316 DESC DATE:260909 CO ENTRY DESCR:HCCLAIMPMT SEC:CCD TRACE#:XXXXXXXX3778426 EED:260909 IND ID:</t>
        </is>
      </c>
      <c r="G3000" s="3" t="inlineStr">
        <is>
          <t>Checking – Operating</t>
        </is>
      </c>
      <c r="H3000" s="3" t="inlineStr">
        <is>
          <t>Service Income</t>
        </is>
      </c>
      <c r="I3000" s="33" t="n">
        <v>52653.66</v>
      </c>
      <c r="J3000" s="13">
        <f>+J2999+I3000</f>
        <v>10097158.94</v>
      </c>
      <c r="K3000" s="19">
        <f>+EOMONTH(B3000,0)</f>
        <v>46295</v>
      </c>
      <c r="L3000" s="3" t="inlineStr">
        <is>
          <t>Service Income</t>
        </is>
      </c>
      <c r="M3000" s="3" t="inlineStr">
        <is>
          <t>Net Fee-for-Service</t>
        </is>
      </c>
    </row>
    <row r="3001">
      <c r="B3001" s="39" t="n">
        <v>46276</v>
      </c>
      <c r="C3001" s="3" t="inlineStr">
        <is>
          <t>Deposit</t>
        </is>
      </c>
      <c r="D3001" s="3" t="inlineStr"/>
      <c r="E3001" s="3" t="inlineStr">
        <is>
          <t>Marrowby Mutual</t>
        </is>
      </c>
      <c r="F3001" s="3" t="inlineStr">
        <is>
          <t>ORIG CO NAME:MARROWBY MUTUAL ORIG ID:XXXXXX7726 DESC DATE:260911 CO ENTRY DESCR:HCCLAIMPMT SEC:CCD TRACE#:XXXXXXXX1548631 EED:260911 IND ID:</t>
        </is>
      </c>
      <c r="G3001" s="3" t="inlineStr">
        <is>
          <t>Checking – Operating</t>
        </is>
      </c>
      <c r="H3001" s="3" t="inlineStr">
        <is>
          <t>Service Income</t>
        </is>
      </c>
      <c r="I3001" s="33" t="n">
        <v>97115.22</v>
      </c>
      <c r="J3001" s="13">
        <f>+J3000+I3001</f>
        <v>10194274.16</v>
      </c>
      <c r="K3001" s="19">
        <f>+EOMONTH(B3001,0)</f>
        <v>46295</v>
      </c>
      <c r="L3001" s="3" t="inlineStr">
        <is>
          <t>Service Income</t>
        </is>
      </c>
      <c r="M3001" s="3" t="inlineStr">
        <is>
          <t>Net Fee-for-Service</t>
        </is>
      </c>
    </row>
    <row r="3002">
      <c r="B3002" s="39" t="n">
        <v>46280</v>
      </c>
      <c r="C3002" s="3" t="inlineStr">
        <is>
          <t>Deposit</t>
        </is>
      </c>
      <c r="D3002" s="3" t="inlineStr"/>
      <c r="E3002" s="3" t="inlineStr">
        <is>
          <t>State Program B</t>
        </is>
      </c>
      <c r="F3002" s="3" t="inlineStr">
        <is>
          <t>ORIG CO NAME:STATE PROG B ORIG ID:XXXXXX3831 DESC DATE:260915 CO ENTRY DESCR:HCCLAIMPMT SEC:CCD TRACE#:XXXXXXXX3624114 EED:260915 IND ID:</t>
        </is>
      </c>
      <c r="G3002" s="3" t="inlineStr">
        <is>
          <t>Checking – Operating</t>
        </is>
      </c>
      <c r="H3002" s="3" t="inlineStr">
        <is>
          <t>Service Income</t>
        </is>
      </c>
      <c r="I3002" s="33" t="n">
        <v>45722.29</v>
      </c>
      <c r="J3002" s="13">
        <f>+J3001+I3002</f>
        <v>10239996.45</v>
      </c>
      <c r="K3002" s="19">
        <f>+EOMONTH(B3002,0)</f>
        <v>46295</v>
      </c>
      <c r="L3002" s="3" t="inlineStr">
        <is>
          <t>Service Income</t>
        </is>
      </c>
      <c r="M3002" s="3" t="inlineStr">
        <is>
          <t>Net Fee-for-Service</t>
        </is>
      </c>
    </row>
    <row r="3003">
      <c r="B3003" s="39" t="n">
        <v>46280</v>
      </c>
      <c r="C3003" s="3" t="inlineStr">
        <is>
          <t>Deposit</t>
        </is>
      </c>
      <c r="D3003" s="3" t="inlineStr"/>
      <c r="E3003" s="3" t="inlineStr">
        <is>
          <t>Lanternway Benefits</t>
        </is>
      </c>
      <c r="F3003" s="3" t="inlineStr">
        <is>
          <t>ORIG CO NAME:LANTERNWAY BEN ORIG ID:XXXXXX3713 DESC DATE:260915 CO ENTRY DESCR:HCCLAIMPMT SEC:CCD TRACE#:XXXXXXXX7568980 EED:260915 IND ID:</t>
        </is>
      </c>
      <c r="G3003" s="3" t="inlineStr">
        <is>
          <t>Checking – Operating</t>
        </is>
      </c>
      <c r="H3003" s="3" t="inlineStr">
        <is>
          <t>Service Income</t>
        </is>
      </c>
      <c r="I3003" s="33" t="n">
        <v>56389.56</v>
      </c>
      <c r="J3003" s="13">
        <f>+J3002+I3003</f>
        <v>10296386.01</v>
      </c>
      <c r="K3003" s="19">
        <f>+EOMONTH(B3003,0)</f>
        <v>46295</v>
      </c>
      <c r="L3003" s="3" t="inlineStr">
        <is>
          <t>Service Income</t>
        </is>
      </c>
      <c r="M3003" s="3" t="inlineStr">
        <is>
          <t>Net Fee-for-Service</t>
        </is>
      </c>
    </row>
    <row r="3004">
      <c r="B3004" s="39" t="n">
        <v>46282</v>
      </c>
      <c r="C3004" s="3" t="inlineStr">
        <is>
          <t>Deposit</t>
        </is>
      </c>
      <c r="D3004" s="3" t="inlineStr"/>
      <c r="E3004" s="3" t="inlineStr">
        <is>
          <t>Cobaltmere Health</t>
        </is>
      </c>
      <c r="F3004" s="3" t="inlineStr">
        <is>
          <t>ORIG CO NAME:COBALTMERE HEALTH ORIG ID:XXXXXX5272 DESC DATE:260917 CO ENTRY DESCR:HCCLAIMPMT SEC:CCD TRACE#:XXXXXXXX4908236 EED:260917 IND ID:</t>
        </is>
      </c>
      <c r="G3004" s="3" t="inlineStr">
        <is>
          <t>Checking – Operating</t>
        </is>
      </c>
      <c r="H3004" s="3" t="inlineStr">
        <is>
          <t>Service Income</t>
        </is>
      </c>
      <c r="I3004" s="33" t="n">
        <v>30136.06</v>
      </c>
      <c r="J3004" s="13">
        <f>+J3003+I3004</f>
        <v>10326522.07</v>
      </c>
      <c r="K3004" s="19">
        <f>+EOMONTH(B3004,0)</f>
        <v>46295</v>
      </c>
      <c r="L3004" s="3" t="inlineStr">
        <is>
          <t>Service Income</t>
        </is>
      </c>
      <c r="M3004" s="3" t="inlineStr">
        <is>
          <t>Net Fee-for-Service</t>
        </is>
      </c>
    </row>
    <row r="3005">
      <c r="B3005" s="39" t="n">
        <v>46283</v>
      </c>
      <c r="C3005" s="3" t="inlineStr">
        <is>
          <t>Deposit</t>
        </is>
      </c>
      <c r="D3005" s="3" t="inlineStr"/>
      <c r="E3005" s="3" t="inlineStr">
        <is>
          <t>Cobaltmere Health</t>
        </is>
      </c>
      <c r="F3005" s="3" t="inlineStr">
        <is>
          <t>ORIG CO NAME:COBALTMERE HEALTH ORIG ID:XXXXXX7097 DESC DATE:260918 CO ENTRY DESCR:HCCLAIMPMT SEC:CCD TRACE#:XXXXXXXX1847897 EED:260918 IND ID:</t>
        </is>
      </c>
      <c r="G3005" s="3" t="inlineStr">
        <is>
          <t>Checking – Operating</t>
        </is>
      </c>
      <c r="H3005" s="3" t="inlineStr">
        <is>
          <t>Service Income</t>
        </is>
      </c>
      <c r="I3005" s="33" t="n">
        <v>23196.19</v>
      </c>
      <c r="J3005" s="13">
        <f>+J3004+I3005</f>
        <v>10349718.26</v>
      </c>
      <c r="K3005" s="19">
        <f>+EOMONTH(B3005,0)</f>
        <v>46295</v>
      </c>
      <c r="L3005" s="3" t="inlineStr">
        <is>
          <t>Service Income</t>
        </is>
      </c>
      <c r="M3005" s="3" t="inlineStr">
        <is>
          <t>Net Fee-for-Service</t>
        </is>
      </c>
    </row>
    <row r="3006">
      <c r="B3006" s="39" t="n">
        <v>46284</v>
      </c>
      <c r="C3006" s="3" t="inlineStr">
        <is>
          <t>Deposit</t>
        </is>
      </c>
      <c r="D3006" s="3" t="inlineStr"/>
      <c r="E3006" s="3" t="inlineStr">
        <is>
          <t>Quayside Choice Senior Plan</t>
        </is>
      </c>
      <c r="F3006" s="3" t="inlineStr">
        <is>
          <t>ORIG CO NAME:QUAYSIDE CHOICE SP ORIG ID:XXXXXX3731 DESC DATE:260919 CO ENTRY DESCR:HCCLAIMPMT SEC:CCD TRACE#:XXXXXXXX4499747 EED:260919 IND ID:</t>
        </is>
      </c>
      <c r="G3006" s="3" t="inlineStr">
        <is>
          <t>Checking – Operating</t>
        </is>
      </c>
      <c r="H3006" s="3" t="inlineStr">
        <is>
          <t>Service Income</t>
        </is>
      </c>
      <c r="I3006" s="33" t="n">
        <v>39397.03</v>
      </c>
      <c r="J3006" s="13">
        <f>+J3005+I3006</f>
        <v>10389115.29</v>
      </c>
      <c r="K3006" s="19">
        <f>+EOMONTH(B3006,0)</f>
        <v>46295</v>
      </c>
      <c r="L3006" s="3" t="inlineStr">
        <is>
          <t>Service Income</t>
        </is>
      </c>
      <c r="M3006" s="3" t="inlineStr">
        <is>
          <t>Net Fee-for-Service</t>
        </is>
      </c>
    </row>
    <row r="3007">
      <c r="B3007" s="39" t="n">
        <v>46286</v>
      </c>
      <c r="C3007" s="3" t="inlineStr">
        <is>
          <t>Deposit</t>
        </is>
      </c>
      <c r="D3007" s="3" t="inlineStr"/>
      <c r="E3007" s="3" t="inlineStr">
        <is>
          <t>Federal Program A</t>
        </is>
      </c>
      <c r="F3007" s="3" t="inlineStr">
        <is>
          <t>ORIG CO NAME:FEDERAL PROG A ORIG ID:XXXXXX6353 DESC DATE:260921 CO ENTRY DESCR:HCCLAIMPMT SEC:CCD TRACE#:XXXXXXXX3596107 EED:260921 IND ID:</t>
        </is>
      </c>
      <c r="G3007" s="3" t="inlineStr">
        <is>
          <t>Checking – Operating</t>
        </is>
      </c>
      <c r="H3007" s="3" t="inlineStr">
        <is>
          <t>Service Income</t>
        </is>
      </c>
      <c r="I3007" s="33" t="n">
        <v>107595.62</v>
      </c>
      <c r="J3007" s="13">
        <f>+J3006+I3007</f>
        <v>10496710.91</v>
      </c>
      <c r="K3007" s="19">
        <f>+EOMONTH(B3007,0)</f>
        <v>46295</v>
      </c>
      <c r="L3007" s="3" t="inlineStr">
        <is>
          <t>Service Income</t>
        </is>
      </c>
      <c r="M3007" s="3" t="inlineStr">
        <is>
          <t>Net Fee-for-Service</t>
        </is>
      </c>
    </row>
    <row r="3008">
      <c r="B3008" s="39" t="n">
        <v>46287</v>
      </c>
      <c r="C3008" s="3" t="inlineStr">
        <is>
          <t>Deposit</t>
        </is>
      </c>
      <c r="D3008" s="3" t="inlineStr"/>
      <c r="E3008" s="3" t="inlineStr">
        <is>
          <t>Vantrelle Health Plan</t>
        </is>
      </c>
      <c r="F3008" s="3" t="inlineStr">
        <is>
          <t>ORIG CO NAME:VANTRELLE HP ORIG ID:XXXXXX6698 DESC DATE:260922 CO ENTRY DESCR:HCCLAIMPMT SEC:CCD TRACE#:XXXXXXXX6435096 EED:260922 IND ID:</t>
        </is>
      </c>
      <c r="G3008" s="3" t="inlineStr">
        <is>
          <t>Checking – Operating</t>
        </is>
      </c>
      <c r="H3008" s="3" t="inlineStr">
        <is>
          <t>Service Income</t>
        </is>
      </c>
      <c r="I3008" s="33" t="n">
        <v>185203.61</v>
      </c>
      <c r="J3008" s="13">
        <f>+J3007+I3008</f>
        <v>10681914.52</v>
      </c>
      <c r="K3008" s="19">
        <f>+EOMONTH(B3008,0)</f>
        <v>46295</v>
      </c>
      <c r="L3008" s="3" t="inlineStr">
        <is>
          <t>Service Income</t>
        </is>
      </c>
      <c r="M3008" s="3" t="inlineStr">
        <is>
          <t>Net Fee-for-Service</t>
        </is>
      </c>
    </row>
    <row r="3009">
      <c r="B3009" s="39" t="n">
        <v>46289</v>
      </c>
      <c r="C3009" s="3" t="inlineStr">
        <is>
          <t>Deposit</t>
        </is>
      </c>
      <c r="D3009" s="3" t="inlineStr"/>
      <c r="E3009" s="3" t="inlineStr">
        <is>
          <t>Lanternway Benefits</t>
        </is>
      </c>
      <c r="F3009" s="3" t="inlineStr">
        <is>
          <t>ORIG CO NAME:LANTERNWAY BEN ORIG ID:XXXXXX9068 DESC DATE:260924 CO ENTRY DESCR:HCCLAIMPMT SEC:CCD TRACE#:XXXXXXXX2365864 EED:260924 IND ID:</t>
        </is>
      </c>
      <c r="G3009" s="3" t="inlineStr">
        <is>
          <t>Checking – Operating</t>
        </is>
      </c>
      <c r="H3009" s="3" t="inlineStr">
        <is>
          <t>Service Income</t>
        </is>
      </c>
      <c r="I3009" s="33" t="n">
        <v>73176.85000000001</v>
      </c>
      <c r="J3009" s="13">
        <f>+J3008+I3009</f>
        <v>10755091.37</v>
      </c>
      <c r="K3009" s="19">
        <f>+EOMONTH(B3009,0)</f>
        <v>46295</v>
      </c>
      <c r="L3009" s="3" t="inlineStr">
        <is>
          <t>Service Income</t>
        </is>
      </c>
      <c r="M3009" s="3" t="inlineStr">
        <is>
          <t>Net Fee-for-Service</t>
        </is>
      </c>
    </row>
    <row r="3010">
      <c r="B3010" s="39" t="n">
        <v>46290</v>
      </c>
      <c r="C3010" s="3" t="inlineStr">
        <is>
          <t>Deposit</t>
        </is>
      </c>
      <c r="D3010" s="3" t="inlineStr"/>
      <c r="E3010" s="3" t="inlineStr">
        <is>
          <t>Quayside Choice Senior Plan</t>
        </is>
      </c>
      <c r="F3010" s="3" t="inlineStr">
        <is>
          <t>ORIG CO NAME:QUAYSIDE CHOICE SP ORIG ID:XXXXXX3594 DESC DATE:260925 CO ENTRY DESCR:HCCLAIMPMT SEC:CCD TRACE#:XXXXXXXX2030209 EED:260925 IND ID:</t>
        </is>
      </c>
      <c r="G3010" s="3" t="inlineStr">
        <is>
          <t>Checking – Operating</t>
        </is>
      </c>
      <c r="H3010" s="3" t="inlineStr">
        <is>
          <t>Service Income</t>
        </is>
      </c>
      <c r="I3010" s="33" t="n">
        <v>43931.13</v>
      </c>
      <c r="J3010" s="13">
        <f>+J3009+I3010</f>
        <v>10799022.5</v>
      </c>
      <c r="K3010" s="19">
        <f>+EOMONTH(B3010,0)</f>
        <v>46295</v>
      </c>
      <c r="L3010" s="3" t="inlineStr">
        <is>
          <t>Service Income</t>
        </is>
      </c>
      <c r="M3010" s="3" t="inlineStr">
        <is>
          <t>Net Fee-for-Service</t>
        </is>
      </c>
    </row>
    <row r="3011">
      <c r="B3011" s="39" t="n">
        <v>46292</v>
      </c>
      <c r="C3011" s="3" t="inlineStr">
        <is>
          <t>Deposit</t>
        </is>
      </c>
      <c r="D3011" s="3" t="inlineStr"/>
      <c r="E3011" s="3" t="inlineStr">
        <is>
          <t>Vantrelle Health Plan</t>
        </is>
      </c>
      <c r="F3011" s="3" t="inlineStr">
        <is>
          <t>ORIG CO NAME:VANTRELLE HP ORIG ID:XXXXXX6566 DESC DATE:260927 CO ENTRY DESCR:HCCLAIMPMT SEC:CCD TRACE#:XXXXXXXX5721345 EED:260927 IND ID:</t>
        </is>
      </c>
      <c r="G3011" s="3" t="inlineStr">
        <is>
          <t>Checking – Operating</t>
        </is>
      </c>
      <c r="H3011" s="3" t="inlineStr">
        <is>
          <t>Service Income</t>
        </is>
      </c>
      <c r="I3011" s="33" t="n">
        <v>125755.76</v>
      </c>
      <c r="J3011" s="13">
        <f>+J3010+I3011</f>
        <v>10924778.26</v>
      </c>
      <c r="K3011" s="19">
        <f>+EOMONTH(B3011,0)</f>
        <v>46295</v>
      </c>
      <c r="L3011" s="3" t="inlineStr">
        <is>
          <t>Service Income</t>
        </is>
      </c>
      <c r="M3011" s="3" t="inlineStr">
        <is>
          <t>Net Fee-for-Service</t>
        </is>
      </c>
    </row>
    <row r="3012">
      <c r="B3012" s="39" t="n">
        <v>46295</v>
      </c>
      <c r="C3012" s="3" t="inlineStr">
        <is>
          <t>Deposit</t>
        </is>
      </c>
      <c r="D3012" s="3" t="inlineStr"/>
      <c r="E3012" s="3" t="inlineStr">
        <is>
          <t>Cobaltmere Health</t>
        </is>
      </c>
      <c r="F3012" s="3" t="inlineStr">
        <is>
          <t>ORIG CO NAME:COBALTMERE HEALTH ORIG ID:XXXXXX1424 DESC DATE:260930 CO ENTRY DESCR:HCCLAIMPMT SEC:CCD TRACE#:XXXXXXXX6687732 EED:260930 IND ID:</t>
        </is>
      </c>
      <c r="G3012" s="3" t="inlineStr">
        <is>
          <t>Checking – Operating</t>
        </is>
      </c>
      <c r="H3012" s="3" t="inlineStr">
        <is>
          <t>Service Income</t>
        </is>
      </c>
      <c r="I3012" s="33" t="n">
        <v>24407.59</v>
      </c>
      <c r="J3012" s="13">
        <f>+J3011+I3012</f>
        <v>10949185.85</v>
      </c>
      <c r="K3012" s="19">
        <f>+EOMONTH(B3012,0)</f>
        <v>46295</v>
      </c>
      <c r="L3012" s="3" t="inlineStr">
        <is>
          <t>Service Income</t>
        </is>
      </c>
      <c r="M3012" s="3" t="inlineStr">
        <is>
          <t>Net Fee-for-Service</t>
        </is>
      </c>
    </row>
    <row r="3013">
      <c r="B3013" s="39" t="n">
        <v>46297</v>
      </c>
      <c r="C3013" s="3" t="inlineStr">
        <is>
          <t>Deposit</t>
        </is>
      </c>
      <c r="D3013" s="3" t="inlineStr"/>
      <c r="E3013" s="3" t="inlineStr">
        <is>
          <t>Marrowby Mutual</t>
        </is>
      </c>
      <c r="F3013" s="3" t="inlineStr">
        <is>
          <t>ORIG CO NAME:MARROWBY MUTUAL ORIG ID:XXXXXX2523 DESC DATE:261002 CO ENTRY DESCR:HCCLAIMPMT SEC:CCD TRACE#:XXXXXXXX3012905 EED:261002 IND ID:</t>
        </is>
      </c>
      <c r="G3013" s="3" t="inlineStr">
        <is>
          <t>Checking – Operating</t>
        </is>
      </c>
      <c r="H3013" s="3" t="inlineStr">
        <is>
          <t>Service Income</t>
        </is>
      </c>
      <c r="I3013" s="33" t="n">
        <v>93288.53999999999</v>
      </c>
      <c r="J3013" s="13">
        <f>+J3012+I3013</f>
        <v>11042474.39</v>
      </c>
      <c r="K3013" s="19">
        <f>+EOMONTH(B3013,0)</f>
        <v>46326</v>
      </c>
      <c r="L3013" s="3" t="inlineStr">
        <is>
          <t>Service Income</t>
        </is>
      </c>
      <c r="M3013" s="3" t="inlineStr">
        <is>
          <t>Net Fee-for-Service</t>
        </is>
      </c>
    </row>
    <row r="3014">
      <c r="B3014" s="39" t="n">
        <v>46302</v>
      </c>
      <c r="C3014" s="3" t="inlineStr">
        <is>
          <t>Deposit</t>
        </is>
      </c>
      <c r="D3014" s="3" t="inlineStr"/>
      <c r="E3014" s="3" t="inlineStr">
        <is>
          <t>State Program B</t>
        </is>
      </c>
      <c r="F3014" s="3" t="inlineStr">
        <is>
          <t>ORIG CO NAME:STATE PROG B ORIG ID:XXXXXX2904 DESC DATE:261007 CO ENTRY DESCR:HCCLAIMPMT SEC:CCD TRACE#:XXXXXXXX4274779 EED:261007 IND ID:</t>
        </is>
      </c>
      <c r="G3014" s="3" t="inlineStr">
        <is>
          <t>Checking – Operating</t>
        </is>
      </c>
      <c r="H3014" s="3" t="inlineStr">
        <is>
          <t>Service Income</t>
        </is>
      </c>
      <c r="I3014" s="33" t="n">
        <v>31502.99</v>
      </c>
      <c r="J3014" s="13">
        <f>+J3013+I3014</f>
        <v>11073977.38</v>
      </c>
      <c r="K3014" s="19">
        <f>+EOMONTH(B3014,0)</f>
        <v>46326</v>
      </c>
      <c r="L3014" s="3" t="inlineStr">
        <is>
          <t>Service Income</t>
        </is>
      </c>
      <c r="M3014" s="3" t="inlineStr">
        <is>
          <t>Net Fee-for-Service</t>
        </is>
      </c>
    </row>
    <row r="3015">
      <c r="B3015" s="39" t="n">
        <v>46302</v>
      </c>
      <c r="C3015" s="3" t="inlineStr">
        <is>
          <t>Deposit</t>
        </is>
      </c>
      <c r="D3015" s="3" t="inlineStr"/>
      <c r="E3015" s="3" t="inlineStr">
        <is>
          <t>Cobaltmere Health</t>
        </is>
      </c>
      <c r="F3015" s="3" t="inlineStr">
        <is>
          <t>ORIG CO NAME:COBALTMERE HEALTH ORIG ID:XXXXXX7343 DESC DATE:261007 CO ENTRY DESCR:HCCLAIMPMT SEC:CCD TRACE#:XXXXXXXX8088600 EED:261007 IND ID:</t>
        </is>
      </c>
      <c r="G3015" s="3" t="inlineStr">
        <is>
          <t>Checking – Operating</t>
        </is>
      </c>
      <c r="H3015" s="3" t="inlineStr">
        <is>
          <t>Service Income</t>
        </is>
      </c>
      <c r="I3015" s="33" t="n">
        <v>48144.05</v>
      </c>
      <c r="J3015" s="13">
        <f>+J3014+I3015</f>
        <v>11122121.43</v>
      </c>
      <c r="K3015" s="19">
        <f>+EOMONTH(B3015,0)</f>
        <v>46326</v>
      </c>
      <c r="L3015" s="3" t="inlineStr">
        <is>
          <t>Service Income</t>
        </is>
      </c>
      <c r="M3015" s="3" t="inlineStr">
        <is>
          <t>Net Fee-for-Service</t>
        </is>
      </c>
    </row>
    <row r="3016">
      <c r="B3016" s="39" t="n">
        <v>46305</v>
      </c>
      <c r="C3016" s="3" t="inlineStr">
        <is>
          <t>Deposit</t>
        </is>
      </c>
      <c r="D3016" s="3" t="inlineStr"/>
      <c r="E3016" s="3" t="inlineStr">
        <is>
          <t>Lanternway Benefits</t>
        </is>
      </c>
      <c r="F3016" s="3" t="inlineStr">
        <is>
          <t>ORIG CO NAME:LANTERNWAY BEN ORIG ID:XXXXXX7479 DESC DATE:261010 CO ENTRY DESCR:HCCLAIMPMT SEC:CCD TRACE#:XXXXXXXX8446945 EED:261010 IND ID:</t>
        </is>
      </c>
      <c r="G3016" s="3" t="inlineStr">
        <is>
          <t>Checking – Operating</t>
        </is>
      </c>
      <c r="H3016" s="3" t="inlineStr">
        <is>
          <t>Service Income</t>
        </is>
      </c>
      <c r="I3016" s="33" t="n">
        <v>40319.16</v>
      </c>
      <c r="J3016" s="13">
        <f>+J3015+I3016</f>
        <v>11162440.59</v>
      </c>
      <c r="K3016" s="19">
        <f>+EOMONTH(B3016,0)</f>
        <v>46326</v>
      </c>
      <c r="L3016" s="3" t="inlineStr">
        <is>
          <t>Service Income</t>
        </is>
      </c>
      <c r="M3016" s="3" t="inlineStr">
        <is>
          <t>Net Fee-for-Service</t>
        </is>
      </c>
    </row>
    <row r="3017">
      <c r="B3017" s="39" t="n">
        <v>46305</v>
      </c>
      <c r="C3017" s="3" t="inlineStr">
        <is>
          <t>Deposit</t>
        </is>
      </c>
      <c r="D3017" s="3" t="inlineStr"/>
      <c r="E3017" s="3" t="inlineStr">
        <is>
          <t>Lanternway Benefits</t>
        </is>
      </c>
      <c r="F3017" s="3" t="inlineStr">
        <is>
          <t>ORIG CO NAME:LANTERNWAY BEN ORIG ID:XXXXXX7958 DESC DATE:261010 CO ENTRY DESCR:HCCLAIMPMT SEC:CCD TRACE#:XXXXXXXX9951735 EED:261010 IND ID:</t>
        </is>
      </c>
      <c r="G3017" s="3" t="inlineStr">
        <is>
          <t>Checking – Operating</t>
        </is>
      </c>
      <c r="H3017" s="3" t="inlineStr">
        <is>
          <t>Service Income</t>
        </is>
      </c>
      <c r="I3017" s="33" t="n">
        <v>45477.41</v>
      </c>
      <c r="J3017" s="13">
        <f>+J3016+I3017</f>
        <v>11207918</v>
      </c>
      <c r="K3017" s="19">
        <f>+EOMONTH(B3017,0)</f>
        <v>46326</v>
      </c>
      <c r="L3017" s="3" t="inlineStr">
        <is>
          <t>Service Income</t>
        </is>
      </c>
      <c r="M3017" s="3" t="inlineStr">
        <is>
          <t>Net Fee-for-Service</t>
        </is>
      </c>
    </row>
    <row r="3018">
      <c r="B3018" s="39" t="n">
        <v>46308</v>
      </c>
      <c r="C3018" s="3" t="inlineStr">
        <is>
          <t>Deposit</t>
        </is>
      </c>
      <c r="D3018" s="3" t="inlineStr"/>
      <c r="E3018" s="3" t="inlineStr">
        <is>
          <t>Quayside Choice Senior Plan</t>
        </is>
      </c>
      <c r="F3018" s="3" t="inlineStr">
        <is>
          <t>ORIG CO NAME:QUAYSIDE CHOICE SP ORIG ID:XXXXXX8612 DESC DATE:261013 CO ENTRY DESCR:HCCLAIMPMT SEC:CCD TRACE#:XXXXXXXX7639592 EED:261013 IND ID:</t>
        </is>
      </c>
      <c r="G3018" s="3" t="inlineStr">
        <is>
          <t>Checking – Operating</t>
        </is>
      </c>
      <c r="H3018" s="3" t="inlineStr">
        <is>
          <t>Service Income</t>
        </is>
      </c>
      <c r="I3018" s="33" t="n">
        <v>33968.92</v>
      </c>
      <c r="J3018" s="13">
        <f>+J3017+I3018</f>
        <v>11241886.92</v>
      </c>
      <c r="K3018" s="19">
        <f>+EOMONTH(B3018,0)</f>
        <v>46326</v>
      </c>
      <c r="L3018" s="3" t="inlineStr">
        <is>
          <t>Service Income</t>
        </is>
      </c>
      <c r="M3018" s="3" t="inlineStr">
        <is>
          <t>Net Fee-for-Service</t>
        </is>
      </c>
    </row>
    <row r="3019">
      <c r="B3019" s="39" t="n">
        <v>46309</v>
      </c>
      <c r="C3019" s="3" t="inlineStr">
        <is>
          <t>Deposit</t>
        </is>
      </c>
      <c r="D3019" s="3" t="inlineStr"/>
      <c r="E3019" s="3" t="inlineStr">
        <is>
          <t>State Program B</t>
        </is>
      </c>
      <c r="F3019" s="3" t="inlineStr">
        <is>
          <t>ORIG CO NAME:STATE PROG B ORIG ID:XXXXXX1904 DESC DATE:261014 CO ENTRY DESCR:HCCLAIMPMT SEC:CCD TRACE#:XXXXXXXX8633451 EED:261014 IND ID:</t>
        </is>
      </c>
      <c r="G3019" s="3" t="inlineStr">
        <is>
          <t>Checking – Operating</t>
        </is>
      </c>
      <c r="H3019" s="3" t="inlineStr">
        <is>
          <t>Service Income</t>
        </is>
      </c>
      <c r="I3019" s="33" t="n">
        <v>41769.42</v>
      </c>
      <c r="J3019" s="13">
        <f>+J3018+I3019</f>
        <v>11283656.34</v>
      </c>
      <c r="K3019" s="19">
        <f>+EOMONTH(B3019,0)</f>
        <v>46326</v>
      </c>
      <c r="L3019" s="3" t="inlineStr">
        <is>
          <t>Service Income</t>
        </is>
      </c>
      <c r="M3019" s="3" t="inlineStr">
        <is>
          <t>Net Fee-for-Service</t>
        </is>
      </c>
    </row>
    <row r="3020">
      <c r="B3020" s="39" t="n">
        <v>46309</v>
      </c>
      <c r="C3020" s="3" t="inlineStr">
        <is>
          <t>Deposit</t>
        </is>
      </c>
      <c r="D3020" s="3" t="inlineStr"/>
      <c r="E3020" s="3" t="inlineStr">
        <is>
          <t>Cobaltmere Health</t>
        </is>
      </c>
      <c r="F3020" s="3" t="inlineStr">
        <is>
          <t>ORIG CO NAME:COBALTMERE HEALTH ORIG ID:XXXXXX5902 DESC DATE:261014 CO ENTRY DESCR:HCCLAIMPMT SEC:CCD TRACE#:XXXXXXXX2248600 EED:261014 IND ID:</t>
        </is>
      </c>
      <c r="G3020" s="3" t="inlineStr">
        <is>
          <t>Checking – Operating</t>
        </is>
      </c>
      <c r="H3020" s="3" t="inlineStr">
        <is>
          <t>Service Income</t>
        </is>
      </c>
      <c r="I3020" s="33" t="n">
        <v>34570.8</v>
      </c>
      <c r="J3020" s="13">
        <f>+J3019+I3020</f>
        <v>11318227.14</v>
      </c>
      <c r="K3020" s="19">
        <f>+EOMONTH(B3020,0)</f>
        <v>46326</v>
      </c>
      <c r="L3020" s="3" t="inlineStr">
        <is>
          <t>Service Income</t>
        </is>
      </c>
      <c r="M3020" s="3" t="inlineStr">
        <is>
          <t>Net Fee-for-Service</t>
        </is>
      </c>
    </row>
    <row r="3021">
      <c r="B3021" s="39" t="n">
        <v>46310</v>
      </c>
      <c r="C3021" s="3" t="inlineStr">
        <is>
          <t>Deposit</t>
        </is>
      </c>
      <c r="D3021" s="3" t="inlineStr"/>
      <c r="E3021" s="3" t="inlineStr">
        <is>
          <t>Federal Program A</t>
        </is>
      </c>
      <c r="F3021" s="3" t="inlineStr">
        <is>
          <t>ORIG CO NAME:FEDERAL PROG A ORIG ID:XXXXXX2473 DESC DATE:261015 CO ENTRY DESCR:HCCLAIMPMT SEC:CCD TRACE#:XXXXXXXX6118184 EED:261015 IND ID:</t>
        </is>
      </c>
      <c r="G3021" s="3" t="inlineStr">
        <is>
          <t>Checking – Operating</t>
        </is>
      </c>
      <c r="H3021" s="3" t="inlineStr">
        <is>
          <t>Service Income</t>
        </is>
      </c>
      <c r="I3021" s="33" t="n">
        <v>109796.6</v>
      </c>
      <c r="J3021" s="13">
        <f>+J3020+I3021</f>
        <v>11428023.74</v>
      </c>
      <c r="K3021" s="19">
        <f>+EOMONTH(B3021,0)</f>
        <v>46326</v>
      </c>
      <c r="L3021" s="3" t="inlineStr">
        <is>
          <t>Service Income</t>
        </is>
      </c>
      <c r="M3021" s="3" t="inlineStr">
        <is>
          <t>Net Fee-for-Service</t>
        </is>
      </c>
    </row>
    <row r="3022">
      <c r="B3022" s="39" t="n">
        <v>46311</v>
      </c>
      <c r="C3022" s="3" t="inlineStr">
        <is>
          <t>Deposit</t>
        </is>
      </c>
      <c r="D3022" s="3" t="inlineStr"/>
      <c r="E3022" s="3" t="inlineStr">
        <is>
          <t>Vantrelle Health Plan</t>
        </is>
      </c>
      <c r="F3022" s="3" t="inlineStr">
        <is>
          <t>ORIG CO NAME:VANTRELLE HP ORIG ID:XXXXXX4620 DESC DATE:261016 CO ENTRY DESCR:HCCLAIMPMT SEC:CCD TRACE#:XXXXXXXX2412260 EED:261016 IND ID:</t>
        </is>
      </c>
      <c r="G3022" s="3" t="inlineStr">
        <is>
          <t>Checking – Operating</t>
        </is>
      </c>
      <c r="H3022" s="3" t="inlineStr">
        <is>
          <t>Service Income</t>
        </is>
      </c>
      <c r="I3022" s="33" t="n">
        <v>98329.24000000001</v>
      </c>
      <c r="J3022" s="13">
        <f>+J3021+I3022</f>
        <v>11526352.98</v>
      </c>
      <c r="K3022" s="19">
        <f>+EOMONTH(B3022,0)</f>
        <v>46326</v>
      </c>
      <c r="L3022" s="3" t="inlineStr">
        <is>
          <t>Service Income</t>
        </is>
      </c>
      <c r="M3022" s="3" t="inlineStr">
        <is>
          <t>Net Fee-for-Service</t>
        </is>
      </c>
    </row>
    <row r="3023">
      <c r="B3023" s="39" t="n">
        <v>46311</v>
      </c>
      <c r="C3023" s="3" t="inlineStr">
        <is>
          <t>Deposit</t>
        </is>
      </c>
      <c r="D3023" s="3" t="inlineStr"/>
      <c r="E3023" s="3" t="inlineStr">
        <is>
          <t>Quayside Choice Senior Plan</t>
        </is>
      </c>
      <c r="F3023" s="3" t="inlineStr">
        <is>
          <t>ORIG CO NAME:QUAYSIDE CHOICE SP ORIG ID:XXXXXX9682 DESC DATE:261016 CO ENTRY DESCR:HCCLAIMPMT SEC:CCD TRACE#:XXXXXXXX7547596 EED:261016 IND ID:</t>
        </is>
      </c>
      <c r="G3023" s="3" t="inlineStr">
        <is>
          <t>Checking – Operating</t>
        </is>
      </c>
      <c r="H3023" s="3" t="inlineStr">
        <is>
          <t>Service Income</t>
        </is>
      </c>
      <c r="I3023" s="33" t="n">
        <v>42240.61</v>
      </c>
      <c r="J3023" s="13">
        <f>+J3022+I3023</f>
        <v>11568593.59</v>
      </c>
      <c r="K3023" s="19">
        <f>+EOMONTH(B3023,0)</f>
        <v>46326</v>
      </c>
      <c r="L3023" s="3" t="inlineStr">
        <is>
          <t>Service Income</t>
        </is>
      </c>
      <c r="M3023" s="3" t="inlineStr">
        <is>
          <t>Net Fee-for-Service</t>
        </is>
      </c>
    </row>
    <row r="3024">
      <c r="B3024" s="39" t="n">
        <v>46314</v>
      </c>
      <c r="C3024" s="3" t="inlineStr">
        <is>
          <t>Deposit</t>
        </is>
      </c>
      <c r="D3024" s="3" t="inlineStr"/>
      <c r="E3024" s="3" t="inlineStr">
        <is>
          <t>Lanternway Benefits</t>
        </is>
      </c>
      <c r="F3024" s="3" t="inlineStr">
        <is>
          <t>ORIG CO NAME:LANTERNWAY BEN ORIG ID:XXXXXX5232 DESC DATE:261019 CO ENTRY DESCR:HCCLAIMPMT SEC:CCD TRACE#:XXXXXXXX5051941 EED:261019 IND ID:</t>
        </is>
      </c>
      <c r="G3024" s="3" t="inlineStr">
        <is>
          <t>Checking – Operating</t>
        </is>
      </c>
      <c r="H3024" s="3" t="inlineStr">
        <is>
          <t>Service Income</t>
        </is>
      </c>
      <c r="I3024" s="33" t="n">
        <v>52061.51</v>
      </c>
      <c r="J3024" s="13">
        <f>+J3023+I3024</f>
        <v>11620655.1</v>
      </c>
      <c r="K3024" s="19">
        <f>+EOMONTH(B3024,0)</f>
        <v>46326</v>
      </c>
      <c r="L3024" s="3" t="inlineStr">
        <is>
          <t>Service Income</t>
        </is>
      </c>
      <c r="M3024" s="3" t="inlineStr">
        <is>
          <t>Net Fee-for-Service</t>
        </is>
      </c>
    </row>
    <row r="3025">
      <c r="B3025" s="39" t="n">
        <v>46317</v>
      </c>
      <c r="C3025" s="3" t="inlineStr">
        <is>
          <t>Deposit</t>
        </is>
      </c>
      <c r="D3025" s="3" t="inlineStr"/>
      <c r="E3025" s="3" t="inlineStr">
        <is>
          <t>Silvermoss Senior Living</t>
        </is>
      </c>
      <c r="F3025" s="3" t="inlineStr">
        <is>
          <t>ORIG CO NAME:SILVERMOSS SL ORIG ID:XXXXXX2193 DESC DATE:261022 CO ENTRY DESCR:HCCLAIMPMT SEC:CCD TRACE#:XXXXXXXX9077686 EED:261022 IND ID:</t>
        </is>
      </c>
      <c r="G3025" s="3" t="inlineStr">
        <is>
          <t>Checking – Operating</t>
        </is>
      </c>
      <c r="H3025" s="3" t="inlineStr">
        <is>
          <t>Service Income</t>
        </is>
      </c>
      <c r="I3025" s="33" t="n">
        <v>32471.69</v>
      </c>
      <c r="J3025" s="13">
        <f>+J3024+I3025</f>
        <v>11653126.79</v>
      </c>
      <c r="K3025" s="19">
        <f>+EOMONTH(B3025,0)</f>
        <v>46326</v>
      </c>
      <c r="L3025" s="3" t="inlineStr">
        <is>
          <t>Service Income</t>
        </is>
      </c>
      <c r="M3025" s="3" t="inlineStr">
        <is>
          <t>Net Fee-for-Service</t>
        </is>
      </c>
    </row>
    <row r="3026">
      <c r="B3026" s="39" t="n">
        <v>46317</v>
      </c>
      <c r="C3026" s="3" t="inlineStr">
        <is>
          <t>Deposit</t>
        </is>
      </c>
      <c r="D3026" s="3" t="inlineStr"/>
      <c r="E3026" s="3" t="inlineStr">
        <is>
          <t>Quayside Choice Senior Plan</t>
        </is>
      </c>
      <c r="F3026" s="3" t="inlineStr">
        <is>
          <t>ORIG CO NAME:QUAYSIDE CHOICE SP ORIG ID:XXXXXX1480 DESC DATE:261022 CO ENTRY DESCR:HCCLAIMPMT SEC:CCD TRACE#:XXXXXXXX7258981 EED:261022 IND ID:</t>
        </is>
      </c>
      <c r="G3026" s="3" t="inlineStr">
        <is>
          <t>Checking – Operating</t>
        </is>
      </c>
      <c r="H3026" s="3" t="inlineStr">
        <is>
          <t>Service Income</t>
        </is>
      </c>
      <c r="I3026" s="33" t="n">
        <v>75434.36</v>
      </c>
      <c r="J3026" s="13">
        <f>+J3025+I3026</f>
        <v>11728561.15</v>
      </c>
      <c r="K3026" s="19">
        <f>+EOMONTH(B3026,0)</f>
        <v>46326</v>
      </c>
      <c r="L3026" s="3" t="inlineStr">
        <is>
          <t>Service Income</t>
        </is>
      </c>
      <c r="M3026" s="3" t="inlineStr">
        <is>
          <t>Net Fee-for-Service</t>
        </is>
      </c>
    </row>
    <row r="3027">
      <c r="B3027" s="39" t="n">
        <v>46318</v>
      </c>
      <c r="C3027" s="3" t="inlineStr">
        <is>
          <t>Deposit</t>
        </is>
      </c>
      <c r="D3027" s="3" t="inlineStr"/>
      <c r="E3027" s="3" t="inlineStr">
        <is>
          <t>Vantrelle Health Plan</t>
        </is>
      </c>
      <c r="F3027" s="3" t="inlineStr">
        <is>
          <t>ORIG CO NAME:VANTRELLE HP ORIG ID:XXXXXX8217 DESC DATE:261023 CO ENTRY DESCR:HCCLAIMPMT SEC:CCD TRACE#:XXXXXXXX1531854 EED:261023 IND ID:</t>
        </is>
      </c>
      <c r="G3027" s="3" t="inlineStr">
        <is>
          <t>Checking – Operating</t>
        </is>
      </c>
      <c r="H3027" s="3" t="inlineStr">
        <is>
          <t>Service Income</t>
        </is>
      </c>
      <c r="I3027" s="33" t="n">
        <v>128408.5</v>
      </c>
      <c r="J3027" s="13">
        <f>+J3026+I3027</f>
        <v>11856969.65</v>
      </c>
      <c r="K3027" s="19">
        <f>+EOMONTH(B3027,0)</f>
        <v>46326</v>
      </c>
      <c r="L3027" s="3" t="inlineStr">
        <is>
          <t>Service Income</t>
        </is>
      </c>
      <c r="M3027" s="3" t="inlineStr">
        <is>
          <t>Net Fee-for-Service</t>
        </is>
      </c>
    </row>
    <row r="3028">
      <c r="B3028" s="39" t="n">
        <v>46319</v>
      </c>
      <c r="C3028" s="3" t="inlineStr">
        <is>
          <t>Deposit</t>
        </is>
      </c>
      <c r="D3028" s="3" t="inlineStr"/>
      <c r="E3028" s="3" t="inlineStr">
        <is>
          <t>Silvermoss Senior Living</t>
        </is>
      </c>
      <c r="F3028" s="3" t="inlineStr">
        <is>
          <t>ORIG CO NAME:SILVERMOSS SL ORIG ID:XXXXXX8640 DESC DATE:261024 CO ENTRY DESCR:HCCLAIMPMT SEC:CCD TRACE#:XXXXXXXX7354265 EED:261024 IND ID:</t>
        </is>
      </c>
      <c r="G3028" s="3" t="inlineStr">
        <is>
          <t>Checking – Operating</t>
        </is>
      </c>
      <c r="H3028" s="3" t="inlineStr">
        <is>
          <t>Service Income</t>
        </is>
      </c>
      <c r="I3028" s="33" t="n">
        <v>30537.1</v>
      </c>
      <c r="J3028" s="13">
        <f>+J3027+I3028</f>
        <v>11887506.75</v>
      </c>
      <c r="K3028" s="19">
        <f>+EOMONTH(B3028,0)</f>
        <v>46326</v>
      </c>
      <c r="L3028" s="3" t="inlineStr">
        <is>
          <t>Service Income</t>
        </is>
      </c>
      <c r="M3028" s="3" t="inlineStr">
        <is>
          <t>Net Fee-for-Service</t>
        </is>
      </c>
    </row>
    <row r="3029">
      <c r="B3029" s="39" t="n">
        <v>46320</v>
      </c>
      <c r="C3029" s="3" t="inlineStr">
        <is>
          <t>Deposit</t>
        </is>
      </c>
      <c r="D3029" s="3" t="inlineStr"/>
      <c r="E3029" s="3" t="inlineStr">
        <is>
          <t>Silvermoss Senior Living</t>
        </is>
      </c>
      <c r="F3029" s="3" t="inlineStr">
        <is>
          <t>ORIG CO NAME:SILVERMOSS SL ORIG ID:XXXXXX8742 DESC DATE:261025 CO ENTRY DESCR:HCCLAIMPMT SEC:CCD TRACE#:XXXXXXXX8564663 EED:261025 IND ID:</t>
        </is>
      </c>
      <c r="G3029" s="3" t="inlineStr">
        <is>
          <t>Checking – Operating</t>
        </is>
      </c>
      <c r="H3029" s="3" t="inlineStr">
        <is>
          <t>Service Income</t>
        </is>
      </c>
      <c r="I3029" s="33" t="n">
        <v>47277.68</v>
      </c>
      <c r="J3029" s="13">
        <f>+J3028+I3029</f>
        <v>11934784.43</v>
      </c>
      <c r="K3029" s="19">
        <f>+EOMONTH(B3029,0)</f>
        <v>46326</v>
      </c>
      <c r="L3029" s="3" t="inlineStr">
        <is>
          <t>Service Income</t>
        </is>
      </c>
      <c r="M3029" s="3" t="inlineStr">
        <is>
          <t>Net Fee-for-Service</t>
        </is>
      </c>
    </row>
    <row r="3030">
      <c r="B3030" s="39" t="n">
        <v>46322</v>
      </c>
      <c r="C3030" s="3" t="inlineStr">
        <is>
          <t>Deposit</t>
        </is>
      </c>
      <c r="D3030" s="3" t="inlineStr"/>
      <c r="E3030" s="3" t="inlineStr">
        <is>
          <t>Vantrelle Health Plan</t>
        </is>
      </c>
      <c r="F3030" s="3" t="inlineStr">
        <is>
          <t>ORIG CO NAME:VANTRELLE HP ORIG ID:XXXXXX5408 DESC DATE:261027 CO ENTRY DESCR:HCCLAIMPMT SEC:CCD TRACE#:XXXXXXXX2572839 EED:261027 IND ID:</t>
        </is>
      </c>
      <c r="G3030" s="3" t="inlineStr">
        <is>
          <t>Checking – Operating</t>
        </is>
      </c>
      <c r="H3030" s="3" t="inlineStr">
        <is>
          <t>Service Income</t>
        </is>
      </c>
      <c r="I3030" s="33" t="n">
        <v>104121.66</v>
      </c>
      <c r="J3030" s="13">
        <f>+J3029+I3030</f>
        <v>12038906.09</v>
      </c>
      <c r="K3030" s="19">
        <f>+EOMONTH(B3030,0)</f>
        <v>46326</v>
      </c>
      <c r="L3030" s="3" t="inlineStr">
        <is>
          <t>Service Income</t>
        </is>
      </c>
      <c r="M3030" s="3" t="inlineStr">
        <is>
          <t>Net Fee-for-Service</t>
        </is>
      </c>
    </row>
    <row r="3031">
      <c r="B3031" s="39" t="n">
        <v>46323</v>
      </c>
      <c r="C3031" s="3" t="inlineStr">
        <is>
          <t>Deposit</t>
        </is>
      </c>
      <c r="D3031" s="3" t="inlineStr"/>
      <c r="E3031" s="3" t="inlineStr">
        <is>
          <t>Marrowby Mutual</t>
        </is>
      </c>
      <c r="F3031" s="3" t="inlineStr">
        <is>
          <t>ORIG CO NAME:MARROWBY MUTUAL ORIG ID:XXXXXX4665 DESC DATE:261028 CO ENTRY DESCR:HCCLAIMPMT SEC:CCD TRACE#:XXXXXXXX9743360 EED:261028 IND ID:</t>
        </is>
      </c>
      <c r="G3031" s="3" t="inlineStr">
        <is>
          <t>Checking – Operating</t>
        </is>
      </c>
      <c r="H3031" s="3" t="inlineStr">
        <is>
          <t>Service Income</t>
        </is>
      </c>
      <c r="I3031" s="33" t="n">
        <v>99712.77</v>
      </c>
      <c r="J3031" s="13">
        <f>+J3030+I3031</f>
        <v>12138618.86</v>
      </c>
      <c r="K3031" s="19">
        <f>+EOMONTH(B3031,0)</f>
        <v>46326</v>
      </c>
      <c r="L3031" s="3" t="inlineStr">
        <is>
          <t>Service Income</t>
        </is>
      </c>
      <c r="M3031" s="3" t="inlineStr">
        <is>
          <t>Net Fee-for-Service</t>
        </is>
      </c>
    </row>
    <row r="3032">
      <c r="B3032" s="39" t="n">
        <v>46326</v>
      </c>
      <c r="C3032" s="3" t="inlineStr">
        <is>
          <t>Deposit</t>
        </is>
      </c>
      <c r="D3032" s="3" t="inlineStr"/>
      <c r="E3032" s="3" t="inlineStr">
        <is>
          <t>Federal Program A</t>
        </is>
      </c>
      <c r="F3032" s="3" t="inlineStr">
        <is>
          <t>ORIG CO NAME:FEDERAL PROG A ORIG ID:XXXXXX5808 DESC DATE:261031 CO ENTRY DESCR:HCCLAIMPMT SEC:CCD TRACE#:XXXXXXXX7753458 EED:261031 IND ID:</t>
        </is>
      </c>
      <c r="G3032" s="3" t="inlineStr">
        <is>
          <t>Checking – Operating</t>
        </is>
      </c>
      <c r="H3032" s="3" t="inlineStr">
        <is>
          <t>Service Income</t>
        </is>
      </c>
      <c r="I3032" s="33" t="n">
        <v>138347.95</v>
      </c>
      <c r="J3032" s="13">
        <f>+J3031+I3032</f>
        <v>12276966.81</v>
      </c>
      <c r="K3032" s="19">
        <f>+EOMONTH(B3032,0)</f>
        <v>46326</v>
      </c>
      <c r="L3032" s="3" t="inlineStr">
        <is>
          <t>Service Income</t>
        </is>
      </c>
      <c r="M3032" s="3" t="inlineStr">
        <is>
          <t>Net Fee-for-Service</t>
        </is>
      </c>
    </row>
    <row r="3033">
      <c r="B3033" s="39" t="n">
        <v>46326</v>
      </c>
      <c r="C3033" s="3" t="inlineStr">
        <is>
          <t>Deposit</t>
        </is>
      </c>
      <c r="D3033" s="3" t="inlineStr"/>
      <c r="E3033" s="3" t="inlineStr">
        <is>
          <t>State Program B</t>
        </is>
      </c>
      <c r="F3033" s="3" t="inlineStr">
        <is>
          <t>ORIG CO NAME:STATE PROG B ORIG ID:XXXXXX9163 DESC DATE:261031 CO ENTRY DESCR:HCCLAIMPMT SEC:CCD TRACE#:XXXXXXXX7519181 EED:261031 IND ID:</t>
        </is>
      </c>
      <c r="G3033" s="3" t="inlineStr">
        <is>
          <t>Checking – Operating</t>
        </is>
      </c>
      <c r="H3033" s="3" t="inlineStr">
        <is>
          <t>Service Income</t>
        </is>
      </c>
      <c r="I3033" s="33" t="n">
        <v>50799.86</v>
      </c>
      <c r="J3033" s="13">
        <f>+J3032+I3033</f>
        <v>12327766.67</v>
      </c>
      <c r="K3033" s="19">
        <f>+EOMONTH(B3033,0)</f>
        <v>46326</v>
      </c>
      <c r="L3033" s="3" t="inlineStr">
        <is>
          <t>Service Income</t>
        </is>
      </c>
      <c r="M3033" s="3" t="inlineStr">
        <is>
          <t>Net Fee-for-Service</t>
        </is>
      </c>
    </row>
    <row r="3034">
      <c r="B3034" s="39" t="n">
        <v>46328</v>
      </c>
      <c r="C3034" s="3" t="inlineStr">
        <is>
          <t>Deposit</t>
        </is>
      </c>
      <c r="D3034" s="3" t="inlineStr"/>
      <c r="E3034" s="3" t="inlineStr">
        <is>
          <t>Lanternway Benefits</t>
        </is>
      </c>
      <c r="F3034" s="3" t="inlineStr">
        <is>
          <t>ORIG CO NAME:LANTERNWAY BEN ORIG ID:XXXXXX1583 DESC DATE:261102 CO ENTRY DESCR:HCCLAIMPMT SEC:CCD TRACE#:XXXXXXXX1986781 EED:261102 IND ID:</t>
        </is>
      </c>
      <c r="G3034" s="3" t="inlineStr">
        <is>
          <t>Checking – Operating</t>
        </is>
      </c>
      <c r="H3034" s="3" t="inlineStr">
        <is>
          <t>Service Income</t>
        </is>
      </c>
      <c r="I3034" s="33" t="n">
        <v>42763.05</v>
      </c>
      <c r="J3034" s="13">
        <f>+J3033+I3034</f>
        <v>12370529.72</v>
      </c>
      <c r="K3034" s="19">
        <f>+EOMONTH(B3034,0)</f>
        <v>46356</v>
      </c>
      <c r="L3034" s="3" t="inlineStr">
        <is>
          <t>Service Income</t>
        </is>
      </c>
      <c r="M3034" s="3" t="inlineStr">
        <is>
          <t>Net Fee-for-Service</t>
        </is>
      </c>
    </row>
    <row r="3035">
      <c r="B3035" s="39" t="n">
        <v>46328</v>
      </c>
      <c r="C3035" s="3" t="inlineStr">
        <is>
          <t>Deposit</t>
        </is>
      </c>
      <c r="D3035" s="3" t="inlineStr"/>
      <c r="E3035" s="3" t="inlineStr">
        <is>
          <t>Cobaltmere Health</t>
        </is>
      </c>
      <c r="F3035" s="3" t="inlineStr">
        <is>
          <t>ORIG CO NAME:COBALTMERE HEALTH ORIG ID:XXXXXX6613 DESC DATE:261102 CO ENTRY DESCR:HCCLAIMPMT SEC:CCD TRACE#:XXXXXXXX6557907 EED:261102 IND ID:</t>
        </is>
      </c>
      <c r="G3035" s="3" t="inlineStr">
        <is>
          <t>Checking – Operating</t>
        </is>
      </c>
      <c r="H3035" s="3" t="inlineStr">
        <is>
          <t>Service Income</t>
        </is>
      </c>
      <c r="I3035" s="33" t="n">
        <v>24470.59</v>
      </c>
      <c r="J3035" s="13">
        <f>+J3034+I3035</f>
        <v>12395000.31</v>
      </c>
      <c r="K3035" s="19">
        <f>+EOMONTH(B3035,0)</f>
        <v>46356</v>
      </c>
      <c r="L3035" s="3" t="inlineStr">
        <is>
          <t>Service Income</t>
        </is>
      </c>
      <c r="M3035" s="3" t="inlineStr">
        <is>
          <t>Net Fee-for-Service</t>
        </is>
      </c>
    </row>
    <row r="3036">
      <c r="B3036" s="39" t="n">
        <v>46332</v>
      </c>
      <c r="C3036" s="3" t="inlineStr">
        <is>
          <t>Deposit</t>
        </is>
      </c>
      <c r="D3036" s="3" t="inlineStr"/>
      <c r="E3036" s="3" t="inlineStr">
        <is>
          <t>State Program B</t>
        </is>
      </c>
      <c r="F3036" s="3" t="inlineStr">
        <is>
          <t>ORIG CO NAME:STATE PROG B ORIG ID:XXXXXX5039 DESC DATE:261106 CO ENTRY DESCR:HCCLAIMPMT SEC:CCD TRACE#:XXXXXXXX3313113 EED:261106 IND ID:</t>
        </is>
      </c>
      <c r="G3036" s="3" t="inlineStr">
        <is>
          <t>Checking – Operating</t>
        </is>
      </c>
      <c r="H3036" s="3" t="inlineStr">
        <is>
          <t>Service Income</t>
        </is>
      </c>
      <c r="I3036" s="33" t="n">
        <v>61461.25</v>
      </c>
      <c r="J3036" s="13">
        <f>+J3035+I3036</f>
        <v>12456461.56</v>
      </c>
      <c r="K3036" s="19">
        <f>+EOMONTH(B3036,0)</f>
        <v>46356</v>
      </c>
      <c r="L3036" s="3" t="inlineStr">
        <is>
          <t>Service Income</t>
        </is>
      </c>
      <c r="M3036" s="3" t="inlineStr">
        <is>
          <t>Net Fee-for-Service</t>
        </is>
      </c>
    </row>
    <row r="3037">
      <c r="B3037" s="39" t="n">
        <v>46334</v>
      </c>
      <c r="C3037" s="3" t="inlineStr">
        <is>
          <t>Deposit</t>
        </is>
      </c>
      <c r="D3037" s="3" t="inlineStr"/>
      <c r="E3037" s="3" t="inlineStr">
        <is>
          <t>Silvermoss Senior Living</t>
        </is>
      </c>
      <c r="F3037" s="3" t="inlineStr">
        <is>
          <t>ORIG CO NAME:SILVERMOSS SL ORIG ID:XXXXXX5825 DESC DATE:261108 CO ENTRY DESCR:HCCLAIMPMT SEC:CCD TRACE#:XXXXXXXX9993982 EED:261108 IND ID:</t>
        </is>
      </c>
      <c r="G3037" s="3" t="inlineStr">
        <is>
          <t>Checking – Operating</t>
        </is>
      </c>
      <c r="H3037" s="3" t="inlineStr">
        <is>
          <t>Service Income</t>
        </is>
      </c>
      <c r="I3037" s="33" t="n">
        <v>24357.84</v>
      </c>
      <c r="J3037" s="13">
        <f>+J3036+I3037</f>
        <v>12480819.4</v>
      </c>
      <c r="K3037" s="19">
        <f>+EOMONTH(B3037,0)</f>
        <v>46356</v>
      </c>
      <c r="L3037" s="3" t="inlineStr">
        <is>
          <t>Service Income</t>
        </is>
      </c>
      <c r="M3037" s="3" t="inlineStr">
        <is>
          <t>Net Fee-for-Service</t>
        </is>
      </c>
    </row>
    <row r="3038">
      <c r="B3038" s="39" t="n">
        <v>46335</v>
      </c>
      <c r="C3038" s="3" t="inlineStr">
        <is>
          <t>Deposit</t>
        </is>
      </c>
      <c r="D3038" s="3" t="inlineStr"/>
      <c r="E3038" s="3" t="inlineStr">
        <is>
          <t>Federal Program A</t>
        </is>
      </c>
      <c r="F3038" s="3" t="inlineStr">
        <is>
          <t>ORIG CO NAME:FEDERAL PROG A ORIG ID:XXXXXX9951 DESC DATE:261109 CO ENTRY DESCR:HCCLAIMPMT SEC:CCD TRACE#:XXXXXXXX2589373 EED:261109 IND ID:</t>
        </is>
      </c>
      <c r="G3038" s="3" t="inlineStr">
        <is>
          <t>Checking – Operating</t>
        </is>
      </c>
      <c r="H3038" s="3" t="inlineStr">
        <is>
          <t>Service Income</t>
        </is>
      </c>
      <c r="I3038" s="33" t="n">
        <v>121878.88</v>
      </c>
      <c r="J3038" s="13">
        <f>+J3037+I3038</f>
        <v>12602698.28</v>
      </c>
      <c r="K3038" s="19">
        <f>+EOMONTH(B3038,0)</f>
        <v>46356</v>
      </c>
      <c r="L3038" s="3" t="inlineStr">
        <is>
          <t>Service Income</t>
        </is>
      </c>
      <c r="M3038" s="3" t="inlineStr">
        <is>
          <t>Net Fee-for-Service</t>
        </is>
      </c>
    </row>
    <row r="3039">
      <c r="B3039" s="39" t="n">
        <v>46335</v>
      </c>
      <c r="C3039" s="3" t="inlineStr">
        <is>
          <t>Deposit</t>
        </is>
      </c>
      <c r="D3039" s="3" t="inlineStr"/>
      <c r="E3039" s="3" t="inlineStr">
        <is>
          <t>Silvermoss Senior Living</t>
        </is>
      </c>
      <c r="F3039" s="3" t="inlineStr">
        <is>
          <t>ORIG CO NAME:SILVERMOSS SL ORIG ID:XXXXXX3895 DESC DATE:261109 CO ENTRY DESCR:HCCLAIMPMT SEC:CCD TRACE#:XXXXXXXX1892928 EED:261109 IND ID:</t>
        </is>
      </c>
      <c r="G3039" s="3" t="inlineStr">
        <is>
          <t>Checking – Operating</t>
        </is>
      </c>
      <c r="H3039" s="3" t="inlineStr">
        <is>
          <t>Service Income</t>
        </is>
      </c>
      <c r="I3039" s="33" t="n">
        <v>45637.11</v>
      </c>
      <c r="J3039" s="13">
        <f>+J3038+I3039</f>
        <v>12648335.39</v>
      </c>
      <c r="K3039" s="19">
        <f>+EOMONTH(B3039,0)</f>
        <v>46356</v>
      </c>
      <c r="L3039" s="3" t="inlineStr">
        <is>
          <t>Service Income</t>
        </is>
      </c>
      <c r="M3039" s="3" t="inlineStr">
        <is>
          <t>Net Fee-for-Service</t>
        </is>
      </c>
    </row>
    <row r="3040">
      <c r="B3040" s="39" t="n">
        <v>46336</v>
      </c>
      <c r="C3040" s="3" t="inlineStr">
        <is>
          <t>Deposit</t>
        </is>
      </c>
      <c r="D3040" s="3" t="inlineStr"/>
      <c r="E3040" s="3" t="inlineStr">
        <is>
          <t>Lanternway Benefits</t>
        </is>
      </c>
      <c r="F3040" s="3" t="inlineStr">
        <is>
          <t>ORIG CO NAME:LANTERNWAY BEN ORIG ID:XXXXXX3713 DESC DATE:261110 CO ENTRY DESCR:HCCLAIMPMT SEC:CCD TRACE#:XXXXXXXX7309014 EED:261110 IND ID:</t>
        </is>
      </c>
      <c r="G3040" s="3" t="inlineStr">
        <is>
          <t>Checking – Operating</t>
        </is>
      </c>
      <c r="H3040" s="3" t="inlineStr">
        <is>
          <t>Service Income</t>
        </is>
      </c>
      <c r="I3040" s="33" t="n">
        <v>33577.77</v>
      </c>
      <c r="J3040" s="13">
        <f>+J3039+I3040</f>
        <v>12681913.16</v>
      </c>
      <c r="K3040" s="19">
        <f>+EOMONTH(B3040,0)</f>
        <v>46356</v>
      </c>
      <c r="L3040" s="3" t="inlineStr">
        <is>
          <t>Service Income</t>
        </is>
      </c>
      <c r="M3040" s="3" t="inlineStr">
        <is>
          <t>Net Fee-for-Service</t>
        </is>
      </c>
    </row>
    <row r="3041">
      <c r="B3041" s="39" t="n">
        <v>46339</v>
      </c>
      <c r="C3041" s="3" t="inlineStr">
        <is>
          <t>Deposit</t>
        </is>
      </c>
      <c r="D3041" s="3" t="inlineStr"/>
      <c r="E3041" s="3" t="inlineStr">
        <is>
          <t>Silvermoss Senior Living</t>
        </is>
      </c>
      <c r="F3041" s="3" t="inlineStr">
        <is>
          <t>ORIG CO NAME:SILVERMOSS SL ORIG ID:XXXXXX4985 DESC DATE:261113 CO ENTRY DESCR:HCCLAIMPMT SEC:CCD TRACE#:XXXXXXXX1441261 EED:261113 IND ID:</t>
        </is>
      </c>
      <c r="G3041" s="3" t="inlineStr">
        <is>
          <t>Checking – Operating</t>
        </is>
      </c>
      <c r="H3041" s="3" t="inlineStr">
        <is>
          <t>Service Income</t>
        </is>
      </c>
      <c r="I3041" s="33" t="n">
        <v>23490.02</v>
      </c>
      <c r="J3041" s="13">
        <f>+J3040+I3041</f>
        <v>12705403.18</v>
      </c>
      <c r="K3041" s="19">
        <f>+EOMONTH(B3041,0)</f>
        <v>46356</v>
      </c>
      <c r="L3041" s="3" t="inlineStr">
        <is>
          <t>Service Income</t>
        </is>
      </c>
      <c r="M3041" s="3" t="inlineStr">
        <is>
          <t>Net Fee-for-Service</t>
        </is>
      </c>
    </row>
    <row r="3042">
      <c r="B3042" s="39" t="n">
        <v>46342</v>
      </c>
      <c r="C3042" s="3" t="inlineStr">
        <is>
          <t>Deposit</t>
        </is>
      </c>
      <c r="D3042" s="3" t="inlineStr"/>
      <c r="E3042" s="3" t="inlineStr">
        <is>
          <t>Quayside Choice Senior Plan</t>
        </is>
      </c>
      <c r="F3042" s="3" t="inlineStr">
        <is>
          <t>ORIG CO NAME:QUAYSIDE CHOICE SP ORIG ID:XXXXXX2851 DESC DATE:261116 CO ENTRY DESCR:HCCLAIMPMT SEC:CCD TRACE#:XXXXXXXX8296704 EED:261116 IND ID:</t>
        </is>
      </c>
      <c r="G3042" s="3" t="inlineStr">
        <is>
          <t>Checking – Operating</t>
        </is>
      </c>
      <c r="H3042" s="3" t="inlineStr">
        <is>
          <t>Service Income</t>
        </is>
      </c>
      <c r="I3042" s="33" t="n">
        <v>59980.33</v>
      </c>
      <c r="J3042" s="13">
        <f>+J3041+I3042</f>
        <v>12765383.51</v>
      </c>
      <c r="K3042" s="19">
        <f>+EOMONTH(B3042,0)</f>
        <v>46356</v>
      </c>
      <c r="L3042" s="3" t="inlineStr">
        <is>
          <t>Service Income</t>
        </is>
      </c>
      <c r="M3042" s="3" t="inlineStr">
        <is>
          <t>Net Fee-for-Service</t>
        </is>
      </c>
    </row>
    <row r="3043">
      <c r="B3043" s="39" t="n">
        <v>46343</v>
      </c>
      <c r="C3043" s="3" t="inlineStr">
        <is>
          <t>Deposit</t>
        </is>
      </c>
      <c r="D3043" s="3" t="inlineStr"/>
      <c r="E3043" s="3" t="inlineStr">
        <is>
          <t>Cobaltmere Health</t>
        </is>
      </c>
      <c r="F3043" s="3" t="inlineStr">
        <is>
          <t>ORIG CO NAME:COBALTMERE HEALTH ORIG ID:XXXXXX5435 DESC DATE:261117 CO ENTRY DESCR:HCCLAIMPMT SEC:CCD TRACE#:XXXXXXXX9095155 EED:261117 IND ID:</t>
        </is>
      </c>
      <c r="G3043" s="3" t="inlineStr">
        <is>
          <t>Checking – Operating</t>
        </is>
      </c>
      <c r="H3043" s="3" t="inlineStr">
        <is>
          <t>Service Income</t>
        </is>
      </c>
      <c r="I3043" s="33" t="n">
        <v>23048.94</v>
      </c>
      <c r="J3043" s="13">
        <f>+J3042+I3043</f>
        <v>12788432.45</v>
      </c>
      <c r="K3043" s="19">
        <f>+EOMONTH(B3043,0)</f>
        <v>46356</v>
      </c>
      <c r="L3043" s="3" t="inlineStr">
        <is>
          <t>Service Income</t>
        </is>
      </c>
      <c r="M3043" s="3" t="inlineStr">
        <is>
          <t>Net Fee-for-Service</t>
        </is>
      </c>
    </row>
    <row r="3044">
      <c r="B3044" s="39" t="n">
        <v>46345</v>
      </c>
      <c r="C3044" s="3" t="inlineStr">
        <is>
          <t>Deposit</t>
        </is>
      </c>
      <c r="D3044" s="3" t="inlineStr"/>
      <c r="E3044" s="3" t="inlineStr">
        <is>
          <t>Marrowby Mutual</t>
        </is>
      </c>
      <c r="F3044" s="3" t="inlineStr">
        <is>
          <t>ORIG CO NAME:MARROWBY MUTUAL ORIG ID:XXXXXX5062 DESC DATE:261119 CO ENTRY DESCR:HCCLAIMPMT SEC:CCD TRACE#:XXXXXXXX5074116 EED:261119 IND ID:</t>
        </is>
      </c>
      <c r="G3044" s="3" t="inlineStr">
        <is>
          <t>Checking – Operating</t>
        </is>
      </c>
      <c r="H3044" s="3" t="inlineStr">
        <is>
          <t>Service Income</t>
        </is>
      </c>
      <c r="I3044" s="33" t="n">
        <v>54994.46</v>
      </c>
      <c r="J3044" s="13">
        <f>+J3043+I3044</f>
        <v>12843426.91</v>
      </c>
      <c r="K3044" s="19">
        <f>+EOMONTH(B3044,0)</f>
        <v>46356</v>
      </c>
      <c r="L3044" s="3" t="inlineStr">
        <is>
          <t>Service Income</t>
        </is>
      </c>
      <c r="M3044" s="3" t="inlineStr">
        <is>
          <t>Net Fee-for-Service</t>
        </is>
      </c>
    </row>
    <row r="3045">
      <c r="B3045" s="39" t="n">
        <v>46347</v>
      </c>
      <c r="C3045" s="3" t="inlineStr">
        <is>
          <t>Deposit</t>
        </is>
      </c>
      <c r="D3045" s="3" t="inlineStr"/>
      <c r="E3045" s="3" t="inlineStr">
        <is>
          <t>Marrowby Mutual</t>
        </is>
      </c>
      <c r="F3045" s="3" t="inlineStr">
        <is>
          <t>ORIG CO NAME:MARROWBY MUTUAL ORIG ID:XXXXXX3946 DESC DATE:261121 CO ENTRY DESCR:HCCLAIMPMT SEC:CCD TRACE#:XXXXXXXX5127367 EED:261121 IND ID:</t>
        </is>
      </c>
      <c r="G3045" s="3" t="inlineStr">
        <is>
          <t>Checking – Operating</t>
        </is>
      </c>
      <c r="H3045" s="3" t="inlineStr">
        <is>
          <t>Service Income</t>
        </is>
      </c>
      <c r="I3045" s="33" t="n">
        <v>62835.17</v>
      </c>
      <c r="J3045" s="13">
        <f>+J3044+I3045</f>
        <v>12906262.08</v>
      </c>
      <c r="K3045" s="19">
        <f>+EOMONTH(B3045,0)</f>
        <v>46356</v>
      </c>
      <c r="L3045" s="3" t="inlineStr">
        <is>
          <t>Service Income</t>
        </is>
      </c>
      <c r="M3045" s="3" t="inlineStr">
        <is>
          <t>Net Fee-for-Service</t>
        </is>
      </c>
    </row>
    <row r="3046">
      <c r="B3046" s="39" t="n">
        <v>46348</v>
      </c>
      <c r="C3046" s="3" t="inlineStr">
        <is>
          <t>Deposit</t>
        </is>
      </c>
      <c r="D3046" s="3" t="inlineStr"/>
      <c r="E3046" s="3" t="inlineStr">
        <is>
          <t>State Program B</t>
        </is>
      </c>
      <c r="F3046" s="3" t="inlineStr">
        <is>
          <t>ORIG CO NAME:STATE PROG B ORIG ID:XXXXXX2711 DESC DATE:261122 CO ENTRY DESCR:HCCLAIMPMT SEC:CCD TRACE#:XXXXXXXX7163777 EED:261122 IND ID:</t>
        </is>
      </c>
      <c r="G3046" s="3" t="inlineStr">
        <is>
          <t>Checking – Operating</t>
        </is>
      </c>
      <c r="H3046" s="3" t="inlineStr">
        <is>
          <t>Service Income</t>
        </is>
      </c>
      <c r="I3046" s="33" t="n">
        <v>43709.35</v>
      </c>
      <c r="J3046" s="13">
        <f>+J3045+I3046</f>
        <v>12949971.43</v>
      </c>
      <c r="K3046" s="19">
        <f>+EOMONTH(B3046,0)</f>
        <v>46356</v>
      </c>
      <c r="L3046" s="3" t="inlineStr">
        <is>
          <t>Service Income</t>
        </is>
      </c>
      <c r="M3046" s="3" t="inlineStr">
        <is>
          <t>Net Fee-for-Service</t>
        </is>
      </c>
    </row>
    <row r="3047">
      <c r="B3047" s="39" t="n">
        <v>46350</v>
      </c>
      <c r="C3047" s="3" t="inlineStr">
        <is>
          <t>Deposit</t>
        </is>
      </c>
      <c r="D3047" s="3" t="inlineStr"/>
      <c r="E3047" s="3" t="inlineStr">
        <is>
          <t>Vantrelle Health Plan</t>
        </is>
      </c>
      <c r="F3047" s="3" t="inlineStr">
        <is>
          <t>ORIG CO NAME:VANTRELLE HP ORIG ID:XXXXXX1029 DESC DATE:261124 CO ENTRY DESCR:HCCLAIMPMT SEC:CCD TRACE#:XXXXXXXX8237327 EED:261124 IND ID:</t>
        </is>
      </c>
      <c r="G3047" s="3" t="inlineStr">
        <is>
          <t>Checking – Operating</t>
        </is>
      </c>
      <c r="H3047" s="3" t="inlineStr">
        <is>
          <t>Service Income</t>
        </is>
      </c>
      <c r="I3047" s="33" t="n">
        <v>139900.21</v>
      </c>
      <c r="J3047" s="13">
        <f>+J3046+I3047</f>
        <v>13089871.64</v>
      </c>
      <c r="K3047" s="19">
        <f>+EOMONTH(B3047,0)</f>
        <v>46356</v>
      </c>
      <c r="L3047" s="3" t="inlineStr">
        <is>
          <t>Service Income</t>
        </is>
      </c>
      <c r="M3047" s="3" t="inlineStr">
        <is>
          <t>Net Fee-for-Service</t>
        </is>
      </c>
    </row>
    <row r="3048">
      <c r="B3048" s="39" t="n">
        <v>46351</v>
      </c>
      <c r="C3048" s="3" t="inlineStr">
        <is>
          <t>Deposit</t>
        </is>
      </c>
      <c r="D3048" s="3" t="inlineStr"/>
      <c r="E3048" s="3" t="inlineStr">
        <is>
          <t>Lanternway Benefits</t>
        </is>
      </c>
      <c r="F3048" s="3" t="inlineStr">
        <is>
          <t>ORIG CO NAME:LANTERNWAY BEN ORIG ID:XXXXXX1648 DESC DATE:261125 CO ENTRY DESCR:HCCLAIMPMT SEC:CCD TRACE#:XXXXXXXX4354816 EED:261125 IND ID:</t>
        </is>
      </c>
      <c r="G3048" s="3" t="inlineStr">
        <is>
          <t>Checking – Operating</t>
        </is>
      </c>
      <c r="H3048" s="3" t="inlineStr">
        <is>
          <t>Service Income</t>
        </is>
      </c>
      <c r="I3048" s="33" t="n">
        <v>40515.4</v>
      </c>
      <c r="J3048" s="13">
        <f>+J3047+I3048</f>
        <v>13130387.04</v>
      </c>
      <c r="K3048" s="19">
        <f>+EOMONTH(B3048,0)</f>
        <v>46356</v>
      </c>
      <c r="L3048" s="3" t="inlineStr">
        <is>
          <t>Service Income</t>
        </is>
      </c>
      <c r="M3048" s="3" t="inlineStr">
        <is>
          <t>Net Fee-for-Service</t>
        </is>
      </c>
    </row>
    <row r="3049">
      <c r="B3049" s="39" t="n">
        <v>46352</v>
      </c>
      <c r="C3049" s="3" t="inlineStr">
        <is>
          <t>Deposit</t>
        </is>
      </c>
      <c r="D3049" s="3" t="inlineStr"/>
      <c r="E3049" s="3" t="inlineStr">
        <is>
          <t>Quayside Choice Senior Plan</t>
        </is>
      </c>
      <c r="F3049" s="3" t="inlineStr">
        <is>
          <t>ORIG CO NAME:QUAYSIDE CHOICE SP ORIG ID:XXXXXX3158 DESC DATE:261126 CO ENTRY DESCR:HCCLAIMPMT SEC:CCD TRACE#:XXXXXXXX9222840 EED:261126 IND ID:</t>
        </is>
      </c>
      <c r="G3049" s="3" t="inlineStr">
        <is>
          <t>Checking – Operating</t>
        </is>
      </c>
      <c r="H3049" s="3" t="inlineStr">
        <is>
          <t>Service Income</t>
        </is>
      </c>
      <c r="I3049" s="33" t="n">
        <v>68561.50999999999</v>
      </c>
      <c r="J3049" s="13">
        <f>+J3048+I3049</f>
        <v>13198948.55</v>
      </c>
      <c r="K3049" s="19">
        <f>+EOMONTH(B3049,0)</f>
        <v>46356</v>
      </c>
      <c r="L3049" s="3" t="inlineStr">
        <is>
          <t>Service Income</t>
        </is>
      </c>
      <c r="M3049" s="3" t="inlineStr">
        <is>
          <t>Net Fee-for-Service</t>
        </is>
      </c>
    </row>
    <row r="3050">
      <c r="B3050" s="39" t="n">
        <v>46354</v>
      </c>
      <c r="C3050" s="3" t="inlineStr">
        <is>
          <t>Deposit</t>
        </is>
      </c>
      <c r="D3050" s="3" t="inlineStr"/>
      <c r="E3050" s="3" t="inlineStr">
        <is>
          <t>Marrowby Mutual</t>
        </is>
      </c>
      <c r="F3050" s="3" t="inlineStr">
        <is>
          <t>ORIG CO NAME:MARROWBY MUTUAL ORIG ID:XXXXXX1319 DESC DATE:261128 CO ENTRY DESCR:HCCLAIMPMT SEC:CCD TRACE#:XXXXXXXX9093741 EED:261128 IND ID:</t>
        </is>
      </c>
      <c r="G3050" s="3" t="inlineStr">
        <is>
          <t>Checking – Operating</t>
        </is>
      </c>
      <c r="H3050" s="3" t="inlineStr">
        <is>
          <t>Service Income</t>
        </is>
      </c>
      <c r="I3050" s="33" t="n">
        <v>45769.07</v>
      </c>
      <c r="J3050" s="13">
        <f>+J3049+I3050</f>
        <v>13244717.62</v>
      </c>
      <c r="K3050" s="19">
        <f>+EOMONTH(B3050,0)</f>
        <v>46356</v>
      </c>
      <c r="L3050" s="3" t="inlineStr">
        <is>
          <t>Service Income</t>
        </is>
      </c>
      <c r="M3050" s="3" t="inlineStr">
        <is>
          <t>Net Fee-for-Service</t>
        </is>
      </c>
    </row>
    <row r="3051">
      <c r="B3051" s="39" t="n">
        <v>46354</v>
      </c>
      <c r="C3051" s="3" t="inlineStr">
        <is>
          <t>Deposit</t>
        </is>
      </c>
      <c r="D3051" s="3" t="inlineStr"/>
      <c r="E3051" s="3" t="inlineStr">
        <is>
          <t>Cobaltmere Health</t>
        </is>
      </c>
      <c r="F3051" s="3" t="inlineStr">
        <is>
          <t>ORIG CO NAME:COBALTMERE HEALTH ORIG ID:XXXXXX3125 DESC DATE:261128 CO ENTRY DESCR:HCCLAIMPMT SEC:CCD TRACE#:XXXXXXXX8058679 EED:261128 IND ID:</t>
        </is>
      </c>
      <c r="G3051" s="3" t="inlineStr">
        <is>
          <t>Checking – Operating</t>
        </is>
      </c>
      <c r="H3051" s="3" t="inlineStr">
        <is>
          <t>Service Income</t>
        </is>
      </c>
      <c r="I3051" s="33" t="n">
        <v>22594.2</v>
      </c>
      <c r="J3051" s="13">
        <f>+J3050+I3051</f>
        <v>13267311.82</v>
      </c>
      <c r="K3051" s="19">
        <f>+EOMONTH(B3051,0)</f>
        <v>46356</v>
      </c>
      <c r="L3051" s="3" t="inlineStr">
        <is>
          <t>Service Income</t>
        </is>
      </c>
      <c r="M3051" s="3" t="inlineStr">
        <is>
          <t>Net Fee-for-Service</t>
        </is>
      </c>
    </row>
    <row r="3052">
      <c r="B3052" s="39" t="n">
        <v>46356</v>
      </c>
      <c r="C3052" s="3" t="inlineStr">
        <is>
          <t>Deposit</t>
        </is>
      </c>
      <c r="D3052" s="3" t="inlineStr"/>
      <c r="E3052" s="3" t="inlineStr">
        <is>
          <t>Vantrelle Health Plan</t>
        </is>
      </c>
      <c r="F3052" s="3" t="inlineStr">
        <is>
          <t>ORIG CO NAME:VANTRELLE HP ORIG ID:XXXXXX8989 DESC DATE:261130 CO ENTRY DESCR:HCCLAIMPMT SEC:CCD TRACE#:XXXXXXXX5656025 EED:261130 IND ID:</t>
        </is>
      </c>
      <c r="G3052" s="3" t="inlineStr">
        <is>
          <t>Checking – Operating</t>
        </is>
      </c>
      <c r="H3052" s="3" t="inlineStr">
        <is>
          <t>Service Income</t>
        </is>
      </c>
      <c r="I3052" s="33" t="n">
        <v>140554.71</v>
      </c>
      <c r="J3052" s="13">
        <f>+J3051+I3052</f>
        <v>13407866.53</v>
      </c>
      <c r="K3052" s="19">
        <f>+EOMONTH(B3052,0)</f>
        <v>46356</v>
      </c>
      <c r="L3052" s="3" t="inlineStr">
        <is>
          <t>Service Income</t>
        </is>
      </c>
      <c r="M3052" s="3" t="inlineStr">
        <is>
          <t>Net Fee-for-Service</t>
        </is>
      </c>
    </row>
    <row r="3053">
      <c r="B3053" s="39" t="n">
        <v>46356</v>
      </c>
      <c r="C3053" s="3" t="inlineStr">
        <is>
          <t>Deposit</t>
        </is>
      </c>
      <c r="D3053" s="3" t="inlineStr"/>
      <c r="E3053" s="3" t="inlineStr">
        <is>
          <t>Federal Program A</t>
        </is>
      </c>
      <c r="F3053" s="3" t="inlineStr">
        <is>
          <t>ORIG CO NAME:FEDERAL PROG A ORIG ID:XXXXXX4499 DESC DATE:261130 CO ENTRY DESCR:HCCLAIMPMT SEC:CCD TRACE#:XXXXXXXX4171502 EED:261130 IND ID:</t>
        </is>
      </c>
      <c r="G3053" s="3" t="inlineStr">
        <is>
          <t>Checking – Operating</t>
        </is>
      </c>
      <c r="H3053" s="3" t="inlineStr">
        <is>
          <t>Service Income</t>
        </is>
      </c>
      <c r="I3053" s="33" t="n">
        <v>88462.31</v>
      </c>
      <c r="J3053" s="13">
        <f>+J3052+I3053</f>
        <v>13496328.84</v>
      </c>
      <c r="K3053" s="19">
        <f>+EOMONTH(B3053,0)</f>
        <v>46356</v>
      </c>
      <c r="L3053" s="3" t="inlineStr">
        <is>
          <t>Service Income</t>
        </is>
      </c>
      <c r="M3053" s="3" t="inlineStr">
        <is>
          <t>Net Fee-for-Service</t>
        </is>
      </c>
    </row>
    <row r="3054">
      <c r="A3054" s="2" t="inlineStr">
        <is>
          <t>Total for Service Income</t>
        </is>
      </c>
      <c r="I3054" s="35">
        <f>SUM(I2830:I3053)</f>
        <v>13496328.84</v>
      </c>
    </row>
    <row r="3056">
      <c r="A3056" s="2" t="inlineStr">
        <is>
          <t>Services</t>
        </is>
      </c>
    </row>
    <row r="3057">
      <c r="B3057" s="39" t="n">
        <v>46047</v>
      </c>
      <c r="C3057" s="3" t="inlineStr">
        <is>
          <t>Journal Entry</t>
        </is>
      </c>
      <c r="D3057" s="3" t="inlineStr">
        <is>
          <t>JE-2602</t>
        </is>
      </c>
      <c r="E3057" s="3" t="inlineStr"/>
      <c r="F3057" s="3" t="inlineStr">
        <is>
          <t>Client services – January</t>
        </is>
      </c>
      <c r="G3057" s="3" t="inlineStr">
        <is>
          <t>Accounts Receivable</t>
        </is>
      </c>
      <c r="H3057" s="3" t="inlineStr">
        <is>
          <t>Services</t>
        </is>
      </c>
      <c r="I3057" s="33" t="n">
        <v>15321.89</v>
      </c>
      <c r="J3057" s="13">
        <f>+I3057</f>
        <v>15321.89</v>
      </c>
      <c r="K3057" s="19">
        <f>+EOMONTH(B3057,0)</f>
        <v>46053</v>
      </c>
      <c r="L3057" s="3" t="inlineStr">
        <is>
          <t>Services</t>
        </is>
      </c>
      <c r="M3057" s="3" t="inlineStr">
        <is>
          <t>Net Fee-for-Service</t>
        </is>
      </c>
    </row>
    <row r="3058">
      <c r="B3058" s="39" t="n">
        <v>46078</v>
      </c>
      <c r="C3058" s="3" t="inlineStr">
        <is>
          <t>Journal Entry</t>
        </is>
      </c>
      <c r="D3058" s="3" t="inlineStr">
        <is>
          <t>JE-2603</t>
        </is>
      </c>
      <c r="E3058" s="3" t="inlineStr"/>
      <c r="F3058" s="3" t="inlineStr">
        <is>
          <t>Client services – February</t>
        </is>
      </c>
      <c r="G3058" s="3" t="inlineStr">
        <is>
          <t>Accounts Receivable</t>
        </is>
      </c>
      <c r="H3058" s="3" t="inlineStr">
        <is>
          <t>Services</t>
        </is>
      </c>
      <c r="I3058" s="33" t="n">
        <v>11995.29</v>
      </c>
      <c r="J3058" s="13">
        <f>+J3057+I3058</f>
        <v>27317.18</v>
      </c>
      <c r="K3058" s="19">
        <f>+EOMONTH(B3058,0)</f>
        <v>46081</v>
      </c>
      <c r="L3058" s="3" t="inlineStr">
        <is>
          <t>Services</t>
        </is>
      </c>
      <c r="M3058" s="3" t="inlineStr">
        <is>
          <t>Net Fee-for-Service</t>
        </is>
      </c>
    </row>
    <row r="3059">
      <c r="B3059" s="39" t="n">
        <v>46102</v>
      </c>
      <c r="C3059" s="3" t="inlineStr">
        <is>
          <t>Journal Entry</t>
        </is>
      </c>
      <c r="D3059" s="3" t="inlineStr">
        <is>
          <t>JE-2604</t>
        </is>
      </c>
      <c r="E3059" s="3" t="inlineStr"/>
      <c r="F3059" s="3" t="inlineStr">
        <is>
          <t>Client services – March</t>
        </is>
      </c>
      <c r="G3059" s="3" t="inlineStr">
        <is>
          <t>Accounts Receivable</t>
        </is>
      </c>
      <c r="H3059" s="3" t="inlineStr">
        <is>
          <t>Services</t>
        </is>
      </c>
      <c r="I3059" s="33" t="n">
        <v>14648.07</v>
      </c>
      <c r="J3059" s="13">
        <f>+J3058+I3059</f>
        <v>41965.25</v>
      </c>
      <c r="K3059" s="19">
        <f>+EOMONTH(B3059,0)</f>
        <v>46112</v>
      </c>
      <c r="L3059" s="3" t="inlineStr">
        <is>
          <t>Services</t>
        </is>
      </c>
      <c r="M3059" s="3" t="inlineStr">
        <is>
          <t>Net Fee-for-Service</t>
        </is>
      </c>
    </row>
    <row r="3060">
      <c r="B3060" s="39" t="n">
        <v>46133</v>
      </c>
      <c r="C3060" s="3" t="inlineStr">
        <is>
          <t>Journal Entry</t>
        </is>
      </c>
      <c r="D3060" s="3" t="inlineStr">
        <is>
          <t>JE-2605</t>
        </is>
      </c>
      <c r="E3060" s="3" t="inlineStr"/>
      <c r="F3060" s="3" t="inlineStr">
        <is>
          <t>Client services – April</t>
        </is>
      </c>
      <c r="G3060" s="3" t="inlineStr">
        <is>
          <t>Accounts Receivable</t>
        </is>
      </c>
      <c r="H3060" s="3" t="inlineStr">
        <is>
          <t>Services</t>
        </is>
      </c>
      <c r="I3060" s="33" t="n">
        <v>16767.7</v>
      </c>
      <c r="J3060" s="13">
        <f>+J3059+I3060</f>
        <v>58732.95</v>
      </c>
      <c r="K3060" s="19">
        <f>+EOMONTH(B3060,0)</f>
        <v>46142</v>
      </c>
      <c r="L3060" s="3" t="inlineStr">
        <is>
          <t>Services</t>
        </is>
      </c>
      <c r="M3060" s="3" t="inlineStr">
        <is>
          <t>Net Fee-for-Service</t>
        </is>
      </c>
    </row>
    <row r="3061">
      <c r="B3061" s="39" t="n">
        <v>46170</v>
      </c>
      <c r="C3061" s="3" t="inlineStr">
        <is>
          <t>Journal Entry</t>
        </is>
      </c>
      <c r="D3061" s="3" t="inlineStr">
        <is>
          <t>JE-2606</t>
        </is>
      </c>
      <c r="E3061" s="3" t="inlineStr"/>
      <c r="F3061" s="3" t="inlineStr">
        <is>
          <t>Client services – May</t>
        </is>
      </c>
      <c r="G3061" s="3" t="inlineStr">
        <is>
          <t>Accounts Receivable</t>
        </is>
      </c>
      <c r="H3061" s="3" t="inlineStr">
        <is>
          <t>Services</t>
        </is>
      </c>
      <c r="I3061" s="33" t="n">
        <v>14633.72</v>
      </c>
      <c r="J3061" s="13">
        <f>+J3060+I3061</f>
        <v>73366.67</v>
      </c>
      <c r="K3061" s="19">
        <f>+EOMONTH(B3061,0)</f>
        <v>46173</v>
      </c>
      <c r="L3061" s="3" t="inlineStr">
        <is>
          <t>Services</t>
        </is>
      </c>
      <c r="M3061" s="3" t="inlineStr">
        <is>
          <t>Net Fee-for-Service</t>
        </is>
      </c>
    </row>
    <row r="3062">
      <c r="B3062" s="39" t="n">
        <v>46199</v>
      </c>
      <c r="C3062" s="3" t="inlineStr">
        <is>
          <t>Journal Entry</t>
        </is>
      </c>
      <c r="D3062" s="3" t="inlineStr">
        <is>
          <t>JE-2607</t>
        </is>
      </c>
      <c r="E3062" s="3" t="inlineStr"/>
      <c r="F3062" s="3" t="inlineStr">
        <is>
          <t>Client services – June</t>
        </is>
      </c>
      <c r="G3062" s="3" t="inlineStr">
        <is>
          <t>Accounts Receivable</t>
        </is>
      </c>
      <c r="H3062" s="3" t="inlineStr">
        <is>
          <t>Services</t>
        </is>
      </c>
      <c r="I3062" s="33" t="n">
        <v>14204.44</v>
      </c>
      <c r="J3062" s="13">
        <f>+J3061+I3062</f>
        <v>87571.11</v>
      </c>
      <c r="K3062" s="19">
        <f>+EOMONTH(B3062,0)</f>
        <v>46203</v>
      </c>
      <c r="L3062" s="3" t="inlineStr">
        <is>
          <t>Services</t>
        </is>
      </c>
      <c r="M3062" s="3" t="inlineStr">
        <is>
          <t>Net Fee-for-Service</t>
        </is>
      </c>
    </row>
    <row r="3063">
      <c r="B3063" s="39" t="n">
        <v>46223</v>
      </c>
      <c r="C3063" s="3" t="inlineStr">
        <is>
          <t>Journal Entry</t>
        </is>
      </c>
      <c r="D3063" s="3" t="inlineStr">
        <is>
          <t>JE-2608</t>
        </is>
      </c>
      <c r="E3063" s="3" t="inlineStr"/>
      <c r="F3063" s="3" t="inlineStr">
        <is>
          <t>Client services – July</t>
        </is>
      </c>
      <c r="G3063" s="3" t="inlineStr">
        <is>
          <t>Accounts Receivable</t>
        </is>
      </c>
      <c r="H3063" s="3" t="inlineStr">
        <is>
          <t>Services</t>
        </is>
      </c>
      <c r="I3063" s="33" t="n">
        <v>16007.37</v>
      </c>
      <c r="J3063" s="13">
        <f>+J3062+I3063</f>
        <v>103578.48</v>
      </c>
      <c r="K3063" s="19">
        <f>+EOMONTH(B3063,0)</f>
        <v>46234</v>
      </c>
      <c r="L3063" s="3" t="inlineStr">
        <is>
          <t>Services</t>
        </is>
      </c>
      <c r="M3063" s="3" t="inlineStr">
        <is>
          <t>Net Fee-for-Service</t>
        </is>
      </c>
    </row>
    <row r="3064">
      <c r="B3064" s="39" t="n">
        <v>46261</v>
      </c>
      <c r="C3064" s="3" t="inlineStr">
        <is>
          <t>Journal Entry</t>
        </is>
      </c>
      <c r="D3064" s="3" t="inlineStr">
        <is>
          <t>JE-2609</t>
        </is>
      </c>
      <c r="E3064" s="3" t="inlineStr"/>
      <c r="F3064" s="3" t="inlineStr">
        <is>
          <t>Client services – August</t>
        </is>
      </c>
      <c r="G3064" s="3" t="inlineStr">
        <is>
          <t>Accounts Receivable</t>
        </is>
      </c>
      <c r="H3064" s="3" t="inlineStr">
        <is>
          <t>Services</t>
        </is>
      </c>
      <c r="I3064" s="33" t="n">
        <v>15899.7</v>
      </c>
      <c r="J3064" s="13">
        <f>+J3063+I3064</f>
        <v>119478.18</v>
      </c>
      <c r="K3064" s="19">
        <f>+EOMONTH(B3064,0)</f>
        <v>46265</v>
      </c>
      <c r="L3064" s="3" t="inlineStr">
        <is>
          <t>Services</t>
        </is>
      </c>
      <c r="M3064" s="3" t="inlineStr">
        <is>
          <t>Net Fee-for-Service</t>
        </is>
      </c>
    </row>
    <row r="3065">
      <c r="B3065" s="39" t="n">
        <v>46286</v>
      </c>
      <c r="C3065" s="3" t="inlineStr">
        <is>
          <t>Journal Entry</t>
        </is>
      </c>
      <c r="D3065" s="3" t="inlineStr">
        <is>
          <t>JE-2610</t>
        </is>
      </c>
      <c r="E3065" s="3" t="inlineStr"/>
      <c r="F3065" s="3" t="inlineStr">
        <is>
          <t>Client services – September</t>
        </is>
      </c>
      <c r="G3065" s="3" t="inlineStr">
        <is>
          <t>Accounts Receivable</t>
        </is>
      </c>
      <c r="H3065" s="3" t="inlineStr">
        <is>
          <t>Services</t>
        </is>
      </c>
      <c r="I3065" s="33" t="n">
        <v>15696.01</v>
      </c>
      <c r="J3065" s="13">
        <f>+J3064+I3065</f>
        <v>135174.19</v>
      </c>
      <c r="K3065" s="19">
        <f>+EOMONTH(B3065,0)</f>
        <v>46295</v>
      </c>
      <c r="L3065" s="3" t="inlineStr">
        <is>
          <t>Services</t>
        </is>
      </c>
      <c r="M3065" s="3" t="inlineStr">
        <is>
          <t>Net Fee-for-Service</t>
        </is>
      </c>
    </row>
    <row r="3066">
      <c r="B3066" s="39" t="n">
        <v>46323</v>
      </c>
      <c r="C3066" s="3" t="inlineStr">
        <is>
          <t>Journal Entry</t>
        </is>
      </c>
      <c r="D3066" s="3" t="inlineStr">
        <is>
          <t>JE-2611</t>
        </is>
      </c>
      <c r="E3066" s="3" t="inlineStr"/>
      <c r="F3066" s="3" t="inlineStr">
        <is>
          <t>Client services – October</t>
        </is>
      </c>
      <c r="G3066" s="3" t="inlineStr">
        <is>
          <t>Accounts Receivable</t>
        </is>
      </c>
      <c r="H3066" s="3" t="inlineStr">
        <is>
          <t>Services</t>
        </is>
      </c>
      <c r="I3066" s="33" t="n">
        <v>15453.61</v>
      </c>
      <c r="J3066" s="13">
        <f>+J3065+I3066</f>
        <v>150627.8</v>
      </c>
      <c r="K3066" s="19">
        <f>+EOMONTH(B3066,0)</f>
        <v>46326</v>
      </c>
      <c r="L3066" s="3" t="inlineStr">
        <is>
          <t>Services</t>
        </is>
      </c>
      <c r="M3066" s="3" t="inlineStr">
        <is>
          <t>Net Fee-for-Service</t>
        </is>
      </c>
    </row>
    <row r="3067">
      <c r="B3067" s="39" t="n">
        <v>46347</v>
      </c>
      <c r="C3067" s="3" t="inlineStr">
        <is>
          <t>Journal Entry</t>
        </is>
      </c>
      <c r="D3067" s="3" t="inlineStr">
        <is>
          <t>JE-2612</t>
        </is>
      </c>
      <c r="E3067" s="3" t="inlineStr"/>
      <c r="F3067" s="3" t="inlineStr">
        <is>
          <t>Client services – November</t>
        </is>
      </c>
      <c r="G3067" s="3" t="inlineStr">
        <is>
          <t>Accounts Receivable</t>
        </is>
      </c>
      <c r="H3067" s="3" t="inlineStr">
        <is>
          <t>Services</t>
        </is>
      </c>
      <c r="I3067" s="33" t="n">
        <v>14811.79</v>
      </c>
      <c r="J3067" s="13">
        <f>+J3066+I3067</f>
        <v>165439.59</v>
      </c>
      <c r="K3067" s="19">
        <f>+EOMONTH(B3067,0)</f>
        <v>46356</v>
      </c>
      <c r="L3067" s="3" t="inlineStr">
        <is>
          <t>Services</t>
        </is>
      </c>
      <c r="M3067" s="3" t="inlineStr">
        <is>
          <t>Net Fee-for-Service</t>
        </is>
      </c>
    </row>
    <row r="3068">
      <c r="A3068" s="2" t="inlineStr">
        <is>
          <t>Total for Services</t>
        </is>
      </c>
      <c r="I3068" s="35">
        <f>SUM(I3057:I3067)</f>
        <v>165439.59</v>
      </c>
    </row>
    <row r="3070">
      <c r="A3070" s="2" t="inlineStr">
        <is>
          <t>Lab Expenses</t>
        </is>
      </c>
    </row>
    <row r="3071">
      <c r="B3071" s="39" t="n">
        <v>46032</v>
      </c>
      <c r="C3071" s="3" t="inlineStr">
        <is>
          <t>Bill</t>
        </is>
      </c>
      <c r="D3071" s="3" t="inlineStr"/>
      <c r="E3071" s="3" t="inlineStr">
        <is>
          <t>Reagentix Corp</t>
        </is>
      </c>
      <c r="F3071" s="3" t="inlineStr">
        <is>
          <t>Lab Expenses – January</t>
        </is>
      </c>
      <c r="G3071" s="3" t="inlineStr">
        <is>
          <t>Accounts Payable</t>
        </is>
      </c>
      <c r="H3071" s="3" t="inlineStr">
        <is>
          <t>Lab Expenses</t>
        </is>
      </c>
      <c r="I3071" s="33" t="n">
        <v>4643.3</v>
      </c>
      <c r="J3071" s="13">
        <f>+I3071</f>
        <v>4643.3</v>
      </c>
      <c r="K3071" s="19">
        <f>+EOMONTH(B3071,0)</f>
        <v>46053</v>
      </c>
      <c r="L3071" s="3" t="inlineStr">
        <is>
          <t>Lab Expenses</t>
        </is>
      </c>
      <c r="M3071" s="3" t="inlineStr">
        <is>
          <t>Other Lab Expenses</t>
        </is>
      </c>
    </row>
    <row r="3072">
      <c r="B3072" s="39" t="n">
        <v>46040</v>
      </c>
      <c r="C3072" s="3" t="inlineStr">
        <is>
          <t>Bill</t>
        </is>
      </c>
      <c r="D3072" s="3" t="inlineStr"/>
      <c r="E3072" s="3" t="inlineStr">
        <is>
          <t>Reagentix Corp</t>
        </is>
      </c>
      <c r="F3072" s="3" t="inlineStr">
        <is>
          <t>Lab Expenses – January</t>
        </is>
      </c>
      <c r="G3072" s="3" t="inlineStr">
        <is>
          <t>Accounts Payable</t>
        </is>
      </c>
      <c r="H3072" s="3" t="inlineStr">
        <is>
          <t>Lab Expenses</t>
        </is>
      </c>
      <c r="I3072" s="33" t="n">
        <v>3403.49</v>
      </c>
      <c r="J3072" s="13">
        <f>+J3071+I3072</f>
        <v>8046.79</v>
      </c>
      <c r="K3072" s="19">
        <f>+EOMONTH(B3072,0)</f>
        <v>46053</v>
      </c>
      <c r="L3072" s="3" t="inlineStr">
        <is>
          <t>Lab Expenses</t>
        </is>
      </c>
      <c r="M3072" s="3" t="inlineStr">
        <is>
          <t>Other Lab Expenses</t>
        </is>
      </c>
    </row>
    <row r="3073">
      <c r="B3073" s="39" t="n">
        <v>46041</v>
      </c>
      <c r="C3073" s="3" t="inlineStr">
        <is>
          <t>Bill</t>
        </is>
      </c>
      <c r="D3073" s="3" t="inlineStr"/>
      <c r="E3073" s="3" t="inlineStr">
        <is>
          <t>Reagentix Corp</t>
        </is>
      </c>
      <c r="F3073" s="3" t="inlineStr">
        <is>
          <t>Lab Expenses – January</t>
        </is>
      </c>
      <c r="G3073" s="3" t="inlineStr">
        <is>
          <t>Accounts Payable</t>
        </is>
      </c>
      <c r="H3073" s="3" t="inlineStr">
        <is>
          <t>Lab Expenses</t>
        </is>
      </c>
      <c r="I3073" s="33" t="n">
        <v>3652.42</v>
      </c>
      <c r="J3073" s="13">
        <f>+J3072+I3073</f>
        <v>11699.21</v>
      </c>
      <c r="K3073" s="19">
        <f>+EOMONTH(B3073,0)</f>
        <v>46053</v>
      </c>
      <c r="L3073" s="3" t="inlineStr">
        <is>
          <t>Lab Expenses</t>
        </is>
      </c>
      <c r="M3073" s="3" t="inlineStr">
        <is>
          <t>Other Lab Expenses</t>
        </is>
      </c>
    </row>
    <row r="3074">
      <c r="B3074" s="39" t="n">
        <v>46048</v>
      </c>
      <c r="C3074" s="3" t="inlineStr">
        <is>
          <t>Bill</t>
        </is>
      </c>
      <c r="D3074" s="3" t="inlineStr"/>
      <c r="E3074" s="3" t="inlineStr">
        <is>
          <t>Vialtrace Lab Supplies Inc</t>
        </is>
      </c>
      <c r="F3074" s="3" t="inlineStr">
        <is>
          <t>Lab Expenses – January</t>
        </is>
      </c>
      <c r="G3074" s="3" t="inlineStr">
        <is>
          <t>Accounts Payable</t>
        </is>
      </c>
      <c r="H3074" s="3" t="inlineStr">
        <is>
          <t>Lab Expenses</t>
        </is>
      </c>
      <c r="I3074" s="33" t="n">
        <v>4463.35</v>
      </c>
      <c r="J3074" s="13">
        <f>+J3073+I3074</f>
        <v>16162.56</v>
      </c>
      <c r="K3074" s="19">
        <f>+EOMONTH(B3074,0)</f>
        <v>46053</v>
      </c>
      <c r="L3074" s="3" t="inlineStr">
        <is>
          <t>Lab Expenses</t>
        </is>
      </c>
      <c r="M3074" s="3" t="inlineStr">
        <is>
          <t>Other Lab Expenses</t>
        </is>
      </c>
    </row>
    <row r="3075">
      <c r="B3075" s="39" t="n">
        <v>46053</v>
      </c>
      <c r="C3075" s="3" t="inlineStr">
        <is>
          <t>Bill</t>
        </is>
      </c>
      <c r="D3075" s="3" t="inlineStr"/>
      <c r="E3075" s="3" t="inlineStr">
        <is>
          <t>Vialtrace Lab Supplies Inc</t>
        </is>
      </c>
      <c r="F3075" s="3" t="inlineStr">
        <is>
          <t>Lab Expenses – January</t>
        </is>
      </c>
      <c r="G3075" s="3" t="inlineStr">
        <is>
          <t>Accounts Payable</t>
        </is>
      </c>
      <c r="H3075" s="3" t="inlineStr">
        <is>
          <t>Lab Expenses</t>
        </is>
      </c>
      <c r="I3075" s="33" t="n">
        <v>3737.44</v>
      </c>
      <c r="J3075" s="13">
        <f>+J3074+I3075</f>
        <v>19900</v>
      </c>
      <c r="K3075" s="19">
        <f>+EOMONTH(B3075,0)</f>
        <v>46053</v>
      </c>
      <c r="L3075" s="3" t="inlineStr">
        <is>
          <t>Lab Expenses</t>
        </is>
      </c>
      <c r="M3075" s="3" t="inlineStr">
        <is>
          <t>Other Lab Expenses</t>
        </is>
      </c>
    </row>
    <row r="3076">
      <c r="B3076" s="39" t="n">
        <v>46054</v>
      </c>
      <c r="C3076" s="3" t="inlineStr">
        <is>
          <t>Bill</t>
        </is>
      </c>
      <c r="D3076" s="3" t="inlineStr"/>
      <c r="E3076" s="3" t="inlineStr">
        <is>
          <t>Vialtrace Lab Supplies Inc</t>
        </is>
      </c>
      <c r="F3076" s="3" t="inlineStr">
        <is>
          <t>Lab Expenses – February</t>
        </is>
      </c>
      <c r="G3076" s="3" t="inlineStr">
        <is>
          <t>Accounts Payable</t>
        </is>
      </c>
      <c r="H3076" s="3" t="inlineStr">
        <is>
          <t>Lab Expenses</t>
        </is>
      </c>
      <c r="I3076" s="33" t="n">
        <v>3550.13</v>
      </c>
      <c r="J3076" s="13">
        <f>+J3075+I3076</f>
        <v>23450.13</v>
      </c>
      <c r="K3076" s="19">
        <f>+EOMONTH(B3076,0)</f>
        <v>46081</v>
      </c>
      <c r="L3076" s="3" t="inlineStr">
        <is>
          <t>Lab Expenses</t>
        </is>
      </c>
      <c r="M3076" s="3" t="inlineStr">
        <is>
          <t>Other Lab Expenses</t>
        </is>
      </c>
    </row>
    <row r="3077">
      <c r="B3077" s="39" t="n">
        <v>46063</v>
      </c>
      <c r="C3077" s="3" t="inlineStr">
        <is>
          <t>Bill</t>
        </is>
      </c>
      <c r="D3077" s="3" t="inlineStr"/>
      <c r="E3077" s="3" t="inlineStr">
        <is>
          <t>Vialtrace Lab Supplies Inc</t>
        </is>
      </c>
      <c r="F3077" s="3" t="inlineStr">
        <is>
          <t>Lab Expenses – February</t>
        </is>
      </c>
      <c r="G3077" s="3" t="inlineStr">
        <is>
          <t>Accounts Payable</t>
        </is>
      </c>
      <c r="H3077" s="3" t="inlineStr">
        <is>
          <t>Lab Expenses</t>
        </is>
      </c>
      <c r="I3077" s="33" t="n">
        <v>3763.45</v>
      </c>
      <c r="J3077" s="13">
        <f>+J3076+I3077</f>
        <v>27213.58</v>
      </c>
      <c r="K3077" s="19">
        <f>+EOMONTH(B3077,0)</f>
        <v>46081</v>
      </c>
      <c r="L3077" s="3" t="inlineStr">
        <is>
          <t>Lab Expenses</t>
        </is>
      </c>
      <c r="M3077" s="3" t="inlineStr">
        <is>
          <t>Other Lab Expenses</t>
        </is>
      </c>
    </row>
    <row r="3078">
      <c r="B3078" s="39" t="n">
        <v>46077</v>
      </c>
      <c r="C3078" s="3" t="inlineStr">
        <is>
          <t>Bill</t>
        </is>
      </c>
      <c r="D3078" s="3" t="inlineStr"/>
      <c r="E3078" s="3" t="inlineStr">
        <is>
          <t>Vialtrace Lab Supplies Inc</t>
        </is>
      </c>
      <c r="F3078" s="3" t="inlineStr">
        <is>
          <t>Lab Expenses – February</t>
        </is>
      </c>
      <c r="G3078" s="3" t="inlineStr">
        <is>
          <t>Accounts Payable</t>
        </is>
      </c>
      <c r="H3078" s="3" t="inlineStr">
        <is>
          <t>Lab Expenses</t>
        </is>
      </c>
      <c r="I3078" s="33" t="n">
        <v>5780.13</v>
      </c>
      <c r="J3078" s="13">
        <f>+J3077+I3078</f>
        <v>32993.71</v>
      </c>
      <c r="K3078" s="19">
        <f>+EOMONTH(B3078,0)</f>
        <v>46081</v>
      </c>
      <c r="L3078" s="3" t="inlineStr">
        <is>
          <t>Lab Expenses</t>
        </is>
      </c>
      <c r="M3078" s="3" t="inlineStr">
        <is>
          <t>Other Lab Expenses</t>
        </is>
      </c>
    </row>
    <row r="3079">
      <c r="B3079" s="39" t="n">
        <v>46078</v>
      </c>
      <c r="C3079" s="3" t="inlineStr">
        <is>
          <t>Bill</t>
        </is>
      </c>
      <c r="D3079" s="3" t="inlineStr"/>
      <c r="E3079" s="3" t="inlineStr">
        <is>
          <t>Vialtrace Lab Supplies Inc</t>
        </is>
      </c>
      <c r="F3079" s="3" t="inlineStr">
        <is>
          <t>Lab Expenses – February</t>
        </is>
      </c>
      <c r="G3079" s="3" t="inlineStr">
        <is>
          <t>Accounts Payable</t>
        </is>
      </c>
      <c r="H3079" s="3" t="inlineStr">
        <is>
          <t>Lab Expenses</t>
        </is>
      </c>
      <c r="I3079" s="33" t="n">
        <v>3506.29</v>
      </c>
      <c r="J3079" s="13">
        <f>+J3078+I3079</f>
        <v>36500</v>
      </c>
      <c r="K3079" s="19">
        <f>+EOMONTH(B3079,0)</f>
        <v>46081</v>
      </c>
      <c r="L3079" s="3" t="inlineStr">
        <is>
          <t>Lab Expenses</t>
        </is>
      </c>
      <c r="M3079" s="3" t="inlineStr">
        <is>
          <t>Other Lab Expenses</t>
        </is>
      </c>
    </row>
    <row r="3080">
      <c r="B3080" s="39" t="n">
        <v>46085</v>
      </c>
      <c r="C3080" s="3" t="inlineStr">
        <is>
          <t>Bill</t>
        </is>
      </c>
      <c r="D3080" s="3" t="inlineStr"/>
      <c r="E3080" s="3" t="inlineStr">
        <is>
          <t>Reagentix Corp</t>
        </is>
      </c>
      <c r="F3080" s="3" t="inlineStr">
        <is>
          <t>Lab Expenses – March</t>
        </is>
      </c>
      <c r="G3080" s="3" t="inlineStr">
        <is>
          <t>Accounts Payable</t>
        </is>
      </c>
      <c r="H3080" s="3" t="inlineStr">
        <is>
          <t>Lab Expenses</t>
        </is>
      </c>
      <c r="I3080" s="33" t="n">
        <v>4130.99</v>
      </c>
      <c r="J3080" s="13">
        <f>+J3079+I3080</f>
        <v>40630.99</v>
      </c>
      <c r="K3080" s="19">
        <f>+EOMONTH(B3080,0)</f>
        <v>46112</v>
      </c>
      <c r="L3080" s="3" t="inlineStr">
        <is>
          <t>Lab Expenses</t>
        </is>
      </c>
      <c r="M3080" s="3" t="inlineStr">
        <is>
          <t>Other Lab Expenses</t>
        </is>
      </c>
    </row>
    <row r="3081">
      <c r="B3081" s="39" t="n">
        <v>46106</v>
      </c>
      <c r="C3081" s="3" t="inlineStr">
        <is>
          <t>Bill</t>
        </is>
      </c>
      <c r="D3081" s="3" t="inlineStr"/>
      <c r="E3081" s="3" t="inlineStr">
        <is>
          <t>Vialtrace Lab Supplies Inc</t>
        </is>
      </c>
      <c r="F3081" s="3" t="inlineStr">
        <is>
          <t>Lab Expenses – March</t>
        </is>
      </c>
      <c r="G3081" s="3" t="inlineStr">
        <is>
          <t>Accounts Payable</t>
        </is>
      </c>
      <c r="H3081" s="3" t="inlineStr">
        <is>
          <t>Lab Expenses</t>
        </is>
      </c>
      <c r="I3081" s="33" t="n">
        <v>7995.25</v>
      </c>
      <c r="J3081" s="13">
        <f>+J3080+I3081</f>
        <v>48626.24</v>
      </c>
      <c r="K3081" s="19">
        <f>+EOMONTH(B3081,0)</f>
        <v>46112</v>
      </c>
      <c r="L3081" s="3" t="inlineStr">
        <is>
          <t>Lab Expenses</t>
        </is>
      </c>
      <c r="M3081" s="3" t="inlineStr">
        <is>
          <t>Other Lab Expenses</t>
        </is>
      </c>
    </row>
    <row r="3082">
      <c r="B3082" s="39" t="n">
        <v>46112</v>
      </c>
      <c r="C3082" s="3" t="inlineStr">
        <is>
          <t>Bill</t>
        </is>
      </c>
      <c r="D3082" s="3" t="inlineStr"/>
      <c r="E3082" s="3" t="inlineStr">
        <is>
          <t>Vialtrace Lab Supplies Inc</t>
        </is>
      </c>
      <c r="F3082" s="3" t="inlineStr">
        <is>
          <t>Lab Expenses – March</t>
        </is>
      </c>
      <c r="G3082" s="3" t="inlineStr">
        <is>
          <t>Accounts Payable</t>
        </is>
      </c>
      <c r="H3082" s="3" t="inlineStr">
        <is>
          <t>Lab Expenses</t>
        </is>
      </c>
      <c r="I3082" s="33" t="n">
        <v>8073.76</v>
      </c>
      <c r="J3082" s="13">
        <f>+J3081+I3082</f>
        <v>56700</v>
      </c>
      <c r="K3082" s="19">
        <f>+EOMONTH(B3082,0)</f>
        <v>46112</v>
      </c>
      <c r="L3082" s="3" t="inlineStr">
        <is>
          <t>Lab Expenses</t>
        </is>
      </c>
      <c r="M3082" s="3" t="inlineStr">
        <is>
          <t>Other Lab Expenses</t>
        </is>
      </c>
    </row>
    <row r="3083">
      <c r="B3083" s="39" t="n">
        <v>46121</v>
      </c>
      <c r="C3083" s="3" t="inlineStr">
        <is>
          <t>Bill</t>
        </is>
      </c>
      <c r="D3083" s="3" t="inlineStr"/>
      <c r="E3083" s="3" t="inlineStr">
        <is>
          <t>Reagentix Corp</t>
        </is>
      </c>
      <c r="F3083" s="3" t="inlineStr">
        <is>
          <t>Lab Expenses – April</t>
        </is>
      </c>
      <c r="G3083" s="3" t="inlineStr">
        <is>
          <t>Accounts Payable</t>
        </is>
      </c>
      <c r="H3083" s="3" t="inlineStr">
        <is>
          <t>Lab Expenses</t>
        </is>
      </c>
      <c r="I3083" s="33" t="n">
        <v>4758.66</v>
      </c>
      <c r="J3083" s="13">
        <f>+J3082+I3083</f>
        <v>61458.66</v>
      </c>
      <c r="K3083" s="19">
        <f>+EOMONTH(B3083,0)</f>
        <v>46142</v>
      </c>
      <c r="L3083" s="3" t="inlineStr">
        <is>
          <t>Lab Expenses</t>
        </is>
      </c>
      <c r="M3083" s="3" t="inlineStr">
        <is>
          <t>Other Lab Expenses</t>
        </is>
      </c>
    </row>
    <row r="3084">
      <c r="B3084" s="39" t="n">
        <v>46128</v>
      </c>
      <c r="C3084" s="3" t="inlineStr">
        <is>
          <t>Bill</t>
        </is>
      </c>
      <c r="D3084" s="3" t="inlineStr"/>
      <c r="E3084" s="3" t="inlineStr">
        <is>
          <t>Reagentix Corp</t>
        </is>
      </c>
      <c r="F3084" s="3" t="inlineStr">
        <is>
          <t>Lab Expenses – April</t>
        </is>
      </c>
      <c r="G3084" s="3" t="inlineStr">
        <is>
          <t>Accounts Payable</t>
        </is>
      </c>
      <c r="H3084" s="3" t="inlineStr">
        <is>
          <t>Lab Expenses</t>
        </is>
      </c>
      <c r="I3084" s="33" t="n">
        <v>5353.45</v>
      </c>
      <c r="J3084" s="13">
        <f>+J3083+I3084</f>
        <v>66812.11</v>
      </c>
      <c r="K3084" s="19">
        <f>+EOMONTH(B3084,0)</f>
        <v>46142</v>
      </c>
      <c r="L3084" s="3" t="inlineStr">
        <is>
          <t>Lab Expenses</t>
        </is>
      </c>
      <c r="M3084" s="3" t="inlineStr">
        <is>
          <t>Other Lab Expenses</t>
        </is>
      </c>
    </row>
    <row r="3085">
      <c r="B3085" s="39" t="n">
        <v>46141</v>
      </c>
      <c r="C3085" s="3" t="inlineStr">
        <is>
          <t>Bill</t>
        </is>
      </c>
      <c r="D3085" s="3" t="inlineStr"/>
      <c r="E3085" s="3" t="inlineStr">
        <is>
          <t>Vialtrace Lab Supplies Inc</t>
        </is>
      </c>
      <c r="F3085" s="3" t="inlineStr">
        <is>
          <t>Lab Expenses – April</t>
        </is>
      </c>
      <c r="G3085" s="3" t="inlineStr">
        <is>
          <t>Accounts Payable</t>
        </is>
      </c>
      <c r="H3085" s="3" t="inlineStr">
        <is>
          <t>Lab Expenses</t>
        </is>
      </c>
      <c r="I3085" s="33" t="n">
        <v>5379.32</v>
      </c>
      <c r="J3085" s="13">
        <f>+J3084+I3085</f>
        <v>72191.43</v>
      </c>
      <c r="K3085" s="19">
        <f>+EOMONTH(B3085,0)</f>
        <v>46142</v>
      </c>
      <c r="L3085" s="3" t="inlineStr">
        <is>
          <t>Lab Expenses</t>
        </is>
      </c>
      <c r="M3085" s="3" t="inlineStr">
        <is>
          <t>Other Lab Expenses</t>
        </is>
      </c>
    </row>
    <row r="3086">
      <c r="B3086" s="39" t="n">
        <v>46142</v>
      </c>
      <c r="C3086" s="3" t="inlineStr">
        <is>
          <t>Bill</t>
        </is>
      </c>
      <c r="D3086" s="3" t="inlineStr"/>
      <c r="E3086" s="3" t="inlineStr">
        <is>
          <t>Reagentix Corp</t>
        </is>
      </c>
      <c r="F3086" s="3" t="inlineStr">
        <is>
          <t>Lab Expenses – April</t>
        </is>
      </c>
      <c r="G3086" s="3" t="inlineStr">
        <is>
          <t>Accounts Payable</t>
        </is>
      </c>
      <c r="H3086" s="3" t="inlineStr">
        <is>
          <t>Lab Expenses</t>
        </is>
      </c>
      <c r="I3086" s="33" t="n">
        <v>4608.57</v>
      </c>
      <c r="J3086" s="13">
        <f>+J3085+I3086</f>
        <v>76800</v>
      </c>
      <c r="K3086" s="19">
        <f>+EOMONTH(B3086,0)</f>
        <v>46142</v>
      </c>
      <c r="L3086" s="3" t="inlineStr">
        <is>
          <t>Lab Expenses</t>
        </is>
      </c>
      <c r="M3086" s="3" t="inlineStr">
        <is>
          <t>Other Lab Expenses</t>
        </is>
      </c>
    </row>
    <row r="3087">
      <c r="B3087" s="39" t="n">
        <v>46144</v>
      </c>
      <c r="C3087" s="3" t="inlineStr">
        <is>
          <t>Bill</t>
        </is>
      </c>
      <c r="D3087" s="3" t="inlineStr"/>
      <c r="E3087" s="3" t="inlineStr">
        <is>
          <t>Reagentix Corp</t>
        </is>
      </c>
      <c r="F3087" s="3" t="inlineStr">
        <is>
          <t>Lab Expenses – May</t>
        </is>
      </c>
      <c r="G3087" s="3" t="inlineStr">
        <is>
          <t>Accounts Payable</t>
        </is>
      </c>
      <c r="H3087" s="3" t="inlineStr">
        <is>
          <t>Lab Expenses</t>
        </is>
      </c>
      <c r="I3087" s="33" t="n">
        <v>3247.85</v>
      </c>
      <c r="J3087" s="13">
        <f>+J3086+I3087</f>
        <v>80047.85</v>
      </c>
      <c r="K3087" s="19">
        <f>+EOMONTH(B3087,0)</f>
        <v>46173</v>
      </c>
      <c r="L3087" s="3" t="inlineStr">
        <is>
          <t>Lab Expenses</t>
        </is>
      </c>
      <c r="M3087" s="3" t="inlineStr">
        <is>
          <t>Other Lab Expenses</t>
        </is>
      </c>
    </row>
    <row r="3088">
      <c r="B3088" s="39" t="n">
        <v>46160</v>
      </c>
      <c r="C3088" s="3" t="inlineStr">
        <is>
          <t>Bill</t>
        </is>
      </c>
      <c r="D3088" s="3" t="inlineStr"/>
      <c r="E3088" s="3" t="inlineStr">
        <is>
          <t>Vialtrace Lab Supplies Inc</t>
        </is>
      </c>
      <c r="F3088" s="3" t="inlineStr">
        <is>
          <t>Lab Expenses – May</t>
        </is>
      </c>
      <c r="G3088" s="3" t="inlineStr">
        <is>
          <t>Accounts Payable</t>
        </is>
      </c>
      <c r="H3088" s="3" t="inlineStr">
        <is>
          <t>Lab Expenses</t>
        </is>
      </c>
      <c r="I3088" s="33" t="n">
        <v>5626.85</v>
      </c>
      <c r="J3088" s="13">
        <f>+J3087+I3088</f>
        <v>85674.7</v>
      </c>
      <c r="K3088" s="19">
        <f>+EOMONTH(B3088,0)</f>
        <v>46173</v>
      </c>
      <c r="L3088" s="3" t="inlineStr">
        <is>
          <t>Lab Expenses</t>
        </is>
      </c>
      <c r="M3088" s="3" t="inlineStr">
        <is>
          <t>Other Lab Expenses</t>
        </is>
      </c>
    </row>
    <row r="3089">
      <c r="B3089" s="39" t="n">
        <v>46169</v>
      </c>
      <c r="C3089" s="3" t="inlineStr">
        <is>
          <t>Bill</t>
        </is>
      </c>
      <c r="D3089" s="3" t="inlineStr"/>
      <c r="E3089" s="3" t="inlineStr">
        <is>
          <t>Reagentix Corp</t>
        </is>
      </c>
      <c r="F3089" s="3" t="inlineStr">
        <is>
          <t>Lab Expenses – May</t>
        </is>
      </c>
      <c r="G3089" s="3" t="inlineStr">
        <is>
          <t>Accounts Payable</t>
        </is>
      </c>
      <c r="H3089" s="3" t="inlineStr">
        <is>
          <t>Lab Expenses</t>
        </is>
      </c>
      <c r="I3089" s="33" t="n">
        <v>6352.17</v>
      </c>
      <c r="J3089" s="13">
        <f>+J3088+I3089</f>
        <v>92026.87</v>
      </c>
      <c r="K3089" s="19">
        <f>+EOMONTH(B3089,0)</f>
        <v>46173</v>
      </c>
      <c r="L3089" s="3" t="inlineStr">
        <is>
          <t>Lab Expenses</t>
        </is>
      </c>
      <c r="M3089" s="3" t="inlineStr">
        <is>
          <t>Other Lab Expenses</t>
        </is>
      </c>
    </row>
    <row r="3090">
      <c r="B3090" s="39" t="n">
        <v>46173</v>
      </c>
      <c r="C3090" s="3" t="inlineStr">
        <is>
          <t>Bill</t>
        </is>
      </c>
      <c r="D3090" s="3" t="inlineStr"/>
      <c r="E3090" s="3" t="inlineStr">
        <is>
          <t>Vialtrace Lab Supplies Inc</t>
        </is>
      </c>
      <c r="F3090" s="3" t="inlineStr">
        <is>
          <t>Lab Expenses – May</t>
        </is>
      </c>
      <c r="G3090" s="3" t="inlineStr">
        <is>
          <t>Accounts Payable</t>
        </is>
      </c>
      <c r="H3090" s="3" t="inlineStr">
        <is>
          <t>Lab Expenses</t>
        </is>
      </c>
      <c r="I3090" s="33" t="n">
        <v>4773.13</v>
      </c>
      <c r="J3090" s="13">
        <f>+J3089+I3090</f>
        <v>96800</v>
      </c>
      <c r="K3090" s="19">
        <f>+EOMONTH(B3090,0)</f>
        <v>46173</v>
      </c>
      <c r="L3090" s="3" t="inlineStr">
        <is>
          <t>Lab Expenses</t>
        </is>
      </c>
      <c r="M3090" s="3" t="inlineStr">
        <is>
          <t>Other Lab Expenses</t>
        </is>
      </c>
    </row>
    <row r="3091">
      <c r="B3091" s="39" t="n">
        <v>46175</v>
      </c>
      <c r="C3091" s="3" t="inlineStr">
        <is>
          <t>Bill</t>
        </is>
      </c>
      <c r="D3091" s="3" t="inlineStr"/>
      <c r="E3091" s="3" t="inlineStr">
        <is>
          <t>Vialtrace Lab Supplies Inc</t>
        </is>
      </c>
      <c r="F3091" s="3" t="inlineStr">
        <is>
          <t>Lab Expenses – June</t>
        </is>
      </c>
      <c r="G3091" s="3" t="inlineStr">
        <is>
          <t>Accounts Payable</t>
        </is>
      </c>
      <c r="H3091" s="3" t="inlineStr">
        <is>
          <t>Lab Expenses</t>
        </is>
      </c>
      <c r="I3091" s="33" t="n">
        <v>4024.4</v>
      </c>
      <c r="J3091" s="13">
        <f>+J3090+I3091</f>
        <v>100824.4</v>
      </c>
      <c r="K3091" s="19">
        <f>+EOMONTH(B3091,0)</f>
        <v>46203</v>
      </c>
      <c r="L3091" s="3" t="inlineStr">
        <is>
          <t>Lab Expenses</t>
        </is>
      </c>
      <c r="M3091" s="3" t="inlineStr">
        <is>
          <t>Other Lab Expenses</t>
        </is>
      </c>
    </row>
    <row r="3092">
      <c r="B3092" s="39" t="n">
        <v>46175</v>
      </c>
      <c r="C3092" s="3" t="inlineStr">
        <is>
          <t>Bill</t>
        </is>
      </c>
      <c r="D3092" s="3" t="inlineStr"/>
      <c r="E3092" s="3" t="inlineStr">
        <is>
          <t>Reagentix Corp</t>
        </is>
      </c>
      <c r="F3092" s="3" t="inlineStr">
        <is>
          <t>Lab Expenses – June</t>
        </is>
      </c>
      <c r="G3092" s="3" t="inlineStr">
        <is>
          <t>Accounts Payable</t>
        </is>
      </c>
      <c r="H3092" s="3" t="inlineStr">
        <is>
          <t>Lab Expenses</t>
        </is>
      </c>
      <c r="I3092" s="33" t="n">
        <v>3788.42</v>
      </c>
      <c r="J3092" s="13">
        <f>+J3091+I3092</f>
        <v>104612.82</v>
      </c>
      <c r="K3092" s="19">
        <f>+EOMONTH(B3092,0)</f>
        <v>46203</v>
      </c>
      <c r="L3092" s="3" t="inlineStr">
        <is>
          <t>Lab Expenses</t>
        </is>
      </c>
      <c r="M3092" s="3" t="inlineStr">
        <is>
          <t>Other Lab Expenses</t>
        </is>
      </c>
    </row>
    <row r="3093">
      <c r="B3093" s="39" t="n">
        <v>46175</v>
      </c>
      <c r="C3093" s="3" t="inlineStr">
        <is>
          <t>Bill</t>
        </is>
      </c>
      <c r="D3093" s="3" t="inlineStr"/>
      <c r="E3093" s="3" t="inlineStr">
        <is>
          <t>Reagentix Corp</t>
        </is>
      </c>
      <c r="F3093" s="3" t="inlineStr">
        <is>
          <t>Lab Expenses – June</t>
        </is>
      </c>
      <c r="G3093" s="3" t="inlineStr">
        <is>
          <t>Accounts Payable</t>
        </is>
      </c>
      <c r="H3093" s="3" t="inlineStr">
        <is>
          <t>Lab Expenses</t>
        </is>
      </c>
      <c r="I3093" s="33" t="n">
        <v>4204.33</v>
      </c>
      <c r="J3093" s="13">
        <f>+J3092+I3093</f>
        <v>108817.15</v>
      </c>
      <c r="K3093" s="19">
        <f>+EOMONTH(B3093,0)</f>
        <v>46203</v>
      </c>
      <c r="L3093" s="3" t="inlineStr">
        <is>
          <t>Lab Expenses</t>
        </is>
      </c>
      <c r="M3093" s="3" t="inlineStr">
        <is>
          <t>Other Lab Expenses</t>
        </is>
      </c>
    </row>
    <row r="3094">
      <c r="B3094" s="39" t="n">
        <v>46185</v>
      </c>
      <c r="C3094" s="3" t="inlineStr">
        <is>
          <t>Bill</t>
        </is>
      </c>
      <c r="D3094" s="3" t="inlineStr"/>
      <c r="E3094" s="3" t="inlineStr">
        <is>
          <t>Reagentix Corp</t>
        </is>
      </c>
      <c r="F3094" s="3" t="inlineStr">
        <is>
          <t>Lab Expenses – June</t>
        </is>
      </c>
      <c r="G3094" s="3" t="inlineStr">
        <is>
          <t>Accounts Payable</t>
        </is>
      </c>
      <c r="H3094" s="3" t="inlineStr">
        <is>
          <t>Lab Expenses</t>
        </is>
      </c>
      <c r="I3094" s="33" t="n">
        <v>2488.95</v>
      </c>
      <c r="J3094" s="13">
        <f>+J3093+I3094</f>
        <v>111306.1</v>
      </c>
      <c r="K3094" s="19">
        <f>+EOMONTH(B3094,0)</f>
        <v>46203</v>
      </c>
      <c r="L3094" s="3" t="inlineStr">
        <is>
          <t>Lab Expenses</t>
        </is>
      </c>
      <c r="M3094" s="3" t="inlineStr">
        <is>
          <t>Other Lab Expenses</t>
        </is>
      </c>
    </row>
    <row r="3095">
      <c r="B3095" s="39" t="n">
        <v>46191</v>
      </c>
      <c r="C3095" s="3" t="inlineStr">
        <is>
          <t>Bill</t>
        </is>
      </c>
      <c r="D3095" s="3" t="inlineStr"/>
      <c r="E3095" s="3" t="inlineStr">
        <is>
          <t>Reagentix Corp</t>
        </is>
      </c>
      <c r="F3095" s="3" t="inlineStr">
        <is>
          <t>Lab Expenses – June</t>
        </is>
      </c>
      <c r="G3095" s="3" t="inlineStr">
        <is>
          <t>Accounts Payable</t>
        </is>
      </c>
      <c r="H3095" s="3" t="inlineStr">
        <is>
          <t>Lab Expenses</t>
        </is>
      </c>
      <c r="I3095" s="33" t="n">
        <v>5093.9</v>
      </c>
      <c r="J3095" s="13">
        <f>+J3094+I3095</f>
        <v>116400</v>
      </c>
      <c r="K3095" s="19">
        <f>+EOMONTH(B3095,0)</f>
        <v>46203</v>
      </c>
      <c r="L3095" s="3" t="inlineStr">
        <is>
          <t>Lab Expenses</t>
        </is>
      </c>
      <c r="M3095" s="3" t="inlineStr">
        <is>
          <t>Other Lab Expenses</t>
        </is>
      </c>
    </row>
    <row r="3096">
      <c r="B3096" s="39" t="n">
        <v>46204</v>
      </c>
      <c r="C3096" s="3" t="inlineStr">
        <is>
          <t>Bill</t>
        </is>
      </c>
      <c r="D3096" s="3" t="inlineStr"/>
      <c r="E3096" s="3" t="inlineStr">
        <is>
          <t>Reagentix Corp</t>
        </is>
      </c>
      <c r="F3096" s="3" t="inlineStr">
        <is>
          <t>Lab Expenses – July</t>
        </is>
      </c>
      <c r="G3096" s="3" t="inlineStr">
        <is>
          <t>Accounts Payable</t>
        </is>
      </c>
      <c r="H3096" s="3" t="inlineStr">
        <is>
          <t>Lab Expenses</t>
        </is>
      </c>
      <c r="I3096" s="33" t="n">
        <v>3689.9</v>
      </c>
      <c r="J3096" s="13">
        <f>+J3095+I3096</f>
        <v>120089.9</v>
      </c>
      <c r="K3096" s="19">
        <f>+EOMONTH(B3096,0)</f>
        <v>46234</v>
      </c>
      <c r="L3096" s="3" t="inlineStr">
        <is>
          <t>Lab Expenses</t>
        </is>
      </c>
      <c r="M3096" s="3" t="inlineStr">
        <is>
          <t>Other Lab Expenses</t>
        </is>
      </c>
    </row>
    <row r="3097">
      <c r="B3097" s="39" t="n">
        <v>46213</v>
      </c>
      <c r="C3097" s="3" t="inlineStr">
        <is>
          <t>Bill</t>
        </is>
      </c>
      <c r="D3097" s="3" t="inlineStr"/>
      <c r="E3097" s="3" t="inlineStr">
        <is>
          <t>Vialtrace Lab Supplies Inc</t>
        </is>
      </c>
      <c r="F3097" s="3" t="inlineStr">
        <is>
          <t>Lab Expenses – July</t>
        </is>
      </c>
      <c r="G3097" s="3" t="inlineStr">
        <is>
          <t>Accounts Payable</t>
        </is>
      </c>
      <c r="H3097" s="3" t="inlineStr">
        <is>
          <t>Lab Expenses</t>
        </is>
      </c>
      <c r="I3097" s="33" t="n">
        <v>7864.13</v>
      </c>
      <c r="J3097" s="13">
        <f>+J3096+I3097</f>
        <v>127954.03</v>
      </c>
      <c r="K3097" s="19">
        <f>+EOMONTH(B3097,0)</f>
        <v>46234</v>
      </c>
      <c r="L3097" s="3" t="inlineStr">
        <is>
          <t>Lab Expenses</t>
        </is>
      </c>
      <c r="M3097" s="3" t="inlineStr">
        <is>
          <t>Other Lab Expenses</t>
        </is>
      </c>
    </row>
    <row r="3098">
      <c r="B3098" s="39" t="n">
        <v>46226</v>
      </c>
      <c r="C3098" s="3" t="inlineStr">
        <is>
          <t>Bill</t>
        </is>
      </c>
      <c r="D3098" s="3" t="inlineStr"/>
      <c r="E3098" s="3" t="inlineStr">
        <is>
          <t>Vialtrace Lab Supplies Inc</t>
        </is>
      </c>
      <c r="F3098" s="3" t="inlineStr">
        <is>
          <t>Lab Expenses – July</t>
        </is>
      </c>
      <c r="G3098" s="3" t="inlineStr">
        <is>
          <t>Accounts Payable</t>
        </is>
      </c>
      <c r="H3098" s="3" t="inlineStr">
        <is>
          <t>Lab Expenses</t>
        </is>
      </c>
      <c r="I3098" s="33" t="n">
        <v>5005.48</v>
      </c>
      <c r="J3098" s="13">
        <f>+J3097+I3098</f>
        <v>132959.51</v>
      </c>
      <c r="K3098" s="19">
        <f>+EOMONTH(B3098,0)</f>
        <v>46234</v>
      </c>
      <c r="L3098" s="3" t="inlineStr">
        <is>
          <t>Lab Expenses</t>
        </is>
      </c>
      <c r="M3098" s="3" t="inlineStr">
        <is>
          <t>Other Lab Expenses</t>
        </is>
      </c>
    </row>
    <row r="3099">
      <c r="B3099" s="39" t="n">
        <v>46233</v>
      </c>
      <c r="C3099" s="3" t="inlineStr">
        <is>
          <t>Bill</t>
        </is>
      </c>
      <c r="D3099" s="3" t="inlineStr"/>
      <c r="E3099" s="3" t="inlineStr">
        <is>
          <t>Vialtrace Lab Supplies Inc</t>
        </is>
      </c>
      <c r="F3099" s="3" t="inlineStr">
        <is>
          <t>Lab Expenses – July</t>
        </is>
      </c>
      <c r="G3099" s="3" t="inlineStr">
        <is>
          <t>Accounts Payable</t>
        </is>
      </c>
      <c r="H3099" s="3" t="inlineStr">
        <is>
          <t>Lab Expenses</t>
        </is>
      </c>
      <c r="I3099" s="33" t="n">
        <v>4640.49</v>
      </c>
      <c r="J3099" s="13">
        <f>+J3098+I3099</f>
        <v>137600</v>
      </c>
      <c r="K3099" s="19">
        <f>+EOMONTH(B3099,0)</f>
        <v>46234</v>
      </c>
      <c r="L3099" s="3" t="inlineStr">
        <is>
          <t>Lab Expenses</t>
        </is>
      </c>
      <c r="M3099" s="3" t="inlineStr">
        <is>
          <t>Other Lab Expenses</t>
        </is>
      </c>
    </row>
    <row r="3100">
      <c r="B3100" s="39" t="n">
        <v>46243</v>
      </c>
      <c r="C3100" s="3" t="inlineStr">
        <is>
          <t>Bill</t>
        </is>
      </c>
      <c r="D3100" s="3" t="inlineStr"/>
      <c r="E3100" s="3" t="inlineStr">
        <is>
          <t>Vialtrace Lab Supplies Inc</t>
        </is>
      </c>
      <c r="F3100" s="3" t="inlineStr">
        <is>
          <t>Lab Expenses – August</t>
        </is>
      </c>
      <c r="G3100" s="3" t="inlineStr">
        <is>
          <t>Accounts Payable</t>
        </is>
      </c>
      <c r="H3100" s="3" t="inlineStr">
        <is>
          <t>Lab Expenses</t>
        </is>
      </c>
      <c r="I3100" s="33" t="n">
        <v>3006.32</v>
      </c>
      <c r="J3100" s="13">
        <f>+J3099+I3100</f>
        <v>140606.32</v>
      </c>
      <c r="K3100" s="19">
        <f>+EOMONTH(B3100,0)</f>
        <v>46265</v>
      </c>
      <c r="L3100" s="3" t="inlineStr">
        <is>
          <t>Lab Expenses</t>
        </is>
      </c>
      <c r="M3100" s="3" t="inlineStr">
        <is>
          <t>Other Lab Expenses</t>
        </is>
      </c>
    </row>
    <row r="3101">
      <c r="B3101" s="39" t="n">
        <v>46248</v>
      </c>
      <c r="C3101" s="3" t="inlineStr">
        <is>
          <t>Bill</t>
        </is>
      </c>
      <c r="D3101" s="3" t="inlineStr"/>
      <c r="E3101" s="3" t="inlineStr">
        <is>
          <t>Vialtrace Lab Supplies Inc</t>
        </is>
      </c>
      <c r="F3101" s="3" t="inlineStr">
        <is>
          <t>Lab Expenses – August</t>
        </is>
      </c>
      <c r="G3101" s="3" t="inlineStr">
        <is>
          <t>Accounts Payable</t>
        </is>
      </c>
      <c r="H3101" s="3" t="inlineStr">
        <is>
          <t>Lab Expenses</t>
        </is>
      </c>
      <c r="I3101" s="33" t="n">
        <v>3515.64</v>
      </c>
      <c r="J3101" s="13">
        <f>+J3100+I3101</f>
        <v>144121.96</v>
      </c>
      <c r="K3101" s="19">
        <f>+EOMONTH(B3101,0)</f>
        <v>46265</v>
      </c>
      <c r="L3101" s="3" t="inlineStr">
        <is>
          <t>Lab Expenses</t>
        </is>
      </c>
      <c r="M3101" s="3" t="inlineStr">
        <is>
          <t>Other Lab Expenses</t>
        </is>
      </c>
    </row>
    <row r="3102">
      <c r="B3102" s="39" t="n">
        <v>46254</v>
      </c>
      <c r="C3102" s="3" t="inlineStr">
        <is>
          <t>Bill</t>
        </is>
      </c>
      <c r="D3102" s="3" t="inlineStr"/>
      <c r="E3102" s="3" t="inlineStr">
        <is>
          <t>Vialtrace Lab Supplies Inc</t>
        </is>
      </c>
      <c r="F3102" s="3" t="inlineStr">
        <is>
          <t>Lab Expenses – August</t>
        </is>
      </c>
      <c r="G3102" s="3" t="inlineStr">
        <is>
          <t>Accounts Payable</t>
        </is>
      </c>
      <c r="H3102" s="3" t="inlineStr">
        <is>
          <t>Lab Expenses</t>
        </is>
      </c>
      <c r="I3102" s="33" t="n">
        <v>5678.21</v>
      </c>
      <c r="J3102" s="13">
        <f>+J3101+I3102</f>
        <v>149800.17</v>
      </c>
      <c r="K3102" s="19">
        <f>+EOMONTH(B3102,0)</f>
        <v>46265</v>
      </c>
      <c r="L3102" s="3" t="inlineStr">
        <is>
          <t>Lab Expenses</t>
        </is>
      </c>
      <c r="M3102" s="3" t="inlineStr">
        <is>
          <t>Other Lab Expenses</t>
        </is>
      </c>
    </row>
    <row r="3103">
      <c r="B3103" s="39" t="n">
        <v>46257</v>
      </c>
      <c r="C3103" s="3" t="inlineStr">
        <is>
          <t>Bill</t>
        </is>
      </c>
      <c r="D3103" s="3" t="inlineStr"/>
      <c r="E3103" s="3" t="inlineStr">
        <is>
          <t>Vialtrace Lab Supplies Inc</t>
        </is>
      </c>
      <c r="F3103" s="3" t="inlineStr">
        <is>
          <t>Lab Expenses – August</t>
        </is>
      </c>
      <c r="G3103" s="3" t="inlineStr">
        <is>
          <t>Accounts Payable</t>
        </is>
      </c>
      <c r="H3103" s="3" t="inlineStr">
        <is>
          <t>Lab Expenses</t>
        </is>
      </c>
      <c r="I3103" s="33" t="n">
        <v>3475.54</v>
      </c>
      <c r="J3103" s="13">
        <f>+J3102+I3103</f>
        <v>153275.71</v>
      </c>
      <c r="K3103" s="19">
        <f>+EOMONTH(B3103,0)</f>
        <v>46265</v>
      </c>
      <c r="L3103" s="3" t="inlineStr">
        <is>
          <t>Lab Expenses</t>
        </is>
      </c>
      <c r="M3103" s="3" t="inlineStr">
        <is>
          <t>Other Lab Expenses</t>
        </is>
      </c>
    </row>
    <row r="3104">
      <c r="B3104" s="39" t="n">
        <v>46258</v>
      </c>
      <c r="C3104" s="3" t="inlineStr">
        <is>
          <t>Bill</t>
        </is>
      </c>
      <c r="D3104" s="3" t="inlineStr"/>
      <c r="E3104" s="3" t="inlineStr">
        <is>
          <t>Reagentix Corp</t>
        </is>
      </c>
      <c r="F3104" s="3" t="inlineStr">
        <is>
          <t>Lab Expenses – August</t>
        </is>
      </c>
      <c r="G3104" s="3" t="inlineStr">
        <is>
          <t>Accounts Payable</t>
        </is>
      </c>
      <c r="H3104" s="3" t="inlineStr">
        <is>
          <t>Lab Expenses</t>
        </is>
      </c>
      <c r="I3104" s="33" t="n">
        <v>3624.29</v>
      </c>
      <c r="J3104" s="13">
        <f>+J3103+I3104</f>
        <v>156900</v>
      </c>
      <c r="K3104" s="19">
        <f>+EOMONTH(B3104,0)</f>
        <v>46265</v>
      </c>
      <c r="L3104" s="3" t="inlineStr">
        <is>
          <t>Lab Expenses</t>
        </is>
      </c>
      <c r="M3104" s="3" t="inlineStr">
        <is>
          <t>Other Lab Expenses</t>
        </is>
      </c>
    </row>
    <row r="3105">
      <c r="B3105" s="39" t="n">
        <v>46266</v>
      </c>
      <c r="C3105" s="3" t="inlineStr">
        <is>
          <t>Bill</t>
        </is>
      </c>
      <c r="D3105" s="3" t="inlineStr"/>
      <c r="E3105" s="3" t="inlineStr">
        <is>
          <t>Vialtrace Lab Supplies Inc</t>
        </is>
      </c>
      <c r="F3105" s="3" t="inlineStr">
        <is>
          <t>Lab Expenses – September</t>
        </is>
      </c>
      <c r="G3105" s="3" t="inlineStr">
        <is>
          <t>Accounts Payable</t>
        </is>
      </c>
      <c r="H3105" s="3" t="inlineStr">
        <is>
          <t>Lab Expenses</t>
        </is>
      </c>
      <c r="I3105" s="33" t="n">
        <v>6110.73</v>
      </c>
      <c r="J3105" s="13">
        <f>+J3104+I3105</f>
        <v>163010.73</v>
      </c>
      <c r="K3105" s="19">
        <f>+EOMONTH(B3105,0)</f>
        <v>46295</v>
      </c>
      <c r="L3105" s="3" t="inlineStr">
        <is>
          <t>Lab Expenses</t>
        </is>
      </c>
      <c r="M3105" s="3" t="inlineStr">
        <is>
          <t>Other Lab Expenses</t>
        </is>
      </c>
    </row>
    <row r="3106">
      <c r="B3106" s="39" t="n">
        <v>46285</v>
      </c>
      <c r="C3106" s="3" t="inlineStr">
        <is>
          <t>Bill</t>
        </is>
      </c>
      <c r="D3106" s="3" t="inlineStr"/>
      <c r="E3106" s="3" t="inlineStr">
        <is>
          <t>Vialtrace Lab Supplies Inc</t>
        </is>
      </c>
      <c r="F3106" s="3" t="inlineStr">
        <is>
          <t>Lab Expenses – September</t>
        </is>
      </c>
      <c r="G3106" s="3" t="inlineStr">
        <is>
          <t>Accounts Payable</t>
        </is>
      </c>
      <c r="H3106" s="3" t="inlineStr">
        <is>
          <t>Lab Expenses</t>
        </is>
      </c>
      <c r="I3106" s="33" t="n">
        <v>4236.8</v>
      </c>
      <c r="J3106" s="13">
        <f>+J3105+I3106</f>
        <v>167247.53</v>
      </c>
      <c r="K3106" s="19">
        <f>+EOMONTH(B3106,0)</f>
        <v>46295</v>
      </c>
      <c r="L3106" s="3" t="inlineStr">
        <is>
          <t>Lab Expenses</t>
        </is>
      </c>
      <c r="M3106" s="3" t="inlineStr">
        <is>
          <t>Other Lab Expenses</t>
        </is>
      </c>
    </row>
    <row r="3107">
      <c r="B3107" s="39" t="n">
        <v>46292</v>
      </c>
      <c r="C3107" s="3" t="inlineStr">
        <is>
          <t>Bill</t>
        </is>
      </c>
      <c r="D3107" s="3" t="inlineStr"/>
      <c r="E3107" s="3" t="inlineStr">
        <is>
          <t>Vialtrace Lab Supplies Inc</t>
        </is>
      </c>
      <c r="F3107" s="3" t="inlineStr">
        <is>
          <t>Lab Expenses – September</t>
        </is>
      </c>
      <c r="G3107" s="3" t="inlineStr">
        <is>
          <t>Accounts Payable</t>
        </is>
      </c>
      <c r="H3107" s="3" t="inlineStr">
        <is>
          <t>Lab Expenses</t>
        </is>
      </c>
      <c r="I3107" s="33" t="n">
        <v>5566.56</v>
      </c>
      <c r="J3107" s="13">
        <f>+J3106+I3107</f>
        <v>172814.09</v>
      </c>
      <c r="K3107" s="19">
        <f>+EOMONTH(B3107,0)</f>
        <v>46295</v>
      </c>
      <c r="L3107" s="3" t="inlineStr">
        <is>
          <t>Lab Expenses</t>
        </is>
      </c>
      <c r="M3107" s="3" t="inlineStr">
        <is>
          <t>Other Lab Expenses</t>
        </is>
      </c>
    </row>
    <row r="3108">
      <c r="B3108" s="39" t="n">
        <v>46293</v>
      </c>
      <c r="C3108" s="3" t="inlineStr">
        <is>
          <t>Bill</t>
        </is>
      </c>
      <c r="D3108" s="3" t="inlineStr"/>
      <c r="E3108" s="3" t="inlineStr">
        <is>
          <t>Vialtrace Lab Supplies Inc</t>
        </is>
      </c>
      <c r="F3108" s="3" t="inlineStr">
        <is>
          <t>Lab Expenses – September</t>
        </is>
      </c>
      <c r="G3108" s="3" t="inlineStr">
        <is>
          <t>Accounts Payable</t>
        </is>
      </c>
      <c r="H3108" s="3" t="inlineStr">
        <is>
          <t>Lab Expenses</t>
        </is>
      </c>
      <c r="I3108" s="33" t="n">
        <v>5064.22</v>
      </c>
      <c r="J3108" s="13">
        <f>+J3107+I3108</f>
        <v>177878.31</v>
      </c>
      <c r="K3108" s="19">
        <f>+EOMONTH(B3108,0)</f>
        <v>46295</v>
      </c>
      <c r="L3108" s="3" t="inlineStr">
        <is>
          <t>Lab Expenses</t>
        </is>
      </c>
      <c r="M3108" s="3" t="inlineStr">
        <is>
          <t>Other Lab Expenses</t>
        </is>
      </c>
    </row>
    <row r="3109">
      <c r="B3109" s="39" t="n">
        <v>46302</v>
      </c>
      <c r="C3109" s="3" t="inlineStr">
        <is>
          <t>Bill</t>
        </is>
      </c>
      <c r="D3109" s="3" t="inlineStr"/>
      <c r="E3109" s="3" t="inlineStr">
        <is>
          <t>Reagentix Corp</t>
        </is>
      </c>
      <c r="F3109" s="3" t="inlineStr">
        <is>
          <t>Lab Expenses – October</t>
        </is>
      </c>
      <c r="G3109" s="3" t="inlineStr">
        <is>
          <t>Accounts Payable</t>
        </is>
      </c>
      <c r="H3109" s="3" t="inlineStr">
        <is>
          <t>Lab Expenses</t>
        </is>
      </c>
      <c r="I3109" s="33" t="n">
        <v>7114.65</v>
      </c>
      <c r="J3109" s="13">
        <f>+J3108+I3109</f>
        <v>184992.96</v>
      </c>
      <c r="K3109" s="19">
        <f>+EOMONTH(B3109,0)</f>
        <v>46326</v>
      </c>
      <c r="L3109" s="3" t="inlineStr">
        <is>
          <t>Lab Expenses</t>
        </is>
      </c>
      <c r="M3109" s="3" t="inlineStr">
        <is>
          <t>Other Lab Expenses</t>
        </is>
      </c>
    </row>
    <row r="3110">
      <c r="B3110" s="39" t="n">
        <v>46315</v>
      </c>
      <c r="C3110" s="3" t="inlineStr">
        <is>
          <t>Bill</t>
        </is>
      </c>
      <c r="D3110" s="3" t="inlineStr"/>
      <c r="E3110" s="3" t="inlineStr">
        <is>
          <t>Vialtrace Lab Supplies Inc</t>
        </is>
      </c>
      <c r="F3110" s="3" t="inlineStr">
        <is>
          <t>Lab Expenses – October</t>
        </is>
      </c>
      <c r="G3110" s="3" t="inlineStr">
        <is>
          <t>Accounts Payable</t>
        </is>
      </c>
      <c r="H3110" s="3" t="inlineStr">
        <is>
          <t>Lab Expenses</t>
        </is>
      </c>
      <c r="I3110" s="33" t="n">
        <v>9027.120000000001</v>
      </c>
      <c r="J3110" s="13">
        <f>+J3109+I3110</f>
        <v>194020.08</v>
      </c>
      <c r="K3110" s="19">
        <f>+EOMONTH(B3110,0)</f>
        <v>46326</v>
      </c>
      <c r="L3110" s="3" t="inlineStr">
        <is>
          <t>Lab Expenses</t>
        </is>
      </c>
      <c r="M3110" s="3" t="inlineStr">
        <is>
          <t>Other Lab Expenses</t>
        </is>
      </c>
    </row>
    <row r="3111">
      <c r="B3111" s="39" t="n">
        <v>46316</v>
      </c>
      <c r="C3111" s="3" t="inlineStr">
        <is>
          <t>Bill</t>
        </is>
      </c>
      <c r="D3111" s="3" t="inlineStr"/>
      <c r="E3111" s="3" t="inlineStr">
        <is>
          <t>Reagentix Corp</t>
        </is>
      </c>
      <c r="F3111" s="3" t="inlineStr">
        <is>
          <t>Lab Expenses – October</t>
        </is>
      </c>
      <c r="G3111" s="3" t="inlineStr">
        <is>
          <t>Accounts Payable</t>
        </is>
      </c>
      <c r="H3111" s="3" t="inlineStr">
        <is>
          <t>Lab Expenses</t>
        </is>
      </c>
      <c r="I3111" s="33" t="n">
        <v>5662.31</v>
      </c>
      <c r="J3111" s="13">
        <f>+J3110+I3111</f>
        <v>199682.39</v>
      </c>
      <c r="K3111" s="19">
        <f>+EOMONTH(B3111,0)</f>
        <v>46326</v>
      </c>
      <c r="L3111" s="3" t="inlineStr">
        <is>
          <t>Lab Expenses</t>
        </is>
      </c>
      <c r="M3111" s="3" t="inlineStr">
        <is>
          <t>Other Lab Expenses</t>
        </is>
      </c>
    </row>
    <row r="3112">
      <c r="B3112" s="39" t="n">
        <v>46333</v>
      </c>
      <c r="C3112" s="3" t="inlineStr">
        <is>
          <t>Bill</t>
        </is>
      </c>
      <c r="D3112" s="3" t="inlineStr"/>
      <c r="E3112" s="3" t="inlineStr">
        <is>
          <t>Vialtrace Lab Supplies Inc</t>
        </is>
      </c>
      <c r="F3112" s="3" t="inlineStr">
        <is>
          <t>Lab Expenses – November</t>
        </is>
      </c>
      <c r="G3112" s="3" t="inlineStr">
        <is>
          <t>Accounts Payable</t>
        </is>
      </c>
      <c r="H3112" s="3" t="inlineStr">
        <is>
          <t>Lab Expenses</t>
        </is>
      </c>
      <c r="I3112" s="33" t="n">
        <v>7152.05</v>
      </c>
      <c r="J3112" s="13">
        <f>+J3111+I3112</f>
        <v>206834.44</v>
      </c>
      <c r="K3112" s="19">
        <f>+EOMONTH(B3112,0)</f>
        <v>46356</v>
      </c>
      <c r="L3112" s="3" t="inlineStr">
        <is>
          <t>Lab Expenses</t>
        </is>
      </c>
      <c r="M3112" s="3" t="inlineStr">
        <is>
          <t>Other Lab Expenses</t>
        </is>
      </c>
    </row>
    <row r="3113">
      <c r="B3113" s="39" t="n">
        <v>46334</v>
      </c>
      <c r="C3113" s="3" t="inlineStr">
        <is>
          <t>Bill</t>
        </is>
      </c>
      <c r="D3113" s="3" t="inlineStr"/>
      <c r="E3113" s="3" t="inlineStr">
        <is>
          <t>Vialtrace Lab Supplies Inc</t>
        </is>
      </c>
      <c r="F3113" s="3" t="inlineStr">
        <is>
          <t>Lab Expenses – November</t>
        </is>
      </c>
      <c r="G3113" s="3" t="inlineStr">
        <is>
          <t>Accounts Payable</t>
        </is>
      </c>
      <c r="H3113" s="3" t="inlineStr">
        <is>
          <t>Lab Expenses</t>
        </is>
      </c>
      <c r="I3113" s="33" t="n">
        <v>6973.13</v>
      </c>
      <c r="J3113" s="13">
        <f>+J3112+I3113</f>
        <v>213807.57</v>
      </c>
      <c r="K3113" s="19">
        <f>+EOMONTH(B3113,0)</f>
        <v>46356</v>
      </c>
      <c r="L3113" s="3" t="inlineStr">
        <is>
          <t>Lab Expenses</t>
        </is>
      </c>
      <c r="M3113" s="3" t="inlineStr">
        <is>
          <t>Other Lab Expenses</t>
        </is>
      </c>
    </row>
    <row r="3114">
      <c r="B3114" s="39" t="n">
        <v>46336</v>
      </c>
      <c r="C3114" s="3" t="inlineStr">
        <is>
          <t>Bill</t>
        </is>
      </c>
      <c r="D3114" s="3" t="inlineStr"/>
      <c r="E3114" s="3" t="inlineStr">
        <is>
          <t>Reagentix Corp</t>
        </is>
      </c>
      <c r="F3114" s="3" t="inlineStr">
        <is>
          <t>Lab Expenses – November</t>
        </is>
      </c>
      <c r="G3114" s="3" t="inlineStr">
        <is>
          <t>Accounts Payable</t>
        </is>
      </c>
      <c r="H3114" s="3" t="inlineStr">
        <is>
          <t>Lab Expenses</t>
        </is>
      </c>
      <c r="I3114" s="33" t="n">
        <v>5263.44</v>
      </c>
      <c r="J3114" s="13">
        <f>+J3113+I3114</f>
        <v>219071.01</v>
      </c>
      <c r="K3114" s="19">
        <f>+EOMONTH(B3114,0)</f>
        <v>46356</v>
      </c>
      <c r="L3114" s="3" t="inlineStr">
        <is>
          <t>Lab Expenses</t>
        </is>
      </c>
      <c r="M3114" s="3" t="inlineStr">
        <is>
          <t>Other Lab Expenses</t>
        </is>
      </c>
    </row>
    <row r="3115">
      <c r="A3115" s="2" t="inlineStr">
        <is>
          <t>Total for Lab Expenses</t>
        </is>
      </c>
      <c r="I3115" s="35">
        <f>SUM(I3071:I3114)</f>
        <v>219071.01</v>
      </c>
    </row>
    <row r="3117">
      <c r="A3117" s="2" t="inlineStr">
        <is>
          <t>Lab Supplies</t>
        </is>
      </c>
    </row>
    <row r="3118">
      <c r="B3118" s="39" t="n">
        <v>46024</v>
      </c>
      <c r="C3118" s="3" t="inlineStr">
        <is>
          <t>Bill</t>
        </is>
      </c>
      <c r="D3118" s="3" t="inlineStr"/>
      <c r="E3118" s="3" t="inlineStr">
        <is>
          <t>Reagentix Corp</t>
        </is>
      </c>
      <c r="F3118" s="3" t="inlineStr">
        <is>
          <t>Lab supplies PO# F2324</t>
        </is>
      </c>
      <c r="G3118" s="3" t="inlineStr">
        <is>
          <t>Accounts Payable</t>
        </is>
      </c>
      <c r="H3118" s="3" t="inlineStr">
        <is>
          <t>Lab Supplies</t>
        </is>
      </c>
      <c r="I3118" s="33" t="n">
        <v>31413.72</v>
      </c>
      <c r="J3118" s="13">
        <f>+I3118</f>
        <v>31413.72</v>
      </c>
      <c r="K3118" s="19">
        <f>+EOMONTH(B3118,0)</f>
        <v>46053</v>
      </c>
      <c r="L3118" s="3" t="inlineStr">
        <is>
          <t>Lab Supplies</t>
        </is>
      </c>
      <c r="M3118" s="3" t="inlineStr">
        <is>
          <t>Lab Supplies</t>
        </is>
      </c>
    </row>
    <row r="3119">
      <c r="B3119" s="39" t="n">
        <v>46027</v>
      </c>
      <c r="C3119" s="3" t="inlineStr">
        <is>
          <t>Bill</t>
        </is>
      </c>
      <c r="D3119" s="3" t="inlineStr"/>
      <c r="E3119" s="3" t="inlineStr">
        <is>
          <t>Vialtrace Lab Supplies Inc</t>
        </is>
      </c>
      <c r="F3119" s="3" t="inlineStr">
        <is>
          <t>Lab supplies PO# F2165</t>
        </is>
      </c>
      <c r="G3119" s="3" t="inlineStr">
        <is>
          <t>Accounts Payable</t>
        </is>
      </c>
      <c r="H3119" s="3" t="inlineStr">
        <is>
          <t>Lab Supplies</t>
        </is>
      </c>
      <c r="I3119" s="33" t="n">
        <v>25920.16</v>
      </c>
      <c r="J3119" s="13">
        <f>+J3118+I3119</f>
        <v>57333.88</v>
      </c>
      <c r="K3119" s="19">
        <f>+EOMONTH(B3119,0)</f>
        <v>46053</v>
      </c>
      <c r="L3119" s="3" t="inlineStr">
        <is>
          <t>Lab Supplies</t>
        </is>
      </c>
      <c r="M3119" s="3" t="inlineStr">
        <is>
          <t>Lab Supplies</t>
        </is>
      </c>
    </row>
    <row r="3120">
      <c r="B3120" s="39" t="n">
        <v>46031</v>
      </c>
      <c r="C3120" s="3" t="inlineStr">
        <is>
          <t>Bill</t>
        </is>
      </c>
      <c r="D3120" s="3" t="inlineStr"/>
      <c r="E3120" s="3" t="inlineStr">
        <is>
          <t>Vialtrace Lab Supplies Inc</t>
        </is>
      </c>
      <c r="F3120" s="3" t="inlineStr">
        <is>
          <t>Lab supplies PO# F2999</t>
        </is>
      </c>
      <c r="G3120" s="3" t="inlineStr">
        <is>
          <t>Accounts Payable</t>
        </is>
      </c>
      <c r="H3120" s="3" t="inlineStr">
        <is>
          <t>Lab Supplies</t>
        </is>
      </c>
      <c r="I3120" s="33" t="n">
        <v>27489.29</v>
      </c>
      <c r="J3120" s="13">
        <f>+J3119+I3120</f>
        <v>84823.17</v>
      </c>
      <c r="K3120" s="19">
        <f>+EOMONTH(B3120,0)</f>
        <v>46053</v>
      </c>
      <c r="L3120" s="3" t="inlineStr">
        <is>
          <t>Lab Supplies</t>
        </is>
      </c>
      <c r="M3120" s="3" t="inlineStr">
        <is>
          <t>Lab Supplies</t>
        </is>
      </c>
    </row>
    <row r="3121">
      <c r="B3121" s="39" t="n">
        <v>46046</v>
      </c>
      <c r="C3121" s="3" t="inlineStr">
        <is>
          <t>Bill</t>
        </is>
      </c>
      <c r="D3121" s="3" t="inlineStr"/>
      <c r="E3121" s="3" t="inlineStr">
        <is>
          <t>Vialtrace Lab Supplies Inc</t>
        </is>
      </c>
      <c r="F3121" s="3" t="inlineStr">
        <is>
          <t>Lab supplies PO# F2010</t>
        </is>
      </c>
      <c r="G3121" s="3" t="inlineStr">
        <is>
          <t>Accounts Payable</t>
        </is>
      </c>
      <c r="H3121" s="3" t="inlineStr">
        <is>
          <t>Lab Supplies</t>
        </is>
      </c>
      <c r="I3121" s="33" t="n">
        <v>24276.83</v>
      </c>
      <c r="J3121" s="13">
        <f>+J3120+I3121</f>
        <v>109100</v>
      </c>
      <c r="K3121" s="19">
        <f>+EOMONTH(B3121,0)</f>
        <v>46053</v>
      </c>
      <c r="L3121" s="3" t="inlineStr">
        <is>
          <t>Lab Supplies</t>
        </is>
      </c>
      <c r="M3121" s="3" t="inlineStr">
        <is>
          <t>Lab Supplies</t>
        </is>
      </c>
    </row>
    <row r="3122">
      <c r="B3122" s="39" t="n">
        <v>46057</v>
      </c>
      <c r="C3122" s="3" t="inlineStr">
        <is>
          <t>Bill</t>
        </is>
      </c>
      <c r="D3122" s="3" t="inlineStr"/>
      <c r="E3122" s="3" t="inlineStr">
        <is>
          <t>Vialtrace Lab Supplies Inc</t>
        </is>
      </c>
      <c r="F3122" s="3" t="inlineStr">
        <is>
          <t>Lab supplies PO# F2433</t>
        </is>
      </c>
      <c r="G3122" s="3" t="inlineStr">
        <is>
          <t>Accounts Payable</t>
        </is>
      </c>
      <c r="H3122" s="3" t="inlineStr">
        <is>
          <t>Lab Supplies</t>
        </is>
      </c>
      <c r="I3122" s="33" t="n">
        <v>23482.06</v>
      </c>
      <c r="J3122" s="13">
        <f>+J3121+I3122</f>
        <v>132582.06</v>
      </c>
      <c r="K3122" s="19">
        <f>+EOMONTH(B3122,0)</f>
        <v>46081</v>
      </c>
      <c r="L3122" s="3" t="inlineStr">
        <is>
          <t>Lab Supplies</t>
        </is>
      </c>
      <c r="M3122" s="3" t="inlineStr">
        <is>
          <t>Lab Supplies</t>
        </is>
      </c>
    </row>
    <row r="3123">
      <c r="B3123" s="39" t="n">
        <v>46064</v>
      </c>
      <c r="C3123" s="3" t="inlineStr">
        <is>
          <t>Bill</t>
        </is>
      </c>
      <c r="D3123" s="3" t="inlineStr"/>
      <c r="E3123" s="3" t="inlineStr">
        <is>
          <t>Reagentix Corp</t>
        </is>
      </c>
      <c r="F3123" s="3" t="inlineStr">
        <is>
          <t>Lab supplies PO# F2946</t>
        </is>
      </c>
      <c r="G3123" s="3" t="inlineStr">
        <is>
          <t>Accounts Payable</t>
        </is>
      </c>
      <c r="H3123" s="3" t="inlineStr">
        <is>
          <t>Lab Supplies</t>
        </is>
      </c>
      <c r="I3123" s="33" t="n">
        <v>11604.15</v>
      </c>
      <c r="J3123" s="13">
        <f>+J3122+I3123</f>
        <v>144186.21</v>
      </c>
      <c r="K3123" s="19">
        <f>+EOMONTH(B3123,0)</f>
        <v>46081</v>
      </c>
      <c r="L3123" s="3" t="inlineStr">
        <is>
          <t>Lab Supplies</t>
        </is>
      </c>
      <c r="M3123" s="3" t="inlineStr">
        <is>
          <t>Lab Supplies</t>
        </is>
      </c>
    </row>
    <row r="3124">
      <c r="B3124" s="39" t="n">
        <v>46066</v>
      </c>
      <c r="C3124" s="3" t="inlineStr">
        <is>
          <t>Bill</t>
        </is>
      </c>
      <c r="D3124" s="3" t="inlineStr"/>
      <c r="E3124" s="3" t="inlineStr">
        <is>
          <t>Vialtrace Lab Supplies Inc</t>
        </is>
      </c>
      <c r="F3124" s="3" t="inlineStr">
        <is>
          <t>Lab supplies PO# F2214</t>
        </is>
      </c>
      <c r="G3124" s="3" t="inlineStr">
        <is>
          <t>Accounts Payable</t>
        </is>
      </c>
      <c r="H3124" s="3" t="inlineStr">
        <is>
          <t>Lab Supplies</t>
        </is>
      </c>
      <c r="I3124" s="33" t="n">
        <v>19241.73</v>
      </c>
      <c r="J3124" s="13">
        <f>+J3123+I3124</f>
        <v>163427.94</v>
      </c>
      <c r="K3124" s="19">
        <f>+EOMONTH(B3124,0)</f>
        <v>46081</v>
      </c>
      <c r="L3124" s="3" t="inlineStr">
        <is>
          <t>Lab Supplies</t>
        </is>
      </c>
      <c r="M3124" s="3" t="inlineStr">
        <is>
          <t>Lab Supplies</t>
        </is>
      </c>
    </row>
    <row r="3125">
      <c r="B3125" s="39" t="n">
        <v>46074</v>
      </c>
      <c r="C3125" s="3" t="inlineStr">
        <is>
          <t>Bill</t>
        </is>
      </c>
      <c r="D3125" s="3" t="inlineStr"/>
      <c r="E3125" s="3" t="inlineStr">
        <is>
          <t>Reagentix Corp</t>
        </is>
      </c>
      <c r="F3125" s="3" t="inlineStr">
        <is>
          <t>Lab supplies PO# F2227</t>
        </is>
      </c>
      <c r="G3125" s="3" t="inlineStr">
        <is>
          <t>Accounts Payable</t>
        </is>
      </c>
      <c r="H3125" s="3" t="inlineStr">
        <is>
          <t>Lab Supplies</t>
        </is>
      </c>
      <c r="I3125" s="33" t="n">
        <v>15321.17</v>
      </c>
      <c r="J3125" s="13">
        <f>+J3124+I3125</f>
        <v>178749.11</v>
      </c>
      <c r="K3125" s="19">
        <f>+EOMONTH(B3125,0)</f>
        <v>46081</v>
      </c>
      <c r="L3125" s="3" t="inlineStr">
        <is>
          <t>Lab Supplies</t>
        </is>
      </c>
      <c r="M3125" s="3" t="inlineStr">
        <is>
          <t>Lab Supplies</t>
        </is>
      </c>
    </row>
    <row r="3126">
      <c r="B3126" s="39" t="n">
        <v>46075</v>
      </c>
      <c r="C3126" s="3" t="inlineStr">
        <is>
          <t>Bill</t>
        </is>
      </c>
      <c r="D3126" s="3" t="inlineStr"/>
      <c r="E3126" s="3" t="inlineStr">
        <is>
          <t>Vialtrace Lab Supplies Inc</t>
        </is>
      </c>
      <c r="F3126" s="3" t="inlineStr">
        <is>
          <t>Lab supplies PO# F2514</t>
        </is>
      </c>
      <c r="G3126" s="3" t="inlineStr">
        <is>
          <t>Accounts Payable</t>
        </is>
      </c>
      <c r="H3126" s="3" t="inlineStr">
        <is>
          <t>Lab Supplies</t>
        </is>
      </c>
      <c r="I3126" s="33" t="n">
        <v>15350.89</v>
      </c>
      <c r="J3126" s="13">
        <f>+J3125+I3126</f>
        <v>194100</v>
      </c>
      <c r="K3126" s="19">
        <f>+EOMONTH(B3126,0)</f>
        <v>46081</v>
      </c>
      <c r="L3126" s="3" t="inlineStr">
        <is>
          <t>Lab Supplies</t>
        </is>
      </c>
      <c r="M3126" s="3" t="inlineStr">
        <is>
          <t>Lab Supplies</t>
        </is>
      </c>
    </row>
    <row r="3127">
      <c r="B3127" s="39" t="n">
        <v>46084</v>
      </c>
      <c r="C3127" s="3" t="inlineStr">
        <is>
          <t>Bill</t>
        </is>
      </c>
      <c r="D3127" s="3" t="inlineStr"/>
      <c r="E3127" s="3" t="inlineStr">
        <is>
          <t>Vialtrace Lab Supplies Inc</t>
        </is>
      </c>
      <c r="F3127" s="3" t="inlineStr">
        <is>
          <t>Lab supplies PO# F2245</t>
        </is>
      </c>
      <c r="G3127" s="3" t="inlineStr">
        <is>
          <t>Accounts Payable</t>
        </is>
      </c>
      <c r="H3127" s="3" t="inlineStr">
        <is>
          <t>Lab Supplies</t>
        </is>
      </c>
      <c r="I3127" s="33" t="n">
        <v>38892.2</v>
      </c>
      <c r="J3127" s="13">
        <f>+J3126+I3127</f>
        <v>232992.2</v>
      </c>
      <c r="K3127" s="19">
        <f>+EOMONTH(B3127,0)</f>
        <v>46112</v>
      </c>
      <c r="L3127" s="3" t="inlineStr">
        <is>
          <t>Lab Supplies</t>
        </is>
      </c>
      <c r="M3127" s="3" t="inlineStr">
        <is>
          <t>Lab Supplies</t>
        </is>
      </c>
    </row>
    <row r="3128">
      <c r="B3128" s="39" t="n">
        <v>46092</v>
      </c>
      <c r="C3128" s="3" t="inlineStr">
        <is>
          <t>Bill</t>
        </is>
      </c>
      <c r="D3128" s="3" t="inlineStr"/>
      <c r="E3128" s="3" t="inlineStr">
        <is>
          <t>Vialtrace Lab Supplies Inc</t>
        </is>
      </c>
      <c r="F3128" s="3" t="inlineStr">
        <is>
          <t>Lab supplies PO# F2428</t>
        </is>
      </c>
      <c r="G3128" s="3" t="inlineStr">
        <is>
          <t>Accounts Payable</t>
        </is>
      </c>
      <c r="H3128" s="3" t="inlineStr">
        <is>
          <t>Lab Supplies</t>
        </is>
      </c>
      <c r="I3128" s="33" t="n">
        <v>35431.81</v>
      </c>
      <c r="J3128" s="13">
        <f>+J3127+I3128</f>
        <v>268424.01</v>
      </c>
      <c r="K3128" s="19">
        <f>+EOMONTH(B3128,0)</f>
        <v>46112</v>
      </c>
      <c r="L3128" s="3" t="inlineStr">
        <is>
          <t>Lab Supplies</t>
        </is>
      </c>
      <c r="M3128" s="3" t="inlineStr">
        <is>
          <t>Lab Supplies</t>
        </is>
      </c>
    </row>
    <row r="3129">
      <c r="B3129" s="39" t="n">
        <v>46099</v>
      </c>
      <c r="C3129" s="3" t="inlineStr">
        <is>
          <t>Bill</t>
        </is>
      </c>
      <c r="D3129" s="3" t="inlineStr"/>
      <c r="E3129" s="3" t="inlineStr">
        <is>
          <t>Reagentix Corp</t>
        </is>
      </c>
      <c r="F3129" s="3" t="inlineStr">
        <is>
          <t>Lab supplies PO# F2401</t>
        </is>
      </c>
      <c r="G3129" s="3" t="inlineStr">
        <is>
          <t>Accounts Payable</t>
        </is>
      </c>
      <c r="H3129" s="3" t="inlineStr">
        <is>
          <t>Lab Supplies</t>
        </is>
      </c>
      <c r="I3129" s="33" t="n">
        <v>31075.99</v>
      </c>
      <c r="J3129" s="13">
        <f>+J3128+I3129</f>
        <v>299500</v>
      </c>
      <c r="K3129" s="19">
        <f>+EOMONTH(B3129,0)</f>
        <v>46112</v>
      </c>
      <c r="L3129" s="3" t="inlineStr">
        <is>
          <t>Lab Supplies</t>
        </is>
      </c>
      <c r="M3129" s="3" t="inlineStr">
        <is>
          <t>Lab Supplies</t>
        </is>
      </c>
    </row>
    <row r="3130">
      <c r="B3130" s="39" t="n">
        <v>46119</v>
      </c>
      <c r="C3130" s="3" t="inlineStr">
        <is>
          <t>Bill</t>
        </is>
      </c>
      <c r="D3130" s="3" t="inlineStr"/>
      <c r="E3130" s="3" t="inlineStr">
        <is>
          <t>Vialtrace Lab Supplies Inc</t>
        </is>
      </c>
      <c r="F3130" s="3" t="inlineStr">
        <is>
          <t>Lab supplies PO# F2267</t>
        </is>
      </c>
      <c r="G3130" s="3" t="inlineStr">
        <is>
          <t>Accounts Payable</t>
        </is>
      </c>
      <c r="H3130" s="3" t="inlineStr">
        <is>
          <t>Lab Supplies</t>
        </is>
      </c>
      <c r="I3130" s="33" t="n">
        <v>30112.16</v>
      </c>
      <c r="J3130" s="13">
        <f>+J3129+I3130</f>
        <v>329612.16</v>
      </c>
      <c r="K3130" s="19">
        <f>+EOMONTH(B3130,0)</f>
        <v>46142</v>
      </c>
      <c r="L3130" s="3" t="inlineStr">
        <is>
          <t>Lab Supplies</t>
        </is>
      </c>
      <c r="M3130" s="3" t="inlineStr">
        <is>
          <t>Lab Supplies</t>
        </is>
      </c>
    </row>
    <row r="3131">
      <c r="B3131" s="39" t="n">
        <v>46126</v>
      </c>
      <c r="C3131" s="3" t="inlineStr">
        <is>
          <t>Bill</t>
        </is>
      </c>
      <c r="D3131" s="3" t="inlineStr"/>
      <c r="E3131" s="3" t="inlineStr">
        <is>
          <t>Vialtrace Lab Supplies Inc</t>
        </is>
      </c>
      <c r="F3131" s="3" t="inlineStr">
        <is>
          <t>Lab supplies PO# F2110</t>
        </is>
      </c>
      <c r="G3131" s="3" t="inlineStr">
        <is>
          <t>Accounts Payable</t>
        </is>
      </c>
      <c r="H3131" s="3" t="inlineStr">
        <is>
          <t>Lab Supplies</t>
        </is>
      </c>
      <c r="I3131" s="33" t="n">
        <v>21200.79</v>
      </c>
      <c r="J3131" s="13">
        <f>+J3130+I3131</f>
        <v>350812.95</v>
      </c>
      <c r="K3131" s="19">
        <f>+EOMONTH(B3131,0)</f>
        <v>46142</v>
      </c>
      <c r="L3131" s="3" t="inlineStr">
        <is>
          <t>Lab Supplies</t>
        </is>
      </c>
      <c r="M3131" s="3" t="inlineStr">
        <is>
          <t>Lab Supplies</t>
        </is>
      </c>
    </row>
    <row r="3132">
      <c r="B3132" s="39" t="n">
        <v>46129</v>
      </c>
      <c r="C3132" s="3" t="inlineStr">
        <is>
          <t>Bill</t>
        </is>
      </c>
      <c r="D3132" s="3" t="inlineStr"/>
      <c r="E3132" s="3" t="inlineStr">
        <is>
          <t>Reagentix Corp</t>
        </is>
      </c>
      <c r="F3132" s="3" t="inlineStr">
        <is>
          <t>Lab supplies PO# F2203</t>
        </is>
      </c>
      <c r="G3132" s="3" t="inlineStr">
        <is>
          <t>Accounts Payable</t>
        </is>
      </c>
      <c r="H3132" s="3" t="inlineStr">
        <is>
          <t>Lab Supplies</t>
        </is>
      </c>
      <c r="I3132" s="33" t="n">
        <v>31014.53</v>
      </c>
      <c r="J3132" s="13">
        <f>+J3131+I3132</f>
        <v>381827.48</v>
      </c>
      <c r="K3132" s="19">
        <f>+EOMONTH(B3132,0)</f>
        <v>46142</v>
      </c>
      <c r="L3132" s="3" t="inlineStr">
        <is>
          <t>Lab Supplies</t>
        </is>
      </c>
      <c r="M3132" s="3" t="inlineStr">
        <is>
          <t>Lab Supplies</t>
        </is>
      </c>
    </row>
    <row r="3133">
      <c r="B3133" s="39" t="n">
        <v>46130</v>
      </c>
      <c r="C3133" s="3" t="inlineStr">
        <is>
          <t>Bill</t>
        </is>
      </c>
      <c r="D3133" s="3" t="inlineStr"/>
      <c r="E3133" s="3" t="inlineStr">
        <is>
          <t>Reagentix Corp</t>
        </is>
      </c>
      <c r="F3133" s="3" t="inlineStr">
        <is>
          <t>Lab supplies PO# F2955</t>
        </is>
      </c>
      <c r="G3133" s="3" t="inlineStr">
        <is>
          <t>Accounts Payable</t>
        </is>
      </c>
      <c r="H3133" s="3" t="inlineStr">
        <is>
          <t>Lab Supplies</t>
        </is>
      </c>
      <c r="I3133" s="33" t="n">
        <v>31572.52</v>
      </c>
      <c r="J3133" s="13">
        <f>+J3132+I3133</f>
        <v>413400</v>
      </c>
      <c r="K3133" s="19">
        <f>+EOMONTH(B3133,0)</f>
        <v>46142</v>
      </c>
      <c r="L3133" s="3" t="inlineStr">
        <is>
          <t>Lab Supplies</t>
        </is>
      </c>
      <c r="M3133" s="3" t="inlineStr">
        <is>
          <t>Lab Supplies</t>
        </is>
      </c>
    </row>
    <row r="3134">
      <c r="B3134" s="39" t="n">
        <v>46155</v>
      </c>
      <c r="C3134" s="3" t="inlineStr">
        <is>
          <t>Bill</t>
        </is>
      </c>
      <c r="D3134" s="3" t="inlineStr"/>
      <c r="E3134" s="3" t="inlineStr">
        <is>
          <t>Vialtrace Lab Supplies Inc</t>
        </is>
      </c>
      <c r="F3134" s="3" t="inlineStr">
        <is>
          <t>Lab supplies PO# F2322</t>
        </is>
      </c>
      <c r="G3134" s="3" t="inlineStr">
        <is>
          <t>Accounts Payable</t>
        </is>
      </c>
      <c r="H3134" s="3" t="inlineStr">
        <is>
          <t>Lab Supplies</t>
        </is>
      </c>
      <c r="I3134" s="33" t="n">
        <v>48091.89</v>
      </c>
      <c r="J3134" s="13">
        <f>+J3133+I3134</f>
        <v>461491.89</v>
      </c>
      <c r="K3134" s="19">
        <f>+EOMONTH(B3134,0)</f>
        <v>46173</v>
      </c>
      <c r="L3134" s="3" t="inlineStr">
        <is>
          <t>Lab Supplies</t>
        </is>
      </c>
      <c r="M3134" s="3" t="inlineStr">
        <is>
          <t>Lab Supplies</t>
        </is>
      </c>
    </row>
    <row r="3135">
      <c r="B3135" s="39" t="n">
        <v>46159</v>
      </c>
      <c r="C3135" s="3" t="inlineStr">
        <is>
          <t>Bill</t>
        </is>
      </c>
      <c r="D3135" s="3" t="inlineStr"/>
      <c r="E3135" s="3" t="inlineStr">
        <is>
          <t>Reagentix Corp</t>
        </is>
      </c>
      <c r="F3135" s="3" t="inlineStr">
        <is>
          <t>Lab supplies PO# F2071</t>
        </is>
      </c>
      <c r="G3135" s="3" t="inlineStr">
        <is>
          <t>Accounts Payable</t>
        </is>
      </c>
      <c r="H3135" s="3" t="inlineStr">
        <is>
          <t>Lab Supplies</t>
        </is>
      </c>
      <c r="I3135" s="33" t="n">
        <v>32675.49</v>
      </c>
      <c r="J3135" s="13">
        <f>+J3134+I3135</f>
        <v>494167.38</v>
      </c>
      <c r="K3135" s="19">
        <f>+EOMONTH(B3135,0)</f>
        <v>46173</v>
      </c>
      <c r="L3135" s="3" t="inlineStr">
        <is>
          <t>Lab Supplies</t>
        </is>
      </c>
      <c r="M3135" s="3" t="inlineStr">
        <is>
          <t>Lab Supplies</t>
        </is>
      </c>
    </row>
    <row r="3136">
      <c r="B3136" s="39" t="n">
        <v>46160</v>
      </c>
      <c r="C3136" s="3" t="inlineStr">
        <is>
          <t>Bill</t>
        </is>
      </c>
      <c r="D3136" s="3" t="inlineStr"/>
      <c r="E3136" s="3" t="inlineStr">
        <is>
          <t>Reagentix Corp</t>
        </is>
      </c>
      <c r="F3136" s="3" t="inlineStr">
        <is>
          <t>Lab supplies PO# F2144</t>
        </is>
      </c>
      <c r="G3136" s="3" t="inlineStr">
        <is>
          <t>Accounts Payable</t>
        </is>
      </c>
      <c r="H3136" s="3" t="inlineStr">
        <is>
          <t>Lab Supplies</t>
        </is>
      </c>
      <c r="I3136" s="33" t="n">
        <v>27432.62</v>
      </c>
      <c r="J3136" s="13">
        <f>+J3135+I3136</f>
        <v>521600</v>
      </c>
      <c r="K3136" s="19">
        <f>+EOMONTH(B3136,0)</f>
        <v>46173</v>
      </c>
      <c r="L3136" s="3" t="inlineStr">
        <is>
          <t>Lab Supplies</t>
        </is>
      </c>
      <c r="M3136" s="3" t="inlineStr">
        <is>
          <t>Lab Supplies</t>
        </is>
      </c>
    </row>
    <row r="3137">
      <c r="B3137" s="39" t="n">
        <v>46174</v>
      </c>
      <c r="C3137" s="3" t="inlineStr">
        <is>
          <t>Bill</t>
        </is>
      </c>
      <c r="D3137" s="3" t="inlineStr"/>
      <c r="E3137" s="3" t="inlineStr">
        <is>
          <t>Reagentix Corp</t>
        </is>
      </c>
      <c r="F3137" s="3" t="inlineStr">
        <is>
          <t>Lab supplies PO# F2624</t>
        </is>
      </c>
      <c r="G3137" s="3" t="inlineStr">
        <is>
          <t>Accounts Payable</t>
        </is>
      </c>
      <c r="H3137" s="3" t="inlineStr">
        <is>
          <t>Lab Supplies</t>
        </is>
      </c>
      <c r="I3137" s="33" t="n">
        <v>18896.17</v>
      </c>
      <c r="J3137" s="13">
        <f>+J3136+I3137</f>
        <v>540496.17</v>
      </c>
      <c r="K3137" s="19">
        <f>+EOMONTH(B3137,0)</f>
        <v>46203</v>
      </c>
      <c r="L3137" s="3" t="inlineStr">
        <is>
          <t>Lab Supplies</t>
        </is>
      </c>
      <c r="M3137" s="3" t="inlineStr">
        <is>
          <t>Lab Supplies</t>
        </is>
      </c>
    </row>
    <row r="3138">
      <c r="B3138" s="39" t="n">
        <v>46176</v>
      </c>
      <c r="C3138" s="3" t="inlineStr">
        <is>
          <t>Bill</t>
        </is>
      </c>
      <c r="D3138" s="3" t="inlineStr"/>
      <c r="E3138" s="3" t="inlineStr">
        <is>
          <t>Reagentix Corp</t>
        </is>
      </c>
      <c r="F3138" s="3" t="inlineStr">
        <is>
          <t>Lab supplies PO# F2264</t>
        </is>
      </c>
      <c r="G3138" s="3" t="inlineStr">
        <is>
          <t>Accounts Payable</t>
        </is>
      </c>
      <c r="H3138" s="3" t="inlineStr">
        <is>
          <t>Lab Supplies</t>
        </is>
      </c>
      <c r="I3138" s="33" t="n">
        <v>16316.8</v>
      </c>
      <c r="J3138" s="13">
        <f>+J3137+I3138</f>
        <v>556812.97</v>
      </c>
      <c r="K3138" s="19">
        <f>+EOMONTH(B3138,0)</f>
        <v>46203</v>
      </c>
      <c r="L3138" s="3" t="inlineStr">
        <is>
          <t>Lab Supplies</t>
        </is>
      </c>
      <c r="M3138" s="3" t="inlineStr">
        <is>
          <t>Lab Supplies</t>
        </is>
      </c>
    </row>
    <row r="3139">
      <c r="B3139" s="39" t="n">
        <v>46189</v>
      </c>
      <c r="C3139" s="3" t="inlineStr">
        <is>
          <t>Bill</t>
        </is>
      </c>
      <c r="D3139" s="3" t="inlineStr"/>
      <c r="E3139" s="3" t="inlineStr">
        <is>
          <t>Reagentix Corp</t>
        </is>
      </c>
      <c r="F3139" s="3" t="inlineStr">
        <is>
          <t>Lab supplies PO# F2398</t>
        </is>
      </c>
      <c r="G3139" s="3" t="inlineStr">
        <is>
          <t>Accounts Payable</t>
        </is>
      </c>
      <c r="H3139" s="3" t="inlineStr">
        <is>
          <t>Lab Supplies</t>
        </is>
      </c>
      <c r="I3139" s="33" t="n">
        <v>16456.77</v>
      </c>
      <c r="J3139" s="13">
        <f>+J3138+I3139</f>
        <v>573269.74</v>
      </c>
      <c r="K3139" s="19">
        <f>+EOMONTH(B3139,0)</f>
        <v>46203</v>
      </c>
      <c r="L3139" s="3" t="inlineStr">
        <is>
          <t>Lab Supplies</t>
        </is>
      </c>
      <c r="M3139" s="3" t="inlineStr">
        <is>
          <t>Lab Supplies</t>
        </is>
      </c>
    </row>
    <row r="3140">
      <c r="B3140" s="39" t="n">
        <v>46191</v>
      </c>
      <c r="C3140" s="3" t="inlineStr">
        <is>
          <t>Bill</t>
        </is>
      </c>
      <c r="D3140" s="3" t="inlineStr"/>
      <c r="E3140" s="3" t="inlineStr">
        <is>
          <t>Vialtrace Lab Supplies Inc</t>
        </is>
      </c>
      <c r="F3140" s="3" t="inlineStr">
        <is>
          <t>Lab supplies PO# F2162</t>
        </is>
      </c>
      <c r="G3140" s="3" t="inlineStr">
        <is>
          <t>Accounts Payable</t>
        </is>
      </c>
      <c r="H3140" s="3" t="inlineStr">
        <is>
          <t>Lab Supplies</t>
        </is>
      </c>
      <c r="I3140" s="33" t="n">
        <v>21626.87</v>
      </c>
      <c r="J3140" s="13">
        <f>+J3139+I3140</f>
        <v>594896.61</v>
      </c>
      <c r="K3140" s="19">
        <f>+EOMONTH(B3140,0)</f>
        <v>46203</v>
      </c>
      <c r="L3140" s="3" t="inlineStr">
        <is>
          <t>Lab Supplies</t>
        </is>
      </c>
      <c r="M3140" s="3" t="inlineStr">
        <is>
          <t>Lab Supplies</t>
        </is>
      </c>
    </row>
    <row r="3141">
      <c r="B3141" s="39" t="n">
        <v>46195</v>
      </c>
      <c r="C3141" s="3" t="inlineStr">
        <is>
          <t>Bill</t>
        </is>
      </c>
      <c r="D3141" s="3" t="inlineStr"/>
      <c r="E3141" s="3" t="inlineStr">
        <is>
          <t>Reagentix Corp</t>
        </is>
      </c>
      <c r="F3141" s="3" t="inlineStr">
        <is>
          <t>Lab supplies PO# F2782</t>
        </is>
      </c>
      <c r="G3141" s="3" t="inlineStr">
        <is>
          <t>Accounts Payable</t>
        </is>
      </c>
      <c r="H3141" s="3" t="inlineStr">
        <is>
          <t>Lab Supplies</t>
        </is>
      </c>
      <c r="I3141" s="33" t="n">
        <v>26503.39</v>
      </c>
      <c r="J3141" s="13">
        <f>+J3140+I3141</f>
        <v>621400</v>
      </c>
      <c r="K3141" s="19">
        <f>+EOMONTH(B3141,0)</f>
        <v>46203</v>
      </c>
      <c r="L3141" s="3" t="inlineStr">
        <is>
          <t>Lab Supplies</t>
        </is>
      </c>
      <c r="M3141" s="3" t="inlineStr">
        <is>
          <t>Lab Supplies</t>
        </is>
      </c>
    </row>
    <row r="3142">
      <c r="B3142" s="39" t="n">
        <v>46204</v>
      </c>
      <c r="C3142" s="3" t="inlineStr">
        <is>
          <t>Bill</t>
        </is>
      </c>
      <c r="D3142" s="3" t="inlineStr"/>
      <c r="E3142" s="3" t="inlineStr">
        <is>
          <t>Vialtrace Lab Supplies Inc</t>
        </is>
      </c>
      <c r="F3142" s="3" t="inlineStr">
        <is>
          <t>Lab supplies PO# F2796</t>
        </is>
      </c>
      <c r="G3142" s="3" t="inlineStr">
        <is>
          <t>Accounts Payable</t>
        </is>
      </c>
      <c r="H3142" s="3" t="inlineStr">
        <is>
          <t>Lab Supplies</t>
        </is>
      </c>
      <c r="I3142" s="33" t="n">
        <v>36303.61</v>
      </c>
      <c r="J3142" s="13">
        <f>+J3141+I3142</f>
        <v>657703.61</v>
      </c>
      <c r="K3142" s="19">
        <f>+EOMONTH(B3142,0)</f>
        <v>46234</v>
      </c>
      <c r="L3142" s="3" t="inlineStr">
        <is>
          <t>Lab Supplies</t>
        </is>
      </c>
      <c r="M3142" s="3" t="inlineStr">
        <is>
          <t>Lab Supplies</t>
        </is>
      </c>
    </row>
    <row r="3143">
      <c r="B3143" s="39" t="n">
        <v>46223</v>
      </c>
      <c r="C3143" s="3" t="inlineStr">
        <is>
          <t>Bill</t>
        </is>
      </c>
      <c r="D3143" s="3" t="inlineStr"/>
      <c r="E3143" s="3" t="inlineStr">
        <is>
          <t>Reagentix Corp</t>
        </is>
      </c>
      <c r="F3143" s="3" t="inlineStr">
        <is>
          <t>Lab supplies PO# F2167</t>
        </is>
      </c>
      <c r="G3143" s="3" t="inlineStr">
        <is>
          <t>Accounts Payable</t>
        </is>
      </c>
      <c r="H3143" s="3" t="inlineStr">
        <is>
          <t>Lab Supplies</t>
        </is>
      </c>
      <c r="I3143" s="33" t="n">
        <v>36420.58</v>
      </c>
      <c r="J3143" s="13">
        <f>+J3142+I3143</f>
        <v>694124.19</v>
      </c>
      <c r="K3143" s="19">
        <f>+EOMONTH(B3143,0)</f>
        <v>46234</v>
      </c>
      <c r="L3143" s="3" t="inlineStr">
        <is>
          <t>Lab Supplies</t>
        </is>
      </c>
      <c r="M3143" s="3" t="inlineStr">
        <is>
          <t>Lab Supplies</t>
        </is>
      </c>
    </row>
    <row r="3144">
      <c r="B3144" s="39" t="n">
        <v>46223</v>
      </c>
      <c r="C3144" s="3" t="inlineStr">
        <is>
          <t>Bill</t>
        </is>
      </c>
      <c r="D3144" s="3" t="inlineStr"/>
      <c r="E3144" s="3" t="inlineStr">
        <is>
          <t>Reagentix Corp</t>
        </is>
      </c>
      <c r="F3144" s="3" t="inlineStr">
        <is>
          <t>Lab supplies PO# F2135</t>
        </is>
      </c>
      <c r="G3144" s="3" t="inlineStr">
        <is>
          <t>Accounts Payable</t>
        </is>
      </c>
      <c r="H3144" s="3" t="inlineStr">
        <is>
          <t>Lab Supplies</t>
        </is>
      </c>
      <c r="I3144" s="33" t="n">
        <v>33575.81</v>
      </c>
      <c r="J3144" s="13">
        <f>+J3143+I3144</f>
        <v>727700</v>
      </c>
      <c r="K3144" s="19">
        <f>+EOMONTH(B3144,0)</f>
        <v>46234</v>
      </c>
      <c r="L3144" s="3" t="inlineStr">
        <is>
          <t>Lab Supplies</t>
        </is>
      </c>
      <c r="M3144" s="3" t="inlineStr">
        <is>
          <t>Lab Supplies</t>
        </is>
      </c>
    </row>
    <row r="3145">
      <c r="B3145" s="39" t="n">
        <v>46235</v>
      </c>
      <c r="C3145" s="3" t="inlineStr">
        <is>
          <t>Bill</t>
        </is>
      </c>
      <c r="D3145" s="3" t="inlineStr"/>
      <c r="E3145" s="3" t="inlineStr">
        <is>
          <t>Vialtrace Lab Supplies Inc</t>
        </is>
      </c>
      <c r="F3145" s="3" t="inlineStr">
        <is>
          <t>Lab supplies PO# F2624</t>
        </is>
      </c>
      <c r="G3145" s="3" t="inlineStr">
        <is>
          <t>Accounts Payable</t>
        </is>
      </c>
      <c r="H3145" s="3" t="inlineStr">
        <is>
          <t>Lab Supplies</t>
        </is>
      </c>
      <c r="I3145" s="33" t="n">
        <v>13307.5</v>
      </c>
      <c r="J3145" s="13">
        <f>+J3144+I3145</f>
        <v>741007.5</v>
      </c>
      <c r="K3145" s="19">
        <f>+EOMONTH(B3145,0)</f>
        <v>46265</v>
      </c>
      <c r="L3145" s="3" t="inlineStr">
        <is>
          <t>Lab Supplies</t>
        </is>
      </c>
      <c r="M3145" s="3" t="inlineStr">
        <is>
          <t>Lab Supplies</t>
        </is>
      </c>
    </row>
    <row r="3146">
      <c r="B3146" s="39" t="n">
        <v>46242</v>
      </c>
      <c r="C3146" s="3" t="inlineStr">
        <is>
          <t>Bill</t>
        </is>
      </c>
      <c r="D3146" s="3" t="inlineStr"/>
      <c r="E3146" s="3" t="inlineStr">
        <is>
          <t>Reagentix Corp</t>
        </is>
      </c>
      <c r="F3146" s="3" t="inlineStr">
        <is>
          <t>Lab supplies PO# F2654</t>
        </is>
      </c>
      <c r="G3146" s="3" t="inlineStr">
        <is>
          <t>Accounts Payable</t>
        </is>
      </c>
      <c r="H3146" s="3" t="inlineStr">
        <is>
          <t>Lab Supplies</t>
        </is>
      </c>
      <c r="I3146" s="33" t="n">
        <v>27771.41</v>
      </c>
      <c r="J3146" s="13">
        <f>+J3145+I3146</f>
        <v>768778.91</v>
      </c>
      <c r="K3146" s="19">
        <f>+EOMONTH(B3146,0)</f>
        <v>46265</v>
      </c>
      <c r="L3146" s="3" t="inlineStr">
        <is>
          <t>Lab Supplies</t>
        </is>
      </c>
      <c r="M3146" s="3" t="inlineStr">
        <is>
          <t>Lab Supplies</t>
        </is>
      </c>
    </row>
    <row r="3147">
      <c r="B3147" s="39" t="n">
        <v>46243</v>
      </c>
      <c r="C3147" s="3" t="inlineStr">
        <is>
          <t>Bill</t>
        </is>
      </c>
      <c r="D3147" s="3" t="inlineStr"/>
      <c r="E3147" s="3" t="inlineStr">
        <is>
          <t>Vialtrace Lab Supplies Inc</t>
        </is>
      </c>
      <c r="F3147" s="3" t="inlineStr">
        <is>
          <t>Lab supplies PO# F2815</t>
        </is>
      </c>
      <c r="G3147" s="3" t="inlineStr">
        <is>
          <t>Accounts Payable</t>
        </is>
      </c>
      <c r="H3147" s="3" t="inlineStr">
        <is>
          <t>Lab Supplies</t>
        </is>
      </c>
      <c r="I3147" s="33" t="n">
        <v>27095.56</v>
      </c>
      <c r="J3147" s="13">
        <f>+J3146+I3147</f>
        <v>795874.47</v>
      </c>
      <c r="K3147" s="19">
        <f>+EOMONTH(B3147,0)</f>
        <v>46265</v>
      </c>
      <c r="L3147" s="3" t="inlineStr">
        <is>
          <t>Lab Supplies</t>
        </is>
      </c>
      <c r="M3147" s="3" t="inlineStr">
        <is>
          <t>Lab Supplies</t>
        </is>
      </c>
    </row>
    <row r="3148">
      <c r="B3148" s="39" t="n">
        <v>46243</v>
      </c>
      <c r="C3148" s="3" t="inlineStr">
        <is>
          <t>Bill</t>
        </is>
      </c>
      <c r="D3148" s="3" t="inlineStr"/>
      <c r="E3148" s="3" t="inlineStr">
        <is>
          <t>Reagentix Corp</t>
        </is>
      </c>
      <c r="F3148" s="3" t="inlineStr">
        <is>
          <t>Lab supplies PO# F2903</t>
        </is>
      </c>
      <c r="G3148" s="3" t="inlineStr">
        <is>
          <t>Accounts Payable</t>
        </is>
      </c>
      <c r="H3148" s="3" t="inlineStr">
        <is>
          <t>Lab Supplies</t>
        </is>
      </c>
      <c r="I3148" s="33" t="n">
        <v>17538.54</v>
      </c>
      <c r="J3148" s="13">
        <f>+J3147+I3148</f>
        <v>813413.01</v>
      </c>
      <c r="K3148" s="19">
        <f>+EOMONTH(B3148,0)</f>
        <v>46265</v>
      </c>
      <c r="L3148" s="3" t="inlineStr">
        <is>
          <t>Lab Supplies</t>
        </is>
      </c>
      <c r="M3148" s="3" t="inlineStr">
        <is>
          <t>Lab Supplies</t>
        </is>
      </c>
    </row>
    <row r="3149">
      <c r="B3149" s="39" t="n">
        <v>46251</v>
      </c>
      <c r="C3149" s="3" t="inlineStr">
        <is>
          <t>Bill</t>
        </is>
      </c>
      <c r="D3149" s="3" t="inlineStr"/>
      <c r="E3149" s="3" t="inlineStr">
        <is>
          <t>Vialtrace Lab Supplies Inc</t>
        </is>
      </c>
      <c r="F3149" s="3" t="inlineStr">
        <is>
          <t>Lab supplies PO# F2341</t>
        </is>
      </c>
      <c r="G3149" s="3" t="inlineStr">
        <is>
          <t>Accounts Payable</t>
        </is>
      </c>
      <c r="H3149" s="3" t="inlineStr">
        <is>
          <t>Lab Supplies</t>
        </is>
      </c>
      <c r="I3149" s="33" t="n">
        <v>15386.99</v>
      </c>
      <c r="J3149" s="13">
        <f>+J3148+I3149</f>
        <v>828800</v>
      </c>
      <c r="K3149" s="19">
        <f>+EOMONTH(B3149,0)</f>
        <v>46265</v>
      </c>
      <c r="L3149" s="3" t="inlineStr">
        <is>
          <t>Lab Supplies</t>
        </is>
      </c>
      <c r="M3149" s="3" t="inlineStr">
        <is>
          <t>Lab Supplies</t>
        </is>
      </c>
    </row>
    <row r="3150">
      <c r="B3150" s="39" t="n">
        <v>46269</v>
      </c>
      <c r="C3150" s="3" t="inlineStr">
        <is>
          <t>Bill</t>
        </is>
      </c>
      <c r="D3150" s="3" t="inlineStr"/>
      <c r="E3150" s="3" t="inlineStr">
        <is>
          <t>Vialtrace Lab Supplies Inc</t>
        </is>
      </c>
      <c r="F3150" s="3" t="inlineStr">
        <is>
          <t>Lab supplies PO# F2913</t>
        </is>
      </c>
      <c r="G3150" s="3" t="inlineStr">
        <is>
          <t>Accounts Payable</t>
        </is>
      </c>
      <c r="H3150" s="3" t="inlineStr">
        <is>
          <t>Lab Supplies</t>
        </is>
      </c>
      <c r="I3150" s="33" t="n">
        <v>33544.08</v>
      </c>
      <c r="J3150" s="13">
        <f>+J3149+I3150</f>
        <v>862344.08</v>
      </c>
      <c r="K3150" s="19">
        <f>+EOMONTH(B3150,0)</f>
        <v>46295</v>
      </c>
      <c r="L3150" s="3" t="inlineStr">
        <is>
          <t>Lab Supplies</t>
        </is>
      </c>
      <c r="M3150" s="3" t="inlineStr">
        <is>
          <t>Lab Supplies</t>
        </is>
      </c>
    </row>
    <row r="3151">
      <c r="B3151" s="39" t="n">
        <v>46279</v>
      </c>
      <c r="C3151" s="3" t="inlineStr">
        <is>
          <t>Bill</t>
        </is>
      </c>
      <c r="D3151" s="3" t="inlineStr"/>
      <c r="E3151" s="3" t="inlineStr">
        <is>
          <t>Vialtrace Lab Supplies Inc</t>
        </is>
      </c>
      <c r="F3151" s="3" t="inlineStr">
        <is>
          <t>Lab supplies PO# F2285</t>
        </is>
      </c>
      <c r="G3151" s="3" t="inlineStr">
        <is>
          <t>Accounts Payable</t>
        </is>
      </c>
      <c r="H3151" s="3" t="inlineStr">
        <is>
          <t>Lab Supplies</t>
        </is>
      </c>
      <c r="I3151" s="33" t="n">
        <v>40498.84</v>
      </c>
      <c r="J3151" s="13">
        <f>+J3150+I3151</f>
        <v>902842.92</v>
      </c>
      <c r="K3151" s="19">
        <f>+EOMONTH(B3151,0)</f>
        <v>46295</v>
      </c>
      <c r="L3151" s="3" t="inlineStr">
        <is>
          <t>Lab Supplies</t>
        </is>
      </c>
      <c r="M3151" s="3" t="inlineStr">
        <is>
          <t>Lab Supplies</t>
        </is>
      </c>
    </row>
    <row r="3152">
      <c r="B3152" s="39" t="n">
        <v>46288</v>
      </c>
      <c r="C3152" s="3" t="inlineStr">
        <is>
          <t>Bill</t>
        </is>
      </c>
      <c r="D3152" s="3" t="inlineStr"/>
      <c r="E3152" s="3" t="inlineStr">
        <is>
          <t>Reagentix Corp</t>
        </is>
      </c>
      <c r="F3152" s="3" t="inlineStr">
        <is>
          <t>Lab supplies PO# F2759</t>
        </is>
      </c>
      <c r="G3152" s="3" t="inlineStr">
        <is>
          <t>Accounts Payable</t>
        </is>
      </c>
      <c r="H3152" s="3" t="inlineStr">
        <is>
          <t>Lab Supplies</t>
        </is>
      </c>
      <c r="I3152" s="33" t="n">
        <v>32171.16</v>
      </c>
      <c r="J3152" s="13">
        <f>+J3151+I3152</f>
        <v>935014.08</v>
      </c>
      <c r="K3152" s="19">
        <f>+EOMONTH(B3152,0)</f>
        <v>46295</v>
      </c>
      <c r="L3152" s="3" t="inlineStr">
        <is>
          <t>Lab Supplies</t>
        </is>
      </c>
      <c r="M3152" s="3" t="inlineStr">
        <is>
          <t>Lab Supplies</t>
        </is>
      </c>
    </row>
    <row r="3153">
      <c r="B3153" s="39" t="n">
        <v>46299</v>
      </c>
      <c r="C3153" s="3" t="inlineStr">
        <is>
          <t>Bill</t>
        </is>
      </c>
      <c r="D3153" s="3" t="inlineStr"/>
      <c r="E3153" s="3" t="inlineStr">
        <is>
          <t>Vialtrace Lab Supplies Inc</t>
        </is>
      </c>
      <c r="F3153" s="3" t="inlineStr">
        <is>
          <t>Lab supplies PO# F2741</t>
        </is>
      </c>
      <c r="G3153" s="3" t="inlineStr">
        <is>
          <t>Accounts Payable</t>
        </is>
      </c>
      <c r="H3153" s="3" t="inlineStr">
        <is>
          <t>Lab Supplies</t>
        </is>
      </c>
      <c r="I3153" s="33" t="n">
        <v>29847.56</v>
      </c>
      <c r="J3153" s="13">
        <f>+J3152+I3153</f>
        <v>964861.64</v>
      </c>
      <c r="K3153" s="19">
        <f>+EOMONTH(B3153,0)</f>
        <v>46326</v>
      </c>
      <c r="L3153" s="3" t="inlineStr">
        <is>
          <t>Lab Supplies</t>
        </is>
      </c>
      <c r="M3153" s="3" t="inlineStr">
        <is>
          <t>Lab Supplies</t>
        </is>
      </c>
    </row>
    <row r="3154">
      <c r="B3154" s="39" t="n">
        <v>46302</v>
      </c>
      <c r="C3154" s="3" t="inlineStr">
        <is>
          <t>Bill</t>
        </is>
      </c>
      <c r="D3154" s="3" t="inlineStr"/>
      <c r="E3154" s="3" t="inlineStr">
        <is>
          <t>Vialtrace Lab Supplies Inc</t>
        </is>
      </c>
      <c r="F3154" s="3" t="inlineStr">
        <is>
          <t>Lab supplies PO# F2007</t>
        </is>
      </c>
      <c r="G3154" s="3" t="inlineStr">
        <is>
          <t>Accounts Payable</t>
        </is>
      </c>
      <c r="H3154" s="3" t="inlineStr">
        <is>
          <t>Lab Supplies</t>
        </is>
      </c>
      <c r="I3154" s="33" t="n">
        <v>23331.1</v>
      </c>
      <c r="J3154" s="13">
        <f>+J3153+I3154</f>
        <v>988192.74</v>
      </c>
      <c r="K3154" s="19">
        <f>+EOMONTH(B3154,0)</f>
        <v>46326</v>
      </c>
      <c r="L3154" s="3" t="inlineStr">
        <is>
          <t>Lab Supplies</t>
        </is>
      </c>
      <c r="M3154" s="3" t="inlineStr">
        <is>
          <t>Lab Supplies</t>
        </is>
      </c>
    </row>
    <row r="3155">
      <c r="B3155" s="39" t="n">
        <v>46306</v>
      </c>
      <c r="C3155" s="3" t="inlineStr">
        <is>
          <t>Bill</t>
        </is>
      </c>
      <c r="D3155" s="3" t="inlineStr"/>
      <c r="E3155" s="3" t="inlineStr">
        <is>
          <t>Reagentix Corp</t>
        </is>
      </c>
      <c r="F3155" s="3" t="inlineStr">
        <is>
          <t>Lab supplies PO# F2610</t>
        </is>
      </c>
      <c r="G3155" s="3" t="inlineStr">
        <is>
          <t>Accounts Payable</t>
        </is>
      </c>
      <c r="H3155" s="3" t="inlineStr">
        <is>
          <t>Lab Supplies</t>
        </is>
      </c>
      <c r="I3155" s="33" t="n">
        <v>18790.47</v>
      </c>
      <c r="J3155" s="13">
        <f>+J3154+I3155</f>
        <v>1006983.21</v>
      </c>
      <c r="K3155" s="19">
        <f>+EOMONTH(B3155,0)</f>
        <v>46326</v>
      </c>
      <c r="L3155" s="3" t="inlineStr">
        <is>
          <t>Lab Supplies</t>
        </is>
      </c>
      <c r="M3155" s="3" t="inlineStr">
        <is>
          <t>Lab Supplies</t>
        </is>
      </c>
    </row>
    <row r="3156">
      <c r="B3156" s="39" t="n">
        <v>46312</v>
      </c>
      <c r="C3156" s="3" t="inlineStr">
        <is>
          <t>Bill</t>
        </is>
      </c>
      <c r="D3156" s="3" t="inlineStr"/>
      <c r="E3156" s="3" t="inlineStr">
        <is>
          <t>Vialtrace Lab Supplies Inc</t>
        </is>
      </c>
      <c r="F3156" s="3" t="inlineStr">
        <is>
          <t>Lab supplies PO# F2626</t>
        </is>
      </c>
      <c r="G3156" s="3" t="inlineStr">
        <is>
          <t>Accounts Payable</t>
        </is>
      </c>
      <c r="H3156" s="3" t="inlineStr">
        <is>
          <t>Lab Supplies</t>
        </is>
      </c>
      <c r="I3156" s="33" t="n">
        <v>15594.02</v>
      </c>
      <c r="J3156" s="13">
        <f>+J3155+I3156</f>
        <v>1022577.23</v>
      </c>
      <c r="K3156" s="19">
        <f>+EOMONTH(B3156,0)</f>
        <v>46326</v>
      </c>
      <c r="L3156" s="3" t="inlineStr">
        <is>
          <t>Lab Supplies</t>
        </is>
      </c>
      <c r="M3156" s="3" t="inlineStr">
        <is>
          <t>Lab Supplies</t>
        </is>
      </c>
    </row>
    <row r="3157">
      <c r="B3157" s="39" t="n">
        <v>46318</v>
      </c>
      <c r="C3157" s="3" t="inlineStr">
        <is>
          <t>Bill</t>
        </is>
      </c>
      <c r="D3157" s="3" t="inlineStr"/>
      <c r="E3157" s="3" t="inlineStr">
        <is>
          <t>Vialtrace Lab Supplies Inc</t>
        </is>
      </c>
      <c r="F3157" s="3" t="inlineStr">
        <is>
          <t>Lab supplies PO# F2630</t>
        </is>
      </c>
      <c r="G3157" s="3" t="inlineStr">
        <is>
          <t>Accounts Payable</t>
        </is>
      </c>
      <c r="H3157" s="3" t="inlineStr">
        <is>
          <t>Lab Supplies</t>
        </is>
      </c>
      <c r="I3157" s="33" t="n">
        <v>32401.18</v>
      </c>
      <c r="J3157" s="13">
        <f>+J3156+I3157</f>
        <v>1054978.41</v>
      </c>
      <c r="K3157" s="19">
        <f>+EOMONTH(B3157,0)</f>
        <v>46326</v>
      </c>
      <c r="L3157" s="3" t="inlineStr">
        <is>
          <t>Lab Supplies</t>
        </is>
      </c>
      <c r="M3157" s="3" t="inlineStr">
        <is>
          <t>Lab Supplies</t>
        </is>
      </c>
    </row>
    <row r="3158">
      <c r="B3158" s="39" t="n">
        <v>46328</v>
      </c>
      <c r="C3158" s="3" t="inlineStr">
        <is>
          <t>Bill</t>
        </is>
      </c>
      <c r="D3158" s="3" t="inlineStr"/>
      <c r="E3158" s="3" t="inlineStr">
        <is>
          <t>Vialtrace Lab Supplies Inc</t>
        </is>
      </c>
      <c r="F3158" s="3" t="inlineStr">
        <is>
          <t>Lab supplies PO# F2444</t>
        </is>
      </c>
      <c r="G3158" s="3" t="inlineStr">
        <is>
          <t>Accounts Payable</t>
        </is>
      </c>
      <c r="H3158" s="3" t="inlineStr">
        <is>
          <t>Lab Supplies</t>
        </is>
      </c>
      <c r="I3158" s="33" t="n">
        <v>27020.96</v>
      </c>
      <c r="J3158" s="13">
        <f>+J3157+I3158</f>
        <v>1081999.37</v>
      </c>
      <c r="K3158" s="19">
        <f>+EOMONTH(B3158,0)</f>
        <v>46356</v>
      </c>
      <c r="L3158" s="3" t="inlineStr">
        <is>
          <t>Lab Supplies</t>
        </is>
      </c>
      <c r="M3158" s="3" t="inlineStr">
        <is>
          <t>Lab Supplies</t>
        </is>
      </c>
    </row>
    <row r="3159">
      <c r="B3159" s="39" t="n">
        <v>46331</v>
      </c>
      <c r="C3159" s="3" t="inlineStr">
        <is>
          <t>Bill</t>
        </is>
      </c>
      <c r="D3159" s="3" t="inlineStr"/>
      <c r="E3159" s="3" t="inlineStr">
        <is>
          <t>Vialtrace Lab Supplies Inc</t>
        </is>
      </c>
      <c r="F3159" s="3" t="inlineStr">
        <is>
          <t>Lab supplies PO# F2225</t>
        </is>
      </c>
      <c r="G3159" s="3" t="inlineStr">
        <is>
          <t>Accounts Payable</t>
        </is>
      </c>
      <c r="H3159" s="3" t="inlineStr">
        <is>
          <t>Lab Supplies</t>
        </is>
      </c>
      <c r="I3159" s="33" t="n">
        <v>36956.71</v>
      </c>
      <c r="J3159" s="13">
        <f>+J3158+I3159</f>
        <v>1118956.08</v>
      </c>
      <c r="K3159" s="19">
        <f>+EOMONTH(B3159,0)</f>
        <v>46356</v>
      </c>
      <c r="L3159" s="3" t="inlineStr">
        <is>
          <t>Lab Supplies</t>
        </is>
      </c>
      <c r="M3159" s="3" t="inlineStr">
        <is>
          <t>Lab Supplies</t>
        </is>
      </c>
    </row>
    <row r="3160">
      <c r="B3160" s="39" t="n">
        <v>46338</v>
      </c>
      <c r="C3160" s="3" t="inlineStr">
        <is>
          <t>Bill</t>
        </is>
      </c>
      <c r="D3160" s="3" t="inlineStr"/>
      <c r="E3160" s="3" t="inlineStr">
        <is>
          <t>Reagentix Corp</t>
        </is>
      </c>
      <c r="F3160" s="3" t="inlineStr">
        <is>
          <t>Lab supplies PO# F2745</t>
        </is>
      </c>
      <c r="G3160" s="3" t="inlineStr">
        <is>
          <t>Accounts Payable</t>
        </is>
      </c>
      <c r="H3160" s="3" t="inlineStr">
        <is>
          <t>Lab Supplies</t>
        </is>
      </c>
      <c r="I3160" s="33" t="n">
        <v>34262.52</v>
      </c>
      <c r="J3160" s="13">
        <f>+J3159+I3160</f>
        <v>1153218.6</v>
      </c>
      <c r="K3160" s="19">
        <f>+EOMONTH(B3160,0)</f>
        <v>46356</v>
      </c>
      <c r="L3160" s="3" t="inlineStr">
        <is>
          <t>Lab Supplies</t>
        </is>
      </c>
      <c r="M3160" s="3" t="inlineStr">
        <is>
          <t>Lab Supplies</t>
        </is>
      </c>
    </row>
    <row r="3161">
      <c r="A3161" s="2" t="inlineStr">
        <is>
          <t>Total for Lab Supplies</t>
        </is>
      </c>
      <c r="I3161" s="35">
        <f>SUM(I3118:I3160)</f>
        <v>1153218.6</v>
      </c>
    </row>
    <row r="3163">
      <c r="A3163" s="2" t="inlineStr">
        <is>
          <t>Laboratory Fees</t>
        </is>
      </c>
    </row>
    <row r="3164">
      <c r="B3164" s="39" t="n">
        <v>46035</v>
      </c>
      <c r="C3164" s="3" t="inlineStr">
        <is>
          <t>Bill</t>
        </is>
      </c>
      <c r="D3164" s="3" t="inlineStr"/>
      <c r="E3164" s="3" t="inlineStr">
        <is>
          <t>Reference Lab A</t>
        </is>
      </c>
      <c r="F3164" s="3" t="inlineStr">
        <is>
          <t>Send-out testing – January</t>
        </is>
      </c>
      <c r="G3164" s="3" t="inlineStr">
        <is>
          <t>Accounts Payable</t>
        </is>
      </c>
      <c r="H3164" s="3" t="inlineStr">
        <is>
          <t>Laboratory Fees</t>
        </is>
      </c>
      <c r="I3164" s="33" t="n">
        <v>11507.82</v>
      </c>
      <c r="J3164" s="13">
        <f>+I3164</f>
        <v>11507.82</v>
      </c>
      <c r="K3164" s="19">
        <f>+EOMONTH(B3164,0)</f>
        <v>46053</v>
      </c>
      <c r="L3164" s="3" t="inlineStr">
        <is>
          <t>Laboratory Fees</t>
        </is>
      </c>
      <c r="M3164" s="3" t="inlineStr">
        <is>
          <t>Laboratory Fees</t>
        </is>
      </c>
    </row>
    <row r="3165">
      <c r="B3165" s="39" t="n">
        <v>46036</v>
      </c>
      <c r="C3165" s="3" t="inlineStr">
        <is>
          <t>Bill</t>
        </is>
      </c>
      <c r="D3165" s="3" t="inlineStr"/>
      <c r="E3165" s="3" t="inlineStr">
        <is>
          <t>Reference Lab A</t>
        </is>
      </c>
      <c r="F3165" s="3" t="inlineStr">
        <is>
          <t>Send-out testing – January</t>
        </is>
      </c>
      <c r="G3165" s="3" t="inlineStr">
        <is>
          <t>Accounts Payable</t>
        </is>
      </c>
      <c r="H3165" s="3" t="inlineStr">
        <is>
          <t>Laboratory Fees</t>
        </is>
      </c>
      <c r="I3165" s="33" t="n">
        <v>16169.33</v>
      </c>
      <c r="J3165" s="13">
        <f>+J3164+I3165</f>
        <v>27677.15</v>
      </c>
      <c r="K3165" s="19">
        <f>+EOMONTH(B3165,0)</f>
        <v>46053</v>
      </c>
      <c r="L3165" s="3" t="inlineStr">
        <is>
          <t>Laboratory Fees</t>
        </is>
      </c>
      <c r="M3165" s="3" t="inlineStr">
        <is>
          <t>Laboratory Fees</t>
        </is>
      </c>
    </row>
    <row r="3166">
      <c r="B3166" s="39" t="n">
        <v>46045</v>
      </c>
      <c r="C3166" s="3" t="inlineStr">
        <is>
          <t>Bill</t>
        </is>
      </c>
      <c r="D3166" s="3" t="inlineStr"/>
      <c r="E3166" s="3" t="inlineStr">
        <is>
          <t>Reference Lab A</t>
        </is>
      </c>
      <c r="F3166" s="3" t="inlineStr">
        <is>
          <t>Send-out testing – January</t>
        </is>
      </c>
      <c r="G3166" s="3" t="inlineStr">
        <is>
          <t>Accounts Payable</t>
        </is>
      </c>
      <c r="H3166" s="3" t="inlineStr">
        <is>
          <t>Laboratory Fees</t>
        </is>
      </c>
      <c r="I3166" s="33" t="n">
        <v>17738.67</v>
      </c>
      <c r="J3166" s="13">
        <f>+J3165+I3166</f>
        <v>45415.82</v>
      </c>
      <c r="K3166" s="19">
        <f>+EOMONTH(B3166,0)</f>
        <v>46053</v>
      </c>
      <c r="L3166" s="3" t="inlineStr">
        <is>
          <t>Laboratory Fees</t>
        </is>
      </c>
      <c r="M3166" s="3" t="inlineStr">
        <is>
          <t>Laboratory Fees</t>
        </is>
      </c>
    </row>
    <row r="3167">
      <c r="B3167" s="39" t="n">
        <v>46050</v>
      </c>
      <c r="C3167" s="3" t="inlineStr">
        <is>
          <t>Bill</t>
        </is>
      </c>
      <c r="D3167" s="3" t="inlineStr"/>
      <c r="E3167" s="3" t="inlineStr">
        <is>
          <t>Reference Lab A</t>
        </is>
      </c>
      <c r="F3167" s="3" t="inlineStr">
        <is>
          <t>Send-out testing – January</t>
        </is>
      </c>
      <c r="G3167" s="3" t="inlineStr">
        <is>
          <t>Accounts Payable</t>
        </is>
      </c>
      <c r="H3167" s="3" t="inlineStr">
        <is>
          <t>Laboratory Fees</t>
        </is>
      </c>
      <c r="I3167" s="33" t="n">
        <v>15169.22</v>
      </c>
      <c r="J3167" s="13">
        <f>+J3166+I3167</f>
        <v>60585.04</v>
      </c>
      <c r="K3167" s="19">
        <f>+EOMONTH(B3167,0)</f>
        <v>46053</v>
      </c>
      <c r="L3167" s="3" t="inlineStr">
        <is>
          <t>Laboratory Fees</t>
        </is>
      </c>
      <c r="M3167" s="3" t="inlineStr">
        <is>
          <t>Laboratory Fees</t>
        </is>
      </c>
    </row>
    <row r="3168">
      <c r="B3168" s="39" t="n">
        <v>46053</v>
      </c>
      <c r="C3168" s="3" t="inlineStr">
        <is>
          <t>Bill</t>
        </is>
      </c>
      <c r="D3168" s="3" t="inlineStr"/>
      <c r="E3168" s="3" t="inlineStr">
        <is>
          <t>Reference Lab A</t>
        </is>
      </c>
      <c r="F3168" s="3" t="inlineStr">
        <is>
          <t>Send-out testing – January</t>
        </is>
      </c>
      <c r="G3168" s="3" t="inlineStr">
        <is>
          <t>Accounts Payable</t>
        </is>
      </c>
      <c r="H3168" s="3" t="inlineStr">
        <is>
          <t>Laboratory Fees</t>
        </is>
      </c>
      <c r="I3168" s="33" t="n">
        <v>12214.96</v>
      </c>
      <c r="J3168" s="13">
        <f>+J3167+I3168</f>
        <v>72800</v>
      </c>
      <c r="K3168" s="19">
        <f>+EOMONTH(B3168,0)</f>
        <v>46053</v>
      </c>
      <c r="L3168" s="3" t="inlineStr">
        <is>
          <t>Laboratory Fees</t>
        </is>
      </c>
      <c r="M3168" s="3" t="inlineStr">
        <is>
          <t>Laboratory Fees</t>
        </is>
      </c>
    </row>
    <row r="3169">
      <c r="B3169" s="39" t="n">
        <v>46056</v>
      </c>
      <c r="C3169" s="3" t="inlineStr">
        <is>
          <t>Bill</t>
        </is>
      </c>
      <c r="D3169" s="3" t="inlineStr"/>
      <c r="E3169" s="3" t="inlineStr">
        <is>
          <t>Reference Lab A</t>
        </is>
      </c>
      <c r="F3169" s="3" t="inlineStr">
        <is>
          <t>Send-out testing – February</t>
        </is>
      </c>
      <c r="G3169" s="3" t="inlineStr">
        <is>
          <t>Accounts Payable</t>
        </is>
      </c>
      <c r="H3169" s="3" t="inlineStr">
        <is>
          <t>Laboratory Fees</t>
        </is>
      </c>
      <c r="I3169" s="33" t="n">
        <v>13761.51</v>
      </c>
      <c r="J3169" s="13">
        <f>+J3168+I3169</f>
        <v>86561.51</v>
      </c>
      <c r="K3169" s="19">
        <f>+EOMONTH(B3169,0)</f>
        <v>46081</v>
      </c>
      <c r="L3169" s="3" t="inlineStr">
        <is>
          <t>Laboratory Fees</t>
        </is>
      </c>
      <c r="M3169" s="3" t="inlineStr">
        <is>
          <t>Laboratory Fees</t>
        </is>
      </c>
    </row>
    <row r="3170">
      <c r="B3170" s="39" t="n">
        <v>46056</v>
      </c>
      <c r="C3170" s="3" t="inlineStr">
        <is>
          <t>Bill</t>
        </is>
      </c>
      <c r="D3170" s="3" t="inlineStr"/>
      <c r="E3170" s="3" t="inlineStr">
        <is>
          <t>Reference Lab A</t>
        </is>
      </c>
      <c r="F3170" s="3" t="inlineStr">
        <is>
          <t>Send-out testing – February</t>
        </is>
      </c>
      <c r="G3170" s="3" t="inlineStr">
        <is>
          <t>Accounts Payable</t>
        </is>
      </c>
      <c r="H3170" s="3" t="inlineStr">
        <is>
          <t>Laboratory Fees</t>
        </is>
      </c>
      <c r="I3170" s="33" t="n">
        <v>11940.03</v>
      </c>
      <c r="J3170" s="13">
        <f>+J3169+I3170</f>
        <v>98501.54</v>
      </c>
      <c r="K3170" s="19">
        <f>+EOMONTH(B3170,0)</f>
        <v>46081</v>
      </c>
      <c r="L3170" s="3" t="inlineStr">
        <is>
          <t>Laboratory Fees</t>
        </is>
      </c>
      <c r="M3170" s="3" t="inlineStr">
        <is>
          <t>Laboratory Fees</t>
        </is>
      </c>
    </row>
    <row r="3171">
      <c r="B3171" s="39" t="n">
        <v>46057</v>
      </c>
      <c r="C3171" s="3" t="inlineStr">
        <is>
          <t>Bill</t>
        </is>
      </c>
      <c r="D3171" s="3" t="inlineStr"/>
      <c r="E3171" s="3" t="inlineStr">
        <is>
          <t>Reference Lab A</t>
        </is>
      </c>
      <c r="F3171" s="3" t="inlineStr">
        <is>
          <t>Send-out testing – February</t>
        </is>
      </c>
      <c r="G3171" s="3" t="inlineStr">
        <is>
          <t>Accounts Payable</t>
        </is>
      </c>
      <c r="H3171" s="3" t="inlineStr">
        <is>
          <t>Laboratory Fees</t>
        </is>
      </c>
      <c r="I3171" s="33" t="n">
        <v>15235.33</v>
      </c>
      <c r="J3171" s="13">
        <f>+J3170+I3171</f>
        <v>113736.87</v>
      </c>
      <c r="K3171" s="19">
        <f>+EOMONTH(B3171,0)</f>
        <v>46081</v>
      </c>
      <c r="L3171" s="3" t="inlineStr">
        <is>
          <t>Laboratory Fees</t>
        </is>
      </c>
      <c r="M3171" s="3" t="inlineStr">
        <is>
          <t>Laboratory Fees</t>
        </is>
      </c>
    </row>
    <row r="3172">
      <c r="B3172" s="39" t="n">
        <v>46058</v>
      </c>
      <c r="C3172" s="3" t="inlineStr">
        <is>
          <t>Bill</t>
        </is>
      </c>
      <c r="D3172" s="3" t="inlineStr"/>
      <c r="E3172" s="3" t="inlineStr">
        <is>
          <t>Reference Lab A</t>
        </is>
      </c>
      <c r="F3172" s="3" t="inlineStr">
        <is>
          <t>Send-out testing – February</t>
        </is>
      </c>
      <c r="G3172" s="3" t="inlineStr">
        <is>
          <t>Accounts Payable</t>
        </is>
      </c>
      <c r="H3172" s="3" t="inlineStr">
        <is>
          <t>Laboratory Fees</t>
        </is>
      </c>
      <c r="I3172" s="33" t="n">
        <v>10059.97</v>
      </c>
      <c r="J3172" s="13">
        <f>+J3171+I3172</f>
        <v>123796.84</v>
      </c>
      <c r="K3172" s="19">
        <f>+EOMONTH(B3172,0)</f>
        <v>46081</v>
      </c>
      <c r="L3172" s="3" t="inlineStr">
        <is>
          <t>Laboratory Fees</t>
        </is>
      </c>
      <c r="M3172" s="3" t="inlineStr">
        <is>
          <t>Laboratory Fees</t>
        </is>
      </c>
    </row>
    <row r="3173">
      <c r="B3173" s="39" t="n">
        <v>46068</v>
      </c>
      <c r="C3173" s="3" t="inlineStr">
        <is>
          <t>Bill</t>
        </is>
      </c>
      <c r="D3173" s="3" t="inlineStr"/>
      <c r="E3173" s="3" t="inlineStr">
        <is>
          <t>Reference Lab A</t>
        </is>
      </c>
      <c r="F3173" s="3" t="inlineStr">
        <is>
          <t>Send-out testing – February</t>
        </is>
      </c>
      <c r="G3173" s="3" t="inlineStr">
        <is>
          <t>Accounts Payable</t>
        </is>
      </c>
      <c r="H3173" s="3" t="inlineStr">
        <is>
          <t>Laboratory Fees</t>
        </is>
      </c>
      <c r="I3173" s="33" t="n">
        <v>10503.16</v>
      </c>
      <c r="J3173" s="13">
        <f>+J3172+I3173</f>
        <v>134300</v>
      </c>
      <c r="K3173" s="19">
        <f>+EOMONTH(B3173,0)</f>
        <v>46081</v>
      </c>
      <c r="L3173" s="3" t="inlineStr">
        <is>
          <t>Laboratory Fees</t>
        </is>
      </c>
      <c r="M3173" s="3" t="inlineStr">
        <is>
          <t>Laboratory Fees</t>
        </is>
      </c>
    </row>
    <row r="3174">
      <c r="B3174" s="39" t="n">
        <v>46100</v>
      </c>
      <c r="C3174" s="3" t="inlineStr">
        <is>
          <t>Bill</t>
        </is>
      </c>
      <c r="D3174" s="3" t="inlineStr"/>
      <c r="E3174" s="3" t="inlineStr">
        <is>
          <t>Reference Lab A</t>
        </is>
      </c>
      <c r="F3174" s="3" t="inlineStr">
        <is>
          <t>Send-out testing – March</t>
        </is>
      </c>
      <c r="G3174" s="3" t="inlineStr">
        <is>
          <t>Accounts Payable</t>
        </is>
      </c>
      <c r="H3174" s="3" t="inlineStr">
        <is>
          <t>Laboratory Fees</t>
        </is>
      </c>
      <c r="I3174" s="33" t="n">
        <v>33005.86</v>
      </c>
      <c r="J3174" s="13">
        <f>+J3173+I3174</f>
        <v>167305.86</v>
      </c>
      <c r="K3174" s="19">
        <f>+EOMONTH(B3174,0)</f>
        <v>46112</v>
      </c>
      <c r="L3174" s="3" t="inlineStr">
        <is>
          <t>Laboratory Fees</t>
        </is>
      </c>
      <c r="M3174" s="3" t="inlineStr">
        <is>
          <t>Laboratory Fees</t>
        </is>
      </c>
    </row>
    <row r="3175">
      <c r="B3175" s="39" t="n">
        <v>46104</v>
      </c>
      <c r="C3175" s="3" t="inlineStr">
        <is>
          <t>Bill</t>
        </is>
      </c>
      <c r="D3175" s="3" t="inlineStr"/>
      <c r="E3175" s="3" t="inlineStr">
        <is>
          <t>Reference Lab A</t>
        </is>
      </c>
      <c r="F3175" s="3" t="inlineStr">
        <is>
          <t>Send-out testing – March</t>
        </is>
      </c>
      <c r="G3175" s="3" t="inlineStr">
        <is>
          <t>Accounts Payable</t>
        </is>
      </c>
      <c r="H3175" s="3" t="inlineStr">
        <is>
          <t>Laboratory Fees</t>
        </is>
      </c>
      <c r="I3175" s="33" t="n">
        <v>16837.17</v>
      </c>
      <c r="J3175" s="13">
        <f>+J3174+I3175</f>
        <v>184143.03</v>
      </c>
      <c r="K3175" s="19">
        <f>+EOMONTH(B3175,0)</f>
        <v>46112</v>
      </c>
      <c r="L3175" s="3" t="inlineStr">
        <is>
          <t>Laboratory Fees</t>
        </is>
      </c>
      <c r="M3175" s="3" t="inlineStr">
        <is>
          <t>Laboratory Fees</t>
        </is>
      </c>
    </row>
    <row r="3176">
      <c r="B3176" s="39" t="n">
        <v>46108</v>
      </c>
      <c r="C3176" s="3" t="inlineStr">
        <is>
          <t>Bill</t>
        </is>
      </c>
      <c r="D3176" s="3" t="inlineStr"/>
      <c r="E3176" s="3" t="inlineStr">
        <is>
          <t>Reference Lab A</t>
        </is>
      </c>
      <c r="F3176" s="3" t="inlineStr">
        <is>
          <t>Send-out testing – March</t>
        </is>
      </c>
      <c r="G3176" s="3" t="inlineStr">
        <is>
          <t>Accounts Payable</t>
        </is>
      </c>
      <c r="H3176" s="3" t="inlineStr">
        <is>
          <t>Laboratory Fees</t>
        </is>
      </c>
      <c r="I3176" s="33" t="n">
        <v>22756.97</v>
      </c>
      <c r="J3176" s="13">
        <f>+J3175+I3176</f>
        <v>206900</v>
      </c>
      <c r="K3176" s="19">
        <f>+EOMONTH(B3176,0)</f>
        <v>46112</v>
      </c>
      <c r="L3176" s="3" t="inlineStr">
        <is>
          <t>Laboratory Fees</t>
        </is>
      </c>
      <c r="M3176" s="3" t="inlineStr">
        <is>
          <t>Laboratory Fees</t>
        </is>
      </c>
    </row>
    <row r="3177">
      <c r="B3177" s="39" t="n">
        <v>46114</v>
      </c>
      <c r="C3177" s="3" t="inlineStr">
        <is>
          <t>Bill</t>
        </is>
      </c>
      <c r="D3177" s="3" t="inlineStr"/>
      <c r="E3177" s="3" t="inlineStr">
        <is>
          <t>Reference Lab A</t>
        </is>
      </c>
      <c r="F3177" s="3" t="inlineStr">
        <is>
          <t>Send-out testing – April</t>
        </is>
      </c>
      <c r="G3177" s="3" t="inlineStr">
        <is>
          <t>Accounts Payable</t>
        </is>
      </c>
      <c r="H3177" s="3" t="inlineStr">
        <is>
          <t>Laboratory Fees</t>
        </is>
      </c>
      <c r="I3177" s="33" t="n">
        <v>32507.15</v>
      </c>
      <c r="J3177" s="13">
        <f>+J3176+I3177</f>
        <v>239407.15</v>
      </c>
      <c r="K3177" s="19">
        <f>+EOMONTH(B3177,0)</f>
        <v>46142</v>
      </c>
      <c r="L3177" s="3" t="inlineStr">
        <is>
          <t>Laboratory Fees</t>
        </is>
      </c>
      <c r="M3177" s="3" t="inlineStr">
        <is>
          <t>Laboratory Fees</t>
        </is>
      </c>
    </row>
    <row r="3178">
      <c r="B3178" s="39" t="n">
        <v>46125</v>
      </c>
      <c r="C3178" s="3" t="inlineStr">
        <is>
          <t>Bill</t>
        </is>
      </c>
      <c r="D3178" s="3" t="inlineStr"/>
      <c r="E3178" s="3" t="inlineStr">
        <is>
          <t>Reference Lab A</t>
        </is>
      </c>
      <c r="F3178" s="3" t="inlineStr">
        <is>
          <t>Send-out testing – April</t>
        </is>
      </c>
      <c r="G3178" s="3" t="inlineStr">
        <is>
          <t>Accounts Payable</t>
        </is>
      </c>
      <c r="H3178" s="3" t="inlineStr">
        <is>
          <t>Laboratory Fees</t>
        </is>
      </c>
      <c r="I3178" s="33" t="n">
        <v>17683.71</v>
      </c>
      <c r="J3178" s="13">
        <f>+J3177+I3178</f>
        <v>257090.86</v>
      </c>
      <c r="K3178" s="19">
        <f>+EOMONTH(B3178,0)</f>
        <v>46142</v>
      </c>
      <c r="L3178" s="3" t="inlineStr">
        <is>
          <t>Laboratory Fees</t>
        </is>
      </c>
      <c r="M3178" s="3" t="inlineStr">
        <is>
          <t>Laboratory Fees</t>
        </is>
      </c>
    </row>
    <row r="3179">
      <c r="B3179" s="39" t="n">
        <v>46141</v>
      </c>
      <c r="C3179" s="3" t="inlineStr">
        <is>
          <t>Bill</t>
        </is>
      </c>
      <c r="D3179" s="3" t="inlineStr"/>
      <c r="E3179" s="3" t="inlineStr">
        <is>
          <t>Reference Lab A</t>
        </is>
      </c>
      <c r="F3179" s="3" t="inlineStr">
        <is>
          <t>Send-out testing – April</t>
        </is>
      </c>
      <c r="G3179" s="3" t="inlineStr">
        <is>
          <t>Accounts Payable</t>
        </is>
      </c>
      <c r="H3179" s="3" t="inlineStr">
        <is>
          <t>Laboratory Fees</t>
        </is>
      </c>
      <c r="I3179" s="33" t="n">
        <v>26609.14</v>
      </c>
      <c r="J3179" s="13">
        <f>+J3178+I3179</f>
        <v>283700</v>
      </c>
      <c r="K3179" s="19">
        <f>+EOMONTH(B3179,0)</f>
        <v>46142</v>
      </c>
      <c r="L3179" s="3" t="inlineStr">
        <is>
          <t>Laboratory Fees</t>
        </is>
      </c>
      <c r="M3179" s="3" t="inlineStr">
        <is>
          <t>Laboratory Fees</t>
        </is>
      </c>
    </row>
    <row r="3180">
      <c r="B3180" s="39" t="n">
        <v>46149</v>
      </c>
      <c r="C3180" s="3" t="inlineStr">
        <is>
          <t>Bill</t>
        </is>
      </c>
      <c r="D3180" s="3" t="inlineStr"/>
      <c r="E3180" s="3" t="inlineStr">
        <is>
          <t>Reference Lab A</t>
        </is>
      </c>
      <c r="F3180" s="3" t="inlineStr">
        <is>
          <t>Send-out testing – May</t>
        </is>
      </c>
      <c r="G3180" s="3" t="inlineStr">
        <is>
          <t>Accounts Payable</t>
        </is>
      </c>
      <c r="H3180" s="3" t="inlineStr">
        <is>
          <t>Laboratory Fees</t>
        </is>
      </c>
      <c r="I3180" s="33" t="n">
        <v>17160.58</v>
      </c>
      <c r="J3180" s="13">
        <f>+J3179+I3180</f>
        <v>300860.58</v>
      </c>
      <c r="K3180" s="19">
        <f>+EOMONTH(B3180,0)</f>
        <v>46173</v>
      </c>
      <c r="L3180" s="3" t="inlineStr">
        <is>
          <t>Laboratory Fees</t>
        </is>
      </c>
      <c r="M3180" s="3" t="inlineStr">
        <is>
          <t>Laboratory Fees</t>
        </is>
      </c>
    </row>
    <row r="3181">
      <c r="B3181" s="39" t="n">
        <v>46154</v>
      </c>
      <c r="C3181" s="3" t="inlineStr">
        <is>
          <t>Bill</t>
        </is>
      </c>
      <c r="D3181" s="3" t="inlineStr"/>
      <c r="E3181" s="3" t="inlineStr">
        <is>
          <t>Reference Lab A</t>
        </is>
      </c>
      <c r="F3181" s="3" t="inlineStr">
        <is>
          <t>Send-out testing – May</t>
        </is>
      </c>
      <c r="G3181" s="3" t="inlineStr">
        <is>
          <t>Accounts Payable</t>
        </is>
      </c>
      <c r="H3181" s="3" t="inlineStr">
        <is>
          <t>Laboratory Fees</t>
        </is>
      </c>
      <c r="I3181" s="33" t="n">
        <v>22358.71</v>
      </c>
      <c r="J3181" s="13">
        <f>+J3180+I3181</f>
        <v>323219.29</v>
      </c>
      <c r="K3181" s="19">
        <f>+EOMONTH(B3181,0)</f>
        <v>46173</v>
      </c>
      <c r="L3181" s="3" t="inlineStr">
        <is>
          <t>Laboratory Fees</t>
        </is>
      </c>
      <c r="M3181" s="3" t="inlineStr">
        <is>
          <t>Laboratory Fees</t>
        </is>
      </c>
    </row>
    <row r="3182">
      <c r="B3182" s="39" t="n">
        <v>46165</v>
      </c>
      <c r="C3182" s="3" t="inlineStr">
        <is>
          <t>Bill</t>
        </is>
      </c>
      <c r="D3182" s="3" t="inlineStr"/>
      <c r="E3182" s="3" t="inlineStr">
        <is>
          <t>Reference Lab A</t>
        </is>
      </c>
      <c r="F3182" s="3" t="inlineStr">
        <is>
          <t>Send-out testing – May</t>
        </is>
      </c>
      <c r="G3182" s="3" t="inlineStr">
        <is>
          <t>Accounts Payable</t>
        </is>
      </c>
      <c r="H3182" s="3" t="inlineStr">
        <is>
          <t>Laboratory Fees</t>
        </is>
      </c>
      <c r="I3182" s="33" t="n">
        <v>30680.71</v>
      </c>
      <c r="J3182" s="13">
        <f>+J3181+I3182</f>
        <v>353900</v>
      </c>
      <c r="K3182" s="19">
        <f>+EOMONTH(B3182,0)</f>
        <v>46173</v>
      </c>
      <c r="L3182" s="3" t="inlineStr">
        <is>
          <t>Laboratory Fees</t>
        </is>
      </c>
      <c r="M3182" s="3" t="inlineStr">
        <is>
          <t>Laboratory Fees</t>
        </is>
      </c>
    </row>
    <row r="3183">
      <c r="B3183" s="39" t="n">
        <v>46191</v>
      </c>
      <c r="C3183" s="3" t="inlineStr">
        <is>
          <t>Bill</t>
        </is>
      </c>
      <c r="D3183" s="3" t="inlineStr"/>
      <c r="E3183" s="3" t="inlineStr">
        <is>
          <t>Reference Lab A</t>
        </is>
      </c>
      <c r="F3183" s="3" t="inlineStr">
        <is>
          <t>Send-out testing – June</t>
        </is>
      </c>
      <c r="G3183" s="3" t="inlineStr">
        <is>
          <t>Accounts Payable</t>
        </is>
      </c>
      <c r="H3183" s="3" t="inlineStr">
        <is>
          <t>Laboratory Fees</t>
        </is>
      </c>
      <c r="I3183" s="33" t="n">
        <v>19842.33</v>
      </c>
      <c r="J3183" s="13">
        <f>+J3182+I3183</f>
        <v>373742.33</v>
      </c>
      <c r="K3183" s="19">
        <f>+EOMONTH(B3183,0)</f>
        <v>46203</v>
      </c>
      <c r="L3183" s="3" t="inlineStr">
        <is>
          <t>Laboratory Fees</t>
        </is>
      </c>
      <c r="M3183" s="3" t="inlineStr">
        <is>
          <t>Laboratory Fees</t>
        </is>
      </c>
    </row>
    <row r="3184">
      <c r="B3184" s="39" t="n">
        <v>46195</v>
      </c>
      <c r="C3184" s="3" t="inlineStr">
        <is>
          <t>Bill</t>
        </is>
      </c>
      <c r="D3184" s="3" t="inlineStr"/>
      <c r="E3184" s="3" t="inlineStr">
        <is>
          <t>Reference Lab A</t>
        </is>
      </c>
      <c r="F3184" s="3" t="inlineStr">
        <is>
          <t>Send-out testing – June</t>
        </is>
      </c>
      <c r="G3184" s="3" t="inlineStr">
        <is>
          <t>Accounts Payable</t>
        </is>
      </c>
      <c r="H3184" s="3" t="inlineStr">
        <is>
          <t>Laboratory Fees</t>
        </is>
      </c>
      <c r="I3184" s="33" t="n">
        <v>21193.08</v>
      </c>
      <c r="J3184" s="13">
        <f>+J3183+I3184</f>
        <v>394935.41</v>
      </c>
      <c r="K3184" s="19">
        <f>+EOMONTH(B3184,0)</f>
        <v>46203</v>
      </c>
      <c r="L3184" s="3" t="inlineStr">
        <is>
          <t>Laboratory Fees</t>
        </is>
      </c>
      <c r="M3184" s="3" t="inlineStr">
        <is>
          <t>Laboratory Fees</t>
        </is>
      </c>
    </row>
    <row r="3185">
      <c r="B3185" s="39" t="n">
        <v>46200</v>
      </c>
      <c r="C3185" s="3" t="inlineStr">
        <is>
          <t>Bill</t>
        </is>
      </c>
      <c r="D3185" s="3" t="inlineStr"/>
      <c r="E3185" s="3" t="inlineStr">
        <is>
          <t>Reference Lab A</t>
        </is>
      </c>
      <c r="F3185" s="3" t="inlineStr">
        <is>
          <t>Send-out testing – June</t>
        </is>
      </c>
      <c r="G3185" s="3" t="inlineStr">
        <is>
          <t>Accounts Payable</t>
        </is>
      </c>
      <c r="H3185" s="3" t="inlineStr">
        <is>
          <t>Laboratory Fees</t>
        </is>
      </c>
      <c r="I3185" s="33" t="n">
        <v>14237.39</v>
      </c>
      <c r="J3185" s="13">
        <f>+J3184+I3185</f>
        <v>409172.8</v>
      </c>
      <c r="K3185" s="19">
        <f>+EOMONTH(B3185,0)</f>
        <v>46203</v>
      </c>
      <c r="L3185" s="3" t="inlineStr">
        <is>
          <t>Laboratory Fees</t>
        </is>
      </c>
      <c r="M3185" s="3" t="inlineStr">
        <is>
          <t>Laboratory Fees</t>
        </is>
      </c>
    </row>
    <row r="3186">
      <c r="B3186" s="39" t="n">
        <v>46200</v>
      </c>
      <c r="C3186" s="3" t="inlineStr">
        <is>
          <t>Bill</t>
        </is>
      </c>
      <c r="D3186" s="3" t="inlineStr"/>
      <c r="E3186" s="3" t="inlineStr">
        <is>
          <t>Reference Lab A</t>
        </is>
      </c>
      <c r="F3186" s="3" t="inlineStr">
        <is>
          <t>Send-out testing – June</t>
        </is>
      </c>
      <c r="G3186" s="3" t="inlineStr">
        <is>
          <t>Accounts Payable</t>
        </is>
      </c>
      <c r="H3186" s="3" t="inlineStr">
        <is>
          <t>Laboratory Fees</t>
        </is>
      </c>
      <c r="I3186" s="33" t="n">
        <v>10827.2</v>
      </c>
      <c r="J3186" s="13">
        <f>+J3185+I3186</f>
        <v>420000</v>
      </c>
      <c r="K3186" s="19">
        <f>+EOMONTH(B3186,0)</f>
        <v>46203</v>
      </c>
      <c r="L3186" s="3" t="inlineStr">
        <is>
          <t>Laboratory Fees</t>
        </is>
      </c>
      <c r="M3186" s="3" t="inlineStr">
        <is>
          <t>Laboratory Fees</t>
        </is>
      </c>
    </row>
    <row r="3187">
      <c r="B3187" s="39" t="n">
        <v>46221</v>
      </c>
      <c r="C3187" s="3" t="inlineStr">
        <is>
          <t>Bill</t>
        </is>
      </c>
      <c r="D3187" s="3" t="inlineStr"/>
      <c r="E3187" s="3" t="inlineStr">
        <is>
          <t>Reference Lab A</t>
        </is>
      </c>
      <c r="F3187" s="3" t="inlineStr">
        <is>
          <t>Send-out testing – July</t>
        </is>
      </c>
      <c r="G3187" s="3" t="inlineStr">
        <is>
          <t>Accounts Payable</t>
        </is>
      </c>
      <c r="H3187" s="3" t="inlineStr">
        <is>
          <t>Laboratory Fees</t>
        </is>
      </c>
      <c r="I3187" s="33" t="n">
        <v>20581.72</v>
      </c>
      <c r="J3187" s="13">
        <f>+J3186+I3187</f>
        <v>440581.72</v>
      </c>
      <c r="K3187" s="19">
        <f>+EOMONTH(B3187,0)</f>
        <v>46234</v>
      </c>
      <c r="L3187" s="3" t="inlineStr">
        <is>
          <t>Laboratory Fees</t>
        </is>
      </c>
      <c r="M3187" s="3" t="inlineStr">
        <is>
          <t>Laboratory Fees</t>
        </is>
      </c>
    </row>
    <row r="3188">
      <c r="B3188" s="39" t="n">
        <v>46226</v>
      </c>
      <c r="C3188" s="3" t="inlineStr">
        <is>
          <t>Bill</t>
        </is>
      </c>
      <c r="D3188" s="3" t="inlineStr"/>
      <c r="E3188" s="3" t="inlineStr">
        <is>
          <t>Reference Lab A</t>
        </is>
      </c>
      <c r="F3188" s="3" t="inlineStr">
        <is>
          <t>Send-out testing – July</t>
        </is>
      </c>
      <c r="G3188" s="3" t="inlineStr">
        <is>
          <t>Accounts Payable</t>
        </is>
      </c>
      <c r="H3188" s="3" t="inlineStr">
        <is>
          <t>Laboratory Fees</t>
        </is>
      </c>
      <c r="I3188" s="33" t="n">
        <v>27841.75</v>
      </c>
      <c r="J3188" s="13">
        <f>+J3187+I3188</f>
        <v>468423.47</v>
      </c>
      <c r="K3188" s="19">
        <f>+EOMONTH(B3188,0)</f>
        <v>46234</v>
      </c>
      <c r="L3188" s="3" t="inlineStr">
        <is>
          <t>Laboratory Fees</t>
        </is>
      </c>
      <c r="M3188" s="3" t="inlineStr">
        <is>
          <t>Laboratory Fees</t>
        </is>
      </c>
    </row>
    <row r="3189">
      <c r="B3189" s="39" t="n">
        <v>46232</v>
      </c>
      <c r="C3189" s="3" t="inlineStr">
        <is>
          <t>Bill</t>
        </is>
      </c>
      <c r="D3189" s="3" t="inlineStr"/>
      <c r="E3189" s="3" t="inlineStr">
        <is>
          <t>Reference Lab A</t>
        </is>
      </c>
      <c r="F3189" s="3" t="inlineStr">
        <is>
          <t>Send-out testing – July</t>
        </is>
      </c>
      <c r="G3189" s="3" t="inlineStr">
        <is>
          <t>Accounts Payable</t>
        </is>
      </c>
      <c r="H3189" s="3" t="inlineStr">
        <is>
          <t>Laboratory Fees</t>
        </is>
      </c>
      <c r="I3189" s="33" t="n">
        <v>23076.53</v>
      </c>
      <c r="J3189" s="13">
        <f>+J3188+I3189</f>
        <v>491500</v>
      </c>
      <c r="K3189" s="19">
        <f>+EOMONTH(B3189,0)</f>
        <v>46234</v>
      </c>
      <c r="L3189" s="3" t="inlineStr">
        <is>
          <t>Laboratory Fees</t>
        </is>
      </c>
      <c r="M3189" s="3" t="inlineStr">
        <is>
          <t>Laboratory Fees</t>
        </is>
      </c>
    </row>
    <row r="3190">
      <c r="B3190" s="39" t="n">
        <v>46237</v>
      </c>
      <c r="C3190" s="3" t="inlineStr">
        <is>
          <t>Bill</t>
        </is>
      </c>
      <c r="D3190" s="3" t="inlineStr"/>
      <c r="E3190" s="3" t="inlineStr">
        <is>
          <t>Reference Lab A</t>
        </is>
      </c>
      <c r="F3190" s="3" t="inlineStr">
        <is>
          <t>Send-out testing – August</t>
        </is>
      </c>
      <c r="G3190" s="3" t="inlineStr">
        <is>
          <t>Accounts Payable</t>
        </is>
      </c>
      <c r="H3190" s="3" t="inlineStr">
        <is>
          <t>Laboratory Fees</t>
        </is>
      </c>
      <c r="I3190" s="33" t="n">
        <v>13097.01</v>
      </c>
      <c r="J3190" s="13">
        <f>+J3189+I3190</f>
        <v>504597.01</v>
      </c>
      <c r="K3190" s="19">
        <f>+EOMONTH(B3190,0)</f>
        <v>46265</v>
      </c>
      <c r="L3190" s="3" t="inlineStr">
        <is>
          <t>Laboratory Fees</t>
        </is>
      </c>
      <c r="M3190" s="3" t="inlineStr">
        <is>
          <t>Laboratory Fees</t>
        </is>
      </c>
    </row>
    <row r="3191">
      <c r="B3191" s="39" t="n">
        <v>46237</v>
      </c>
      <c r="C3191" s="3" t="inlineStr">
        <is>
          <t>Bill</t>
        </is>
      </c>
      <c r="D3191" s="3" t="inlineStr"/>
      <c r="E3191" s="3" t="inlineStr">
        <is>
          <t>Reference Lab A</t>
        </is>
      </c>
      <c r="F3191" s="3" t="inlineStr">
        <is>
          <t>Send-out testing – August</t>
        </is>
      </c>
      <c r="G3191" s="3" t="inlineStr">
        <is>
          <t>Accounts Payable</t>
        </is>
      </c>
      <c r="H3191" s="3" t="inlineStr">
        <is>
          <t>Laboratory Fees</t>
        </is>
      </c>
      <c r="I3191" s="33" t="n">
        <v>13458.75</v>
      </c>
      <c r="J3191" s="13">
        <f>+J3190+I3191</f>
        <v>518055.76</v>
      </c>
      <c r="K3191" s="19">
        <f>+EOMONTH(B3191,0)</f>
        <v>46265</v>
      </c>
      <c r="L3191" s="3" t="inlineStr">
        <is>
          <t>Laboratory Fees</t>
        </is>
      </c>
      <c r="M3191" s="3" t="inlineStr">
        <is>
          <t>Laboratory Fees</t>
        </is>
      </c>
    </row>
    <row r="3192">
      <c r="B3192" s="39" t="n">
        <v>46241</v>
      </c>
      <c r="C3192" s="3" t="inlineStr">
        <is>
          <t>Bill</t>
        </is>
      </c>
      <c r="D3192" s="3" t="inlineStr"/>
      <c r="E3192" s="3" t="inlineStr">
        <is>
          <t>Reference Lab A</t>
        </is>
      </c>
      <c r="F3192" s="3" t="inlineStr">
        <is>
          <t>Send-out testing – August</t>
        </is>
      </c>
      <c r="G3192" s="3" t="inlineStr">
        <is>
          <t>Accounts Payable</t>
        </is>
      </c>
      <c r="H3192" s="3" t="inlineStr">
        <is>
          <t>Laboratory Fees</t>
        </is>
      </c>
      <c r="I3192" s="33" t="n">
        <v>9768.67</v>
      </c>
      <c r="J3192" s="13">
        <f>+J3191+I3192</f>
        <v>527824.43</v>
      </c>
      <c r="K3192" s="19">
        <f>+EOMONTH(B3192,0)</f>
        <v>46265</v>
      </c>
      <c r="L3192" s="3" t="inlineStr">
        <is>
          <t>Laboratory Fees</t>
        </is>
      </c>
      <c r="M3192" s="3" t="inlineStr">
        <is>
          <t>Laboratory Fees</t>
        </is>
      </c>
    </row>
    <row r="3193">
      <c r="B3193" s="39" t="n">
        <v>46248</v>
      </c>
      <c r="C3193" s="3" t="inlineStr">
        <is>
          <t>Bill</t>
        </is>
      </c>
      <c r="D3193" s="3" t="inlineStr"/>
      <c r="E3193" s="3" t="inlineStr">
        <is>
          <t>Reference Lab A</t>
        </is>
      </c>
      <c r="F3193" s="3" t="inlineStr">
        <is>
          <t>Send-out testing – August</t>
        </is>
      </c>
      <c r="G3193" s="3" t="inlineStr">
        <is>
          <t>Accounts Payable</t>
        </is>
      </c>
      <c r="H3193" s="3" t="inlineStr">
        <is>
          <t>Laboratory Fees</t>
        </is>
      </c>
      <c r="I3193" s="33" t="n">
        <v>19933.18</v>
      </c>
      <c r="J3193" s="13">
        <f>+J3192+I3193</f>
        <v>547757.61</v>
      </c>
      <c r="K3193" s="19">
        <f>+EOMONTH(B3193,0)</f>
        <v>46265</v>
      </c>
      <c r="L3193" s="3" t="inlineStr">
        <is>
          <t>Laboratory Fees</t>
        </is>
      </c>
      <c r="M3193" s="3" t="inlineStr">
        <is>
          <t>Laboratory Fees</t>
        </is>
      </c>
    </row>
    <row r="3194">
      <c r="B3194" s="39" t="n">
        <v>46252</v>
      </c>
      <c r="C3194" s="3" t="inlineStr">
        <is>
          <t>Bill</t>
        </is>
      </c>
      <c r="D3194" s="3" t="inlineStr"/>
      <c r="E3194" s="3" t="inlineStr">
        <is>
          <t>Reference Lab A</t>
        </is>
      </c>
      <c r="F3194" s="3" t="inlineStr">
        <is>
          <t>Send-out testing – August</t>
        </is>
      </c>
      <c r="G3194" s="3" t="inlineStr">
        <is>
          <t>Accounts Payable</t>
        </is>
      </c>
      <c r="H3194" s="3" t="inlineStr">
        <is>
          <t>Laboratory Fees</t>
        </is>
      </c>
      <c r="I3194" s="33" t="n">
        <v>18342.39</v>
      </c>
      <c r="J3194" s="13">
        <f>+J3193+I3194</f>
        <v>566100</v>
      </c>
      <c r="K3194" s="19">
        <f>+EOMONTH(B3194,0)</f>
        <v>46265</v>
      </c>
      <c r="L3194" s="3" t="inlineStr">
        <is>
          <t>Laboratory Fees</t>
        </is>
      </c>
      <c r="M3194" s="3" t="inlineStr">
        <is>
          <t>Laboratory Fees</t>
        </is>
      </c>
    </row>
    <row r="3195">
      <c r="B3195" s="39" t="n">
        <v>46266</v>
      </c>
      <c r="C3195" s="3" t="inlineStr">
        <is>
          <t>Bill</t>
        </is>
      </c>
      <c r="D3195" s="3" t="inlineStr"/>
      <c r="E3195" s="3" t="inlineStr">
        <is>
          <t>Reference Lab A</t>
        </is>
      </c>
      <c r="F3195" s="3" t="inlineStr">
        <is>
          <t>Send-out testing – September</t>
        </is>
      </c>
      <c r="G3195" s="3" t="inlineStr">
        <is>
          <t>Accounts Payable</t>
        </is>
      </c>
      <c r="H3195" s="3" t="inlineStr">
        <is>
          <t>Laboratory Fees</t>
        </is>
      </c>
      <c r="I3195" s="33" t="n">
        <v>31821.69</v>
      </c>
      <c r="J3195" s="13">
        <f>+J3194+I3195</f>
        <v>597921.69</v>
      </c>
      <c r="K3195" s="19">
        <f>+EOMONTH(B3195,0)</f>
        <v>46295</v>
      </c>
      <c r="L3195" s="3" t="inlineStr">
        <is>
          <t>Laboratory Fees</t>
        </is>
      </c>
      <c r="M3195" s="3" t="inlineStr">
        <is>
          <t>Laboratory Fees</t>
        </is>
      </c>
    </row>
    <row r="3196">
      <c r="B3196" s="39" t="n">
        <v>46276</v>
      </c>
      <c r="C3196" s="3" t="inlineStr">
        <is>
          <t>Bill</t>
        </is>
      </c>
      <c r="D3196" s="3" t="inlineStr"/>
      <c r="E3196" s="3" t="inlineStr">
        <is>
          <t>Reference Lab A</t>
        </is>
      </c>
      <c r="F3196" s="3" t="inlineStr">
        <is>
          <t>Send-out testing – September</t>
        </is>
      </c>
      <c r="G3196" s="3" t="inlineStr">
        <is>
          <t>Accounts Payable</t>
        </is>
      </c>
      <c r="H3196" s="3" t="inlineStr">
        <is>
          <t>Laboratory Fees</t>
        </is>
      </c>
      <c r="I3196" s="33" t="n">
        <v>23880.59</v>
      </c>
      <c r="J3196" s="13">
        <f>+J3195+I3196</f>
        <v>621802.28</v>
      </c>
      <c r="K3196" s="19">
        <f>+EOMONTH(B3196,0)</f>
        <v>46295</v>
      </c>
      <c r="L3196" s="3" t="inlineStr">
        <is>
          <t>Laboratory Fees</t>
        </is>
      </c>
      <c r="M3196" s="3" t="inlineStr">
        <is>
          <t>Laboratory Fees</t>
        </is>
      </c>
    </row>
    <row r="3197">
      <c r="B3197" s="39" t="n">
        <v>46290</v>
      </c>
      <c r="C3197" s="3" t="inlineStr">
        <is>
          <t>Bill</t>
        </is>
      </c>
      <c r="D3197" s="3" t="inlineStr"/>
      <c r="E3197" s="3" t="inlineStr">
        <is>
          <t>Reference Lab A</t>
        </is>
      </c>
      <c r="F3197" s="3" t="inlineStr">
        <is>
          <t>Send-out testing – September</t>
        </is>
      </c>
      <c r="G3197" s="3" t="inlineStr">
        <is>
          <t>Accounts Payable</t>
        </is>
      </c>
      <c r="H3197" s="3" t="inlineStr">
        <is>
          <t>Laboratory Fees</t>
        </is>
      </c>
      <c r="I3197" s="33" t="n">
        <v>19056.42</v>
      </c>
      <c r="J3197" s="13">
        <f>+J3196+I3197</f>
        <v>640858.7</v>
      </c>
      <c r="K3197" s="19">
        <f>+EOMONTH(B3197,0)</f>
        <v>46295</v>
      </c>
      <c r="L3197" s="3" t="inlineStr">
        <is>
          <t>Laboratory Fees</t>
        </is>
      </c>
      <c r="M3197" s="3" t="inlineStr">
        <is>
          <t>Laboratory Fees</t>
        </is>
      </c>
    </row>
    <row r="3198">
      <c r="B3198" s="39" t="n">
        <v>46300</v>
      </c>
      <c r="C3198" s="3" t="inlineStr">
        <is>
          <t>Bill</t>
        </is>
      </c>
      <c r="D3198" s="3" t="inlineStr"/>
      <c r="E3198" s="3" t="inlineStr">
        <is>
          <t>Reference Lab A</t>
        </is>
      </c>
      <c r="F3198" s="3" t="inlineStr">
        <is>
          <t>Send-out testing – October</t>
        </is>
      </c>
      <c r="G3198" s="3" t="inlineStr">
        <is>
          <t>Accounts Payable</t>
        </is>
      </c>
      <c r="H3198" s="3" t="inlineStr">
        <is>
          <t>Laboratory Fees</t>
        </is>
      </c>
      <c r="I3198" s="33" t="n">
        <v>12479.86</v>
      </c>
      <c r="J3198" s="13">
        <f>+J3197+I3198</f>
        <v>653338.56</v>
      </c>
      <c r="K3198" s="19">
        <f>+EOMONTH(B3198,0)</f>
        <v>46326</v>
      </c>
      <c r="L3198" s="3" t="inlineStr">
        <is>
          <t>Laboratory Fees</t>
        </is>
      </c>
      <c r="M3198" s="3" t="inlineStr">
        <is>
          <t>Laboratory Fees</t>
        </is>
      </c>
    </row>
    <row r="3199">
      <c r="B3199" s="39" t="n">
        <v>46304</v>
      </c>
      <c r="C3199" s="3" t="inlineStr">
        <is>
          <t>Bill</t>
        </is>
      </c>
      <c r="D3199" s="3" t="inlineStr"/>
      <c r="E3199" s="3" t="inlineStr">
        <is>
          <t>Reference Lab A</t>
        </is>
      </c>
      <c r="F3199" s="3" t="inlineStr">
        <is>
          <t>Send-out testing – October</t>
        </is>
      </c>
      <c r="G3199" s="3" t="inlineStr">
        <is>
          <t>Accounts Payable</t>
        </is>
      </c>
      <c r="H3199" s="3" t="inlineStr">
        <is>
          <t>Laboratory Fees</t>
        </is>
      </c>
      <c r="I3199" s="33" t="n">
        <v>13986.9</v>
      </c>
      <c r="J3199" s="13">
        <f>+J3198+I3199</f>
        <v>667325.46</v>
      </c>
      <c r="K3199" s="19">
        <f>+EOMONTH(B3199,0)</f>
        <v>46326</v>
      </c>
      <c r="L3199" s="3" t="inlineStr">
        <is>
          <t>Laboratory Fees</t>
        </is>
      </c>
      <c r="M3199" s="3" t="inlineStr">
        <is>
          <t>Laboratory Fees</t>
        </is>
      </c>
    </row>
    <row r="3200">
      <c r="B3200" s="39" t="n">
        <v>46320</v>
      </c>
      <c r="C3200" s="3" t="inlineStr">
        <is>
          <t>Bill</t>
        </is>
      </c>
      <c r="D3200" s="3" t="inlineStr"/>
      <c r="E3200" s="3" t="inlineStr">
        <is>
          <t>Reference Lab A</t>
        </is>
      </c>
      <c r="F3200" s="3" t="inlineStr">
        <is>
          <t>Send-out testing – October</t>
        </is>
      </c>
      <c r="G3200" s="3" t="inlineStr">
        <is>
          <t>Accounts Payable</t>
        </is>
      </c>
      <c r="H3200" s="3" t="inlineStr">
        <is>
          <t>Laboratory Fees</t>
        </is>
      </c>
      <c r="I3200" s="33" t="n">
        <v>21065.03</v>
      </c>
      <c r="J3200" s="13">
        <f>+J3199+I3200</f>
        <v>688390.49</v>
      </c>
      <c r="K3200" s="19">
        <f>+EOMONTH(B3200,0)</f>
        <v>46326</v>
      </c>
      <c r="L3200" s="3" t="inlineStr">
        <is>
          <t>Laboratory Fees</t>
        </is>
      </c>
      <c r="M3200" s="3" t="inlineStr">
        <is>
          <t>Laboratory Fees</t>
        </is>
      </c>
    </row>
    <row r="3201">
      <c r="B3201" s="39" t="n">
        <v>46324</v>
      </c>
      <c r="C3201" s="3" t="inlineStr">
        <is>
          <t>Bill</t>
        </is>
      </c>
      <c r="D3201" s="3" t="inlineStr"/>
      <c r="E3201" s="3" t="inlineStr">
        <is>
          <t>Reference Lab A</t>
        </is>
      </c>
      <c r="F3201" s="3" t="inlineStr">
        <is>
          <t>Send-out testing – October</t>
        </is>
      </c>
      <c r="G3201" s="3" t="inlineStr">
        <is>
          <t>Accounts Payable</t>
        </is>
      </c>
      <c r="H3201" s="3" t="inlineStr">
        <is>
          <t>Laboratory Fees</t>
        </is>
      </c>
      <c r="I3201" s="33" t="n">
        <v>18117.29</v>
      </c>
      <c r="J3201" s="13">
        <f>+J3200+I3201</f>
        <v>706507.78</v>
      </c>
      <c r="K3201" s="19">
        <f>+EOMONTH(B3201,0)</f>
        <v>46326</v>
      </c>
      <c r="L3201" s="3" t="inlineStr">
        <is>
          <t>Laboratory Fees</t>
        </is>
      </c>
      <c r="M3201" s="3" t="inlineStr">
        <is>
          <t>Laboratory Fees</t>
        </is>
      </c>
    </row>
    <row r="3202">
      <c r="B3202" s="39" t="n">
        <v>46325</v>
      </c>
      <c r="C3202" s="3" t="inlineStr">
        <is>
          <t>Bill</t>
        </is>
      </c>
      <c r="D3202" s="3" t="inlineStr"/>
      <c r="E3202" s="3" t="inlineStr">
        <is>
          <t>Reference Lab A</t>
        </is>
      </c>
      <c r="F3202" s="3" t="inlineStr">
        <is>
          <t>Send-out testing – October</t>
        </is>
      </c>
      <c r="G3202" s="3" t="inlineStr">
        <is>
          <t>Accounts Payable</t>
        </is>
      </c>
      <c r="H3202" s="3" t="inlineStr">
        <is>
          <t>Laboratory Fees</t>
        </is>
      </c>
      <c r="I3202" s="33" t="n">
        <v>11352.28</v>
      </c>
      <c r="J3202" s="13">
        <f>+J3201+I3202</f>
        <v>717860.06</v>
      </c>
      <c r="K3202" s="19">
        <f>+EOMONTH(B3202,0)</f>
        <v>46326</v>
      </c>
      <c r="L3202" s="3" t="inlineStr">
        <is>
          <t>Laboratory Fees</t>
        </is>
      </c>
      <c r="M3202" s="3" t="inlineStr">
        <is>
          <t>Laboratory Fees</t>
        </is>
      </c>
    </row>
    <row r="3203">
      <c r="B3203" s="39" t="n">
        <v>46333</v>
      </c>
      <c r="C3203" s="3" t="inlineStr">
        <is>
          <t>Bill</t>
        </is>
      </c>
      <c r="D3203" s="3" t="inlineStr"/>
      <c r="E3203" s="3" t="inlineStr">
        <is>
          <t>Reference Lab A</t>
        </is>
      </c>
      <c r="F3203" s="3" t="inlineStr">
        <is>
          <t>Send-out testing – November</t>
        </is>
      </c>
      <c r="G3203" s="3" t="inlineStr">
        <is>
          <t>Accounts Payable</t>
        </is>
      </c>
      <c r="H3203" s="3" t="inlineStr">
        <is>
          <t>Laboratory Fees</t>
        </is>
      </c>
      <c r="I3203" s="33" t="n">
        <v>15885.3</v>
      </c>
      <c r="J3203" s="13">
        <f>+J3202+I3203</f>
        <v>733745.36</v>
      </c>
      <c r="K3203" s="19">
        <f>+EOMONTH(B3203,0)</f>
        <v>46356</v>
      </c>
      <c r="L3203" s="3" t="inlineStr">
        <is>
          <t>Laboratory Fees</t>
        </is>
      </c>
      <c r="M3203" s="3" t="inlineStr">
        <is>
          <t>Laboratory Fees</t>
        </is>
      </c>
    </row>
    <row r="3204">
      <c r="B3204" s="39" t="n">
        <v>46334</v>
      </c>
      <c r="C3204" s="3" t="inlineStr">
        <is>
          <t>Bill</t>
        </is>
      </c>
      <c r="D3204" s="3" t="inlineStr"/>
      <c r="E3204" s="3" t="inlineStr">
        <is>
          <t>Reference Lab A</t>
        </is>
      </c>
      <c r="F3204" s="3" t="inlineStr">
        <is>
          <t>Send-out testing – November</t>
        </is>
      </c>
      <c r="G3204" s="3" t="inlineStr">
        <is>
          <t>Accounts Payable</t>
        </is>
      </c>
      <c r="H3204" s="3" t="inlineStr">
        <is>
          <t>Laboratory Fees</t>
        </is>
      </c>
      <c r="I3204" s="33" t="n">
        <v>18356.78</v>
      </c>
      <c r="J3204" s="13">
        <f>+J3203+I3204</f>
        <v>752102.14</v>
      </c>
      <c r="K3204" s="19">
        <f>+EOMONTH(B3204,0)</f>
        <v>46356</v>
      </c>
      <c r="L3204" s="3" t="inlineStr">
        <is>
          <t>Laboratory Fees</t>
        </is>
      </c>
      <c r="M3204" s="3" t="inlineStr">
        <is>
          <t>Laboratory Fees</t>
        </is>
      </c>
    </row>
    <row r="3205">
      <c r="B3205" s="39" t="n">
        <v>46350</v>
      </c>
      <c r="C3205" s="3" t="inlineStr">
        <is>
          <t>Bill</t>
        </is>
      </c>
      <c r="D3205" s="3" t="inlineStr"/>
      <c r="E3205" s="3" t="inlineStr">
        <is>
          <t>Reference Lab A</t>
        </is>
      </c>
      <c r="F3205" s="3" t="inlineStr">
        <is>
          <t>Send-out testing – November</t>
        </is>
      </c>
      <c r="G3205" s="3" t="inlineStr">
        <is>
          <t>Accounts Payable</t>
        </is>
      </c>
      <c r="H3205" s="3" t="inlineStr">
        <is>
          <t>Laboratory Fees</t>
        </is>
      </c>
      <c r="I3205" s="33" t="n">
        <v>11586.73</v>
      </c>
      <c r="J3205" s="13">
        <f>+J3204+I3205</f>
        <v>763688.87</v>
      </c>
      <c r="K3205" s="19">
        <f>+EOMONTH(B3205,0)</f>
        <v>46356</v>
      </c>
      <c r="L3205" s="3" t="inlineStr">
        <is>
          <t>Laboratory Fees</t>
        </is>
      </c>
      <c r="M3205" s="3" t="inlineStr">
        <is>
          <t>Laboratory Fees</t>
        </is>
      </c>
    </row>
    <row r="3206">
      <c r="B3206" s="39" t="n">
        <v>46353</v>
      </c>
      <c r="C3206" s="3" t="inlineStr">
        <is>
          <t>Bill</t>
        </is>
      </c>
      <c r="D3206" s="3" t="inlineStr"/>
      <c r="E3206" s="3" t="inlineStr">
        <is>
          <t>Reference Lab A</t>
        </is>
      </c>
      <c r="F3206" s="3" t="inlineStr">
        <is>
          <t>Send-out testing – November</t>
        </is>
      </c>
      <c r="G3206" s="3" t="inlineStr">
        <is>
          <t>Accounts Payable</t>
        </is>
      </c>
      <c r="H3206" s="3" t="inlineStr">
        <is>
          <t>Laboratory Fees</t>
        </is>
      </c>
      <c r="I3206" s="33" t="n">
        <v>11557.21</v>
      </c>
      <c r="J3206" s="13">
        <f>+J3205+I3206</f>
        <v>775246.08</v>
      </c>
      <c r="K3206" s="19">
        <f>+EOMONTH(B3206,0)</f>
        <v>46356</v>
      </c>
      <c r="L3206" s="3" t="inlineStr">
        <is>
          <t>Laboratory Fees</t>
        </is>
      </c>
      <c r="M3206" s="3" t="inlineStr">
        <is>
          <t>Laboratory Fees</t>
        </is>
      </c>
    </row>
    <row r="3207">
      <c r="B3207" s="39" t="n">
        <v>46354</v>
      </c>
      <c r="C3207" s="3" t="inlineStr">
        <is>
          <t>Bill</t>
        </is>
      </c>
      <c r="D3207" s="3" t="inlineStr"/>
      <c r="E3207" s="3" t="inlineStr">
        <is>
          <t>Reference Lab A</t>
        </is>
      </c>
      <c r="F3207" s="3" t="inlineStr">
        <is>
          <t>Send-out testing – November</t>
        </is>
      </c>
      <c r="G3207" s="3" t="inlineStr">
        <is>
          <t>Accounts Payable</t>
        </is>
      </c>
      <c r="H3207" s="3" t="inlineStr">
        <is>
          <t>Laboratory Fees</t>
        </is>
      </c>
      <c r="I3207" s="33" t="n">
        <v>12474.46</v>
      </c>
      <c r="J3207" s="13">
        <f>+J3206+I3207</f>
        <v>787720.54</v>
      </c>
      <c r="K3207" s="19">
        <f>+EOMONTH(B3207,0)</f>
        <v>46356</v>
      </c>
      <c r="L3207" s="3" t="inlineStr">
        <is>
          <t>Laboratory Fees</t>
        </is>
      </c>
      <c r="M3207" s="3" t="inlineStr">
        <is>
          <t>Laboratory Fees</t>
        </is>
      </c>
    </row>
    <row r="3208">
      <c r="A3208" s="2" t="inlineStr">
        <is>
          <t>Total for Laboratory Fees</t>
        </is>
      </c>
      <c r="I3208" s="35">
        <f>SUM(I3164:I3207)</f>
        <v>787720.54</v>
      </c>
    </row>
    <row r="3210">
      <c r="A3210" s="2" t="inlineStr">
        <is>
          <t>Reagents</t>
        </is>
      </c>
    </row>
    <row r="3211">
      <c r="B3211" s="39" t="n">
        <v>46029</v>
      </c>
      <c r="C3211" s="3" t="inlineStr">
        <is>
          <t>Bill</t>
        </is>
      </c>
      <c r="D3211" s="3" t="inlineStr"/>
      <c r="E3211" s="3" t="inlineStr">
        <is>
          <t>Reagentix Corp</t>
        </is>
      </c>
      <c r="F3211" s="3" t="inlineStr">
        <is>
          <t>Lab supplies PO# F2987</t>
        </is>
      </c>
      <c r="G3211" s="3" t="inlineStr">
        <is>
          <t>Accounts Payable</t>
        </is>
      </c>
      <c r="H3211" s="3" t="inlineStr">
        <is>
          <t>Reagents</t>
        </is>
      </c>
      <c r="I3211" s="33" t="n">
        <v>13910.67</v>
      </c>
      <c r="J3211" s="13">
        <f>+I3211</f>
        <v>13910.67</v>
      </c>
      <c r="K3211" s="19">
        <f>+EOMONTH(B3211,0)</f>
        <v>46053</v>
      </c>
      <c r="L3211" s="3" t="inlineStr">
        <is>
          <t>Reagents</t>
        </is>
      </c>
      <c r="M3211" s="3" t="inlineStr">
        <is>
          <t>Medical Supplies</t>
        </is>
      </c>
    </row>
    <row r="3212">
      <c r="B3212" s="39" t="n">
        <v>46034</v>
      </c>
      <c r="C3212" s="3" t="inlineStr">
        <is>
          <t>Bill</t>
        </is>
      </c>
      <c r="D3212" s="3" t="inlineStr"/>
      <c r="E3212" s="3" t="inlineStr">
        <is>
          <t>Reagentix Corp</t>
        </is>
      </c>
      <c r="F3212" s="3" t="inlineStr">
        <is>
          <t>Lab supplies PO# F2629</t>
        </is>
      </c>
      <c r="G3212" s="3" t="inlineStr">
        <is>
          <t>Accounts Payable</t>
        </is>
      </c>
      <c r="H3212" s="3" t="inlineStr">
        <is>
          <t>Reagents</t>
        </is>
      </c>
      <c r="I3212" s="33" t="n">
        <v>9806.629999999999</v>
      </c>
      <c r="J3212" s="13">
        <f>+J3211+I3212</f>
        <v>23717.3</v>
      </c>
      <c r="K3212" s="19">
        <f>+EOMONTH(B3212,0)</f>
        <v>46053</v>
      </c>
      <c r="L3212" s="3" t="inlineStr">
        <is>
          <t>Reagents</t>
        </is>
      </c>
      <c r="M3212" s="3" t="inlineStr">
        <is>
          <t>Medical Supplies</t>
        </is>
      </c>
    </row>
    <row r="3213">
      <c r="B3213" s="39" t="n">
        <v>46034</v>
      </c>
      <c r="C3213" s="3" t="inlineStr">
        <is>
          <t>Bill</t>
        </is>
      </c>
      <c r="D3213" s="3" t="inlineStr"/>
      <c r="E3213" s="3" t="inlineStr">
        <is>
          <t>Reagentix Corp</t>
        </is>
      </c>
      <c r="F3213" s="3" t="inlineStr">
        <is>
          <t>Lab supplies PO# F2858</t>
        </is>
      </c>
      <c r="G3213" s="3" t="inlineStr">
        <is>
          <t>Accounts Payable</t>
        </is>
      </c>
      <c r="H3213" s="3" t="inlineStr">
        <is>
          <t>Reagents</t>
        </is>
      </c>
      <c r="I3213" s="33" t="n">
        <v>10775.55</v>
      </c>
      <c r="J3213" s="13">
        <f>+J3212+I3213</f>
        <v>34492.85</v>
      </c>
      <c r="K3213" s="19">
        <f>+EOMONTH(B3213,0)</f>
        <v>46053</v>
      </c>
      <c r="L3213" s="3" t="inlineStr">
        <is>
          <t>Reagents</t>
        </is>
      </c>
      <c r="M3213" s="3" t="inlineStr">
        <is>
          <t>Medical Supplies</t>
        </is>
      </c>
    </row>
    <row r="3214">
      <c r="B3214" s="39" t="n">
        <v>46051</v>
      </c>
      <c r="C3214" s="3" t="inlineStr">
        <is>
          <t>Bill</t>
        </is>
      </c>
      <c r="D3214" s="3" t="inlineStr"/>
      <c r="E3214" s="3" t="inlineStr">
        <is>
          <t>Reagentix Corp</t>
        </is>
      </c>
      <c r="F3214" s="3" t="inlineStr">
        <is>
          <t>Lab supplies PO# F2897</t>
        </is>
      </c>
      <c r="G3214" s="3" t="inlineStr">
        <is>
          <t>Accounts Payable</t>
        </is>
      </c>
      <c r="H3214" s="3" t="inlineStr">
        <is>
          <t>Reagents</t>
        </is>
      </c>
      <c r="I3214" s="33" t="n">
        <v>7474.82</v>
      </c>
      <c r="J3214" s="13">
        <f>+J3213+I3214</f>
        <v>41967.67</v>
      </c>
      <c r="K3214" s="19">
        <f>+EOMONTH(B3214,0)</f>
        <v>46053</v>
      </c>
      <c r="L3214" s="3" t="inlineStr">
        <is>
          <t>Reagents</t>
        </is>
      </c>
      <c r="M3214" s="3" t="inlineStr">
        <is>
          <t>Medical Supplies</t>
        </is>
      </c>
    </row>
    <row r="3215">
      <c r="B3215" s="39" t="n">
        <v>46052</v>
      </c>
      <c r="C3215" s="3" t="inlineStr">
        <is>
          <t>Bill</t>
        </is>
      </c>
      <c r="D3215" s="3" t="inlineStr"/>
      <c r="E3215" s="3" t="inlineStr">
        <is>
          <t>Reagentix Corp</t>
        </is>
      </c>
      <c r="F3215" s="3" t="inlineStr">
        <is>
          <t>Lab supplies PO# F2701</t>
        </is>
      </c>
      <c r="G3215" s="3" t="inlineStr">
        <is>
          <t>Accounts Payable</t>
        </is>
      </c>
      <c r="H3215" s="3" t="inlineStr">
        <is>
          <t>Reagents</t>
        </is>
      </c>
      <c r="I3215" s="33" t="n">
        <v>7832.33</v>
      </c>
      <c r="J3215" s="13">
        <f>+J3214+I3215</f>
        <v>49800</v>
      </c>
      <c r="K3215" s="19">
        <f>+EOMONTH(B3215,0)</f>
        <v>46053</v>
      </c>
      <c r="L3215" s="3" t="inlineStr">
        <is>
          <t>Reagents</t>
        </is>
      </c>
      <c r="M3215" s="3" t="inlineStr">
        <is>
          <t>Medical Supplies</t>
        </is>
      </c>
    </row>
    <row r="3216">
      <c r="B3216" s="39" t="n">
        <v>46067</v>
      </c>
      <c r="C3216" s="3" t="inlineStr">
        <is>
          <t>Bill</t>
        </is>
      </c>
      <c r="D3216" s="3" t="inlineStr"/>
      <c r="E3216" s="3" t="inlineStr">
        <is>
          <t>Reagentix Corp</t>
        </is>
      </c>
      <c r="F3216" s="3" t="inlineStr">
        <is>
          <t>Lab supplies PO# F2253</t>
        </is>
      </c>
      <c r="G3216" s="3" t="inlineStr">
        <is>
          <t>Accounts Payable</t>
        </is>
      </c>
      <c r="H3216" s="3" t="inlineStr">
        <is>
          <t>Reagents</t>
        </is>
      </c>
      <c r="I3216" s="33" t="n">
        <v>16814.32</v>
      </c>
      <c r="J3216" s="13">
        <f>+J3215+I3216</f>
        <v>66614.32</v>
      </c>
      <c r="K3216" s="19">
        <f>+EOMONTH(B3216,0)</f>
        <v>46081</v>
      </c>
      <c r="L3216" s="3" t="inlineStr">
        <is>
          <t>Reagents</t>
        </is>
      </c>
      <c r="M3216" s="3" t="inlineStr">
        <is>
          <t>Medical Supplies</t>
        </is>
      </c>
    </row>
    <row r="3217">
      <c r="B3217" s="39" t="n">
        <v>46067</v>
      </c>
      <c r="C3217" s="3" t="inlineStr">
        <is>
          <t>Bill</t>
        </is>
      </c>
      <c r="D3217" s="3" t="inlineStr"/>
      <c r="E3217" s="3" t="inlineStr">
        <is>
          <t>Reagentix Corp</t>
        </is>
      </c>
      <c r="F3217" s="3" t="inlineStr">
        <is>
          <t>Lab supplies PO# F2980</t>
        </is>
      </c>
      <c r="G3217" s="3" t="inlineStr">
        <is>
          <t>Accounts Payable</t>
        </is>
      </c>
      <c r="H3217" s="3" t="inlineStr">
        <is>
          <t>Reagents</t>
        </is>
      </c>
      <c r="I3217" s="33" t="n">
        <v>8781.370000000001</v>
      </c>
      <c r="J3217" s="13">
        <f>+J3216+I3217</f>
        <v>75395.69</v>
      </c>
      <c r="K3217" s="19">
        <f>+EOMONTH(B3217,0)</f>
        <v>46081</v>
      </c>
      <c r="L3217" s="3" t="inlineStr">
        <is>
          <t>Reagents</t>
        </is>
      </c>
      <c r="M3217" s="3" t="inlineStr">
        <is>
          <t>Medical Supplies</t>
        </is>
      </c>
    </row>
    <row r="3218">
      <c r="B3218" s="39" t="n">
        <v>46072</v>
      </c>
      <c r="C3218" s="3" t="inlineStr">
        <is>
          <t>Bill</t>
        </is>
      </c>
      <c r="D3218" s="3" t="inlineStr"/>
      <c r="E3218" s="3" t="inlineStr">
        <is>
          <t>Reagentix Corp</t>
        </is>
      </c>
      <c r="F3218" s="3" t="inlineStr">
        <is>
          <t>Lab supplies PO# F2573</t>
        </is>
      </c>
      <c r="G3218" s="3" t="inlineStr">
        <is>
          <t>Accounts Payable</t>
        </is>
      </c>
      <c r="H3218" s="3" t="inlineStr">
        <is>
          <t>Reagents</t>
        </is>
      </c>
      <c r="I3218" s="33" t="n">
        <v>15904.31</v>
      </c>
      <c r="J3218" s="13">
        <f>+J3217+I3218</f>
        <v>91300</v>
      </c>
      <c r="K3218" s="19">
        <f>+EOMONTH(B3218,0)</f>
        <v>46081</v>
      </c>
      <c r="L3218" s="3" t="inlineStr">
        <is>
          <t>Reagents</t>
        </is>
      </c>
      <c r="M3218" s="3" t="inlineStr">
        <is>
          <t>Medical Supplies</t>
        </is>
      </c>
    </row>
    <row r="3219">
      <c r="B3219" s="39" t="n">
        <v>46092</v>
      </c>
      <c r="C3219" s="3" t="inlineStr">
        <is>
          <t>Bill</t>
        </is>
      </c>
      <c r="D3219" s="3" t="inlineStr"/>
      <c r="E3219" s="3" t="inlineStr">
        <is>
          <t>Reagentix Corp</t>
        </is>
      </c>
      <c r="F3219" s="3" t="inlineStr">
        <is>
          <t>Lab supplies PO# F2882</t>
        </is>
      </c>
      <c r="G3219" s="3" t="inlineStr">
        <is>
          <t>Accounts Payable</t>
        </is>
      </c>
      <c r="H3219" s="3" t="inlineStr">
        <is>
          <t>Reagents</t>
        </is>
      </c>
      <c r="I3219" s="33" t="n">
        <v>10975.39</v>
      </c>
      <c r="J3219" s="13">
        <f>+J3218+I3219</f>
        <v>102275.39</v>
      </c>
      <c r="K3219" s="19">
        <f>+EOMONTH(B3219,0)</f>
        <v>46112</v>
      </c>
      <c r="L3219" s="3" t="inlineStr">
        <is>
          <t>Reagents</t>
        </is>
      </c>
      <c r="M3219" s="3" t="inlineStr">
        <is>
          <t>Medical Supplies</t>
        </is>
      </c>
    </row>
    <row r="3220">
      <c r="B3220" s="39" t="n">
        <v>46094</v>
      </c>
      <c r="C3220" s="3" t="inlineStr">
        <is>
          <t>Bill</t>
        </is>
      </c>
      <c r="D3220" s="3" t="inlineStr"/>
      <c r="E3220" s="3" t="inlineStr">
        <is>
          <t>Reagentix Corp</t>
        </is>
      </c>
      <c r="F3220" s="3" t="inlineStr">
        <is>
          <t>Lab supplies PO# F2949</t>
        </is>
      </c>
      <c r="G3220" s="3" t="inlineStr">
        <is>
          <t>Accounts Payable</t>
        </is>
      </c>
      <c r="H3220" s="3" t="inlineStr">
        <is>
          <t>Reagents</t>
        </is>
      </c>
      <c r="I3220" s="33" t="n">
        <v>12831.77</v>
      </c>
      <c r="J3220" s="13">
        <f>+J3219+I3220</f>
        <v>115107.16</v>
      </c>
      <c r="K3220" s="19">
        <f>+EOMONTH(B3220,0)</f>
        <v>46112</v>
      </c>
      <c r="L3220" s="3" t="inlineStr">
        <is>
          <t>Reagents</t>
        </is>
      </c>
      <c r="M3220" s="3" t="inlineStr">
        <is>
          <t>Medical Supplies</t>
        </is>
      </c>
    </row>
    <row r="3221">
      <c r="B3221" s="39" t="n">
        <v>46103</v>
      </c>
      <c r="C3221" s="3" t="inlineStr">
        <is>
          <t>Bill</t>
        </is>
      </c>
      <c r="D3221" s="3" t="inlineStr"/>
      <c r="E3221" s="3" t="inlineStr">
        <is>
          <t>Reagentix Corp</t>
        </is>
      </c>
      <c r="F3221" s="3" t="inlineStr">
        <is>
          <t>Lab supplies PO# F2993</t>
        </is>
      </c>
      <c r="G3221" s="3" t="inlineStr">
        <is>
          <t>Accounts Payable</t>
        </is>
      </c>
      <c r="H3221" s="3" t="inlineStr">
        <is>
          <t>Reagents</t>
        </is>
      </c>
      <c r="I3221" s="33" t="n">
        <v>11539.13</v>
      </c>
      <c r="J3221" s="13">
        <f>+J3220+I3221</f>
        <v>126646.29</v>
      </c>
      <c r="K3221" s="19">
        <f>+EOMONTH(B3221,0)</f>
        <v>46112</v>
      </c>
      <c r="L3221" s="3" t="inlineStr">
        <is>
          <t>Reagents</t>
        </is>
      </c>
      <c r="M3221" s="3" t="inlineStr">
        <is>
          <t>Medical Supplies</t>
        </is>
      </c>
    </row>
    <row r="3222">
      <c r="B3222" s="39" t="n">
        <v>46106</v>
      </c>
      <c r="C3222" s="3" t="inlineStr">
        <is>
          <t>Bill</t>
        </is>
      </c>
      <c r="D3222" s="3" t="inlineStr"/>
      <c r="E3222" s="3" t="inlineStr">
        <is>
          <t>Reagentix Corp</t>
        </is>
      </c>
      <c r="F3222" s="3" t="inlineStr">
        <is>
          <t>Lab supplies PO# F2116</t>
        </is>
      </c>
      <c r="G3222" s="3" t="inlineStr">
        <is>
          <t>Accounts Payable</t>
        </is>
      </c>
      <c r="H3222" s="3" t="inlineStr">
        <is>
          <t>Reagents</t>
        </is>
      </c>
      <c r="I3222" s="33" t="n">
        <v>13053.71</v>
      </c>
      <c r="J3222" s="13">
        <f>+J3221+I3222</f>
        <v>139700</v>
      </c>
      <c r="K3222" s="19">
        <f>+EOMONTH(B3222,0)</f>
        <v>46112</v>
      </c>
      <c r="L3222" s="3" t="inlineStr">
        <is>
          <t>Reagents</t>
        </is>
      </c>
      <c r="M3222" s="3" t="inlineStr">
        <is>
          <t>Medical Supplies</t>
        </is>
      </c>
    </row>
    <row r="3223">
      <c r="B3223" s="39" t="n">
        <v>46119</v>
      </c>
      <c r="C3223" s="3" t="inlineStr">
        <is>
          <t>Bill</t>
        </is>
      </c>
      <c r="D3223" s="3" t="inlineStr"/>
      <c r="E3223" s="3" t="inlineStr">
        <is>
          <t>Reagentix Corp</t>
        </is>
      </c>
      <c r="F3223" s="3" t="inlineStr">
        <is>
          <t>Lab supplies PO# F2745</t>
        </is>
      </c>
      <c r="G3223" s="3" t="inlineStr">
        <is>
          <t>Accounts Payable</t>
        </is>
      </c>
      <c r="H3223" s="3" t="inlineStr">
        <is>
          <t>Reagents</t>
        </is>
      </c>
      <c r="I3223" s="33" t="n">
        <v>16231.9</v>
      </c>
      <c r="J3223" s="13">
        <f>+J3222+I3223</f>
        <v>155931.9</v>
      </c>
      <c r="K3223" s="19">
        <f>+EOMONTH(B3223,0)</f>
        <v>46142</v>
      </c>
      <c r="L3223" s="3" t="inlineStr">
        <is>
          <t>Reagents</t>
        </is>
      </c>
      <c r="M3223" s="3" t="inlineStr">
        <is>
          <t>Medical Supplies</t>
        </is>
      </c>
    </row>
    <row r="3224">
      <c r="B3224" s="39" t="n">
        <v>46126</v>
      </c>
      <c r="C3224" s="3" t="inlineStr">
        <is>
          <t>Bill</t>
        </is>
      </c>
      <c r="D3224" s="3" t="inlineStr"/>
      <c r="E3224" s="3" t="inlineStr">
        <is>
          <t>Reagentix Corp</t>
        </is>
      </c>
      <c r="F3224" s="3" t="inlineStr">
        <is>
          <t>Lab supplies PO# F2455</t>
        </is>
      </c>
      <c r="G3224" s="3" t="inlineStr">
        <is>
          <t>Accounts Payable</t>
        </is>
      </c>
      <c r="H3224" s="3" t="inlineStr">
        <is>
          <t>Reagents</t>
        </is>
      </c>
      <c r="I3224" s="33" t="n">
        <v>15312.03</v>
      </c>
      <c r="J3224" s="13">
        <f>+J3223+I3224</f>
        <v>171243.93</v>
      </c>
      <c r="K3224" s="19">
        <f>+EOMONTH(B3224,0)</f>
        <v>46142</v>
      </c>
      <c r="L3224" s="3" t="inlineStr">
        <is>
          <t>Reagents</t>
        </is>
      </c>
      <c r="M3224" s="3" t="inlineStr">
        <is>
          <t>Medical Supplies</t>
        </is>
      </c>
    </row>
    <row r="3225">
      <c r="B3225" s="39" t="n">
        <v>46139</v>
      </c>
      <c r="C3225" s="3" t="inlineStr">
        <is>
          <t>Bill</t>
        </is>
      </c>
      <c r="D3225" s="3" t="inlineStr"/>
      <c r="E3225" s="3" t="inlineStr">
        <is>
          <t>Reagentix Corp</t>
        </is>
      </c>
      <c r="F3225" s="3" t="inlineStr">
        <is>
          <t>Lab supplies PO# F2076</t>
        </is>
      </c>
      <c r="G3225" s="3" t="inlineStr">
        <is>
          <t>Accounts Payable</t>
        </is>
      </c>
      <c r="H3225" s="3" t="inlineStr">
        <is>
          <t>Reagents</t>
        </is>
      </c>
      <c r="I3225" s="33" t="n">
        <v>9915.02</v>
      </c>
      <c r="J3225" s="13">
        <f>+J3224+I3225</f>
        <v>181158.95</v>
      </c>
      <c r="K3225" s="19">
        <f>+EOMONTH(B3225,0)</f>
        <v>46142</v>
      </c>
      <c r="L3225" s="3" t="inlineStr">
        <is>
          <t>Reagents</t>
        </is>
      </c>
      <c r="M3225" s="3" t="inlineStr">
        <is>
          <t>Medical Supplies</t>
        </is>
      </c>
    </row>
    <row r="3226">
      <c r="B3226" s="39" t="n">
        <v>46141</v>
      </c>
      <c r="C3226" s="3" t="inlineStr">
        <is>
          <t>Bill</t>
        </is>
      </c>
      <c r="D3226" s="3" t="inlineStr"/>
      <c r="E3226" s="3" t="inlineStr">
        <is>
          <t>Reagentix Corp</t>
        </is>
      </c>
      <c r="F3226" s="3" t="inlineStr">
        <is>
          <t>Lab supplies PO# F2496</t>
        </is>
      </c>
      <c r="G3226" s="3" t="inlineStr">
        <is>
          <t>Accounts Payable</t>
        </is>
      </c>
      <c r="H3226" s="3" t="inlineStr">
        <is>
          <t>Reagents</t>
        </is>
      </c>
      <c r="I3226" s="33" t="n">
        <v>10141.05</v>
      </c>
      <c r="J3226" s="13">
        <f>+J3225+I3226</f>
        <v>191300</v>
      </c>
      <c r="K3226" s="19">
        <f>+EOMONTH(B3226,0)</f>
        <v>46142</v>
      </c>
      <c r="L3226" s="3" t="inlineStr">
        <is>
          <t>Reagents</t>
        </is>
      </c>
      <c r="M3226" s="3" t="inlineStr">
        <is>
          <t>Medical Supplies</t>
        </is>
      </c>
    </row>
    <row r="3227">
      <c r="B3227" s="39" t="n">
        <v>46147</v>
      </c>
      <c r="C3227" s="3" t="inlineStr">
        <is>
          <t>Bill</t>
        </is>
      </c>
      <c r="D3227" s="3" t="inlineStr"/>
      <c r="E3227" s="3" t="inlineStr">
        <is>
          <t>Reagentix Corp</t>
        </is>
      </c>
      <c r="F3227" s="3" t="inlineStr">
        <is>
          <t>Lab supplies PO# F2969</t>
        </is>
      </c>
      <c r="G3227" s="3" t="inlineStr">
        <is>
          <t>Accounts Payable</t>
        </is>
      </c>
      <c r="H3227" s="3" t="inlineStr">
        <is>
          <t>Reagents</t>
        </is>
      </c>
      <c r="I3227" s="33" t="n">
        <v>6752.91</v>
      </c>
      <c r="J3227" s="13">
        <f>+J3226+I3227</f>
        <v>198052.91</v>
      </c>
      <c r="K3227" s="19">
        <f>+EOMONTH(B3227,0)</f>
        <v>46173</v>
      </c>
      <c r="L3227" s="3" t="inlineStr">
        <is>
          <t>Reagents</t>
        </is>
      </c>
      <c r="M3227" s="3" t="inlineStr">
        <is>
          <t>Medical Supplies</t>
        </is>
      </c>
    </row>
    <row r="3228">
      <c r="B3228" s="39" t="n">
        <v>46149</v>
      </c>
      <c r="C3228" s="3" t="inlineStr">
        <is>
          <t>Bill</t>
        </is>
      </c>
      <c r="D3228" s="3" t="inlineStr"/>
      <c r="E3228" s="3" t="inlineStr">
        <is>
          <t>Reagentix Corp</t>
        </is>
      </c>
      <c r="F3228" s="3" t="inlineStr">
        <is>
          <t>Lab supplies PO# F2230</t>
        </is>
      </c>
      <c r="G3228" s="3" t="inlineStr">
        <is>
          <t>Accounts Payable</t>
        </is>
      </c>
      <c r="H3228" s="3" t="inlineStr">
        <is>
          <t>Reagents</t>
        </is>
      </c>
      <c r="I3228" s="33" t="n">
        <v>11078.33</v>
      </c>
      <c r="J3228" s="13">
        <f>+J3227+I3228</f>
        <v>209131.24</v>
      </c>
      <c r="K3228" s="19">
        <f>+EOMONTH(B3228,0)</f>
        <v>46173</v>
      </c>
      <c r="L3228" s="3" t="inlineStr">
        <is>
          <t>Reagents</t>
        </is>
      </c>
      <c r="M3228" s="3" t="inlineStr">
        <is>
          <t>Medical Supplies</t>
        </is>
      </c>
    </row>
    <row r="3229">
      <c r="B3229" s="39" t="n">
        <v>46155</v>
      </c>
      <c r="C3229" s="3" t="inlineStr">
        <is>
          <t>Bill</t>
        </is>
      </c>
      <c r="D3229" s="3" t="inlineStr"/>
      <c r="E3229" s="3" t="inlineStr">
        <is>
          <t>Reagentix Corp</t>
        </is>
      </c>
      <c r="F3229" s="3" t="inlineStr">
        <is>
          <t>Lab supplies PO# F2684</t>
        </is>
      </c>
      <c r="G3229" s="3" t="inlineStr">
        <is>
          <t>Accounts Payable</t>
        </is>
      </c>
      <c r="H3229" s="3" t="inlineStr">
        <is>
          <t>Reagents</t>
        </is>
      </c>
      <c r="I3229" s="33" t="n">
        <v>11021.36</v>
      </c>
      <c r="J3229" s="13">
        <f>+J3228+I3229</f>
        <v>220152.6</v>
      </c>
      <c r="K3229" s="19">
        <f>+EOMONTH(B3229,0)</f>
        <v>46173</v>
      </c>
      <c r="L3229" s="3" t="inlineStr">
        <is>
          <t>Reagents</t>
        </is>
      </c>
      <c r="M3229" s="3" t="inlineStr">
        <is>
          <t>Medical Supplies</t>
        </is>
      </c>
    </row>
    <row r="3230">
      <c r="B3230" s="39" t="n">
        <v>46168</v>
      </c>
      <c r="C3230" s="3" t="inlineStr">
        <is>
          <t>Bill</t>
        </is>
      </c>
      <c r="D3230" s="3" t="inlineStr"/>
      <c r="E3230" s="3" t="inlineStr">
        <is>
          <t>Reagentix Corp</t>
        </is>
      </c>
      <c r="F3230" s="3" t="inlineStr">
        <is>
          <t>Lab supplies PO# F2780</t>
        </is>
      </c>
      <c r="G3230" s="3" t="inlineStr">
        <is>
          <t>Accounts Payable</t>
        </is>
      </c>
      <c r="H3230" s="3" t="inlineStr">
        <is>
          <t>Reagents</t>
        </is>
      </c>
      <c r="I3230" s="33" t="n">
        <v>9237.35</v>
      </c>
      <c r="J3230" s="13">
        <f>+J3229+I3230</f>
        <v>229389.95</v>
      </c>
      <c r="K3230" s="19">
        <f>+EOMONTH(B3230,0)</f>
        <v>46173</v>
      </c>
      <c r="L3230" s="3" t="inlineStr">
        <is>
          <t>Reagents</t>
        </is>
      </c>
      <c r="M3230" s="3" t="inlineStr">
        <is>
          <t>Medical Supplies</t>
        </is>
      </c>
    </row>
    <row r="3231">
      <c r="B3231" s="39" t="n">
        <v>46170</v>
      </c>
      <c r="C3231" s="3" t="inlineStr">
        <is>
          <t>Bill</t>
        </is>
      </c>
      <c r="D3231" s="3" t="inlineStr"/>
      <c r="E3231" s="3" t="inlineStr">
        <is>
          <t>Reagentix Corp</t>
        </is>
      </c>
      <c r="F3231" s="3" t="inlineStr">
        <is>
          <t>Lab supplies PO# F2496</t>
        </is>
      </c>
      <c r="G3231" s="3" t="inlineStr">
        <is>
          <t>Accounts Payable</t>
        </is>
      </c>
      <c r="H3231" s="3" t="inlineStr">
        <is>
          <t>Reagents</t>
        </is>
      </c>
      <c r="I3231" s="33" t="n">
        <v>12610.05</v>
      </c>
      <c r="J3231" s="13">
        <f>+J3230+I3231</f>
        <v>242000</v>
      </c>
      <c r="K3231" s="19">
        <f>+EOMONTH(B3231,0)</f>
        <v>46173</v>
      </c>
      <c r="L3231" s="3" t="inlineStr">
        <is>
          <t>Reagents</t>
        </is>
      </c>
      <c r="M3231" s="3" t="inlineStr">
        <is>
          <t>Medical Supplies</t>
        </is>
      </c>
    </row>
    <row r="3232">
      <c r="B3232" s="39" t="n">
        <v>46182</v>
      </c>
      <c r="C3232" s="3" t="inlineStr">
        <is>
          <t>Bill</t>
        </is>
      </c>
      <c r="D3232" s="3" t="inlineStr"/>
      <c r="E3232" s="3" t="inlineStr">
        <is>
          <t>Reagentix Corp</t>
        </is>
      </c>
      <c r="F3232" s="3" t="inlineStr">
        <is>
          <t>Lab supplies PO# F2460</t>
        </is>
      </c>
      <c r="G3232" s="3" t="inlineStr">
        <is>
          <t>Accounts Payable</t>
        </is>
      </c>
      <c r="H3232" s="3" t="inlineStr">
        <is>
          <t>Reagents</t>
        </is>
      </c>
      <c r="I3232" s="33" t="n">
        <v>14715.61</v>
      </c>
      <c r="J3232" s="13">
        <f>+J3231+I3232</f>
        <v>256715.61</v>
      </c>
      <c r="K3232" s="19">
        <f>+EOMONTH(B3232,0)</f>
        <v>46203</v>
      </c>
      <c r="L3232" s="3" t="inlineStr">
        <is>
          <t>Reagents</t>
        </is>
      </c>
      <c r="M3232" s="3" t="inlineStr">
        <is>
          <t>Medical Supplies</t>
        </is>
      </c>
    </row>
    <row r="3233">
      <c r="B3233" s="39" t="n">
        <v>46191</v>
      </c>
      <c r="C3233" s="3" t="inlineStr">
        <is>
          <t>Bill</t>
        </is>
      </c>
      <c r="D3233" s="3" t="inlineStr"/>
      <c r="E3233" s="3" t="inlineStr">
        <is>
          <t>Reagentix Corp</t>
        </is>
      </c>
      <c r="F3233" s="3" t="inlineStr">
        <is>
          <t>Lab supplies PO# F2529</t>
        </is>
      </c>
      <c r="G3233" s="3" t="inlineStr">
        <is>
          <t>Accounts Payable</t>
        </is>
      </c>
      <c r="H3233" s="3" t="inlineStr">
        <is>
          <t>Reagents</t>
        </is>
      </c>
      <c r="I3233" s="33" t="n">
        <v>10801.64</v>
      </c>
      <c r="J3233" s="13">
        <f>+J3232+I3233</f>
        <v>267517.25</v>
      </c>
      <c r="K3233" s="19">
        <f>+EOMONTH(B3233,0)</f>
        <v>46203</v>
      </c>
      <c r="L3233" s="3" t="inlineStr">
        <is>
          <t>Reagents</t>
        </is>
      </c>
      <c r="M3233" s="3" t="inlineStr">
        <is>
          <t>Medical Supplies</t>
        </is>
      </c>
    </row>
    <row r="3234">
      <c r="B3234" s="39" t="n">
        <v>46194</v>
      </c>
      <c r="C3234" s="3" t="inlineStr">
        <is>
          <t>Bill</t>
        </is>
      </c>
      <c r="D3234" s="3" t="inlineStr"/>
      <c r="E3234" s="3" t="inlineStr">
        <is>
          <t>Reagentix Corp</t>
        </is>
      </c>
      <c r="F3234" s="3" t="inlineStr">
        <is>
          <t>Lab supplies PO# F2814</t>
        </is>
      </c>
      <c r="G3234" s="3" t="inlineStr">
        <is>
          <t>Accounts Payable</t>
        </is>
      </c>
      <c r="H3234" s="3" t="inlineStr">
        <is>
          <t>Reagents</t>
        </is>
      </c>
      <c r="I3234" s="33" t="n">
        <v>14502.52</v>
      </c>
      <c r="J3234" s="13">
        <f>+J3233+I3234</f>
        <v>282019.77</v>
      </c>
      <c r="K3234" s="19">
        <f>+EOMONTH(B3234,0)</f>
        <v>46203</v>
      </c>
      <c r="L3234" s="3" t="inlineStr">
        <is>
          <t>Reagents</t>
        </is>
      </c>
      <c r="M3234" s="3" t="inlineStr">
        <is>
          <t>Medical Supplies</t>
        </is>
      </c>
    </row>
    <row r="3235">
      <c r="B3235" s="39" t="n">
        <v>46199</v>
      </c>
      <c r="C3235" s="3" t="inlineStr">
        <is>
          <t>Bill</t>
        </is>
      </c>
      <c r="D3235" s="3" t="inlineStr"/>
      <c r="E3235" s="3" t="inlineStr">
        <is>
          <t>Reagentix Corp</t>
        </is>
      </c>
      <c r="F3235" s="3" t="inlineStr">
        <is>
          <t>Lab supplies PO# F2667</t>
        </is>
      </c>
      <c r="G3235" s="3" t="inlineStr">
        <is>
          <t>Accounts Payable</t>
        </is>
      </c>
      <c r="H3235" s="3" t="inlineStr">
        <is>
          <t>Reagents</t>
        </is>
      </c>
      <c r="I3235" s="33" t="n">
        <v>8280.23</v>
      </c>
      <c r="J3235" s="13">
        <f>+J3234+I3235</f>
        <v>290300</v>
      </c>
      <c r="K3235" s="19">
        <f>+EOMONTH(B3235,0)</f>
        <v>46203</v>
      </c>
      <c r="L3235" s="3" t="inlineStr">
        <is>
          <t>Reagents</t>
        </is>
      </c>
      <c r="M3235" s="3" t="inlineStr">
        <is>
          <t>Medical Supplies</t>
        </is>
      </c>
    </row>
    <row r="3236">
      <c r="B3236" s="39" t="n">
        <v>46212</v>
      </c>
      <c r="C3236" s="3" t="inlineStr">
        <is>
          <t>Bill</t>
        </is>
      </c>
      <c r="D3236" s="3" t="inlineStr"/>
      <c r="E3236" s="3" t="inlineStr">
        <is>
          <t>Reagentix Corp</t>
        </is>
      </c>
      <c r="F3236" s="3" t="inlineStr">
        <is>
          <t>Lab supplies PO# F2059</t>
        </is>
      </c>
      <c r="G3236" s="3" t="inlineStr">
        <is>
          <t>Accounts Payable</t>
        </is>
      </c>
      <c r="H3236" s="3" t="inlineStr">
        <is>
          <t>Reagents</t>
        </is>
      </c>
      <c r="I3236" s="33" t="n">
        <v>8549.879999999999</v>
      </c>
      <c r="J3236" s="13">
        <f>+J3235+I3236</f>
        <v>298849.88</v>
      </c>
      <c r="K3236" s="19">
        <f>+EOMONTH(B3236,0)</f>
        <v>46234</v>
      </c>
      <c r="L3236" s="3" t="inlineStr">
        <is>
          <t>Reagents</t>
        </is>
      </c>
      <c r="M3236" s="3" t="inlineStr">
        <is>
          <t>Medical Supplies</t>
        </is>
      </c>
    </row>
    <row r="3237">
      <c r="B3237" s="39" t="n">
        <v>46216</v>
      </c>
      <c r="C3237" s="3" t="inlineStr">
        <is>
          <t>Bill</t>
        </is>
      </c>
      <c r="D3237" s="3" t="inlineStr"/>
      <c r="E3237" s="3" t="inlineStr">
        <is>
          <t>Reagentix Corp</t>
        </is>
      </c>
      <c r="F3237" s="3" t="inlineStr">
        <is>
          <t>Lab supplies PO# F2073</t>
        </is>
      </c>
      <c r="G3237" s="3" t="inlineStr">
        <is>
          <t>Accounts Payable</t>
        </is>
      </c>
      <c r="H3237" s="3" t="inlineStr">
        <is>
          <t>Reagents</t>
        </is>
      </c>
      <c r="I3237" s="33" t="n">
        <v>10748.29</v>
      </c>
      <c r="J3237" s="13">
        <f>+J3236+I3237</f>
        <v>309598.17</v>
      </c>
      <c r="K3237" s="19">
        <f>+EOMONTH(B3237,0)</f>
        <v>46234</v>
      </c>
      <c r="L3237" s="3" t="inlineStr">
        <is>
          <t>Reagents</t>
        </is>
      </c>
      <c r="M3237" s="3" t="inlineStr">
        <is>
          <t>Medical Supplies</t>
        </is>
      </c>
    </row>
    <row r="3238">
      <c r="B3238" s="39" t="n">
        <v>46217</v>
      </c>
      <c r="C3238" s="3" t="inlineStr">
        <is>
          <t>Bill</t>
        </is>
      </c>
      <c r="D3238" s="3" t="inlineStr"/>
      <c r="E3238" s="3" t="inlineStr">
        <is>
          <t>Reagentix Corp</t>
        </is>
      </c>
      <c r="F3238" s="3" t="inlineStr">
        <is>
          <t>Lab supplies PO# F2343</t>
        </is>
      </c>
      <c r="G3238" s="3" t="inlineStr">
        <is>
          <t>Accounts Payable</t>
        </is>
      </c>
      <c r="H3238" s="3" t="inlineStr">
        <is>
          <t>Reagents</t>
        </is>
      </c>
      <c r="I3238" s="33" t="n">
        <v>11167.52</v>
      </c>
      <c r="J3238" s="13">
        <f>+J3237+I3238</f>
        <v>320765.69</v>
      </c>
      <c r="K3238" s="19">
        <f>+EOMONTH(B3238,0)</f>
        <v>46234</v>
      </c>
      <c r="L3238" s="3" t="inlineStr">
        <is>
          <t>Reagents</t>
        </is>
      </c>
      <c r="M3238" s="3" t="inlineStr">
        <is>
          <t>Medical Supplies</t>
        </is>
      </c>
    </row>
    <row r="3239">
      <c r="B3239" s="39" t="n">
        <v>46220</v>
      </c>
      <c r="C3239" s="3" t="inlineStr">
        <is>
          <t>Bill</t>
        </is>
      </c>
      <c r="D3239" s="3" t="inlineStr"/>
      <c r="E3239" s="3" t="inlineStr">
        <is>
          <t>Reagentix Corp</t>
        </is>
      </c>
      <c r="F3239" s="3" t="inlineStr">
        <is>
          <t>Lab supplies PO# F2130</t>
        </is>
      </c>
      <c r="G3239" s="3" t="inlineStr">
        <is>
          <t>Accounts Payable</t>
        </is>
      </c>
      <c r="H3239" s="3" t="inlineStr">
        <is>
          <t>Reagents</t>
        </is>
      </c>
      <c r="I3239" s="33" t="n">
        <v>8513.73</v>
      </c>
      <c r="J3239" s="13">
        <f>+J3238+I3239</f>
        <v>329279.42</v>
      </c>
      <c r="K3239" s="19">
        <f>+EOMONTH(B3239,0)</f>
        <v>46234</v>
      </c>
      <c r="L3239" s="3" t="inlineStr">
        <is>
          <t>Reagents</t>
        </is>
      </c>
      <c r="M3239" s="3" t="inlineStr">
        <is>
          <t>Medical Supplies</t>
        </is>
      </c>
    </row>
    <row r="3240">
      <c r="B3240" s="39" t="n">
        <v>46228</v>
      </c>
      <c r="C3240" s="3" t="inlineStr">
        <is>
          <t>Bill</t>
        </is>
      </c>
      <c r="D3240" s="3" t="inlineStr"/>
      <c r="E3240" s="3" t="inlineStr">
        <is>
          <t>Reagentix Corp</t>
        </is>
      </c>
      <c r="F3240" s="3" t="inlineStr">
        <is>
          <t>Lab supplies PO# F2175</t>
        </is>
      </c>
      <c r="G3240" s="3" t="inlineStr">
        <is>
          <t>Accounts Payable</t>
        </is>
      </c>
      <c r="H3240" s="3" t="inlineStr">
        <is>
          <t>Reagents</t>
        </is>
      </c>
      <c r="I3240" s="33" t="n">
        <v>11820.58</v>
      </c>
      <c r="J3240" s="13">
        <f>+J3239+I3240</f>
        <v>341100</v>
      </c>
      <c r="K3240" s="19">
        <f>+EOMONTH(B3240,0)</f>
        <v>46234</v>
      </c>
      <c r="L3240" s="3" t="inlineStr">
        <is>
          <t>Reagents</t>
        </is>
      </c>
      <c r="M3240" s="3" t="inlineStr">
        <is>
          <t>Medical Supplies</t>
        </is>
      </c>
    </row>
    <row r="3241">
      <c r="B3241" s="39" t="n">
        <v>46241</v>
      </c>
      <c r="C3241" s="3" t="inlineStr">
        <is>
          <t>Bill</t>
        </is>
      </c>
      <c r="D3241" s="3" t="inlineStr"/>
      <c r="E3241" s="3" t="inlineStr">
        <is>
          <t>Reagentix Corp</t>
        </is>
      </c>
      <c r="F3241" s="3" t="inlineStr">
        <is>
          <t>Lab supplies PO# F2817</t>
        </is>
      </c>
      <c r="G3241" s="3" t="inlineStr">
        <is>
          <t>Accounts Payable</t>
        </is>
      </c>
      <c r="H3241" s="3" t="inlineStr">
        <is>
          <t>Reagents</t>
        </is>
      </c>
      <c r="I3241" s="33" t="n">
        <v>6274.42</v>
      </c>
      <c r="J3241" s="13">
        <f>+J3240+I3241</f>
        <v>347374.42</v>
      </c>
      <c r="K3241" s="19">
        <f>+EOMONTH(B3241,0)</f>
        <v>46265</v>
      </c>
      <c r="L3241" s="3" t="inlineStr">
        <is>
          <t>Reagents</t>
        </is>
      </c>
      <c r="M3241" s="3" t="inlineStr">
        <is>
          <t>Medical Supplies</t>
        </is>
      </c>
    </row>
    <row r="3242">
      <c r="B3242" s="39" t="n">
        <v>46241</v>
      </c>
      <c r="C3242" s="3" t="inlineStr">
        <is>
          <t>Bill</t>
        </is>
      </c>
      <c r="D3242" s="3" t="inlineStr"/>
      <c r="E3242" s="3" t="inlineStr">
        <is>
          <t>Reagentix Corp</t>
        </is>
      </c>
      <c r="F3242" s="3" t="inlineStr">
        <is>
          <t>Lab supplies PO# F2237</t>
        </is>
      </c>
      <c r="G3242" s="3" t="inlineStr">
        <is>
          <t>Accounts Payable</t>
        </is>
      </c>
      <c r="H3242" s="3" t="inlineStr">
        <is>
          <t>Reagents</t>
        </is>
      </c>
      <c r="I3242" s="33" t="n">
        <v>11292.69</v>
      </c>
      <c r="J3242" s="13">
        <f>+J3241+I3242</f>
        <v>358667.11</v>
      </c>
      <c r="K3242" s="19">
        <f>+EOMONTH(B3242,0)</f>
        <v>46265</v>
      </c>
      <c r="L3242" s="3" t="inlineStr">
        <is>
          <t>Reagents</t>
        </is>
      </c>
      <c r="M3242" s="3" t="inlineStr">
        <is>
          <t>Medical Supplies</t>
        </is>
      </c>
    </row>
    <row r="3243">
      <c r="B3243" s="39" t="n">
        <v>46254</v>
      </c>
      <c r="C3243" s="3" t="inlineStr">
        <is>
          <t>Bill</t>
        </is>
      </c>
      <c r="D3243" s="3" t="inlineStr"/>
      <c r="E3243" s="3" t="inlineStr">
        <is>
          <t>Reagentix Corp</t>
        </is>
      </c>
      <c r="F3243" s="3" t="inlineStr">
        <is>
          <t>Lab supplies PO# F2733</t>
        </is>
      </c>
      <c r="G3243" s="3" t="inlineStr">
        <is>
          <t>Accounts Payable</t>
        </is>
      </c>
      <c r="H3243" s="3" t="inlineStr">
        <is>
          <t>Reagents</t>
        </is>
      </c>
      <c r="I3243" s="33" t="n">
        <v>7374.46</v>
      </c>
      <c r="J3243" s="13">
        <f>+J3242+I3243</f>
        <v>366041.57</v>
      </c>
      <c r="K3243" s="19">
        <f>+EOMONTH(B3243,0)</f>
        <v>46265</v>
      </c>
      <c r="L3243" s="3" t="inlineStr">
        <is>
          <t>Reagents</t>
        </is>
      </c>
      <c r="M3243" s="3" t="inlineStr">
        <is>
          <t>Medical Supplies</t>
        </is>
      </c>
    </row>
    <row r="3244">
      <c r="B3244" s="39" t="n">
        <v>46255</v>
      </c>
      <c r="C3244" s="3" t="inlineStr">
        <is>
          <t>Bill</t>
        </is>
      </c>
      <c r="D3244" s="3" t="inlineStr"/>
      <c r="E3244" s="3" t="inlineStr">
        <is>
          <t>Reagentix Corp</t>
        </is>
      </c>
      <c r="F3244" s="3" t="inlineStr">
        <is>
          <t>Lab supplies PO# F2399</t>
        </is>
      </c>
      <c r="G3244" s="3" t="inlineStr">
        <is>
          <t>Accounts Payable</t>
        </is>
      </c>
      <c r="H3244" s="3" t="inlineStr">
        <is>
          <t>Reagents</t>
        </is>
      </c>
      <c r="I3244" s="33" t="n">
        <v>12304.5</v>
      </c>
      <c r="J3244" s="13">
        <f>+J3243+I3244</f>
        <v>378346.07</v>
      </c>
      <c r="K3244" s="19">
        <f>+EOMONTH(B3244,0)</f>
        <v>46265</v>
      </c>
      <c r="L3244" s="3" t="inlineStr">
        <is>
          <t>Reagents</t>
        </is>
      </c>
      <c r="M3244" s="3" t="inlineStr">
        <is>
          <t>Medical Supplies</t>
        </is>
      </c>
    </row>
    <row r="3245">
      <c r="B3245" s="39" t="n">
        <v>46265</v>
      </c>
      <c r="C3245" s="3" t="inlineStr">
        <is>
          <t>Bill</t>
        </is>
      </c>
      <c r="D3245" s="3" t="inlineStr"/>
      <c r="E3245" s="3" t="inlineStr">
        <is>
          <t>Reagentix Corp</t>
        </is>
      </c>
      <c r="F3245" s="3" t="inlineStr">
        <is>
          <t>Lab supplies PO# F2944</t>
        </is>
      </c>
      <c r="G3245" s="3" t="inlineStr">
        <is>
          <t>Accounts Payable</t>
        </is>
      </c>
      <c r="H3245" s="3" t="inlineStr">
        <is>
          <t>Reagents</t>
        </is>
      </c>
      <c r="I3245" s="33" t="n">
        <v>10953.93</v>
      </c>
      <c r="J3245" s="13">
        <f>+J3244+I3245</f>
        <v>389300</v>
      </c>
      <c r="K3245" s="19">
        <f>+EOMONTH(B3245,0)</f>
        <v>46265</v>
      </c>
      <c r="L3245" s="3" t="inlineStr">
        <is>
          <t>Reagents</t>
        </is>
      </c>
      <c r="M3245" s="3" t="inlineStr">
        <is>
          <t>Medical Supplies</t>
        </is>
      </c>
    </row>
    <row r="3246">
      <c r="B3246" s="39" t="n">
        <v>46280</v>
      </c>
      <c r="C3246" s="3" t="inlineStr">
        <is>
          <t>Bill</t>
        </is>
      </c>
      <c r="D3246" s="3" t="inlineStr"/>
      <c r="E3246" s="3" t="inlineStr">
        <is>
          <t>Reagentix Corp</t>
        </is>
      </c>
      <c r="F3246" s="3" t="inlineStr">
        <is>
          <t>Lab supplies PO# F2313</t>
        </is>
      </c>
      <c r="G3246" s="3" t="inlineStr">
        <is>
          <t>Accounts Payable</t>
        </is>
      </c>
      <c r="H3246" s="3" t="inlineStr">
        <is>
          <t>Reagents</t>
        </is>
      </c>
      <c r="I3246" s="33" t="n">
        <v>14127.2</v>
      </c>
      <c r="J3246" s="13">
        <f>+J3245+I3246</f>
        <v>403427.2</v>
      </c>
      <c r="K3246" s="19">
        <f>+EOMONTH(B3246,0)</f>
        <v>46295</v>
      </c>
      <c r="L3246" s="3" t="inlineStr">
        <is>
          <t>Reagents</t>
        </is>
      </c>
      <c r="M3246" s="3" t="inlineStr">
        <is>
          <t>Medical Supplies</t>
        </is>
      </c>
    </row>
    <row r="3247">
      <c r="B3247" s="39" t="n">
        <v>46284</v>
      </c>
      <c r="C3247" s="3" t="inlineStr">
        <is>
          <t>Bill</t>
        </is>
      </c>
      <c r="D3247" s="3" t="inlineStr"/>
      <c r="E3247" s="3" t="inlineStr">
        <is>
          <t>Reagentix Corp</t>
        </is>
      </c>
      <c r="F3247" s="3" t="inlineStr">
        <is>
          <t>Lab supplies PO# F2770</t>
        </is>
      </c>
      <c r="G3247" s="3" t="inlineStr">
        <is>
          <t>Accounts Payable</t>
        </is>
      </c>
      <c r="H3247" s="3" t="inlineStr">
        <is>
          <t>Reagents</t>
        </is>
      </c>
      <c r="I3247" s="33" t="n">
        <v>11226.84</v>
      </c>
      <c r="J3247" s="13">
        <f>+J3246+I3247</f>
        <v>414654.04</v>
      </c>
      <c r="K3247" s="19">
        <f>+EOMONTH(B3247,0)</f>
        <v>46295</v>
      </c>
      <c r="L3247" s="3" t="inlineStr">
        <is>
          <t>Reagents</t>
        </is>
      </c>
      <c r="M3247" s="3" t="inlineStr">
        <is>
          <t>Medical Supplies</t>
        </is>
      </c>
    </row>
    <row r="3248">
      <c r="B3248" s="39" t="n">
        <v>46287</v>
      </c>
      <c r="C3248" s="3" t="inlineStr">
        <is>
          <t>Bill</t>
        </is>
      </c>
      <c r="D3248" s="3" t="inlineStr"/>
      <c r="E3248" s="3" t="inlineStr">
        <is>
          <t>Reagentix Corp</t>
        </is>
      </c>
      <c r="F3248" s="3" t="inlineStr">
        <is>
          <t>Lab supplies PO# F2839</t>
        </is>
      </c>
      <c r="G3248" s="3" t="inlineStr">
        <is>
          <t>Accounts Payable</t>
        </is>
      </c>
      <c r="H3248" s="3" t="inlineStr">
        <is>
          <t>Reagents</t>
        </is>
      </c>
      <c r="I3248" s="33" t="n">
        <v>13374.27</v>
      </c>
      <c r="J3248" s="13">
        <f>+J3247+I3248</f>
        <v>428028.31</v>
      </c>
      <c r="K3248" s="19">
        <f>+EOMONTH(B3248,0)</f>
        <v>46295</v>
      </c>
      <c r="L3248" s="3" t="inlineStr">
        <is>
          <t>Reagents</t>
        </is>
      </c>
      <c r="M3248" s="3" t="inlineStr">
        <is>
          <t>Medical Supplies</t>
        </is>
      </c>
    </row>
    <row r="3249">
      <c r="B3249" s="39" t="n">
        <v>46289</v>
      </c>
      <c r="C3249" s="3" t="inlineStr">
        <is>
          <t>Bill</t>
        </is>
      </c>
      <c r="D3249" s="3" t="inlineStr"/>
      <c r="E3249" s="3" t="inlineStr">
        <is>
          <t>Reagentix Corp</t>
        </is>
      </c>
      <c r="F3249" s="3" t="inlineStr">
        <is>
          <t>Lab supplies PO# F2302</t>
        </is>
      </c>
      <c r="G3249" s="3" t="inlineStr">
        <is>
          <t>Accounts Payable</t>
        </is>
      </c>
      <c r="H3249" s="3" t="inlineStr">
        <is>
          <t>Reagents</t>
        </is>
      </c>
      <c r="I3249" s="33" t="n">
        <v>13311.19</v>
      </c>
      <c r="J3249" s="13">
        <f>+J3248+I3249</f>
        <v>441339.5</v>
      </c>
      <c r="K3249" s="19">
        <f>+EOMONTH(B3249,0)</f>
        <v>46295</v>
      </c>
      <c r="L3249" s="3" t="inlineStr">
        <is>
          <t>Reagents</t>
        </is>
      </c>
      <c r="M3249" s="3" t="inlineStr">
        <is>
          <t>Medical Supplies</t>
        </is>
      </c>
    </row>
    <row r="3250">
      <c r="B3250" s="39" t="n">
        <v>46297</v>
      </c>
      <c r="C3250" s="3" t="inlineStr">
        <is>
          <t>Bill</t>
        </is>
      </c>
      <c r="D3250" s="3" t="inlineStr"/>
      <c r="E3250" s="3" t="inlineStr">
        <is>
          <t>Reagentix Corp</t>
        </is>
      </c>
      <c r="F3250" s="3" t="inlineStr">
        <is>
          <t>Lab supplies PO# F2457</t>
        </is>
      </c>
      <c r="G3250" s="3" t="inlineStr">
        <is>
          <t>Accounts Payable</t>
        </is>
      </c>
      <c r="H3250" s="3" t="inlineStr">
        <is>
          <t>Reagents</t>
        </is>
      </c>
      <c r="I3250" s="33" t="n">
        <v>13538.38</v>
      </c>
      <c r="J3250" s="13">
        <f>+J3249+I3250</f>
        <v>454877.88</v>
      </c>
      <c r="K3250" s="19">
        <f>+EOMONTH(B3250,0)</f>
        <v>46326</v>
      </c>
      <c r="L3250" s="3" t="inlineStr">
        <is>
          <t>Reagents</t>
        </is>
      </c>
      <c r="M3250" s="3" t="inlineStr">
        <is>
          <t>Medical Supplies</t>
        </is>
      </c>
    </row>
    <row r="3251">
      <c r="B3251" s="39" t="n">
        <v>46307</v>
      </c>
      <c r="C3251" s="3" t="inlineStr">
        <is>
          <t>Bill</t>
        </is>
      </c>
      <c r="D3251" s="3" t="inlineStr"/>
      <c r="E3251" s="3" t="inlineStr">
        <is>
          <t>Reagentix Corp</t>
        </is>
      </c>
      <c r="F3251" s="3" t="inlineStr">
        <is>
          <t>Lab supplies PO# F2808</t>
        </is>
      </c>
      <c r="G3251" s="3" t="inlineStr">
        <is>
          <t>Accounts Payable</t>
        </is>
      </c>
      <c r="H3251" s="3" t="inlineStr">
        <is>
          <t>Reagents</t>
        </is>
      </c>
      <c r="I3251" s="33" t="n">
        <v>24329.83</v>
      </c>
      <c r="J3251" s="13">
        <f>+J3250+I3251</f>
        <v>479207.71</v>
      </c>
      <c r="K3251" s="19">
        <f>+EOMONTH(B3251,0)</f>
        <v>46326</v>
      </c>
      <c r="L3251" s="3" t="inlineStr">
        <is>
          <t>Reagents</t>
        </is>
      </c>
      <c r="M3251" s="3" t="inlineStr">
        <is>
          <t>Medical Supplies</t>
        </is>
      </c>
    </row>
    <row r="3252">
      <c r="B3252" s="39" t="n">
        <v>46309</v>
      </c>
      <c r="C3252" s="3" t="inlineStr">
        <is>
          <t>Bill</t>
        </is>
      </c>
      <c r="D3252" s="3" t="inlineStr"/>
      <c r="E3252" s="3" t="inlineStr">
        <is>
          <t>Reagentix Corp</t>
        </is>
      </c>
      <c r="F3252" s="3" t="inlineStr">
        <is>
          <t>Lab supplies PO# F2906</t>
        </is>
      </c>
      <c r="G3252" s="3" t="inlineStr">
        <is>
          <t>Accounts Payable</t>
        </is>
      </c>
      <c r="H3252" s="3" t="inlineStr">
        <is>
          <t>Reagents</t>
        </is>
      </c>
      <c r="I3252" s="33" t="n">
        <v>18349.75</v>
      </c>
      <c r="J3252" s="13">
        <f>+J3251+I3252</f>
        <v>497557.46</v>
      </c>
      <c r="K3252" s="19">
        <f>+EOMONTH(B3252,0)</f>
        <v>46326</v>
      </c>
      <c r="L3252" s="3" t="inlineStr">
        <is>
          <t>Reagents</t>
        </is>
      </c>
      <c r="M3252" s="3" t="inlineStr">
        <is>
          <t>Medical Supplies</t>
        </is>
      </c>
    </row>
    <row r="3253">
      <c r="B3253" s="39" t="n">
        <v>46330</v>
      </c>
      <c r="C3253" s="3" t="inlineStr">
        <is>
          <t>Bill</t>
        </is>
      </c>
      <c r="D3253" s="3" t="inlineStr"/>
      <c r="E3253" s="3" t="inlineStr">
        <is>
          <t>Reagentix Corp</t>
        </is>
      </c>
      <c r="F3253" s="3" t="inlineStr">
        <is>
          <t>Lab supplies PO# F2836</t>
        </is>
      </c>
      <c r="G3253" s="3" t="inlineStr">
        <is>
          <t>Accounts Payable</t>
        </is>
      </c>
      <c r="H3253" s="3" t="inlineStr">
        <is>
          <t>Reagents</t>
        </is>
      </c>
      <c r="I3253" s="33" t="n">
        <v>13950.87</v>
      </c>
      <c r="J3253" s="13">
        <f>+J3252+I3253</f>
        <v>511508.33</v>
      </c>
      <c r="K3253" s="19">
        <f>+EOMONTH(B3253,0)</f>
        <v>46356</v>
      </c>
      <c r="L3253" s="3" t="inlineStr">
        <is>
          <t>Reagents</t>
        </is>
      </c>
      <c r="M3253" s="3" t="inlineStr">
        <is>
          <t>Medical Supplies</t>
        </is>
      </c>
    </row>
    <row r="3254">
      <c r="B3254" s="39" t="n">
        <v>46335</v>
      </c>
      <c r="C3254" s="3" t="inlineStr">
        <is>
          <t>Bill</t>
        </is>
      </c>
      <c r="D3254" s="3" t="inlineStr"/>
      <c r="E3254" s="3" t="inlineStr">
        <is>
          <t>Reagentix Corp</t>
        </is>
      </c>
      <c r="F3254" s="3" t="inlineStr">
        <is>
          <t>Lab supplies PO# F2659</t>
        </is>
      </c>
      <c r="G3254" s="3" t="inlineStr">
        <is>
          <t>Accounts Payable</t>
        </is>
      </c>
      <c r="H3254" s="3" t="inlineStr">
        <is>
          <t>Reagents</t>
        </is>
      </c>
      <c r="I3254" s="33" t="n">
        <v>15105.29</v>
      </c>
      <c r="J3254" s="13">
        <f>+J3253+I3254</f>
        <v>526613.62</v>
      </c>
      <c r="K3254" s="19">
        <f>+EOMONTH(B3254,0)</f>
        <v>46356</v>
      </c>
      <c r="L3254" s="3" t="inlineStr">
        <is>
          <t>Reagents</t>
        </is>
      </c>
      <c r="M3254" s="3" t="inlineStr">
        <is>
          <t>Medical Supplies</t>
        </is>
      </c>
    </row>
    <row r="3255">
      <c r="B3255" s="39" t="n">
        <v>46356</v>
      </c>
      <c r="C3255" s="3" t="inlineStr">
        <is>
          <t>Bill</t>
        </is>
      </c>
      <c r="D3255" s="3" t="inlineStr"/>
      <c r="E3255" s="3" t="inlineStr">
        <is>
          <t>Reagentix Corp</t>
        </is>
      </c>
      <c r="F3255" s="3" t="inlineStr">
        <is>
          <t>Lab supplies PO# F2012</t>
        </is>
      </c>
      <c r="G3255" s="3" t="inlineStr">
        <is>
          <t>Accounts Payable</t>
        </is>
      </c>
      <c r="H3255" s="3" t="inlineStr">
        <is>
          <t>Reagents</t>
        </is>
      </c>
      <c r="I3255" s="33" t="n">
        <v>17680.03</v>
      </c>
      <c r="J3255" s="13">
        <f>+J3254+I3255</f>
        <v>544293.65</v>
      </c>
      <c r="K3255" s="19">
        <f>+EOMONTH(B3255,0)</f>
        <v>46356</v>
      </c>
      <c r="L3255" s="3" t="inlineStr">
        <is>
          <t>Reagents</t>
        </is>
      </c>
      <c r="M3255" s="3" t="inlineStr">
        <is>
          <t>Medical Supplies</t>
        </is>
      </c>
    </row>
    <row r="3256">
      <c r="A3256" s="2" t="inlineStr">
        <is>
          <t>Total for Reagents</t>
        </is>
      </c>
      <c r="I3256" s="35">
        <f>SUM(I3211:I3255)</f>
        <v>544293.65</v>
      </c>
    </row>
    <row r="3258">
      <c r="A3258" s="2" t="inlineStr">
        <is>
          <t>Bank Fees</t>
        </is>
      </c>
    </row>
    <row r="3259">
      <c r="B3259" s="39" t="n">
        <v>46031</v>
      </c>
      <c r="C3259" s="3" t="inlineStr">
        <is>
          <t>Expense</t>
        </is>
      </c>
      <c r="D3259" s="3" t="inlineStr">
        <is>
          <t>10581</t>
        </is>
      </c>
      <c r="E3259" s="3" t="inlineStr"/>
      <c r="F3259" s="3" t="inlineStr">
        <is>
          <t>Bank service charges – January</t>
        </is>
      </c>
      <c r="G3259" s="3" t="inlineStr">
        <is>
          <t>Checking – Operating</t>
        </is>
      </c>
      <c r="H3259" s="3" t="inlineStr">
        <is>
          <t>Bank Fees</t>
        </is>
      </c>
      <c r="I3259" s="33" t="n">
        <v>2090.42</v>
      </c>
      <c r="J3259" s="13">
        <f>+I3259</f>
        <v>2090.42</v>
      </c>
      <c r="K3259" s="19">
        <f>+EOMONTH(B3259,0)</f>
        <v>46053</v>
      </c>
      <c r="L3259" s="3" t="inlineStr">
        <is>
          <t>Bank Fees</t>
        </is>
      </c>
      <c r="M3259" s="3" t="inlineStr">
        <is>
          <t>Finance, Bank, &amp; Collection Charges</t>
        </is>
      </c>
    </row>
    <row r="3260">
      <c r="B3260" s="39" t="n">
        <v>46043</v>
      </c>
      <c r="C3260" s="3" t="inlineStr">
        <is>
          <t>Expense</t>
        </is>
      </c>
      <c r="D3260" s="3" t="inlineStr">
        <is>
          <t>10582</t>
        </is>
      </c>
      <c r="E3260" s="3" t="inlineStr"/>
      <c r="F3260" s="3" t="inlineStr">
        <is>
          <t>Bank service charges – January</t>
        </is>
      </c>
      <c r="G3260" s="3" t="inlineStr">
        <is>
          <t>Checking – Operating</t>
        </is>
      </c>
      <c r="H3260" s="3" t="inlineStr">
        <is>
          <t>Bank Fees</t>
        </is>
      </c>
      <c r="I3260" s="33" t="n">
        <v>1479.58</v>
      </c>
      <c r="J3260" s="13">
        <f>+J3259+I3260</f>
        <v>3570</v>
      </c>
      <c r="K3260" s="19">
        <f>+EOMONTH(B3260,0)</f>
        <v>46053</v>
      </c>
      <c r="L3260" s="3" t="inlineStr">
        <is>
          <t>Bank Fees</t>
        </is>
      </c>
      <c r="M3260" s="3" t="inlineStr">
        <is>
          <t>Finance, Bank, &amp; Collection Charges</t>
        </is>
      </c>
    </row>
    <row r="3261">
      <c r="B3261" s="39" t="n">
        <v>46060</v>
      </c>
      <c r="C3261" s="3" t="inlineStr">
        <is>
          <t>Expense</t>
        </is>
      </c>
      <c r="D3261" s="3" t="inlineStr">
        <is>
          <t>10583</t>
        </is>
      </c>
      <c r="E3261" s="3" t="inlineStr"/>
      <c r="F3261" s="3" t="inlineStr">
        <is>
          <t>Bank service charges – February</t>
        </is>
      </c>
      <c r="G3261" s="3" t="inlineStr">
        <is>
          <t>Checking – Operating</t>
        </is>
      </c>
      <c r="H3261" s="3" t="inlineStr">
        <is>
          <t>Bank Fees</t>
        </is>
      </c>
      <c r="I3261" s="33" t="n">
        <v>1557.79</v>
      </c>
      <c r="J3261" s="13">
        <f>+J3260+I3261</f>
        <v>5127.79</v>
      </c>
      <c r="K3261" s="19">
        <f>+EOMONTH(B3261,0)</f>
        <v>46081</v>
      </c>
      <c r="L3261" s="3" t="inlineStr">
        <is>
          <t>Bank Fees</t>
        </is>
      </c>
      <c r="M3261" s="3" t="inlineStr">
        <is>
          <t>Finance, Bank, &amp; Collection Charges</t>
        </is>
      </c>
    </row>
    <row r="3262">
      <c r="B3262" s="39" t="n">
        <v>46078</v>
      </c>
      <c r="C3262" s="3" t="inlineStr">
        <is>
          <t>Credit Card Expense</t>
        </is>
      </c>
      <c r="D3262" s="3" t="inlineStr"/>
      <c r="E3262" s="3" t="inlineStr"/>
      <c r="F3262" s="3" t="inlineStr">
        <is>
          <t>Bank service charges – February</t>
        </is>
      </c>
      <c r="G3262" s="3" t="inlineStr">
        <is>
          <t>Checking – Operating</t>
        </is>
      </c>
      <c r="H3262" s="3" t="inlineStr">
        <is>
          <t>Bank Fees</t>
        </is>
      </c>
      <c r="I3262" s="33" t="n">
        <v>1312.21</v>
      </c>
      <c r="J3262" s="13">
        <f>+J3261+I3262</f>
        <v>6440</v>
      </c>
      <c r="K3262" s="19">
        <f>+EOMONTH(B3262,0)</f>
        <v>46081</v>
      </c>
      <c r="L3262" s="3" t="inlineStr">
        <is>
          <t>Bank Fees</t>
        </is>
      </c>
      <c r="M3262" s="3" t="inlineStr">
        <is>
          <t>Finance, Bank, &amp; Collection Charges</t>
        </is>
      </c>
    </row>
    <row r="3263">
      <c r="B3263" s="39" t="n">
        <v>46082</v>
      </c>
      <c r="C3263" s="3" t="inlineStr">
        <is>
          <t>Journal Entry</t>
        </is>
      </c>
      <c r="D3263" s="3" t="inlineStr">
        <is>
          <t>JE-2613</t>
        </is>
      </c>
      <c r="E3263" s="3" t="inlineStr"/>
      <c r="F3263" s="3" t="inlineStr">
        <is>
          <t>Bank service charges – March</t>
        </is>
      </c>
      <c r="G3263" s="3" t="inlineStr">
        <is>
          <t>Checking – Operating</t>
        </is>
      </c>
      <c r="H3263" s="3" t="inlineStr">
        <is>
          <t>Bank Fees</t>
        </is>
      </c>
      <c r="I3263" s="33" t="n">
        <v>1757.77</v>
      </c>
      <c r="J3263" s="13">
        <f>+J3262+I3263</f>
        <v>8197.77</v>
      </c>
      <c r="K3263" s="19">
        <f>+EOMONTH(B3263,0)</f>
        <v>46112</v>
      </c>
      <c r="L3263" s="3" t="inlineStr">
        <is>
          <t>Bank Fees</t>
        </is>
      </c>
      <c r="M3263" s="3" t="inlineStr">
        <is>
          <t>Finance, Bank, &amp; Collection Charges</t>
        </is>
      </c>
    </row>
    <row r="3264">
      <c r="B3264" s="39" t="n">
        <v>46095</v>
      </c>
      <c r="C3264" s="3" t="inlineStr">
        <is>
          <t>Expense</t>
        </is>
      </c>
      <c r="D3264" s="3" t="inlineStr">
        <is>
          <t>10584</t>
        </is>
      </c>
      <c r="E3264" s="3" t="inlineStr"/>
      <c r="F3264" s="3" t="inlineStr">
        <is>
          <t>Bank service charges – March</t>
        </is>
      </c>
      <c r="G3264" s="3" t="inlineStr">
        <is>
          <t>Checking – Operating</t>
        </is>
      </c>
      <c r="H3264" s="3" t="inlineStr">
        <is>
          <t>Bank Fees</t>
        </is>
      </c>
      <c r="I3264" s="33" t="n">
        <v>1532.23</v>
      </c>
      <c r="J3264" s="13">
        <f>+J3263+I3264</f>
        <v>9730</v>
      </c>
      <c r="K3264" s="19">
        <f>+EOMONTH(B3264,0)</f>
        <v>46112</v>
      </c>
      <c r="L3264" s="3" t="inlineStr">
        <is>
          <t>Bank Fees</t>
        </is>
      </c>
      <c r="M3264" s="3" t="inlineStr">
        <is>
          <t>Finance, Bank, &amp; Collection Charges</t>
        </is>
      </c>
    </row>
    <row r="3265">
      <c r="B3265" s="39" t="n">
        <v>46115</v>
      </c>
      <c r="C3265" s="3" t="inlineStr">
        <is>
          <t>Expense</t>
        </is>
      </c>
      <c r="D3265" s="3" t="inlineStr">
        <is>
          <t>10585</t>
        </is>
      </c>
      <c r="E3265" s="3" t="inlineStr"/>
      <c r="F3265" s="3" t="inlineStr">
        <is>
          <t>Bank service charges – April</t>
        </is>
      </c>
      <c r="G3265" s="3" t="inlineStr">
        <is>
          <t>Checking – Operating</t>
        </is>
      </c>
      <c r="H3265" s="3" t="inlineStr">
        <is>
          <t>Bank Fees</t>
        </is>
      </c>
      <c r="I3265" s="33" t="n">
        <v>1929.23</v>
      </c>
      <c r="J3265" s="13">
        <f>+J3264+I3265</f>
        <v>11659.23</v>
      </c>
      <c r="K3265" s="19">
        <f>+EOMONTH(B3265,0)</f>
        <v>46142</v>
      </c>
      <c r="L3265" s="3" t="inlineStr">
        <is>
          <t>Bank Fees</t>
        </is>
      </c>
      <c r="M3265" s="3" t="inlineStr">
        <is>
          <t>Finance, Bank, &amp; Collection Charges</t>
        </is>
      </c>
    </row>
    <row r="3266">
      <c r="B3266" s="39" t="n">
        <v>46121</v>
      </c>
      <c r="C3266" s="3" t="inlineStr">
        <is>
          <t>Journal Entry</t>
        </is>
      </c>
      <c r="D3266" s="3" t="inlineStr">
        <is>
          <t>JE-2614</t>
        </is>
      </c>
      <c r="E3266" s="3" t="inlineStr"/>
      <c r="F3266" s="3" t="inlineStr">
        <is>
          <t>Bank service charges – April</t>
        </is>
      </c>
      <c r="G3266" s="3" t="inlineStr">
        <is>
          <t>Checking – Operating</t>
        </is>
      </c>
      <c r="H3266" s="3" t="inlineStr">
        <is>
          <t>Bank Fees</t>
        </is>
      </c>
      <c r="I3266" s="33" t="n">
        <v>1570.77</v>
      </c>
      <c r="J3266" s="13">
        <f>+J3265+I3266</f>
        <v>13230</v>
      </c>
      <c r="K3266" s="19">
        <f>+EOMONTH(B3266,0)</f>
        <v>46142</v>
      </c>
      <c r="L3266" s="3" t="inlineStr">
        <is>
          <t>Bank Fees</t>
        </is>
      </c>
      <c r="M3266" s="3" t="inlineStr">
        <is>
          <t>Finance, Bank, &amp; Collection Charges</t>
        </is>
      </c>
    </row>
    <row r="3267">
      <c r="B3267" s="39" t="n">
        <v>46153</v>
      </c>
      <c r="C3267" s="3" t="inlineStr">
        <is>
          <t>Expense</t>
        </is>
      </c>
      <c r="D3267" s="3" t="inlineStr">
        <is>
          <t>10586</t>
        </is>
      </c>
      <c r="E3267" s="3" t="inlineStr"/>
      <c r="F3267" s="3" t="inlineStr">
        <is>
          <t>Bank service charges – May</t>
        </is>
      </c>
      <c r="G3267" s="3" t="inlineStr">
        <is>
          <t>Checking – Operating</t>
        </is>
      </c>
      <c r="H3267" s="3" t="inlineStr">
        <is>
          <t>Bank Fees</t>
        </is>
      </c>
      <c r="I3267" s="33" t="n">
        <v>1891.91</v>
      </c>
      <c r="J3267" s="13">
        <f>+J3266+I3267</f>
        <v>15121.91</v>
      </c>
      <c r="K3267" s="19">
        <f>+EOMONTH(B3267,0)</f>
        <v>46173</v>
      </c>
      <c r="L3267" s="3" t="inlineStr">
        <is>
          <t>Bank Fees</t>
        </is>
      </c>
      <c r="M3267" s="3" t="inlineStr">
        <is>
          <t>Finance, Bank, &amp; Collection Charges</t>
        </is>
      </c>
    </row>
    <row r="3268">
      <c r="B3268" s="39" t="n">
        <v>46169</v>
      </c>
      <c r="C3268" s="3" t="inlineStr">
        <is>
          <t>Expense</t>
        </is>
      </c>
      <c r="D3268" s="3" t="inlineStr">
        <is>
          <t>10587</t>
        </is>
      </c>
      <c r="E3268" s="3" t="inlineStr"/>
      <c r="F3268" s="3" t="inlineStr">
        <is>
          <t>Bank service charges – May</t>
        </is>
      </c>
      <c r="G3268" s="3" t="inlineStr">
        <is>
          <t>Checking – Operating</t>
        </is>
      </c>
      <c r="H3268" s="3" t="inlineStr">
        <is>
          <t>Bank Fees</t>
        </is>
      </c>
      <c r="I3268" s="33" t="n">
        <v>1468.09</v>
      </c>
      <c r="J3268" s="13">
        <f>+J3267+I3268</f>
        <v>16590</v>
      </c>
      <c r="K3268" s="19">
        <f>+EOMONTH(B3268,0)</f>
        <v>46173</v>
      </c>
      <c r="L3268" s="3" t="inlineStr">
        <is>
          <t>Bank Fees</t>
        </is>
      </c>
      <c r="M3268" s="3" t="inlineStr">
        <is>
          <t>Finance, Bank, &amp; Collection Charges</t>
        </is>
      </c>
    </row>
    <row r="3269">
      <c r="B3269" s="39" t="n">
        <v>46187</v>
      </c>
      <c r="C3269" s="3" t="inlineStr">
        <is>
          <t>Journal Entry</t>
        </is>
      </c>
      <c r="D3269" s="3" t="inlineStr">
        <is>
          <t>JE-2616</t>
        </is>
      </c>
      <c r="E3269" s="3" t="inlineStr"/>
      <c r="F3269" s="3" t="inlineStr">
        <is>
          <t>Bank service charges – June</t>
        </is>
      </c>
      <c r="G3269" s="3" t="inlineStr">
        <is>
          <t>Checking – Operating</t>
        </is>
      </c>
      <c r="H3269" s="3" t="inlineStr">
        <is>
          <t>Bank Fees</t>
        </is>
      </c>
      <c r="I3269" s="33" t="n">
        <v>1843.29</v>
      </c>
      <c r="J3269" s="13">
        <f>+J3268+I3269</f>
        <v>18433.29</v>
      </c>
      <c r="K3269" s="19">
        <f>+EOMONTH(B3269,0)</f>
        <v>46203</v>
      </c>
      <c r="L3269" s="3" t="inlineStr">
        <is>
          <t>Bank Fees</t>
        </is>
      </c>
      <c r="M3269" s="3" t="inlineStr">
        <is>
          <t>Finance, Bank, &amp; Collection Charges</t>
        </is>
      </c>
    </row>
    <row r="3270">
      <c r="B3270" s="39" t="n">
        <v>46202</v>
      </c>
      <c r="C3270" s="3" t="inlineStr">
        <is>
          <t>Journal Entry</t>
        </is>
      </c>
      <c r="D3270" s="3" t="inlineStr">
        <is>
          <t>JE-2615</t>
        </is>
      </c>
      <c r="E3270" s="3" t="inlineStr"/>
      <c r="F3270" s="3" t="inlineStr">
        <is>
          <t>Bank service charges – June</t>
        </is>
      </c>
      <c r="G3270" s="3" t="inlineStr">
        <is>
          <t>Checking – Operating</t>
        </is>
      </c>
      <c r="H3270" s="3" t="inlineStr">
        <is>
          <t>Bank Fees</t>
        </is>
      </c>
      <c r="I3270" s="33" t="n">
        <v>1446.71</v>
      </c>
      <c r="J3270" s="13">
        <f>+J3269+I3270</f>
        <v>19880</v>
      </c>
      <c r="K3270" s="19">
        <f>+EOMONTH(B3270,0)</f>
        <v>46203</v>
      </c>
      <c r="L3270" s="3" t="inlineStr">
        <is>
          <t>Bank Fees</t>
        </is>
      </c>
      <c r="M3270" s="3" t="inlineStr">
        <is>
          <t>Finance, Bank, &amp; Collection Charges</t>
        </is>
      </c>
    </row>
    <row r="3271">
      <c r="B3271" s="39" t="n">
        <v>46212</v>
      </c>
      <c r="C3271" s="3" t="inlineStr">
        <is>
          <t>Expense</t>
        </is>
      </c>
      <c r="D3271" s="3" t="inlineStr">
        <is>
          <t>10588</t>
        </is>
      </c>
      <c r="E3271" s="3" t="inlineStr"/>
      <c r="F3271" s="3" t="inlineStr">
        <is>
          <t>Bank service charges – July</t>
        </is>
      </c>
      <c r="G3271" s="3" t="inlineStr">
        <is>
          <t>Checking – Operating</t>
        </is>
      </c>
      <c r="H3271" s="3" t="inlineStr">
        <is>
          <t>Bank Fees</t>
        </is>
      </c>
      <c r="I3271" s="33" t="n">
        <v>2320.56</v>
      </c>
      <c r="J3271" s="13">
        <f>+J3270+I3271</f>
        <v>22200.56</v>
      </c>
      <c r="K3271" s="19">
        <f>+EOMONTH(B3271,0)</f>
        <v>46234</v>
      </c>
      <c r="L3271" s="3" t="inlineStr">
        <is>
          <t>Bank Fees</t>
        </is>
      </c>
      <c r="M3271" s="3" t="inlineStr">
        <is>
          <t>Finance, Bank, &amp; Collection Charges</t>
        </is>
      </c>
    </row>
    <row r="3272">
      <c r="B3272" s="39" t="n">
        <v>46218</v>
      </c>
      <c r="C3272" s="3" t="inlineStr">
        <is>
          <t>Journal Entry</t>
        </is>
      </c>
      <c r="D3272" s="3" t="inlineStr">
        <is>
          <t>JE-2617</t>
        </is>
      </c>
      <c r="E3272" s="3" t="inlineStr"/>
      <c r="F3272" s="3" t="inlineStr">
        <is>
          <t>Bank service charges – July</t>
        </is>
      </c>
      <c r="G3272" s="3" t="inlineStr">
        <is>
          <t>Checking – Operating</t>
        </is>
      </c>
      <c r="H3272" s="3" t="inlineStr">
        <is>
          <t>Bank Fees</t>
        </is>
      </c>
      <c r="I3272" s="33" t="n">
        <v>1459.44</v>
      </c>
      <c r="J3272" s="13">
        <f>+J3271+I3272</f>
        <v>23660</v>
      </c>
      <c r="K3272" s="19">
        <f>+EOMONTH(B3272,0)</f>
        <v>46234</v>
      </c>
      <c r="L3272" s="3" t="inlineStr">
        <is>
          <t>Bank Fees</t>
        </is>
      </c>
      <c r="M3272" s="3" t="inlineStr">
        <is>
          <t>Finance, Bank, &amp; Collection Charges</t>
        </is>
      </c>
    </row>
    <row r="3273">
      <c r="B3273" s="39" t="n">
        <v>46246</v>
      </c>
      <c r="C3273" s="3" t="inlineStr">
        <is>
          <t>Journal Entry</t>
        </is>
      </c>
      <c r="D3273" s="3" t="inlineStr">
        <is>
          <t>JE-2618</t>
        </is>
      </c>
      <c r="E3273" s="3" t="inlineStr"/>
      <c r="F3273" s="3" t="inlineStr">
        <is>
          <t>Bank service charges – August</t>
        </is>
      </c>
      <c r="G3273" s="3" t="inlineStr">
        <is>
          <t>Checking – Operating</t>
        </is>
      </c>
      <c r="H3273" s="3" t="inlineStr">
        <is>
          <t>Bank Fees</t>
        </is>
      </c>
      <c r="I3273" s="33" t="n">
        <v>2203.15</v>
      </c>
      <c r="J3273" s="13">
        <f>+J3272+I3273</f>
        <v>25863.15</v>
      </c>
      <c r="K3273" s="19">
        <f>+EOMONTH(B3273,0)</f>
        <v>46265</v>
      </c>
      <c r="L3273" s="3" t="inlineStr">
        <is>
          <t>Bank Fees</t>
        </is>
      </c>
      <c r="M3273" s="3" t="inlineStr">
        <is>
          <t>Finance, Bank, &amp; Collection Charges</t>
        </is>
      </c>
    </row>
    <row r="3274">
      <c r="B3274" s="39" t="n">
        <v>46248</v>
      </c>
      <c r="C3274" s="3" t="inlineStr">
        <is>
          <t>Expense</t>
        </is>
      </c>
      <c r="D3274" s="3" t="inlineStr">
        <is>
          <t>10589</t>
        </is>
      </c>
      <c r="E3274" s="3" t="inlineStr"/>
      <c r="F3274" s="3" t="inlineStr">
        <is>
          <t>Bank service charges – August</t>
        </is>
      </c>
      <c r="G3274" s="3" t="inlineStr">
        <is>
          <t>Checking – Operating</t>
        </is>
      </c>
      <c r="H3274" s="3" t="inlineStr">
        <is>
          <t>Bank Fees</t>
        </is>
      </c>
      <c r="I3274" s="33" t="n">
        <v>1296.85</v>
      </c>
      <c r="J3274" s="13">
        <f>+J3273+I3274</f>
        <v>27160</v>
      </c>
      <c r="K3274" s="19">
        <f>+EOMONTH(B3274,0)</f>
        <v>46265</v>
      </c>
      <c r="L3274" s="3" t="inlineStr">
        <is>
          <t>Bank Fees</t>
        </is>
      </c>
      <c r="M3274" s="3" t="inlineStr">
        <is>
          <t>Finance, Bank, &amp; Collection Charges</t>
        </is>
      </c>
    </row>
    <row r="3275">
      <c r="B3275" s="39" t="n">
        <v>46267</v>
      </c>
      <c r="C3275" s="3" t="inlineStr">
        <is>
          <t>Journal Entry</t>
        </is>
      </c>
      <c r="D3275" s="3" t="inlineStr">
        <is>
          <t>JE-2619</t>
        </is>
      </c>
      <c r="E3275" s="3" t="inlineStr"/>
      <c r="F3275" s="3" t="inlineStr">
        <is>
          <t>Bank service charges – September</t>
        </is>
      </c>
      <c r="G3275" s="3" t="inlineStr">
        <is>
          <t>Checking – Operating</t>
        </is>
      </c>
      <c r="H3275" s="3" t="inlineStr">
        <is>
          <t>Bank Fees</t>
        </is>
      </c>
      <c r="I3275" s="33" t="n">
        <v>2272.65</v>
      </c>
      <c r="J3275" s="13">
        <f>+J3274+I3275</f>
        <v>29432.65</v>
      </c>
      <c r="K3275" s="19">
        <f>+EOMONTH(B3275,0)</f>
        <v>46295</v>
      </c>
      <c r="L3275" s="3" t="inlineStr">
        <is>
          <t>Bank Fees</t>
        </is>
      </c>
      <c r="M3275" s="3" t="inlineStr">
        <is>
          <t>Finance, Bank, &amp; Collection Charges</t>
        </is>
      </c>
    </row>
    <row r="3276">
      <c r="B3276" s="39" t="n">
        <v>46287</v>
      </c>
      <c r="C3276" s="3" t="inlineStr">
        <is>
          <t>Expense</t>
        </is>
      </c>
      <c r="D3276" s="3" t="inlineStr">
        <is>
          <t>10590</t>
        </is>
      </c>
      <c r="E3276" s="3" t="inlineStr"/>
      <c r="F3276" s="3" t="inlineStr">
        <is>
          <t>Bank service charges – September</t>
        </is>
      </c>
      <c r="G3276" s="3" t="inlineStr">
        <is>
          <t>Checking – Operating</t>
        </is>
      </c>
      <c r="H3276" s="3" t="inlineStr">
        <is>
          <t>Bank Fees</t>
        </is>
      </c>
      <c r="I3276" s="33" t="n">
        <v>1541.39</v>
      </c>
      <c r="J3276" s="13">
        <f>+J3275+I3276</f>
        <v>30974.04</v>
      </c>
      <c r="K3276" s="19">
        <f>+EOMONTH(B3276,0)</f>
        <v>46295</v>
      </c>
      <c r="L3276" s="3" t="inlineStr">
        <is>
          <t>Bank Fees</t>
        </is>
      </c>
      <c r="M3276" s="3" t="inlineStr">
        <is>
          <t>Finance, Bank, &amp; Collection Charges</t>
        </is>
      </c>
    </row>
    <row r="3277">
      <c r="B3277" s="39" t="n">
        <v>46321</v>
      </c>
      <c r="C3277" s="3" t="inlineStr">
        <is>
          <t>Expense</t>
        </is>
      </c>
      <c r="D3277" s="3" t="inlineStr">
        <is>
          <t>10591</t>
        </is>
      </c>
      <c r="E3277" s="3" t="inlineStr"/>
      <c r="F3277" s="3" t="inlineStr">
        <is>
          <t>Bank service charges – October</t>
        </is>
      </c>
      <c r="G3277" s="3" t="inlineStr">
        <is>
          <t>Checking – Operating</t>
        </is>
      </c>
      <c r="H3277" s="3" t="inlineStr">
        <is>
          <t>Bank Fees</t>
        </is>
      </c>
      <c r="I3277" s="33" t="n">
        <v>3962.16</v>
      </c>
      <c r="J3277" s="13">
        <f>+J3276+I3277</f>
        <v>34936.2</v>
      </c>
      <c r="K3277" s="19">
        <f>+EOMONTH(B3277,0)</f>
        <v>46326</v>
      </c>
      <c r="L3277" s="3" t="inlineStr">
        <is>
          <t>Bank Fees</t>
        </is>
      </c>
      <c r="M3277" s="3" t="inlineStr">
        <is>
          <t>Finance, Bank, &amp; Collection Charges</t>
        </is>
      </c>
    </row>
    <row r="3278">
      <c r="B3278" s="39" t="n">
        <v>46337</v>
      </c>
      <c r="C3278" s="3" t="inlineStr">
        <is>
          <t>Journal Entry</t>
        </is>
      </c>
      <c r="D3278" s="3" t="inlineStr">
        <is>
          <t>JE-2620</t>
        </is>
      </c>
      <c r="E3278" s="3" t="inlineStr"/>
      <c r="F3278" s="3" t="inlineStr">
        <is>
          <t>Bank service charges – November</t>
        </is>
      </c>
      <c r="G3278" s="3" t="inlineStr">
        <is>
          <t>Checking – Operating</t>
        </is>
      </c>
      <c r="H3278" s="3" t="inlineStr">
        <is>
          <t>Bank Fees</t>
        </is>
      </c>
      <c r="I3278" s="33" t="n">
        <v>3418.78</v>
      </c>
      <c r="J3278" s="13">
        <f>+J3277+I3278</f>
        <v>38354.98</v>
      </c>
      <c r="K3278" s="19">
        <f>+EOMONTH(B3278,0)</f>
        <v>46356</v>
      </c>
      <c r="L3278" s="3" t="inlineStr">
        <is>
          <t>Bank Fees</t>
        </is>
      </c>
      <c r="M3278" s="3" t="inlineStr">
        <is>
          <t>Finance, Bank, &amp; Collection Charges</t>
        </is>
      </c>
    </row>
    <row r="3279">
      <c r="A3279" s="2" t="inlineStr">
        <is>
          <t>Total for Bank Fees</t>
        </is>
      </c>
      <c r="I3279" s="35">
        <f>SUM(I3259:I3278)</f>
        <v>38354.98</v>
      </c>
    </row>
    <row r="3281">
      <c r="A3281" s="2" t="inlineStr">
        <is>
          <t>Cash</t>
        </is>
      </c>
    </row>
    <row r="3282">
      <c r="B3282" s="39" t="n">
        <v>46037</v>
      </c>
      <c r="C3282" s="3" t="inlineStr">
        <is>
          <t>Credit Card Expense</t>
        </is>
      </c>
      <c r="D3282" s="3" t="inlineStr"/>
      <c r="E3282" s="3" t="inlineStr"/>
      <c r="F3282" s="3" t="inlineStr">
        <is>
          <t>Bank service charges – January</t>
        </is>
      </c>
      <c r="G3282" s="3" t="inlineStr">
        <is>
          <t>Checking – Operating</t>
        </is>
      </c>
      <c r="H3282" s="3" t="inlineStr">
        <is>
          <t>Cash</t>
        </is>
      </c>
      <c r="I3282" s="33" t="n">
        <v>932.88</v>
      </c>
      <c r="J3282" s="13">
        <f>+I3282</f>
        <v>932.88</v>
      </c>
      <c r="K3282" s="19">
        <f>+EOMONTH(B3282,0)</f>
        <v>46053</v>
      </c>
      <c r="L3282" s="3" t="inlineStr">
        <is>
          <t>Cash</t>
        </is>
      </c>
      <c r="M3282" s="3" t="inlineStr">
        <is>
          <t>Finance, Bank, &amp; Collection Charges</t>
        </is>
      </c>
    </row>
    <row r="3283">
      <c r="B3283" s="39" t="n">
        <v>46044</v>
      </c>
      <c r="C3283" s="3" t="inlineStr">
        <is>
          <t>Expense</t>
        </is>
      </c>
      <c r="D3283" s="3" t="inlineStr">
        <is>
          <t>10592</t>
        </is>
      </c>
      <c r="E3283" s="3" t="inlineStr"/>
      <c r="F3283" s="3" t="inlineStr">
        <is>
          <t>Bank service charges – January</t>
        </is>
      </c>
      <c r="G3283" s="3" t="inlineStr">
        <is>
          <t>Checking – Operating</t>
        </is>
      </c>
      <c r="H3283" s="3" t="inlineStr">
        <is>
          <t>Cash</t>
        </is>
      </c>
      <c r="I3283" s="33" t="n">
        <v>597.12</v>
      </c>
      <c r="J3283" s="13">
        <f>+J3282+I3283</f>
        <v>1530</v>
      </c>
      <c r="K3283" s="19">
        <f>+EOMONTH(B3283,0)</f>
        <v>46053</v>
      </c>
      <c r="L3283" s="3" t="inlineStr">
        <is>
          <t>Cash</t>
        </is>
      </c>
      <c r="M3283" s="3" t="inlineStr">
        <is>
          <t>Finance, Bank, &amp; Collection Charges</t>
        </is>
      </c>
    </row>
    <row r="3284">
      <c r="B3284" s="39" t="n">
        <v>46057</v>
      </c>
      <c r="C3284" s="3" t="inlineStr">
        <is>
          <t>Expense</t>
        </is>
      </c>
      <c r="D3284" s="3" t="inlineStr">
        <is>
          <t>10593</t>
        </is>
      </c>
      <c r="E3284" s="3" t="inlineStr"/>
      <c r="F3284" s="3" t="inlineStr">
        <is>
          <t>Bank service charges – February</t>
        </is>
      </c>
      <c r="G3284" s="3" t="inlineStr">
        <is>
          <t>Checking – Operating</t>
        </is>
      </c>
      <c r="H3284" s="3" t="inlineStr">
        <is>
          <t>Cash</t>
        </is>
      </c>
      <c r="I3284" s="33" t="n">
        <v>699.11</v>
      </c>
      <c r="J3284" s="13">
        <f>+J3283+I3284</f>
        <v>2229.11</v>
      </c>
      <c r="K3284" s="19">
        <f>+EOMONTH(B3284,0)</f>
        <v>46081</v>
      </c>
      <c r="L3284" s="3" t="inlineStr">
        <is>
          <t>Cash</t>
        </is>
      </c>
      <c r="M3284" s="3" t="inlineStr">
        <is>
          <t>Finance, Bank, &amp; Collection Charges</t>
        </is>
      </c>
    </row>
    <row r="3285">
      <c r="B3285" s="39" t="n">
        <v>46068</v>
      </c>
      <c r="C3285" s="3" t="inlineStr">
        <is>
          <t>Expense</t>
        </is>
      </c>
      <c r="D3285" s="3" t="inlineStr">
        <is>
          <t>10594</t>
        </is>
      </c>
      <c r="E3285" s="3" t="inlineStr"/>
      <c r="F3285" s="3" t="inlineStr">
        <is>
          <t>Bank service charges – February</t>
        </is>
      </c>
      <c r="G3285" s="3" t="inlineStr">
        <is>
          <t>Checking – Operating</t>
        </is>
      </c>
      <c r="H3285" s="3" t="inlineStr">
        <is>
          <t>Cash</t>
        </is>
      </c>
      <c r="I3285" s="33" t="n">
        <v>530.89</v>
      </c>
      <c r="J3285" s="13">
        <f>+J3284+I3285</f>
        <v>2760</v>
      </c>
      <c r="K3285" s="19">
        <f>+EOMONTH(B3285,0)</f>
        <v>46081</v>
      </c>
      <c r="L3285" s="3" t="inlineStr">
        <is>
          <t>Cash</t>
        </is>
      </c>
      <c r="M3285" s="3" t="inlineStr">
        <is>
          <t>Finance, Bank, &amp; Collection Charges</t>
        </is>
      </c>
    </row>
    <row r="3286">
      <c r="B3286" s="39" t="n">
        <v>46087</v>
      </c>
      <c r="C3286" s="3" t="inlineStr">
        <is>
          <t>Expense</t>
        </is>
      </c>
      <c r="D3286" s="3" t="inlineStr">
        <is>
          <t>10595</t>
        </is>
      </c>
      <c r="E3286" s="3" t="inlineStr"/>
      <c r="F3286" s="3" t="inlineStr">
        <is>
          <t>Bank service charges – March</t>
        </is>
      </c>
      <c r="G3286" s="3" t="inlineStr">
        <is>
          <t>Checking – Operating</t>
        </is>
      </c>
      <c r="H3286" s="3" t="inlineStr">
        <is>
          <t>Cash</t>
        </is>
      </c>
      <c r="I3286" s="33" t="n">
        <v>789.35</v>
      </c>
      <c r="J3286" s="13">
        <f>+J3285+I3286</f>
        <v>3549.35</v>
      </c>
      <c r="K3286" s="19">
        <f>+EOMONTH(B3286,0)</f>
        <v>46112</v>
      </c>
      <c r="L3286" s="3" t="inlineStr">
        <is>
          <t>Cash</t>
        </is>
      </c>
      <c r="M3286" s="3" t="inlineStr">
        <is>
          <t>Finance, Bank, &amp; Collection Charges</t>
        </is>
      </c>
    </row>
    <row r="3287">
      <c r="B3287" s="39" t="n">
        <v>46104</v>
      </c>
      <c r="C3287" s="3" t="inlineStr">
        <is>
          <t>Credit Card Expense</t>
        </is>
      </c>
      <c r="D3287" s="3" t="inlineStr"/>
      <c r="E3287" s="3" t="inlineStr"/>
      <c r="F3287" s="3" t="inlineStr">
        <is>
          <t>Bank service charges – March</t>
        </is>
      </c>
      <c r="G3287" s="3" t="inlineStr">
        <is>
          <t>Checking – Operating</t>
        </is>
      </c>
      <c r="H3287" s="3" t="inlineStr">
        <is>
          <t>Cash</t>
        </is>
      </c>
      <c r="I3287" s="33" t="n">
        <v>620.65</v>
      </c>
      <c r="J3287" s="13">
        <f>+J3286+I3287</f>
        <v>4170</v>
      </c>
      <c r="K3287" s="19">
        <f>+EOMONTH(B3287,0)</f>
        <v>46112</v>
      </c>
      <c r="L3287" s="3" t="inlineStr">
        <is>
          <t>Cash</t>
        </is>
      </c>
      <c r="M3287" s="3" t="inlineStr">
        <is>
          <t>Finance, Bank, &amp; Collection Charges</t>
        </is>
      </c>
    </row>
    <row r="3288">
      <c r="B3288" s="39" t="n">
        <v>46125</v>
      </c>
      <c r="C3288" s="3" t="inlineStr">
        <is>
          <t>Credit Card Expense</t>
        </is>
      </c>
      <c r="D3288" s="3" t="inlineStr"/>
      <c r="E3288" s="3" t="inlineStr"/>
      <c r="F3288" s="3" t="inlineStr">
        <is>
          <t>Bank service charges – April</t>
        </is>
      </c>
      <c r="G3288" s="3" t="inlineStr">
        <is>
          <t>Checking – Operating</t>
        </is>
      </c>
      <c r="H3288" s="3" t="inlineStr">
        <is>
          <t>Cash</t>
        </is>
      </c>
      <c r="I3288" s="33" t="n">
        <v>855.45</v>
      </c>
      <c r="J3288" s="13">
        <f>+J3287+I3288</f>
        <v>5025.45</v>
      </c>
      <c r="K3288" s="19">
        <f>+EOMONTH(B3288,0)</f>
        <v>46142</v>
      </c>
      <c r="L3288" s="3" t="inlineStr">
        <is>
          <t>Cash</t>
        </is>
      </c>
      <c r="M3288" s="3" t="inlineStr">
        <is>
          <t>Finance, Bank, &amp; Collection Charges</t>
        </is>
      </c>
    </row>
    <row r="3289">
      <c r="B3289" s="39" t="n">
        <v>46125</v>
      </c>
      <c r="C3289" s="3" t="inlineStr">
        <is>
          <t>Credit Card Expense</t>
        </is>
      </c>
      <c r="D3289" s="3" t="inlineStr"/>
      <c r="E3289" s="3" t="inlineStr"/>
      <c r="F3289" s="3" t="inlineStr">
        <is>
          <t>Bank service charges – April</t>
        </is>
      </c>
      <c r="G3289" s="3" t="inlineStr">
        <is>
          <t>Checking – Operating</t>
        </is>
      </c>
      <c r="H3289" s="3" t="inlineStr">
        <is>
          <t>Cash</t>
        </is>
      </c>
      <c r="I3289" s="33" t="n">
        <v>644.55</v>
      </c>
      <c r="J3289" s="13">
        <f>+J3288+I3289</f>
        <v>5670</v>
      </c>
      <c r="K3289" s="19">
        <f>+EOMONTH(B3289,0)</f>
        <v>46142</v>
      </c>
      <c r="L3289" s="3" t="inlineStr">
        <is>
          <t>Cash</t>
        </is>
      </c>
      <c r="M3289" s="3" t="inlineStr">
        <is>
          <t>Finance, Bank, &amp; Collection Charges</t>
        </is>
      </c>
    </row>
    <row r="3290">
      <c r="B3290" s="39" t="n">
        <v>46148</v>
      </c>
      <c r="C3290" s="3" t="inlineStr">
        <is>
          <t>Credit Card Expense</t>
        </is>
      </c>
      <c r="D3290" s="3" t="inlineStr"/>
      <c r="E3290" s="3" t="inlineStr"/>
      <c r="F3290" s="3" t="inlineStr">
        <is>
          <t>Bank service charges – May</t>
        </is>
      </c>
      <c r="G3290" s="3" t="inlineStr">
        <is>
          <t>Checking – Operating</t>
        </is>
      </c>
      <c r="H3290" s="3" t="inlineStr">
        <is>
          <t>Cash</t>
        </is>
      </c>
      <c r="I3290" s="33" t="n">
        <v>771.47</v>
      </c>
      <c r="J3290" s="13">
        <f>+J3289+I3290</f>
        <v>6441.47</v>
      </c>
      <c r="K3290" s="19">
        <f>+EOMONTH(B3290,0)</f>
        <v>46173</v>
      </c>
      <c r="L3290" s="3" t="inlineStr">
        <is>
          <t>Cash</t>
        </is>
      </c>
      <c r="M3290" s="3" t="inlineStr">
        <is>
          <t>Finance, Bank, &amp; Collection Charges</t>
        </is>
      </c>
    </row>
    <row r="3291">
      <c r="B3291" s="39" t="n">
        <v>46149</v>
      </c>
      <c r="C3291" s="3" t="inlineStr">
        <is>
          <t>Expense</t>
        </is>
      </c>
      <c r="D3291" s="3" t="inlineStr">
        <is>
          <t>10596</t>
        </is>
      </c>
      <c r="E3291" s="3" t="inlineStr"/>
      <c r="F3291" s="3" t="inlineStr">
        <is>
          <t>Bank service charges – May</t>
        </is>
      </c>
      <c r="G3291" s="3" t="inlineStr">
        <is>
          <t>Checking – Operating</t>
        </is>
      </c>
      <c r="H3291" s="3" t="inlineStr">
        <is>
          <t>Cash</t>
        </is>
      </c>
      <c r="I3291" s="33" t="n">
        <v>668.53</v>
      </c>
      <c r="J3291" s="13">
        <f>+J3290+I3291</f>
        <v>7110</v>
      </c>
      <c r="K3291" s="19">
        <f>+EOMONTH(B3291,0)</f>
        <v>46173</v>
      </c>
      <c r="L3291" s="3" t="inlineStr">
        <is>
          <t>Cash</t>
        </is>
      </c>
      <c r="M3291" s="3" t="inlineStr">
        <is>
          <t>Finance, Bank, &amp; Collection Charges</t>
        </is>
      </c>
    </row>
    <row r="3292">
      <c r="B3292" s="39" t="n">
        <v>46183</v>
      </c>
      <c r="C3292" s="3" t="inlineStr">
        <is>
          <t>Journal Entry</t>
        </is>
      </c>
      <c r="D3292" s="3" t="inlineStr">
        <is>
          <t>JE-2621</t>
        </is>
      </c>
      <c r="E3292" s="3" t="inlineStr"/>
      <c r="F3292" s="3" t="inlineStr">
        <is>
          <t>Bank service charges – June</t>
        </is>
      </c>
      <c r="G3292" s="3" t="inlineStr">
        <is>
          <t>Checking – Operating</t>
        </is>
      </c>
      <c r="H3292" s="3" t="inlineStr">
        <is>
          <t>Cash</t>
        </is>
      </c>
      <c r="I3292" s="33" t="n">
        <v>643.95</v>
      </c>
      <c r="J3292" s="13">
        <f>+J3291+I3292</f>
        <v>7753.95</v>
      </c>
      <c r="K3292" s="19">
        <f>+EOMONTH(B3292,0)</f>
        <v>46203</v>
      </c>
      <c r="L3292" s="3" t="inlineStr">
        <is>
          <t>Cash</t>
        </is>
      </c>
      <c r="M3292" s="3" t="inlineStr">
        <is>
          <t>Finance, Bank, &amp; Collection Charges</t>
        </is>
      </c>
    </row>
    <row r="3293">
      <c r="B3293" s="39" t="n">
        <v>46192</v>
      </c>
      <c r="C3293" s="3" t="inlineStr">
        <is>
          <t>Credit Card Expense</t>
        </is>
      </c>
      <c r="D3293" s="3" t="inlineStr"/>
      <c r="E3293" s="3" t="inlineStr"/>
      <c r="F3293" s="3" t="inlineStr">
        <is>
          <t>Bank service charges – June</t>
        </is>
      </c>
      <c r="G3293" s="3" t="inlineStr">
        <is>
          <t>Checking – Operating</t>
        </is>
      </c>
      <c r="H3293" s="3" t="inlineStr">
        <is>
          <t>Cash</t>
        </is>
      </c>
      <c r="I3293" s="33" t="n">
        <v>766.05</v>
      </c>
      <c r="J3293" s="13">
        <f>+J3292+I3293</f>
        <v>8520</v>
      </c>
      <c r="K3293" s="19">
        <f>+EOMONTH(B3293,0)</f>
        <v>46203</v>
      </c>
      <c r="L3293" s="3" t="inlineStr">
        <is>
          <t>Cash</t>
        </is>
      </c>
      <c r="M3293" s="3" t="inlineStr">
        <is>
          <t>Finance, Bank, &amp; Collection Charges</t>
        </is>
      </c>
    </row>
    <row r="3294">
      <c r="B3294" s="39" t="n">
        <v>46205</v>
      </c>
      <c r="C3294" s="3" t="inlineStr">
        <is>
          <t>Credit Card Expense</t>
        </is>
      </c>
      <c r="D3294" s="3" t="inlineStr"/>
      <c r="E3294" s="3" t="inlineStr"/>
      <c r="F3294" s="3" t="inlineStr">
        <is>
          <t>Bank service charges – July</t>
        </is>
      </c>
      <c r="G3294" s="3" t="inlineStr">
        <is>
          <t>Checking – Operating</t>
        </is>
      </c>
      <c r="H3294" s="3" t="inlineStr">
        <is>
          <t>Cash</t>
        </is>
      </c>
      <c r="I3294" s="33" t="n">
        <v>616.02</v>
      </c>
      <c r="J3294" s="13">
        <f>+J3293+I3294</f>
        <v>9136.02</v>
      </c>
      <c r="K3294" s="19">
        <f>+EOMONTH(B3294,0)</f>
        <v>46234</v>
      </c>
      <c r="L3294" s="3" t="inlineStr">
        <is>
          <t>Cash</t>
        </is>
      </c>
      <c r="M3294" s="3" t="inlineStr">
        <is>
          <t>Finance, Bank, &amp; Collection Charges</t>
        </is>
      </c>
    </row>
    <row r="3295">
      <c r="B3295" s="39" t="n">
        <v>46207</v>
      </c>
      <c r="C3295" s="3" t="inlineStr">
        <is>
          <t>Journal Entry</t>
        </is>
      </c>
      <c r="D3295" s="3" t="inlineStr">
        <is>
          <t>JE-2622</t>
        </is>
      </c>
      <c r="E3295" s="3" t="inlineStr"/>
      <c r="F3295" s="3" t="inlineStr">
        <is>
          <t>Bank service charges – July</t>
        </is>
      </c>
      <c r="G3295" s="3" t="inlineStr">
        <is>
          <t>Checking – Operating</t>
        </is>
      </c>
      <c r="H3295" s="3" t="inlineStr">
        <is>
          <t>Cash</t>
        </is>
      </c>
      <c r="I3295" s="33" t="n">
        <v>1003.98</v>
      </c>
      <c r="J3295" s="13">
        <f>+J3294+I3295</f>
        <v>10140</v>
      </c>
      <c r="K3295" s="19">
        <f>+EOMONTH(B3295,0)</f>
        <v>46234</v>
      </c>
      <c r="L3295" s="3" t="inlineStr">
        <is>
          <t>Cash</t>
        </is>
      </c>
      <c r="M3295" s="3" t="inlineStr">
        <is>
          <t>Finance, Bank, &amp; Collection Charges</t>
        </is>
      </c>
    </row>
    <row r="3296">
      <c r="B3296" s="39" t="n">
        <v>46255</v>
      </c>
      <c r="C3296" s="3" t="inlineStr">
        <is>
          <t>Credit Card Expense</t>
        </is>
      </c>
      <c r="D3296" s="3" t="inlineStr"/>
      <c r="E3296" s="3" t="inlineStr"/>
      <c r="F3296" s="3" t="inlineStr">
        <is>
          <t>Bank service charges – August</t>
        </is>
      </c>
      <c r="G3296" s="3" t="inlineStr">
        <is>
          <t>Checking – Operating</t>
        </is>
      </c>
      <c r="H3296" s="3" t="inlineStr">
        <is>
          <t>Cash</t>
        </is>
      </c>
      <c r="I3296" s="33" t="n">
        <v>820.88</v>
      </c>
      <c r="J3296" s="13">
        <f>+J3295+I3296</f>
        <v>10960.88</v>
      </c>
      <c r="K3296" s="19">
        <f>+EOMONTH(B3296,0)</f>
        <v>46265</v>
      </c>
      <c r="L3296" s="3" t="inlineStr">
        <is>
          <t>Cash</t>
        </is>
      </c>
      <c r="M3296" s="3" t="inlineStr">
        <is>
          <t>Finance, Bank, &amp; Collection Charges</t>
        </is>
      </c>
    </row>
    <row r="3297">
      <c r="B3297" s="39" t="n">
        <v>46256</v>
      </c>
      <c r="C3297" s="3" t="inlineStr">
        <is>
          <t>Journal Entry</t>
        </is>
      </c>
      <c r="D3297" s="3" t="inlineStr">
        <is>
          <t>JE-2623</t>
        </is>
      </c>
      <c r="E3297" s="3" t="inlineStr"/>
      <c r="F3297" s="3" t="inlineStr">
        <is>
          <t>Bank service charges – August</t>
        </is>
      </c>
      <c r="G3297" s="3" t="inlineStr">
        <is>
          <t>Checking – Operating</t>
        </is>
      </c>
      <c r="H3297" s="3" t="inlineStr">
        <is>
          <t>Cash</t>
        </is>
      </c>
      <c r="I3297" s="33" t="n">
        <v>679.12</v>
      </c>
      <c r="J3297" s="13">
        <f>+J3296+I3297</f>
        <v>11640</v>
      </c>
      <c r="K3297" s="19">
        <f>+EOMONTH(B3297,0)</f>
        <v>46265</v>
      </c>
      <c r="L3297" s="3" t="inlineStr">
        <is>
          <t>Cash</t>
        </is>
      </c>
      <c r="M3297" s="3" t="inlineStr">
        <is>
          <t>Finance, Bank, &amp; Collection Charges</t>
        </is>
      </c>
    </row>
    <row r="3298">
      <c r="B3298" s="39" t="n">
        <v>46275</v>
      </c>
      <c r="C3298" s="3" t="inlineStr">
        <is>
          <t>Expense</t>
        </is>
      </c>
      <c r="D3298" s="3" t="inlineStr">
        <is>
          <t>10597</t>
        </is>
      </c>
      <c r="E3298" s="3" t="inlineStr"/>
      <c r="F3298" s="3" t="inlineStr">
        <is>
          <t>Bank service charges – September</t>
        </is>
      </c>
      <c r="G3298" s="3" t="inlineStr">
        <is>
          <t>Checking – Operating</t>
        </is>
      </c>
      <c r="H3298" s="3" t="inlineStr">
        <is>
          <t>Cash</t>
        </is>
      </c>
      <c r="I3298" s="33" t="n">
        <v>1634.59</v>
      </c>
      <c r="J3298" s="13">
        <f>+J3297+I3298</f>
        <v>13274.59</v>
      </c>
      <c r="K3298" s="19">
        <f>+EOMONTH(B3298,0)</f>
        <v>46295</v>
      </c>
      <c r="L3298" s="3" t="inlineStr">
        <is>
          <t>Cash</t>
        </is>
      </c>
      <c r="M3298" s="3" t="inlineStr">
        <is>
          <t>Finance, Bank, &amp; Collection Charges</t>
        </is>
      </c>
    </row>
    <row r="3299">
      <c r="B3299" s="39" t="n">
        <v>46321</v>
      </c>
      <c r="C3299" s="3" t="inlineStr">
        <is>
          <t>Journal Entry</t>
        </is>
      </c>
      <c r="D3299" s="3" t="inlineStr">
        <is>
          <t>JE-2624</t>
        </is>
      </c>
      <c r="E3299" s="3" t="inlineStr"/>
      <c r="F3299" s="3" t="inlineStr">
        <is>
          <t>Bank service charges – October</t>
        </is>
      </c>
      <c r="G3299" s="3" t="inlineStr">
        <is>
          <t>Checking – Operating</t>
        </is>
      </c>
      <c r="H3299" s="3" t="inlineStr">
        <is>
          <t>Cash</t>
        </is>
      </c>
      <c r="I3299" s="33" t="n">
        <v>1698.07</v>
      </c>
      <c r="J3299" s="13">
        <f>+J3298+I3299</f>
        <v>14972.66</v>
      </c>
      <c r="K3299" s="19">
        <f>+EOMONTH(B3299,0)</f>
        <v>46326</v>
      </c>
      <c r="L3299" s="3" t="inlineStr">
        <is>
          <t>Cash</t>
        </is>
      </c>
      <c r="M3299" s="3" t="inlineStr">
        <is>
          <t>Finance, Bank, &amp; Collection Charges</t>
        </is>
      </c>
    </row>
    <row r="3300">
      <c r="B3300" s="39" t="n">
        <v>46347</v>
      </c>
      <c r="C3300" s="3" t="inlineStr">
        <is>
          <t>Expense</t>
        </is>
      </c>
      <c r="D3300" s="3" t="inlineStr">
        <is>
          <t>10598</t>
        </is>
      </c>
      <c r="E3300" s="3" t="inlineStr"/>
      <c r="F3300" s="3" t="inlineStr">
        <is>
          <t>Bank service charges – November</t>
        </is>
      </c>
      <c r="G3300" s="3" t="inlineStr">
        <is>
          <t>Checking – Operating</t>
        </is>
      </c>
      <c r="H3300" s="3" t="inlineStr">
        <is>
          <t>Cash</t>
        </is>
      </c>
      <c r="I3300" s="33" t="n">
        <v>1465.19</v>
      </c>
      <c r="J3300" s="13">
        <f>+J3299+I3300</f>
        <v>16437.85</v>
      </c>
      <c r="K3300" s="19">
        <f>+EOMONTH(B3300,0)</f>
        <v>46356</v>
      </c>
      <c r="L3300" s="3" t="inlineStr">
        <is>
          <t>Cash</t>
        </is>
      </c>
      <c r="M3300" s="3" t="inlineStr">
        <is>
          <t>Finance, Bank, &amp; Collection Charges</t>
        </is>
      </c>
    </row>
    <row r="3301">
      <c r="A3301" s="2" t="inlineStr">
        <is>
          <t>Total for Cash</t>
        </is>
      </c>
      <c r="I3301" s="35">
        <f>SUM(I3282:I3300)</f>
        <v>16437.85</v>
      </c>
    </row>
    <row r="3303">
      <c r="A3303" s="2" t="inlineStr">
        <is>
          <t>Consulting</t>
        </is>
      </c>
    </row>
    <row r="3304">
      <c r="B3304" s="39" t="n">
        <v>46049</v>
      </c>
      <c r="C3304" s="3" t="inlineStr">
        <is>
          <t>Journal Entry</t>
        </is>
      </c>
      <c r="D3304" s="3" t="inlineStr">
        <is>
          <t>JE-2625</t>
        </is>
      </c>
      <c r="E3304" s="3" t="inlineStr">
        <is>
          <t>Consultant A</t>
        </is>
      </c>
      <c r="F3304" s="3" t="inlineStr">
        <is>
          <t>Consulting – January</t>
        </is>
      </c>
      <c r="G3304" s="3" t="inlineStr">
        <is>
          <t>Checking – Operating</t>
        </is>
      </c>
      <c r="H3304" s="3" t="inlineStr">
        <is>
          <t>Consulting</t>
        </is>
      </c>
      <c r="I3304" s="33" t="n">
        <v>3069.37</v>
      </c>
      <c r="J3304" s="13">
        <f>+I3304</f>
        <v>3069.37</v>
      </c>
      <c r="K3304" s="19">
        <f>+EOMONTH(B3304,0)</f>
        <v>46053</v>
      </c>
      <c r="L3304" s="3" t="inlineStr">
        <is>
          <t>Consulting</t>
        </is>
      </c>
      <c r="M3304" s="3" t="inlineStr">
        <is>
          <t>Legal &amp; Professional Fees</t>
        </is>
      </c>
    </row>
    <row r="3305">
      <c r="B3305" s="39" t="n">
        <v>46052</v>
      </c>
      <c r="C3305" s="3" t="inlineStr">
        <is>
          <t>Expense</t>
        </is>
      </c>
      <c r="D3305" s="3" t="inlineStr">
        <is>
          <t>10599</t>
        </is>
      </c>
      <c r="E3305" s="3" t="inlineStr">
        <is>
          <t>Consultant A</t>
        </is>
      </c>
      <c r="F3305" s="3" t="inlineStr">
        <is>
          <t>Consulting – January</t>
        </is>
      </c>
      <c r="G3305" s="3" t="inlineStr">
        <is>
          <t>Checking – Operating</t>
        </is>
      </c>
      <c r="H3305" s="3" t="inlineStr">
        <is>
          <t>Consulting</t>
        </is>
      </c>
      <c r="I3305" s="33" t="n">
        <v>3030.63</v>
      </c>
      <c r="J3305" s="13">
        <f>+J3304+I3305</f>
        <v>6100</v>
      </c>
      <c r="K3305" s="19">
        <f>+EOMONTH(B3305,0)</f>
        <v>46053</v>
      </c>
      <c r="L3305" s="3" t="inlineStr">
        <is>
          <t>Consulting</t>
        </is>
      </c>
      <c r="M3305" s="3" t="inlineStr">
        <is>
          <t>Legal &amp; Professional Fees</t>
        </is>
      </c>
    </row>
    <row r="3306">
      <c r="B3306" s="39" t="n">
        <v>46064</v>
      </c>
      <c r="C3306" s="3" t="inlineStr">
        <is>
          <t>Expense</t>
        </is>
      </c>
      <c r="D3306" s="3" t="inlineStr">
        <is>
          <t>10600</t>
        </is>
      </c>
      <c r="E3306" s="3" t="inlineStr">
        <is>
          <t>Consultant A</t>
        </is>
      </c>
      <c r="F3306" s="3" t="inlineStr">
        <is>
          <t>Consulting – February</t>
        </is>
      </c>
      <c r="G3306" s="3" t="inlineStr">
        <is>
          <t>Checking – Operating</t>
        </is>
      </c>
      <c r="H3306" s="3" t="inlineStr">
        <is>
          <t>Consulting</t>
        </is>
      </c>
      <c r="I3306" s="33" t="n">
        <v>2809.17</v>
      </c>
      <c r="J3306" s="13">
        <f>+J3305+I3306</f>
        <v>8909.17</v>
      </c>
      <c r="K3306" s="19">
        <f>+EOMONTH(B3306,0)</f>
        <v>46081</v>
      </c>
      <c r="L3306" s="3" t="inlineStr">
        <is>
          <t>Consulting</t>
        </is>
      </c>
      <c r="M3306" s="3" t="inlineStr">
        <is>
          <t>Legal &amp; Professional Fees</t>
        </is>
      </c>
    </row>
    <row r="3307">
      <c r="B3307" s="39" t="n">
        <v>46068</v>
      </c>
      <c r="C3307" s="3" t="inlineStr">
        <is>
          <t>Expense</t>
        </is>
      </c>
      <c r="D3307" s="3" t="inlineStr">
        <is>
          <t>10601</t>
        </is>
      </c>
      <c r="E3307" s="3" t="inlineStr">
        <is>
          <t>Consultant A</t>
        </is>
      </c>
      <c r="F3307" s="3" t="inlineStr">
        <is>
          <t>Consulting – February</t>
        </is>
      </c>
      <c r="G3307" s="3" t="inlineStr">
        <is>
          <t>Checking – Operating</t>
        </is>
      </c>
      <c r="H3307" s="3" t="inlineStr">
        <is>
          <t>Consulting</t>
        </is>
      </c>
      <c r="I3307" s="33" t="n">
        <v>3090.83</v>
      </c>
      <c r="J3307" s="13">
        <f>+J3306+I3307</f>
        <v>12000</v>
      </c>
      <c r="K3307" s="19">
        <f>+EOMONTH(B3307,0)</f>
        <v>46081</v>
      </c>
      <c r="L3307" s="3" t="inlineStr">
        <is>
          <t>Consulting</t>
        </is>
      </c>
      <c r="M3307" s="3" t="inlineStr">
        <is>
          <t>Legal &amp; Professional Fees</t>
        </is>
      </c>
    </row>
    <row r="3308">
      <c r="B3308" s="39" t="n">
        <v>46086</v>
      </c>
      <c r="C3308" s="3" t="inlineStr">
        <is>
          <t>Expense</t>
        </is>
      </c>
      <c r="D3308" s="3" t="inlineStr">
        <is>
          <t>10602</t>
        </is>
      </c>
      <c r="E3308" s="3" t="inlineStr">
        <is>
          <t>Consultant A</t>
        </is>
      </c>
      <c r="F3308" s="3" t="inlineStr">
        <is>
          <t>Consulting – March</t>
        </is>
      </c>
      <c r="G3308" s="3" t="inlineStr">
        <is>
          <t>Checking – Operating</t>
        </is>
      </c>
      <c r="H3308" s="3" t="inlineStr">
        <is>
          <t>Consulting</t>
        </is>
      </c>
      <c r="I3308" s="33" t="n">
        <v>3716.65</v>
      </c>
      <c r="J3308" s="13">
        <f>+J3307+I3308</f>
        <v>15716.65</v>
      </c>
      <c r="K3308" s="19">
        <f>+EOMONTH(B3308,0)</f>
        <v>46112</v>
      </c>
      <c r="L3308" s="3" t="inlineStr">
        <is>
          <t>Consulting</t>
        </is>
      </c>
      <c r="M3308" s="3" t="inlineStr">
        <is>
          <t>Legal &amp; Professional Fees</t>
        </is>
      </c>
    </row>
    <row r="3309">
      <c r="B3309" s="39" t="n">
        <v>46103</v>
      </c>
      <c r="C3309" s="3" t="inlineStr">
        <is>
          <t>Expense</t>
        </is>
      </c>
      <c r="D3309" s="3" t="inlineStr">
        <is>
          <t>10603</t>
        </is>
      </c>
      <c r="E3309" s="3" t="inlineStr">
        <is>
          <t>Consultant A</t>
        </is>
      </c>
      <c r="F3309" s="3" t="inlineStr">
        <is>
          <t>Consulting – March</t>
        </is>
      </c>
      <c r="G3309" s="3" t="inlineStr">
        <is>
          <t>Checking – Operating</t>
        </is>
      </c>
      <c r="H3309" s="3" t="inlineStr">
        <is>
          <t>Consulting</t>
        </is>
      </c>
      <c r="I3309" s="33" t="n">
        <v>2583.35</v>
      </c>
      <c r="J3309" s="13">
        <f>+J3308+I3309</f>
        <v>18300</v>
      </c>
      <c r="K3309" s="19">
        <f>+EOMONTH(B3309,0)</f>
        <v>46112</v>
      </c>
      <c r="L3309" s="3" t="inlineStr">
        <is>
          <t>Consulting</t>
        </is>
      </c>
      <c r="M3309" s="3" t="inlineStr">
        <is>
          <t>Legal &amp; Professional Fees</t>
        </is>
      </c>
    </row>
    <row r="3310">
      <c r="B3310" s="39" t="n">
        <v>46131</v>
      </c>
      <c r="C3310" s="3" t="inlineStr">
        <is>
          <t>Expense</t>
        </is>
      </c>
      <c r="D3310" s="3" t="inlineStr">
        <is>
          <t>10604</t>
        </is>
      </c>
      <c r="E3310" s="3" t="inlineStr">
        <is>
          <t>Consultant A</t>
        </is>
      </c>
      <c r="F3310" s="3" t="inlineStr">
        <is>
          <t>Consulting – April</t>
        </is>
      </c>
      <c r="G3310" s="3" t="inlineStr">
        <is>
          <t>Checking – Operating</t>
        </is>
      </c>
      <c r="H3310" s="3" t="inlineStr">
        <is>
          <t>Consulting</t>
        </is>
      </c>
      <c r="I3310" s="33" t="n">
        <v>2660.81</v>
      </c>
      <c r="J3310" s="13">
        <f>+J3309+I3310</f>
        <v>20960.81</v>
      </c>
      <c r="K3310" s="19">
        <f>+EOMONTH(B3310,0)</f>
        <v>46142</v>
      </c>
      <c r="L3310" s="3" t="inlineStr">
        <is>
          <t>Consulting</t>
        </is>
      </c>
      <c r="M3310" s="3" t="inlineStr">
        <is>
          <t>Legal &amp; Professional Fees</t>
        </is>
      </c>
    </row>
    <row r="3311">
      <c r="B3311" s="39" t="n">
        <v>46141</v>
      </c>
      <c r="C3311" s="3" t="inlineStr">
        <is>
          <t>Expense</t>
        </is>
      </c>
      <c r="D3311" s="3" t="inlineStr">
        <is>
          <t>10605</t>
        </is>
      </c>
      <c r="E3311" s="3" t="inlineStr">
        <is>
          <t>Consultant A</t>
        </is>
      </c>
      <c r="F3311" s="3" t="inlineStr">
        <is>
          <t>Consulting – April</t>
        </is>
      </c>
      <c r="G3311" s="3" t="inlineStr">
        <is>
          <t>Checking – Operating</t>
        </is>
      </c>
      <c r="H3311" s="3" t="inlineStr">
        <is>
          <t>Consulting</t>
        </is>
      </c>
      <c r="I3311" s="33" t="n">
        <v>3739.19</v>
      </c>
      <c r="J3311" s="13">
        <f>+J3310+I3311</f>
        <v>24700</v>
      </c>
      <c r="K3311" s="19">
        <f>+EOMONTH(B3311,0)</f>
        <v>46142</v>
      </c>
      <c r="L3311" s="3" t="inlineStr">
        <is>
          <t>Consulting</t>
        </is>
      </c>
      <c r="M3311" s="3" t="inlineStr">
        <is>
          <t>Legal &amp; Professional Fees</t>
        </is>
      </c>
    </row>
    <row r="3312">
      <c r="B3312" s="39" t="n">
        <v>46157</v>
      </c>
      <c r="C3312" s="3" t="inlineStr">
        <is>
          <t>Expense</t>
        </is>
      </c>
      <c r="D3312" s="3" t="inlineStr">
        <is>
          <t>10606</t>
        </is>
      </c>
      <c r="E3312" s="3" t="inlineStr">
        <is>
          <t>Consultant A</t>
        </is>
      </c>
      <c r="F3312" s="3" t="inlineStr">
        <is>
          <t>Consulting – May</t>
        </is>
      </c>
      <c r="G3312" s="3" t="inlineStr">
        <is>
          <t>Checking – Operating</t>
        </is>
      </c>
      <c r="H3312" s="3" t="inlineStr">
        <is>
          <t>Consulting</t>
        </is>
      </c>
      <c r="I3312" s="33" t="n">
        <v>3408.43</v>
      </c>
      <c r="J3312" s="13">
        <f>+J3311+I3312</f>
        <v>28108.43</v>
      </c>
      <c r="K3312" s="19">
        <f>+EOMONTH(B3312,0)</f>
        <v>46173</v>
      </c>
      <c r="L3312" s="3" t="inlineStr">
        <is>
          <t>Consulting</t>
        </is>
      </c>
      <c r="M3312" s="3" t="inlineStr">
        <is>
          <t>Legal &amp; Professional Fees</t>
        </is>
      </c>
    </row>
    <row r="3313">
      <c r="B3313" s="39" t="n">
        <v>46160</v>
      </c>
      <c r="C3313" s="3" t="inlineStr">
        <is>
          <t>Expense</t>
        </is>
      </c>
      <c r="D3313" s="3" t="inlineStr">
        <is>
          <t>10607</t>
        </is>
      </c>
      <c r="E3313" s="3" t="inlineStr">
        <is>
          <t>Consultant A</t>
        </is>
      </c>
      <c r="F3313" s="3" t="inlineStr">
        <is>
          <t>Consulting – May</t>
        </is>
      </c>
      <c r="G3313" s="3" t="inlineStr">
        <is>
          <t>Checking – Operating</t>
        </is>
      </c>
      <c r="H3313" s="3" t="inlineStr">
        <is>
          <t>Consulting</t>
        </is>
      </c>
      <c r="I3313" s="33" t="n">
        <v>2591.57</v>
      </c>
      <c r="J3313" s="13">
        <f>+J3312+I3313</f>
        <v>30700</v>
      </c>
      <c r="K3313" s="19">
        <f>+EOMONTH(B3313,0)</f>
        <v>46173</v>
      </c>
      <c r="L3313" s="3" t="inlineStr">
        <is>
          <t>Consulting</t>
        </is>
      </c>
      <c r="M3313" s="3" t="inlineStr">
        <is>
          <t>Legal &amp; Professional Fees</t>
        </is>
      </c>
    </row>
    <row r="3314">
      <c r="B3314" s="39" t="n">
        <v>46175</v>
      </c>
      <c r="C3314" s="3" t="inlineStr">
        <is>
          <t>Expense</t>
        </is>
      </c>
      <c r="D3314" s="3" t="inlineStr">
        <is>
          <t>10608</t>
        </is>
      </c>
      <c r="E3314" s="3" t="inlineStr">
        <is>
          <t>Consultant A</t>
        </is>
      </c>
      <c r="F3314" s="3" t="inlineStr">
        <is>
          <t>Consulting – June</t>
        </is>
      </c>
      <c r="G3314" s="3" t="inlineStr">
        <is>
          <t>Checking – Operating</t>
        </is>
      </c>
      <c r="H3314" s="3" t="inlineStr">
        <is>
          <t>Consulting</t>
        </is>
      </c>
      <c r="I3314" s="33" t="n">
        <v>4204.54</v>
      </c>
      <c r="J3314" s="13">
        <f>+J3313+I3314</f>
        <v>34904.54</v>
      </c>
      <c r="K3314" s="19">
        <f>+EOMONTH(B3314,0)</f>
        <v>46203</v>
      </c>
      <c r="L3314" s="3" t="inlineStr">
        <is>
          <t>Consulting</t>
        </is>
      </c>
      <c r="M3314" s="3" t="inlineStr">
        <is>
          <t>Legal &amp; Professional Fees</t>
        </is>
      </c>
    </row>
    <row r="3315">
      <c r="B3315" s="39" t="n">
        <v>46179</v>
      </c>
      <c r="C3315" s="3" t="inlineStr">
        <is>
          <t>Expense</t>
        </is>
      </c>
      <c r="D3315" s="3" t="inlineStr">
        <is>
          <t>10609</t>
        </is>
      </c>
      <c r="E3315" s="3" t="inlineStr">
        <is>
          <t>Consultant A</t>
        </is>
      </c>
      <c r="F3315" s="3" t="inlineStr">
        <is>
          <t>Consulting – June</t>
        </is>
      </c>
      <c r="G3315" s="3" t="inlineStr">
        <is>
          <t>Checking – Operating</t>
        </is>
      </c>
      <c r="H3315" s="3" t="inlineStr">
        <is>
          <t>Consulting</t>
        </is>
      </c>
      <c r="I3315" s="33" t="n">
        <v>1895.46</v>
      </c>
      <c r="J3315" s="13">
        <f>+J3314+I3315</f>
        <v>36800</v>
      </c>
      <c r="K3315" s="19">
        <f>+EOMONTH(B3315,0)</f>
        <v>46203</v>
      </c>
      <c r="L3315" s="3" t="inlineStr">
        <is>
          <t>Consulting</t>
        </is>
      </c>
      <c r="M3315" s="3" t="inlineStr">
        <is>
          <t>Legal &amp; Professional Fees</t>
        </is>
      </c>
    </row>
    <row r="3316">
      <c r="B3316" s="39" t="n">
        <v>46208</v>
      </c>
      <c r="C3316" s="3" t="inlineStr">
        <is>
          <t>Expense</t>
        </is>
      </c>
      <c r="D3316" s="3" t="inlineStr">
        <is>
          <t>10610</t>
        </is>
      </c>
      <c r="E3316" s="3" t="inlineStr">
        <is>
          <t>Consultant A</t>
        </is>
      </c>
      <c r="F3316" s="3" t="inlineStr">
        <is>
          <t>Consulting – July</t>
        </is>
      </c>
      <c r="G3316" s="3" t="inlineStr">
        <is>
          <t>Checking – Operating</t>
        </is>
      </c>
      <c r="H3316" s="3" t="inlineStr">
        <is>
          <t>Consulting</t>
        </is>
      </c>
      <c r="I3316" s="33" t="n">
        <v>2778.94</v>
      </c>
      <c r="J3316" s="13">
        <f>+J3315+I3316</f>
        <v>39578.94</v>
      </c>
      <c r="K3316" s="19">
        <f>+EOMONTH(B3316,0)</f>
        <v>46234</v>
      </c>
      <c r="L3316" s="3" t="inlineStr">
        <is>
          <t>Consulting</t>
        </is>
      </c>
      <c r="M3316" s="3" t="inlineStr">
        <is>
          <t>Legal &amp; Professional Fees</t>
        </is>
      </c>
    </row>
    <row r="3317">
      <c r="B3317" s="39" t="n">
        <v>46226</v>
      </c>
      <c r="C3317" s="3" t="inlineStr">
        <is>
          <t>Expense</t>
        </is>
      </c>
      <c r="D3317" s="3" t="inlineStr">
        <is>
          <t>10611</t>
        </is>
      </c>
      <c r="E3317" s="3" t="inlineStr">
        <is>
          <t>Consultant A</t>
        </is>
      </c>
      <c r="F3317" s="3" t="inlineStr">
        <is>
          <t>Consulting – July</t>
        </is>
      </c>
      <c r="G3317" s="3" t="inlineStr">
        <is>
          <t>Checking – Operating</t>
        </is>
      </c>
      <c r="H3317" s="3" t="inlineStr">
        <is>
          <t>Consulting</t>
        </is>
      </c>
      <c r="I3317" s="33" t="n">
        <v>3321.06</v>
      </c>
      <c r="J3317" s="13">
        <f>+J3316+I3317</f>
        <v>42900</v>
      </c>
      <c r="K3317" s="19">
        <f>+EOMONTH(B3317,0)</f>
        <v>46234</v>
      </c>
      <c r="L3317" s="3" t="inlineStr">
        <is>
          <t>Consulting</t>
        </is>
      </c>
      <c r="M3317" s="3" t="inlineStr">
        <is>
          <t>Legal &amp; Professional Fees</t>
        </is>
      </c>
    </row>
    <row r="3318">
      <c r="B3318" s="39" t="n">
        <v>46261</v>
      </c>
      <c r="C3318" s="3" t="inlineStr">
        <is>
          <t>Credit Card Expense</t>
        </is>
      </c>
      <c r="D3318" s="3" t="inlineStr"/>
      <c r="E3318" s="3" t="inlineStr">
        <is>
          <t>Consultant A</t>
        </is>
      </c>
      <c r="F3318" s="3" t="inlineStr">
        <is>
          <t>Consulting – August</t>
        </is>
      </c>
      <c r="G3318" s="3" t="inlineStr">
        <is>
          <t>Checking – Operating</t>
        </is>
      </c>
      <c r="H3318" s="3" t="inlineStr">
        <is>
          <t>Consulting</t>
        </is>
      </c>
      <c r="I3318" s="33" t="n">
        <v>3815.85</v>
      </c>
      <c r="J3318" s="13">
        <f>+J3317+I3318</f>
        <v>46715.85</v>
      </c>
      <c r="K3318" s="19">
        <f>+EOMONTH(B3318,0)</f>
        <v>46265</v>
      </c>
      <c r="L3318" s="3" t="inlineStr">
        <is>
          <t>Consulting</t>
        </is>
      </c>
      <c r="M3318" s="3" t="inlineStr">
        <is>
          <t>Legal &amp; Professional Fees</t>
        </is>
      </c>
    </row>
    <row r="3319">
      <c r="B3319" s="39" t="n">
        <v>46263</v>
      </c>
      <c r="C3319" s="3" t="inlineStr">
        <is>
          <t>Credit Card Expense</t>
        </is>
      </c>
      <c r="D3319" s="3" t="inlineStr"/>
      <c r="E3319" s="3" t="inlineStr">
        <is>
          <t>Consultant A</t>
        </is>
      </c>
      <c r="F3319" s="3" t="inlineStr">
        <is>
          <t>Consulting – August</t>
        </is>
      </c>
      <c r="G3319" s="3" t="inlineStr">
        <is>
          <t>Checking – Operating</t>
        </is>
      </c>
      <c r="H3319" s="3" t="inlineStr">
        <is>
          <t>Consulting</t>
        </is>
      </c>
      <c r="I3319" s="33" t="n">
        <v>2884.15</v>
      </c>
      <c r="J3319" s="13">
        <f>+J3318+I3319</f>
        <v>49600</v>
      </c>
      <c r="K3319" s="19">
        <f>+EOMONTH(B3319,0)</f>
        <v>46265</v>
      </c>
      <c r="L3319" s="3" t="inlineStr">
        <is>
          <t>Consulting</t>
        </is>
      </c>
      <c r="M3319" s="3" t="inlineStr">
        <is>
          <t>Legal &amp; Professional Fees</t>
        </is>
      </c>
    </row>
    <row r="3320">
      <c r="B3320" s="39" t="n">
        <v>46278</v>
      </c>
      <c r="C3320" s="3" t="inlineStr">
        <is>
          <t>Credit Card Expense</t>
        </is>
      </c>
      <c r="D3320" s="3" t="inlineStr"/>
      <c r="E3320" s="3" t="inlineStr">
        <is>
          <t>Consultant A</t>
        </is>
      </c>
      <c r="F3320" s="3" t="inlineStr">
        <is>
          <t>Consulting – September</t>
        </is>
      </c>
      <c r="G3320" s="3" t="inlineStr">
        <is>
          <t>Checking – Operating</t>
        </is>
      </c>
      <c r="H3320" s="3" t="inlineStr">
        <is>
          <t>Consulting</t>
        </is>
      </c>
      <c r="I3320" s="33" t="n">
        <v>3297.94</v>
      </c>
      <c r="J3320" s="13">
        <f>+J3319+I3320</f>
        <v>52897.94</v>
      </c>
      <c r="K3320" s="19">
        <f>+EOMONTH(B3320,0)</f>
        <v>46295</v>
      </c>
      <c r="L3320" s="3" t="inlineStr">
        <is>
          <t>Consulting</t>
        </is>
      </c>
      <c r="M3320" s="3" t="inlineStr">
        <is>
          <t>Legal &amp; Professional Fees</t>
        </is>
      </c>
    </row>
    <row r="3321">
      <c r="B3321" s="39" t="n">
        <v>46280</v>
      </c>
      <c r="C3321" s="3" t="inlineStr">
        <is>
          <t>Journal Entry</t>
        </is>
      </c>
      <c r="D3321" s="3" t="inlineStr">
        <is>
          <t>JE-2626</t>
        </is>
      </c>
      <c r="E3321" s="3" t="inlineStr">
        <is>
          <t>Consultant A</t>
        </is>
      </c>
      <c r="F3321" s="3" t="inlineStr">
        <is>
          <t>Consulting – September</t>
        </is>
      </c>
      <c r="G3321" s="3" t="inlineStr">
        <is>
          <t>Checking – Operating</t>
        </is>
      </c>
      <c r="H3321" s="3" t="inlineStr">
        <is>
          <t>Consulting</t>
        </is>
      </c>
      <c r="I3321" s="33" t="n">
        <v>2891.51</v>
      </c>
      <c r="J3321" s="13">
        <f>+J3320+I3321</f>
        <v>55789.45</v>
      </c>
      <c r="K3321" s="19">
        <f>+EOMONTH(B3321,0)</f>
        <v>46295</v>
      </c>
      <c r="L3321" s="3" t="inlineStr">
        <is>
          <t>Consulting</t>
        </is>
      </c>
      <c r="M3321" s="3" t="inlineStr">
        <is>
          <t>Legal &amp; Professional Fees</t>
        </is>
      </c>
    </row>
    <row r="3322">
      <c r="B3322" s="39" t="n">
        <v>46311</v>
      </c>
      <c r="C3322" s="3" t="inlineStr">
        <is>
          <t>Expense</t>
        </is>
      </c>
      <c r="D3322" s="3" t="inlineStr">
        <is>
          <t>10612</t>
        </is>
      </c>
      <c r="E3322" s="3" t="inlineStr">
        <is>
          <t>Consultant A</t>
        </is>
      </c>
      <c r="F3322" s="3" t="inlineStr">
        <is>
          <t>Consulting – October</t>
        </is>
      </c>
      <c r="G3322" s="3" t="inlineStr">
        <is>
          <t>Checking – Operating</t>
        </is>
      </c>
      <c r="H3322" s="3" t="inlineStr">
        <is>
          <t>Consulting</t>
        </is>
      </c>
      <c r="I3322" s="33" t="n">
        <v>3178.5</v>
      </c>
      <c r="J3322" s="13">
        <f>+J3321+I3322</f>
        <v>58967.95</v>
      </c>
      <c r="K3322" s="19">
        <f>+EOMONTH(B3322,0)</f>
        <v>46326</v>
      </c>
      <c r="L3322" s="3" t="inlineStr">
        <is>
          <t>Consulting</t>
        </is>
      </c>
      <c r="M3322" s="3" t="inlineStr">
        <is>
          <t>Legal &amp; Professional Fees</t>
        </is>
      </c>
    </row>
    <row r="3323">
      <c r="B3323" s="39" t="n">
        <v>46326</v>
      </c>
      <c r="C3323" s="3" t="inlineStr">
        <is>
          <t>Expense</t>
        </is>
      </c>
      <c r="D3323" s="3" t="inlineStr">
        <is>
          <t>10613</t>
        </is>
      </c>
      <c r="E3323" s="3" t="inlineStr">
        <is>
          <t>Consultant A</t>
        </is>
      </c>
      <c r="F3323" s="3" t="inlineStr">
        <is>
          <t>Consulting – October</t>
        </is>
      </c>
      <c r="G3323" s="3" t="inlineStr">
        <is>
          <t>Checking – Operating</t>
        </is>
      </c>
      <c r="H3323" s="3" t="inlineStr">
        <is>
          <t>Consulting</t>
        </is>
      </c>
      <c r="I3323" s="33" t="n">
        <v>3111.42</v>
      </c>
      <c r="J3323" s="13">
        <f>+J3322+I3323</f>
        <v>62079.37</v>
      </c>
      <c r="K3323" s="19">
        <f>+EOMONTH(B3323,0)</f>
        <v>46326</v>
      </c>
      <c r="L3323" s="3" t="inlineStr">
        <is>
          <t>Consulting</t>
        </is>
      </c>
      <c r="M3323" s="3" t="inlineStr">
        <is>
          <t>Legal &amp; Professional Fees</t>
        </is>
      </c>
    </row>
    <row r="3324">
      <c r="B3324" s="39" t="n">
        <v>46351</v>
      </c>
      <c r="C3324" s="3" t="inlineStr">
        <is>
          <t>Journal Entry</t>
        </is>
      </c>
      <c r="D3324" s="3" t="inlineStr">
        <is>
          <t>JE-2627</t>
        </is>
      </c>
      <c r="E3324" s="3" t="inlineStr">
        <is>
          <t>Consultant A</t>
        </is>
      </c>
      <c r="F3324" s="3" t="inlineStr">
        <is>
          <t>Consulting – November</t>
        </is>
      </c>
      <c r="G3324" s="3" t="inlineStr">
        <is>
          <t>Checking – Operating</t>
        </is>
      </c>
      <c r="H3324" s="3" t="inlineStr">
        <is>
          <t>Consulting</t>
        </is>
      </c>
      <c r="I3324" s="33" t="n">
        <v>3741.57</v>
      </c>
      <c r="J3324" s="13">
        <f>+J3323+I3324</f>
        <v>65820.94</v>
      </c>
      <c r="K3324" s="19">
        <f>+EOMONTH(B3324,0)</f>
        <v>46356</v>
      </c>
      <c r="L3324" s="3" t="inlineStr">
        <is>
          <t>Consulting</t>
        </is>
      </c>
      <c r="M3324" s="3" t="inlineStr">
        <is>
          <t>Legal &amp; Professional Fees</t>
        </is>
      </c>
    </row>
    <row r="3325">
      <c r="B3325" s="39" t="n">
        <v>46352</v>
      </c>
      <c r="C3325" s="3" t="inlineStr">
        <is>
          <t>Expense</t>
        </is>
      </c>
      <c r="D3325" s="3" t="inlineStr">
        <is>
          <t>10614</t>
        </is>
      </c>
      <c r="E3325" s="3" t="inlineStr">
        <is>
          <t>Consultant A</t>
        </is>
      </c>
      <c r="F3325" s="3" t="inlineStr">
        <is>
          <t>Consulting – November</t>
        </is>
      </c>
      <c r="G3325" s="3" t="inlineStr">
        <is>
          <t>Checking – Operating</t>
        </is>
      </c>
      <c r="H3325" s="3" t="inlineStr">
        <is>
          <t>Consulting</t>
        </is>
      </c>
      <c r="I3325" s="33" t="n">
        <v>2719.54</v>
      </c>
      <c r="J3325" s="13">
        <f>+J3324+I3325</f>
        <v>68540.48</v>
      </c>
      <c r="K3325" s="19">
        <f>+EOMONTH(B3325,0)</f>
        <v>46356</v>
      </c>
      <c r="L3325" s="3" t="inlineStr">
        <is>
          <t>Consulting</t>
        </is>
      </c>
      <c r="M3325" s="3" t="inlineStr">
        <is>
          <t>Legal &amp; Professional Fees</t>
        </is>
      </c>
    </row>
    <row r="3326">
      <c r="A3326" s="2" t="inlineStr">
        <is>
          <t>Total for Consulting</t>
        </is>
      </c>
      <c r="I3326" s="35">
        <f>SUM(I3304:I3325)</f>
        <v>68540.48</v>
      </c>
    </row>
    <row r="3328">
      <c r="A3328" s="2" t="inlineStr">
        <is>
          <t>Contractors</t>
        </is>
      </c>
    </row>
    <row r="3329">
      <c r="B3329" s="39" t="n">
        <v>46025</v>
      </c>
      <c r="C3329" s="3" t="inlineStr">
        <is>
          <t>Credit Card Expense</t>
        </is>
      </c>
      <c r="D3329" s="3" t="inlineStr"/>
      <c r="E3329" s="3" t="inlineStr">
        <is>
          <t>Tessarand Payroll Services</t>
        </is>
      </c>
      <c r="F3329" s="3" t="inlineStr">
        <is>
          <t>Contractors – January</t>
        </is>
      </c>
      <c r="G3329" s="3" t="inlineStr">
        <is>
          <t>Checking – Operating</t>
        </is>
      </c>
      <c r="H3329" s="3" t="inlineStr">
        <is>
          <t>Contractors</t>
        </is>
      </c>
      <c r="I3329" s="33" t="n">
        <v>8845.92</v>
      </c>
      <c r="J3329" s="13">
        <f>+I3329</f>
        <v>8845.92</v>
      </c>
      <c r="K3329" s="19">
        <f>+EOMONTH(B3329,0)</f>
        <v>46053</v>
      </c>
      <c r="L3329" s="3" t="inlineStr">
        <is>
          <t>Contractors</t>
        </is>
      </c>
      <c r="M3329" s="3" t="inlineStr">
        <is>
          <t>Contract Labor</t>
        </is>
      </c>
    </row>
    <row r="3330">
      <c r="B3330" s="39" t="n">
        <v>46032</v>
      </c>
      <c r="C3330" s="3" t="inlineStr">
        <is>
          <t>Expense</t>
        </is>
      </c>
      <c r="D3330" s="3" t="inlineStr">
        <is>
          <t>10615</t>
        </is>
      </c>
      <c r="E3330" s="3" t="inlineStr">
        <is>
          <t>Tessarand Payroll Services</t>
        </is>
      </c>
      <c r="F3330" s="3" t="inlineStr">
        <is>
          <t>Contractors – January</t>
        </is>
      </c>
      <c r="G3330" s="3" t="inlineStr">
        <is>
          <t>Checking – Operating</t>
        </is>
      </c>
      <c r="H3330" s="3" t="inlineStr">
        <is>
          <t>Contractors</t>
        </is>
      </c>
      <c r="I3330" s="33" t="n">
        <v>7564.99</v>
      </c>
      <c r="J3330" s="13">
        <f>+J3329+I3330</f>
        <v>16410.91</v>
      </c>
      <c r="K3330" s="19">
        <f>+EOMONTH(B3330,0)</f>
        <v>46053</v>
      </c>
      <c r="L3330" s="3" t="inlineStr">
        <is>
          <t>Contractors</t>
        </is>
      </c>
      <c r="M3330" s="3" t="inlineStr">
        <is>
          <t>Contract Labor</t>
        </is>
      </c>
    </row>
    <row r="3331">
      <c r="B3331" s="39" t="n">
        <v>46037</v>
      </c>
      <c r="C3331" s="3" t="inlineStr">
        <is>
          <t>Expense</t>
        </is>
      </c>
      <c r="D3331" s="3" t="inlineStr">
        <is>
          <t>10616</t>
        </is>
      </c>
      <c r="E3331" s="3" t="inlineStr">
        <is>
          <t>Tessarand Payroll Services</t>
        </is>
      </c>
      <c r="F3331" s="3" t="inlineStr">
        <is>
          <t>Contractors – January</t>
        </is>
      </c>
      <c r="G3331" s="3" t="inlineStr">
        <is>
          <t>Checking – Operating</t>
        </is>
      </c>
      <c r="H3331" s="3" t="inlineStr">
        <is>
          <t>Contractors</t>
        </is>
      </c>
      <c r="I3331" s="33" t="n">
        <v>5752.91</v>
      </c>
      <c r="J3331" s="13">
        <f>+J3330+I3331</f>
        <v>22163.82</v>
      </c>
      <c r="K3331" s="19">
        <f>+EOMONTH(B3331,0)</f>
        <v>46053</v>
      </c>
      <c r="L3331" s="3" t="inlineStr">
        <is>
          <t>Contractors</t>
        </is>
      </c>
      <c r="M3331" s="3" t="inlineStr">
        <is>
          <t>Contract Labor</t>
        </is>
      </c>
    </row>
    <row r="3332">
      <c r="B3332" s="39" t="n">
        <v>46043</v>
      </c>
      <c r="C3332" s="3" t="inlineStr">
        <is>
          <t>Journal Entry</t>
        </is>
      </c>
      <c r="D3332" s="3" t="inlineStr">
        <is>
          <t>JE-2628</t>
        </is>
      </c>
      <c r="E3332" s="3" t="inlineStr">
        <is>
          <t>Tessarand Payroll Services</t>
        </is>
      </c>
      <c r="F3332" s="3" t="inlineStr">
        <is>
          <t>Contractors – January</t>
        </is>
      </c>
      <c r="G3332" s="3" t="inlineStr">
        <is>
          <t>Checking – Operating</t>
        </is>
      </c>
      <c r="H3332" s="3" t="inlineStr">
        <is>
          <t>Contractors</t>
        </is>
      </c>
      <c r="I3332" s="33" t="n">
        <v>4736.18</v>
      </c>
      <c r="J3332" s="13">
        <f>+J3331+I3332</f>
        <v>26900</v>
      </c>
      <c r="K3332" s="19">
        <f>+EOMONTH(B3332,0)</f>
        <v>46053</v>
      </c>
      <c r="L3332" s="3" t="inlineStr">
        <is>
          <t>Contractors</t>
        </is>
      </c>
      <c r="M3332" s="3" t="inlineStr">
        <is>
          <t>Contract Labor</t>
        </is>
      </c>
    </row>
    <row r="3333">
      <c r="B3333" s="39" t="n">
        <v>46058</v>
      </c>
      <c r="C3333" s="3" t="inlineStr">
        <is>
          <t>Credit Card Expense</t>
        </is>
      </c>
      <c r="D3333" s="3" t="inlineStr"/>
      <c r="E3333" s="3" t="inlineStr">
        <is>
          <t>Tessarand Payroll Services</t>
        </is>
      </c>
      <c r="F3333" s="3" t="inlineStr">
        <is>
          <t>Contractors – February</t>
        </is>
      </c>
      <c r="G3333" s="3" t="inlineStr">
        <is>
          <t>Checking – Operating</t>
        </is>
      </c>
      <c r="H3333" s="3" t="inlineStr">
        <is>
          <t>Contractors</t>
        </is>
      </c>
      <c r="I3333" s="33" t="n">
        <v>6522.2</v>
      </c>
      <c r="J3333" s="13">
        <f>+J3332+I3333</f>
        <v>33422.2</v>
      </c>
      <c r="K3333" s="19">
        <f>+EOMONTH(B3333,0)</f>
        <v>46081</v>
      </c>
      <c r="L3333" s="3" t="inlineStr">
        <is>
          <t>Contractors</t>
        </is>
      </c>
      <c r="M3333" s="3" t="inlineStr">
        <is>
          <t>Contract Labor</t>
        </is>
      </c>
    </row>
    <row r="3334">
      <c r="B3334" s="39" t="n">
        <v>46062</v>
      </c>
      <c r="C3334" s="3" t="inlineStr">
        <is>
          <t>Credit Card Expense</t>
        </is>
      </c>
      <c r="D3334" s="3" t="inlineStr"/>
      <c r="E3334" s="3" t="inlineStr">
        <is>
          <t>Tessarand Payroll Services</t>
        </is>
      </c>
      <c r="F3334" s="3" t="inlineStr">
        <is>
          <t>Contractors – February</t>
        </is>
      </c>
      <c r="G3334" s="3" t="inlineStr">
        <is>
          <t>Checking – Operating</t>
        </is>
      </c>
      <c r="H3334" s="3" t="inlineStr">
        <is>
          <t>Contractors</t>
        </is>
      </c>
      <c r="I3334" s="33" t="n">
        <v>8204.93</v>
      </c>
      <c r="J3334" s="13">
        <f>+J3333+I3334</f>
        <v>41627.13</v>
      </c>
      <c r="K3334" s="19">
        <f>+EOMONTH(B3334,0)</f>
        <v>46081</v>
      </c>
      <c r="L3334" s="3" t="inlineStr">
        <is>
          <t>Contractors</t>
        </is>
      </c>
      <c r="M3334" s="3" t="inlineStr">
        <is>
          <t>Contract Labor</t>
        </is>
      </c>
    </row>
    <row r="3335">
      <c r="B3335" s="39" t="n">
        <v>46073</v>
      </c>
      <c r="C3335" s="3" t="inlineStr">
        <is>
          <t>Journal Entry</t>
        </is>
      </c>
      <c r="D3335" s="3" t="inlineStr">
        <is>
          <t>JE-2629</t>
        </is>
      </c>
      <c r="E3335" s="3" t="inlineStr">
        <is>
          <t>Tessarand Payroll Services</t>
        </is>
      </c>
      <c r="F3335" s="3" t="inlineStr">
        <is>
          <t>Contractors – February</t>
        </is>
      </c>
      <c r="G3335" s="3" t="inlineStr">
        <is>
          <t>Checking – Operating</t>
        </is>
      </c>
      <c r="H3335" s="3" t="inlineStr">
        <is>
          <t>Contractors</t>
        </is>
      </c>
      <c r="I3335" s="33" t="n">
        <v>9872.870000000001</v>
      </c>
      <c r="J3335" s="13">
        <f>+J3334+I3335</f>
        <v>51500</v>
      </c>
      <c r="K3335" s="19">
        <f>+EOMONTH(B3335,0)</f>
        <v>46081</v>
      </c>
      <c r="L3335" s="3" t="inlineStr">
        <is>
          <t>Contractors</t>
        </is>
      </c>
      <c r="M3335" s="3" t="inlineStr">
        <is>
          <t>Contract Labor</t>
        </is>
      </c>
    </row>
    <row r="3336">
      <c r="B3336" s="39" t="n">
        <v>46083</v>
      </c>
      <c r="C3336" s="3" t="inlineStr">
        <is>
          <t>Expense</t>
        </is>
      </c>
      <c r="D3336" s="3" t="inlineStr">
        <is>
          <t>10617</t>
        </is>
      </c>
      <c r="E3336" s="3" t="inlineStr">
        <is>
          <t>Tessarand Payroll Services</t>
        </is>
      </c>
      <c r="F3336" s="3" t="inlineStr">
        <is>
          <t>Contractors – March</t>
        </is>
      </c>
      <c r="G3336" s="3" t="inlineStr">
        <is>
          <t>Checking – Operating</t>
        </is>
      </c>
      <c r="H3336" s="3" t="inlineStr">
        <is>
          <t>Contractors</t>
        </is>
      </c>
      <c r="I3336" s="33" t="n">
        <v>3535.9</v>
      </c>
      <c r="J3336" s="13">
        <f>+J3335+I3336</f>
        <v>55035.9</v>
      </c>
      <c r="K3336" s="19">
        <f>+EOMONTH(B3336,0)</f>
        <v>46112</v>
      </c>
      <c r="L3336" s="3" t="inlineStr">
        <is>
          <t>Contractors</t>
        </is>
      </c>
      <c r="M3336" s="3" t="inlineStr">
        <is>
          <t>Contract Labor</t>
        </is>
      </c>
    </row>
    <row r="3337">
      <c r="B3337" s="39" t="n">
        <v>46094</v>
      </c>
      <c r="C3337" s="3" t="inlineStr">
        <is>
          <t>Expense</t>
        </is>
      </c>
      <c r="D3337" s="3" t="inlineStr">
        <is>
          <t>10618</t>
        </is>
      </c>
      <c r="E3337" s="3" t="inlineStr">
        <is>
          <t>Tessarand Payroll Services</t>
        </is>
      </c>
      <c r="F3337" s="3" t="inlineStr">
        <is>
          <t>Contractors – March</t>
        </is>
      </c>
      <c r="G3337" s="3" t="inlineStr">
        <is>
          <t>Checking – Operating</t>
        </is>
      </c>
      <c r="H3337" s="3" t="inlineStr">
        <is>
          <t>Contractors</t>
        </is>
      </c>
      <c r="I3337" s="33" t="n">
        <v>4321.84</v>
      </c>
      <c r="J3337" s="13">
        <f>+J3336+I3337</f>
        <v>59357.74</v>
      </c>
      <c r="K3337" s="19">
        <f>+EOMONTH(B3337,0)</f>
        <v>46112</v>
      </c>
      <c r="L3337" s="3" t="inlineStr">
        <is>
          <t>Contractors</t>
        </is>
      </c>
      <c r="M3337" s="3" t="inlineStr">
        <is>
          <t>Contract Labor</t>
        </is>
      </c>
    </row>
    <row r="3338">
      <c r="B3338" s="39" t="n">
        <v>46096</v>
      </c>
      <c r="C3338" s="3" t="inlineStr">
        <is>
          <t>Journal Entry</t>
        </is>
      </c>
      <c r="D3338" s="3" t="inlineStr">
        <is>
          <t>JE-2631</t>
        </is>
      </c>
      <c r="E3338" s="3" t="inlineStr">
        <is>
          <t>Tessarand Payroll Services</t>
        </is>
      </c>
      <c r="F3338" s="3" t="inlineStr">
        <is>
          <t>Contractors – March</t>
        </is>
      </c>
      <c r="G3338" s="3" t="inlineStr">
        <is>
          <t>Checking – Operating</t>
        </is>
      </c>
      <c r="H3338" s="3" t="inlineStr">
        <is>
          <t>Contractors</t>
        </is>
      </c>
      <c r="I3338" s="33" t="n">
        <v>5368.54</v>
      </c>
      <c r="J3338" s="13">
        <f>+J3337+I3338</f>
        <v>64726.28</v>
      </c>
      <c r="K3338" s="19">
        <f>+EOMONTH(B3338,0)</f>
        <v>46112</v>
      </c>
      <c r="L3338" s="3" t="inlineStr">
        <is>
          <t>Contractors</t>
        </is>
      </c>
      <c r="M3338" s="3" t="inlineStr">
        <is>
          <t>Contract Labor</t>
        </is>
      </c>
    </row>
    <row r="3339">
      <c r="B3339" s="39" t="n">
        <v>46105</v>
      </c>
      <c r="C3339" s="3" t="inlineStr">
        <is>
          <t>Credit Card Expense</t>
        </is>
      </c>
      <c r="D3339" s="3" t="inlineStr"/>
      <c r="E3339" s="3" t="inlineStr">
        <is>
          <t>Tessarand Payroll Services</t>
        </is>
      </c>
      <c r="F3339" s="3" t="inlineStr">
        <is>
          <t>Contractors – March</t>
        </is>
      </c>
      <c r="G3339" s="3" t="inlineStr">
        <is>
          <t>Checking – Operating</t>
        </is>
      </c>
      <c r="H3339" s="3" t="inlineStr">
        <is>
          <t>Contractors</t>
        </is>
      </c>
      <c r="I3339" s="33" t="n">
        <v>5241.71</v>
      </c>
      <c r="J3339" s="13">
        <f>+J3338+I3339</f>
        <v>69967.99</v>
      </c>
      <c r="K3339" s="19">
        <f>+EOMONTH(B3339,0)</f>
        <v>46112</v>
      </c>
      <c r="L3339" s="3" t="inlineStr">
        <is>
          <t>Contractors</t>
        </is>
      </c>
      <c r="M3339" s="3" t="inlineStr">
        <is>
          <t>Contract Labor</t>
        </is>
      </c>
    </row>
    <row r="3340">
      <c r="B3340" s="39" t="n">
        <v>46107</v>
      </c>
      <c r="C3340" s="3" t="inlineStr">
        <is>
          <t>Journal Entry</t>
        </is>
      </c>
      <c r="D3340" s="3" t="inlineStr">
        <is>
          <t>JE-2630</t>
        </is>
      </c>
      <c r="E3340" s="3" t="inlineStr">
        <is>
          <t>Tessarand Payroll Services</t>
        </is>
      </c>
      <c r="F3340" s="3" t="inlineStr">
        <is>
          <t>Contractors – March</t>
        </is>
      </c>
      <c r="G3340" s="3" t="inlineStr">
        <is>
          <t>Checking – Operating</t>
        </is>
      </c>
      <c r="H3340" s="3" t="inlineStr">
        <is>
          <t>Contractors</t>
        </is>
      </c>
      <c r="I3340" s="33" t="n">
        <v>7532.01</v>
      </c>
      <c r="J3340" s="13">
        <f>+J3339+I3340</f>
        <v>77500</v>
      </c>
      <c r="K3340" s="19">
        <f>+EOMONTH(B3340,0)</f>
        <v>46112</v>
      </c>
      <c r="L3340" s="3" t="inlineStr">
        <is>
          <t>Contractors</t>
        </is>
      </c>
      <c r="M3340" s="3" t="inlineStr">
        <is>
          <t>Contract Labor</t>
        </is>
      </c>
    </row>
    <row r="3341">
      <c r="B3341" s="39" t="n">
        <v>46119</v>
      </c>
      <c r="C3341" s="3" t="inlineStr">
        <is>
          <t>Expense</t>
        </is>
      </c>
      <c r="D3341" s="3" t="inlineStr">
        <is>
          <t>10619</t>
        </is>
      </c>
      <c r="E3341" s="3" t="inlineStr">
        <is>
          <t>Tessarand Payroll Services</t>
        </is>
      </c>
      <c r="F3341" s="3" t="inlineStr">
        <is>
          <t>Contractors – April</t>
        </is>
      </c>
      <c r="G3341" s="3" t="inlineStr">
        <is>
          <t>Checking – Operating</t>
        </is>
      </c>
      <c r="H3341" s="3" t="inlineStr">
        <is>
          <t>Contractors</t>
        </is>
      </c>
      <c r="I3341" s="33" t="n">
        <v>7634.62</v>
      </c>
      <c r="J3341" s="13">
        <f>+J3340+I3341</f>
        <v>85134.62</v>
      </c>
      <c r="K3341" s="19">
        <f>+EOMONTH(B3341,0)</f>
        <v>46142</v>
      </c>
      <c r="L3341" s="3" t="inlineStr">
        <is>
          <t>Contractors</t>
        </is>
      </c>
      <c r="M3341" s="3" t="inlineStr">
        <is>
          <t>Contract Labor</t>
        </is>
      </c>
    </row>
    <row r="3342">
      <c r="B3342" s="39" t="n">
        <v>46126</v>
      </c>
      <c r="C3342" s="3" t="inlineStr">
        <is>
          <t>Credit Card Expense</t>
        </is>
      </c>
      <c r="D3342" s="3" t="inlineStr"/>
      <c r="E3342" s="3" t="inlineStr">
        <is>
          <t>Tessarand Payroll Services</t>
        </is>
      </c>
      <c r="F3342" s="3" t="inlineStr">
        <is>
          <t>Contractors – April</t>
        </is>
      </c>
      <c r="G3342" s="3" t="inlineStr">
        <is>
          <t>Checking – Operating</t>
        </is>
      </c>
      <c r="H3342" s="3" t="inlineStr">
        <is>
          <t>Contractors</t>
        </is>
      </c>
      <c r="I3342" s="33" t="n">
        <v>6484.12</v>
      </c>
      <c r="J3342" s="13">
        <f>+J3341+I3342</f>
        <v>91618.74</v>
      </c>
      <c r="K3342" s="19">
        <f>+EOMONTH(B3342,0)</f>
        <v>46142</v>
      </c>
      <c r="L3342" s="3" t="inlineStr">
        <is>
          <t>Contractors</t>
        </is>
      </c>
      <c r="M3342" s="3" t="inlineStr">
        <is>
          <t>Contract Labor</t>
        </is>
      </c>
    </row>
    <row r="3343">
      <c r="B3343" s="39" t="n">
        <v>46133</v>
      </c>
      <c r="C3343" s="3" t="inlineStr">
        <is>
          <t>Journal Entry</t>
        </is>
      </c>
      <c r="D3343" s="3" t="inlineStr">
        <is>
          <t>JE-2632</t>
        </is>
      </c>
      <c r="E3343" s="3" t="inlineStr">
        <is>
          <t>Tessarand Payroll Services</t>
        </is>
      </c>
      <c r="F3343" s="3" t="inlineStr">
        <is>
          <t>Contractors – April</t>
        </is>
      </c>
      <c r="G3343" s="3" t="inlineStr">
        <is>
          <t>Checking – Operating</t>
        </is>
      </c>
      <c r="H3343" s="3" t="inlineStr">
        <is>
          <t>Contractors</t>
        </is>
      </c>
      <c r="I3343" s="33" t="n">
        <v>6600.99</v>
      </c>
      <c r="J3343" s="13">
        <f>+J3342+I3343</f>
        <v>98219.73</v>
      </c>
      <c r="K3343" s="19">
        <f>+EOMONTH(B3343,0)</f>
        <v>46142</v>
      </c>
      <c r="L3343" s="3" t="inlineStr">
        <is>
          <t>Contractors</t>
        </is>
      </c>
      <c r="M3343" s="3" t="inlineStr">
        <is>
          <t>Contract Labor</t>
        </is>
      </c>
    </row>
    <row r="3344">
      <c r="B3344" s="39" t="n">
        <v>46141</v>
      </c>
      <c r="C3344" s="3" t="inlineStr">
        <is>
          <t>Expense</t>
        </is>
      </c>
      <c r="D3344" s="3" t="inlineStr">
        <is>
          <t>10620</t>
        </is>
      </c>
      <c r="E3344" s="3" t="inlineStr">
        <is>
          <t>Tessarand Payroll Services</t>
        </is>
      </c>
      <c r="F3344" s="3" t="inlineStr">
        <is>
          <t>Contractors – April</t>
        </is>
      </c>
      <c r="G3344" s="3" t="inlineStr">
        <is>
          <t>Checking – Operating</t>
        </is>
      </c>
      <c r="H3344" s="3" t="inlineStr">
        <is>
          <t>Contractors</t>
        </is>
      </c>
      <c r="I3344" s="33" t="n">
        <v>6480.27</v>
      </c>
      <c r="J3344" s="13">
        <f>+J3343+I3344</f>
        <v>104700</v>
      </c>
      <c r="K3344" s="19">
        <f>+EOMONTH(B3344,0)</f>
        <v>46142</v>
      </c>
      <c r="L3344" s="3" t="inlineStr">
        <is>
          <t>Contractors</t>
        </is>
      </c>
      <c r="M3344" s="3" t="inlineStr">
        <is>
          <t>Contract Labor</t>
        </is>
      </c>
    </row>
    <row r="3345">
      <c r="B3345" s="39" t="n">
        <v>46143</v>
      </c>
      <c r="C3345" s="3" t="inlineStr">
        <is>
          <t>Credit Card Expense</t>
        </is>
      </c>
      <c r="D3345" s="3" t="inlineStr"/>
      <c r="E3345" s="3" t="inlineStr">
        <is>
          <t>Tessarand Payroll Services</t>
        </is>
      </c>
      <c r="F3345" s="3" t="inlineStr">
        <is>
          <t>Contractors – May</t>
        </is>
      </c>
      <c r="G3345" s="3" t="inlineStr">
        <is>
          <t>Checking – Operating</t>
        </is>
      </c>
      <c r="H3345" s="3" t="inlineStr">
        <is>
          <t>Contractors</t>
        </is>
      </c>
      <c r="I3345" s="33" t="n">
        <v>4802.66</v>
      </c>
      <c r="J3345" s="13">
        <f>+J3344+I3345</f>
        <v>109502.66</v>
      </c>
      <c r="K3345" s="19">
        <f>+EOMONTH(B3345,0)</f>
        <v>46173</v>
      </c>
      <c r="L3345" s="3" t="inlineStr">
        <is>
          <t>Contractors</t>
        </is>
      </c>
      <c r="M3345" s="3" t="inlineStr">
        <is>
          <t>Contract Labor</t>
        </is>
      </c>
    </row>
    <row r="3346">
      <c r="B3346" s="39" t="n">
        <v>46147</v>
      </c>
      <c r="C3346" s="3" t="inlineStr">
        <is>
          <t>Journal Entry</t>
        </is>
      </c>
      <c r="D3346" s="3" t="inlineStr">
        <is>
          <t>JE-2633</t>
        </is>
      </c>
      <c r="E3346" s="3" t="inlineStr">
        <is>
          <t>Tessarand Payroll Services</t>
        </is>
      </c>
      <c r="F3346" s="3" t="inlineStr">
        <is>
          <t>Contractors – May</t>
        </is>
      </c>
      <c r="G3346" s="3" t="inlineStr">
        <is>
          <t>Checking – Operating</t>
        </is>
      </c>
      <c r="H3346" s="3" t="inlineStr">
        <is>
          <t>Contractors</t>
        </is>
      </c>
      <c r="I3346" s="33" t="n">
        <v>4096.54</v>
      </c>
      <c r="J3346" s="13">
        <f>+J3345+I3346</f>
        <v>113599.2</v>
      </c>
      <c r="K3346" s="19">
        <f>+EOMONTH(B3346,0)</f>
        <v>46173</v>
      </c>
      <c r="L3346" s="3" t="inlineStr">
        <is>
          <t>Contractors</t>
        </is>
      </c>
      <c r="M3346" s="3" t="inlineStr">
        <is>
          <t>Contract Labor</t>
        </is>
      </c>
    </row>
    <row r="3347">
      <c r="B3347" s="39" t="n">
        <v>46149</v>
      </c>
      <c r="C3347" s="3" t="inlineStr">
        <is>
          <t>Expense</t>
        </is>
      </c>
      <c r="D3347" s="3" t="inlineStr">
        <is>
          <t>10621</t>
        </is>
      </c>
      <c r="E3347" s="3" t="inlineStr">
        <is>
          <t>Tessarand Payroll Services</t>
        </is>
      </c>
      <c r="F3347" s="3" t="inlineStr">
        <is>
          <t>Contractors – May</t>
        </is>
      </c>
      <c r="G3347" s="3" t="inlineStr">
        <is>
          <t>Checking – Operating</t>
        </is>
      </c>
      <c r="H3347" s="3" t="inlineStr">
        <is>
          <t>Contractors</t>
        </is>
      </c>
      <c r="I3347" s="33" t="n">
        <v>5206.73</v>
      </c>
      <c r="J3347" s="13">
        <f>+J3346+I3347</f>
        <v>118805.93</v>
      </c>
      <c r="K3347" s="19">
        <f>+EOMONTH(B3347,0)</f>
        <v>46173</v>
      </c>
      <c r="L3347" s="3" t="inlineStr">
        <is>
          <t>Contractors</t>
        </is>
      </c>
      <c r="M3347" s="3" t="inlineStr">
        <is>
          <t>Contract Labor</t>
        </is>
      </c>
    </row>
    <row r="3348">
      <c r="B3348" s="39" t="n">
        <v>46161</v>
      </c>
      <c r="C3348" s="3" t="inlineStr">
        <is>
          <t>Credit Card Expense</t>
        </is>
      </c>
      <c r="D3348" s="3" t="inlineStr"/>
      <c r="E3348" s="3" t="inlineStr">
        <is>
          <t>Tessarand Payroll Services</t>
        </is>
      </c>
      <c r="F3348" s="3" t="inlineStr">
        <is>
          <t>Contractors – May</t>
        </is>
      </c>
      <c r="G3348" s="3" t="inlineStr">
        <is>
          <t>Checking – Operating</t>
        </is>
      </c>
      <c r="H3348" s="3" t="inlineStr">
        <is>
          <t>Contractors</t>
        </is>
      </c>
      <c r="I3348" s="33" t="n">
        <v>4650.95</v>
      </c>
      <c r="J3348" s="13">
        <f>+J3347+I3348</f>
        <v>123456.88</v>
      </c>
      <c r="K3348" s="19">
        <f>+EOMONTH(B3348,0)</f>
        <v>46173</v>
      </c>
      <c r="L3348" s="3" t="inlineStr">
        <is>
          <t>Contractors</t>
        </is>
      </c>
      <c r="M3348" s="3" t="inlineStr">
        <is>
          <t>Contract Labor</t>
        </is>
      </c>
    </row>
    <row r="3349">
      <c r="B3349" s="39" t="n">
        <v>46172</v>
      </c>
      <c r="C3349" s="3" t="inlineStr">
        <is>
          <t>Expense</t>
        </is>
      </c>
      <c r="D3349" s="3" t="inlineStr">
        <is>
          <t>10622</t>
        </is>
      </c>
      <c r="E3349" s="3" t="inlineStr">
        <is>
          <t>Tessarand Payroll Services</t>
        </is>
      </c>
      <c r="F3349" s="3" t="inlineStr">
        <is>
          <t>Contractors – May</t>
        </is>
      </c>
      <c r="G3349" s="3" t="inlineStr">
        <is>
          <t>Checking – Operating</t>
        </is>
      </c>
      <c r="H3349" s="3" t="inlineStr">
        <is>
          <t>Contractors</t>
        </is>
      </c>
      <c r="I3349" s="33" t="n">
        <v>7443.12</v>
      </c>
      <c r="J3349" s="13">
        <f>+J3348+I3349</f>
        <v>130900</v>
      </c>
      <c r="K3349" s="19">
        <f>+EOMONTH(B3349,0)</f>
        <v>46173</v>
      </c>
      <c r="L3349" s="3" t="inlineStr">
        <is>
          <t>Contractors</t>
        </is>
      </c>
      <c r="M3349" s="3" t="inlineStr">
        <is>
          <t>Contract Labor</t>
        </is>
      </c>
    </row>
    <row r="3350">
      <c r="B3350" s="39" t="n">
        <v>46183</v>
      </c>
      <c r="C3350" s="3" t="inlineStr">
        <is>
          <t>Expense</t>
        </is>
      </c>
      <c r="D3350" s="3" t="inlineStr">
        <is>
          <t>10625</t>
        </is>
      </c>
      <c r="E3350" s="3" t="inlineStr">
        <is>
          <t>Tessarand Payroll Services</t>
        </is>
      </c>
      <c r="F3350" s="3" t="inlineStr">
        <is>
          <t>Contractors – June</t>
        </is>
      </c>
      <c r="G3350" s="3" t="inlineStr">
        <is>
          <t>Checking – Operating</t>
        </is>
      </c>
      <c r="H3350" s="3" t="inlineStr">
        <is>
          <t>Contractors</t>
        </is>
      </c>
      <c r="I3350" s="33" t="n">
        <v>8388.969999999999</v>
      </c>
      <c r="J3350" s="13">
        <f>+J3349+I3350</f>
        <v>139288.97</v>
      </c>
      <c r="K3350" s="19">
        <f>+EOMONTH(B3350,0)</f>
        <v>46203</v>
      </c>
      <c r="L3350" s="3" t="inlineStr">
        <is>
          <t>Contractors</t>
        </is>
      </c>
      <c r="M3350" s="3" t="inlineStr">
        <is>
          <t>Contract Labor</t>
        </is>
      </c>
    </row>
    <row r="3351">
      <c r="B3351" s="39" t="n">
        <v>46184</v>
      </c>
      <c r="C3351" s="3" t="inlineStr">
        <is>
          <t>Credit Card Expense</t>
        </is>
      </c>
      <c r="D3351" s="3" t="inlineStr"/>
      <c r="E3351" s="3" t="inlineStr">
        <is>
          <t>Tessarand Payroll Services</t>
        </is>
      </c>
      <c r="F3351" s="3" t="inlineStr">
        <is>
          <t>Contractors – June</t>
        </is>
      </c>
      <c r="G3351" s="3" t="inlineStr">
        <is>
          <t>Checking – Operating</t>
        </is>
      </c>
      <c r="H3351" s="3" t="inlineStr">
        <is>
          <t>Contractors</t>
        </is>
      </c>
      <c r="I3351" s="33" t="n">
        <v>4483.47</v>
      </c>
      <c r="J3351" s="13">
        <f>+J3350+I3351</f>
        <v>143772.44</v>
      </c>
      <c r="K3351" s="19">
        <f>+EOMONTH(B3351,0)</f>
        <v>46203</v>
      </c>
      <c r="L3351" s="3" t="inlineStr">
        <is>
          <t>Contractors</t>
        </is>
      </c>
      <c r="M3351" s="3" t="inlineStr">
        <is>
          <t>Contract Labor</t>
        </is>
      </c>
    </row>
    <row r="3352">
      <c r="B3352" s="39" t="n">
        <v>46191</v>
      </c>
      <c r="C3352" s="3" t="inlineStr">
        <is>
          <t>Expense</t>
        </is>
      </c>
      <c r="D3352" s="3" t="inlineStr">
        <is>
          <t>10624</t>
        </is>
      </c>
      <c r="E3352" s="3" t="inlineStr">
        <is>
          <t>Tessarand Payroll Services</t>
        </is>
      </c>
      <c r="F3352" s="3" t="inlineStr">
        <is>
          <t>Contractors – June</t>
        </is>
      </c>
      <c r="G3352" s="3" t="inlineStr">
        <is>
          <t>Checking – Operating</t>
        </is>
      </c>
      <c r="H3352" s="3" t="inlineStr">
        <is>
          <t>Contractors</t>
        </is>
      </c>
      <c r="I3352" s="33" t="n">
        <v>6704.63</v>
      </c>
      <c r="J3352" s="13">
        <f>+J3351+I3352</f>
        <v>150477.07</v>
      </c>
      <c r="K3352" s="19">
        <f>+EOMONTH(B3352,0)</f>
        <v>46203</v>
      </c>
      <c r="L3352" s="3" t="inlineStr">
        <is>
          <t>Contractors</t>
        </is>
      </c>
      <c r="M3352" s="3" t="inlineStr">
        <is>
          <t>Contract Labor</t>
        </is>
      </c>
    </row>
    <row r="3353">
      <c r="B3353" s="39" t="n">
        <v>46200</v>
      </c>
      <c r="C3353" s="3" t="inlineStr">
        <is>
          <t>Expense</t>
        </is>
      </c>
      <c r="D3353" s="3" t="inlineStr">
        <is>
          <t>10623</t>
        </is>
      </c>
      <c r="E3353" s="3" t="inlineStr">
        <is>
          <t>Tessarand Payroll Services</t>
        </is>
      </c>
      <c r="F3353" s="3" t="inlineStr">
        <is>
          <t>Contractors – June</t>
        </is>
      </c>
      <c r="G3353" s="3" t="inlineStr">
        <is>
          <t>Checking – Operating</t>
        </is>
      </c>
      <c r="H3353" s="3" t="inlineStr">
        <is>
          <t>Contractors</t>
        </is>
      </c>
      <c r="I3353" s="33" t="n">
        <v>6422.93</v>
      </c>
      <c r="J3353" s="13">
        <f>+J3352+I3353</f>
        <v>156900</v>
      </c>
      <c r="K3353" s="19">
        <f>+EOMONTH(B3353,0)</f>
        <v>46203</v>
      </c>
      <c r="L3353" s="3" t="inlineStr">
        <is>
          <t>Contractors</t>
        </is>
      </c>
      <c r="M3353" s="3" t="inlineStr">
        <is>
          <t>Contract Labor</t>
        </is>
      </c>
    </row>
    <row r="3354">
      <c r="B3354" s="39" t="n">
        <v>46205</v>
      </c>
      <c r="C3354" s="3" t="inlineStr">
        <is>
          <t>Expense</t>
        </is>
      </c>
      <c r="D3354" s="3" t="inlineStr">
        <is>
          <t>10626</t>
        </is>
      </c>
      <c r="E3354" s="3" t="inlineStr">
        <is>
          <t>Tessarand Payroll Services</t>
        </is>
      </c>
      <c r="F3354" s="3" t="inlineStr">
        <is>
          <t>Contractors – July</t>
        </is>
      </c>
      <c r="G3354" s="3" t="inlineStr">
        <is>
          <t>Checking – Operating</t>
        </is>
      </c>
      <c r="H3354" s="3" t="inlineStr">
        <is>
          <t>Contractors</t>
        </is>
      </c>
      <c r="I3354" s="33" t="n">
        <v>5990.05</v>
      </c>
      <c r="J3354" s="13">
        <f>+J3353+I3354</f>
        <v>162890.05</v>
      </c>
      <c r="K3354" s="19">
        <f>+EOMONTH(B3354,0)</f>
        <v>46234</v>
      </c>
      <c r="L3354" s="3" t="inlineStr">
        <is>
          <t>Contractors</t>
        </is>
      </c>
      <c r="M3354" s="3" t="inlineStr">
        <is>
          <t>Contract Labor</t>
        </is>
      </c>
    </row>
    <row r="3355">
      <c r="B3355" s="39" t="n">
        <v>46208</v>
      </c>
      <c r="C3355" s="3" t="inlineStr">
        <is>
          <t>Credit Card Expense</t>
        </is>
      </c>
      <c r="D3355" s="3" t="inlineStr"/>
      <c r="E3355" s="3" t="inlineStr">
        <is>
          <t>Tessarand Payroll Services</t>
        </is>
      </c>
      <c r="F3355" s="3" t="inlineStr">
        <is>
          <t>Contractors – July</t>
        </is>
      </c>
      <c r="G3355" s="3" t="inlineStr">
        <is>
          <t>Checking – Operating</t>
        </is>
      </c>
      <c r="H3355" s="3" t="inlineStr">
        <is>
          <t>Contractors</t>
        </is>
      </c>
      <c r="I3355" s="33" t="n">
        <v>6117.83</v>
      </c>
      <c r="J3355" s="13">
        <f>+J3354+I3355</f>
        <v>169007.88</v>
      </c>
      <c r="K3355" s="19">
        <f>+EOMONTH(B3355,0)</f>
        <v>46234</v>
      </c>
      <c r="L3355" s="3" t="inlineStr">
        <is>
          <t>Contractors</t>
        </is>
      </c>
      <c r="M3355" s="3" t="inlineStr">
        <is>
          <t>Contract Labor</t>
        </is>
      </c>
    </row>
    <row r="3356">
      <c r="B3356" s="39" t="n">
        <v>46212</v>
      </c>
      <c r="C3356" s="3" t="inlineStr">
        <is>
          <t>Expense</t>
        </is>
      </c>
      <c r="D3356" s="3" t="inlineStr">
        <is>
          <t>10627</t>
        </is>
      </c>
      <c r="E3356" s="3" t="inlineStr">
        <is>
          <t>Tessarand Payroll Services</t>
        </is>
      </c>
      <c r="F3356" s="3" t="inlineStr">
        <is>
          <t>Contractors – July</t>
        </is>
      </c>
      <c r="G3356" s="3" t="inlineStr">
        <is>
          <t>Checking – Operating</t>
        </is>
      </c>
      <c r="H3356" s="3" t="inlineStr">
        <is>
          <t>Contractors</t>
        </is>
      </c>
      <c r="I3356" s="33" t="n">
        <v>8435.440000000001</v>
      </c>
      <c r="J3356" s="13">
        <f>+J3355+I3356</f>
        <v>177443.32</v>
      </c>
      <c r="K3356" s="19">
        <f>+EOMONTH(B3356,0)</f>
        <v>46234</v>
      </c>
      <c r="L3356" s="3" t="inlineStr">
        <is>
          <t>Contractors</t>
        </is>
      </c>
      <c r="M3356" s="3" t="inlineStr">
        <is>
          <t>Contract Labor</t>
        </is>
      </c>
    </row>
    <row r="3357">
      <c r="B3357" s="39" t="n">
        <v>46223</v>
      </c>
      <c r="C3357" s="3" t="inlineStr">
        <is>
          <t>Credit Card Expense</t>
        </is>
      </c>
      <c r="D3357" s="3" t="inlineStr"/>
      <c r="E3357" s="3" t="inlineStr">
        <is>
          <t>Tessarand Payroll Services</t>
        </is>
      </c>
      <c r="F3357" s="3" t="inlineStr">
        <is>
          <t>Contractors – July</t>
        </is>
      </c>
      <c r="G3357" s="3" t="inlineStr">
        <is>
          <t>Checking – Operating</t>
        </is>
      </c>
      <c r="H3357" s="3" t="inlineStr">
        <is>
          <t>Contractors</t>
        </is>
      </c>
      <c r="I3357" s="33" t="n">
        <v>7356.68</v>
      </c>
      <c r="J3357" s="13">
        <f>+J3356+I3357</f>
        <v>184800</v>
      </c>
      <c r="K3357" s="19">
        <f>+EOMONTH(B3357,0)</f>
        <v>46234</v>
      </c>
      <c r="L3357" s="3" t="inlineStr">
        <is>
          <t>Contractors</t>
        </is>
      </c>
      <c r="M3357" s="3" t="inlineStr">
        <is>
          <t>Contract Labor</t>
        </is>
      </c>
    </row>
    <row r="3358">
      <c r="B3358" s="39" t="n">
        <v>46239</v>
      </c>
      <c r="C3358" s="3" t="inlineStr">
        <is>
          <t>Credit Card Expense</t>
        </is>
      </c>
      <c r="D3358" s="3" t="inlineStr"/>
      <c r="E3358" s="3" t="inlineStr">
        <is>
          <t>Tessarand Payroll Services</t>
        </is>
      </c>
      <c r="F3358" s="3" t="inlineStr">
        <is>
          <t>Contractors – August</t>
        </is>
      </c>
      <c r="G3358" s="3" t="inlineStr">
        <is>
          <t>Checking – Operating</t>
        </is>
      </c>
      <c r="H3358" s="3" t="inlineStr">
        <is>
          <t>Contractors</t>
        </is>
      </c>
      <c r="I3358" s="33" t="n">
        <v>7422.06</v>
      </c>
      <c r="J3358" s="13">
        <f>+J3357+I3358</f>
        <v>192222.06</v>
      </c>
      <c r="K3358" s="19">
        <f>+EOMONTH(B3358,0)</f>
        <v>46265</v>
      </c>
      <c r="L3358" s="3" t="inlineStr">
        <is>
          <t>Contractors</t>
        </is>
      </c>
      <c r="M3358" s="3" t="inlineStr">
        <is>
          <t>Contract Labor</t>
        </is>
      </c>
    </row>
    <row r="3359">
      <c r="B3359" s="39" t="n">
        <v>46242</v>
      </c>
      <c r="C3359" s="3" t="inlineStr">
        <is>
          <t>Expense</t>
        </is>
      </c>
      <c r="D3359" s="3" t="inlineStr">
        <is>
          <t>10628</t>
        </is>
      </c>
      <c r="E3359" s="3" t="inlineStr">
        <is>
          <t>Tessarand Payroll Services</t>
        </is>
      </c>
      <c r="F3359" s="3" t="inlineStr">
        <is>
          <t>Contractors – August</t>
        </is>
      </c>
      <c r="G3359" s="3" t="inlineStr">
        <is>
          <t>Checking – Operating</t>
        </is>
      </c>
      <c r="H3359" s="3" t="inlineStr">
        <is>
          <t>Contractors</t>
        </is>
      </c>
      <c r="I3359" s="33" t="n">
        <v>5507.06</v>
      </c>
      <c r="J3359" s="13">
        <f>+J3358+I3359</f>
        <v>197729.12</v>
      </c>
      <c r="K3359" s="19">
        <f>+EOMONTH(B3359,0)</f>
        <v>46265</v>
      </c>
      <c r="L3359" s="3" t="inlineStr">
        <is>
          <t>Contractors</t>
        </is>
      </c>
      <c r="M3359" s="3" t="inlineStr">
        <is>
          <t>Contract Labor</t>
        </is>
      </c>
    </row>
    <row r="3360">
      <c r="B3360" s="39" t="n">
        <v>46245</v>
      </c>
      <c r="C3360" s="3" t="inlineStr">
        <is>
          <t>Credit Card Expense</t>
        </is>
      </c>
      <c r="D3360" s="3" t="inlineStr"/>
      <c r="E3360" s="3" t="inlineStr">
        <is>
          <t>Tessarand Payroll Services</t>
        </is>
      </c>
      <c r="F3360" s="3" t="inlineStr">
        <is>
          <t>Contractors – August</t>
        </is>
      </c>
      <c r="G3360" s="3" t="inlineStr">
        <is>
          <t>Checking – Operating</t>
        </is>
      </c>
      <c r="H3360" s="3" t="inlineStr">
        <is>
          <t>Contractors</t>
        </is>
      </c>
      <c r="I3360" s="33" t="n">
        <v>5681.43</v>
      </c>
      <c r="J3360" s="13">
        <f>+J3359+I3360</f>
        <v>203410.55</v>
      </c>
      <c r="K3360" s="19">
        <f>+EOMONTH(B3360,0)</f>
        <v>46265</v>
      </c>
      <c r="L3360" s="3" t="inlineStr">
        <is>
          <t>Contractors</t>
        </is>
      </c>
      <c r="M3360" s="3" t="inlineStr">
        <is>
          <t>Contract Labor</t>
        </is>
      </c>
    </row>
    <row r="3361">
      <c r="B3361" s="39" t="n">
        <v>46249</v>
      </c>
      <c r="C3361" s="3" t="inlineStr">
        <is>
          <t>Journal Entry</t>
        </is>
      </c>
      <c r="D3361" s="3" t="inlineStr">
        <is>
          <t>JE-2634</t>
        </is>
      </c>
      <c r="E3361" s="3" t="inlineStr">
        <is>
          <t>Tessarand Payroll Services</t>
        </is>
      </c>
      <c r="F3361" s="3" t="inlineStr">
        <is>
          <t>Contractors – August</t>
        </is>
      </c>
      <c r="G3361" s="3" t="inlineStr">
        <is>
          <t>Checking – Operating</t>
        </is>
      </c>
      <c r="H3361" s="3" t="inlineStr">
        <is>
          <t>Contractors</t>
        </is>
      </c>
      <c r="I3361" s="33" t="n">
        <v>4862.6</v>
      </c>
      <c r="J3361" s="13">
        <f>+J3360+I3361</f>
        <v>208273.15</v>
      </c>
      <c r="K3361" s="19">
        <f>+EOMONTH(B3361,0)</f>
        <v>46265</v>
      </c>
      <c r="L3361" s="3" t="inlineStr">
        <is>
          <t>Contractors</t>
        </is>
      </c>
      <c r="M3361" s="3" t="inlineStr">
        <is>
          <t>Contract Labor</t>
        </is>
      </c>
    </row>
    <row r="3362">
      <c r="B3362" s="39" t="n">
        <v>46258</v>
      </c>
      <c r="C3362" s="3" t="inlineStr">
        <is>
          <t>Expense</t>
        </is>
      </c>
      <c r="D3362" s="3" t="inlineStr">
        <is>
          <t>10629</t>
        </is>
      </c>
      <c r="E3362" s="3" t="inlineStr">
        <is>
          <t>Tessarand Payroll Services</t>
        </is>
      </c>
      <c r="F3362" s="3" t="inlineStr">
        <is>
          <t>Contractors – August</t>
        </is>
      </c>
      <c r="G3362" s="3" t="inlineStr">
        <is>
          <t>Checking – Operating</t>
        </is>
      </c>
      <c r="H3362" s="3" t="inlineStr">
        <is>
          <t>Contractors</t>
        </is>
      </c>
      <c r="I3362" s="33" t="n">
        <v>4326.85</v>
      </c>
      <c r="J3362" s="13">
        <f>+J3361+I3362</f>
        <v>212600</v>
      </c>
      <c r="K3362" s="19">
        <f>+EOMONTH(B3362,0)</f>
        <v>46265</v>
      </c>
      <c r="L3362" s="3" t="inlineStr">
        <is>
          <t>Contractors</t>
        </is>
      </c>
      <c r="M3362" s="3" t="inlineStr">
        <is>
          <t>Contract Labor</t>
        </is>
      </c>
    </row>
    <row r="3363">
      <c r="B3363" s="39" t="n">
        <v>46275</v>
      </c>
      <c r="C3363" s="3" t="inlineStr">
        <is>
          <t>Credit Card Expense</t>
        </is>
      </c>
      <c r="D3363" s="3" t="inlineStr"/>
      <c r="E3363" s="3" t="inlineStr">
        <is>
          <t>Tessarand Payroll Services</t>
        </is>
      </c>
      <c r="F3363" s="3" t="inlineStr">
        <is>
          <t>Contractors – September</t>
        </is>
      </c>
      <c r="G3363" s="3" t="inlineStr">
        <is>
          <t>Checking – Operating</t>
        </is>
      </c>
      <c r="H3363" s="3" t="inlineStr">
        <is>
          <t>Contractors</t>
        </is>
      </c>
      <c r="I3363" s="33" t="n">
        <v>6852.58</v>
      </c>
      <c r="J3363" s="13">
        <f>+J3362+I3363</f>
        <v>219452.58</v>
      </c>
      <c r="K3363" s="19">
        <f>+EOMONTH(B3363,0)</f>
        <v>46295</v>
      </c>
      <c r="L3363" s="3" t="inlineStr">
        <is>
          <t>Contractors</t>
        </is>
      </c>
      <c r="M3363" s="3" t="inlineStr">
        <is>
          <t>Contract Labor</t>
        </is>
      </c>
    </row>
    <row r="3364">
      <c r="B3364" s="39" t="n">
        <v>46278</v>
      </c>
      <c r="C3364" s="3" t="inlineStr">
        <is>
          <t>Expense</t>
        </is>
      </c>
      <c r="D3364" s="3" t="inlineStr">
        <is>
          <t>10631</t>
        </is>
      </c>
      <c r="E3364" s="3" t="inlineStr">
        <is>
          <t>Tessarand Payroll Services</t>
        </is>
      </c>
      <c r="F3364" s="3" t="inlineStr">
        <is>
          <t>Contractors – September</t>
        </is>
      </c>
      <c r="G3364" s="3" t="inlineStr">
        <is>
          <t>Checking – Operating</t>
        </is>
      </c>
      <c r="H3364" s="3" t="inlineStr">
        <is>
          <t>Contractors</t>
        </is>
      </c>
      <c r="I3364" s="33" t="n">
        <v>10431.71</v>
      </c>
      <c r="J3364" s="13">
        <f>+J3363+I3364</f>
        <v>229884.29</v>
      </c>
      <c r="K3364" s="19">
        <f>+EOMONTH(B3364,0)</f>
        <v>46295</v>
      </c>
      <c r="L3364" s="3" t="inlineStr">
        <is>
          <t>Contractors</t>
        </is>
      </c>
      <c r="M3364" s="3" t="inlineStr">
        <is>
          <t>Contract Labor</t>
        </is>
      </c>
    </row>
    <row r="3365">
      <c r="B3365" s="39" t="n">
        <v>46286</v>
      </c>
      <c r="C3365" s="3" t="inlineStr">
        <is>
          <t>Expense</t>
        </is>
      </c>
      <c r="D3365" s="3" t="inlineStr">
        <is>
          <t>10630</t>
        </is>
      </c>
      <c r="E3365" s="3" t="inlineStr">
        <is>
          <t>Tessarand Payroll Services</t>
        </is>
      </c>
      <c r="F3365" s="3" t="inlineStr">
        <is>
          <t>Contractors – September</t>
        </is>
      </c>
      <c r="G3365" s="3" t="inlineStr">
        <is>
          <t>Checking – Operating</t>
        </is>
      </c>
      <c r="H3365" s="3" t="inlineStr">
        <is>
          <t>Contractors</t>
        </is>
      </c>
      <c r="I3365" s="33" t="n">
        <v>12341.34</v>
      </c>
      <c r="J3365" s="13">
        <f>+J3364+I3365</f>
        <v>242225.63</v>
      </c>
      <c r="K3365" s="19">
        <f>+EOMONTH(B3365,0)</f>
        <v>46295</v>
      </c>
      <c r="L3365" s="3" t="inlineStr">
        <is>
          <t>Contractors</t>
        </is>
      </c>
      <c r="M3365" s="3" t="inlineStr">
        <is>
          <t>Contract Labor</t>
        </is>
      </c>
    </row>
    <row r="3366">
      <c r="B3366" s="39" t="n">
        <v>46296</v>
      </c>
      <c r="C3366" s="3" t="inlineStr">
        <is>
          <t>Credit Card Expense</t>
        </is>
      </c>
      <c r="D3366" s="3" t="inlineStr"/>
      <c r="E3366" s="3" t="inlineStr">
        <is>
          <t>Tessarand Payroll Services</t>
        </is>
      </c>
      <c r="F3366" s="3" t="inlineStr">
        <is>
          <t>Contractors – October</t>
        </is>
      </c>
      <c r="G3366" s="3" t="inlineStr">
        <is>
          <t>Checking – Operating</t>
        </is>
      </c>
      <c r="H3366" s="3" t="inlineStr">
        <is>
          <t>Contractors</t>
        </is>
      </c>
      <c r="I3366" s="33" t="n">
        <v>7433.03</v>
      </c>
      <c r="J3366" s="13">
        <f>+J3365+I3366</f>
        <v>249658.66</v>
      </c>
      <c r="K3366" s="19">
        <f>+EOMONTH(B3366,0)</f>
        <v>46326</v>
      </c>
      <c r="L3366" s="3" t="inlineStr">
        <is>
          <t>Contractors</t>
        </is>
      </c>
      <c r="M3366" s="3" t="inlineStr">
        <is>
          <t>Contract Labor</t>
        </is>
      </c>
    </row>
    <row r="3367">
      <c r="B3367" s="39" t="n">
        <v>46298</v>
      </c>
      <c r="C3367" s="3" t="inlineStr">
        <is>
          <t>Expense</t>
        </is>
      </c>
      <c r="D3367" s="3" t="inlineStr">
        <is>
          <t>10632</t>
        </is>
      </c>
      <c r="E3367" s="3" t="inlineStr">
        <is>
          <t>Tessarand Payroll Services</t>
        </is>
      </c>
      <c r="F3367" s="3" t="inlineStr">
        <is>
          <t>Contractors – October</t>
        </is>
      </c>
      <c r="G3367" s="3" t="inlineStr">
        <is>
          <t>Checking – Operating</t>
        </is>
      </c>
      <c r="H3367" s="3" t="inlineStr">
        <is>
          <t>Contractors</t>
        </is>
      </c>
      <c r="I3367" s="33" t="n">
        <v>6102.73</v>
      </c>
      <c r="J3367" s="13">
        <f>+J3366+I3367</f>
        <v>255761.39</v>
      </c>
      <c r="K3367" s="19">
        <f>+EOMONTH(B3367,0)</f>
        <v>46326</v>
      </c>
      <c r="L3367" s="3" t="inlineStr">
        <is>
          <t>Contractors</t>
        </is>
      </c>
      <c r="M3367" s="3" t="inlineStr">
        <is>
          <t>Contract Labor</t>
        </is>
      </c>
    </row>
    <row r="3368">
      <c r="B3368" s="39" t="n">
        <v>46318</v>
      </c>
      <c r="C3368" s="3" t="inlineStr">
        <is>
          <t>Expense</t>
        </is>
      </c>
      <c r="D3368" s="3" t="inlineStr">
        <is>
          <t>10634</t>
        </is>
      </c>
      <c r="E3368" s="3" t="inlineStr">
        <is>
          <t>Tessarand Payroll Services</t>
        </is>
      </c>
      <c r="F3368" s="3" t="inlineStr">
        <is>
          <t>Contractors – October</t>
        </is>
      </c>
      <c r="G3368" s="3" t="inlineStr">
        <is>
          <t>Checking – Operating</t>
        </is>
      </c>
      <c r="H3368" s="3" t="inlineStr">
        <is>
          <t>Contractors</t>
        </is>
      </c>
      <c r="I3368" s="33" t="n">
        <v>7285.06</v>
      </c>
      <c r="J3368" s="13">
        <f>+J3367+I3368</f>
        <v>263046.45</v>
      </c>
      <c r="K3368" s="19">
        <f>+EOMONTH(B3368,0)</f>
        <v>46326</v>
      </c>
      <c r="L3368" s="3" t="inlineStr">
        <is>
          <t>Contractors</t>
        </is>
      </c>
      <c r="M3368" s="3" t="inlineStr">
        <is>
          <t>Contract Labor</t>
        </is>
      </c>
    </row>
    <row r="3369">
      <c r="B3369" s="39" t="n">
        <v>46323</v>
      </c>
      <c r="C3369" s="3" t="inlineStr">
        <is>
          <t>Expense</t>
        </is>
      </c>
      <c r="D3369" s="3" t="inlineStr">
        <is>
          <t>10633</t>
        </is>
      </c>
      <c r="E3369" s="3" t="inlineStr">
        <is>
          <t>Tessarand Payroll Services</t>
        </is>
      </c>
      <c r="F3369" s="3" t="inlineStr">
        <is>
          <t>Contractors – October</t>
        </is>
      </c>
      <c r="G3369" s="3" t="inlineStr">
        <is>
          <t>Checking – Operating</t>
        </is>
      </c>
      <c r="H3369" s="3" t="inlineStr">
        <is>
          <t>Contractors</t>
        </is>
      </c>
      <c r="I3369" s="33" t="n">
        <v>9356.379999999999</v>
      </c>
      <c r="J3369" s="13">
        <f>+J3368+I3369</f>
        <v>272402.83</v>
      </c>
      <c r="K3369" s="19">
        <f>+EOMONTH(B3369,0)</f>
        <v>46326</v>
      </c>
      <c r="L3369" s="3" t="inlineStr">
        <is>
          <t>Contractors</t>
        </is>
      </c>
      <c r="M3369" s="3" t="inlineStr">
        <is>
          <t>Contract Labor</t>
        </is>
      </c>
    </row>
    <row r="3370">
      <c r="B3370" s="39" t="n">
        <v>46333</v>
      </c>
      <c r="C3370" s="3" t="inlineStr">
        <is>
          <t>Expense</t>
        </is>
      </c>
      <c r="D3370" s="3" t="inlineStr">
        <is>
          <t>10636</t>
        </is>
      </c>
      <c r="E3370" s="3" t="inlineStr">
        <is>
          <t>Tessarand Payroll Services</t>
        </is>
      </c>
      <c r="F3370" s="3" t="inlineStr">
        <is>
          <t>Contractors – November</t>
        </is>
      </c>
      <c r="G3370" s="3" t="inlineStr">
        <is>
          <t>Checking – Operating</t>
        </is>
      </c>
      <c r="H3370" s="3" t="inlineStr">
        <is>
          <t>Contractors</t>
        </is>
      </c>
      <c r="I3370" s="33" t="n">
        <v>11446.96</v>
      </c>
      <c r="J3370" s="13">
        <f>+J3369+I3370</f>
        <v>283849.79</v>
      </c>
      <c r="K3370" s="19">
        <f>+EOMONTH(B3370,0)</f>
        <v>46356</v>
      </c>
      <c r="L3370" s="3" t="inlineStr">
        <is>
          <t>Contractors</t>
        </is>
      </c>
      <c r="M3370" s="3" t="inlineStr">
        <is>
          <t>Contract Labor</t>
        </is>
      </c>
    </row>
    <row r="3371">
      <c r="B3371" s="39" t="n">
        <v>46343</v>
      </c>
      <c r="C3371" s="3" t="inlineStr">
        <is>
          <t>Expense</t>
        </is>
      </c>
      <c r="D3371" s="3" t="inlineStr">
        <is>
          <t>10635</t>
        </is>
      </c>
      <c r="E3371" s="3" t="inlineStr">
        <is>
          <t>Tessarand Payroll Services</t>
        </is>
      </c>
      <c r="F3371" s="3" t="inlineStr">
        <is>
          <t>Contractors – November</t>
        </is>
      </c>
      <c r="G3371" s="3" t="inlineStr">
        <is>
          <t>Checking – Operating</t>
        </is>
      </c>
      <c r="H3371" s="3" t="inlineStr">
        <is>
          <t>Contractors</t>
        </is>
      </c>
      <c r="I3371" s="33" t="n">
        <v>7785.24</v>
      </c>
      <c r="J3371" s="13">
        <f>+J3370+I3371</f>
        <v>291635.03</v>
      </c>
      <c r="K3371" s="19">
        <f>+EOMONTH(B3371,0)</f>
        <v>46356</v>
      </c>
      <c r="L3371" s="3" t="inlineStr">
        <is>
          <t>Contractors</t>
        </is>
      </c>
      <c r="M3371" s="3" t="inlineStr">
        <is>
          <t>Contract Labor</t>
        </is>
      </c>
    </row>
    <row r="3372">
      <c r="B3372" s="39" t="n">
        <v>46356</v>
      </c>
      <c r="C3372" s="3" t="inlineStr">
        <is>
          <t>Journal Entry</t>
        </is>
      </c>
      <c r="D3372" s="3" t="inlineStr">
        <is>
          <t>JE-2635</t>
        </is>
      </c>
      <c r="E3372" s="3" t="inlineStr">
        <is>
          <t>Tessarand Payroll Services</t>
        </is>
      </c>
      <c r="F3372" s="3" t="inlineStr">
        <is>
          <t>Contractors – November</t>
        </is>
      </c>
      <c r="G3372" s="3" t="inlineStr">
        <is>
          <t>Checking – Operating</t>
        </is>
      </c>
      <c r="H3372" s="3" t="inlineStr">
        <is>
          <t>Contractors</t>
        </is>
      </c>
      <c r="I3372" s="33" t="n">
        <v>7065.93</v>
      </c>
      <c r="J3372" s="13">
        <f>+J3371+I3372</f>
        <v>298700.96</v>
      </c>
      <c r="K3372" s="19">
        <f>+EOMONTH(B3372,0)</f>
        <v>46356</v>
      </c>
      <c r="L3372" s="3" t="inlineStr">
        <is>
          <t>Contractors</t>
        </is>
      </c>
      <c r="M3372" s="3" t="inlineStr">
        <is>
          <t>Contract Labor</t>
        </is>
      </c>
    </row>
    <row r="3373">
      <c r="A3373" s="2" t="inlineStr">
        <is>
          <t>Total for Contractors</t>
        </is>
      </c>
      <c r="I3373" s="35">
        <f>SUM(I3329:I3372)</f>
        <v>298700.96</v>
      </c>
    </row>
    <row r="3375">
      <c r="A3375" s="2" t="inlineStr">
        <is>
          <t>Delivery and Transportation</t>
        </is>
      </c>
    </row>
    <row r="3376">
      <c r="B3376" s="39" t="n">
        <v>46044</v>
      </c>
      <c r="C3376" s="3" t="inlineStr">
        <is>
          <t>Bill</t>
        </is>
      </c>
      <c r="D3376" s="3" t="inlineStr"/>
      <c r="E3376" s="3" t="inlineStr">
        <is>
          <t>Swiftmere Courier</t>
        </is>
      </c>
      <c r="F3376" s="3" t="inlineStr">
        <is>
          <t>Delivery and Transportation – January</t>
        </is>
      </c>
      <c r="G3376" s="3" t="inlineStr">
        <is>
          <t>Accounts Payable</t>
        </is>
      </c>
      <c r="H3376" s="3" t="inlineStr">
        <is>
          <t>Delivery and Transportation</t>
        </is>
      </c>
      <c r="I3376" s="33" t="n">
        <v>4235.06</v>
      </c>
      <c r="J3376" s="13">
        <f>+I3376</f>
        <v>4235.06</v>
      </c>
      <c r="K3376" s="19">
        <f>+EOMONTH(B3376,0)</f>
        <v>46053</v>
      </c>
      <c r="L3376" s="3" t="inlineStr">
        <is>
          <t>Delivery and Transportation</t>
        </is>
      </c>
      <c r="M3376" s="3" t="inlineStr">
        <is>
          <t>Delivery and Transportation</t>
        </is>
      </c>
    </row>
    <row r="3377">
      <c r="B3377" s="39" t="n">
        <v>46046</v>
      </c>
      <c r="C3377" s="3" t="inlineStr">
        <is>
          <t>Bill</t>
        </is>
      </c>
      <c r="D3377" s="3" t="inlineStr"/>
      <c r="E3377" s="3" t="inlineStr">
        <is>
          <t>Swiftmere Courier</t>
        </is>
      </c>
      <c r="F3377" s="3" t="inlineStr">
        <is>
          <t>Delivery and Transportation – January</t>
        </is>
      </c>
      <c r="G3377" s="3" t="inlineStr">
        <is>
          <t>Accounts Payable</t>
        </is>
      </c>
      <c r="H3377" s="3" t="inlineStr">
        <is>
          <t>Delivery and Transportation</t>
        </is>
      </c>
      <c r="I3377" s="33" t="n">
        <v>3264.94</v>
      </c>
      <c r="J3377" s="13">
        <f>+J3376+I3377</f>
        <v>7500</v>
      </c>
      <c r="K3377" s="19">
        <f>+EOMONTH(B3377,0)</f>
        <v>46053</v>
      </c>
      <c r="L3377" s="3" t="inlineStr">
        <is>
          <t>Delivery and Transportation</t>
        </is>
      </c>
      <c r="M3377" s="3" t="inlineStr">
        <is>
          <t>Delivery and Transportation</t>
        </is>
      </c>
    </row>
    <row r="3378">
      <c r="B3378" s="39" t="n">
        <v>46059</v>
      </c>
      <c r="C3378" s="3" t="inlineStr">
        <is>
          <t>Bill</t>
        </is>
      </c>
      <c r="D3378" s="3" t="inlineStr"/>
      <c r="E3378" s="3" t="inlineStr">
        <is>
          <t>Swiftmere Courier</t>
        </is>
      </c>
      <c r="F3378" s="3" t="inlineStr">
        <is>
          <t>Delivery and Transportation – February</t>
        </is>
      </c>
      <c r="G3378" s="3" t="inlineStr">
        <is>
          <t>Accounts Payable</t>
        </is>
      </c>
      <c r="H3378" s="3" t="inlineStr">
        <is>
          <t>Delivery and Transportation</t>
        </is>
      </c>
      <c r="I3378" s="33" t="n">
        <v>2606.22</v>
      </c>
      <c r="J3378" s="13">
        <f>+J3377+I3378</f>
        <v>10106.22</v>
      </c>
      <c r="K3378" s="19">
        <f>+EOMONTH(B3378,0)</f>
        <v>46081</v>
      </c>
      <c r="L3378" s="3" t="inlineStr">
        <is>
          <t>Delivery and Transportation</t>
        </is>
      </c>
      <c r="M3378" s="3" t="inlineStr">
        <is>
          <t>Delivery and Transportation</t>
        </is>
      </c>
    </row>
    <row r="3379">
      <c r="B3379" s="39" t="n">
        <v>46074</v>
      </c>
      <c r="C3379" s="3" t="inlineStr">
        <is>
          <t>Bill</t>
        </is>
      </c>
      <c r="D3379" s="3" t="inlineStr"/>
      <c r="E3379" s="3" t="inlineStr">
        <is>
          <t>Swiftmere Courier</t>
        </is>
      </c>
      <c r="F3379" s="3" t="inlineStr">
        <is>
          <t>Delivery and Transportation – February</t>
        </is>
      </c>
      <c r="G3379" s="3" t="inlineStr">
        <is>
          <t>Accounts Payable</t>
        </is>
      </c>
      <c r="H3379" s="3" t="inlineStr">
        <is>
          <t>Delivery and Transportation</t>
        </is>
      </c>
      <c r="I3379" s="33" t="n">
        <v>3793.78</v>
      </c>
      <c r="J3379" s="13">
        <f>+J3378+I3379</f>
        <v>13900</v>
      </c>
      <c r="K3379" s="19">
        <f>+EOMONTH(B3379,0)</f>
        <v>46081</v>
      </c>
      <c r="L3379" s="3" t="inlineStr">
        <is>
          <t>Delivery and Transportation</t>
        </is>
      </c>
      <c r="M3379" s="3" t="inlineStr">
        <is>
          <t>Delivery and Transportation</t>
        </is>
      </c>
    </row>
    <row r="3380">
      <c r="B3380" s="39" t="n">
        <v>46083</v>
      </c>
      <c r="C3380" s="3" t="inlineStr">
        <is>
          <t>Bill</t>
        </is>
      </c>
      <c r="D3380" s="3" t="inlineStr"/>
      <c r="E3380" s="3" t="inlineStr">
        <is>
          <t>Swiftmere Courier</t>
        </is>
      </c>
      <c r="F3380" s="3" t="inlineStr">
        <is>
          <t>Delivery and Transportation – March</t>
        </is>
      </c>
      <c r="G3380" s="3" t="inlineStr">
        <is>
          <t>Accounts Payable</t>
        </is>
      </c>
      <c r="H3380" s="3" t="inlineStr">
        <is>
          <t>Delivery and Transportation</t>
        </is>
      </c>
      <c r="I3380" s="33" t="n">
        <v>3103.94</v>
      </c>
      <c r="J3380" s="13">
        <f>+J3379+I3380</f>
        <v>17003.94</v>
      </c>
      <c r="K3380" s="19">
        <f>+EOMONTH(B3380,0)</f>
        <v>46112</v>
      </c>
      <c r="L3380" s="3" t="inlineStr">
        <is>
          <t>Delivery and Transportation</t>
        </is>
      </c>
      <c r="M3380" s="3" t="inlineStr">
        <is>
          <t>Delivery and Transportation</t>
        </is>
      </c>
    </row>
    <row r="3381">
      <c r="B3381" s="39" t="n">
        <v>46083</v>
      </c>
      <c r="C3381" s="3" t="inlineStr">
        <is>
          <t>Bill</t>
        </is>
      </c>
      <c r="D3381" s="3" t="inlineStr"/>
      <c r="E3381" s="3" t="inlineStr">
        <is>
          <t>Swiftmere Courier</t>
        </is>
      </c>
      <c r="F3381" s="3" t="inlineStr">
        <is>
          <t>Delivery and Transportation – March</t>
        </is>
      </c>
      <c r="G3381" s="3" t="inlineStr">
        <is>
          <t>Accounts Payable</t>
        </is>
      </c>
      <c r="H3381" s="3" t="inlineStr">
        <is>
          <t>Delivery and Transportation</t>
        </is>
      </c>
      <c r="I3381" s="33" t="n">
        <v>4496.06</v>
      </c>
      <c r="J3381" s="13">
        <f>+J3380+I3381</f>
        <v>21500</v>
      </c>
      <c r="K3381" s="19">
        <f>+EOMONTH(B3381,0)</f>
        <v>46112</v>
      </c>
      <c r="L3381" s="3" t="inlineStr">
        <is>
          <t>Delivery and Transportation</t>
        </is>
      </c>
      <c r="M3381" s="3" t="inlineStr">
        <is>
          <t>Delivery and Transportation</t>
        </is>
      </c>
    </row>
    <row r="3382">
      <c r="B3382" s="39" t="n">
        <v>46115</v>
      </c>
      <c r="C3382" s="3" t="inlineStr">
        <is>
          <t>Bill</t>
        </is>
      </c>
      <c r="D3382" s="3" t="inlineStr"/>
      <c r="E3382" s="3" t="inlineStr">
        <is>
          <t>Swiftmere Courier</t>
        </is>
      </c>
      <c r="F3382" s="3" t="inlineStr">
        <is>
          <t>Delivery and Transportation – April</t>
        </is>
      </c>
      <c r="G3382" s="3" t="inlineStr">
        <is>
          <t>Accounts Payable</t>
        </is>
      </c>
      <c r="H3382" s="3" t="inlineStr">
        <is>
          <t>Delivery and Transportation</t>
        </is>
      </c>
      <c r="I3382" s="33" t="n">
        <v>4344.1</v>
      </c>
      <c r="J3382" s="13">
        <f>+J3381+I3382</f>
        <v>25844.1</v>
      </c>
      <c r="K3382" s="19">
        <f>+EOMONTH(B3382,0)</f>
        <v>46142</v>
      </c>
      <c r="L3382" s="3" t="inlineStr">
        <is>
          <t>Delivery and Transportation</t>
        </is>
      </c>
      <c r="M3382" s="3" t="inlineStr">
        <is>
          <t>Delivery and Transportation</t>
        </is>
      </c>
    </row>
    <row r="3383">
      <c r="B3383" s="39" t="n">
        <v>46119</v>
      </c>
      <c r="C3383" s="3" t="inlineStr">
        <is>
          <t>Bill</t>
        </is>
      </c>
      <c r="D3383" s="3" t="inlineStr"/>
      <c r="E3383" s="3" t="inlineStr">
        <is>
          <t>Swiftmere Courier</t>
        </is>
      </c>
      <c r="F3383" s="3" t="inlineStr">
        <is>
          <t>Delivery and Transportation – April</t>
        </is>
      </c>
      <c r="G3383" s="3" t="inlineStr">
        <is>
          <t>Accounts Payable</t>
        </is>
      </c>
      <c r="H3383" s="3" t="inlineStr">
        <is>
          <t>Delivery and Transportation</t>
        </is>
      </c>
      <c r="I3383" s="33" t="n">
        <v>3755.9</v>
      </c>
      <c r="J3383" s="13">
        <f>+J3382+I3383</f>
        <v>29600</v>
      </c>
      <c r="K3383" s="19">
        <f>+EOMONTH(B3383,0)</f>
        <v>46142</v>
      </c>
      <c r="L3383" s="3" t="inlineStr">
        <is>
          <t>Delivery and Transportation</t>
        </is>
      </c>
      <c r="M3383" s="3" t="inlineStr">
        <is>
          <t>Delivery and Transportation</t>
        </is>
      </c>
    </row>
    <row r="3384">
      <c r="B3384" s="39" t="n">
        <v>46148</v>
      </c>
      <c r="C3384" s="3" t="inlineStr">
        <is>
          <t>Bill</t>
        </is>
      </c>
      <c r="D3384" s="3" t="inlineStr"/>
      <c r="E3384" s="3" t="inlineStr">
        <is>
          <t>Swiftmere Courier</t>
        </is>
      </c>
      <c r="F3384" s="3" t="inlineStr">
        <is>
          <t>Delivery and Transportation – May</t>
        </is>
      </c>
      <c r="G3384" s="3" t="inlineStr">
        <is>
          <t>Accounts Payable</t>
        </is>
      </c>
      <c r="H3384" s="3" t="inlineStr">
        <is>
          <t>Delivery and Transportation</t>
        </is>
      </c>
      <c r="I3384" s="33" t="n">
        <v>2661.88</v>
      </c>
      <c r="J3384" s="13">
        <f>+J3383+I3384</f>
        <v>32261.88</v>
      </c>
      <c r="K3384" s="19">
        <f>+EOMONTH(B3384,0)</f>
        <v>46173</v>
      </c>
      <c r="L3384" s="3" t="inlineStr">
        <is>
          <t>Delivery and Transportation</t>
        </is>
      </c>
      <c r="M3384" s="3" t="inlineStr">
        <is>
          <t>Delivery and Transportation</t>
        </is>
      </c>
    </row>
    <row r="3385">
      <c r="B3385" s="39" t="n">
        <v>46149</v>
      </c>
      <c r="C3385" s="3" t="inlineStr">
        <is>
          <t>Bill</t>
        </is>
      </c>
      <c r="D3385" s="3" t="inlineStr"/>
      <c r="E3385" s="3" t="inlineStr">
        <is>
          <t>Swiftmere Courier</t>
        </is>
      </c>
      <c r="F3385" s="3" t="inlineStr">
        <is>
          <t>Delivery and Transportation – May</t>
        </is>
      </c>
      <c r="G3385" s="3" t="inlineStr">
        <is>
          <t>Accounts Payable</t>
        </is>
      </c>
      <c r="H3385" s="3" t="inlineStr">
        <is>
          <t>Delivery and Transportation</t>
        </is>
      </c>
      <c r="I3385" s="33" t="n">
        <v>4738.12</v>
      </c>
      <c r="J3385" s="13">
        <f>+J3384+I3385</f>
        <v>37000</v>
      </c>
      <c r="K3385" s="19">
        <f>+EOMONTH(B3385,0)</f>
        <v>46173</v>
      </c>
      <c r="L3385" s="3" t="inlineStr">
        <is>
          <t>Delivery and Transportation</t>
        </is>
      </c>
      <c r="M3385" s="3" t="inlineStr">
        <is>
          <t>Delivery and Transportation</t>
        </is>
      </c>
    </row>
    <row r="3386">
      <c r="B3386" s="39" t="n">
        <v>46182</v>
      </c>
      <c r="C3386" s="3" t="inlineStr">
        <is>
          <t>Bill</t>
        </is>
      </c>
      <c r="D3386" s="3" t="inlineStr"/>
      <c r="E3386" s="3" t="inlineStr">
        <is>
          <t>Swiftmere Courier</t>
        </is>
      </c>
      <c r="F3386" s="3" t="inlineStr">
        <is>
          <t>Delivery and Transportation – June</t>
        </is>
      </c>
      <c r="G3386" s="3" t="inlineStr">
        <is>
          <t>Accounts Payable</t>
        </is>
      </c>
      <c r="H3386" s="3" t="inlineStr">
        <is>
          <t>Delivery and Transportation</t>
        </is>
      </c>
      <c r="I3386" s="33" t="n">
        <v>3075.84</v>
      </c>
      <c r="J3386" s="13">
        <f>+J3385+I3386</f>
        <v>40075.84</v>
      </c>
      <c r="K3386" s="19">
        <f>+EOMONTH(B3386,0)</f>
        <v>46203</v>
      </c>
      <c r="L3386" s="3" t="inlineStr">
        <is>
          <t>Delivery and Transportation</t>
        </is>
      </c>
      <c r="M3386" s="3" t="inlineStr">
        <is>
          <t>Delivery and Transportation</t>
        </is>
      </c>
    </row>
    <row r="3387">
      <c r="B3387" s="39" t="n">
        <v>46203</v>
      </c>
      <c r="C3387" s="3" t="inlineStr">
        <is>
          <t>Bill</t>
        </is>
      </c>
      <c r="D3387" s="3" t="inlineStr"/>
      <c r="E3387" s="3" t="inlineStr">
        <is>
          <t>Swiftmere Courier</t>
        </is>
      </c>
      <c r="F3387" s="3" t="inlineStr">
        <is>
          <t>Delivery and Transportation – June</t>
        </is>
      </c>
      <c r="G3387" s="3" t="inlineStr">
        <is>
          <t>Accounts Payable</t>
        </is>
      </c>
      <c r="H3387" s="3" t="inlineStr">
        <is>
          <t>Delivery and Transportation</t>
        </is>
      </c>
      <c r="I3387" s="33" t="n">
        <v>3924.16</v>
      </c>
      <c r="J3387" s="13">
        <f>+J3386+I3387</f>
        <v>44000</v>
      </c>
      <c r="K3387" s="19">
        <f>+EOMONTH(B3387,0)</f>
        <v>46203</v>
      </c>
      <c r="L3387" s="3" t="inlineStr">
        <is>
          <t>Delivery and Transportation</t>
        </is>
      </c>
      <c r="M3387" s="3" t="inlineStr">
        <is>
          <t>Delivery and Transportation</t>
        </is>
      </c>
    </row>
    <row r="3388">
      <c r="B3388" s="39" t="n">
        <v>46208</v>
      </c>
      <c r="C3388" s="3" t="inlineStr">
        <is>
          <t>Bill</t>
        </is>
      </c>
      <c r="D3388" s="3" t="inlineStr"/>
      <c r="E3388" s="3" t="inlineStr">
        <is>
          <t>Swiftmere Courier</t>
        </is>
      </c>
      <c r="F3388" s="3" t="inlineStr">
        <is>
          <t>Delivery and Transportation – July</t>
        </is>
      </c>
      <c r="G3388" s="3" t="inlineStr">
        <is>
          <t>Accounts Payable</t>
        </is>
      </c>
      <c r="H3388" s="3" t="inlineStr">
        <is>
          <t>Delivery and Transportation</t>
        </is>
      </c>
      <c r="I3388" s="33" t="n">
        <v>3967.65</v>
      </c>
      <c r="J3388" s="13">
        <f>+J3387+I3388</f>
        <v>47967.65</v>
      </c>
      <c r="K3388" s="19">
        <f>+EOMONTH(B3388,0)</f>
        <v>46234</v>
      </c>
      <c r="L3388" s="3" t="inlineStr">
        <is>
          <t>Delivery and Transportation</t>
        </is>
      </c>
      <c r="M3388" s="3" t="inlineStr">
        <is>
          <t>Delivery and Transportation</t>
        </is>
      </c>
    </row>
    <row r="3389">
      <c r="B3389" s="39" t="n">
        <v>46228</v>
      </c>
      <c r="C3389" s="3" t="inlineStr">
        <is>
          <t>Bill</t>
        </is>
      </c>
      <c r="D3389" s="3" t="inlineStr"/>
      <c r="E3389" s="3" t="inlineStr">
        <is>
          <t>Swiftmere Courier</t>
        </is>
      </c>
      <c r="F3389" s="3" t="inlineStr">
        <is>
          <t>Delivery and Transportation – July</t>
        </is>
      </c>
      <c r="G3389" s="3" t="inlineStr">
        <is>
          <t>Accounts Payable</t>
        </is>
      </c>
      <c r="H3389" s="3" t="inlineStr">
        <is>
          <t>Delivery and Transportation</t>
        </is>
      </c>
      <c r="I3389" s="33" t="n">
        <v>3632.35</v>
      </c>
      <c r="J3389" s="13">
        <f>+J3388+I3389</f>
        <v>51600</v>
      </c>
      <c r="K3389" s="19">
        <f>+EOMONTH(B3389,0)</f>
        <v>46234</v>
      </c>
      <c r="L3389" s="3" t="inlineStr">
        <is>
          <t>Delivery and Transportation</t>
        </is>
      </c>
      <c r="M3389" s="3" t="inlineStr">
        <is>
          <t>Delivery and Transportation</t>
        </is>
      </c>
    </row>
    <row r="3390">
      <c r="B3390" s="39" t="n">
        <v>46246</v>
      </c>
      <c r="C3390" s="3" t="inlineStr">
        <is>
          <t>Bill</t>
        </is>
      </c>
      <c r="D3390" s="3" t="inlineStr"/>
      <c r="E3390" s="3" t="inlineStr">
        <is>
          <t>Swiftmere Courier</t>
        </is>
      </c>
      <c r="F3390" s="3" t="inlineStr">
        <is>
          <t>Delivery and Transportation – August</t>
        </is>
      </c>
      <c r="G3390" s="3" t="inlineStr">
        <is>
          <t>Accounts Payable</t>
        </is>
      </c>
      <c r="H3390" s="3" t="inlineStr">
        <is>
          <t>Delivery and Transportation</t>
        </is>
      </c>
      <c r="I3390" s="33" t="n">
        <v>3640.74</v>
      </c>
      <c r="J3390" s="13">
        <f>+J3389+I3390</f>
        <v>55240.74</v>
      </c>
      <c r="K3390" s="19">
        <f>+EOMONTH(B3390,0)</f>
        <v>46265</v>
      </c>
      <c r="L3390" s="3" t="inlineStr">
        <is>
          <t>Delivery and Transportation</t>
        </is>
      </c>
      <c r="M3390" s="3" t="inlineStr">
        <is>
          <t>Delivery and Transportation</t>
        </is>
      </c>
    </row>
    <row r="3391">
      <c r="B3391" s="39" t="n">
        <v>46259</v>
      </c>
      <c r="C3391" s="3" t="inlineStr">
        <is>
          <t>Bill</t>
        </is>
      </c>
      <c r="D3391" s="3" t="inlineStr"/>
      <c r="E3391" s="3" t="inlineStr">
        <is>
          <t>Swiftmere Courier</t>
        </is>
      </c>
      <c r="F3391" s="3" t="inlineStr">
        <is>
          <t>Delivery and Transportation – August</t>
        </is>
      </c>
      <c r="G3391" s="3" t="inlineStr">
        <is>
          <t>Accounts Payable</t>
        </is>
      </c>
      <c r="H3391" s="3" t="inlineStr">
        <is>
          <t>Delivery and Transportation</t>
        </is>
      </c>
      <c r="I3391" s="33" t="n">
        <v>3859.26</v>
      </c>
      <c r="J3391" s="13">
        <f>+J3390+I3391</f>
        <v>59100</v>
      </c>
      <c r="K3391" s="19">
        <f>+EOMONTH(B3391,0)</f>
        <v>46265</v>
      </c>
      <c r="L3391" s="3" t="inlineStr">
        <is>
          <t>Delivery and Transportation</t>
        </is>
      </c>
      <c r="M3391" s="3" t="inlineStr">
        <is>
          <t>Delivery and Transportation</t>
        </is>
      </c>
    </row>
    <row r="3392">
      <c r="B3392" s="39" t="n">
        <v>46267</v>
      </c>
      <c r="C3392" s="3" t="inlineStr">
        <is>
          <t>Bill</t>
        </is>
      </c>
      <c r="D3392" s="3" t="inlineStr"/>
      <c r="E3392" s="3" t="inlineStr">
        <is>
          <t>Swiftmere Courier</t>
        </is>
      </c>
      <c r="F3392" s="3" t="inlineStr">
        <is>
          <t>Delivery and Transportation – September</t>
        </is>
      </c>
      <c r="G3392" s="3" t="inlineStr">
        <is>
          <t>Accounts Payable</t>
        </is>
      </c>
      <c r="H3392" s="3" t="inlineStr">
        <is>
          <t>Delivery and Transportation</t>
        </is>
      </c>
      <c r="I3392" s="33" t="n">
        <v>3777.76</v>
      </c>
      <c r="J3392" s="13">
        <f>+J3391+I3392</f>
        <v>62877.76</v>
      </c>
      <c r="K3392" s="19">
        <f>+EOMONTH(B3392,0)</f>
        <v>46295</v>
      </c>
      <c r="L3392" s="3" t="inlineStr">
        <is>
          <t>Delivery and Transportation</t>
        </is>
      </c>
      <c r="M3392" s="3" t="inlineStr">
        <is>
          <t>Delivery and Transportation</t>
        </is>
      </c>
    </row>
    <row r="3393">
      <c r="B3393" s="39" t="n">
        <v>46292</v>
      </c>
      <c r="C3393" s="3" t="inlineStr">
        <is>
          <t>Bill</t>
        </is>
      </c>
      <c r="D3393" s="3" t="inlineStr"/>
      <c r="E3393" s="3" t="inlineStr">
        <is>
          <t>Swiftmere Courier</t>
        </is>
      </c>
      <c r="F3393" s="3" t="inlineStr">
        <is>
          <t>Delivery and Transportation – September</t>
        </is>
      </c>
      <c r="G3393" s="3" t="inlineStr">
        <is>
          <t>Accounts Payable</t>
        </is>
      </c>
      <c r="H3393" s="3" t="inlineStr">
        <is>
          <t>Delivery and Transportation</t>
        </is>
      </c>
      <c r="I3393" s="33" t="n">
        <v>3792.33</v>
      </c>
      <c r="J3393" s="13">
        <f>+J3392+I3393</f>
        <v>66670.09</v>
      </c>
      <c r="K3393" s="19">
        <f>+EOMONTH(B3393,0)</f>
        <v>46295</v>
      </c>
      <c r="L3393" s="3" t="inlineStr">
        <is>
          <t>Delivery and Transportation</t>
        </is>
      </c>
      <c r="M3393" s="3" t="inlineStr">
        <is>
          <t>Delivery and Transportation</t>
        </is>
      </c>
    </row>
    <row r="3394">
      <c r="B3394" s="39" t="n">
        <v>46313</v>
      </c>
      <c r="C3394" s="3" t="inlineStr">
        <is>
          <t>Bill</t>
        </is>
      </c>
      <c r="D3394" s="3" t="inlineStr"/>
      <c r="E3394" s="3" t="inlineStr">
        <is>
          <t>Swiftmere Courier</t>
        </is>
      </c>
      <c r="F3394" s="3" t="inlineStr">
        <is>
          <t>Delivery and Transportation – October</t>
        </is>
      </c>
      <c r="G3394" s="3" t="inlineStr">
        <is>
          <t>Accounts Payable</t>
        </is>
      </c>
      <c r="H3394" s="3" t="inlineStr">
        <is>
          <t>Delivery and Transportation</t>
        </is>
      </c>
      <c r="I3394" s="33" t="n">
        <v>8438.76</v>
      </c>
      <c r="J3394" s="13">
        <f>+J3393+I3394</f>
        <v>75108.85</v>
      </c>
      <c r="K3394" s="19">
        <f>+EOMONTH(B3394,0)</f>
        <v>46326</v>
      </c>
      <c r="L3394" s="3" t="inlineStr">
        <is>
          <t>Delivery and Transportation</t>
        </is>
      </c>
      <c r="M3394" s="3" t="inlineStr">
        <is>
          <t>Delivery and Transportation</t>
        </is>
      </c>
    </row>
    <row r="3395">
      <c r="B3395" s="39" t="n">
        <v>46340</v>
      </c>
      <c r="C3395" s="3" t="inlineStr">
        <is>
          <t>Bill</t>
        </is>
      </c>
      <c r="D3395" s="3" t="inlineStr"/>
      <c r="E3395" s="3" t="inlineStr">
        <is>
          <t>Swiftmere Courier</t>
        </is>
      </c>
      <c r="F3395" s="3" t="inlineStr">
        <is>
          <t>Delivery and Transportation – November</t>
        </is>
      </c>
      <c r="G3395" s="3" t="inlineStr">
        <is>
          <t>Accounts Payable</t>
        </is>
      </c>
      <c r="H3395" s="3" t="inlineStr">
        <is>
          <t>Delivery and Transportation</t>
        </is>
      </c>
      <c r="I3395" s="33" t="n">
        <v>7180.27</v>
      </c>
      <c r="J3395" s="13">
        <f>+J3394+I3395</f>
        <v>82289.12</v>
      </c>
      <c r="K3395" s="19">
        <f>+EOMONTH(B3395,0)</f>
        <v>46356</v>
      </c>
      <c r="L3395" s="3" t="inlineStr">
        <is>
          <t>Delivery and Transportation</t>
        </is>
      </c>
      <c r="M3395" s="3" t="inlineStr">
        <is>
          <t>Delivery and Transportation</t>
        </is>
      </c>
    </row>
    <row r="3396">
      <c r="A3396" s="2" t="inlineStr">
        <is>
          <t>Total for Delivery and Transportation</t>
        </is>
      </c>
      <c r="I3396" s="35">
        <f>SUM(I3376:I3395)</f>
        <v>82289.12</v>
      </c>
    </row>
    <row r="3398">
      <c r="A3398" s="2" t="inlineStr">
        <is>
          <t>Dues &amp; Subscriptions</t>
        </is>
      </c>
    </row>
    <row r="3399">
      <c r="B3399" s="39" t="n">
        <v>46025</v>
      </c>
      <c r="C3399" s="3" t="inlineStr">
        <is>
          <t>Journal Entry</t>
        </is>
      </c>
      <c r="D3399" s="3" t="inlineStr">
        <is>
          <t>JE-2637</t>
        </is>
      </c>
      <c r="E3399" s="3" t="inlineStr">
        <is>
          <t>Ledgerquill Billing SaaS</t>
        </is>
      </c>
      <c r="F3399" s="3" t="inlineStr">
        <is>
          <t>Dues &amp; Subscriptions – January</t>
        </is>
      </c>
      <c r="G3399" s="3" t="inlineStr">
        <is>
          <t>Checking – Operating</t>
        </is>
      </c>
      <c r="H3399" s="3" t="inlineStr">
        <is>
          <t>Dues &amp; Subscriptions</t>
        </is>
      </c>
      <c r="I3399" s="33" t="n">
        <v>810.3</v>
      </c>
      <c r="J3399" s="13">
        <f>+I3399</f>
        <v>810.3</v>
      </c>
      <c r="K3399" s="19">
        <f>+EOMONTH(B3399,0)</f>
        <v>46053</v>
      </c>
      <c r="L3399" s="3" t="inlineStr">
        <is>
          <t>Dues &amp; Subscriptions</t>
        </is>
      </c>
      <c r="M3399" s="3" t="inlineStr">
        <is>
          <t>Dues &amp; Subscriptions</t>
        </is>
      </c>
    </row>
    <row r="3400">
      <c r="B3400" s="39" t="n">
        <v>46029</v>
      </c>
      <c r="C3400" s="3" t="inlineStr">
        <is>
          <t>Journal Entry</t>
        </is>
      </c>
      <c r="D3400" s="3" t="inlineStr">
        <is>
          <t>JE-2636</t>
        </is>
      </c>
      <c r="E3400" s="3" t="inlineStr">
        <is>
          <t>Ledgerquill Billing SaaS</t>
        </is>
      </c>
      <c r="F3400" s="3" t="inlineStr">
        <is>
          <t>Dues &amp; Subscriptions – January</t>
        </is>
      </c>
      <c r="G3400" s="3" t="inlineStr">
        <is>
          <t>Checking – Operating</t>
        </is>
      </c>
      <c r="H3400" s="3" t="inlineStr">
        <is>
          <t>Dues &amp; Subscriptions</t>
        </is>
      </c>
      <c r="I3400" s="33" t="n">
        <v>989.7</v>
      </c>
      <c r="J3400" s="13">
        <f>+J3399+I3400</f>
        <v>1800</v>
      </c>
      <c r="K3400" s="19">
        <f>+EOMONTH(B3400,0)</f>
        <v>46053</v>
      </c>
      <c r="L3400" s="3" t="inlineStr">
        <is>
          <t>Dues &amp; Subscriptions</t>
        </is>
      </c>
      <c r="M3400" s="3" t="inlineStr">
        <is>
          <t>Dues &amp; Subscriptions</t>
        </is>
      </c>
    </row>
    <row r="3401">
      <c r="B3401" s="39" t="n">
        <v>46069</v>
      </c>
      <c r="C3401" s="3" t="inlineStr">
        <is>
          <t>Journal Entry</t>
        </is>
      </c>
      <c r="D3401" s="3" t="inlineStr">
        <is>
          <t>JE-2638</t>
        </is>
      </c>
      <c r="E3401" s="3" t="inlineStr">
        <is>
          <t>Ledgerquill Billing SaaS</t>
        </is>
      </c>
      <c r="F3401" s="3" t="inlineStr">
        <is>
          <t>Dues &amp; Subscriptions – February</t>
        </is>
      </c>
      <c r="G3401" s="3" t="inlineStr">
        <is>
          <t>Checking – Operating</t>
        </is>
      </c>
      <c r="H3401" s="3" t="inlineStr">
        <is>
          <t>Dues &amp; Subscriptions</t>
        </is>
      </c>
      <c r="I3401" s="33" t="n">
        <v>777.48</v>
      </c>
      <c r="J3401" s="13">
        <f>+J3400+I3401</f>
        <v>2577.48</v>
      </c>
      <c r="K3401" s="19">
        <f>+EOMONTH(B3401,0)</f>
        <v>46081</v>
      </c>
      <c r="L3401" s="3" t="inlineStr">
        <is>
          <t>Dues &amp; Subscriptions</t>
        </is>
      </c>
      <c r="M3401" s="3" t="inlineStr">
        <is>
          <t>Dues &amp; Subscriptions</t>
        </is>
      </c>
    </row>
    <row r="3402">
      <c r="B3402" s="39" t="n">
        <v>46075</v>
      </c>
      <c r="C3402" s="3" t="inlineStr">
        <is>
          <t>Credit Card Expense</t>
        </is>
      </c>
      <c r="D3402" s="3" t="inlineStr"/>
      <c r="E3402" s="3" t="inlineStr">
        <is>
          <t>Ledgerquill Billing SaaS</t>
        </is>
      </c>
      <c r="F3402" s="3" t="inlineStr">
        <is>
          <t>Dues &amp; Subscriptions – February</t>
        </is>
      </c>
      <c r="G3402" s="3" t="inlineStr">
        <is>
          <t>Checking – Operating</t>
        </is>
      </c>
      <c r="H3402" s="3" t="inlineStr">
        <is>
          <t>Dues &amp; Subscriptions</t>
        </is>
      </c>
      <c r="I3402" s="33" t="n">
        <v>1022.52</v>
      </c>
      <c r="J3402" s="13">
        <f>+J3401+I3402</f>
        <v>3600</v>
      </c>
      <c r="K3402" s="19">
        <f>+EOMONTH(B3402,0)</f>
        <v>46081</v>
      </c>
      <c r="L3402" s="3" t="inlineStr">
        <is>
          <t>Dues &amp; Subscriptions</t>
        </is>
      </c>
      <c r="M3402" s="3" t="inlineStr">
        <is>
          <t>Dues &amp; Subscriptions</t>
        </is>
      </c>
    </row>
    <row r="3403">
      <c r="B3403" s="39" t="n">
        <v>46096</v>
      </c>
      <c r="C3403" s="3" t="inlineStr">
        <is>
          <t>Expense</t>
        </is>
      </c>
      <c r="D3403" s="3" t="inlineStr">
        <is>
          <t>10656</t>
        </is>
      </c>
      <c r="E3403" s="3" t="inlineStr">
        <is>
          <t>Ledgerquill Billing SaaS</t>
        </is>
      </c>
      <c r="F3403" s="3" t="inlineStr">
        <is>
          <t>Dues &amp; Subscriptions – March</t>
        </is>
      </c>
      <c r="G3403" s="3" t="inlineStr">
        <is>
          <t>Checking – Operating</t>
        </is>
      </c>
      <c r="H3403" s="3" t="inlineStr">
        <is>
          <t>Dues &amp; Subscriptions</t>
        </is>
      </c>
      <c r="I3403" s="33" t="n">
        <v>786.01</v>
      </c>
      <c r="J3403" s="13">
        <f>+J3402+I3403</f>
        <v>4386.01</v>
      </c>
      <c r="K3403" s="19">
        <f>+EOMONTH(B3403,0)</f>
        <v>46112</v>
      </c>
      <c r="L3403" s="3" t="inlineStr">
        <is>
          <t>Dues &amp; Subscriptions</t>
        </is>
      </c>
      <c r="M3403" s="3" t="inlineStr">
        <is>
          <t>Dues &amp; Subscriptions</t>
        </is>
      </c>
    </row>
    <row r="3404">
      <c r="B3404" s="39" t="n">
        <v>46102</v>
      </c>
      <c r="C3404" s="3" t="inlineStr">
        <is>
          <t>Expense</t>
        </is>
      </c>
      <c r="D3404" s="3" t="inlineStr">
        <is>
          <t>10657</t>
        </is>
      </c>
      <c r="E3404" s="3" t="inlineStr">
        <is>
          <t>Ledgerquill Billing SaaS</t>
        </is>
      </c>
      <c r="F3404" s="3" t="inlineStr">
        <is>
          <t>Dues &amp; Subscriptions – March</t>
        </is>
      </c>
      <c r="G3404" s="3" t="inlineStr">
        <is>
          <t>Checking – Operating</t>
        </is>
      </c>
      <c r="H3404" s="3" t="inlineStr">
        <is>
          <t>Dues &amp; Subscriptions</t>
        </is>
      </c>
      <c r="I3404" s="33" t="n">
        <v>913.99</v>
      </c>
      <c r="J3404" s="13">
        <f>+J3403+I3404</f>
        <v>5300</v>
      </c>
      <c r="K3404" s="19">
        <f>+EOMONTH(B3404,0)</f>
        <v>46112</v>
      </c>
      <c r="L3404" s="3" t="inlineStr">
        <is>
          <t>Dues &amp; Subscriptions</t>
        </is>
      </c>
      <c r="M3404" s="3" t="inlineStr">
        <is>
          <t>Dues &amp; Subscriptions</t>
        </is>
      </c>
    </row>
    <row r="3405">
      <c r="B3405" s="39" t="n">
        <v>46132</v>
      </c>
      <c r="C3405" s="3" t="inlineStr">
        <is>
          <t>Expense</t>
        </is>
      </c>
      <c r="D3405" s="3" t="inlineStr">
        <is>
          <t>10659</t>
        </is>
      </c>
      <c r="E3405" s="3" t="inlineStr">
        <is>
          <t>Ledgerquill Billing SaaS</t>
        </is>
      </c>
      <c r="F3405" s="3" t="inlineStr">
        <is>
          <t>Dues &amp; Subscriptions – April</t>
        </is>
      </c>
      <c r="G3405" s="3" t="inlineStr">
        <is>
          <t>Checking – Operating</t>
        </is>
      </c>
      <c r="H3405" s="3" t="inlineStr">
        <is>
          <t>Dues &amp; Subscriptions</t>
        </is>
      </c>
      <c r="I3405" s="33" t="n">
        <v>858.39</v>
      </c>
      <c r="J3405" s="13">
        <f>+J3404+I3405</f>
        <v>6158.39</v>
      </c>
      <c r="K3405" s="19">
        <f>+EOMONTH(B3405,0)</f>
        <v>46142</v>
      </c>
      <c r="L3405" s="3" t="inlineStr">
        <is>
          <t>Dues &amp; Subscriptions</t>
        </is>
      </c>
      <c r="M3405" s="3" t="inlineStr">
        <is>
          <t>Dues &amp; Subscriptions</t>
        </is>
      </c>
    </row>
    <row r="3406">
      <c r="B3406" s="39" t="n">
        <v>46140</v>
      </c>
      <c r="C3406" s="3" t="inlineStr">
        <is>
          <t>Expense</t>
        </is>
      </c>
      <c r="D3406" s="3" t="inlineStr">
        <is>
          <t>10658</t>
        </is>
      </c>
      <c r="E3406" s="3" t="inlineStr">
        <is>
          <t>Ledgerquill Billing SaaS</t>
        </is>
      </c>
      <c r="F3406" s="3" t="inlineStr">
        <is>
          <t>Dues &amp; Subscriptions – April</t>
        </is>
      </c>
      <c r="G3406" s="3" t="inlineStr">
        <is>
          <t>Checking – Operating</t>
        </is>
      </c>
      <c r="H3406" s="3" t="inlineStr">
        <is>
          <t>Dues &amp; Subscriptions</t>
        </is>
      </c>
      <c r="I3406" s="33" t="n">
        <v>841.61</v>
      </c>
      <c r="J3406" s="13">
        <f>+J3405+I3406</f>
        <v>7000</v>
      </c>
      <c r="K3406" s="19">
        <f>+EOMONTH(B3406,0)</f>
        <v>46142</v>
      </c>
      <c r="L3406" s="3" t="inlineStr">
        <is>
          <t>Dues &amp; Subscriptions</t>
        </is>
      </c>
      <c r="M3406" s="3" t="inlineStr">
        <is>
          <t>Dues &amp; Subscriptions</t>
        </is>
      </c>
    </row>
    <row r="3407">
      <c r="B3407" s="39" t="n">
        <v>46154</v>
      </c>
      <c r="C3407" s="3" t="inlineStr">
        <is>
          <t>Journal Entry</t>
        </is>
      </c>
      <c r="D3407" s="3" t="inlineStr">
        <is>
          <t>JE-2640</t>
        </is>
      </c>
      <c r="E3407" s="3" t="inlineStr">
        <is>
          <t>Ledgerquill Billing SaaS</t>
        </is>
      </c>
      <c r="F3407" s="3" t="inlineStr">
        <is>
          <t>Dues &amp; Subscriptions – May</t>
        </is>
      </c>
      <c r="G3407" s="3" t="inlineStr">
        <is>
          <t>Checking – Operating</t>
        </is>
      </c>
      <c r="H3407" s="3" t="inlineStr">
        <is>
          <t>Dues &amp; Subscriptions</t>
        </is>
      </c>
      <c r="I3407" s="33" t="n">
        <v>1236.41</v>
      </c>
      <c r="J3407" s="13">
        <f>+J3406+I3407</f>
        <v>8236.41</v>
      </c>
      <c r="K3407" s="19">
        <f>+EOMONTH(B3407,0)</f>
        <v>46173</v>
      </c>
      <c r="L3407" s="3" t="inlineStr">
        <is>
          <t>Dues &amp; Subscriptions</t>
        </is>
      </c>
      <c r="M3407" s="3" t="inlineStr">
        <is>
          <t>Dues &amp; Subscriptions</t>
        </is>
      </c>
    </row>
    <row r="3408">
      <c r="B3408" s="39" t="n">
        <v>46163</v>
      </c>
      <c r="C3408" s="3" t="inlineStr">
        <is>
          <t>Journal Entry</t>
        </is>
      </c>
      <c r="D3408" s="3" t="inlineStr">
        <is>
          <t>JE-2639</t>
        </is>
      </c>
      <c r="E3408" s="3" t="inlineStr">
        <is>
          <t>Ledgerquill Billing SaaS</t>
        </is>
      </c>
      <c r="F3408" s="3" t="inlineStr">
        <is>
          <t>Dues &amp; Subscriptions – May</t>
        </is>
      </c>
      <c r="G3408" s="3" t="inlineStr">
        <is>
          <t>Checking – Operating</t>
        </is>
      </c>
      <c r="H3408" s="3" t="inlineStr">
        <is>
          <t>Dues &amp; Subscriptions</t>
        </is>
      </c>
      <c r="I3408" s="33" t="n">
        <v>663.59</v>
      </c>
      <c r="J3408" s="13">
        <f>+J3407+I3408</f>
        <v>8900</v>
      </c>
      <c r="K3408" s="19">
        <f>+EOMONTH(B3408,0)</f>
        <v>46173</v>
      </c>
      <c r="L3408" s="3" t="inlineStr">
        <is>
          <t>Dues &amp; Subscriptions</t>
        </is>
      </c>
      <c r="M3408" s="3" t="inlineStr">
        <is>
          <t>Dues &amp; Subscriptions</t>
        </is>
      </c>
    </row>
    <row r="3409">
      <c r="B3409" s="39" t="n">
        <v>46176</v>
      </c>
      <c r="C3409" s="3" t="inlineStr">
        <is>
          <t>Credit Card Expense</t>
        </is>
      </c>
      <c r="D3409" s="3" t="inlineStr"/>
      <c r="E3409" s="3" t="inlineStr">
        <is>
          <t>Ledgerquill Billing SaaS</t>
        </is>
      </c>
      <c r="F3409" s="3" t="inlineStr">
        <is>
          <t>Dues &amp; Subscriptions – June</t>
        </is>
      </c>
      <c r="G3409" s="3" t="inlineStr">
        <is>
          <t>Checking – Operating</t>
        </is>
      </c>
      <c r="H3409" s="3" t="inlineStr">
        <is>
          <t>Dues &amp; Subscriptions</t>
        </is>
      </c>
      <c r="I3409" s="33" t="n">
        <v>916.3200000000001</v>
      </c>
      <c r="J3409" s="13">
        <f>+J3408+I3409</f>
        <v>9816.32</v>
      </c>
      <c r="K3409" s="19">
        <f>+EOMONTH(B3409,0)</f>
        <v>46203</v>
      </c>
      <c r="L3409" s="3" t="inlineStr">
        <is>
          <t>Dues &amp; Subscriptions</t>
        </is>
      </c>
      <c r="M3409" s="3" t="inlineStr">
        <is>
          <t>Dues &amp; Subscriptions</t>
        </is>
      </c>
    </row>
    <row r="3410">
      <c r="B3410" s="39" t="n">
        <v>46195</v>
      </c>
      <c r="C3410" s="3" t="inlineStr">
        <is>
          <t>Expense</t>
        </is>
      </c>
      <c r="D3410" s="3" t="inlineStr">
        <is>
          <t>10660</t>
        </is>
      </c>
      <c r="E3410" s="3" t="inlineStr">
        <is>
          <t>Ledgerquill Billing SaaS</t>
        </is>
      </c>
      <c r="F3410" s="3" t="inlineStr">
        <is>
          <t>Dues &amp; Subscriptions – June</t>
        </is>
      </c>
      <c r="G3410" s="3" t="inlineStr">
        <is>
          <t>Checking – Operating</t>
        </is>
      </c>
      <c r="H3410" s="3" t="inlineStr">
        <is>
          <t>Dues &amp; Subscriptions</t>
        </is>
      </c>
      <c r="I3410" s="33" t="n">
        <v>983.6799999999999</v>
      </c>
      <c r="J3410" s="13">
        <f>+J3409+I3410</f>
        <v>10800</v>
      </c>
      <c r="K3410" s="19">
        <f>+EOMONTH(B3410,0)</f>
        <v>46203</v>
      </c>
      <c r="L3410" s="3" t="inlineStr">
        <is>
          <t>Dues &amp; Subscriptions</t>
        </is>
      </c>
      <c r="M3410" s="3" t="inlineStr">
        <is>
          <t>Dues &amp; Subscriptions</t>
        </is>
      </c>
    </row>
    <row r="3411">
      <c r="B3411" s="39" t="n">
        <v>46206</v>
      </c>
      <c r="C3411" s="3" t="inlineStr">
        <is>
          <t>Expense</t>
        </is>
      </c>
      <c r="D3411" s="3" t="inlineStr">
        <is>
          <t>10662</t>
        </is>
      </c>
      <c r="E3411" s="3" t="inlineStr">
        <is>
          <t>Ledgerquill Billing SaaS</t>
        </is>
      </c>
      <c r="F3411" s="3" t="inlineStr">
        <is>
          <t>Dues &amp; Subscriptions – July</t>
        </is>
      </c>
      <c r="G3411" s="3" t="inlineStr">
        <is>
          <t>Checking – Operating</t>
        </is>
      </c>
      <c r="H3411" s="3" t="inlineStr">
        <is>
          <t>Dues &amp; Subscriptions</t>
        </is>
      </c>
      <c r="I3411" s="33" t="n">
        <v>948.62</v>
      </c>
      <c r="J3411" s="13">
        <f>+J3410+I3411</f>
        <v>11748.62</v>
      </c>
      <c r="K3411" s="19">
        <f>+EOMONTH(B3411,0)</f>
        <v>46234</v>
      </c>
      <c r="L3411" s="3" t="inlineStr">
        <is>
          <t>Dues &amp; Subscriptions</t>
        </is>
      </c>
      <c r="M3411" s="3" t="inlineStr">
        <is>
          <t>Dues &amp; Subscriptions</t>
        </is>
      </c>
    </row>
    <row r="3412">
      <c r="B3412" s="39" t="n">
        <v>46233</v>
      </c>
      <c r="C3412" s="3" t="inlineStr">
        <is>
          <t>Expense</t>
        </is>
      </c>
      <c r="D3412" s="3" t="inlineStr">
        <is>
          <t>10661</t>
        </is>
      </c>
      <c r="E3412" s="3" t="inlineStr">
        <is>
          <t>Ledgerquill Billing SaaS</t>
        </is>
      </c>
      <c r="F3412" s="3" t="inlineStr">
        <is>
          <t>Dues &amp; Subscriptions – July</t>
        </is>
      </c>
      <c r="G3412" s="3" t="inlineStr">
        <is>
          <t>Checking – Operating</t>
        </is>
      </c>
      <c r="H3412" s="3" t="inlineStr">
        <is>
          <t>Dues &amp; Subscriptions</t>
        </is>
      </c>
      <c r="I3412" s="33" t="n">
        <v>951.38</v>
      </c>
      <c r="J3412" s="13">
        <f>+J3411+I3412</f>
        <v>12700</v>
      </c>
      <c r="K3412" s="19">
        <f>+EOMONTH(B3412,0)</f>
        <v>46234</v>
      </c>
      <c r="L3412" s="3" t="inlineStr">
        <is>
          <t>Dues &amp; Subscriptions</t>
        </is>
      </c>
      <c r="M3412" s="3" t="inlineStr">
        <is>
          <t>Dues &amp; Subscriptions</t>
        </is>
      </c>
    </row>
    <row r="3413">
      <c r="B3413" s="39" t="n">
        <v>46248</v>
      </c>
      <c r="C3413" s="3" t="inlineStr">
        <is>
          <t>Journal Entry</t>
        </is>
      </c>
      <c r="D3413" s="3" t="inlineStr">
        <is>
          <t>JE-2641</t>
        </is>
      </c>
      <c r="E3413" s="3" t="inlineStr">
        <is>
          <t>Ledgerquill Billing SaaS</t>
        </is>
      </c>
      <c r="F3413" s="3" t="inlineStr">
        <is>
          <t>Dues &amp; Subscriptions – August</t>
        </is>
      </c>
      <c r="G3413" s="3" t="inlineStr">
        <is>
          <t>Checking – Operating</t>
        </is>
      </c>
      <c r="H3413" s="3" t="inlineStr">
        <is>
          <t>Dues &amp; Subscriptions</t>
        </is>
      </c>
      <c r="I3413" s="33" t="n">
        <v>1066.76</v>
      </c>
      <c r="J3413" s="13">
        <f>+J3412+I3413</f>
        <v>13766.76</v>
      </c>
      <c r="K3413" s="19">
        <f>+EOMONTH(B3413,0)</f>
        <v>46265</v>
      </c>
      <c r="L3413" s="3" t="inlineStr">
        <is>
          <t>Dues &amp; Subscriptions</t>
        </is>
      </c>
      <c r="M3413" s="3" t="inlineStr">
        <is>
          <t>Dues &amp; Subscriptions</t>
        </is>
      </c>
    </row>
    <row r="3414">
      <c r="B3414" s="39" t="n">
        <v>46252</v>
      </c>
      <c r="C3414" s="3" t="inlineStr">
        <is>
          <t>Expense</t>
        </is>
      </c>
      <c r="D3414" s="3" t="inlineStr">
        <is>
          <t>10663</t>
        </is>
      </c>
      <c r="E3414" s="3" t="inlineStr">
        <is>
          <t>Ledgerquill Billing SaaS</t>
        </is>
      </c>
      <c r="F3414" s="3" t="inlineStr">
        <is>
          <t>Dues &amp; Subscriptions – August</t>
        </is>
      </c>
      <c r="G3414" s="3" t="inlineStr">
        <is>
          <t>Checking – Operating</t>
        </is>
      </c>
      <c r="H3414" s="3" t="inlineStr">
        <is>
          <t>Dues &amp; Subscriptions</t>
        </is>
      </c>
      <c r="I3414" s="33" t="n">
        <v>733.24</v>
      </c>
      <c r="J3414" s="13">
        <f>+J3413+I3414</f>
        <v>14500</v>
      </c>
      <c r="K3414" s="19">
        <f>+EOMONTH(B3414,0)</f>
        <v>46265</v>
      </c>
      <c r="L3414" s="3" t="inlineStr">
        <is>
          <t>Dues &amp; Subscriptions</t>
        </is>
      </c>
      <c r="M3414" s="3" t="inlineStr">
        <is>
          <t>Dues &amp; Subscriptions</t>
        </is>
      </c>
    </row>
    <row r="3415">
      <c r="B3415" s="39" t="n">
        <v>46266</v>
      </c>
      <c r="C3415" s="3" t="inlineStr">
        <is>
          <t>Journal Entry</t>
        </is>
      </c>
      <c r="D3415" s="3" t="inlineStr">
        <is>
          <t>JE-2642</t>
        </is>
      </c>
      <c r="E3415" s="3" t="inlineStr">
        <is>
          <t>Ledgerquill Billing SaaS</t>
        </is>
      </c>
      <c r="F3415" s="3" t="inlineStr">
        <is>
          <t>Dues &amp; Subscriptions – September</t>
        </is>
      </c>
      <c r="G3415" s="3" t="inlineStr">
        <is>
          <t>Checking – Operating</t>
        </is>
      </c>
      <c r="H3415" s="3" t="inlineStr">
        <is>
          <t>Dues &amp; Subscriptions</t>
        </is>
      </c>
      <c r="I3415" s="33" t="n">
        <v>833.27</v>
      </c>
      <c r="J3415" s="13">
        <f>+J3414+I3415</f>
        <v>15333.27</v>
      </c>
      <c r="K3415" s="19">
        <f>+EOMONTH(B3415,0)</f>
        <v>46295</v>
      </c>
      <c r="L3415" s="3" t="inlineStr">
        <is>
          <t>Dues &amp; Subscriptions</t>
        </is>
      </c>
      <c r="M3415" s="3" t="inlineStr">
        <is>
          <t>Dues &amp; Subscriptions</t>
        </is>
      </c>
    </row>
    <row r="3416">
      <c r="B3416" s="39" t="n">
        <v>46274</v>
      </c>
      <c r="C3416" s="3" t="inlineStr">
        <is>
          <t>Expense</t>
        </is>
      </c>
      <c r="D3416" s="3" t="inlineStr">
        <is>
          <t>10664</t>
        </is>
      </c>
      <c r="E3416" s="3" t="inlineStr">
        <is>
          <t>Ledgerquill Billing SaaS</t>
        </is>
      </c>
      <c r="F3416" s="3" t="inlineStr">
        <is>
          <t>Dues &amp; Subscriptions – September</t>
        </is>
      </c>
      <c r="G3416" s="3" t="inlineStr">
        <is>
          <t>Checking – Operating</t>
        </is>
      </c>
      <c r="H3416" s="3" t="inlineStr">
        <is>
          <t>Dues &amp; Subscriptions</t>
        </is>
      </c>
      <c r="I3416" s="33" t="n">
        <v>1101.35</v>
      </c>
      <c r="J3416" s="13">
        <f>+J3415+I3416</f>
        <v>16434.62</v>
      </c>
      <c r="K3416" s="19">
        <f>+EOMONTH(B3416,0)</f>
        <v>46295</v>
      </c>
      <c r="L3416" s="3" t="inlineStr">
        <is>
          <t>Dues &amp; Subscriptions</t>
        </is>
      </c>
      <c r="M3416" s="3" t="inlineStr">
        <is>
          <t>Dues &amp; Subscriptions</t>
        </is>
      </c>
    </row>
    <row r="3417">
      <c r="B3417" s="39" t="n">
        <v>46311</v>
      </c>
      <c r="C3417" s="3" t="inlineStr">
        <is>
          <t>Expense</t>
        </is>
      </c>
      <c r="D3417" s="3" t="inlineStr">
        <is>
          <t>10665</t>
        </is>
      </c>
      <c r="E3417" s="3" t="inlineStr">
        <is>
          <t>Ledgerquill Billing SaaS</t>
        </is>
      </c>
      <c r="F3417" s="3" t="inlineStr">
        <is>
          <t>Dues &amp; Subscriptions – October</t>
        </is>
      </c>
      <c r="G3417" s="3" t="inlineStr">
        <is>
          <t>Checking – Operating</t>
        </is>
      </c>
      <c r="H3417" s="3" t="inlineStr">
        <is>
          <t>Dues &amp; Subscriptions</t>
        </is>
      </c>
      <c r="I3417" s="33" t="n">
        <v>1819.25</v>
      </c>
      <c r="J3417" s="13">
        <f>+J3416+I3417</f>
        <v>18253.87</v>
      </c>
      <c r="K3417" s="19">
        <f>+EOMONTH(B3417,0)</f>
        <v>46326</v>
      </c>
      <c r="L3417" s="3" t="inlineStr">
        <is>
          <t>Dues &amp; Subscriptions</t>
        </is>
      </c>
      <c r="M3417" s="3" t="inlineStr">
        <is>
          <t>Dues &amp; Subscriptions</t>
        </is>
      </c>
    </row>
    <row r="3418">
      <c r="B3418" s="39" t="n">
        <v>46331</v>
      </c>
      <c r="C3418" s="3" t="inlineStr">
        <is>
          <t>Expense</t>
        </is>
      </c>
      <c r="D3418" s="3" t="inlineStr">
        <is>
          <t>10666</t>
        </is>
      </c>
      <c r="E3418" s="3" t="inlineStr">
        <is>
          <t>Ledgerquill Billing SaaS</t>
        </is>
      </c>
      <c r="F3418" s="3" t="inlineStr">
        <is>
          <t>Dues &amp; Subscriptions – November</t>
        </is>
      </c>
      <c r="G3418" s="3" t="inlineStr">
        <is>
          <t>Checking – Operating</t>
        </is>
      </c>
      <c r="H3418" s="3" t="inlineStr">
        <is>
          <t>Dues &amp; Subscriptions</t>
        </is>
      </c>
      <c r="I3418" s="33" t="n">
        <v>1919.04</v>
      </c>
      <c r="J3418" s="13">
        <f>+J3417+I3418</f>
        <v>20172.91</v>
      </c>
      <c r="K3418" s="19">
        <f>+EOMONTH(B3418,0)</f>
        <v>46356</v>
      </c>
      <c r="L3418" s="3" t="inlineStr">
        <is>
          <t>Dues &amp; Subscriptions</t>
        </is>
      </c>
      <c r="M3418" s="3" t="inlineStr">
        <is>
          <t>Dues &amp; Subscriptions</t>
        </is>
      </c>
    </row>
    <row r="3419">
      <c r="A3419" s="2" t="inlineStr">
        <is>
          <t>Total for Dues &amp; Subscriptions</t>
        </is>
      </c>
      <c r="I3419" s="35">
        <f>SUM(I3399:I3418)</f>
        <v>20172.91</v>
      </c>
    </row>
    <row r="3421">
      <c r="A3421" s="2" t="inlineStr">
        <is>
          <t>Lab Equipment</t>
        </is>
      </c>
    </row>
    <row r="3422">
      <c r="B3422" s="39" t="n">
        <v>46030</v>
      </c>
      <c r="C3422" s="3" t="inlineStr">
        <is>
          <t>Bill</t>
        </is>
      </c>
      <c r="D3422" s="3" t="inlineStr"/>
      <c r="E3422" s="3" t="inlineStr">
        <is>
          <t>Lumenlease Equipment</t>
        </is>
      </c>
      <c r="F3422" s="3" t="inlineStr">
        <is>
          <t>Lab Equipment – January</t>
        </is>
      </c>
      <c r="G3422" s="3" t="inlineStr">
        <is>
          <t>Accounts Payable</t>
        </is>
      </c>
      <c r="H3422" s="3" t="inlineStr">
        <is>
          <t>Lab Equipment</t>
        </is>
      </c>
      <c r="I3422" s="33" t="n">
        <v>2809.94</v>
      </c>
      <c r="J3422" s="13">
        <f>+I3422</f>
        <v>2809.94</v>
      </c>
      <c r="K3422" s="19">
        <f>+EOMONTH(B3422,0)</f>
        <v>46053</v>
      </c>
      <c r="L3422" s="3" t="inlineStr">
        <is>
          <t>Lab Equipment</t>
        </is>
      </c>
      <c r="M3422" s="3" t="inlineStr">
        <is>
          <t>Lab Equipment</t>
        </is>
      </c>
    </row>
    <row r="3423">
      <c r="B3423" s="39" t="n">
        <v>46037</v>
      </c>
      <c r="C3423" s="3" t="inlineStr">
        <is>
          <t>Bill</t>
        </is>
      </c>
      <c r="D3423" s="3" t="inlineStr"/>
      <c r="E3423" s="3" t="inlineStr">
        <is>
          <t>Lumenlease Equipment</t>
        </is>
      </c>
      <c r="F3423" s="3" t="inlineStr">
        <is>
          <t>Lab Equipment – January</t>
        </is>
      </c>
      <c r="G3423" s="3" t="inlineStr">
        <is>
          <t>Accounts Payable</t>
        </is>
      </c>
      <c r="H3423" s="3" t="inlineStr">
        <is>
          <t>Lab Equipment</t>
        </is>
      </c>
      <c r="I3423" s="33" t="n">
        <v>2490.06</v>
      </c>
      <c r="J3423" s="13">
        <f>+J3422+I3423</f>
        <v>5300</v>
      </c>
      <c r="K3423" s="19">
        <f>+EOMONTH(B3423,0)</f>
        <v>46053</v>
      </c>
      <c r="L3423" s="3" t="inlineStr">
        <is>
          <t>Lab Equipment</t>
        </is>
      </c>
      <c r="M3423" s="3" t="inlineStr">
        <is>
          <t>Lab Equipment</t>
        </is>
      </c>
    </row>
    <row r="3424">
      <c r="B3424" s="39" t="n">
        <v>46054</v>
      </c>
      <c r="C3424" s="3" t="inlineStr">
        <is>
          <t>Bill</t>
        </is>
      </c>
      <c r="D3424" s="3" t="inlineStr"/>
      <c r="E3424" s="3" t="inlineStr">
        <is>
          <t>Lumenlease Equipment</t>
        </is>
      </c>
      <c r="F3424" s="3" t="inlineStr">
        <is>
          <t>Lab Equipment – February</t>
        </is>
      </c>
      <c r="G3424" s="3" t="inlineStr">
        <is>
          <t>Accounts Payable</t>
        </is>
      </c>
      <c r="H3424" s="3" t="inlineStr">
        <is>
          <t>Lab Equipment</t>
        </is>
      </c>
      <c r="I3424" s="33" t="n">
        <v>3196.8</v>
      </c>
      <c r="J3424" s="13">
        <f>+J3423+I3424</f>
        <v>8496.8</v>
      </c>
      <c r="K3424" s="19">
        <f>+EOMONTH(B3424,0)</f>
        <v>46081</v>
      </c>
      <c r="L3424" s="3" t="inlineStr">
        <is>
          <t>Lab Equipment</t>
        </is>
      </c>
      <c r="M3424" s="3" t="inlineStr">
        <is>
          <t>Lab Equipment</t>
        </is>
      </c>
    </row>
    <row r="3425">
      <c r="B3425" s="39" t="n">
        <v>46065</v>
      </c>
      <c r="C3425" s="3" t="inlineStr">
        <is>
          <t>Bill</t>
        </is>
      </c>
      <c r="D3425" s="3" t="inlineStr"/>
      <c r="E3425" s="3" t="inlineStr">
        <is>
          <t>Lumenlease Equipment</t>
        </is>
      </c>
      <c r="F3425" s="3" t="inlineStr">
        <is>
          <t>Lab Equipment – February</t>
        </is>
      </c>
      <c r="G3425" s="3" t="inlineStr">
        <is>
          <t>Accounts Payable</t>
        </is>
      </c>
      <c r="H3425" s="3" t="inlineStr">
        <is>
          <t>Lab Equipment</t>
        </is>
      </c>
      <c r="I3425" s="33" t="n">
        <v>2403.2</v>
      </c>
      <c r="J3425" s="13">
        <f>+J3424+I3425</f>
        <v>10900</v>
      </c>
      <c r="K3425" s="19">
        <f>+EOMONTH(B3425,0)</f>
        <v>46081</v>
      </c>
      <c r="L3425" s="3" t="inlineStr">
        <is>
          <t>Lab Equipment</t>
        </is>
      </c>
      <c r="M3425" s="3" t="inlineStr">
        <is>
          <t>Lab Equipment</t>
        </is>
      </c>
    </row>
    <row r="3426">
      <c r="B3426" s="39" t="n">
        <v>46082</v>
      </c>
      <c r="C3426" s="3" t="inlineStr">
        <is>
          <t>Bill</t>
        </is>
      </c>
      <c r="D3426" s="3" t="inlineStr"/>
      <c r="E3426" s="3" t="inlineStr">
        <is>
          <t>Lumenlease Equipment</t>
        </is>
      </c>
      <c r="F3426" s="3" t="inlineStr">
        <is>
          <t>Lab Equipment – March</t>
        </is>
      </c>
      <c r="G3426" s="3" t="inlineStr">
        <is>
          <t>Accounts Payable</t>
        </is>
      </c>
      <c r="H3426" s="3" t="inlineStr">
        <is>
          <t>Lab Equipment</t>
        </is>
      </c>
      <c r="I3426" s="33" t="n">
        <v>2551.52</v>
      </c>
      <c r="J3426" s="13">
        <f>+J3425+I3426</f>
        <v>13451.52</v>
      </c>
      <c r="K3426" s="19">
        <f>+EOMONTH(B3426,0)</f>
        <v>46112</v>
      </c>
      <c r="L3426" s="3" t="inlineStr">
        <is>
          <t>Lab Equipment</t>
        </is>
      </c>
      <c r="M3426" s="3" t="inlineStr">
        <is>
          <t>Lab Equipment</t>
        </is>
      </c>
    </row>
    <row r="3427">
      <c r="B3427" s="39" t="n">
        <v>46101</v>
      </c>
      <c r="C3427" s="3" t="inlineStr">
        <is>
          <t>Bill</t>
        </is>
      </c>
      <c r="D3427" s="3" t="inlineStr"/>
      <c r="E3427" s="3" t="inlineStr">
        <is>
          <t>Lumenlease Equipment</t>
        </is>
      </c>
      <c r="F3427" s="3" t="inlineStr">
        <is>
          <t>Lab Equipment – March</t>
        </is>
      </c>
      <c r="G3427" s="3" t="inlineStr">
        <is>
          <t>Accounts Payable</t>
        </is>
      </c>
      <c r="H3427" s="3" t="inlineStr">
        <is>
          <t>Lab Equipment</t>
        </is>
      </c>
      <c r="I3427" s="33" t="n">
        <v>3048.48</v>
      </c>
      <c r="J3427" s="13">
        <f>+J3426+I3427</f>
        <v>16500</v>
      </c>
      <c r="K3427" s="19">
        <f>+EOMONTH(B3427,0)</f>
        <v>46112</v>
      </c>
      <c r="L3427" s="3" t="inlineStr">
        <is>
          <t>Lab Equipment</t>
        </is>
      </c>
      <c r="M3427" s="3" t="inlineStr">
        <is>
          <t>Lab Equipment</t>
        </is>
      </c>
    </row>
    <row r="3428">
      <c r="B3428" s="39" t="n">
        <v>46119</v>
      </c>
      <c r="C3428" s="3" t="inlineStr">
        <is>
          <t>Bill</t>
        </is>
      </c>
      <c r="D3428" s="3" t="inlineStr"/>
      <c r="E3428" s="3" t="inlineStr">
        <is>
          <t>Lumenlease Equipment</t>
        </is>
      </c>
      <c r="F3428" s="3" t="inlineStr">
        <is>
          <t>Lab Equipment – April</t>
        </is>
      </c>
      <c r="G3428" s="3" t="inlineStr">
        <is>
          <t>Accounts Payable</t>
        </is>
      </c>
      <c r="H3428" s="3" t="inlineStr">
        <is>
          <t>Lab Equipment</t>
        </is>
      </c>
      <c r="I3428" s="33" t="n">
        <v>2982.89</v>
      </c>
      <c r="J3428" s="13">
        <f>+J3427+I3428</f>
        <v>19482.89</v>
      </c>
      <c r="K3428" s="19">
        <f>+EOMONTH(B3428,0)</f>
        <v>46142</v>
      </c>
      <c r="L3428" s="3" t="inlineStr">
        <is>
          <t>Lab Equipment</t>
        </is>
      </c>
      <c r="M3428" s="3" t="inlineStr">
        <is>
          <t>Lab Equipment</t>
        </is>
      </c>
    </row>
    <row r="3429">
      <c r="B3429" s="39" t="n">
        <v>46141</v>
      </c>
      <c r="C3429" s="3" t="inlineStr">
        <is>
          <t>Bill</t>
        </is>
      </c>
      <c r="D3429" s="3" t="inlineStr"/>
      <c r="E3429" s="3" t="inlineStr">
        <is>
          <t>Lumenlease Equipment</t>
        </is>
      </c>
      <c r="F3429" s="3" t="inlineStr">
        <is>
          <t>Lab Equipment – April</t>
        </is>
      </c>
      <c r="G3429" s="3" t="inlineStr">
        <is>
          <t>Accounts Payable</t>
        </is>
      </c>
      <c r="H3429" s="3" t="inlineStr">
        <is>
          <t>Lab Equipment</t>
        </is>
      </c>
      <c r="I3429" s="33" t="n">
        <v>2717.11</v>
      </c>
      <c r="J3429" s="13">
        <f>+J3428+I3429</f>
        <v>22200</v>
      </c>
      <c r="K3429" s="19">
        <f>+EOMONTH(B3429,0)</f>
        <v>46142</v>
      </c>
      <c r="L3429" s="3" t="inlineStr">
        <is>
          <t>Lab Equipment</t>
        </is>
      </c>
      <c r="M3429" s="3" t="inlineStr">
        <is>
          <t>Lab Equipment</t>
        </is>
      </c>
    </row>
    <row r="3430">
      <c r="B3430" s="39" t="n">
        <v>46147</v>
      </c>
      <c r="C3430" s="3" t="inlineStr">
        <is>
          <t>Bill</t>
        </is>
      </c>
      <c r="D3430" s="3" t="inlineStr"/>
      <c r="E3430" s="3" t="inlineStr">
        <is>
          <t>Lumenlease Equipment</t>
        </is>
      </c>
      <c r="F3430" s="3" t="inlineStr">
        <is>
          <t>Lab Equipment – May</t>
        </is>
      </c>
      <c r="G3430" s="3" t="inlineStr">
        <is>
          <t>Accounts Payable</t>
        </is>
      </c>
      <c r="H3430" s="3" t="inlineStr">
        <is>
          <t>Lab Equipment</t>
        </is>
      </c>
      <c r="I3430" s="33" t="n">
        <v>2505.64</v>
      </c>
      <c r="J3430" s="13">
        <f>+J3429+I3430</f>
        <v>24705.64</v>
      </c>
      <c r="K3430" s="19">
        <f>+EOMONTH(B3430,0)</f>
        <v>46173</v>
      </c>
      <c r="L3430" s="3" t="inlineStr">
        <is>
          <t>Lab Equipment</t>
        </is>
      </c>
      <c r="M3430" s="3" t="inlineStr">
        <is>
          <t>Lab Equipment</t>
        </is>
      </c>
    </row>
    <row r="3431">
      <c r="B3431" s="39" t="n">
        <v>46170</v>
      </c>
      <c r="C3431" s="3" t="inlineStr">
        <is>
          <t>Bill</t>
        </is>
      </c>
      <c r="D3431" s="3" t="inlineStr"/>
      <c r="E3431" s="3" t="inlineStr">
        <is>
          <t>Lumenlease Equipment</t>
        </is>
      </c>
      <c r="F3431" s="3" t="inlineStr">
        <is>
          <t>Lab Equipment – May</t>
        </is>
      </c>
      <c r="G3431" s="3" t="inlineStr">
        <is>
          <t>Accounts Payable</t>
        </is>
      </c>
      <c r="H3431" s="3" t="inlineStr">
        <is>
          <t>Lab Equipment</t>
        </is>
      </c>
      <c r="I3431" s="33" t="n">
        <v>3094.36</v>
      </c>
      <c r="J3431" s="13">
        <f>+J3430+I3431</f>
        <v>27800</v>
      </c>
      <c r="K3431" s="19">
        <f>+EOMONTH(B3431,0)</f>
        <v>46173</v>
      </c>
      <c r="L3431" s="3" t="inlineStr">
        <is>
          <t>Lab Equipment</t>
        </is>
      </c>
      <c r="M3431" s="3" t="inlineStr">
        <is>
          <t>Lab Equipment</t>
        </is>
      </c>
    </row>
    <row r="3432">
      <c r="B3432" s="39" t="n">
        <v>46192</v>
      </c>
      <c r="C3432" s="3" t="inlineStr">
        <is>
          <t>Bill</t>
        </is>
      </c>
      <c r="D3432" s="3" t="inlineStr"/>
      <c r="E3432" s="3" t="inlineStr">
        <is>
          <t>Lumenlease Equipment</t>
        </is>
      </c>
      <c r="F3432" s="3" t="inlineStr">
        <is>
          <t>Lab Equipment – June</t>
        </is>
      </c>
      <c r="G3432" s="3" t="inlineStr">
        <is>
          <t>Accounts Payable</t>
        </is>
      </c>
      <c r="H3432" s="3" t="inlineStr">
        <is>
          <t>Lab Equipment</t>
        </is>
      </c>
      <c r="I3432" s="33" t="n">
        <v>2390.2</v>
      </c>
      <c r="J3432" s="13">
        <f>+J3431+I3432</f>
        <v>30190.2</v>
      </c>
      <c r="K3432" s="19">
        <f>+EOMONTH(B3432,0)</f>
        <v>46203</v>
      </c>
      <c r="L3432" s="3" t="inlineStr">
        <is>
          <t>Lab Equipment</t>
        </is>
      </c>
      <c r="M3432" s="3" t="inlineStr">
        <is>
          <t>Lab Equipment</t>
        </is>
      </c>
    </row>
    <row r="3433">
      <c r="B3433" s="39" t="n">
        <v>46193</v>
      </c>
      <c r="C3433" s="3" t="inlineStr">
        <is>
          <t>Bill</t>
        </is>
      </c>
      <c r="D3433" s="3" t="inlineStr"/>
      <c r="E3433" s="3" t="inlineStr">
        <is>
          <t>Lumenlease Equipment</t>
        </is>
      </c>
      <c r="F3433" s="3" t="inlineStr">
        <is>
          <t>Lab Equipment – June</t>
        </is>
      </c>
      <c r="G3433" s="3" t="inlineStr">
        <is>
          <t>Accounts Payable</t>
        </is>
      </c>
      <c r="H3433" s="3" t="inlineStr">
        <is>
          <t>Lab Equipment</t>
        </is>
      </c>
      <c r="I3433" s="33" t="n">
        <v>3009.8</v>
      </c>
      <c r="J3433" s="13">
        <f>+J3432+I3433</f>
        <v>33200</v>
      </c>
      <c r="K3433" s="19">
        <f>+EOMONTH(B3433,0)</f>
        <v>46203</v>
      </c>
      <c r="L3433" s="3" t="inlineStr">
        <is>
          <t>Lab Equipment</t>
        </is>
      </c>
      <c r="M3433" s="3" t="inlineStr">
        <is>
          <t>Lab Equipment</t>
        </is>
      </c>
    </row>
    <row r="3434">
      <c r="B3434" s="39" t="n">
        <v>46212</v>
      </c>
      <c r="C3434" s="3" t="inlineStr">
        <is>
          <t>Bill</t>
        </is>
      </c>
      <c r="D3434" s="3" t="inlineStr"/>
      <c r="E3434" s="3" t="inlineStr">
        <is>
          <t>Lumenlease Equipment</t>
        </is>
      </c>
      <c r="F3434" s="3" t="inlineStr">
        <is>
          <t>Lab Equipment – July</t>
        </is>
      </c>
      <c r="G3434" s="3" t="inlineStr">
        <is>
          <t>Accounts Payable</t>
        </is>
      </c>
      <c r="H3434" s="3" t="inlineStr">
        <is>
          <t>Lab Equipment</t>
        </is>
      </c>
      <c r="I3434" s="33" t="n">
        <v>3213.18</v>
      </c>
      <c r="J3434" s="13">
        <f>+J3433+I3434</f>
        <v>36413.18</v>
      </c>
      <c r="K3434" s="19">
        <f>+EOMONTH(B3434,0)</f>
        <v>46234</v>
      </c>
      <c r="L3434" s="3" t="inlineStr">
        <is>
          <t>Lab Equipment</t>
        </is>
      </c>
      <c r="M3434" s="3" t="inlineStr">
        <is>
          <t>Lab Equipment</t>
        </is>
      </c>
    </row>
    <row r="3435">
      <c r="B3435" s="39" t="n">
        <v>46215</v>
      </c>
      <c r="C3435" s="3" t="inlineStr">
        <is>
          <t>Bill</t>
        </is>
      </c>
      <c r="D3435" s="3" t="inlineStr"/>
      <c r="E3435" s="3" t="inlineStr">
        <is>
          <t>Lumenlease Equipment</t>
        </is>
      </c>
      <c r="F3435" s="3" t="inlineStr">
        <is>
          <t>Lab Equipment – July</t>
        </is>
      </c>
      <c r="G3435" s="3" t="inlineStr">
        <is>
          <t>Accounts Payable</t>
        </is>
      </c>
      <c r="H3435" s="3" t="inlineStr">
        <is>
          <t>Lab Equipment</t>
        </is>
      </c>
      <c r="I3435" s="33" t="n">
        <v>2086.82</v>
      </c>
      <c r="J3435" s="13">
        <f>+J3434+I3435</f>
        <v>38500</v>
      </c>
      <c r="K3435" s="19">
        <f>+EOMONTH(B3435,0)</f>
        <v>46234</v>
      </c>
      <c r="L3435" s="3" t="inlineStr">
        <is>
          <t>Lab Equipment</t>
        </is>
      </c>
      <c r="M3435" s="3" t="inlineStr">
        <is>
          <t>Lab Equipment</t>
        </is>
      </c>
    </row>
    <row r="3436">
      <c r="B3436" s="39" t="n">
        <v>46243</v>
      </c>
      <c r="C3436" s="3" t="inlineStr">
        <is>
          <t>Bill</t>
        </is>
      </c>
      <c r="D3436" s="3" t="inlineStr"/>
      <c r="E3436" s="3" t="inlineStr">
        <is>
          <t>Lumenlease Equipment</t>
        </is>
      </c>
      <c r="F3436" s="3" t="inlineStr">
        <is>
          <t>Lab Equipment – August</t>
        </is>
      </c>
      <c r="G3436" s="3" t="inlineStr">
        <is>
          <t>Accounts Payable</t>
        </is>
      </c>
      <c r="H3436" s="3" t="inlineStr">
        <is>
          <t>Lab Equipment</t>
        </is>
      </c>
      <c r="I3436" s="33" t="n">
        <v>2140.57</v>
      </c>
      <c r="J3436" s="13">
        <f>+J3435+I3436</f>
        <v>40640.57</v>
      </c>
      <c r="K3436" s="19">
        <f>+EOMONTH(B3436,0)</f>
        <v>46265</v>
      </c>
      <c r="L3436" s="3" t="inlineStr">
        <is>
          <t>Lab Equipment</t>
        </is>
      </c>
      <c r="M3436" s="3" t="inlineStr">
        <is>
          <t>Lab Equipment</t>
        </is>
      </c>
    </row>
    <row r="3437">
      <c r="B3437" s="39" t="n">
        <v>46265</v>
      </c>
      <c r="C3437" s="3" t="inlineStr">
        <is>
          <t>Bill</t>
        </is>
      </c>
      <c r="D3437" s="3" t="inlineStr"/>
      <c r="E3437" s="3" t="inlineStr">
        <is>
          <t>Lumenlease Equipment</t>
        </is>
      </c>
      <c r="F3437" s="3" t="inlineStr">
        <is>
          <t>Lab Equipment – August</t>
        </is>
      </c>
      <c r="G3437" s="3" t="inlineStr">
        <is>
          <t>Accounts Payable</t>
        </is>
      </c>
      <c r="H3437" s="3" t="inlineStr">
        <is>
          <t>Lab Equipment</t>
        </is>
      </c>
      <c r="I3437" s="33" t="n">
        <v>3659.43</v>
      </c>
      <c r="J3437" s="13">
        <f>+J3436+I3437</f>
        <v>44300</v>
      </c>
      <c r="K3437" s="19">
        <f>+EOMONTH(B3437,0)</f>
        <v>46265</v>
      </c>
      <c r="L3437" s="3" t="inlineStr">
        <is>
          <t>Lab Equipment</t>
        </is>
      </c>
      <c r="M3437" s="3" t="inlineStr">
        <is>
          <t>Lab Equipment</t>
        </is>
      </c>
    </row>
    <row r="3438">
      <c r="B3438" s="39" t="n">
        <v>46270</v>
      </c>
      <c r="C3438" s="3" t="inlineStr">
        <is>
          <t>Bill</t>
        </is>
      </c>
      <c r="D3438" s="3" t="inlineStr"/>
      <c r="E3438" s="3" t="inlineStr">
        <is>
          <t>Lumenlease Equipment</t>
        </is>
      </c>
      <c r="F3438" s="3" t="inlineStr">
        <is>
          <t>Lab Equipment – September</t>
        </is>
      </c>
      <c r="G3438" s="3" t="inlineStr">
        <is>
          <t>Accounts Payable</t>
        </is>
      </c>
      <c r="H3438" s="3" t="inlineStr">
        <is>
          <t>Lab Equipment</t>
        </is>
      </c>
      <c r="I3438" s="33" t="n">
        <v>1893.03</v>
      </c>
      <c r="J3438" s="13">
        <f>+J3437+I3438</f>
        <v>46193.03</v>
      </c>
      <c r="K3438" s="19">
        <f>+EOMONTH(B3438,0)</f>
        <v>46295</v>
      </c>
      <c r="L3438" s="3" t="inlineStr">
        <is>
          <t>Lab Equipment</t>
        </is>
      </c>
      <c r="M3438" s="3" t="inlineStr">
        <is>
          <t>Lab Equipment</t>
        </is>
      </c>
    </row>
    <row r="3439">
      <c r="B3439" s="39" t="n">
        <v>46292</v>
      </c>
      <c r="C3439" s="3" t="inlineStr">
        <is>
          <t>Bill</t>
        </is>
      </c>
      <c r="D3439" s="3" t="inlineStr"/>
      <c r="E3439" s="3" t="inlineStr">
        <is>
          <t>Lumenlease Equipment</t>
        </is>
      </c>
      <c r="F3439" s="3" t="inlineStr">
        <is>
          <t>Lab Equipment – September</t>
        </is>
      </c>
      <c r="G3439" s="3" t="inlineStr">
        <is>
          <t>Accounts Payable</t>
        </is>
      </c>
      <c r="H3439" s="3" t="inlineStr">
        <is>
          <t>Lab Equipment</t>
        </is>
      </c>
      <c r="I3439" s="33" t="n">
        <v>3624.67</v>
      </c>
      <c r="J3439" s="13">
        <f>+J3438+I3439</f>
        <v>49817.7</v>
      </c>
      <c r="K3439" s="19">
        <f>+EOMONTH(B3439,0)</f>
        <v>46295</v>
      </c>
      <c r="L3439" s="3" t="inlineStr">
        <is>
          <t>Lab Equipment</t>
        </is>
      </c>
      <c r="M3439" s="3" t="inlineStr">
        <is>
          <t>Lab Equipment</t>
        </is>
      </c>
    </row>
    <row r="3440">
      <c r="B3440" s="39" t="n">
        <v>46306</v>
      </c>
      <c r="C3440" s="3" t="inlineStr">
        <is>
          <t>Bill</t>
        </is>
      </c>
      <c r="D3440" s="3" t="inlineStr"/>
      <c r="E3440" s="3" t="inlineStr">
        <is>
          <t>Lumenlease Equipment</t>
        </is>
      </c>
      <c r="F3440" s="3" t="inlineStr">
        <is>
          <t>Lab Equipment – October</t>
        </is>
      </c>
      <c r="G3440" s="3" t="inlineStr">
        <is>
          <t>Accounts Payable</t>
        </is>
      </c>
      <c r="H3440" s="3" t="inlineStr">
        <is>
          <t>Lab Equipment</t>
        </is>
      </c>
      <c r="I3440" s="33" t="n">
        <v>2761.11</v>
      </c>
      <c r="J3440" s="13">
        <f>+J3439+I3440</f>
        <v>52578.81</v>
      </c>
      <c r="K3440" s="19">
        <f>+EOMONTH(B3440,0)</f>
        <v>46326</v>
      </c>
      <c r="L3440" s="3" t="inlineStr">
        <is>
          <t>Lab Equipment</t>
        </is>
      </c>
      <c r="M3440" s="3" t="inlineStr">
        <is>
          <t>Lab Equipment</t>
        </is>
      </c>
    </row>
    <row r="3441">
      <c r="B3441" s="39" t="n">
        <v>46313</v>
      </c>
      <c r="C3441" s="3" t="inlineStr">
        <is>
          <t>Bill</t>
        </is>
      </c>
      <c r="D3441" s="3" t="inlineStr"/>
      <c r="E3441" s="3" t="inlineStr">
        <is>
          <t>Lumenlease Equipment</t>
        </is>
      </c>
      <c r="F3441" s="3" t="inlineStr">
        <is>
          <t>Lab Equipment – October</t>
        </is>
      </c>
      <c r="G3441" s="3" t="inlineStr">
        <is>
          <t>Accounts Payable</t>
        </is>
      </c>
      <c r="H3441" s="3" t="inlineStr">
        <is>
          <t>Lab Equipment</t>
        </is>
      </c>
      <c r="I3441" s="33" t="n">
        <v>2979.35</v>
      </c>
      <c r="J3441" s="13">
        <f>+J3440+I3441</f>
        <v>55558.16</v>
      </c>
      <c r="K3441" s="19">
        <f>+EOMONTH(B3441,0)</f>
        <v>46326</v>
      </c>
      <c r="L3441" s="3" t="inlineStr">
        <is>
          <t>Lab Equipment</t>
        </is>
      </c>
      <c r="M3441" s="3" t="inlineStr">
        <is>
          <t>Lab Equipment</t>
        </is>
      </c>
    </row>
    <row r="3442">
      <c r="B3442" s="39" t="n">
        <v>46331</v>
      </c>
      <c r="C3442" s="3" t="inlineStr">
        <is>
          <t>Bill</t>
        </is>
      </c>
      <c r="D3442" s="3" t="inlineStr"/>
      <c r="E3442" s="3" t="inlineStr">
        <is>
          <t>Lumenlease Equipment</t>
        </is>
      </c>
      <c r="F3442" s="3" t="inlineStr">
        <is>
          <t>Lab Equipment – November</t>
        </is>
      </c>
      <c r="G3442" s="3" t="inlineStr">
        <is>
          <t>Accounts Payable</t>
        </is>
      </c>
      <c r="H3442" s="3" t="inlineStr">
        <is>
          <t>Lab Equipment</t>
        </is>
      </c>
      <c r="I3442" s="33" t="n">
        <v>5333.51</v>
      </c>
      <c r="J3442" s="13">
        <f>+J3441+I3442</f>
        <v>60891.67</v>
      </c>
      <c r="K3442" s="19">
        <f>+EOMONTH(B3442,0)</f>
        <v>46356</v>
      </c>
      <c r="L3442" s="3" t="inlineStr">
        <is>
          <t>Lab Equipment</t>
        </is>
      </c>
      <c r="M3442" s="3" t="inlineStr">
        <is>
          <t>Lab Equipment</t>
        </is>
      </c>
    </row>
    <row r="3443">
      <c r="A3443" s="2" t="inlineStr">
        <is>
          <t>Total for Lab Equipment</t>
        </is>
      </c>
      <c r="I3443" s="35">
        <f>SUM(I3422:I3442)</f>
        <v>60891.67</v>
      </c>
    </row>
    <row r="3445">
      <c r="A3445" s="2" t="inlineStr">
        <is>
          <t>Insurance Expense</t>
        </is>
      </c>
    </row>
    <row r="3446">
      <c r="B3446" s="39" t="n">
        <v>46043</v>
      </c>
      <c r="C3446" s="3" t="inlineStr">
        <is>
          <t>Bill</t>
        </is>
      </c>
      <c r="D3446" s="3" t="inlineStr"/>
      <c r="E3446" s="3" t="inlineStr">
        <is>
          <t>Tarrowmere Mutual Insurance</t>
        </is>
      </c>
      <c r="F3446" s="3" t="inlineStr">
        <is>
          <t>Premium installment</t>
        </is>
      </c>
      <c r="G3446" s="3" t="inlineStr">
        <is>
          <t>Accounts Payable</t>
        </is>
      </c>
      <c r="H3446" s="3" t="inlineStr">
        <is>
          <t>Insurance Expense</t>
        </is>
      </c>
      <c r="I3446" s="33" t="n">
        <v>5504.53</v>
      </c>
      <c r="J3446" s="13">
        <f>+I3446</f>
        <v>5504.53</v>
      </c>
      <c r="K3446" s="19">
        <f>+EOMONTH(B3446,0)</f>
        <v>46053</v>
      </c>
      <c r="L3446" s="3" t="inlineStr">
        <is>
          <t>Insurance Expense</t>
        </is>
      </c>
      <c r="M3446" s="3" t="inlineStr">
        <is>
          <t>General Business</t>
        </is>
      </c>
    </row>
    <row r="3447">
      <c r="B3447" s="39" t="n">
        <v>46043</v>
      </c>
      <c r="C3447" s="3" t="inlineStr">
        <is>
          <t>Bill</t>
        </is>
      </c>
      <c r="D3447" s="3" t="inlineStr"/>
      <c r="E3447" s="3" t="inlineStr">
        <is>
          <t>Tarrowmere Mutual Insurance</t>
        </is>
      </c>
      <c r="F3447" s="3" t="inlineStr">
        <is>
          <t>Premium installment</t>
        </is>
      </c>
      <c r="G3447" s="3" t="inlineStr">
        <is>
          <t>Accounts Payable</t>
        </is>
      </c>
      <c r="H3447" s="3" t="inlineStr">
        <is>
          <t>Insurance Expense</t>
        </is>
      </c>
      <c r="I3447" s="33" t="n">
        <v>6938.98</v>
      </c>
      <c r="J3447" s="13">
        <f>+J3446+I3447</f>
        <v>12443.51</v>
      </c>
      <c r="K3447" s="19">
        <f>+EOMONTH(B3447,0)</f>
        <v>46053</v>
      </c>
      <c r="L3447" s="3" t="inlineStr">
        <is>
          <t>Insurance Expense</t>
        </is>
      </c>
      <c r="M3447" s="3" t="inlineStr">
        <is>
          <t>General Business</t>
        </is>
      </c>
    </row>
    <row r="3448">
      <c r="B3448" s="39" t="n">
        <v>46046</v>
      </c>
      <c r="C3448" s="3" t="inlineStr">
        <is>
          <t>Bill</t>
        </is>
      </c>
      <c r="D3448" s="3" t="inlineStr"/>
      <c r="E3448" s="3" t="inlineStr">
        <is>
          <t>Tarrowmere Mutual Insurance</t>
        </is>
      </c>
      <c r="F3448" s="3" t="inlineStr">
        <is>
          <t>Premium installment</t>
        </is>
      </c>
      <c r="G3448" s="3" t="inlineStr">
        <is>
          <t>Accounts Payable</t>
        </is>
      </c>
      <c r="H3448" s="3" t="inlineStr">
        <is>
          <t>Insurance Expense</t>
        </is>
      </c>
      <c r="I3448" s="33" t="n">
        <v>6456.49</v>
      </c>
      <c r="J3448" s="13">
        <f>+J3447+I3448</f>
        <v>18900</v>
      </c>
      <c r="K3448" s="19">
        <f>+EOMONTH(B3448,0)</f>
        <v>46053</v>
      </c>
      <c r="L3448" s="3" t="inlineStr">
        <is>
          <t>Insurance Expense</t>
        </is>
      </c>
      <c r="M3448" s="3" t="inlineStr">
        <is>
          <t>General Business</t>
        </is>
      </c>
    </row>
    <row r="3449">
      <c r="B3449" s="39" t="n">
        <v>46057</v>
      </c>
      <c r="C3449" s="3" t="inlineStr">
        <is>
          <t>Bill</t>
        </is>
      </c>
      <c r="D3449" s="3" t="inlineStr"/>
      <c r="E3449" s="3" t="inlineStr">
        <is>
          <t>Tarrowmere Mutual Insurance</t>
        </is>
      </c>
      <c r="F3449" s="3" t="inlineStr">
        <is>
          <t>Premium installment</t>
        </is>
      </c>
      <c r="G3449" s="3" t="inlineStr">
        <is>
          <t>Accounts Payable</t>
        </is>
      </c>
      <c r="H3449" s="3" t="inlineStr">
        <is>
          <t>Insurance Expense</t>
        </is>
      </c>
      <c r="I3449" s="33" t="n">
        <v>4399.68</v>
      </c>
      <c r="J3449" s="13">
        <f>+J3448+I3449</f>
        <v>23299.68</v>
      </c>
      <c r="K3449" s="19">
        <f>+EOMONTH(B3449,0)</f>
        <v>46081</v>
      </c>
      <c r="L3449" s="3" t="inlineStr">
        <is>
          <t>Insurance Expense</t>
        </is>
      </c>
      <c r="M3449" s="3" t="inlineStr">
        <is>
          <t>General Business</t>
        </is>
      </c>
    </row>
    <row r="3450">
      <c r="B3450" s="39" t="n">
        <v>46058</v>
      </c>
      <c r="C3450" s="3" t="inlineStr">
        <is>
          <t>Bill</t>
        </is>
      </c>
      <c r="D3450" s="3" t="inlineStr"/>
      <c r="E3450" s="3" t="inlineStr">
        <is>
          <t>Tarrowmere Mutual Insurance</t>
        </is>
      </c>
      <c r="F3450" s="3" t="inlineStr">
        <is>
          <t>Premium installment</t>
        </is>
      </c>
      <c r="G3450" s="3" t="inlineStr">
        <is>
          <t>Accounts Payable</t>
        </is>
      </c>
      <c r="H3450" s="3" t="inlineStr">
        <is>
          <t>Insurance Expense</t>
        </is>
      </c>
      <c r="I3450" s="33" t="n">
        <v>3431.26</v>
      </c>
      <c r="J3450" s="13">
        <f>+J3449+I3450</f>
        <v>26730.94</v>
      </c>
      <c r="K3450" s="19">
        <f>+EOMONTH(B3450,0)</f>
        <v>46081</v>
      </c>
      <c r="L3450" s="3" t="inlineStr">
        <is>
          <t>Insurance Expense</t>
        </is>
      </c>
      <c r="M3450" s="3" t="inlineStr">
        <is>
          <t>General Business</t>
        </is>
      </c>
    </row>
    <row r="3451">
      <c r="B3451" s="39" t="n">
        <v>46060</v>
      </c>
      <c r="C3451" s="3" t="inlineStr">
        <is>
          <t>Bill</t>
        </is>
      </c>
      <c r="D3451" s="3" t="inlineStr"/>
      <c r="E3451" s="3" t="inlineStr">
        <is>
          <t>Tarrowmere Mutual Insurance</t>
        </is>
      </c>
      <c r="F3451" s="3" t="inlineStr">
        <is>
          <t>Premium installment</t>
        </is>
      </c>
      <c r="G3451" s="3" t="inlineStr">
        <is>
          <t>Accounts Payable</t>
        </is>
      </c>
      <c r="H3451" s="3" t="inlineStr">
        <is>
          <t>Insurance Expense</t>
        </is>
      </c>
      <c r="I3451" s="33" t="n">
        <v>4451.08</v>
      </c>
      <c r="J3451" s="13">
        <f>+J3450+I3451</f>
        <v>31182.02</v>
      </c>
      <c r="K3451" s="19">
        <f>+EOMONTH(B3451,0)</f>
        <v>46081</v>
      </c>
      <c r="L3451" s="3" t="inlineStr">
        <is>
          <t>Insurance Expense</t>
        </is>
      </c>
      <c r="M3451" s="3" t="inlineStr">
        <is>
          <t>General Business</t>
        </is>
      </c>
    </row>
    <row r="3452">
      <c r="B3452" s="39" t="n">
        <v>46063</v>
      </c>
      <c r="C3452" s="3" t="inlineStr">
        <is>
          <t>Bill</t>
        </is>
      </c>
      <c r="D3452" s="3" t="inlineStr"/>
      <c r="E3452" s="3" t="inlineStr">
        <is>
          <t>Tarrowmere Mutual Insurance</t>
        </is>
      </c>
      <c r="F3452" s="3" t="inlineStr">
        <is>
          <t>Premium installment</t>
        </is>
      </c>
      <c r="G3452" s="3" t="inlineStr">
        <is>
          <t>Accounts Payable</t>
        </is>
      </c>
      <c r="H3452" s="3" t="inlineStr">
        <is>
          <t>Insurance Expense</t>
        </is>
      </c>
      <c r="I3452" s="33" t="n">
        <v>3776.51</v>
      </c>
      <c r="J3452" s="13">
        <f>+J3451+I3452</f>
        <v>34958.53</v>
      </c>
      <c r="K3452" s="19">
        <f>+EOMONTH(B3452,0)</f>
        <v>46081</v>
      </c>
      <c r="L3452" s="3" t="inlineStr">
        <is>
          <t>Insurance Expense</t>
        </is>
      </c>
      <c r="M3452" s="3" t="inlineStr">
        <is>
          <t>General Business</t>
        </is>
      </c>
    </row>
    <row r="3453">
      <c r="B3453" s="39" t="n">
        <v>46068</v>
      </c>
      <c r="C3453" s="3" t="inlineStr">
        <is>
          <t>Bill</t>
        </is>
      </c>
      <c r="D3453" s="3" t="inlineStr"/>
      <c r="E3453" s="3" t="inlineStr">
        <is>
          <t>Tarrowmere Mutual Insurance</t>
        </is>
      </c>
      <c r="F3453" s="3" t="inlineStr">
        <is>
          <t>Premium installment</t>
        </is>
      </c>
      <c r="G3453" s="3" t="inlineStr">
        <is>
          <t>Accounts Payable</t>
        </is>
      </c>
      <c r="H3453" s="3" t="inlineStr">
        <is>
          <t>Insurance Expense</t>
        </is>
      </c>
      <c r="I3453" s="33" t="n">
        <v>3241.47</v>
      </c>
      <c r="J3453" s="13">
        <f>+J3452+I3453</f>
        <v>38200</v>
      </c>
      <c r="K3453" s="19">
        <f>+EOMONTH(B3453,0)</f>
        <v>46081</v>
      </c>
      <c r="L3453" s="3" t="inlineStr">
        <is>
          <t>Insurance Expense</t>
        </is>
      </c>
      <c r="M3453" s="3" t="inlineStr">
        <is>
          <t>General Business</t>
        </is>
      </c>
    </row>
    <row r="3454">
      <c r="B3454" s="39" t="n">
        <v>46086</v>
      </c>
      <c r="C3454" s="3" t="inlineStr">
        <is>
          <t>Bill</t>
        </is>
      </c>
      <c r="D3454" s="3" t="inlineStr"/>
      <c r="E3454" s="3" t="inlineStr">
        <is>
          <t>Tarrowmere Mutual Insurance</t>
        </is>
      </c>
      <c r="F3454" s="3" t="inlineStr">
        <is>
          <t>Premium installment</t>
        </is>
      </c>
      <c r="G3454" s="3" t="inlineStr">
        <is>
          <t>Accounts Payable</t>
        </is>
      </c>
      <c r="H3454" s="3" t="inlineStr">
        <is>
          <t>Insurance Expense</t>
        </is>
      </c>
      <c r="I3454" s="33" t="n">
        <v>8175.09</v>
      </c>
      <c r="J3454" s="13">
        <f>+J3453+I3454</f>
        <v>46375.09</v>
      </c>
      <c r="K3454" s="19">
        <f>+EOMONTH(B3454,0)</f>
        <v>46112</v>
      </c>
      <c r="L3454" s="3" t="inlineStr">
        <is>
          <t>Insurance Expense</t>
        </is>
      </c>
      <c r="M3454" s="3" t="inlineStr">
        <is>
          <t>General Business</t>
        </is>
      </c>
    </row>
    <row r="3455">
      <c r="B3455" s="39" t="n">
        <v>46089</v>
      </c>
      <c r="C3455" s="3" t="inlineStr">
        <is>
          <t>Bill</t>
        </is>
      </c>
      <c r="D3455" s="3" t="inlineStr"/>
      <c r="E3455" s="3" t="inlineStr">
        <is>
          <t>Tarrowmere Mutual Insurance</t>
        </is>
      </c>
      <c r="F3455" s="3" t="inlineStr">
        <is>
          <t>Premium installment</t>
        </is>
      </c>
      <c r="G3455" s="3" t="inlineStr">
        <is>
          <t>Accounts Payable</t>
        </is>
      </c>
      <c r="H3455" s="3" t="inlineStr">
        <is>
          <t>Insurance Expense</t>
        </is>
      </c>
      <c r="I3455" s="33" t="n">
        <v>5608.13</v>
      </c>
      <c r="J3455" s="13">
        <f>+J3454+I3455</f>
        <v>51983.22</v>
      </c>
      <c r="K3455" s="19">
        <f>+EOMONTH(B3455,0)</f>
        <v>46112</v>
      </c>
      <c r="L3455" s="3" t="inlineStr">
        <is>
          <t>Insurance Expense</t>
        </is>
      </c>
      <c r="M3455" s="3" t="inlineStr">
        <is>
          <t>General Business</t>
        </is>
      </c>
    </row>
    <row r="3456">
      <c r="B3456" s="39" t="n">
        <v>46099</v>
      </c>
      <c r="C3456" s="3" t="inlineStr">
        <is>
          <t>Bill</t>
        </is>
      </c>
      <c r="D3456" s="3" t="inlineStr"/>
      <c r="E3456" s="3" t="inlineStr">
        <is>
          <t>Tarrowmere Mutual Insurance</t>
        </is>
      </c>
      <c r="F3456" s="3" t="inlineStr">
        <is>
          <t>Premium installment</t>
        </is>
      </c>
      <c r="G3456" s="3" t="inlineStr">
        <is>
          <t>Accounts Payable</t>
        </is>
      </c>
      <c r="H3456" s="3" t="inlineStr">
        <is>
          <t>Insurance Expense</t>
        </is>
      </c>
      <c r="I3456" s="33" t="n">
        <v>7016.78</v>
      </c>
      <c r="J3456" s="13">
        <f>+J3455+I3456</f>
        <v>59000</v>
      </c>
      <c r="K3456" s="19">
        <f>+EOMONTH(B3456,0)</f>
        <v>46112</v>
      </c>
      <c r="L3456" s="3" t="inlineStr">
        <is>
          <t>Insurance Expense</t>
        </is>
      </c>
      <c r="M3456" s="3" t="inlineStr">
        <is>
          <t>General Business</t>
        </is>
      </c>
    </row>
    <row r="3457">
      <c r="B3457" s="39" t="n">
        <v>46115</v>
      </c>
      <c r="C3457" s="3" t="inlineStr">
        <is>
          <t>Bill</t>
        </is>
      </c>
      <c r="D3457" s="3" t="inlineStr"/>
      <c r="E3457" s="3" t="inlineStr">
        <is>
          <t>Tarrowmere Mutual Insurance</t>
        </is>
      </c>
      <c r="F3457" s="3" t="inlineStr">
        <is>
          <t>Premium installment</t>
        </is>
      </c>
      <c r="G3457" s="3" t="inlineStr">
        <is>
          <t>Accounts Payable</t>
        </is>
      </c>
      <c r="H3457" s="3" t="inlineStr">
        <is>
          <t>Insurance Expense</t>
        </is>
      </c>
      <c r="I3457" s="33" t="n">
        <v>8570.07</v>
      </c>
      <c r="J3457" s="13">
        <f>+J3456+I3457</f>
        <v>67570.07</v>
      </c>
      <c r="K3457" s="19">
        <f>+EOMONTH(B3457,0)</f>
        <v>46142</v>
      </c>
      <c r="L3457" s="3" t="inlineStr">
        <is>
          <t>Insurance Expense</t>
        </is>
      </c>
      <c r="M3457" s="3" t="inlineStr">
        <is>
          <t>General Business</t>
        </is>
      </c>
    </row>
    <row r="3458">
      <c r="B3458" s="39" t="n">
        <v>46136</v>
      </c>
      <c r="C3458" s="3" t="inlineStr">
        <is>
          <t>Bill</t>
        </is>
      </c>
      <c r="D3458" s="3" t="inlineStr"/>
      <c r="E3458" s="3" t="inlineStr">
        <is>
          <t>Tarrowmere Mutual Insurance</t>
        </is>
      </c>
      <c r="F3458" s="3" t="inlineStr">
        <is>
          <t>Premium installment</t>
        </is>
      </c>
      <c r="G3458" s="3" t="inlineStr">
        <is>
          <t>Accounts Payable</t>
        </is>
      </c>
      <c r="H3458" s="3" t="inlineStr">
        <is>
          <t>Insurance Expense</t>
        </is>
      </c>
      <c r="I3458" s="33" t="n">
        <v>5556.46</v>
      </c>
      <c r="J3458" s="13">
        <f>+J3457+I3458</f>
        <v>73126.53</v>
      </c>
      <c r="K3458" s="19">
        <f>+EOMONTH(B3458,0)</f>
        <v>46142</v>
      </c>
      <c r="L3458" s="3" t="inlineStr">
        <is>
          <t>Insurance Expense</t>
        </is>
      </c>
      <c r="M3458" s="3" t="inlineStr">
        <is>
          <t>General Business</t>
        </is>
      </c>
    </row>
    <row r="3459">
      <c r="B3459" s="39" t="n">
        <v>46140</v>
      </c>
      <c r="C3459" s="3" t="inlineStr">
        <is>
          <t>Bill</t>
        </is>
      </c>
      <c r="D3459" s="3" t="inlineStr"/>
      <c r="E3459" s="3" t="inlineStr">
        <is>
          <t>Tarrowmere Mutual Insurance</t>
        </is>
      </c>
      <c r="F3459" s="3" t="inlineStr">
        <is>
          <t>Premium installment</t>
        </is>
      </c>
      <c r="G3459" s="3" t="inlineStr">
        <is>
          <t>Accounts Payable</t>
        </is>
      </c>
      <c r="H3459" s="3" t="inlineStr">
        <is>
          <t>Insurance Expense</t>
        </is>
      </c>
      <c r="I3459" s="33" t="n">
        <v>6373.47</v>
      </c>
      <c r="J3459" s="13">
        <f>+J3458+I3459</f>
        <v>79500</v>
      </c>
      <c r="K3459" s="19">
        <f>+EOMONTH(B3459,0)</f>
        <v>46142</v>
      </c>
      <c r="L3459" s="3" t="inlineStr">
        <is>
          <t>Insurance Expense</t>
        </is>
      </c>
      <c r="M3459" s="3" t="inlineStr">
        <is>
          <t>General Business</t>
        </is>
      </c>
    </row>
    <row r="3460">
      <c r="B3460" s="39" t="n">
        <v>46144</v>
      </c>
      <c r="C3460" s="3" t="inlineStr">
        <is>
          <t>Bill</t>
        </is>
      </c>
      <c r="D3460" s="3" t="inlineStr"/>
      <c r="E3460" s="3" t="inlineStr">
        <is>
          <t>Tarrowmere Mutual Insurance</t>
        </is>
      </c>
      <c r="F3460" s="3" t="inlineStr">
        <is>
          <t>Premium installment</t>
        </is>
      </c>
      <c r="G3460" s="3" t="inlineStr">
        <is>
          <t>Accounts Payable</t>
        </is>
      </c>
      <c r="H3460" s="3" t="inlineStr">
        <is>
          <t>Insurance Expense</t>
        </is>
      </c>
      <c r="I3460" s="33" t="n">
        <v>5142.28</v>
      </c>
      <c r="J3460" s="13">
        <f>+J3459+I3460</f>
        <v>84642.28</v>
      </c>
      <c r="K3460" s="19">
        <f>+EOMONTH(B3460,0)</f>
        <v>46173</v>
      </c>
      <c r="L3460" s="3" t="inlineStr">
        <is>
          <t>Insurance Expense</t>
        </is>
      </c>
      <c r="M3460" s="3" t="inlineStr">
        <is>
          <t>General Business</t>
        </is>
      </c>
    </row>
    <row r="3461">
      <c r="B3461" s="39" t="n">
        <v>46152</v>
      </c>
      <c r="C3461" s="3" t="inlineStr">
        <is>
          <t>Bill</t>
        </is>
      </c>
      <c r="D3461" s="3" t="inlineStr"/>
      <c r="E3461" s="3" t="inlineStr">
        <is>
          <t>Tarrowmere Mutual Insurance</t>
        </is>
      </c>
      <c r="F3461" s="3" t="inlineStr">
        <is>
          <t>Premium installment</t>
        </is>
      </c>
      <c r="G3461" s="3" t="inlineStr">
        <is>
          <t>Accounts Payable</t>
        </is>
      </c>
      <c r="H3461" s="3" t="inlineStr">
        <is>
          <t>Insurance Expense</t>
        </is>
      </c>
      <c r="I3461" s="33" t="n">
        <v>5842.75</v>
      </c>
      <c r="J3461" s="13">
        <f>+J3460+I3461</f>
        <v>90485.03</v>
      </c>
      <c r="K3461" s="19">
        <f>+EOMONTH(B3461,0)</f>
        <v>46173</v>
      </c>
      <c r="L3461" s="3" t="inlineStr">
        <is>
          <t>Insurance Expense</t>
        </is>
      </c>
      <c r="M3461" s="3" t="inlineStr">
        <is>
          <t>General Business</t>
        </is>
      </c>
    </row>
    <row r="3462">
      <c r="B3462" s="39" t="n">
        <v>46166</v>
      </c>
      <c r="C3462" s="3" t="inlineStr">
        <is>
          <t>Bill</t>
        </is>
      </c>
      <c r="D3462" s="3" t="inlineStr"/>
      <c r="E3462" s="3" t="inlineStr">
        <is>
          <t>Tarrowmere Mutual Insurance</t>
        </is>
      </c>
      <c r="F3462" s="3" t="inlineStr">
        <is>
          <t>Premium installment</t>
        </is>
      </c>
      <c r="G3462" s="3" t="inlineStr">
        <is>
          <t>Accounts Payable</t>
        </is>
      </c>
      <c r="H3462" s="3" t="inlineStr">
        <is>
          <t>Insurance Expense</t>
        </is>
      </c>
      <c r="I3462" s="33" t="n">
        <v>4891.52</v>
      </c>
      <c r="J3462" s="13">
        <f>+J3461+I3462</f>
        <v>95376.55</v>
      </c>
      <c r="K3462" s="19">
        <f>+EOMONTH(B3462,0)</f>
        <v>46173</v>
      </c>
      <c r="L3462" s="3" t="inlineStr">
        <is>
          <t>Insurance Expense</t>
        </is>
      </c>
      <c r="M3462" s="3" t="inlineStr">
        <is>
          <t>General Business</t>
        </is>
      </c>
    </row>
    <row r="3463">
      <c r="B3463" s="39" t="n">
        <v>46169</v>
      </c>
      <c r="C3463" s="3" t="inlineStr">
        <is>
          <t>Bill</t>
        </is>
      </c>
      <c r="D3463" s="3" t="inlineStr"/>
      <c r="E3463" s="3" t="inlineStr">
        <is>
          <t>Tarrowmere Mutual Insurance</t>
        </is>
      </c>
      <c r="F3463" s="3" t="inlineStr">
        <is>
          <t>Premium installment</t>
        </is>
      </c>
      <c r="G3463" s="3" t="inlineStr">
        <is>
          <t>Accounts Payable</t>
        </is>
      </c>
      <c r="H3463" s="3" t="inlineStr">
        <is>
          <t>Insurance Expense</t>
        </is>
      </c>
      <c r="I3463" s="33" t="n">
        <v>4123.45</v>
      </c>
      <c r="J3463" s="13">
        <f>+J3462+I3463</f>
        <v>99500</v>
      </c>
      <c r="K3463" s="19">
        <f>+EOMONTH(B3463,0)</f>
        <v>46173</v>
      </c>
      <c r="L3463" s="3" t="inlineStr">
        <is>
          <t>Insurance Expense</t>
        </is>
      </c>
      <c r="M3463" s="3" t="inlineStr">
        <is>
          <t>General Business</t>
        </is>
      </c>
    </row>
    <row r="3464">
      <c r="B3464" s="39" t="n">
        <v>46177</v>
      </c>
      <c r="C3464" s="3" t="inlineStr">
        <is>
          <t>Bill</t>
        </is>
      </c>
      <c r="D3464" s="3" t="inlineStr"/>
      <c r="E3464" s="3" t="inlineStr">
        <is>
          <t>Tarrowmere Mutual Insurance</t>
        </is>
      </c>
      <c r="F3464" s="3" t="inlineStr">
        <is>
          <t>Premium installment</t>
        </is>
      </c>
      <c r="G3464" s="3" t="inlineStr">
        <is>
          <t>Accounts Payable</t>
        </is>
      </c>
      <c r="H3464" s="3" t="inlineStr">
        <is>
          <t>Insurance Expense</t>
        </is>
      </c>
      <c r="I3464" s="33" t="n">
        <v>4569.8</v>
      </c>
      <c r="J3464" s="13">
        <f>+J3463+I3464</f>
        <v>104069.8</v>
      </c>
      <c r="K3464" s="19">
        <f>+EOMONTH(B3464,0)</f>
        <v>46203</v>
      </c>
      <c r="L3464" s="3" t="inlineStr">
        <is>
          <t>Insurance Expense</t>
        </is>
      </c>
      <c r="M3464" s="3" t="inlineStr">
        <is>
          <t>General Business</t>
        </is>
      </c>
    </row>
    <row r="3465">
      <c r="B3465" s="39" t="n">
        <v>46182</v>
      </c>
      <c r="C3465" s="3" t="inlineStr">
        <is>
          <t>Bill</t>
        </is>
      </c>
      <c r="D3465" s="3" t="inlineStr"/>
      <c r="E3465" s="3" t="inlineStr">
        <is>
          <t>Tarrowmere Mutual Insurance</t>
        </is>
      </c>
      <c r="F3465" s="3" t="inlineStr">
        <is>
          <t>Premium installment</t>
        </is>
      </c>
      <c r="G3465" s="3" t="inlineStr">
        <is>
          <t>Accounts Payable</t>
        </is>
      </c>
      <c r="H3465" s="3" t="inlineStr">
        <is>
          <t>Insurance Expense</t>
        </is>
      </c>
      <c r="I3465" s="33" t="n">
        <v>5488.9</v>
      </c>
      <c r="J3465" s="13">
        <f>+J3464+I3465</f>
        <v>109558.7</v>
      </c>
      <c r="K3465" s="19">
        <f>+EOMONTH(B3465,0)</f>
        <v>46203</v>
      </c>
      <c r="L3465" s="3" t="inlineStr">
        <is>
          <t>Insurance Expense</t>
        </is>
      </c>
      <c r="M3465" s="3" t="inlineStr">
        <is>
          <t>General Business</t>
        </is>
      </c>
    </row>
    <row r="3466">
      <c r="B3466" s="39" t="n">
        <v>46195</v>
      </c>
      <c r="C3466" s="3" t="inlineStr">
        <is>
          <t>Bill</t>
        </is>
      </c>
      <c r="D3466" s="3" t="inlineStr"/>
      <c r="E3466" s="3" t="inlineStr">
        <is>
          <t>Tarrowmere Mutual Insurance</t>
        </is>
      </c>
      <c r="F3466" s="3" t="inlineStr">
        <is>
          <t>Premium installment</t>
        </is>
      </c>
      <c r="G3466" s="3" t="inlineStr">
        <is>
          <t>Accounts Payable</t>
        </is>
      </c>
      <c r="H3466" s="3" t="inlineStr">
        <is>
          <t>Insurance Expense</t>
        </is>
      </c>
      <c r="I3466" s="33" t="n">
        <v>3359.68</v>
      </c>
      <c r="J3466" s="13">
        <f>+J3465+I3466</f>
        <v>112918.38</v>
      </c>
      <c r="K3466" s="19">
        <f>+EOMONTH(B3466,0)</f>
        <v>46203</v>
      </c>
      <c r="L3466" s="3" t="inlineStr">
        <is>
          <t>Insurance Expense</t>
        </is>
      </c>
      <c r="M3466" s="3" t="inlineStr">
        <is>
          <t>General Business</t>
        </is>
      </c>
    </row>
    <row r="3467">
      <c r="B3467" s="39" t="n">
        <v>46198</v>
      </c>
      <c r="C3467" s="3" t="inlineStr">
        <is>
          <t>Bill</t>
        </is>
      </c>
      <c r="D3467" s="3" t="inlineStr"/>
      <c r="E3467" s="3" t="inlineStr">
        <is>
          <t>Tarrowmere Mutual Insurance</t>
        </is>
      </c>
      <c r="F3467" s="3" t="inlineStr">
        <is>
          <t>Premium installment</t>
        </is>
      </c>
      <c r="G3467" s="3" t="inlineStr">
        <is>
          <t>Accounts Payable</t>
        </is>
      </c>
      <c r="H3467" s="3" t="inlineStr">
        <is>
          <t>Insurance Expense</t>
        </is>
      </c>
      <c r="I3467" s="33" t="n">
        <v>3626.38</v>
      </c>
      <c r="J3467" s="13">
        <f>+J3466+I3467</f>
        <v>116544.76</v>
      </c>
      <c r="K3467" s="19">
        <f>+EOMONTH(B3467,0)</f>
        <v>46203</v>
      </c>
      <c r="L3467" s="3" t="inlineStr">
        <is>
          <t>Insurance Expense</t>
        </is>
      </c>
      <c r="M3467" s="3" t="inlineStr">
        <is>
          <t>General Business</t>
        </is>
      </c>
    </row>
    <row r="3468">
      <c r="B3468" s="39" t="n">
        <v>46203</v>
      </c>
      <c r="C3468" s="3" t="inlineStr">
        <is>
          <t>Bill</t>
        </is>
      </c>
      <c r="D3468" s="3" t="inlineStr"/>
      <c r="E3468" s="3" t="inlineStr">
        <is>
          <t>Tarrowmere Mutual Insurance</t>
        </is>
      </c>
      <c r="F3468" s="3" t="inlineStr">
        <is>
          <t>Premium installment</t>
        </is>
      </c>
      <c r="G3468" s="3" t="inlineStr">
        <is>
          <t>Accounts Payable</t>
        </is>
      </c>
      <c r="H3468" s="3" t="inlineStr">
        <is>
          <t>Insurance Expense</t>
        </is>
      </c>
      <c r="I3468" s="33" t="n">
        <v>3555.24</v>
      </c>
      <c r="J3468" s="13">
        <f>+J3467+I3468</f>
        <v>120100</v>
      </c>
      <c r="K3468" s="19">
        <f>+EOMONTH(B3468,0)</f>
        <v>46203</v>
      </c>
      <c r="L3468" s="3" t="inlineStr">
        <is>
          <t>Insurance Expense</t>
        </is>
      </c>
      <c r="M3468" s="3" t="inlineStr">
        <is>
          <t>General Business</t>
        </is>
      </c>
    </row>
    <row r="3469">
      <c r="B3469" s="39" t="n">
        <v>46206</v>
      </c>
      <c r="C3469" s="3" t="inlineStr">
        <is>
          <t>Bill</t>
        </is>
      </c>
      <c r="D3469" s="3" t="inlineStr"/>
      <c r="E3469" s="3" t="inlineStr">
        <is>
          <t>Tarrowmere Mutual Insurance</t>
        </is>
      </c>
      <c r="F3469" s="3" t="inlineStr">
        <is>
          <t>Premium installment</t>
        </is>
      </c>
      <c r="G3469" s="3" t="inlineStr">
        <is>
          <t>Accounts Payable</t>
        </is>
      </c>
      <c r="H3469" s="3" t="inlineStr">
        <is>
          <t>Insurance Expense</t>
        </is>
      </c>
      <c r="I3469" s="33" t="n">
        <v>6401.49</v>
      </c>
      <c r="J3469" s="13">
        <f>+J3468+I3469</f>
        <v>126501.49</v>
      </c>
      <c r="K3469" s="19">
        <f>+EOMONTH(B3469,0)</f>
        <v>46234</v>
      </c>
      <c r="L3469" s="3" t="inlineStr">
        <is>
          <t>Insurance Expense</t>
        </is>
      </c>
      <c r="M3469" s="3" t="inlineStr">
        <is>
          <t>General Business</t>
        </is>
      </c>
    </row>
    <row r="3470">
      <c r="B3470" s="39" t="n">
        <v>46208</v>
      </c>
      <c r="C3470" s="3" t="inlineStr">
        <is>
          <t>Bill</t>
        </is>
      </c>
      <c r="D3470" s="3" t="inlineStr"/>
      <c r="E3470" s="3" t="inlineStr">
        <is>
          <t>Tarrowmere Mutual Insurance</t>
        </is>
      </c>
      <c r="F3470" s="3" t="inlineStr">
        <is>
          <t>Premium installment</t>
        </is>
      </c>
      <c r="G3470" s="3" t="inlineStr">
        <is>
          <t>Accounts Payable</t>
        </is>
      </c>
      <c r="H3470" s="3" t="inlineStr">
        <is>
          <t>Insurance Expense</t>
        </is>
      </c>
      <c r="I3470" s="33" t="n">
        <v>6399.11</v>
      </c>
      <c r="J3470" s="13">
        <f>+J3469+I3470</f>
        <v>132900.6</v>
      </c>
      <c r="K3470" s="19">
        <f>+EOMONTH(B3470,0)</f>
        <v>46234</v>
      </c>
      <c r="L3470" s="3" t="inlineStr">
        <is>
          <t>Insurance Expense</t>
        </is>
      </c>
      <c r="M3470" s="3" t="inlineStr">
        <is>
          <t>General Business</t>
        </is>
      </c>
    </row>
    <row r="3471">
      <c r="B3471" s="39" t="n">
        <v>46217</v>
      </c>
      <c r="C3471" s="3" t="inlineStr">
        <is>
          <t>Bill</t>
        </is>
      </c>
      <c r="D3471" s="3" t="inlineStr"/>
      <c r="E3471" s="3" t="inlineStr">
        <is>
          <t>Tarrowmere Mutual Insurance</t>
        </is>
      </c>
      <c r="F3471" s="3" t="inlineStr">
        <is>
          <t>Premium installment</t>
        </is>
      </c>
      <c r="G3471" s="3" t="inlineStr">
        <is>
          <t>Accounts Payable</t>
        </is>
      </c>
      <c r="H3471" s="3" t="inlineStr">
        <is>
          <t>Insurance Expense</t>
        </is>
      </c>
      <c r="I3471" s="33" t="n">
        <v>6799.4</v>
      </c>
      <c r="J3471" s="13">
        <f>+J3470+I3471</f>
        <v>139700</v>
      </c>
      <c r="K3471" s="19">
        <f>+EOMONTH(B3471,0)</f>
        <v>46234</v>
      </c>
      <c r="L3471" s="3" t="inlineStr">
        <is>
          <t>Insurance Expense</t>
        </is>
      </c>
      <c r="M3471" s="3" t="inlineStr">
        <is>
          <t>General Business</t>
        </is>
      </c>
    </row>
    <row r="3472">
      <c r="B3472" s="39" t="n">
        <v>46243</v>
      </c>
      <c r="C3472" s="3" t="inlineStr">
        <is>
          <t>Bill</t>
        </is>
      </c>
      <c r="D3472" s="3" t="inlineStr"/>
      <c r="E3472" s="3" t="inlineStr">
        <is>
          <t>Tarrowmere Mutual Insurance</t>
        </is>
      </c>
      <c r="F3472" s="3" t="inlineStr">
        <is>
          <t>Premium installment</t>
        </is>
      </c>
      <c r="G3472" s="3" t="inlineStr">
        <is>
          <t>Accounts Payable</t>
        </is>
      </c>
      <c r="H3472" s="3" t="inlineStr">
        <is>
          <t>Insurance Expense</t>
        </is>
      </c>
      <c r="I3472" s="33" t="n">
        <v>3337.45</v>
      </c>
      <c r="J3472" s="13">
        <f>+J3471+I3472</f>
        <v>143037.45</v>
      </c>
      <c r="K3472" s="19">
        <f>+EOMONTH(B3472,0)</f>
        <v>46265</v>
      </c>
      <c r="L3472" s="3" t="inlineStr">
        <is>
          <t>Insurance Expense</t>
        </is>
      </c>
      <c r="M3472" s="3" t="inlineStr">
        <is>
          <t>General Business</t>
        </is>
      </c>
    </row>
    <row r="3473">
      <c r="B3473" s="39" t="n">
        <v>46252</v>
      </c>
      <c r="C3473" s="3" t="inlineStr">
        <is>
          <t>Bill</t>
        </is>
      </c>
      <c r="D3473" s="3" t="inlineStr"/>
      <c r="E3473" s="3" t="inlineStr">
        <is>
          <t>Tarrowmere Mutual Insurance</t>
        </is>
      </c>
      <c r="F3473" s="3" t="inlineStr">
        <is>
          <t>Premium installment</t>
        </is>
      </c>
      <c r="G3473" s="3" t="inlineStr">
        <is>
          <t>Accounts Payable</t>
        </is>
      </c>
      <c r="H3473" s="3" t="inlineStr">
        <is>
          <t>Insurance Expense</t>
        </is>
      </c>
      <c r="I3473" s="33" t="n">
        <v>5473.21</v>
      </c>
      <c r="J3473" s="13">
        <f>+J3472+I3473</f>
        <v>148510.66</v>
      </c>
      <c r="K3473" s="19">
        <f>+EOMONTH(B3473,0)</f>
        <v>46265</v>
      </c>
      <c r="L3473" s="3" t="inlineStr">
        <is>
          <t>Insurance Expense</t>
        </is>
      </c>
      <c r="M3473" s="3" t="inlineStr">
        <is>
          <t>General Business</t>
        </is>
      </c>
    </row>
    <row r="3474">
      <c r="B3474" s="39" t="n">
        <v>46253</v>
      </c>
      <c r="C3474" s="3" t="inlineStr">
        <is>
          <t>Bill</t>
        </is>
      </c>
      <c r="D3474" s="3" t="inlineStr"/>
      <c r="E3474" s="3" t="inlineStr">
        <is>
          <t>Tarrowmere Mutual Insurance</t>
        </is>
      </c>
      <c r="F3474" s="3" t="inlineStr">
        <is>
          <t>Premium installment</t>
        </is>
      </c>
      <c r="G3474" s="3" t="inlineStr">
        <is>
          <t>Accounts Payable</t>
        </is>
      </c>
      <c r="H3474" s="3" t="inlineStr">
        <is>
          <t>Insurance Expense</t>
        </is>
      </c>
      <c r="I3474" s="33" t="n">
        <v>5328.41</v>
      </c>
      <c r="J3474" s="13">
        <f>+J3473+I3474</f>
        <v>153839.07</v>
      </c>
      <c r="K3474" s="19">
        <f>+EOMONTH(B3474,0)</f>
        <v>46265</v>
      </c>
      <c r="L3474" s="3" t="inlineStr">
        <is>
          <t>Insurance Expense</t>
        </is>
      </c>
      <c r="M3474" s="3" t="inlineStr">
        <is>
          <t>General Business</t>
        </is>
      </c>
    </row>
    <row r="3475">
      <c r="B3475" s="39" t="n">
        <v>46260</v>
      </c>
      <c r="C3475" s="3" t="inlineStr">
        <is>
          <t>Bill</t>
        </is>
      </c>
      <c r="D3475" s="3" t="inlineStr"/>
      <c r="E3475" s="3" t="inlineStr">
        <is>
          <t>Tarrowmere Mutual Insurance</t>
        </is>
      </c>
      <c r="F3475" s="3" t="inlineStr">
        <is>
          <t>Premium installment</t>
        </is>
      </c>
      <c r="G3475" s="3" t="inlineStr">
        <is>
          <t>Accounts Payable</t>
        </is>
      </c>
      <c r="H3475" s="3" t="inlineStr">
        <is>
          <t>Insurance Expense</t>
        </is>
      </c>
      <c r="I3475" s="33" t="n">
        <v>2612.76</v>
      </c>
      <c r="J3475" s="13">
        <f>+J3474+I3475</f>
        <v>156451.83</v>
      </c>
      <c r="K3475" s="19">
        <f>+EOMONTH(B3475,0)</f>
        <v>46265</v>
      </c>
      <c r="L3475" s="3" t="inlineStr">
        <is>
          <t>Insurance Expense</t>
        </is>
      </c>
      <c r="M3475" s="3" t="inlineStr">
        <is>
          <t>General Business</t>
        </is>
      </c>
    </row>
    <row r="3476">
      <c r="B3476" s="39" t="n">
        <v>46261</v>
      </c>
      <c r="C3476" s="3" t="inlineStr">
        <is>
          <t>Bill</t>
        </is>
      </c>
      <c r="D3476" s="3" t="inlineStr"/>
      <c r="E3476" s="3" t="inlineStr">
        <is>
          <t>Tarrowmere Mutual Insurance</t>
        </is>
      </c>
      <c r="F3476" s="3" t="inlineStr">
        <is>
          <t>Premium installment</t>
        </is>
      </c>
      <c r="G3476" s="3" t="inlineStr">
        <is>
          <t>Accounts Payable</t>
        </is>
      </c>
      <c r="H3476" s="3" t="inlineStr">
        <is>
          <t>Insurance Expense</t>
        </is>
      </c>
      <c r="I3476" s="33" t="n">
        <v>3048.17</v>
      </c>
      <c r="J3476" s="13">
        <f>+J3475+I3476</f>
        <v>159500</v>
      </c>
      <c r="K3476" s="19">
        <f>+EOMONTH(B3476,0)</f>
        <v>46265</v>
      </c>
      <c r="L3476" s="3" t="inlineStr">
        <is>
          <t>Insurance Expense</t>
        </is>
      </c>
      <c r="M3476" s="3" t="inlineStr">
        <is>
          <t>General Business</t>
        </is>
      </c>
    </row>
    <row r="3477">
      <c r="B3477" s="39" t="n">
        <v>46278</v>
      </c>
      <c r="C3477" s="3" t="inlineStr">
        <is>
          <t>Bill</t>
        </is>
      </c>
      <c r="D3477" s="3" t="inlineStr"/>
      <c r="E3477" s="3" t="inlineStr">
        <is>
          <t>Tarrowmere Mutual Insurance</t>
        </is>
      </c>
      <c r="F3477" s="3" t="inlineStr">
        <is>
          <t>Premium installment</t>
        </is>
      </c>
      <c r="G3477" s="3" t="inlineStr">
        <is>
          <t>Accounts Payable</t>
        </is>
      </c>
      <c r="H3477" s="3" t="inlineStr">
        <is>
          <t>Insurance Expense</t>
        </is>
      </c>
      <c r="I3477" s="33" t="n">
        <v>8709.85</v>
      </c>
      <c r="J3477" s="13">
        <f>+J3476+I3477</f>
        <v>168209.85</v>
      </c>
      <c r="K3477" s="19">
        <f>+EOMONTH(B3477,0)</f>
        <v>46295</v>
      </c>
      <c r="L3477" s="3" t="inlineStr">
        <is>
          <t>Insurance Expense</t>
        </is>
      </c>
      <c r="M3477" s="3" t="inlineStr">
        <is>
          <t>General Business</t>
        </is>
      </c>
    </row>
    <row r="3478">
      <c r="B3478" s="39" t="n">
        <v>46281</v>
      </c>
      <c r="C3478" s="3" t="inlineStr">
        <is>
          <t>Bill</t>
        </is>
      </c>
      <c r="D3478" s="3" t="inlineStr"/>
      <c r="E3478" s="3" t="inlineStr">
        <is>
          <t>Tarrowmere Mutual Insurance</t>
        </is>
      </c>
      <c r="F3478" s="3" t="inlineStr">
        <is>
          <t>Premium installment</t>
        </is>
      </c>
      <c r="G3478" s="3" t="inlineStr">
        <is>
          <t>Accounts Payable</t>
        </is>
      </c>
      <c r="H3478" s="3" t="inlineStr">
        <is>
          <t>Insurance Expense</t>
        </is>
      </c>
      <c r="I3478" s="33" t="n">
        <v>6424.17</v>
      </c>
      <c r="J3478" s="13">
        <f>+J3477+I3478</f>
        <v>174634.02</v>
      </c>
      <c r="K3478" s="19">
        <f>+EOMONTH(B3478,0)</f>
        <v>46295</v>
      </c>
      <c r="L3478" s="3" t="inlineStr">
        <is>
          <t>Insurance Expense</t>
        </is>
      </c>
      <c r="M3478" s="3" t="inlineStr">
        <is>
          <t>General Business</t>
        </is>
      </c>
    </row>
    <row r="3479">
      <c r="B3479" s="39" t="n">
        <v>46286</v>
      </c>
      <c r="C3479" s="3" t="inlineStr">
        <is>
          <t>Bill</t>
        </is>
      </c>
      <c r="D3479" s="3" t="inlineStr"/>
      <c r="E3479" s="3" t="inlineStr">
        <is>
          <t>Tarrowmere Mutual Insurance</t>
        </is>
      </c>
      <c r="F3479" s="3" t="inlineStr">
        <is>
          <t>Premium installment</t>
        </is>
      </c>
      <c r="G3479" s="3" t="inlineStr">
        <is>
          <t>Accounts Payable</t>
        </is>
      </c>
      <c r="H3479" s="3" t="inlineStr">
        <is>
          <t>Insurance Expense</t>
        </is>
      </c>
      <c r="I3479" s="33" t="n">
        <v>5269.35</v>
      </c>
      <c r="J3479" s="13">
        <f>+J3478+I3479</f>
        <v>179903.37</v>
      </c>
      <c r="K3479" s="19">
        <f>+EOMONTH(B3479,0)</f>
        <v>46295</v>
      </c>
      <c r="L3479" s="3" t="inlineStr">
        <is>
          <t>Insurance Expense</t>
        </is>
      </c>
      <c r="M3479" s="3" t="inlineStr">
        <is>
          <t>General Business</t>
        </is>
      </c>
    </row>
    <row r="3480">
      <c r="B3480" s="39" t="n">
        <v>46304</v>
      </c>
      <c r="C3480" s="3" t="inlineStr">
        <is>
          <t>Bill</t>
        </is>
      </c>
      <c r="D3480" s="3" t="inlineStr"/>
      <c r="E3480" s="3" t="inlineStr">
        <is>
          <t>Tarrowmere Mutual Insurance</t>
        </is>
      </c>
      <c r="F3480" s="3" t="inlineStr">
        <is>
          <t>Premium installment</t>
        </is>
      </c>
      <c r="G3480" s="3" t="inlineStr">
        <is>
          <t>Accounts Payable</t>
        </is>
      </c>
      <c r="H3480" s="3" t="inlineStr">
        <is>
          <t>Insurance Expense</t>
        </is>
      </c>
      <c r="I3480" s="33" t="n">
        <v>6620.72</v>
      </c>
      <c r="J3480" s="13">
        <f>+J3479+I3480</f>
        <v>186524.09</v>
      </c>
      <c r="K3480" s="19">
        <f>+EOMONTH(B3480,0)</f>
        <v>46326</v>
      </c>
      <c r="L3480" s="3" t="inlineStr">
        <is>
          <t>Insurance Expense</t>
        </is>
      </c>
      <c r="M3480" s="3" t="inlineStr">
        <is>
          <t>General Business</t>
        </is>
      </c>
    </row>
    <row r="3481">
      <c r="B3481" s="39" t="n">
        <v>46316</v>
      </c>
      <c r="C3481" s="3" t="inlineStr">
        <is>
          <t>Bill</t>
        </is>
      </c>
      <c r="D3481" s="3" t="inlineStr"/>
      <c r="E3481" s="3" t="inlineStr">
        <is>
          <t>Tarrowmere Mutual Insurance</t>
        </is>
      </c>
      <c r="F3481" s="3" t="inlineStr">
        <is>
          <t>Premium installment</t>
        </is>
      </c>
      <c r="G3481" s="3" t="inlineStr">
        <is>
          <t>Accounts Payable</t>
        </is>
      </c>
      <c r="H3481" s="3" t="inlineStr">
        <is>
          <t>Insurance Expense</t>
        </is>
      </c>
      <c r="I3481" s="33" t="n">
        <v>6255.32</v>
      </c>
      <c r="J3481" s="13">
        <f>+J3480+I3481</f>
        <v>192779.41</v>
      </c>
      <c r="K3481" s="19">
        <f>+EOMONTH(B3481,0)</f>
        <v>46326</v>
      </c>
      <c r="L3481" s="3" t="inlineStr">
        <is>
          <t>Insurance Expense</t>
        </is>
      </c>
      <c r="M3481" s="3" t="inlineStr">
        <is>
          <t>General Business</t>
        </is>
      </c>
    </row>
    <row r="3482">
      <c r="B3482" s="39" t="n">
        <v>46319</v>
      </c>
      <c r="C3482" s="3" t="inlineStr">
        <is>
          <t>Bill</t>
        </is>
      </c>
      <c r="D3482" s="3" t="inlineStr"/>
      <c r="E3482" s="3" t="inlineStr">
        <is>
          <t>Tarrowmere Mutual Insurance</t>
        </is>
      </c>
      <c r="F3482" s="3" t="inlineStr">
        <is>
          <t>Premium installment</t>
        </is>
      </c>
      <c r="G3482" s="3" t="inlineStr">
        <is>
          <t>Accounts Payable</t>
        </is>
      </c>
      <c r="H3482" s="3" t="inlineStr">
        <is>
          <t>Insurance Expense</t>
        </is>
      </c>
      <c r="I3482" s="33" t="n">
        <v>7081.07</v>
      </c>
      <c r="J3482" s="13">
        <f>+J3481+I3482</f>
        <v>199860.48</v>
      </c>
      <c r="K3482" s="19">
        <f>+EOMONTH(B3482,0)</f>
        <v>46326</v>
      </c>
      <c r="L3482" s="3" t="inlineStr">
        <is>
          <t>Insurance Expense</t>
        </is>
      </c>
      <c r="M3482" s="3" t="inlineStr">
        <is>
          <t>General Business</t>
        </is>
      </c>
    </row>
    <row r="3483">
      <c r="B3483" s="39" t="n">
        <v>46329</v>
      </c>
      <c r="C3483" s="3" t="inlineStr">
        <is>
          <t>Bill</t>
        </is>
      </c>
      <c r="D3483" s="3" t="inlineStr"/>
      <c r="E3483" s="3" t="inlineStr">
        <is>
          <t>Tarrowmere Mutual Insurance</t>
        </is>
      </c>
      <c r="F3483" s="3" t="inlineStr">
        <is>
          <t>Premium installment</t>
        </is>
      </c>
      <c r="G3483" s="3" t="inlineStr">
        <is>
          <t>Accounts Payable</t>
        </is>
      </c>
      <c r="H3483" s="3" t="inlineStr">
        <is>
          <t>Insurance Expense</t>
        </is>
      </c>
      <c r="I3483" s="33" t="n">
        <v>7747.85</v>
      </c>
      <c r="J3483" s="13">
        <f>+J3482+I3483</f>
        <v>207608.33</v>
      </c>
      <c r="K3483" s="19">
        <f>+EOMONTH(B3483,0)</f>
        <v>46356</v>
      </c>
      <c r="L3483" s="3" t="inlineStr">
        <is>
          <t>Insurance Expense</t>
        </is>
      </c>
      <c r="M3483" s="3" t="inlineStr">
        <is>
          <t>General Business</t>
        </is>
      </c>
    </row>
    <row r="3484">
      <c r="B3484" s="39" t="n">
        <v>46329</v>
      </c>
      <c r="C3484" s="3" t="inlineStr">
        <is>
          <t>Bill</t>
        </is>
      </c>
      <c r="D3484" s="3" t="inlineStr"/>
      <c r="E3484" s="3" t="inlineStr">
        <is>
          <t>Tarrowmere Mutual Insurance</t>
        </is>
      </c>
      <c r="F3484" s="3" t="inlineStr">
        <is>
          <t>Premium installment</t>
        </is>
      </c>
      <c r="G3484" s="3" t="inlineStr">
        <is>
          <t>Accounts Payable</t>
        </is>
      </c>
      <c r="H3484" s="3" t="inlineStr">
        <is>
          <t>Insurance Expense</t>
        </is>
      </c>
      <c r="I3484" s="33" t="n">
        <v>8781.33</v>
      </c>
      <c r="J3484" s="13">
        <f>+J3483+I3484</f>
        <v>216389.66</v>
      </c>
      <c r="K3484" s="19">
        <f>+EOMONTH(B3484,0)</f>
        <v>46356</v>
      </c>
      <c r="L3484" s="3" t="inlineStr">
        <is>
          <t>Insurance Expense</t>
        </is>
      </c>
      <c r="M3484" s="3" t="inlineStr">
        <is>
          <t>General Business</t>
        </is>
      </c>
    </row>
    <row r="3485">
      <c r="B3485" s="39" t="n">
        <v>46330</v>
      </c>
      <c r="C3485" s="3" t="inlineStr">
        <is>
          <t>Bill</t>
        </is>
      </c>
      <c r="D3485" s="3" t="inlineStr"/>
      <c r="E3485" s="3" t="inlineStr">
        <is>
          <t>Tarrowmere Mutual Insurance</t>
        </is>
      </c>
      <c r="F3485" s="3" t="inlineStr">
        <is>
          <t>Premium installment</t>
        </is>
      </c>
      <c r="G3485" s="3" t="inlineStr">
        <is>
          <t>Accounts Payable</t>
        </is>
      </c>
      <c r="H3485" s="3" t="inlineStr">
        <is>
          <t>Insurance Expense</t>
        </is>
      </c>
      <c r="I3485" s="33" t="n">
        <v>4652.65</v>
      </c>
      <c r="J3485" s="13">
        <f>+J3484+I3485</f>
        <v>221042.31</v>
      </c>
      <c r="K3485" s="19">
        <f>+EOMONTH(B3485,0)</f>
        <v>46356</v>
      </c>
      <c r="L3485" s="3" t="inlineStr">
        <is>
          <t>Insurance Expense</t>
        </is>
      </c>
      <c r="M3485" s="3" t="inlineStr">
        <is>
          <t>General Business</t>
        </is>
      </c>
    </row>
    <row r="3486">
      <c r="A3486" s="2" t="inlineStr">
        <is>
          <t>Total for Insurance Expense</t>
        </is>
      </c>
      <c r="I3486" s="35">
        <f>SUM(I3446:I3485)</f>
        <v>221042.31</v>
      </c>
    </row>
    <row r="3488">
      <c r="A3488" s="2" t="inlineStr">
        <is>
          <t>Interest Expense</t>
        </is>
      </c>
    </row>
    <row r="3489">
      <c r="B3489" s="39" t="n">
        <v>46033</v>
      </c>
      <c r="C3489" s="3" t="inlineStr">
        <is>
          <t>Expense</t>
        </is>
      </c>
      <c r="D3489" s="3" t="inlineStr">
        <is>
          <t>10727</t>
        </is>
      </c>
      <c r="E3489" s="3" t="inlineStr"/>
      <c r="F3489" s="3" t="inlineStr">
        <is>
          <t>Interest – equipment note</t>
        </is>
      </c>
      <c r="G3489" s="3" t="inlineStr">
        <is>
          <t>Checking – Operating</t>
        </is>
      </c>
      <c r="H3489" s="3" t="inlineStr">
        <is>
          <t>Interest Expense</t>
        </is>
      </c>
      <c r="I3489" s="33" t="n">
        <v>1262.61</v>
      </c>
      <c r="J3489" s="13">
        <f>+I3489</f>
        <v>1262.61</v>
      </c>
      <c r="K3489" s="19">
        <f>+EOMONTH(B3489,0)</f>
        <v>46053</v>
      </c>
      <c r="L3489" s="3" t="inlineStr">
        <is>
          <t>Interest Expense</t>
        </is>
      </c>
      <c r="M3489" s="3" t="inlineStr">
        <is>
          <t>Interest Expense</t>
        </is>
      </c>
    </row>
    <row r="3490">
      <c r="B3490" s="39" t="n">
        <v>46050</v>
      </c>
      <c r="C3490" s="3" t="inlineStr">
        <is>
          <t>Credit Card Expense</t>
        </is>
      </c>
      <c r="D3490" s="3" t="inlineStr"/>
      <c r="E3490" s="3" t="inlineStr"/>
      <c r="F3490" s="3" t="inlineStr">
        <is>
          <t>Interest – equipment note</t>
        </is>
      </c>
      <c r="G3490" s="3" t="inlineStr">
        <is>
          <t>Checking – Operating</t>
        </is>
      </c>
      <c r="H3490" s="3" t="inlineStr">
        <is>
          <t>Interest Expense</t>
        </is>
      </c>
      <c r="I3490" s="33" t="n">
        <v>1837.39</v>
      </c>
      <c r="J3490" s="13">
        <f>+J3489+I3490</f>
        <v>3100</v>
      </c>
      <c r="K3490" s="19">
        <f>+EOMONTH(B3490,0)</f>
        <v>46053</v>
      </c>
      <c r="L3490" s="3" t="inlineStr">
        <is>
          <t>Interest Expense</t>
        </is>
      </c>
      <c r="M3490" s="3" t="inlineStr">
        <is>
          <t>Interest Expense</t>
        </is>
      </c>
    </row>
    <row r="3491">
      <c r="B3491" s="39" t="n">
        <v>46055</v>
      </c>
      <c r="C3491" s="3" t="inlineStr">
        <is>
          <t>Expense</t>
        </is>
      </c>
      <c r="D3491" s="3" t="inlineStr">
        <is>
          <t>10728</t>
        </is>
      </c>
      <c r="E3491" s="3" t="inlineStr"/>
      <c r="F3491" s="3" t="inlineStr">
        <is>
          <t>Interest – equipment note</t>
        </is>
      </c>
      <c r="G3491" s="3" t="inlineStr">
        <is>
          <t>Checking – Operating</t>
        </is>
      </c>
      <c r="H3491" s="3" t="inlineStr">
        <is>
          <t>Interest Expense</t>
        </is>
      </c>
      <c r="I3491" s="33" t="n">
        <v>1168.97</v>
      </c>
      <c r="J3491" s="13">
        <f>+J3490+I3491</f>
        <v>4268.97</v>
      </c>
      <c r="K3491" s="19">
        <f>+EOMONTH(B3491,0)</f>
        <v>46081</v>
      </c>
      <c r="L3491" s="3" t="inlineStr">
        <is>
          <t>Interest Expense</t>
        </is>
      </c>
      <c r="M3491" s="3" t="inlineStr">
        <is>
          <t>Interest Expense</t>
        </is>
      </c>
    </row>
    <row r="3492">
      <c r="B3492" s="39" t="n">
        <v>46064</v>
      </c>
      <c r="C3492" s="3" t="inlineStr">
        <is>
          <t>Credit Card Expense</t>
        </is>
      </c>
      <c r="D3492" s="3" t="inlineStr"/>
      <c r="E3492" s="3" t="inlineStr"/>
      <c r="F3492" s="3" t="inlineStr">
        <is>
          <t>Interest – equipment note</t>
        </is>
      </c>
      <c r="G3492" s="3" t="inlineStr">
        <is>
          <t>Checking – Operating</t>
        </is>
      </c>
      <c r="H3492" s="3" t="inlineStr">
        <is>
          <t>Interest Expense</t>
        </is>
      </c>
      <c r="I3492" s="33" t="n">
        <v>1531.03</v>
      </c>
      <c r="J3492" s="13">
        <f>+J3491+I3492</f>
        <v>5800</v>
      </c>
      <c r="K3492" s="19">
        <f>+EOMONTH(B3492,0)</f>
        <v>46081</v>
      </c>
      <c r="L3492" s="3" t="inlineStr">
        <is>
          <t>Interest Expense</t>
        </is>
      </c>
      <c r="M3492" s="3" t="inlineStr">
        <is>
          <t>Interest Expense</t>
        </is>
      </c>
    </row>
    <row r="3493">
      <c r="B3493" s="39" t="n">
        <v>46090</v>
      </c>
      <c r="C3493" s="3" t="inlineStr">
        <is>
          <t>Expense</t>
        </is>
      </c>
      <c r="D3493" s="3" t="inlineStr">
        <is>
          <t>10729</t>
        </is>
      </c>
      <c r="E3493" s="3" t="inlineStr"/>
      <c r="F3493" s="3" t="inlineStr">
        <is>
          <t>Interest – equipment note</t>
        </is>
      </c>
      <c r="G3493" s="3" t="inlineStr">
        <is>
          <t>Checking – Operating</t>
        </is>
      </c>
      <c r="H3493" s="3" t="inlineStr">
        <is>
          <t>Interest Expense</t>
        </is>
      </c>
      <c r="I3493" s="33" t="n">
        <v>844.5599999999999</v>
      </c>
      <c r="J3493" s="13">
        <f>+J3492+I3493</f>
        <v>6644.56</v>
      </c>
      <c r="K3493" s="19">
        <f>+EOMONTH(B3493,0)</f>
        <v>46112</v>
      </c>
      <c r="L3493" s="3" t="inlineStr">
        <is>
          <t>Interest Expense</t>
        </is>
      </c>
      <c r="M3493" s="3" t="inlineStr">
        <is>
          <t>Interest Expense</t>
        </is>
      </c>
    </row>
    <row r="3494">
      <c r="B3494" s="39" t="n">
        <v>46091</v>
      </c>
      <c r="C3494" s="3" t="inlineStr">
        <is>
          <t>Credit Card Expense</t>
        </is>
      </c>
      <c r="D3494" s="3" t="inlineStr"/>
      <c r="E3494" s="3" t="inlineStr"/>
      <c r="F3494" s="3" t="inlineStr">
        <is>
          <t>Interest – equipment note</t>
        </is>
      </c>
      <c r="G3494" s="3" t="inlineStr">
        <is>
          <t>Checking – Operating</t>
        </is>
      </c>
      <c r="H3494" s="3" t="inlineStr">
        <is>
          <t>Interest Expense</t>
        </is>
      </c>
      <c r="I3494" s="33" t="n">
        <v>1555.44</v>
      </c>
      <c r="J3494" s="13">
        <f>+J3493+I3494</f>
        <v>8200</v>
      </c>
      <c r="K3494" s="19">
        <f>+EOMONTH(B3494,0)</f>
        <v>46112</v>
      </c>
      <c r="L3494" s="3" t="inlineStr">
        <is>
          <t>Interest Expense</t>
        </is>
      </c>
      <c r="M3494" s="3" t="inlineStr">
        <is>
          <t>Interest Expense</t>
        </is>
      </c>
    </row>
    <row r="3495">
      <c r="B3495" s="39" t="n">
        <v>46123</v>
      </c>
      <c r="C3495" s="3" t="inlineStr">
        <is>
          <t>Journal Entry</t>
        </is>
      </c>
      <c r="D3495" s="3" t="inlineStr">
        <is>
          <t>JE-2643</t>
        </is>
      </c>
      <c r="E3495" s="3" t="inlineStr"/>
      <c r="F3495" s="3" t="inlineStr">
        <is>
          <t>Interest – equipment note</t>
        </is>
      </c>
      <c r="G3495" s="3" t="inlineStr">
        <is>
          <t>Checking – Operating</t>
        </is>
      </c>
      <c r="H3495" s="3" t="inlineStr">
        <is>
          <t>Interest Expense</t>
        </is>
      </c>
      <c r="I3495" s="33" t="n">
        <v>1113.81</v>
      </c>
      <c r="J3495" s="13">
        <f>+J3494+I3495</f>
        <v>9313.81</v>
      </c>
      <c r="K3495" s="19">
        <f>+EOMONTH(B3495,0)</f>
        <v>46142</v>
      </c>
      <c r="L3495" s="3" t="inlineStr">
        <is>
          <t>Interest Expense</t>
        </is>
      </c>
      <c r="M3495" s="3" t="inlineStr">
        <is>
          <t>Interest Expense</t>
        </is>
      </c>
    </row>
    <row r="3496">
      <c r="B3496" s="39" t="n">
        <v>46137</v>
      </c>
      <c r="C3496" s="3" t="inlineStr">
        <is>
          <t>Credit Card Expense</t>
        </is>
      </c>
      <c r="D3496" s="3" t="inlineStr"/>
      <c r="E3496" s="3" t="inlineStr"/>
      <c r="F3496" s="3" t="inlineStr">
        <is>
          <t>Interest – equipment note</t>
        </is>
      </c>
      <c r="G3496" s="3" t="inlineStr">
        <is>
          <t>Checking – Operating</t>
        </is>
      </c>
      <c r="H3496" s="3" t="inlineStr">
        <is>
          <t>Interest Expense</t>
        </is>
      </c>
      <c r="I3496" s="33" t="n">
        <v>1886.19</v>
      </c>
      <c r="J3496" s="13">
        <f>+J3495+I3496</f>
        <v>11200</v>
      </c>
      <c r="K3496" s="19">
        <f>+EOMONTH(B3496,0)</f>
        <v>46142</v>
      </c>
      <c r="L3496" s="3" t="inlineStr">
        <is>
          <t>Interest Expense</t>
        </is>
      </c>
      <c r="M3496" s="3" t="inlineStr">
        <is>
          <t>Interest Expense</t>
        </is>
      </c>
    </row>
    <row r="3497">
      <c r="B3497" s="39" t="n">
        <v>46166</v>
      </c>
      <c r="C3497" s="3" t="inlineStr">
        <is>
          <t>Expense</t>
        </is>
      </c>
      <c r="D3497" s="3" t="inlineStr">
        <is>
          <t>10730</t>
        </is>
      </c>
      <c r="E3497" s="3" t="inlineStr"/>
      <c r="F3497" s="3" t="inlineStr">
        <is>
          <t>Interest – equipment note</t>
        </is>
      </c>
      <c r="G3497" s="3" t="inlineStr">
        <is>
          <t>Checking – Operating</t>
        </is>
      </c>
      <c r="H3497" s="3" t="inlineStr">
        <is>
          <t>Interest Expense</t>
        </is>
      </c>
      <c r="I3497" s="33" t="n">
        <v>1835.2</v>
      </c>
      <c r="J3497" s="13">
        <f>+J3496+I3497</f>
        <v>13035.2</v>
      </c>
      <c r="K3497" s="19">
        <f>+EOMONTH(B3497,0)</f>
        <v>46173</v>
      </c>
      <c r="L3497" s="3" t="inlineStr">
        <is>
          <t>Interest Expense</t>
        </is>
      </c>
      <c r="M3497" s="3" t="inlineStr">
        <is>
          <t>Interest Expense</t>
        </is>
      </c>
    </row>
    <row r="3498">
      <c r="B3498" s="39" t="n">
        <v>46173</v>
      </c>
      <c r="C3498" s="3" t="inlineStr">
        <is>
          <t>Journal Entry</t>
        </is>
      </c>
      <c r="D3498" s="3" t="inlineStr">
        <is>
          <t>JE-2644</t>
        </is>
      </c>
      <c r="E3498" s="3" t="inlineStr"/>
      <c r="F3498" s="3" t="inlineStr">
        <is>
          <t>Interest – equipment note</t>
        </is>
      </c>
      <c r="G3498" s="3" t="inlineStr">
        <is>
          <t>Checking – Operating</t>
        </is>
      </c>
      <c r="H3498" s="3" t="inlineStr">
        <is>
          <t>Interest Expense</t>
        </is>
      </c>
      <c r="I3498" s="33" t="n">
        <v>1364.8</v>
      </c>
      <c r="J3498" s="13">
        <f>+J3497+I3498</f>
        <v>14400</v>
      </c>
      <c r="K3498" s="19">
        <f>+EOMONTH(B3498,0)</f>
        <v>46173</v>
      </c>
      <c r="L3498" s="3" t="inlineStr">
        <is>
          <t>Interest Expense</t>
        </is>
      </c>
      <c r="M3498" s="3" t="inlineStr">
        <is>
          <t>Interest Expense</t>
        </is>
      </c>
    </row>
    <row r="3499">
      <c r="B3499" s="39" t="n">
        <v>46196</v>
      </c>
      <c r="C3499" s="3" t="inlineStr">
        <is>
          <t>Credit Card Expense</t>
        </is>
      </c>
      <c r="D3499" s="3" t="inlineStr"/>
      <c r="E3499" s="3" t="inlineStr"/>
      <c r="F3499" s="3" t="inlineStr">
        <is>
          <t>Interest – equipment note</t>
        </is>
      </c>
      <c r="G3499" s="3" t="inlineStr">
        <is>
          <t>Checking – Operating</t>
        </is>
      </c>
      <c r="H3499" s="3" t="inlineStr">
        <is>
          <t>Interest Expense</t>
        </is>
      </c>
      <c r="I3499" s="33" t="n">
        <v>1533.1</v>
      </c>
      <c r="J3499" s="13">
        <f>+J3498+I3499</f>
        <v>15933.1</v>
      </c>
      <c r="K3499" s="19">
        <f>+EOMONTH(B3499,0)</f>
        <v>46203</v>
      </c>
      <c r="L3499" s="3" t="inlineStr">
        <is>
          <t>Interest Expense</t>
        </is>
      </c>
      <c r="M3499" s="3" t="inlineStr">
        <is>
          <t>Interest Expense</t>
        </is>
      </c>
    </row>
    <row r="3500">
      <c r="B3500" s="39" t="n">
        <v>46196</v>
      </c>
      <c r="C3500" s="3" t="inlineStr">
        <is>
          <t>Expense</t>
        </is>
      </c>
      <c r="D3500" s="3" t="inlineStr">
        <is>
          <t>10731</t>
        </is>
      </c>
      <c r="E3500" s="3" t="inlineStr"/>
      <c r="F3500" s="3" t="inlineStr">
        <is>
          <t>Interest – equipment note</t>
        </is>
      </c>
      <c r="G3500" s="3" t="inlineStr">
        <is>
          <t>Checking – Operating</t>
        </is>
      </c>
      <c r="H3500" s="3" t="inlineStr">
        <is>
          <t>Interest Expense</t>
        </is>
      </c>
      <c r="I3500" s="33" t="n">
        <v>1666.9</v>
      </c>
      <c r="J3500" s="13">
        <f>+J3499+I3500</f>
        <v>17600</v>
      </c>
      <c r="K3500" s="19">
        <f>+EOMONTH(B3500,0)</f>
        <v>46203</v>
      </c>
      <c r="L3500" s="3" t="inlineStr">
        <is>
          <t>Interest Expense</t>
        </is>
      </c>
      <c r="M3500" s="3" t="inlineStr">
        <is>
          <t>Interest Expense</t>
        </is>
      </c>
    </row>
    <row r="3501">
      <c r="B3501" s="39" t="n">
        <v>46206</v>
      </c>
      <c r="C3501" s="3" t="inlineStr">
        <is>
          <t>Journal Entry</t>
        </is>
      </c>
      <c r="D3501" s="3" t="inlineStr">
        <is>
          <t>JE-2645</t>
        </is>
      </c>
      <c r="E3501" s="3" t="inlineStr"/>
      <c r="F3501" s="3" t="inlineStr">
        <is>
          <t>Interest – equipment note</t>
        </is>
      </c>
      <c r="G3501" s="3" t="inlineStr">
        <is>
          <t>Checking – Operating</t>
        </is>
      </c>
      <c r="H3501" s="3" t="inlineStr">
        <is>
          <t>Interest Expense</t>
        </is>
      </c>
      <c r="I3501" s="33" t="n">
        <v>1334.21</v>
      </c>
      <c r="J3501" s="13">
        <f>+J3500+I3501</f>
        <v>18934.21</v>
      </c>
      <c r="K3501" s="19">
        <f>+EOMONTH(B3501,0)</f>
        <v>46234</v>
      </c>
      <c r="L3501" s="3" t="inlineStr">
        <is>
          <t>Interest Expense</t>
        </is>
      </c>
      <c r="M3501" s="3" t="inlineStr">
        <is>
          <t>Interest Expense</t>
        </is>
      </c>
    </row>
    <row r="3502">
      <c r="B3502" s="39" t="n">
        <v>46208</v>
      </c>
      <c r="C3502" s="3" t="inlineStr">
        <is>
          <t>Journal Entry</t>
        </is>
      </c>
      <c r="D3502" s="3" t="inlineStr">
        <is>
          <t>JE-2646</t>
        </is>
      </c>
      <c r="E3502" s="3" t="inlineStr"/>
      <c r="F3502" s="3" t="inlineStr">
        <is>
          <t>Interest – equipment note</t>
        </is>
      </c>
      <c r="G3502" s="3" t="inlineStr">
        <is>
          <t>Checking – Operating</t>
        </is>
      </c>
      <c r="H3502" s="3" t="inlineStr">
        <is>
          <t>Interest Expense</t>
        </is>
      </c>
      <c r="I3502" s="33" t="n">
        <v>1865.79</v>
      </c>
      <c r="J3502" s="13">
        <f>+J3501+I3502</f>
        <v>20800</v>
      </c>
      <c r="K3502" s="19">
        <f>+EOMONTH(B3502,0)</f>
        <v>46234</v>
      </c>
      <c r="L3502" s="3" t="inlineStr">
        <is>
          <t>Interest Expense</t>
        </is>
      </c>
      <c r="M3502" s="3" t="inlineStr">
        <is>
          <t>Interest Expense</t>
        </is>
      </c>
    </row>
    <row r="3503">
      <c r="B3503" s="39" t="n">
        <v>46235</v>
      </c>
      <c r="C3503" s="3" t="inlineStr">
        <is>
          <t>Expense</t>
        </is>
      </c>
      <c r="D3503" s="3" t="inlineStr">
        <is>
          <t>10732</t>
        </is>
      </c>
      <c r="E3503" s="3" t="inlineStr"/>
      <c r="F3503" s="3" t="inlineStr">
        <is>
          <t>Interest – equipment note</t>
        </is>
      </c>
      <c r="G3503" s="3" t="inlineStr">
        <is>
          <t>Checking – Operating</t>
        </is>
      </c>
      <c r="H3503" s="3" t="inlineStr">
        <is>
          <t>Interest Expense</t>
        </is>
      </c>
      <c r="I3503" s="33" t="n">
        <v>1232.43</v>
      </c>
      <c r="J3503" s="13">
        <f>+J3502+I3503</f>
        <v>22032.43</v>
      </c>
      <c r="K3503" s="19">
        <f>+EOMONTH(B3503,0)</f>
        <v>46265</v>
      </c>
      <c r="L3503" s="3" t="inlineStr">
        <is>
          <t>Interest Expense</t>
        </is>
      </c>
      <c r="M3503" s="3" t="inlineStr">
        <is>
          <t>Interest Expense</t>
        </is>
      </c>
    </row>
    <row r="3504">
      <c r="B3504" s="39" t="n">
        <v>46251</v>
      </c>
      <c r="C3504" s="3" t="inlineStr">
        <is>
          <t>Journal Entry</t>
        </is>
      </c>
      <c r="D3504" s="3" t="inlineStr">
        <is>
          <t>JE-2647</t>
        </is>
      </c>
      <c r="E3504" s="3" t="inlineStr"/>
      <c r="F3504" s="3" t="inlineStr">
        <is>
          <t>Interest – equipment note</t>
        </is>
      </c>
      <c r="G3504" s="3" t="inlineStr">
        <is>
          <t>Checking – Operating</t>
        </is>
      </c>
      <c r="H3504" s="3" t="inlineStr">
        <is>
          <t>Interest Expense</t>
        </is>
      </c>
      <c r="I3504" s="33" t="n">
        <v>1367.57</v>
      </c>
      <c r="J3504" s="13">
        <f>+J3503+I3504</f>
        <v>23400</v>
      </c>
      <c r="K3504" s="19">
        <f>+EOMONTH(B3504,0)</f>
        <v>46265</v>
      </c>
      <c r="L3504" s="3" t="inlineStr">
        <is>
          <t>Interest Expense</t>
        </is>
      </c>
      <c r="M3504" s="3" t="inlineStr">
        <is>
          <t>Interest Expense</t>
        </is>
      </c>
    </row>
    <row r="3505">
      <c r="B3505" s="39" t="n">
        <v>46294</v>
      </c>
      <c r="C3505" s="3" t="inlineStr">
        <is>
          <t>Expense</t>
        </is>
      </c>
      <c r="D3505" s="3" t="inlineStr">
        <is>
          <t>10733</t>
        </is>
      </c>
      <c r="E3505" s="3" t="inlineStr"/>
      <c r="F3505" s="3" t="inlineStr">
        <is>
          <t>Interest – equipment note</t>
        </is>
      </c>
      <c r="G3505" s="3" t="inlineStr">
        <is>
          <t>Checking – Operating</t>
        </is>
      </c>
      <c r="H3505" s="3" t="inlineStr">
        <is>
          <t>Interest Expense</t>
        </is>
      </c>
      <c r="I3505" s="33" t="n">
        <v>3128.52</v>
      </c>
      <c r="J3505" s="13">
        <f>+J3504+I3505</f>
        <v>26528.52</v>
      </c>
      <c r="K3505" s="19">
        <f>+EOMONTH(B3505,0)</f>
        <v>46295</v>
      </c>
      <c r="L3505" s="3" t="inlineStr">
        <is>
          <t>Interest Expense</t>
        </is>
      </c>
      <c r="M3505" s="3" t="inlineStr">
        <is>
          <t>Interest Expense</t>
        </is>
      </c>
    </row>
    <row r="3506">
      <c r="B3506" s="39" t="n">
        <v>46315</v>
      </c>
      <c r="C3506" s="3" t="inlineStr">
        <is>
          <t>Expense</t>
        </is>
      </c>
      <c r="D3506" s="3" t="inlineStr">
        <is>
          <t>10735</t>
        </is>
      </c>
      <c r="E3506" s="3" t="inlineStr"/>
      <c r="F3506" s="3" t="inlineStr">
        <is>
          <t>Interest – equipment note</t>
        </is>
      </c>
      <c r="G3506" s="3" t="inlineStr">
        <is>
          <t>Checking – Operating</t>
        </is>
      </c>
      <c r="H3506" s="3" t="inlineStr">
        <is>
          <t>Interest Expense</t>
        </is>
      </c>
      <c r="I3506" s="33" t="n">
        <v>1268.38</v>
      </c>
      <c r="J3506" s="13">
        <f>+J3505+I3506</f>
        <v>27796.9</v>
      </c>
      <c r="K3506" s="19">
        <f>+EOMONTH(B3506,0)</f>
        <v>46326</v>
      </c>
      <c r="L3506" s="3" t="inlineStr">
        <is>
          <t>Interest Expense</t>
        </is>
      </c>
      <c r="M3506" s="3" t="inlineStr">
        <is>
          <t>Interest Expense</t>
        </is>
      </c>
    </row>
    <row r="3507">
      <c r="B3507" s="39" t="n">
        <v>46323</v>
      </c>
      <c r="C3507" s="3" t="inlineStr">
        <is>
          <t>Expense</t>
        </is>
      </c>
      <c r="D3507" s="3" t="inlineStr">
        <is>
          <t>10734</t>
        </is>
      </c>
      <c r="E3507" s="3" t="inlineStr"/>
      <c r="F3507" s="3" t="inlineStr">
        <is>
          <t>Interest – equipment note</t>
        </is>
      </c>
      <c r="G3507" s="3" t="inlineStr">
        <is>
          <t>Checking – Operating</t>
        </is>
      </c>
      <c r="H3507" s="3" t="inlineStr">
        <is>
          <t>Interest Expense</t>
        </is>
      </c>
      <c r="I3507" s="33" t="n">
        <v>1884.52</v>
      </c>
      <c r="J3507" s="13">
        <f>+J3506+I3507</f>
        <v>29681.42</v>
      </c>
      <c r="K3507" s="19">
        <f>+EOMONTH(B3507,0)</f>
        <v>46326</v>
      </c>
      <c r="L3507" s="3" t="inlineStr">
        <is>
          <t>Interest Expense</t>
        </is>
      </c>
      <c r="M3507" s="3" t="inlineStr">
        <is>
          <t>Interest Expense</t>
        </is>
      </c>
    </row>
    <row r="3508">
      <c r="B3508" s="39" t="n">
        <v>46351</v>
      </c>
      <c r="C3508" s="3" t="inlineStr">
        <is>
          <t>Journal Entry</t>
        </is>
      </c>
      <c r="D3508" s="3" t="inlineStr">
        <is>
          <t>JE-2648</t>
        </is>
      </c>
      <c r="E3508" s="3" t="inlineStr"/>
      <c r="F3508" s="3" t="inlineStr">
        <is>
          <t>Interest – equipment note</t>
        </is>
      </c>
      <c r="G3508" s="3" t="inlineStr">
        <is>
          <t>Checking – Operating</t>
        </is>
      </c>
      <c r="H3508" s="3" t="inlineStr">
        <is>
          <t>Interest Expense</t>
        </is>
      </c>
      <c r="I3508" s="33" t="n">
        <v>2803.22</v>
      </c>
      <c r="J3508" s="13">
        <f>+J3507+I3508</f>
        <v>32484.64</v>
      </c>
      <c r="K3508" s="19">
        <f>+EOMONTH(B3508,0)</f>
        <v>46356</v>
      </c>
      <c r="L3508" s="3" t="inlineStr">
        <is>
          <t>Interest Expense</t>
        </is>
      </c>
      <c r="M3508" s="3" t="inlineStr">
        <is>
          <t>Interest Expense</t>
        </is>
      </c>
    </row>
    <row r="3509">
      <c r="A3509" s="2" t="inlineStr">
        <is>
          <t>Total for Interest Expense</t>
        </is>
      </c>
      <c r="I3509" s="35">
        <f>SUM(I3489:I3508)</f>
        <v>32484.64</v>
      </c>
    </row>
    <row r="3511">
      <c r="A3511" s="2" t="inlineStr">
        <is>
          <t>Equipment Lease</t>
        </is>
      </c>
    </row>
    <row r="3512">
      <c r="B3512" s="39" t="n">
        <v>46027</v>
      </c>
      <c r="C3512" s="3" t="inlineStr">
        <is>
          <t>Bill</t>
        </is>
      </c>
      <c r="D3512" s="3" t="inlineStr"/>
      <c r="E3512" s="3" t="inlineStr">
        <is>
          <t>Lumenlease Equipment</t>
        </is>
      </c>
      <c r="F3512" s="3" t="inlineStr">
        <is>
          <t>Equipment Lease – January</t>
        </is>
      </c>
      <c r="G3512" s="3" t="inlineStr">
        <is>
          <t>Accounts Payable</t>
        </is>
      </c>
      <c r="H3512" s="3" t="inlineStr">
        <is>
          <t>Equipment Lease</t>
        </is>
      </c>
      <c r="I3512" s="33" t="n">
        <v>4381.77</v>
      </c>
      <c r="J3512" s="13">
        <f>+I3512</f>
        <v>4381.77</v>
      </c>
      <c r="K3512" s="19">
        <f>+EOMONTH(B3512,0)</f>
        <v>46053</v>
      </c>
      <c r="L3512" s="3" t="inlineStr">
        <is>
          <t>Equipment Lease</t>
        </is>
      </c>
      <c r="M3512" s="3" t="inlineStr">
        <is>
          <t>Equipment Rentals</t>
        </is>
      </c>
    </row>
    <row r="3513">
      <c r="B3513" s="39" t="n">
        <v>46044</v>
      </c>
      <c r="C3513" s="3" t="inlineStr">
        <is>
          <t>Bill</t>
        </is>
      </c>
      <c r="D3513" s="3" t="inlineStr"/>
      <c r="E3513" s="3" t="inlineStr">
        <is>
          <t>Lumenlease Equipment</t>
        </is>
      </c>
      <c r="F3513" s="3" t="inlineStr">
        <is>
          <t>Equipment Lease – January</t>
        </is>
      </c>
      <c r="G3513" s="3" t="inlineStr">
        <is>
          <t>Accounts Payable</t>
        </is>
      </c>
      <c r="H3513" s="3" t="inlineStr">
        <is>
          <t>Equipment Lease</t>
        </is>
      </c>
      <c r="I3513" s="33" t="n">
        <v>3018.23</v>
      </c>
      <c r="J3513" s="13">
        <f>+J3512+I3513</f>
        <v>7400</v>
      </c>
      <c r="K3513" s="19">
        <f>+EOMONTH(B3513,0)</f>
        <v>46053</v>
      </c>
      <c r="L3513" s="3" t="inlineStr">
        <is>
          <t>Equipment Lease</t>
        </is>
      </c>
      <c r="M3513" s="3" t="inlineStr">
        <is>
          <t>Equipment Rentals</t>
        </is>
      </c>
    </row>
    <row r="3514">
      <c r="B3514" s="39" t="n">
        <v>46065</v>
      </c>
      <c r="C3514" s="3" t="inlineStr">
        <is>
          <t>Bill</t>
        </is>
      </c>
      <c r="D3514" s="3" t="inlineStr"/>
      <c r="E3514" s="3" t="inlineStr">
        <is>
          <t>Lumenlease Equipment</t>
        </is>
      </c>
      <c r="F3514" s="3" t="inlineStr">
        <is>
          <t>Equipment Lease – February</t>
        </is>
      </c>
      <c r="G3514" s="3" t="inlineStr">
        <is>
          <t>Accounts Payable</t>
        </is>
      </c>
      <c r="H3514" s="3" t="inlineStr">
        <is>
          <t>Equipment Lease</t>
        </is>
      </c>
      <c r="I3514" s="33" t="n">
        <v>3247.59</v>
      </c>
      <c r="J3514" s="13">
        <f>+J3513+I3514</f>
        <v>10647.59</v>
      </c>
      <c r="K3514" s="19">
        <f>+EOMONTH(B3514,0)</f>
        <v>46081</v>
      </c>
      <c r="L3514" s="3" t="inlineStr">
        <is>
          <t>Equipment Lease</t>
        </is>
      </c>
      <c r="M3514" s="3" t="inlineStr">
        <is>
          <t>Equipment Rentals</t>
        </is>
      </c>
    </row>
    <row r="3515">
      <c r="B3515" s="39" t="n">
        <v>46070</v>
      </c>
      <c r="C3515" s="3" t="inlineStr">
        <is>
          <t>Bill</t>
        </is>
      </c>
      <c r="D3515" s="3" t="inlineStr"/>
      <c r="E3515" s="3" t="inlineStr">
        <is>
          <t>Lumenlease Equipment</t>
        </is>
      </c>
      <c r="F3515" s="3" t="inlineStr">
        <is>
          <t>Equipment Lease – February</t>
        </is>
      </c>
      <c r="G3515" s="3" t="inlineStr">
        <is>
          <t>Accounts Payable</t>
        </is>
      </c>
      <c r="H3515" s="3" t="inlineStr">
        <is>
          <t>Equipment Lease</t>
        </is>
      </c>
      <c r="I3515" s="33" t="n">
        <v>3552.41</v>
      </c>
      <c r="J3515" s="13">
        <f>+J3514+I3515</f>
        <v>14200</v>
      </c>
      <c r="K3515" s="19">
        <f>+EOMONTH(B3515,0)</f>
        <v>46081</v>
      </c>
      <c r="L3515" s="3" t="inlineStr">
        <is>
          <t>Equipment Lease</t>
        </is>
      </c>
      <c r="M3515" s="3" t="inlineStr">
        <is>
          <t>Equipment Rentals</t>
        </is>
      </c>
    </row>
    <row r="3516">
      <c r="B3516" s="39" t="n">
        <v>46087</v>
      </c>
      <c r="C3516" s="3" t="inlineStr">
        <is>
          <t>Bill</t>
        </is>
      </c>
      <c r="D3516" s="3" t="inlineStr"/>
      <c r="E3516" s="3" t="inlineStr">
        <is>
          <t>Lumenlease Equipment</t>
        </is>
      </c>
      <c r="F3516" s="3" t="inlineStr">
        <is>
          <t>Equipment Lease – March</t>
        </is>
      </c>
      <c r="G3516" s="3" t="inlineStr">
        <is>
          <t>Accounts Payable</t>
        </is>
      </c>
      <c r="H3516" s="3" t="inlineStr">
        <is>
          <t>Equipment Lease</t>
        </is>
      </c>
      <c r="I3516" s="33" t="n">
        <v>3740.96</v>
      </c>
      <c r="J3516" s="13">
        <f>+J3515+I3516</f>
        <v>17940.96</v>
      </c>
      <c r="K3516" s="19">
        <f>+EOMONTH(B3516,0)</f>
        <v>46112</v>
      </c>
      <c r="L3516" s="3" t="inlineStr">
        <is>
          <t>Equipment Lease</t>
        </is>
      </c>
      <c r="M3516" s="3" t="inlineStr">
        <is>
          <t>Equipment Rentals</t>
        </is>
      </c>
    </row>
    <row r="3517">
      <c r="B3517" s="39" t="n">
        <v>46094</v>
      </c>
      <c r="C3517" s="3" t="inlineStr">
        <is>
          <t>Bill</t>
        </is>
      </c>
      <c r="D3517" s="3" t="inlineStr"/>
      <c r="E3517" s="3" t="inlineStr">
        <is>
          <t>Lumenlease Equipment</t>
        </is>
      </c>
      <c r="F3517" s="3" t="inlineStr">
        <is>
          <t>Equipment Lease – March</t>
        </is>
      </c>
      <c r="G3517" s="3" t="inlineStr">
        <is>
          <t>Accounts Payable</t>
        </is>
      </c>
      <c r="H3517" s="3" t="inlineStr">
        <is>
          <t>Equipment Lease</t>
        </is>
      </c>
      <c r="I3517" s="33" t="n">
        <v>3159.04</v>
      </c>
      <c r="J3517" s="13">
        <f>+J3516+I3517</f>
        <v>21100</v>
      </c>
      <c r="K3517" s="19">
        <f>+EOMONTH(B3517,0)</f>
        <v>46112</v>
      </c>
      <c r="L3517" s="3" t="inlineStr">
        <is>
          <t>Equipment Lease</t>
        </is>
      </c>
      <c r="M3517" s="3" t="inlineStr">
        <is>
          <t>Equipment Rentals</t>
        </is>
      </c>
    </row>
    <row r="3518">
      <c r="B3518" s="39" t="n">
        <v>46120</v>
      </c>
      <c r="C3518" s="3" t="inlineStr">
        <is>
          <t>Bill</t>
        </is>
      </c>
      <c r="D3518" s="3" t="inlineStr"/>
      <c r="E3518" s="3" t="inlineStr">
        <is>
          <t>Lumenlease Equipment</t>
        </is>
      </c>
      <c r="F3518" s="3" t="inlineStr">
        <is>
          <t>Equipment Lease – April</t>
        </is>
      </c>
      <c r="G3518" s="3" t="inlineStr">
        <is>
          <t>Accounts Payable</t>
        </is>
      </c>
      <c r="H3518" s="3" t="inlineStr">
        <is>
          <t>Equipment Lease</t>
        </is>
      </c>
      <c r="I3518" s="33" t="n">
        <v>4100.25</v>
      </c>
      <c r="J3518" s="13">
        <f>+J3517+I3518</f>
        <v>25200.25</v>
      </c>
      <c r="K3518" s="19">
        <f>+EOMONTH(B3518,0)</f>
        <v>46142</v>
      </c>
      <c r="L3518" s="3" t="inlineStr">
        <is>
          <t>Equipment Lease</t>
        </is>
      </c>
      <c r="M3518" s="3" t="inlineStr">
        <is>
          <t>Equipment Rentals</t>
        </is>
      </c>
    </row>
    <row r="3519">
      <c r="B3519" s="39" t="n">
        <v>46121</v>
      </c>
      <c r="C3519" s="3" t="inlineStr">
        <is>
          <t>Bill</t>
        </is>
      </c>
      <c r="D3519" s="3" t="inlineStr"/>
      <c r="E3519" s="3" t="inlineStr">
        <is>
          <t>Lumenlease Equipment</t>
        </is>
      </c>
      <c r="F3519" s="3" t="inlineStr">
        <is>
          <t>Equipment Lease – April</t>
        </is>
      </c>
      <c r="G3519" s="3" t="inlineStr">
        <is>
          <t>Accounts Payable</t>
        </is>
      </c>
      <c r="H3519" s="3" t="inlineStr">
        <is>
          <t>Equipment Lease</t>
        </is>
      </c>
      <c r="I3519" s="33" t="n">
        <v>2899.75</v>
      </c>
      <c r="J3519" s="13">
        <f>+J3518+I3519</f>
        <v>28100</v>
      </c>
      <c r="K3519" s="19">
        <f>+EOMONTH(B3519,0)</f>
        <v>46142</v>
      </c>
      <c r="L3519" s="3" t="inlineStr">
        <is>
          <t>Equipment Lease</t>
        </is>
      </c>
      <c r="M3519" s="3" t="inlineStr">
        <is>
          <t>Equipment Rentals</t>
        </is>
      </c>
    </row>
    <row r="3520">
      <c r="B3520" s="39" t="n">
        <v>46156</v>
      </c>
      <c r="C3520" s="3" t="inlineStr">
        <is>
          <t>Bill</t>
        </is>
      </c>
      <c r="D3520" s="3" t="inlineStr"/>
      <c r="E3520" s="3" t="inlineStr">
        <is>
          <t>Lumenlease Equipment</t>
        </is>
      </c>
      <c r="F3520" s="3" t="inlineStr">
        <is>
          <t>Equipment Lease – May</t>
        </is>
      </c>
      <c r="G3520" s="3" t="inlineStr">
        <is>
          <t>Accounts Payable</t>
        </is>
      </c>
      <c r="H3520" s="3" t="inlineStr">
        <is>
          <t>Equipment Lease</t>
        </is>
      </c>
      <c r="I3520" s="33" t="n">
        <v>2574.24</v>
      </c>
      <c r="J3520" s="13">
        <f>+J3519+I3520</f>
        <v>30674.24</v>
      </c>
      <c r="K3520" s="19">
        <f>+EOMONTH(B3520,0)</f>
        <v>46173</v>
      </c>
      <c r="L3520" s="3" t="inlineStr">
        <is>
          <t>Equipment Lease</t>
        </is>
      </c>
      <c r="M3520" s="3" t="inlineStr">
        <is>
          <t>Equipment Rentals</t>
        </is>
      </c>
    </row>
    <row r="3521">
      <c r="B3521" s="39" t="n">
        <v>46160</v>
      </c>
      <c r="C3521" s="3" t="inlineStr">
        <is>
          <t>Bill</t>
        </is>
      </c>
      <c r="D3521" s="3" t="inlineStr"/>
      <c r="E3521" s="3" t="inlineStr">
        <is>
          <t>Lumenlease Equipment</t>
        </is>
      </c>
      <c r="F3521" s="3" t="inlineStr">
        <is>
          <t>Equipment Lease – May</t>
        </is>
      </c>
      <c r="G3521" s="3" t="inlineStr">
        <is>
          <t>Accounts Payable</t>
        </is>
      </c>
      <c r="H3521" s="3" t="inlineStr">
        <is>
          <t>Equipment Lease</t>
        </is>
      </c>
      <c r="I3521" s="33" t="n">
        <v>5225.76</v>
      </c>
      <c r="J3521" s="13">
        <f>+J3520+I3521</f>
        <v>35900</v>
      </c>
      <c r="K3521" s="19">
        <f>+EOMONTH(B3521,0)</f>
        <v>46173</v>
      </c>
      <c r="L3521" s="3" t="inlineStr">
        <is>
          <t>Equipment Lease</t>
        </is>
      </c>
      <c r="M3521" s="3" t="inlineStr">
        <is>
          <t>Equipment Rentals</t>
        </is>
      </c>
    </row>
    <row r="3522">
      <c r="B3522" s="39" t="n">
        <v>46188</v>
      </c>
      <c r="C3522" s="3" t="inlineStr">
        <is>
          <t>Bill</t>
        </is>
      </c>
      <c r="D3522" s="3" t="inlineStr"/>
      <c r="E3522" s="3" t="inlineStr">
        <is>
          <t>Lumenlease Equipment</t>
        </is>
      </c>
      <c r="F3522" s="3" t="inlineStr">
        <is>
          <t>Equipment Lease – June</t>
        </is>
      </c>
      <c r="G3522" s="3" t="inlineStr">
        <is>
          <t>Accounts Payable</t>
        </is>
      </c>
      <c r="H3522" s="3" t="inlineStr">
        <is>
          <t>Equipment Lease</t>
        </is>
      </c>
      <c r="I3522" s="33" t="n">
        <v>3670.91</v>
      </c>
      <c r="J3522" s="13">
        <f>+J3521+I3522</f>
        <v>39570.91</v>
      </c>
      <c r="K3522" s="19">
        <f>+EOMONTH(B3522,0)</f>
        <v>46203</v>
      </c>
      <c r="L3522" s="3" t="inlineStr">
        <is>
          <t>Equipment Lease</t>
        </is>
      </c>
      <c r="M3522" s="3" t="inlineStr">
        <is>
          <t>Equipment Rentals</t>
        </is>
      </c>
    </row>
    <row r="3523">
      <c r="B3523" s="39" t="n">
        <v>46203</v>
      </c>
      <c r="C3523" s="3" t="inlineStr">
        <is>
          <t>Bill</t>
        </is>
      </c>
      <c r="D3523" s="3" t="inlineStr"/>
      <c r="E3523" s="3" t="inlineStr">
        <is>
          <t>Lumenlease Equipment</t>
        </is>
      </c>
      <c r="F3523" s="3" t="inlineStr">
        <is>
          <t>Equipment Lease – June</t>
        </is>
      </c>
      <c r="G3523" s="3" t="inlineStr">
        <is>
          <t>Accounts Payable</t>
        </is>
      </c>
      <c r="H3523" s="3" t="inlineStr">
        <is>
          <t>Equipment Lease</t>
        </is>
      </c>
      <c r="I3523" s="33" t="n">
        <v>3529.09</v>
      </c>
      <c r="J3523" s="13">
        <f>+J3522+I3523</f>
        <v>43100</v>
      </c>
      <c r="K3523" s="19">
        <f>+EOMONTH(B3523,0)</f>
        <v>46203</v>
      </c>
      <c r="L3523" s="3" t="inlineStr">
        <is>
          <t>Equipment Lease</t>
        </is>
      </c>
      <c r="M3523" s="3" t="inlineStr">
        <is>
          <t>Equipment Rentals</t>
        </is>
      </c>
    </row>
    <row r="3524">
      <c r="B3524" s="39" t="n">
        <v>46204</v>
      </c>
      <c r="C3524" s="3" t="inlineStr">
        <is>
          <t>Bill</t>
        </is>
      </c>
      <c r="D3524" s="3" t="inlineStr"/>
      <c r="E3524" s="3" t="inlineStr">
        <is>
          <t>Lumenlease Equipment</t>
        </is>
      </c>
      <c r="F3524" s="3" t="inlineStr">
        <is>
          <t>Equipment Lease – July</t>
        </is>
      </c>
      <c r="G3524" s="3" t="inlineStr">
        <is>
          <t>Accounts Payable</t>
        </is>
      </c>
      <c r="H3524" s="3" t="inlineStr">
        <is>
          <t>Equipment Lease</t>
        </is>
      </c>
      <c r="I3524" s="33" t="n">
        <v>4918.48</v>
      </c>
      <c r="J3524" s="13">
        <f>+J3523+I3524</f>
        <v>48018.48</v>
      </c>
      <c r="K3524" s="19">
        <f>+EOMONTH(B3524,0)</f>
        <v>46234</v>
      </c>
      <c r="L3524" s="3" t="inlineStr">
        <is>
          <t>Equipment Lease</t>
        </is>
      </c>
      <c r="M3524" s="3" t="inlineStr">
        <is>
          <t>Equipment Rentals</t>
        </is>
      </c>
    </row>
    <row r="3525">
      <c r="B3525" s="39" t="n">
        <v>46204</v>
      </c>
      <c r="C3525" s="3" t="inlineStr">
        <is>
          <t>Bill</t>
        </is>
      </c>
      <c r="D3525" s="3" t="inlineStr"/>
      <c r="E3525" s="3" t="inlineStr">
        <is>
          <t>Lumenlease Equipment</t>
        </is>
      </c>
      <c r="F3525" s="3" t="inlineStr">
        <is>
          <t>Equipment Lease – July</t>
        </is>
      </c>
      <c r="G3525" s="3" t="inlineStr">
        <is>
          <t>Accounts Payable</t>
        </is>
      </c>
      <c r="H3525" s="3" t="inlineStr">
        <is>
          <t>Equipment Lease</t>
        </is>
      </c>
      <c r="I3525" s="33" t="n">
        <v>2481.52</v>
      </c>
      <c r="J3525" s="13">
        <f>+J3524+I3525</f>
        <v>50500</v>
      </c>
      <c r="K3525" s="19">
        <f>+EOMONTH(B3525,0)</f>
        <v>46234</v>
      </c>
      <c r="L3525" s="3" t="inlineStr">
        <is>
          <t>Equipment Lease</t>
        </is>
      </c>
      <c r="M3525" s="3" t="inlineStr">
        <is>
          <t>Equipment Rentals</t>
        </is>
      </c>
    </row>
    <row r="3526">
      <c r="B3526" s="39" t="n">
        <v>46235</v>
      </c>
      <c r="C3526" s="3" t="inlineStr">
        <is>
          <t>Bill</t>
        </is>
      </c>
      <c r="D3526" s="3" t="inlineStr"/>
      <c r="E3526" s="3" t="inlineStr">
        <is>
          <t>Lumenlease Equipment</t>
        </is>
      </c>
      <c r="F3526" s="3" t="inlineStr">
        <is>
          <t>Equipment Lease – August</t>
        </is>
      </c>
      <c r="G3526" s="3" t="inlineStr">
        <is>
          <t>Accounts Payable</t>
        </is>
      </c>
      <c r="H3526" s="3" t="inlineStr">
        <is>
          <t>Equipment Lease</t>
        </is>
      </c>
      <c r="I3526" s="33" t="n">
        <v>4027.13</v>
      </c>
      <c r="J3526" s="13">
        <f>+J3525+I3526</f>
        <v>54527.13</v>
      </c>
      <c r="K3526" s="19">
        <f>+EOMONTH(B3526,0)</f>
        <v>46265</v>
      </c>
      <c r="L3526" s="3" t="inlineStr">
        <is>
          <t>Equipment Lease</t>
        </is>
      </c>
      <c r="M3526" s="3" t="inlineStr">
        <is>
          <t>Equipment Rentals</t>
        </is>
      </c>
    </row>
    <row r="3527">
      <c r="B3527" s="39" t="n">
        <v>46263</v>
      </c>
      <c r="C3527" s="3" t="inlineStr">
        <is>
          <t>Bill</t>
        </is>
      </c>
      <c r="D3527" s="3" t="inlineStr"/>
      <c r="E3527" s="3" t="inlineStr">
        <is>
          <t>Lumenlease Equipment</t>
        </is>
      </c>
      <c r="F3527" s="3" t="inlineStr">
        <is>
          <t>Equipment Lease – August</t>
        </is>
      </c>
      <c r="G3527" s="3" t="inlineStr">
        <is>
          <t>Accounts Payable</t>
        </is>
      </c>
      <c r="H3527" s="3" t="inlineStr">
        <is>
          <t>Equipment Lease</t>
        </is>
      </c>
      <c r="I3527" s="33" t="n">
        <v>3972.87</v>
      </c>
      <c r="J3527" s="13">
        <f>+J3526+I3527</f>
        <v>58500</v>
      </c>
      <c r="K3527" s="19">
        <f>+EOMONTH(B3527,0)</f>
        <v>46265</v>
      </c>
      <c r="L3527" s="3" t="inlineStr">
        <is>
          <t>Equipment Lease</t>
        </is>
      </c>
      <c r="M3527" s="3" t="inlineStr">
        <is>
          <t>Equipment Rentals</t>
        </is>
      </c>
    </row>
    <row r="3528">
      <c r="B3528" s="39" t="n">
        <v>46281</v>
      </c>
      <c r="C3528" s="3" t="inlineStr">
        <is>
          <t>Bill</t>
        </is>
      </c>
      <c r="D3528" s="3" t="inlineStr"/>
      <c r="E3528" s="3" t="inlineStr">
        <is>
          <t>Lumenlease Equipment</t>
        </is>
      </c>
      <c r="F3528" s="3" t="inlineStr">
        <is>
          <t>Equipment Lease – September</t>
        </is>
      </c>
      <c r="G3528" s="3" t="inlineStr">
        <is>
          <t>Accounts Payable</t>
        </is>
      </c>
      <c r="H3528" s="3" t="inlineStr">
        <is>
          <t>Equipment Lease</t>
        </is>
      </c>
      <c r="I3528" s="33" t="n">
        <v>7426.4</v>
      </c>
      <c r="J3528" s="13">
        <f>+J3527+I3528</f>
        <v>65926.4</v>
      </c>
      <c r="K3528" s="19">
        <f>+EOMONTH(B3528,0)</f>
        <v>46295</v>
      </c>
      <c r="L3528" s="3" t="inlineStr">
        <is>
          <t>Equipment Lease</t>
        </is>
      </c>
      <c r="M3528" s="3" t="inlineStr">
        <is>
          <t>Equipment Rentals</t>
        </is>
      </c>
    </row>
    <row r="3529">
      <c r="B3529" s="39" t="n">
        <v>46325</v>
      </c>
      <c r="C3529" s="3" t="inlineStr">
        <is>
          <t>Bill</t>
        </is>
      </c>
      <c r="D3529" s="3" t="inlineStr"/>
      <c r="E3529" s="3" t="inlineStr">
        <is>
          <t>Lumenlease Equipment</t>
        </is>
      </c>
      <c r="F3529" s="3" t="inlineStr">
        <is>
          <t>Equipment Lease – October</t>
        </is>
      </c>
      <c r="G3529" s="3" t="inlineStr">
        <is>
          <t>Accounts Payable</t>
        </is>
      </c>
      <c r="H3529" s="3" t="inlineStr">
        <is>
          <t>Equipment Lease</t>
        </is>
      </c>
      <c r="I3529" s="33" t="n">
        <v>7102.3</v>
      </c>
      <c r="J3529" s="13">
        <f>+J3528+I3529</f>
        <v>73028.7</v>
      </c>
      <c r="K3529" s="19">
        <f>+EOMONTH(B3529,0)</f>
        <v>46326</v>
      </c>
      <c r="L3529" s="3" t="inlineStr">
        <is>
          <t>Equipment Lease</t>
        </is>
      </c>
      <c r="M3529" s="3" t="inlineStr">
        <is>
          <t>Equipment Rentals</t>
        </is>
      </c>
    </row>
    <row r="3530">
      <c r="B3530" s="39" t="n">
        <v>46332</v>
      </c>
      <c r="C3530" s="3" t="inlineStr">
        <is>
          <t>Bill</t>
        </is>
      </c>
      <c r="D3530" s="3" t="inlineStr"/>
      <c r="E3530" s="3" t="inlineStr">
        <is>
          <t>Lumenlease Equipment</t>
        </is>
      </c>
      <c r="F3530" s="3" t="inlineStr">
        <is>
          <t>Equipment Lease – November</t>
        </is>
      </c>
      <c r="G3530" s="3" t="inlineStr">
        <is>
          <t>Accounts Payable</t>
        </is>
      </c>
      <c r="H3530" s="3" t="inlineStr">
        <is>
          <t>Equipment Lease</t>
        </is>
      </c>
      <c r="I3530" s="33" t="n">
        <v>7863.62</v>
      </c>
      <c r="J3530" s="13">
        <f>+J3529+I3530</f>
        <v>80892.32</v>
      </c>
      <c r="K3530" s="19">
        <f>+EOMONTH(B3530,0)</f>
        <v>46356</v>
      </c>
      <c r="L3530" s="3" t="inlineStr">
        <is>
          <t>Equipment Lease</t>
        </is>
      </c>
      <c r="M3530" s="3" t="inlineStr">
        <is>
          <t>Equipment Rentals</t>
        </is>
      </c>
    </row>
    <row r="3531">
      <c r="A3531" s="2" t="inlineStr">
        <is>
          <t>Total for Equipment Lease</t>
        </is>
      </c>
      <c r="I3531" s="35">
        <f>SUM(I3512:I3530)</f>
        <v>80892.32</v>
      </c>
    </row>
    <row r="3533">
      <c r="A3533" s="2" t="inlineStr">
        <is>
          <t>Legal &amp; Professional Fees</t>
        </is>
      </c>
    </row>
    <row r="3534">
      <c r="B3534" s="39" t="n">
        <v>46042</v>
      </c>
      <c r="C3534" s="3" t="inlineStr">
        <is>
          <t>Expense</t>
        </is>
      </c>
      <c r="D3534" s="3" t="inlineStr">
        <is>
          <t>10755</t>
        </is>
      </c>
      <c r="E3534" s="3" t="inlineStr">
        <is>
          <t>Consultant A</t>
        </is>
      </c>
      <c r="F3534" s="3" t="inlineStr">
        <is>
          <t>Legal &amp; Professional Fees – January</t>
        </is>
      </c>
      <c r="G3534" s="3" t="inlineStr">
        <is>
          <t>Checking – Operating</t>
        </is>
      </c>
      <c r="H3534" s="3" t="inlineStr">
        <is>
          <t>Legal &amp; Professional Fees</t>
        </is>
      </c>
      <c r="I3534" s="33" t="n">
        <v>1215.02</v>
      </c>
      <c r="J3534" s="13">
        <f>+I3534</f>
        <v>1215.02</v>
      </c>
      <c r="K3534" s="19">
        <f>+EOMONTH(B3534,0)</f>
        <v>46053</v>
      </c>
      <c r="L3534" s="3" t="inlineStr">
        <is>
          <t>Legal &amp; Professional Fees</t>
        </is>
      </c>
      <c r="M3534" s="3" t="inlineStr">
        <is>
          <t>Legal &amp; Professional Fees</t>
        </is>
      </c>
    </row>
    <row r="3535">
      <c r="B3535" s="39" t="n">
        <v>46046</v>
      </c>
      <c r="C3535" s="3" t="inlineStr">
        <is>
          <t>Expense</t>
        </is>
      </c>
      <c r="D3535" s="3" t="inlineStr">
        <is>
          <t>10754</t>
        </is>
      </c>
      <c r="E3535" s="3" t="inlineStr">
        <is>
          <t>Consultant A</t>
        </is>
      </c>
      <c r="F3535" s="3" t="inlineStr">
        <is>
          <t>Legal &amp; Professional Fees – January</t>
        </is>
      </c>
      <c r="G3535" s="3" t="inlineStr">
        <is>
          <t>Checking – Operating</t>
        </is>
      </c>
      <c r="H3535" s="3" t="inlineStr">
        <is>
          <t>Legal &amp; Professional Fees</t>
        </is>
      </c>
      <c r="I3535" s="33" t="n">
        <v>1204.98</v>
      </c>
      <c r="J3535" s="13">
        <f>+J3534+I3535</f>
        <v>2420</v>
      </c>
      <c r="K3535" s="19">
        <f>+EOMONTH(B3535,0)</f>
        <v>46053</v>
      </c>
      <c r="L3535" s="3" t="inlineStr">
        <is>
          <t>Legal &amp; Professional Fees</t>
        </is>
      </c>
      <c r="M3535" s="3" t="inlineStr">
        <is>
          <t>Legal &amp; Professional Fees</t>
        </is>
      </c>
    </row>
    <row r="3536">
      <c r="B3536" s="39" t="n">
        <v>46065</v>
      </c>
      <c r="C3536" s="3" t="inlineStr">
        <is>
          <t>Expense</t>
        </is>
      </c>
      <c r="D3536" s="3" t="inlineStr">
        <is>
          <t>10757</t>
        </is>
      </c>
      <c r="E3536" s="3" t="inlineStr">
        <is>
          <t>Consultant A</t>
        </is>
      </c>
      <c r="F3536" s="3" t="inlineStr">
        <is>
          <t>Legal &amp; Professional Fees – February</t>
        </is>
      </c>
      <c r="G3536" s="3" t="inlineStr">
        <is>
          <t>Checking – Operating</t>
        </is>
      </c>
      <c r="H3536" s="3" t="inlineStr">
        <is>
          <t>Legal &amp; Professional Fees</t>
        </is>
      </c>
      <c r="I3536" s="33" t="n">
        <v>1220.01</v>
      </c>
      <c r="J3536" s="13">
        <f>+J3535+I3536</f>
        <v>3640.01</v>
      </c>
      <c r="K3536" s="19">
        <f>+EOMONTH(B3536,0)</f>
        <v>46081</v>
      </c>
      <c r="L3536" s="3" t="inlineStr">
        <is>
          <t>Legal &amp; Professional Fees</t>
        </is>
      </c>
      <c r="M3536" s="3" t="inlineStr">
        <is>
          <t>Legal &amp; Professional Fees</t>
        </is>
      </c>
    </row>
    <row r="3537">
      <c r="B3537" s="39" t="n">
        <v>46077</v>
      </c>
      <c r="C3537" s="3" t="inlineStr">
        <is>
          <t>Expense</t>
        </is>
      </c>
      <c r="D3537" s="3" t="inlineStr">
        <is>
          <t>10756</t>
        </is>
      </c>
      <c r="E3537" s="3" t="inlineStr">
        <is>
          <t>Consultant A</t>
        </is>
      </c>
      <c r="F3537" s="3" t="inlineStr">
        <is>
          <t>Legal &amp; Professional Fees – February</t>
        </is>
      </c>
      <c r="G3537" s="3" t="inlineStr">
        <is>
          <t>Checking – Operating</t>
        </is>
      </c>
      <c r="H3537" s="3" t="inlineStr">
        <is>
          <t>Legal &amp; Professional Fees</t>
        </is>
      </c>
      <c r="I3537" s="33" t="n">
        <v>1279.99</v>
      </c>
      <c r="J3537" s="13">
        <f>+J3536+I3537</f>
        <v>4920</v>
      </c>
      <c r="K3537" s="19">
        <f>+EOMONTH(B3537,0)</f>
        <v>46081</v>
      </c>
      <c r="L3537" s="3" t="inlineStr">
        <is>
          <t>Legal &amp; Professional Fees</t>
        </is>
      </c>
      <c r="M3537" s="3" t="inlineStr">
        <is>
          <t>Legal &amp; Professional Fees</t>
        </is>
      </c>
    </row>
    <row r="3538">
      <c r="B3538" s="39" t="n">
        <v>46104</v>
      </c>
      <c r="C3538" s="3" t="inlineStr">
        <is>
          <t>Expense</t>
        </is>
      </c>
      <c r="D3538" s="3" t="inlineStr">
        <is>
          <t>10758</t>
        </is>
      </c>
      <c r="E3538" s="3" t="inlineStr">
        <is>
          <t>Consultant A</t>
        </is>
      </c>
      <c r="F3538" s="3" t="inlineStr">
        <is>
          <t>Legal &amp; Professional Fees – March</t>
        </is>
      </c>
      <c r="G3538" s="3" t="inlineStr">
        <is>
          <t>Checking – Operating</t>
        </is>
      </c>
      <c r="H3538" s="3" t="inlineStr">
        <is>
          <t>Legal &amp; Professional Fees</t>
        </is>
      </c>
      <c r="I3538" s="33" t="n">
        <v>889.65</v>
      </c>
      <c r="J3538" s="13">
        <f>+J3537+I3538</f>
        <v>5809.65</v>
      </c>
      <c r="K3538" s="19">
        <f>+EOMONTH(B3538,0)</f>
        <v>46112</v>
      </c>
      <c r="L3538" s="3" t="inlineStr">
        <is>
          <t>Legal &amp; Professional Fees</t>
        </is>
      </c>
      <c r="M3538" s="3" t="inlineStr">
        <is>
          <t>Legal &amp; Professional Fees</t>
        </is>
      </c>
    </row>
    <row r="3539">
      <c r="B3539" s="39" t="n">
        <v>46104</v>
      </c>
      <c r="C3539" s="3" t="inlineStr">
        <is>
          <t>Expense</t>
        </is>
      </c>
      <c r="D3539" s="3" t="inlineStr">
        <is>
          <t>10759</t>
        </is>
      </c>
      <c r="E3539" s="3" t="inlineStr">
        <is>
          <t>Consultant A</t>
        </is>
      </c>
      <c r="F3539" s="3" t="inlineStr">
        <is>
          <t>Legal &amp; Professional Fees – March</t>
        </is>
      </c>
      <c r="G3539" s="3" t="inlineStr">
        <is>
          <t>Checking – Operating</t>
        </is>
      </c>
      <c r="H3539" s="3" t="inlineStr">
        <is>
          <t>Legal &amp; Professional Fees</t>
        </is>
      </c>
      <c r="I3539" s="33" t="n">
        <v>1550.35</v>
      </c>
      <c r="J3539" s="13">
        <f>+J3538+I3539</f>
        <v>7360</v>
      </c>
      <c r="K3539" s="19">
        <f>+EOMONTH(B3539,0)</f>
        <v>46112</v>
      </c>
      <c r="L3539" s="3" t="inlineStr">
        <is>
          <t>Legal &amp; Professional Fees</t>
        </is>
      </c>
      <c r="M3539" s="3" t="inlineStr">
        <is>
          <t>Legal &amp; Professional Fees</t>
        </is>
      </c>
    </row>
    <row r="3540">
      <c r="B3540" s="39" t="n">
        <v>46114</v>
      </c>
      <c r="C3540" s="3" t="inlineStr">
        <is>
          <t>Credit Card Expense</t>
        </is>
      </c>
      <c r="D3540" s="3" t="inlineStr"/>
      <c r="E3540" s="3" t="inlineStr">
        <is>
          <t>Consultant A</t>
        </is>
      </c>
      <c r="F3540" s="3" t="inlineStr">
        <is>
          <t>Legal &amp; Professional Fees – April</t>
        </is>
      </c>
      <c r="G3540" s="3" t="inlineStr">
        <is>
          <t>Checking – Operating</t>
        </is>
      </c>
      <c r="H3540" s="3" t="inlineStr">
        <is>
          <t>Legal &amp; Professional Fees</t>
        </is>
      </c>
      <c r="I3540" s="33" t="n">
        <v>1375.45</v>
      </c>
      <c r="J3540" s="13">
        <f>+J3539+I3540</f>
        <v>8735.45</v>
      </c>
      <c r="K3540" s="19">
        <f>+EOMONTH(B3540,0)</f>
        <v>46142</v>
      </c>
      <c r="L3540" s="3" t="inlineStr">
        <is>
          <t>Legal &amp; Professional Fees</t>
        </is>
      </c>
      <c r="M3540" s="3" t="inlineStr">
        <is>
          <t>Legal &amp; Professional Fees</t>
        </is>
      </c>
    </row>
    <row r="3541">
      <c r="B3541" s="39" t="n">
        <v>46122</v>
      </c>
      <c r="C3541" s="3" t="inlineStr">
        <is>
          <t>Expense</t>
        </is>
      </c>
      <c r="D3541" s="3" t="inlineStr">
        <is>
          <t>10760</t>
        </is>
      </c>
      <c r="E3541" s="3" t="inlineStr">
        <is>
          <t>Consultant A</t>
        </is>
      </c>
      <c r="F3541" s="3" t="inlineStr">
        <is>
          <t>Legal &amp; Professional Fees – April</t>
        </is>
      </c>
      <c r="G3541" s="3" t="inlineStr">
        <is>
          <t>Checking – Operating</t>
        </is>
      </c>
      <c r="H3541" s="3" t="inlineStr">
        <is>
          <t>Legal &amp; Professional Fees</t>
        </is>
      </c>
      <c r="I3541" s="33" t="n">
        <v>944.55</v>
      </c>
      <c r="J3541" s="13">
        <f>+J3540+I3541</f>
        <v>9680</v>
      </c>
      <c r="K3541" s="19">
        <f>+EOMONTH(B3541,0)</f>
        <v>46142</v>
      </c>
      <c r="L3541" s="3" t="inlineStr">
        <is>
          <t>Legal &amp; Professional Fees</t>
        </is>
      </c>
      <c r="M3541" s="3" t="inlineStr">
        <is>
          <t>Legal &amp; Professional Fees</t>
        </is>
      </c>
    </row>
    <row r="3542">
      <c r="B3542" s="39" t="n">
        <v>46149</v>
      </c>
      <c r="C3542" s="3" t="inlineStr">
        <is>
          <t>Expense</t>
        </is>
      </c>
      <c r="D3542" s="3" t="inlineStr">
        <is>
          <t>10762</t>
        </is>
      </c>
      <c r="E3542" s="3" t="inlineStr">
        <is>
          <t>Consultant A</t>
        </is>
      </c>
      <c r="F3542" s="3" t="inlineStr">
        <is>
          <t>Legal &amp; Professional Fees – May</t>
        </is>
      </c>
      <c r="G3542" s="3" t="inlineStr">
        <is>
          <t>Checking – Operating</t>
        </is>
      </c>
      <c r="H3542" s="3" t="inlineStr">
        <is>
          <t>Legal &amp; Professional Fees</t>
        </is>
      </c>
      <c r="I3542" s="33" t="n">
        <v>1121.45</v>
      </c>
      <c r="J3542" s="13">
        <f>+J3541+I3542</f>
        <v>10801.45</v>
      </c>
      <c r="K3542" s="19">
        <f>+EOMONTH(B3542,0)</f>
        <v>46173</v>
      </c>
      <c r="L3542" s="3" t="inlineStr">
        <is>
          <t>Legal &amp; Professional Fees</t>
        </is>
      </c>
      <c r="M3542" s="3" t="inlineStr">
        <is>
          <t>Legal &amp; Professional Fees</t>
        </is>
      </c>
    </row>
    <row r="3543">
      <c r="B3543" s="39" t="n">
        <v>46171</v>
      </c>
      <c r="C3543" s="3" t="inlineStr">
        <is>
          <t>Expense</t>
        </is>
      </c>
      <c r="D3543" s="3" t="inlineStr">
        <is>
          <t>10761</t>
        </is>
      </c>
      <c r="E3543" s="3" t="inlineStr">
        <is>
          <t>Consultant A</t>
        </is>
      </c>
      <c r="F3543" s="3" t="inlineStr">
        <is>
          <t>Legal &amp; Professional Fees – May</t>
        </is>
      </c>
      <c r="G3543" s="3" t="inlineStr">
        <is>
          <t>Checking – Operating</t>
        </is>
      </c>
      <c r="H3543" s="3" t="inlineStr">
        <is>
          <t>Legal &amp; Professional Fees</t>
        </is>
      </c>
      <c r="I3543" s="33" t="n">
        <v>1278.55</v>
      </c>
      <c r="J3543" s="13">
        <f>+J3542+I3543</f>
        <v>12080</v>
      </c>
      <c r="K3543" s="19">
        <f>+EOMONTH(B3543,0)</f>
        <v>46173</v>
      </c>
      <c r="L3543" s="3" t="inlineStr">
        <is>
          <t>Legal &amp; Professional Fees</t>
        </is>
      </c>
      <c r="M3543" s="3" t="inlineStr">
        <is>
          <t>Legal &amp; Professional Fees</t>
        </is>
      </c>
    </row>
    <row r="3544">
      <c r="B3544" s="39" t="n">
        <v>46179</v>
      </c>
      <c r="C3544" s="3" t="inlineStr">
        <is>
          <t>Journal Entry</t>
        </is>
      </c>
      <c r="D3544" s="3" t="inlineStr">
        <is>
          <t>JE-2650</t>
        </is>
      </c>
      <c r="E3544" s="3" t="inlineStr">
        <is>
          <t>Consultant A</t>
        </is>
      </c>
      <c r="F3544" s="3" t="inlineStr">
        <is>
          <t>Legal &amp; Professional Fees – June</t>
        </is>
      </c>
      <c r="G3544" s="3" t="inlineStr">
        <is>
          <t>Checking – Operating</t>
        </is>
      </c>
      <c r="H3544" s="3" t="inlineStr">
        <is>
          <t>Legal &amp; Professional Fees</t>
        </is>
      </c>
      <c r="I3544" s="33" t="n">
        <v>974.89</v>
      </c>
      <c r="J3544" s="13">
        <f>+J3543+I3544</f>
        <v>13054.89</v>
      </c>
      <c r="K3544" s="19">
        <f>+EOMONTH(B3544,0)</f>
        <v>46203</v>
      </c>
      <c r="L3544" s="3" t="inlineStr">
        <is>
          <t>Legal &amp; Professional Fees</t>
        </is>
      </c>
      <c r="M3544" s="3" t="inlineStr">
        <is>
          <t>Legal &amp; Professional Fees</t>
        </is>
      </c>
    </row>
    <row r="3545">
      <c r="B3545" s="39" t="n">
        <v>46189</v>
      </c>
      <c r="C3545" s="3" t="inlineStr">
        <is>
          <t>Journal Entry</t>
        </is>
      </c>
      <c r="D3545" s="3" t="inlineStr">
        <is>
          <t>JE-2649</t>
        </is>
      </c>
      <c r="E3545" s="3" t="inlineStr">
        <is>
          <t>Consultant A</t>
        </is>
      </c>
      <c r="F3545" s="3" t="inlineStr">
        <is>
          <t>Legal &amp; Professional Fees – June</t>
        </is>
      </c>
      <c r="G3545" s="3" t="inlineStr">
        <is>
          <t>Checking – Operating</t>
        </is>
      </c>
      <c r="H3545" s="3" t="inlineStr">
        <is>
          <t>Legal &amp; Professional Fees</t>
        </is>
      </c>
      <c r="I3545" s="33" t="n">
        <v>1385.11</v>
      </c>
      <c r="J3545" s="13">
        <f>+J3544+I3545</f>
        <v>14440</v>
      </c>
      <c r="K3545" s="19">
        <f>+EOMONTH(B3545,0)</f>
        <v>46203</v>
      </c>
      <c r="L3545" s="3" t="inlineStr">
        <is>
          <t>Legal &amp; Professional Fees</t>
        </is>
      </c>
      <c r="M3545" s="3" t="inlineStr">
        <is>
          <t>Legal &amp; Professional Fees</t>
        </is>
      </c>
    </row>
    <row r="3546">
      <c r="B3546" s="39" t="n">
        <v>46211</v>
      </c>
      <c r="C3546" s="3" t="inlineStr">
        <is>
          <t>Expense</t>
        </is>
      </c>
      <c r="D3546" s="3" t="inlineStr">
        <is>
          <t>10764</t>
        </is>
      </c>
      <c r="E3546" s="3" t="inlineStr">
        <is>
          <t>Consultant A</t>
        </is>
      </c>
      <c r="F3546" s="3" t="inlineStr">
        <is>
          <t>Legal &amp; Professional Fees – July</t>
        </is>
      </c>
      <c r="G3546" s="3" t="inlineStr">
        <is>
          <t>Checking – Operating</t>
        </is>
      </c>
      <c r="H3546" s="3" t="inlineStr">
        <is>
          <t>Legal &amp; Professional Fees</t>
        </is>
      </c>
      <c r="I3546" s="33" t="n">
        <v>1181.05</v>
      </c>
      <c r="J3546" s="13">
        <f>+J3545+I3546</f>
        <v>15621.05</v>
      </c>
      <c r="K3546" s="19">
        <f>+EOMONTH(B3546,0)</f>
        <v>46234</v>
      </c>
      <c r="L3546" s="3" t="inlineStr">
        <is>
          <t>Legal &amp; Professional Fees</t>
        </is>
      </c>
      <c r="M3546" s="3" t="inlineStr">
        <is>
          <t>Legal &amp; Professional Fees</t>
        </is>
      </c>
    </row>
    <row r="3547">
      <c r="B3547" s="39" t="n">
        <v>46230</v>
      </c>
      <c r="C3547" s="3" t="inlineStr">
        <is>
          <t>Expense</t>
        </is>
      </c>
      <c r="D3547" s="3" t="inlineStr">
        <is>
          <t>10763</t>
        </is>
      </c>
      <c r="E3547" s="3" t="inlineStr">
        <is>
          <t>Consultant A</t>
        </is>
      </c>
      <c r="F3547" s="3" t="inlineStr">
        <is>
          <t>Legal &amp; Professional Fees – July</t>
        </is>
      </c>
      <c r="G3547" s="3" t="inlineStr">
        <is>
          <t>Checking – Operating</t>
        </is>
      </c>
      <c r="H3547" s="3" t="inlineStr">
        <is>
          <t>Legal &amp; Professional Fees</t>
        </is>
      </c>
      <c r="I3547" s="33" t="n">
        <v>1178.95</v>
      </c>
      <c r="J3547" s="13">
        <f>+J3546+I3547</f>
        <v>16800</v>
      </c>
      <c r="K3547" s="19">
        <f>+EOMONTH(B3547,0)</f>
        <v>46234</v>
      </c>
      <c r="L3547" s="3" t="inlineStr">
        <is>
          <t>Legal &amp; Professional Fees</t>
        </is>
      </c>
      <c r="M3547" s="3" t="inlineStr">
        <is>
          <t>Legal &amp; Professional Fees</t>
        </is>
      </c>
    </row>
    <row r="3548">
      <c r="B3548" s="39" t="n">
        <v>46247</v>
      </c>
      <c r="C3548" s="3" t="inlineStr">
        <is>
          <t>Expense</t>
        </is>
      </c>
      <c r="D3548" s="3" t="inlineStr">
        <is>
          <t>10765</t>
        </is>
      </c>
      <c r="E3548" s="3" t="inlineStr">
        <is>
          <t>Consultant A</t>
        </is>
      </c>
      <c r="F3548" s="3" t="inlineStr">
        <is>
          <t>Legal &amp; Professional Fees – August</t>
        </is>
      </c>
      <c r="G3548" s="3" t="inlineStr">
        <is>
          <t>Checking – Operating</t>
        </is>
      </c>
      <c r="H3548" s="3" t="inlineStr">
        <is>
          <t>Legal &amp; Professional Fees</t>
        </is>
      </c>
      <c r="I3548" s="33" t="n">
        <v>886.59</v>
      </c>
      <c r="J3548" s="13">
        <f>+J3547+I3548</f>
        <v>17686.59</v>
      </c>
      <c r="K3548" s="19">
        <f>+EOMONTH(B3548,0)</f>
        <v>46265</v>
      </c>
      <c r="L3548" s="3" t="inlineStr">
        <is>
          <t>Legal &amp; Professional Fees</t>
        </is>
      </c>
      <c r="M3548" s="3" t="inlineStr">
        <is>
          <t>Legal &amp; Professional Fees</t>
        </is>
      </c>
    </row>
    <row r="3549">
      <c r="B3549" s="39" t="n">
        <v>46264</v>
      </c>
      <c r="C3549" s="3" t="inlineStr">
        <is>
          <t>Journal Entry</t>
        </is>
      </c>
      <c r="D3549" s="3" t="inlineStr">
        <is>
          <t>JE-2651</t>
        </is>
      </c>
      <c r="E3549" s="3" t="inlineStr">
        <is>
          <t>Consultant A</t>
        </is>
      </c>
      <c r="F3549" s="3" t="inlineStr">
        <is>
          <t>Legal &amp; Professional Fees – August</t>
        </is>
      </c>
      <c r="G3549" s="3" t="inlineStr">
        <is>
          <t>Checking – Operating</t>
        </is>
      </c>
      <c r="H3549" s="3" t="inlineStr">
        <is>
          <t>Legal &amp; Professional Fees</t>
        </is>
      </c>
      <c r="I3549" s="33" t="n">
        <v>1553.41</v>
      </c>
      <c r="J3549" s="13">
        <f>+J3548+I3549</f>
        <v>19240</v>
      </c>
      <c r="K3549" s="19">
        <f>+EOMONTH(B3549,0)</f>
        <v>46265</v>
      </c>
      <c r="L3549" s="3" t="inlineStr">
        <is>
          <t>Legal &amp; Professional Fees</t>
        </is>
      </c>
      <c r="M3549" s="3" t="inlineStr">
        <is>
          <t>Legal &amp; Professional Fees</t>
        </is>
      </c>
    </row>
    <row r="3550">
      <c r="B3550" s="39" t="n">
        <v>46287</v>
      </c>
      <c r="C3550" s="3" t="inlineStr">
        <is>
          <t>Credit Card Expense</t>
        </is>
      </c>
      <c r="D3550" s="3" t="inlineStr"/>
      <c r="E3550" s="3" t="inlineStr">
        <is>
          <t>Consultant A</t>
        </is>
      </c>
      <c r="F3550" s="3" t="inlineStr">
        <is>
          <t>Legal &amp; Professional Fees – September</t>
        </is>
      </c>
      <c r="G3550" s="3" t="inlineStr">
        <is>
          <t>Checking – Operating</t>
        </is>
      </c>
      <c r="H3550" s="3" t="inlineStr">
        <is>
          <t>Legal &amp; Professional Fees</t>
        </is>
      </c>
      <c r="I3550" s="33" t="n">
        <v>2496.88</v>
      </c>
      <c r="J3550" s="13">
        <f>+J3549+I3550</f>
        <v>21736.88</v>
      </c>
      <c r="K3550" s="19">
        <f>+EOMONTH(B3550,0)</f>
        <v>46295</v>
      </c>
      <c r="L3550" s="3" t="inlineStr">
        <is>
          <t>Legal &amp; Professional Fees</t>
        </is>
      </c>
      <c r="M3550" s="3" t="inlineStr">
        <is>
          <t>Legal &amp; Professional Fees</t>
        </is>
      </c>
    </row>
    <row r="3551">
      <c r="B3551" s="39" t="n">
        <v>46306</v>
      </c>
      <c r="C3551" s="3" t="inlineStr">
        <is>
          <t>Credit Card Expense</t>
        </is>
      </c>
      <c r="D3551" s="3" t="inlineStr"/>
      <c r="E3551" s="3" t="inlineStr">
        <is>
          <t>Consultant A</t>
        </is>
      </c>
      <c r="F3551" s="3" t="inlineStr">
        <is>
          <t>Legal &amp; Professional Fees – October</t>
        </is>
      </c>
      <c r="G3551" s="3" t="inlineStr">
        <is>
          <t>Checking – Operating</t>
        </is>
      </c>
      <c r="H3551" s="3" t="inlineStr">
        <is>
          <t>Legal &amp; Professional Fees</t>
        </is>
      </c>
      <c r="I3551" s="33" t="n">
        <v>1693.92</v>
      </c>
      <c r="J3551" s="13">
        <f>+J3550+I3551</f>
        <v>23430.8</v>
      </c>
      <c r="K3551" s="19">
        <f>+EOMONTH(B3551,0)</f>
        <v>46326</v>
      </c>
      <c r="L3551" s="3" t="inlineStr">
        <is>
          <t>Legal &amp; Professional Fees</t>
        </is>
      </c>
      <c r="M3551" s="3" t="inlineStr">
        <is>
          <t>Legal &amp; Professional Fees</t>
        </is>
      </c>
    </row>
    <row r="3552">
      <c r="B3552" s="39" t="n">
        <v>46325</v>
      </c>
      <c r="C3552" s="3" t="inlineStr">
        <is>
          <t>Journal Entry</t>
        </is>
      </c>
      <c r="D3552" s="3" t="inlineStr">
        <is>
          <t>JE-2652</t>
        </is>
      </c>
      <c r="E3552" s="3" t="inlineStr">
        <is>
          <t>Consultant A</t>
        </is>
      </c>
      <c r="F3552" s="3" t="inlineStr">
        <is>
          <t>Legal &amp; Professional Fees – October</t>
        </is>
      </c>
      <c r="G3552" s="3" t="inlineStr">
        <is>
          <t>Checking – Operating</t>
        </is>
      </c>
      <c r="H3552" s="3" t="inlineStr">
        <is>
          <t>Legal &amp; Professional Fees</t>
        </is>
      </c>
      <c r="I3552" s="33" t="n">
        <v>954.05</v>
      </c>
      <c r="J3552" s="13">
        <f>+J3551+I3552</f>
        <v>24384.85</v>
      </c>
      <c r="K3552" s="19">
        <f>+EOMONTH(B3552,0)</f>
        <v>46326</v>
      </c>
      <c r="L3552" s="3" t="inlineStr">
        <is>
          <t>Legal &amp; Professional Fees</t>
        </is>
      </c>
      <c r="M3552" s="3" t="inlineStr">
        <is>
          <t>Legal &amp; Professional Fees</t>
        </is>
      </c>
    </row>
    <row r="3553">
      <c r="B3553" s="39" t="n">
        <v>46339</v>
      </c>
      <c r="C3553" s="3" t="inlineStr">
        <is>
          <t>Expense</t>
        </is>
      </c>
      <c r="D3553" s="3" t="inlineStr">
        <is>
          <t>10766</t>
        </is>
      </c>
      <c r="E3553" s="3" t="inlineStr">
        <is>
          <t>Consultant A</t>
        </is>
      </c>
      <c r="F3553" s="3" t="inlineStr">
        <is>
          <t>Legal &amp; Professional Fees – November</t>
        </is>
      </c>
      <c r="G3553" s="3" t="inlineStr">
        <is>
          <t>Checking – Operating</t>
        </is>
      </c>
      <c r="H3553" s="3" t="inlineStr">
        <is>
          <t>Legal &amp; Professional Fees</t>
        </is>
      </c>
      <c r="I3553" s="33" t="n">
        <v>1214.11</v>
      </c>
      <c r="J3553" s="13">
        <f>+J3552+I3553</f>
        <v>25598.96</v>
      </c>
      <c r="K3553" s="19">
        <f>+EOMONTH(B3553,0)</f>
        <v>46356</v>
      </c>
      <c r="L3553" s="3" t="inlineStr">
        <is>
          <t>Legal &amp; Professional Fees</t>
        </is>
      </c>
      <c r="M3553" s="3" t="inlineStr">
        <is>
          <t>Legal &amp; Professional Fees</t>
        </is>
      </c>
    </row>
    <row r="3554">
      <c r="B3554" s="39" t="n">
        <v>46342</v>
      </c>
      <c r="C3554" s="3" t="inlineStr">
        <is>
          <t>Expense</t>
        </is>
      </c>
      <c r="D3554" s="3" t="inlineStr">
        <is>
          <t>10767</t>
        </is>
      </c>
      <c r="E3554" s="3" t="inlineStr">
        <is>
          <t>Consultant A</t>
        </is>
      </c>
      <c r="F3554" s="3" t="inlineStr">
        <is>
          <t>Legal &amp; Professional Fees – November</t>
        </is>
      </c>
      <c r="G3554" s="3" t="inlineStr">
        <is>
          <t>Checking – Operating</t>
        </is>
      </c>
      <c r="H3554" s="3" t="inlineStr">
        <is>
          <t>Legal &amp; Professional Fees</t>
        </is>
      </c>
      <c r="I3554" s="33" t="n">
        <v>1225.76</v>
      </c>
      <c r="J3554" s="13">
        <f>+J3553+I3554</f>
        <v>26824.72</v>
      </c>
      <c r="K3554" s="19">
        <f>+EOMONTH(B3554,0)</f>
        <v>46356</v>
      </c>
      <c r="L3554" s="3" t="inlineStr">
        <is>
          <t>Legal &amp; Professional Fees</t>
        </is>
      </c>
      <c r="M3554" s="3" t="inlineStr">
        <is>
          <t>Legal &amp; Professional Fees</t>
        </is>
      </c>
    </row>
    <row r="3555">
      <c r="A3555" s="2" t="inlineStr">
        <is>
          <t>Total for Legal &amp; Professional Fees</t>
        </is>
      </c>
      <c r="I3555" s="35">
        <f>SUM(I3534:I3554)</f>
        <v>26824.72</v>
      </c>
    </row>
    <row r="3557">
      <c r="A3557" s="2" t="inlineStr">
        <is>
          <t>Accounting Service</t>
        </is>
      </c>
    </row>
    <row r="3558">
      <c r="B3558" s="39" t="n">
        <v>46043</v>
      </c>
      <c r="C3558" s="3" t="inlineStr">
        <is>
          <t>Journal Entry</t>
        </is>
      </c>
      <c r="D3558" s="3" t="inlineStr">
        <is>
          <t>JE-2653</t>
        </is>
      </c>
      <c r="E3558" s="3" t="inlineStr">
        <is>
          <t>Consultant A</t>
        </is>
      </c>
      <c r="F3558" s="3" t="inlineStr">
        <is>
          <t>Accounting Service – January</t>
        </is>
      </c>
      <c r="G3558" s="3" t="inlineStr">
        <is>
          <t>Checking – Operating</t>
        </is>
      </c>
      <c r="H3558" s="3" t="inlineStr">
        <is>
          <t>Accounting Service</t>
        </is>
      </c>
      <c r="I3558" s="33" t="n">
        <v>3892.87</v>
      </c>
      <c r="J3558" s="13">
        <f>+I3558</f>
        <v>3892.87</v>
      </c>
      <c r="K3558" s="19">
        <f>+EOMONTH(B3558,0)</f>
        <v>46053</v>
      </c>
      <c r="L3558" s="3" t="inlineStr">
        <is>
          <t>Accounting Service</t>
        </is>
      </c>
      <c r="M3558" s="3" t="inlineStr">
        <is>
          <t>Legal &amp; Professional Fees</t>
        </is>
      </c>
    </row>
    <row r="3559">
      <c r="B3559" s="39" t="n">
        <v>46047</v>
      </c>
      <c r="C3559" s="3" t="inlineStr">
        <is>
          <t>Expense</t>
        </is>
      </c>
      <c r="D3559" s="3" t="inlineStr">
        <is>
          <t>10768</t>
        </is>
      </c>
      <c r="E3559" s="3" t="inlineStr">
        <is>
          <t>Consultant A</t>
        </is>
      </c>
      <c r="F3559" s="3" t="inlineStr">
        <is>
          <t>Accounting Service – January</t>
        </is>
      </c>
      <c r="G3559" s="3" t="inlineStr">
        <is>
          <t>Checking – Operating</t>
        </is>
      </c>
      <c r="H3559" s="3" t="inlineStr">
        <is>
          <t>Accounting Service</t>
        </is>
      </c>
      <c r="I3559" s="33" t="n">
        <v>2157.13</v>
      </c>
      <c r="J3559" s="13">
        <f>+J3558+I3559</f>
        <v>6050</v>
      </c>
      <c r="K3559" s="19">
        <f>+EOMONTH(B3559,0)</f>
        <v>46053</v>
      </c>
      <c r="L3559" s="3" t="inlineStr">
        <is>
          <t>Accounting Service</t>
        </is>
      </c>
      <c r="M3559" s="3" t="inlineStr">
        <is>
          <t>Legal &amp; Professional Fees</t>
        </is>
      </c>
    </row>
    <row r="3560">
      <c r="B3560" s="39" t="n">
        <v>46076</v>
      </c>
      <c r="C3560" s="3" t="inlineStr">
        <is>
          <t>Expense</t>
        </is>
      </c>
      <c r="D3560" s="3" t="inlineStr">
        <is>
          <t>10770</t>
        </is>
      </c>
      <c r="E3560" s="3" t="inlineStr">
        <is>
          <t>Consultant A</t>
        </is>
      </c>
      <c r="F3560" s="3" t="inlineStr">
        <is>
          <t>Accounting Service – February</t>
        </is>
      </c>
      <c r="G3560" s="3" t="inlineStr">
        <is>
          <t>Checking – Operating</t>
        </is>
      </c>
      <c r="H3560" s="3" t="inlineStr">
        <is>
          <t>Accounting Service</t>
        </is>
      </c>
      <c r="I3560" s="33" t="n">
        <v>3234.77</v>
      </c>
      <c r="J3560" s="13">
        <f>+J3559+I3560</f>
        <v>9284.77</v>
      </c>
      <c r="K3560" s="19">
        <f>+EOMONTH(B3560,0)</f>
        <v>46081</v>
      </c>
      <c r="L3560" s="3" t="inlineStr">
        <is>
          <t>Accounting Service</t>
        </is>
      </c>
      <c r="M3560" s="3" t="inlineStr">
        <is>
          <t>Legal &amp; Professional Fees</t>
        </is>
      </c>
    </row>
    <row r="3561">
      <c r="B3561" s="39" t="n">
        <v>46080</v>
      </c>
      <c r="C3561" s="3" t="inlineStr">
        <is>
          <t>Expense</t>
        </is>
      </c>
      <c r="D3561" s="3" t="inlineStr">
        <is>
          <t>10769</t>
        </is>
      </c>
      <c r="E3561" s="3" t="inlineStr">
        <is>
          <t>Consultant A</t>
        </is>
      </c>
      <c r="F3561" s="3" t="inlineStr">
        <is>
          <t>Accounting Service – February</t>
        </is>
      </c>
      <c r="G3561" s="3" t="inlineStr">
        <is>
          <t>Checking – Operating</t>
        </is>
      </c>
      <c r="H3561" s="3" t="inlineStr">
        <is>
          <t>Accounting Service</t>
        </is>
      </c>
      <c r="I3561" s="33" t="n">
        <v>3015.23</v>
      </c>
      <c r="J3561" s="13">
        <f>+J3560+I3561</f>
        <v>12300</v>
      </c>
      <c r="K3561" s="19">
        <f>+EOMONTH(B3561,0)</f>
        <v>46081</v>
      </c>
      <c r="L3561" s="3" t="inlineStr">
        <is>
          <t>Accounting Service</t>
        </is>
      </c>
      <c r="M3561" s="3" t="inlineStr">
        <is>
          <t>Legal &amp; Professional Fees</t>
        </is>
      </c>
    </row>
    <row r="3562">
      <c r="B3562" s="39" t="n">
        <v>46084</v>
      </c>
      <c r="C3562" s="3" t="inlineStr">
        <is>
          <t>Expense</t>
        </is>
      </c>
      <c r="D3562" s="3" t="inlineStr">
        <is>
          <t>10771</t>
        </is>
      </c>
      <c r="E3562" s="3" t="inlineStr">
        <is>
          <t>Consultant A</t>
        </is>
      </c>
      <c r="F3562" s="3" t="inlineStr">
        <is>
          <t>Accounting Service – March</t>
        </is>
      </c>
      <c r="G3562" s="3" t="inlineStr">
        <is>
          <t>Checking – Operating</t>
        </is>
      </c>
      <c r="H3562" s="3" t="inlineStr">
        <is>
          <t>Accounting Service</t>
        </is>
      </c>
      <c r="I3562" s="33" t="n">
        <v>3542.01</v>
      </c>
      <c r="J3562" s="13">
        <f>+J3561+I3562</f>
        <v>15842.01</v>
      </c>
      <c r="K3562" s="19">
        <f>+EOMONTH(B3562,0)</f>
        <v>46112</v>
      </c>
      <c r="L3562" s="3" t="inlineStr">
        <is>
          <t>Accounting Service</t>
        </is>
      </c>
      <c r="M3562" s="3" t="inlineStr">
        <is>
          <t>Legal &amp; Professional Fees</t>
        </is>
      </c>
    </row>
    <row r="3563">
      <c r="B3563" s="39" t="n">
        <v>46105</v>
      </c>
      <c r="C3563" s="3" t="inlineStr">
        <is>
          <t>Expense</t>
        </is>
      </c>
      <c r="D3563" s="3" t="inlineStr">
        <is>
          <t>10772</t>
        </is>
      </c>
      <c r="E3563" s="3" t="inlineStr">
        <is>
          <t>Consultant A</t>
        </is>
      </c>
      <c r="F3563" s="3" t="inlineStr">
        <is>
          <t>Accounting Service – March</t>
        </is>
      </c>
      <c r="G3563" s="3" t="inlineStr">
        <is>
          <t>Checking – Operating</t>
        </is>
      </c>
      <c r="H3563" s="3" t="inlineStr">
        <is>
          <t>Accounting Service</t>
        </is>
      </c>
      <c r="I3563" s="33" t="n">
        <v>2557.99</v>
      </c>
      <c r="J3563" s="13">
        <f>+J3562+I3563</f>
        <v>18400</v>
      </c>
      <c r="K3563" s="19">
        <f>+EOMONTH(B3563,0)</f>
        <v>46112</v>
      </c>
      <c r="L3563" s="3" t="inlineStr">
        <is>
          <t>Accounting Service</t>
        </is>
      </c>
      <c r="M3563" s="3" t="inlineStr">
        <is>
          <t>Legal &amp; Professional Fees</t>
        </is>
      </c>
    </row>
    <row r="3564">
      <c r="B3564" s="39" t="n">
        <v>46114</v>
      </c>
      <c r="C3564" s="3" t="inlineStr">
        <is>
          <t>Expense</t>
        </is>
      </c>
      <c r="D3564" s="3" t="inlineStr">
        <is>
          <t>10773</t>
        </is>
      </c>
      <c r="E3564" s="3" t="inlineStr">
        <is>
          <t>Consultant A</t>
        </is>
      </c>
      <c r="F3564" s="3" t="inlineStr">
        <is>
          <t>Accounting Service – April</t>
        </is>
      </c>
      <c r="G3564" s="3" t="inlineStr">
        <is>
          <t>Checking – Operating</t>
        </is>
      </c>
      <c r="H3564" s="3" t="inlineStr">
        <is>
          <t>Accounting Service</t>
        </is>
      </c>
      <c r="I3564" s="33" t="n">
        <v>2835.87</v>
      </c>
      <c r="J3564" s="13">
        <f>+J3563+I3564</f>
        <v>21235.87</v>
      </c>
      <c r="K3564" s="19">
        <f>+EOMONTH(B3564,0)</f>
        <v>46142</v>
      </c>
      <c r="L3564" s="3" t="inlineStr">
        <is>
          <t>Accounting Service</t>
        </is>
      </c>
      <c r="M3564" s="3" t="inlineStr">
        <is>
          <t>Legal &amp; Professional Fees</t>
        </is>
      </c>
    </row>
    <row r="3565">
      <c r="B3565" s="39" t="n">
        <v>46134</v>
      </c>
      <c r="C3565" s="3" t="inlineStr">
        <is>
          <t>Expense</t>
        </is>
      </c>
      <c r="D3565" s="3" t="inlineStr">
        <is>
          <t>10774</t>
        </is>
      </c>
      <c r="E3565" s="3" t="inlineStr">
        <is>
          <t>Consultant A</t>
        </is>
      </c>
      <c r="F3565" s="3" t="inlineStr">
        <is>
          <t>Accounting Service – April</t>
        </is>
      </c>
      <c r="G3565" s="3" t="inlineStr">
        <is>
          <t>Checking – Operating</t>
        </is>
      </c>
      <c r="H3565" s="3" t="inlineStr">
        <is>
          <t>Accounting Service</t>
        </is>
      </c>
      <c r="I3565" s="33" t="n">
        <v>2964.13</v>
      </c>
      <c r="J3565" s="13">
        <f>+J3564+I3565</f>
        <v>24200</v>
      </c>
      <c r="K3565" s="19">
        <f>+EOMONTH(B3565,0)</f>
        <v>46142</v>
      </c>
      <c r="L3565" s="3" t="inlineStr">
        <is>
          <t>Accounting Service</t>
        </is>
      </c>
      <c r="M3565" s="3" t="inlineStr">
        <is>
          <t>Legal &amp; Professional Fees</t>
        </is>
      </c>
    </row>
    <row r="3566">
      <c r="B3566" s="39" t="n">
        <v>46146</v>
      </c>
      <c r="C3566" s="3" t="inlineStr">
        <is>
          <t>Expense</t>
        </is>
      </c>
      <c r="D3566" s="3" t="inlineStr">
        <is>
          <t>10775</t>
        </is>
      </c>
      <c r="E3566" s="3" t="inlineStr">
        <is>
          <t>Consultant A</t>
        </is>
      </c>
      <c r="F3566" s="3" t="inlineStr">
        <is>
          <t>Accounting Service – May</t>
        </is>
      </c>
      <c r="G3566" s="3" t="inlineStr">
        <is>
          <t>Checking – Operating</t>
        </is>
      </c>
      <c r="H3566" s="3" t="inlineStr">
        <is>
          <t>Accounting Service</t>
        </is>
      </c>
      <c r="I3566" s="33" t="n">
        <v>2787.62</v>
      </c>
      <c r="J3566" s="13">
        <f>+J3565+I3566</f>
        <v>26987.62</v>
      </c>
      <c r="K3566" s="19">
        <f>+EOMONTH(B3566,0)</f>
        <v>46173</v>
      </c>
      <c r="L3566" s="3" t="inlineStr">
        <is>
          <t>Accounting Service</t>
        </is>
      </c>
      <c r="M3566" s="3" t="inlineStr">
        <is>
          <t>Legal &amp; Professional Fees</t>
        </is>
      </c>
    </row>
    <row r="3567">
      <c r="B3567" s="39" t="n">
        <v>46159</v>
      </c>
      <c r="C3567" s="3" t="inlineStr">
        <is>
          <t>Expense</t>
        </is>
      </c>
      <c r="D3567" s="3" t="inlineStr">
        <is>
          <t>10776</t>
        </is>
      </c>
      <c r="E3567" s="3" t="inlineStr">
        <is>
          <t>Consultant A</t>
        </is>
      </c>
      <c r="F3567" s="3" t="inlineStr">
        <is>
          <t>Accounting Service – May</t>
        </is>
      </c>
      <c r="G3567" s="3" t="inlineStr">
        <is>
          <t>Checking – Operating</t>
        </is>
      </c>
      <c r="H3567" s="3" t="inlineStr">
        <is>
          <t>Accounting Service</t>
        </is>
      </c>
      <c r="I3567" s="33" t="n">
        <v>3212.38</v>
      </c>
      <c r="J3567" s="13">
        <f>+J3566+I3567</f>
        <v>30200</v>
      </c>
      <c r="K3567" s="19">
        <f>+EOMONTH(B3567,0)</f>
        <v>46173</v>
      </c>
      <c r="L3567" s="3" t="inlineStr">
        <is>
          <t>Accounting Service</t>
        </is>
      </c>
      <c r="M3567" s="3" t="inlineStr">
        <is>
          <t>Legal &amp; Professional Fees</t>
        </is>
      </c>
    </row>
    <row r="3568">
      <c r="B3568" s="39" t="n">
        <v>46189</v>
      </c>
      <c r="C3568" s="3" t="inlineStr">
        <is>
          <t>Journal Entry</t>
        </is>
      </c>
      <c r="D3568" s="3" t="inlineStr">
        <is>
          <t>JE-2654</t>
        </is>
      </c>
      <c r="E3568" s="3" t="inlineStr">
        <is>
          <t>Consultant A</t>
        </is>
      </c>
      <c r="F3568" s="3" t="inlineStr">
        <is>
          <t>Accounting Service – June</t>
        </is>
      </c>
      <c r="G3568" s="3" t="inlineStr">
        <is>
          <t>Checking – Operating</t>
        </is>
      </c>
      <c r="H3568" s="3" t="inlineStr">
        <is>
          <t>Accounting Service</t>
        </is>
      </c>
      <c r="I3568" s="33" t="n">
        <v>3382.87</v>
      </c>
      <c r="J3568" s="13">
        <f>+J3567+I3568</f>
        <v>33582.87</v>
      </c>
      <c r="K3568" s="19">
        <f>+EOMONTH(B3568,0)</f>
        <v>46203</v>
      </c>
      <c r="L3568" s="3" t="inlineStr">
        <is>
          <t>Accounting Service</t>
        </is>
      </c>
      <c r="M3568" s="3" t="inlineStr">
        <is>
          <t>Legal &amp; Professional Fees</t>
        </is>
      </c>
    </row>
    <row r="3569">
      <c r="B3569" s="39" t="n">
        <v>46199</v>
      </c>
      <c r="C3569" s="3" t="inlineStr">
        <is>
          <t>Credit Card Expense</t>
        </is>
      </c>
      <c r="D3569" s="3" t="inlineStr"/>
      <c r="E3569" s="3" t="inlineStr">
        <is>
          <t>Consultant A</t>
        </is>
      </c>
      <c r="F3569" s="3" t="inlineStr">
        <is>
          <t>Accounting Service – June</t>
        </is>
      </c>
      <c r="G3569" s="3" t="inlineStr">
        <is>
          <t>Checking – Operating</t>
        </is>
      </c>
      <c r="H3569" s="3" t="inlineStr">
        <is>
          <t>Accounting Service</t>
        </is>
      </c>
      <c r="I3569" s="33" t="n">
        <v>2517.13</v>
      </c>
      <c r="J3569" s="13">
        <f>+J3568+I3569</f>
        <v>36100</v>
      </c>
      <c r="K3569" s="19">
        <f>+EOMONTH(B3569,0)</f>
        <v>46203</v>
      </c>
      <c r="L3569" s="3" t="inlineStr">
        <is>
          <t>Accounting Service</t>
        </is>
      </c>
      <c r="M3569" s="3" t="inlineStr">
        <is>
          <t>Legal &amp; Professional Fees</t>
        </is>
      </c>
    </row>
    <row r="3570">
      <c r="B3570" s="39" t="n">
        <v>46208</v>
      </c>
      <c r="C3570" s="3" t="inlineStr">
        <is>
          <t>Expense</t>
        </is>
      </c>
      <c r="D3570" s="3" t="inlineStr">
        <is>
          <t>10778</t>
        </is>
      </c>
      <c r="E3570" s="3" t="inlineStr">
        <is>
          <t>Consultant A</t>
        </is>
      </c>
      <c r="F3570" s="3" t="inlineStr">
        <is>
          <t>Accounting Service – July</t>
        </is>
      </c>
      <c r="G3570" s="3" t="inlineStr">
        <is>
          <t>Checking – Operating</t>
        </is>
      </c>
      <c r="H3570" s="3" t="inlineStr">
        <is>
          <t>Accounting Service</t>
        </is>
      </c>
      <c r="I3570" s="33" t="n">
        <v>2984.6</v>
      </c>
      <c r="J3570" s="13">
        <f>+J3569+I3570</f>
        <v>39084.6</v>
      </c>
      <c r="K3570" s="19">
        <f>+EOMONTH(B3570,0)</f>
        <v>46234</v>
      </c>
      <c r="L3570" s="3" t="inlineStr">
        <is>
          <t>Accounting Service</t>
        </is>
      </c>
      <c r="M3570" s="3" t="inlineStr">
        <is>
          <t>Legal &amp; Professional Fees</t>
        </is>
      </c>
    </row>
    <row r="3571">
      <c r="B3571" s="39" t="n">
        <v>46226</v>
      </c>
      <c r="C3571" s="3" t="inlineStr">
        <is>
          <t>Expense</t>
        </is>
      </c>
      <c r="D3571" s="3" t="inlineStr">
        <is>
          <t>10777</t>
        </is>
      </c>
      <c r="E3571" s="3" t="inlineStr">
        <is>
          <t>Consultant A</t>
        </is>
      </c>
      <c r="F3571" s="3" t="inlineStr">
        <is>
          <t>Accounting Service – July</t>
        </is>
      </c>
      <c r="G3571" s="3" t="inlineStr">
        <is>
          <t>Checking – Operating</t>
        </is>
      </c>
      <c r="H3571" s="3" t="inlineStr">
        <is>
          <t>Accounting Service</t>
        </is>
      </c>
      <c r="I3571" s="33" t="n">
        <v>2915.4</v>
      </c>
      <c r="J3571" s="13">
        <f>+J3570+I3571</f>
        <v>42000</v>
      </c>
      <c r="K3571" s="19">
        <f>+EOMONTH(B3571,0)</f>
        <v>46234</v>
      </c>
      <c r="L3571" s="3" t="inlineStr">
        <is>
          <t>Accounting Service</t>
        </is>
      </c>
      <c r="M3571" s="3" t="inlineStr">
        <is>
          <t>Legal &amp; Professional Fees</t>
        </is>
      </c>
    </row>
    <row r="3572">
      <c r="B3572" s="39" t="n">
        <v>46242</v>
      </c>
      <c r="C3572" s="3" t="inlineStr">
        <is>
          <t>Credit Card Expense</t>
        </is>
      </c>
      <c r="D3572" s="3" t="inlineStr"/>
      <c r="E3572" s="3" t="inlineStr">
        <is>
          <t>Consultant A</t>
        </is>
      </c>
      <c r="F3572" s="3" t="inlineStr">
        <is>
          <t>Accounting Service – August</t>
        </is>
      </c>
      <c r="G3572" s="3" t="inlineStr">
        <is>
          <t>Checking – Operating</t>
        </is>
      </c>
      <c r="H3572" s="3" t="inlineStr">
        <is>
          <t>Accounting Service</t>
        </is>
      </c>
      <c r="I3572" s="33" t="n">
        <v>3697.07</v>
      </c>
      <c r="J3572" s="13">
        <f>+J3571+I3572</f>
        <v>45697.07</v>
      </c>
      <c r="K3572" s="19">
        <f>+EOMONTH(B3572,0)</f>
        <v>46265</v>
      </c>
      <c r="L3572" s="3" t="inlineStr">
        <is>
          <t>Accounting Service</t>
        </is>
      </c>
      <c r="M3572" s="3" t="inlineStr">
        <is>
          <t>Legal &amp; Professional Fees</t>
        </is>
      </c>
    </row>
    <row r="3573">
      <c r="B3573" s="39" t="n">
        <v>46246</v>
      </c>
      <c r="C3573" s="3" t="inlineStr">
        <is>
          <t>Expense</t>
        </is>
      </c>
      <c r="D3573" s="3" t="inlineStr">
        <is>
          <t>10779</t>
        </is>
      </c>
      <c r="E3573" s="3" t="inlineStr">
        <is>
          <t>Consultant A</t>
        </is>
      </c>
      <c r="F3573" s="3" t="inlineStr">
        <is>
          <t>Accounting Service – August</t>
        </is>
      </c>
      <c r="G3573" s="3" t="inlineStr">
        <is>
          <t>Checking – Operating</t>
        </is>
      </c>
      <c r="H3573" s="3" t="inlineStr">
        <is>
          <t>Accounting Service</t>
        </is>
      </c>
      <c r="I3573" s="33" t="n">
        <v>2402.93</v>
      </c>
      <c r="J3573" s="13">
        <f>+J3572+I3573</f>
        <v>48100</v>
      </c>
      <c r="K3573" s="19">
        <f>+EOMONTH(B3573,0)</f>
        <v>46265</v>
      </c>
      <c r="L3573" s="3" t="inlineStr">
        <is>
          <t>Accounting Service</t>
        </is>
      </c>
      <c r="M3573" s="3" t="inlineStr">
        <is>
          <t>Legal &amp; Professional Fees</t>
        </is>
      </c>
    </row>
    <row r="3574">
      <c r="B3574" s="39" t="n">
        <v>46273</v>
      </c>
      <c r="C3574" s="3" t="inlineStr">
        <is>
          <t>Credit Card Expense</t>
        </is>
      </c>
      <c r="D3574" s="3" t="inlineStr"/>
      <c r="E3574" s="3" t="inlineStr">
        <is>
          <t>Consultant A</t>
        </is>
      </c>
      <c r="F3574" s="3" t="inlineStr">
        <is>
          <t>Accounting Service – September</t>
        </is>
      </c>
      <c r="G3574" s="3" t="inlineStr">
        <is>
          <t>Checking – Operating</t>
        </is>
      </c>
      <c r="H3574" s="3" t="inlineStr">
        <is>
          <t>Accounting Service</t>
        </is>
      </c>
      <c r="I3574" s="33" t="n">
        <v>3184.83</v>
      </c>
      <c r="J3574" s="13">
        <f>+J3573+I3574</f>
        <v>51284.83</v>
      </c>
      <c r="K3574" s="19">
        <f>+EOMONTH(B3574,0)</f>
        <v>46295</v>
      </c>
      <c r="L3574" s="3" t="inlineStr">
        <is>
          <t>Accounting Service</t>
        </is>
      </c>
      <c r="M3574" s="3" t="inlineStr">
        <is>
          <t>Legal &amp; Professional Fees</t>
        </is>
      </c>
    </row>
    <row r="3575">
      <c r="B3575" s="39" t="n">
        <v>46289</v>
      </c>
      <c r="C3575" s="3" t="inlineStr">
        <is>
          <t>Expense</t>
        </is>
      </c>
      <c r="D3575" s="3" t="inlineStr">
        <is>
          <t>10780</t>
        </is>
      </c>
      <c r="E3575" s="3" t="inlineStr">
        <is>
          <t>Consultant A</t>
        </is>
      </c>
      <c r="F3575" s="3" t="inlineStr">
        <is>
          <t>Accounting Service – September</t>
        </is>
      </c>
      <c r="G3575" s="3" t="inlineStr">
        <is>
          <t>Checking – Operating</t>
        </is>
      </c>
      <c r="H3575" s="3" t="inlineStr">
        <is>
          <t>Accounting Service</t>
        </is>
      </c>
      <c r="I3575" s="33" t="n">
        <v>3057.37</v>
      </c>
      <c r="J3575" s="13">
        <f>+J3574+I3575</f>
        <v>54342.2</v>
      </c>
      <c r="K3575" s="19">
        <f>+EOMONTH(B3575,0)</f>
        <v>46295</v>
      </c>
      <c r="L3575" s="3" t="inlineStr">
        <is>
          <t>Accounting Service</t>
        </is>
      </c>
      <c r="M3575" s="3" t="inlineStr">
        <is>
          <t>Legal &amp; Professional Fees</t>
        </is>
      </c>
    </row>
    <row r="3576">
      <c r="B3576" s="39" t="n">
        <v>46315</v>
      </c>
      <c r="C3576" s="3" t="inlineStr">
        <is>
          <t>Expense</t>
        </is>
      </c>
      <c r="D3576" s="3" t="inlineStr">
        <is>
          <t>10781</t>
        </is>
      </c>
      <c r="E3576" s="3" t="inlineStr">
        <is>
          <t>Consultant A</t>
        </is>
      </c>
      <c r="F3576" s="3" t="inlineStr">
        <is>
          <t>Accounting Service – October</t>
        </is>
      </c>
      <c r="G3576" s="3" t="inlineStr">
        <is>
          <t>Checking – Operating</t>
        </is>
      </c>
      <c r="H3576" s="3" t="inlineStr">
        <is>
          <t>Accounting Service</t>
        </is>
      </c>
      <c r="I3576" s="33" t="n">
        <v>4564.28</v>
      </c>
      <c r="J3576" s="13">
        <f>+J3575+I3576</f>
        <v>58906.48</v>
      </c>
      <c r="K3576" s="19">
        <f>+EOMONTH(B3576,0)</f>
        <v>46326</v>
      </c>
      <c r="L3576" s="3" t="inlineStr">
        <is>
          <t>Accounting Service</t>
        </is>
      </c>
      <c r="M3576" s="3" t="inlineStr">
        <is>
          <t>Legal &amp; Professional Fees</t>
        </is>
      </c>
    </row>
    <row r="3577">
      <c r="B3577" s="39" t="n">
        <v>46321</v>
      </c>
      <c r="C3577" s="3" t="inlineStr">
        <is>
          <t>Journal Entry</t>
        </is>
      </c>
      <c r="D3577" s="3" t="inlineStr">
        <is>
          <t>JE-2655</t>
        </is>
      </c>
      <c r="E3577" s="3" t="inlineStr">
        <is>
          <t>Consultant A</t>
        </is>
      </c>
      <c r="F3577" s="3" t="inlineStr">
        <is>
          <t>Accounting Service – October</t>
        </is>
      </c>
      <c r="G3577" s="3" t="inlineStr">
        <is>
          <t>Checking – Operating</t>
        </is>
      </c>
      <c r="H3577" s="3" t="inlineStr">
        <is>
          <t>Accounting Service</t>
        </is>
      </c>
      <c r="I3577" s="33" t="n">
        <v>2055.65</v>
      </c>
      <c r="J3577" s="13">
        <f>+J3576+I3577</f>
        <v>60962.13</v>
      </c>
      <c r="K3577" s="19">
        <f>+EOMONTH(B3577,0)</f>
        <v>46326</v>
      </c>
      <c r="L3577" s="3" t="inlineStr">
        <is>
          <t>Accounting Service</t>
        </is>
      </c>
      <c r="M3577" s="3" t="inlineStr">
        <is>
          <t>Legal &amp; Professional Fees</t>
        </is>
      </c>
    </row>
    <row r="3578">
      <c r="B3578" s="39" t="n">
        <v>46338</v>
      </c>
      <c r="C3578" s="3" t="inlineStr">
        <is>
          <t>Credit Card Expense</t>
        </is>
      </c>
      <c r="D3578" s="3" t="inlineStr"/>
      <c r="E3578" s="3" t="inlineStr">
        <is>
          <t>Consultant A</t>
        </is>
      </c>
      <c r="F3578" s="3" t="inlineStr">
        <is>
          <t>Accounting Service – November</t>
        </is>
      </c>
      <c r="G3578" s="3" t="inlineStr">
        <is>
          <t>Checking – Operating</t>
        </is>
      </c>
      <c r="H3578" s="3" t="inlineStr">
        <is>
          <t>Accounting Service</t>
        </is>
      </c>
      <c r="I3578" s="33" t="n">
        <v>6099.68</v>
      </c>
      <c r="J3578" s="13">
        <f>+J3577+I3578</f>
        <v>67061.81</v>
      </c>
      <c r="K3578" s="19">
        <f>+EOMONTH(B3578,0)</f>
        <v>46356</v>
      </c>
      <c r="L3578" s="3" t="inlineStr">
        <is>
          <t>Accounting Service</t>
        </is>
      </c>
      <c r="M3578" s="3" t="inlineStr">
        <is>
          <t>Legal &amp; Professional Fees</t>
        </is>
      </c>
    </row>
    <row r="3579">
      <c r="A3579" s="2" t="inlineStr">
        <is>
          <t>Total for Accounting Service</t>
        </is>
      </c>
      <c r="I3579" s="35">
        <f>SUM(I3558:I3578)</f>
        <v>67061.81</v>
      </c>
    </row>
    <row r="3581">
      <c r="A3581" s="2" t="inlineStr">
        <is>
          <t>Professional Fees</t>
        </is>
      </c>
    </row>
    <row r="3582">
      <c r="B3582" s="39" t="n">
        <v>46024</v>
      </c>
      <c r="C3582" s="3" t="inlineStr">
        <is>
          <t>Expense</t>
        </is>
      </c>
      <c r="D3582" s="3" t="inlineStr">
        <is>
          <t>10782</t>
        </is>
      </c>
      <c r="E3582" s="3" t="inlineStr">
        <is>
          <t>Consultant A</t>
        </is>
      </c>
      <c r="F3582" s="3" t="inlineStr">
        <is>
          <t>Professional Fees – January</t>
        </is>
      </c>
      <c r="G3582" s="3" t="inlineStr">
        <is>
          <t>Checking – Operating</t>
        </is>
      </c>
      <c r="H3582" s="3" t="inlineStr">
        <is>
          <t>Professional Fees</t>
        </is>
      </c>
      <c r="I3582" s="33" t="n">
        <v>4719.44</v>
      </c>
      <c r="J3582" s="13">
        <f>+I3582</f>
        <v>4719.44</v>
      </c>
      <c r="K3582" s="19">
        <f>+EOMONTH(B3582,0)</f>
        <v>46053</v>
      </c>
      <c r="L3582" s="3" t="inlineStr">
        <is>
          <t>Professional Fees</t>
        </is>
      </c>
      <c r="M3582" s="3" t="inlineStr">
        <is>
          <t>Legal &amp; Professional Fees</t>
        </is>
      </c>
    </row>
    <row r="3583">
      <c r="B3583" s="39" t="n">
        <v>46052</v>
      </c>
      <c r="C3583" s="3" t="inlineStr">
        <is>
          <t>Journal Entry</t>
        </is>
      </c>
      <c r="D3583" s="3" t="inlineStr">
        <is>
          <t>JE-2656</t>
        </is>
      </c>
      <c r="E3583" s="3" t="inlineStr">
        <is>
          <t>Consultant A</t>
        </is>
      </c>
      <c r="F3583" s="3" t="inlineStr">
        <is>
          <t>Professional Fees – January</t>
        </is>
      </c>
      <c r="G3583" s="3" t="inlineStr">
        <is>
          <t>Checking – Operating</t>
        </is>
      </c>
      <c r="H3583" s="3" t="inlineStr">
        <is>
          <t>Professional Fees</t>
        </is>
      </c>
      <c r="I3583" s="33" t="n">
        <v>5810.56</v>
      </c>
      <c r="J3583" s="13">
        <f>+J3582+I3583</f>
        <v>10530</v>
      </c>
      <c r="K3583" s="19">
        <f>+EOMONTH(B3583,0)</f>
        <v>46053</v>
      </c>
      <c r="L3583" s="3" t="inlineStr">
        <is>
          <t>Professional Fees</t>
        </is>
      </c>
      <c r="M3583" s="3" t="inlineStr">
        <is>
          <t>Legal &amp; Professional Fees</t>
        </is>
      </c>
    </row>
    <row r="3584">
      <c r="B3584" s="39" t="n">
        <v>46074</v>
      </c>
      <c r="C3584" s="3" t="inlineStr">
        <is>
          <t>Expense</t>
        </is>
      </c>
      <c r="D3584" s="3" t="inlineStr">
        <is>
          <t>10784</t>
        </is>
      </c>
      <c r="E3584" s="3" t="inlineStr">
        <is>
          <t>Consultant A</t>
        </is>
      </c>
      <c r="F3584" s="3" t="inlineStr">
        <is>
          <t>Professional Fees – February</t>
        </is>
      </c>
      <c r="G3584" s="3" t="inlineStr">
        <is>
          <t>Checking – Operating</t>
        </is>
      </c>
      <c r="H3584" s="3" t="inlineStr">
        <is>
          <t>Professional Fees</t>
        </is>
      </c>
      <c r="I3584" s="33" t="n">
        <v>5956.46</v>
      </c>
      <c r="J3584" s="13">
        <f>+J3583+I3584</f>
        <v>16486.46</v>
      </c>
      <c r="K3584" s="19">
        <f>+EOMONTH(B3584,0)</f>
        <v>46081</v>
      </c>
      <c r="L3584" s="3" t="inlineStr">
        <is>
          <t>Professional Fees</t>
        </is>
      </c>
      <c r="M3584" s="3" t="inlineStr">
        <is>
          <t>Legal &amp; Professional Fees</t>
        </is>
      </c>
    </row>
    <row r="3585">
      <c r="B3585" s="39" t="n">
        <v>46075</v>
      </c>
      <c r="C3585" s="3" t="inlineStr">
        <is>
          <t>Expense</t>
        </is>
      </c>
      <c r="D3585" s="3" t="inlineStr">
        <is>
          <t>10783</t>
        </is>
      </c>
      <c r="E3585" s="3" t="inlineStr">
        <is>
          <t>Consultant A</t>
        </is>
      </c>
      <c r="F3585" s="3" t="inlineStr">
        <is>
          <t>Professional Fees – February</t>
        </is>
      </c>
      <c r="G3585" s="3" t="inlineStr">
        <is>
          <t>Checking – Operating</t>
        </is>
      </c>
      <c r="H3585" s="3" t="inlineStr">
        <is>
          <t>Professional Fees</t>
        </is>
      </c>
      <c r="I3585" s="33" t="n">
        <v>5293.54</v>
      </c>
      <c r="J3585" s="13">
        <f>+J3584+I3585</f>
        <v>21780</v>
      </c>
      <c r="K3585" s="19">
        <f>+EOMONTH(B3585,0)</f>
        <v>46081</v>
      </c>
      <c r="L3585" s="3" t="inlineStr">
        <is>
          <t>Professional Fees</t>
        </is>
      </c>
      <c r="M3585" s="3" t="inlineStr">
        <is>
          <t>Legal &amp; Professional Fees</t>
        </is>
      </c>
    </row>
    <row r="3586">
      <c r="B3586" s="39" t="n">
        <v>46103</v>
      </c>
      <c r="C3586" s="3" t="inlineStr">
        <is>
          <t>Journal Entry</t>
        </is>
      </c>
      <c r="D3586" s="3" t="inlineStr">
        <is>
          <t>JE-2657</t>
        </is>
      </c>
      <c r="E3586" s="3" t="inlineStr">
        <is>
          <t>Consultant A</t>
        </is>
      </c>
      <c r="F3586" s="3" t="inlineStr">
        <is>
          <t>Professional Fees – March</t>
        </is>
      </c>
      <c r="G3586" s="3" t="inlineStr">
        <is>
          <t>Checking – Operating</t>
        </is>
      </c>
      <c r="H3586" s="3" t="inlineStr">
        <is>
          <t>Professional Fees</t>
        </is>
      </c>
      <c r="I3586" s="33" t="n">
        <v>4769.75</v>
      </c>
      <c r="J3586" s="13">
        <f>+J3585+I3586</f>
        <v>26549.75</v>
      </c>
      <c r="K3586" s="19">
        <f>+EOMONTH(B3586,0)</f>
        <v>46112</v>
      </c>
      <c r="L3586" s="3" t="inlineStr">
        <is>
          <t>Professional Fees</t>
        </is>
      </c>
      <c r="M3586" s="3" t="inlineStr">
        <is>
          <t>Legal &amp; Professional Fees</t>
        </is>
      </c>
    </row>
    <row r="3587">
      <c r="B3587" s="39" t="n">
        <v>46105</v>
      </c>
      <c r="C3587" s="3" t="inlineStr">
        <is>
          <t>Credit Card Expense</t>
        </is>
      </c>
      <c r="D3587" s="3" t="inlineStr"/>
      <c r="E3587" s="3" t="inlineStr">
        <is>
          <t>Consultant A</t>
        </is>
      </c>
      <c r="F3587" s="3" t="inlineStr">
        <is>
          <t>Professional Fees – March</t>
        </is>
      </c>
      <c r="G3587" s="3" t="inlineStr">
        <is>
          <t>Checking – Operating</t>
        </is>
      </c>
      <c r="H3587" s="3" t="inlineStr">
        <is>
          <t>Professional Fees</t>
        </is>
      </c>
      <c r="I3587" s="33" t="n">
        <v>5690.25</v>
      </c>
      <c r="J3587" s="13">
        <f>+J3586+I3587</f>
        <v>32240</v>
      </c>
      <c r="K3587" s="19">
        <f>+EOMONTH(B3587,0)</f>
        <v>46112</v>
      </c>
      <c r="L3587" s="3" t="inlineStr">
        <is>
          <t>Professional Fees</t>
        </is>
      </c>
      <c r="M3587" s="3" t="inlineStr">
        <is>
          <t>Legal &amp; Professional Fees</t>
        </is>
      </c>
    </row>
    <row r="3588">
      <c r="B3588" s="39" t="n">
        <v>46122</v>
      </c>
      <c r="C3588" s="3" t="inlineStr">
        <is>
          <t>Expense</t>
        </is>
      </c>
      <c r="D3588" s="3" t="inlineStr">
        <is>
          <t>10785</t>
        </is>
      </c>
      <c r="E3588" s="3" t="inlineStr">
        <is>
          <t>Consultant A</t>
        </is>
      </c>
      <c r="F3588" s="3" t="inlineStr">
        <is>
          <t>Professional Fees – April</t>
        </is>
      </c>
      <c r="G3588" s="3" t="inlineStr">
        <is>
          <t>Checking – Operating</t>
        </is>
      </c>
      <c r="H3588" s="3" t="inlineStr">
        <is>
          <t>Professional Fees</t>
        </is>
      </c>
      <c r="I3588" s="33" t="n">
        <v>5873.2</v>
      </c>
      <c r="J3588" s="13">
        <f>+J3587+I3588</f>
        <v>38113.2</v>
      </c>
      <c r="K3588" s="19">
        <f>+EOMONTH(B3588,0)</f>
        <v>46142</v>
      </c>
      <c r="L3588" s="3" t="inlineStr">
        <is>
          <t>Professional Fees</t>
        </is>
      </c>
      <c r="M3588" s="3" t="inlineStr">
        <is>
          <t>Legal &amp; Professional Fees</t>
        </is>
      </c>
    </row>
    <row r="3589">
      <c r="B3589" s="39" t="n">
        <v>46129</v>
      </c>
      <c r="C3589" s="3" t="inlineStr">
        <is>
          <t>Journal Entry</t>
        </is>
      </c>
      <c r="D3589" s="3" t="inlineStr">
        <is>
          <t>JE-2658</t>
        </is>
      </c>
      <c r="E3589" s="3" t="inlineStr">
        <is>
          <t>Consultant A</t>
        </is>
      </c>
      <c r="F3589" s="3" t="inlineStr">
        <is>
          <t>Professional Fees – April</t>
        </is>
      </c>
      <c r="G3589" s="3" t="inlineStr">
        <is>
          <t>Checking – Operating</t>
        </is>
      </c>
      <c r="H3589" s="3" t="inlineStr">
        <is>
          <t>Professional Fees</t>
        </is>
      </c>
      <c r="I3589" s="33" t="n">
        <v>4406.8</v>
      </c>
      <c r="J3589" s="13">
        <f>+J3588+I3589</f>
        <v>42520</v>
      </c>
      <c r="K3589" s="19">
        <f>+EOMONTH(B3589,0)</f>
        <v>46142</v>
      </c>
      <c r="L3589" s="3" t="inlineStr">
        <is>
          <t>Professional Fees</t>
        </is>
      </c>
      <c r="M3589" s="3" t="inlineStr">
        <is>
          <t>Legal &amp; Professional Fees</t>
        </is>
      </c>
    </row>
    <row r="3590">
      <c r="B3590" s="39" t="n">
        <v>46150</v>
      </c>
      <c r="C3590" s="3" t="inlineStr">
        <is>
          <t>Journal Entry</t>
        </is>
      </c>
      <c r="D3590" s="3" t="inlineStr">
        <is>
          <t>JE-2659</t>
        </is>
      </c>
      <c r="E3590" s="3" t="inlineStr">
        <is>
          <t>Consultant A</t>
        </is>
      </c>
      <c r="F3590" s="3" t="inlineStr">
        <is>
          <t>Professional Fees – May</t>
        </is>
      </c>
      <c r="G3590" s="3" t="inlineStr">
        <is>
          <t>Checking – Operating</t>
        </is>
      </c>
      <c r="H3590" s="3" t="inlineStr">
        <is>
          <t>Professional Fees</t>
        </is>
      </c>
      <c r="I3590" s="33" t="n">
        <v>5926.39</v>
      </c>
      <c r="J3590" s="13">
        <f>+J3589+I3590</f>
        <v>48446.39</v>
      </c>
      <c r="K3590" s="19">
        <f>+EOMONTH(B3590,0)</f>
        <v>46173</v>
      </c>
      <c r="L3590" s="3" t="inlineStr">
        <is>
          <t>Professional Fees</t>
        </is>
      </c>
      <c r="M3590" s="3" t="inlineStr">
        <is>
          <t>Legal &amp; Professional Fees</t>
        </is>
      </c>
    </row>
    <row r="3591">
      <c r="B3591" s="39" t="n">
        <v>46171</v>
      </c>
      <c r="C3591" s="3" t="inlineStr">
        <is>
          <t>Expense</t>
        </is>
      </c>
      <c r="D3591" s="3" t="inlineStr">
        <is>
          <t>10786</t>
        </is>
      </c>
      <c r="E3591" s="3" t="inlineStr">
        <is>
          <t>Consultant A</t>
        </is>
      </c>
      <c r="F3591" s="3" t="inlineStr">
        <is>
          <t>Professional Fees – May</t>
        </is>
      </c>
      <c r="G3591" s="3" t="inlineStr">
        <is>
          <t>Checking – Operating</t>
        </is>
      </c>
      <c r="H3591" s="3" t="inlineStr">
        <is>
          <t>Professional Fees</t>
        </is>
      </c>
      <c r="I3591" s="33" t="n">
        <v>4573.61</v>
      </c>
      <c r="J3591" s="13">
        <f>+J3590+I3591</f>
        <v>53020</v>
      </c>
      <c r="K3591" s="19">
        <f>+EOMONTH(B3591,0)</f>
        <v>46173</v>
      </c>
      <c r="L3591" s="3" t="inlineStr">
        <is>
          <t>Professional Fees</t>
        </is>
      </c>
      <c r="M3591" s="3" t="inlineStr">
        <is>
          <t>Legal &amp; Professional Fees</t>
        </is>
      </c>
    </row>
    <row r="3592">
      <c r="B3592" s="39" t="n">
        <v>46175</v>
      </c>
      <c r="C3592" s="3" t="inlineStr">
        <is>
          <t>Expense</t>
        </is>
      </c>
      <c r="D3592" s="3" t="inlineStr">
        <is>
          <t>10787</t>
        </is>
      </c>
      <c r="E3592" s="3" t="inlineStr">
        <is>
          <t>Consultant A</t>
        </is>
      </c>
      <c r="F3592" s="3" t="inlineStr">
        <is>
          <t>Professional Fees – June</t>
        </is>
      </c>
      <c r="G3592" s="3" t="inlineStr">
        <is>
          <t>Checking – Operating</t>
        </is>
      </c>
      <c r="H3592" s="3" t="inlineStr">
        <is>
          <t>Professional Fees</t>
        </is>
      </c>
      <c r="I3592" s="33" t="n">
        <v>4793.41</v>
      </c>
      <c r="J3592" s="13">
        <f>+J3591+I3592</f>
        <v>57813.41</v>
      </c>
      <c r="K3592" s="19">
        <f>+EOMONTH(B3592,0)</f>
        <v>46203</v>
      </c>
      <c r="L3592" s="3" t="inlineStr">
        <is>
          <t>Professional Fees</t>
        </is>
      </c>
      <c r="M3592" s="3" t="inlineStr">
        <is>
          <t>Legal &amp; Professional Fees</t>
        </is>
      </c>
    </row>
    <row r="3593">
      <c r="B3593" s="39" t="n">
        <v>46194</v>
      </c>
      <c r="C3593" s="3" t="inlineStr">
        <is>
          <t>Expense</t>
        </is>
      </c>
      <c r="D3593" s="3" t="inlineStr">
        <is>
          <t>10788</t>
        </is>
      </c>
      <c r="E3593" s="3" t="inlineStr">
        <is>
          <t>Consultant A</t>
        </is>
      </c>
      <c r="F3593" s="3" t="inlineStr">
        <is>
          <t>Professional Fees – June</t>
        </is>
      </c>
      <c r="G3593" s="3" t="inlineStr">
        <is>
          <t>Checking – Operating</t>
        </is>
      </c>
      <c r="H3593" s="3" t="inlineStr">
        <is>
          <t>Professional Fees</t>
        </is>
      </c>
      <c r="I3593" s="33" t="n">
        <v>5946.59</v>
      </c>
      <c r="J3593" s="13">
        <f>+J3592+I3593</f>
        <v>63760</v>
      </c>
      <c r="K3593" s="19">
        <f>+EOMONTH(B3593,0)</f>
        <v>46203</v>
      </c>
      <c r="L3593" s="3" t="inlineStr">
        <is>
          <t>Professional Fees</t>
        </is>
      </c>
      <c r="M3593" s="3" t="inlineStr">
        <is>
          <t>Legal &amp; Professional Fees</t>
        </is>
      </c>
    </row>
    <row r="3594">
      <c r="B3594" s="39" t="n">
        <v>46219</v>
      </c>
      <c r="C3594" s="3" t="inlineStr">
        <is>
          <t>Expense</t>
        </is>
      </c>
      <c r="D3594" s="3" t="inlineStr">
        <is>
          <t>10790</t>
        </is>
      </c>
      <c r="E3594" s="3" t="inlineStr">
        <is>
          <t>Consultant A</t>
        </is>
      </c>
      <c r="F3594" s="3" t="inlineStr">
        <is>
          <t>Professional Fees – July</t>
        </is>
      </c>
      <c r="G3594" s="3" t="inlineStr">
        <is>
          <t>Checking – Operating</t>
        </is>
      </c>
      <c r="H3594" s="3" t="inlineStr">
        <is>
          <t>Professional Fees</t>
        </is>
      </c>
      <c r="I3594" s="33" t="n">
        <v>5560.87</v>
      </c>
      <c r="J3594" s="13">
        <f>+J3593+I3594</f>
        <v>69320.87</v>
      </c>
      <c r="K3594" s="19">
        <f>+EOMONTH(B3594,0)</f>
        <v>46234</v>
      </c>
      <c r="L3594" s="3" t="inlineStr">
        <is>
          <t>Professional Fees</t>
        </is>
      </c>
      <c r="M3594" s="3" t="inlineStr">
        <is>
          <t>Legal &amp; Professional Fees</t>
        </is>
      </c>
    </row>
    <row r="3595">
      <c r="B3595" s="39" t="n">
        <v>46222</v>
      </c>
      <c r="C3595" s="3" t="inlineStr">
        <is>
          <t>Expense</t>
        </is>
      </c>
      <c r="D3595" s="3" t="inlineStr">
        <is>
          <t>10789</t>
        </is>
      </c>
      <c r="E3595" s="3" t="inlineStr">
        <is>
          <t>Consultant A</t>
        </is>
      </c>
      <c r="F3595" s="3" t="inlineStr">
        <is>
          <t>Professional Fees – July</t>
        </is>
      </c>
      <c r="G3595" s="3" t="inlineStr">
        <is>
          <t>Checking – Operating</t>
        </is>
      </c>
      <c r="H3595" s="3" t="inlineStr">
        <is>
          <t>Professional Fees</t>
        </is>
      </c>
      <c r="I3595" s="33" t="n">
        <v>5579.13</v>
      </c>
      <c r="J3595" s="13">
        <f>+J3594+I3595</f>
        <v>74900</v>
      </c>
      <c r="K3595" s="19">
        <f>+EOMONTH(B3595,0)</f>
        <v>46234</v>
      </c>
      <c r="L3595" s="3" t="inlineStr">
        <is>
          <t>Professional Fees</t>
        </is>
      </c>
      <c r="M3595" s="3" t="inlineStr">
        <is>
          <t>Legal &amp; Professional Fees</t>
        </is>
      </c>
    </row>
    <row r="3596">
      <c r="B3596" s="39" t="n">
        <v>46235</v>
      </c>
      <c r="C3596" s="3" t="inlineStr">
        <is>
          <t>Journal Entry</t>
        </is>
      </c>
      <c r="D3596" s="3" t="inlineStr">
        <is>
          <t>JE-2660</t>
        </is>
      </c>
      <c r="E3596" s="3" t="inlineStr">
        <is>
          <t>Consultant A</t>
        </is>
      </c>
      <c r="F3596" s="3" t="inlineStr">
        <is>
          <t>Professional Fees – August</t>
        </is>
      </c>
      <c r="G3596" s="3" t="inlineStr">
        <is>
          <t>Checking – Operating</t>
        </is>
      </c>
      <c r="H3596" s="3" t="inlineStr">
        <is>
          <t>Professional Fees</t>
        </is>
      </c>
      <c r="I3596" s="33" t="n">
        <v>4986.04</v>
      </c>
      <c r="J3596" s="13">
        <f>+J3595+I3596</f>
        <v>79886.04</v>
      </c>
      <c r="K3596" s="19">
        <f>+EOMONTH(B3596,0)</f>
        <v>46265</v>
      </c>
      <c r="L3596" s="3" t="inlineStr">
        <is>
          <t>Professional Fees</t>
        </is>
      </c>
      <c r="M3596" s="3" t="inlineStr">
        <is>
          <t>Legal &amp; Professional Fees</t>
        </is>
      </c>
    </row>
    <row r="3597">
      <c r="B3597" s="39" t="n">
        <v>46235</v>
      </c>
      <c r="C3597" s="3" t="inlineStr">
        <is>
          <t>Journal Entry</t>
        </is>
      </c>
      <c r="D3597" s="3" t="inlineStr">
        <is>
          <t>JE-2661</t>
        </is>
      </c>
      <c r="E3597" s="3" t="inlineStr">
        <is>
          <t>Consultant A</t>
        </is>
      </c>
      <c r="F3597" s="3" t="inlineStr">
        <is>
          <t>Professional Fees – August</t>
        </is>
      </c>
      <c r="G3597" s="3" t="inlineStr">
        <is>
          <t>Checking – Operating</t>
        </is>
      </c>
      <c r="H3597" s="3" t="inlineStr">
        <is>
          <t>Professional Fees</t>
        </is>
      </c>
      <c r="I3597" s="33" t="n">
        <v>5873.96</v>
      </c>
      <c r="J3597" s="13">
        <f>+J3596+I3597</f>
        <v>85760</v>
      </c>
      <c r="K3597" s="19">
        <f>+EOMONTH(B3597,0)</f>
        <v>46265</v>
      </c>
      <c r="L3597" s="3" t="inlineStr">
        <is>
          <t>Professional Fees</t>
        </is>
      </c>
      <c r="M3597" s="3" t="inlineStr">
        <is>
          <t>Legal &amp; Professional Fees</t>
        </is>
      </c>
    </row>
    <row r="3598">
      <c r="B3598" s="39" t="n">
        <v>46282</v>
      </c>
      <c r="C3598" s="3" t="inlineStr">
        <is>
          <t>Expense</t>
        </is>
      </c>
      <c r="D3598" s="3" t="inlineStr">
        <is>
          <t>10792</t>
        </is>
      </c>
      <c r="E3598" s="3" t="inlineStr">
        <is>
          <t>Consultant A</t>
        </is>
      </c>
      <c r="F3598" s="3" t="inlineStr">
        <is>
          <t>Professional Fees – September</t>
        </is>
      </c>
      <c r="G3598" s="3" t="inlineStr">
        <is>
          <t>Checking – Operating</t>
        </is>
      </c>
      <c r="H3598" s="3" t="inlineStr">
        <is>
          <t>Professional Fees</t>
        </is>
      </c>
      <c r="I3598" s="33" t="n">
        <v>6893.15</v>
      </c>
      <c r="J3598" s="13">
        <f>+J3597+I3598</f>
        <v>92653.15</v>
      </c>
      <c r="K3598" s="19">
        <f>+EOMONTH(B3598,0)</f>
        <v>46295</v>
      </c>
      <c r="L3598" s="3" t="inlineStr">
        <is>
          <t>Professional Fees</t>
        </is>
      </c>
      <c r="M3598" s="3" t="inlineStr">
        <is>
          <t>Legal &amp; Professional Fees</t>
        </is>
      </c>
    </row>
    <row r="3599">
      <c r="B3599" s="39" t="n">
        <v>46288</v>
      </c>
      <c r="C3599" s="3" t="inlineStr">
        <is>
          <t>Expense</t>
        </is>
      </c>
      <c r="D3599" s="3" t="inlineStr">
        <is>
          <t>10791</t>
        </is>
      </c>
      <c r="E3599" s="3" t="inlineStr">
        <is>
          <t>Consultant A</t>
        </is>
      </c>
      <c r="F3599" s="3" t="inlineStr">
        <is>
          <t>Professional Fees – September</t>
        </is>
      </c>
      <c r="G3599" s="3" t="inlineStr">
        <is>
          <t>Checking – Operating</t>
        </is>
      </c>
      <c r="H3599" s="3" t="inlineStr">
        <is>
          <t>Professional Fees</t>
        </is>
      </c>
      <c r="I3599" s="33" t="n">
        <v>3975.27</v>
      </c>
      <c r="J3599" s="13">
        <f>+J3598+I3599</f>
        <v>96628.42</v>
      </c>
      <c r="K3599" s="19">
        <f>+EOMONTH(B3599,0)</f>
        <v>46295</v>
      </c>
      <c r="L3599" s="3" t="inlineStr">
        <is>
          <t>Professional Fees</t>
        </is>
      </c>
      <c r="M3599" s="3" t="inlineStr">
        <is>
          <t>Legal &amp; Professional Fees</t>
        </is>
      </c>
    </row>
    <row r="3600">
      <c r="B3600" s="39" t="n">
        <v>46323</v>
      </c>
      <c r="C3600" s="3" t="inlineStr">
        <is>
          <t>Journal Entry</t>
        </is>
      </c>
      <c r="D3600" s="3" t="inlineStr">
        <is>
          <t>JE-2662</t>
        </is>
      </c>
      <c r="E3600" s="3" t="inlineStr">
        <is>
          <t>Consultant A</t>
        </is>
      </c>
      <c r="F3600" s="3" t="inlineStr">
        <is>
          <t>Professional Fees – October</t>
        </is>
      </c>
      <c r="G3600" s="3" t="inlineStr">
        <is>
          <t>Checking – Operating</t>
        </is>
      </c>
      <c r="H3600" s="3" t="inlineStr">
        <is>
          <t>Professional Fees</t>
        </is>
      </c>
      <c r="I3600" s="33" t="n">
        <v>5217.92</v>
      </c>
      <c r="J3600" s="13">
        <f>+J3599+I3600</f>
        <v>101846.34</v>
      </c>
      <c r="K3600" s="19">
        <f>+EOMONTH(B3600,0)</f>
        <v>46326</v>
      </c>
      <c r="L3600" s="3" t="inlineStr">
        <is>
          <t>Professional Fees</t>
        </is>
      </c>
      <c r="M3600" s="3" t="inlineStr">
        <is>
          <t>Legal &amp; Professional Fees</t>
        </is>
      </c>
    </row>
    <row r="3601">
      <c r="B3601" s="39" t="n">
        <v>46325</v>
      </c>
      <c r="C3601" s="3" t="inlineStr">
        <is>
          <t>Expense</t>
        </is>
      </c>
      <c r="D3601" s="3" t="inlineStr">
        <is>
          <t>10793</t>
        </is>
      </c>
      <c r="E3601" s="3" t="inlineStr">
        <is>
          <t>Consultant A</t>
        </is>
      </c>
      <c r="F3601" s="3" t="inlineStr">
        <is>
          <t>Professional Fees – October</t>
        </is>
      </c>
      <c r="G3601" s="3" t="inlineStr">
        <is>
          <t>Checking – Operating</t>
        </is>
      </c>
      <c r="H3601" s="3" t="inlineStr">
        <is>
          <t>Professional Fees</t>
        </is>
      </c>
      <c r="I3601" s="33" t="n">
        <v>6151.79</v>
      </c>
      <c r="J3601" s="13">
        <f>+J3600+I3601</f>
        <v>107998.13</v>
      </c>
      <c r="K3601" s="19">
        <f>+EOMONTH(B3601,0)</f>
        <v>46326</v>
      </c>
      <c r="L3601" s="3" t="inlineStr">
        <is>
          <t>Professional Fees</t>
        </is>
      </c>
      <c r="M3601" s="3" t="inlineStr">
        <is>
          <t>Legal &amp; Professional Fees</t>
        </is>
      </c>
    </row>
    <row r="3602">
      <c r="B3602" s="39" t="n">
        <v>46342</v>
      </c>
      <c r="C3602" s="3" t="inlineStr">
        <is>
          <t>Expense</t>
        </is>
      </c>
      <c r="D3602" s="3" t="inlineStr">
        <is>
          <t>10794</t>
        </is>
      </c>
      <c r="E3602" s="3" t="inlineStr">
        <is>
          <t>Consultant A</t>
        </is>
      </c>
      <c r="F3602" s="3" t="inlineStr">
        <is>
          <t>Professional Fees – November</t>
        </is>
      </c>
      <c r="G3602" s="3" t="inlineStr">
        <is>
          <t>Checking – Operating</t>
        </is>
      </c>
      <c r="H3602" s="3" t="inlineStr">
        <is>
          <t>Professional Fees</t>
        </is>
      </c>
      <c r="I3602" s="33" t="n">
        <v>6034.04</v>
      </c>
      <c r="J3602" s="13">
        <f>+J3601+I3602</f>
        <v>114032.17</v>
      </c>
      <c r="K3602" s="19">
        <f>+EOMONTH(B3602,0)</f>
        <v>46356</v>
      </c>
      <c r="L3602" s="3" t="inlineStr">
        <is>
          <t>Professional Fees</t>
        </is>
      </c>
      <c r="M3602" s="3" t="inlineStr">
        <is>
          <t>Legal &amp; Professional Fees</t>
        </is>
      </c>
    </row>
    <row r="3603">
      <c r="B3603" s="39" t="n">
        <v>46346</v>
      </c>
      <c r="C3603" s="3" t="inlineStr">
        <is>
          <t>Journal Entry</t>
        </is>
      </c>
      <c r="D3603" s="3" t="inlineStr">
        <is>
          <t>JE-2663</t>
        </is>
      </c>
      <c r="E3603" s="3" t="inlineStr">
        <is>
          <t>Consultant A</t>
        </is>
      </c>
      <c r="F3603" s="3" t="inlineStr">
        <is>
          <t>Professional Fees – November</t>
        </is>
      </c>
      <c r="G3603" s="3" t="inlineStr">
        <is>
          <t>Checking – Operating</t>
        </is>
      </c>
      <c r="H3603" s="3" t="inlineStr">
        <is>
          <t>Professional Fees</t>
        </is>
      </c>
      <c r="I3603" s="33" t="n">
        <v>5531.26</v>
      </c>
      <c r="J3603" s="13">
        <f>+J3602+I3603</f>
        <v>119563.43</v>
      </c>
      <c r="K3603" s="19">
        <f>+EOMONTH(B3603,0)</f>
        <v>46356</v>
      </c>
      <c r="L3603" s="3" t="inlineStr">
        <is>
          <t>Professional Fees</t>
        </is>
      </c>
      <c r="M3603" s="3" t="inlineStr">
        <is>
          <t>Legal &amp; Professional Fees</t>
        </is>
      </c>
    </row>
    <row r="3604">
      <c r="A3604" s="2" t="inlineStr">
        <is>
          <t>Total for Professional Fees</t>
        </is>
      </c>
      <c r="I3604" s="35">
        <f>SUM(I3582:I3603)</f>
        <v>119563.43</v>
      </c>
    </row>
    <row r="3606">
      <c r="A3606" s="2" t="inlineStr">
        <is>
          <t>Lab Credentialing</t>
        </is>
      </c>
    </row>
    <row r="3607">
      <c r="B3607" s="39" t="n">
        <v>46031</v>
      </c>
      <c r="C3607" s="3" t="inlineStr">
        <is>
          <t>Credit Card Expense</t>
        </is>
      </c>
      <c r="D3607" s="3" t="inlineStr"/>
      <c r="E3607" s="3" t="inlineStr"/>
      <c r="F3607" s="3" t="inlineStr">
        <is>
          <t>Lab Credentialing – January</t>
        </is>
      </c>
      <c r="G3607" s="3" t="inlineStr">
        <is>
          <t>Checking – Operating</t>
        </is>
      </c>
      <c r="H3607" s="3" t="inlineStr">
        <is>
          <t>Lab Credentialing</t>
        </is>
      </c>
      <c r="I3607" s="33" t="n">
        <v>871.1</v>
      </c>
      <c r="J3607" s="13">
        <f>+I3607</f>
        <v>871.1</v>
      </c>
      <c r="K3607" s="19">
        <f>+EOMONTH(B3607,0)</f>
        <v>46053</v>
      </c>
      <c r="L3607" s="3" t="inlineStr">
        <is>
          <t>Lab Credentialing</t>
        </is>
      </c>
      <c r="M3607" s="3" t="inlineStr">
        <is>
          <t>Lab Credentialing</t>
        </is>
      </c>
    </row>
    <row r="3608">
      <c r="B3608" s="39" t="n">
        <v>46053</v>
      </c>
      <c r="C3608" s="3" t="inlineStr">
        <is>
          <t>Credit Card Expense</t>
        </is>
      </c>
      <c r="D3608" s="3" t="inlineStr"/>
      <c r="E3608" s="3" t="inlineStr"/>
      <c r="F3608" s="3" t="inlineStr">
        <is>
          <t>Lab Credentialing – January</t>
        </is>
      </c>
      <c r="G3608" s="3" t="inlineStr">
        <is>
          <t>Checking – Operating</t>
        </is>
      </c>
      <c r="H3608" s="3" t="inlineStr">
        <is>
          <t>Lab Credentialing</t>
        </is>
      </c>
      <c r="I3608" s="33" t="n">
        <v>928.9</v>
      </c>
      <c r="J3608" s="13">
        <f>+J3607+I3608</f>
        <v>1800</v>
      </c>
      <c r="K3608" s="19">
        <f>+EOMONTH(B3608,0)</f>
        <v>46053</v>
      </c>
      <c r="L3608" s="3" t="inlineStr">
        <is>
          <t>Lab Credentialing</t>
        </is>
      </c>
      <c r="M3608" s="3" t="inlineStr">
        <is>
          <t>Lab Credentialing</t>
        </is>
      </c>
    </row>
    <row r="3609">
      <c r="B3609" s="39" t="n">
        <v>46056</v>
      </c>
      <c r="C3609" s="3" t="inlineStr">
        <is>
          <t>Credit Card Expense</t>
        </is>
      </c>
      <c r="D3609" s="3" t="inlineStr"/>
      <c r="E3609" s="3" t="inlineStr"/>
      <c r="F3609" s="3" t="inlineStr">
        <is>
          <t>Lab Credentialing – February</t>
        </is>
      </c>
      <c r="G3609" s="3" t="inlineStr">
        <is>
          <t>Checking – Operating</t>
        </is>
      </c>
      <c r="H3609" s="3" t="inlineStr">
        <is>
          <t>Lab Credentialing</t>
        </is>
      </c>
      <c r="I3609" s="33" t="n">
        <v>922.1</v>
      </c>
      <c r="J3609" s="13">
        <f>+J3608+I3609</f>
        <v>2722.1</v>
      </c>
      <c r="K3609" s="19">
        <f>+EOMONTH(B3609,0)</f>
        <v>46081</v>
      </c>
      <c r="L3609" s="3" t="inlineStr">
        <is>
          <t>Lab Credentialing</t>
        </is>
      </c>
      <c r="M3609" s="3" t="inlineStr">
        <is>
          <t>Lab Credentialing</t>
        </is>
      </c>
    </row>
    <row r="3610">
      <c r="B3610" s="39" t="n">
        <v>46066</v>
      </c>
      <c r="C3610" s="3" t="inlineStr">
        <is>
          <t>Journal Entry</t>
        </is>
      </c>
      <c r="D3610" s="3" t="inlineStr">
        <is>
          <t>JE-2664</t>
        </is>
      </c>
      <c r="E3610" s="3" t="inlineStr"/>
      <c r="F3610" s="3" t="inlineStr">
        <is>
          <t>Lab Credentialing – February</t>
        </is>
      </c>
      <c r="G3610" s="3" t="inlineStr">
        <is>
          <t>Checking – Operating</t>
        </is>
      </c>
      <c r="H3610" s="3" t="inlineStr">
        <is>
          <t>Lab Credentialing</t>
        </is>
      </c>
      <c r="I3610" s="33" t="n">
        <v>977.9</v>
      </c>
      <c r="J3610" s="13">
        <f>+J3609+I3610</f>
        <v>3700</v>
      </c>
      <c r="K3610" s="19">
        <f>+EOMONTH(B3610,0)</f>
        <v>46081</v>
      </c>
      <c r="L3610" s="3" t="inlineStr">
        <is>
          <t>Lab Credentialing</t>
        </is>
      </c>
      <c r="M3610" s="3" t="inlineStr">
        <is>
          <t>Lab Credentialing</t>
        </is>
      </c>
    </row>
    <row r="3611">
      <c r="B3611" s="39" t="n">
        <v>46093</v>
      </c>
      <c r="C3611" s="3" t="inlineStr">
        <is>
          <t>Credit Card Expense</t>
        </is>
      </c>
      <c r="D3611" s="3" t="inlineStr"/>
      <c r="E3611" s="3" t="inlineStr"/>
      <c r="F3611" s="3" t="inlineStr">
        <is>
          <t>Lab Credentialing – March</t>
        </is>
      </c>
      <c r="G3611" s="3" t="inlineStr">
        <is>
          <t>Checking – Operating</t>
        </is>
      </c>
      <c r="H3611" s="3" t="inlineStr">
        <is>
          <t>Lab Credentialing</t>
        </is>
      </c>
      <c r="I3611" s="33" t="n">
        <v>668.4</v>
      </c>
      <c r="J3611" s="13">
        <f>+J3610+I3611</f>
        <v>4368.4</v>
      </c>
      <c r="K3611" s="19">
        <f>+EOMONTH(B3611,0)</f>
        <v>46112</v>
      </c>
      <c r="L3611" s="3" t="inlineStr">
        <is>
          <t>Lab Credentialing</t>
        </is>
      </c>
      <c r="M3611" s="3" t="inlineStr">
        <is>
          <t>Lab Credentialing</t>
        </is>
      </c>
    </row>
    <row r="3612">
      <c r="B3612" s="39" t="n">
        <v>46106</v>
      </c>
      <c r="C3612" s="3" t="inlineStr">
        <is>
          <t>Credit Card Expense</t>
        </is>
      </c>
      <c r="D3612" s="3" t="inlineStr"/>
      <c r="E3612" s="3" t="inlineStr"/>
      <c r="F3612" s="3" t="inlineStr">
        <is>
          <t>Lab Credentialing – March</t>
        </is>
      </c>
      <c r="G3612" s="3" t="inlineStr">
        <is>
          <t>Checking – Operating</t>
        </is>
      </c>
      <c r="H3612" s="3" t="inlineStr">
        <is>
          <t>Lab Credentialing</t>
        </is>
      </c>
      <c r="I3612" s="33" t="n">
        <v>1231.6</v>
      </c>
      <c r="J3612" s="13">
        <f>+J3611+I3612</f>
        <v>5600</v>
      </c>
      <c r="K3612" s="19">
        <f>+EOMONTH(B3612,0)</f>
        <v>46112</v>
      </c>
      <c r="L3612" s="3" t="inlineStr">
        <is>
          <t>Lab Credentialing</t>
        </is>
      </c>
      <c r="M3612" s="3" t="inlineStr">
        <is>
          <t>Lab Credentialing</t>
        </is>
      </c>
    </row>
    <row r="3613">
      <c r="B3613" s="39" t="n">
        <v>46119</v>
      </c>
      <c r="C3613" s="3" t="inlineStr">
        <is>
          <t>Expense</t>
        </is>
      </c>
      <c r="D3613" s="3" t="inlineStr">
        <is>
          <t>10795</t>
        </is>
      </c>
      <c r="E3613" s="3" t="inlineStr"/>
      <c r="F3613" s="3" t="inlineStr">
        <is>
          <t>Lab Credentialing – April</t>
        </is>
      </c>
      <c r="G3613" s="3" t="inlineStr">
        <is>
          <t>Checking – Operating</t>
        </is>
      </c>
      <c r="H3613" s="3" t="inlineStr">
        <is>
          <t>Lab Credentialing</t>
        </is>
      </c>
      <c r="I3613" s="33" t="n">
        <v>743.84</v>
      </c>
      <c r="J3613" s="13">
        <f>+J3612+I3613</f>
        <v>6343.84</v>
      </c>
      <c r="K3613" s="19">
        <f>+EOMONTH(B3613,0)</f>
        <v>46142</v>
      </c>
      <c r="L3613" s="3" t="inlineStr">
        <is>
          <t>Lab Credentialing</t>
        </is>
      </c>
      <c r="M3613" s="3" t="inlineStr">
        <is>
          <t>Lab Credentialing</t>
        </is>
      </c>
    </row>
    <row r="3614">
      <c r="B3614" s="39" t="n">
        <v>46134</v>
      </c>
      <c r="C3614" s="3" t="inlineStr">
        <is>
          <t>Expense</t>
        </is>
      </c>
      <c r="D3614" s="3" t="inlineStr">
        <is>
          <t>10796</t>
        </is>
      </c>
      <c r="E3614" s="3" t="inlineStr"/>
      <c r="F3614" s="3" t="inlineStr">
        <is>
          <t>Lab Credentialing – April</t>
        </is>
      </c>
      <c r="G3614" s="3" t="inlineStr">
        <is>
          <t>Checking – Operating</t>
        </is>
      </c>
      <c r="H3614" s="3" t="inlineStr">
        <is>
          <t>Lab Credentialing</t>
        </is>
      </c>
      <c r="I3614" s="33" t="n">
        <v>956.16</v>
      </c>
      <c r="J3614" s="13">
        <f>+J3613+I3614</f>
        <v>7300</v>
      </c>
      <c r="K3614" s="19">
        <f>+EOMONTH(B3614,0)</f>
        <v>46142</v>
      </c>
      <c r="L3614" s="3" t="inlineStr">
        <is>
          <t>Lab Credentialing</t>
        </is>
      </c>
      <c r="M3614" s="3" t="inlineStr">
        <is>
          <t>Lab Credentialing</t>
        </is>
      </c>
    </row>
    <row r="3615">
      <c r="B3615" s="39" t="n">
        <v>46165</v>
      </c>
      <c r="C3615" s="3" t="inlineStr">
        <is>
          <t>Credit Card Expense</t>
        </is>
      </c>
      <c r="D3615" s="3" t="inlineStr"/>
      <c r="E3615" s="3" t="inlineStr"/>
      <c r="F3615" s="3" t="inlineStr">
        <is>
          <t>Lab Credentialing – May</t>
        </is>
      </c>
      <c r="G3615" s="3" t="inlineStr">
        <is>
          <t>Checking – Operating</t>
        </is>
      </c>
      <c r="H3615" s="3" t="inlineStr">
        <is>
          <t>Lab Credentialing</t>
        </is>
      </c>
      <c r="I3615" s="33" t="n">
        <v>1061.4</v>
      </c>
      <c r="J3615" s="13">
        <f>+J3614+I3615</f>
        <v>8361.4</v>
      </c>
      <c r="K3615" s="19">
        <f>+EOMONTH(B3615,0)</f>
        <v>46173</v>
      </c>
      <c r="L3615" s="3" t="inlineStr">
        <is>
          <t>Lab Credentialing</t>
        </is>
      </c>
      <c r="M3615" s="3" t="inlineStr">
        <is>
          <t>Lab Credentialing</t>
        </is>
      </c>
    </row>
    <row r="3616">
      <c r="B3616" s="39" t="n">
        <v>46167</v>
      </c>
      <c r="C3616" s="3" t="inlineStr">
        <is>
          <t>Journal Entry</t>
        </is>
      </c>
      <c r="D3616" s="3" t="inlineStr">
        <is>
          <t>JE-2665</t>
        </is>
      </c>
      <c r="E3616" s="3" t="inlineStr"/>
      <c r="F3616" s="3" t="inlineStr">
        <is>
          <t>Lab Credentialing – May</t>
        </is>
      </c>
      <c r="G3616" s="3" t="inlineStr">
        <is>
          <t>Checking – Operating</t>
        </is>
      </c>
      <c r="H3616" s="3" t="inlineStr">
        <is>
          <t>Lab Credentialing</t>
        </is>
      </c>
      <c r="I3616" s="33" t="n">
        <v>738.6</v>
      </c>
      <c r="J3616" s="13">
        <f>+J3615+I3616</f>
        <v>9100</v>
      </c>
      <c r="K3616" s="19">
        <f>+EOMONTH(B3616,0)</f>
        <v>46173</v>
      </c>
      <c r="L3616" s="3" t="inlineStr">
        <is>
          <t>Lab Credentialing</t>
        </is>
      </c>
      <c r="M3616" s="3" t="inlineStr">
        <is>
          <t>Lab Credentialing</t>
        </is>
      </c>
    </row>
    <row r="3617">
      <c r="B3617" s="39" t="n">
        <v>46182</v>
      </c>
      <c r="C3617" s="3" t="inlineStr">
        <is>
          <t>Expense</t>
        </is>
      </c>
      <c r="D3617" s="3" t="inlineStr">
        <is>
          <t>10797</t>
        </is>
      </c>
      <c r="E3617" s="3" t="inlineStr"/>
      <c r="F3617" s="3" t="inlineStr">
        <is>
          <t>Lab Credentialing – June</t>
        </is>
      </c>
      <c r="G3617" s="3" t="inlineStr">
        <is>
          <t>Checking – Operating</t>
        </is>
      </c>
      <c r="H3617" s="3" t="inlineStr">
        <is>
          <t>Lab Credentialing</t>
        </is>
      </c>
      <c r="I3617" s="33" t="n">
        <v>1054.34</v>
      </c>
      <c r="J3617" s="13">
        <f>+J3616+I3617</f>
        <v>10154.34</v>
      </c>
      <c r="K3617" s="19">
        <f>+EOMONTH(B3617,0)</f>
        <v>46203</v>
      </c>
      <c r="L3617" s="3" t="inlineStr">
        <is>
          <t>Lab Credentialing</t>
        </is>
      </c>
      <c r="M3617" s="3" t="inlineStr">
        <is>
          <t>Lab Credentialing</t>
        </is>
      </c>
    </row>
    <row r="3618">
      <c r="B3618" s="39" t="n">
        <v>46187</v>
      </c>
      <c r="C3618" s="3" t="inlineStr">
        <is>
          <t>Journal Entry</t>
        </is>
      </c>
      <c r="D3618" s="3" t="inlineStr">
        <is>
          <t>JE-2666</t>
        </is>
      </c>
      <c r="E3618" s="3" t="inlineStr"/>
      <c r="F3618" s="3" t="inlineStr">
        <is>
          <t>Lab Credentialing – June</t>
        </is>
      </c>
      <c r="G3618" s="3" t="inlineStr">
        <is>
          <t>Checking – Operating</t>
        </is>
      </c>
      <c r="H3618" s="3" t="inlineStr">
        <is>
          <t>Lab Credentialing</t>
        </is>
      </c>
      <c r="I3618" s="33" t="n">
        <v>845.66</v>
      </c>
      <c r="J3618" s="13">
        <f>+J3617+I3618</f>
        <v>11000</v>
      </c>
      <c r="K3618" s="19">
        <f>+EOMONTH(B3618,0)</f>
        <v>46203</v>
      </c>
      <c r="L3618" s="3" t="inlineStr">
        <is>
          <t>Lab Credentialing</t>
        </is>
      </c>
      <c r="M3618" s="3" t="inlineStr">
        <is>
          <t>Lab Credentialing</t>
        </is>
      </c>
    </row>
    <row r="3619">
      <c r="B3619" s="39" t="n">
        <v>46222</v>
      </c>
      <c r="C3619" s="3" t="inlineStr">
        <is>
          <t>Expense</t>
        </is>
      </c>
      <c r="D3619" s="3" t="inlineStr">
        <is>
          <t>10798</t>
        </is>
      </c>
      <c r="E3619" s="3" t="inlineStr"/>
      <c r="F3619" s="3" t="inlineStr">
        <is>
          <t>Lab Credentialing – July</t>
        </is>
      </c>
      <c r="G3619" s="3" t="inlineStr">
        <is>
          <t>Checking – Operating</t>
        </is>
      </c>
      <c r="H3619" s="3" t="inlineStr">
        <is>
          <t>Lab Credentialing</t>
        </is>
      </c>
      <c r="I3619" s="33" t="n">
        <v>744.77</v>
      </c>
      <c r="J3619" s="13">
        <f>+J3618+I3619</f>
        <v>11744.77</v>
      </c>
      <c r="K3619" s="19">
        <f>+EOMONTH(B3619,0)</f>
        <v>46234</v>
      </c>
      <c r="L3619" s="3" t="inlineStr">
        <is>
          <t>Lab Credentialing</t>
        </is>
      </c>
      <c r="M3619" s="3" t="inlineStr">
        <is>
          <t>Lab Credentialing</t>
        </is>
      </c>
    </row>
    <row r="3620">
      <c r="B3620" s="39" t="n">
        <v>46233</v>
      </c>
      <c r="C3620" s="3" t="inlineStr">
        <is>
          <t>Credit Card Expense</t>
        </is>
      </c>
      <c r="D3620" s="3" t="inlineStr"/>
      <c r="E3620" s="3" t="inlineStr"/>
      <c r="F3620" s="3" t="inlineStr">
        <is>
          <t>Lab Credentialing – July</t>
        </is>
      </c>
      <c r="G3620" s="3" t="inlineStr">
        <is>
          <t>Checking – Operating</t>
        </is>
      </c>
      <c r="H3620" s="3" t="inlineStr">
        <is>
          <t>Lab Credentialing</t>
        </is>
      </c>
      <c r="I3620" s="33" t="n">
        <v>1155.23</v>
      </c>
      <c r="J3620" s="13">
        <f>+J3619+I3620</f>
        <v>12900</v>
      </c>
      <c r="K3620" s="19">
        <f>+EOMONTH(B3620,0)</f>
        <v>46234</v>
      </c>
      <c r="L3620" s="3" t="inlineStr">
        <is>
          <t>Lab Credentialing</t>
        </is>
      </c>
      <c r="M3620" s="3" t="inlineStr">
        <is>
          <t>Lab Credentialing</t>
        </is>
      </c>
    </row>
    <row r="3621">
      <c r="B3621" s="39" t="n">
        <v>46242</v>
      </c>
      <c r="C3621" s="3" t="inlineStr">
        <is>
          <t>Expense</t>
        </is>
      </c>
      <c r="D3621" s="3" t="inlineStr">
        <is>
          <t>10800</t>
        </is>
      </c>
      <c r="E3621" s="3" t="inlineStr"/>
      <c r="F3621" s="3" t="inlineStr">
        <is>
          <t>Lab Credentialing – August</t>
        </is>
      </c>
      <c r="G3621" s="3" t="inlineStr">
        <is>
          <t>Checking – Operating</t>
        </is>
      </c>
      <c r="H3621" s="3" t="inlineStr">
        <is>
          <t>Lab Credentialing</t>
        </is>
      </c>
      <c r="I3621" s="33" t="n">
        <v>678.0599999999999</v>
      </c>
      <c r="J3621" s="13">
        <f>+J3620+I3621</f>
        <v>13578.06</v>
      </c>
      <c r="K3621" s="19">
        <f>+EOMONTH(B3621,0)</f>
        <v>46265</v>
      </c>
      <c r="L3621" s="3" t="inlineStr">
        <is>
          <t>Lab Credentialing</t>
        </is>
      </c>
      <c r="M3621" s="3" t="inlineStr">
        <is>
          <t>Lab Credentialing</t>
        </is>
      </c>
    </row>
    <row r="3622">
      <c r="B3622" s="39" t="n">
        <v>46258</v>
      </c>
      <c r="C3622" s="3" t="inlineStr">
        <is>
          <t>Expense</t>
        </is>
      </c>
      <c r="D3622" s="3" t="inlineStr">
        <is>
          <t>10799</t>
        </is>
      </c>
      <c r="E3622" s="3" t="inlineStr"/>
      <c r="F3622" s="3" t="inlineStr">
        <is>
          <t>Lab Credentialing – August</t>
        </is>
      </c>
      <c r="G3622" s="3" t="inlineStr">
        <is>
          <t>Checking – Operating</t>
        </is>
      </c>
      <c r="H3622" s="3" t="inlineStr">
        <is>
          <t>Lab Credentialing</t>
        </is>
      </c>
      <c r="I3622" s="33" t="n">
        <v>1121.94</v>
      </c>
      <c r="J3622" s="13">
        <f>+J3621+I3622</f>
        <v>14700</v>
      </c>
      <c r="K3622" s="19">
        <f>+EOMONTH(B3622,0)</f>
        <v>46265</v>
      </c>
      <c r="L3622" s="3" t="inlineStr">
        <is>
          <t>Lab Credentialing</t>
        </is>
      </c>
      <c r="M3622" s="3" t="inlineStr">
        <is>
          <t>Lab Credentialing</t>
        </is>
      </c>
    </row>
    <row r="3623">
      <c r="B3623" s="39" t="n">
        <v>46289</v>
      </c>
      <c r="C3623" s="3" t="inlineStr">
        <is>
          <t>Expense</t>
        </is>
      </c>
      <c r="D3623" s="3" t="inlineStr">
        <is>
          <t>10801</t>
        </is>
      </c>
      <c r="E3623" s="3" t="inlineStr"/>
      <c r="F3623" s="3" t="inlineStr">
        <is>
          <t>Lab Credentialing – September</t>
        </is>
      </c>
      <c r="G3623" s="3" t="inlineStr">
        <is>
          <t>Checking – Operating</t>
        </is>
      </c>
      <c r="H3623" s="3" t="inlineStr">
        <is>
          <t>Lab Credentialing</t>
        </is>
      </c>
      <c r="I3623" s="33" t="n">
        <v>1907.69</v>
      </c>
      <c r="J3623" s="13">
        <f>+J3622+I3623</f>
        <v>16607.69</v>
      </c>
      <c r="K3623" s="19">
        <f>+EOMONTH(B3623,0)</f>
        <v>46295</v>
      </c>
      <c r="L3623" s="3" t="inlineStr">
        <is>
          <t>Lab Credentialing</t>
        </is>
      </c>
      <c r="M3623" s="3" t="inlineStr">
        <is>
          <t>Lab Credentialing</t>
        </is>
      </c>
    </row>
    <row r="3624">
      <c r="B3624" s="39" t="n">
        <v>46303</v>
      </c>
      <c r="C3624" s="3" t="inlineStr">
        <is>
          <t>Expense</t>
        </is>
      </c>
      <c r="D3624" s="3" t="inlineStr">
        <is>
          <t>10802</t>
        </is>
      </c>
      <c r="E3624" s="3" t="inlineStr"/>
      <c r="F3624" s="3" t="inlineStr">
        <is>
          <t>Lab Credentialing – October</t>
        </is>
      </c>
      <c r="G3624" s="3" t="inlineStr">
        <is>
          <t>Checking – Operating</t>
        </is>
      </c>
      <c r="H3624" s="3" t="inlineStr">
        <is>
          <t>Lab Credentialing</t>
        </is>
      </c>
      <c r="I3624" s="33" t="n">
        <v>1839.54</v>
      </c>
      <c r="J3624" s="13">
        <f>+J3623+I3624</f>
        <v>18447.23</v>
      </c>
      <c r="K3624" s="19">
        <f>+EOMONTH(B3624,0)</f>
        <v>46326</v>
      </c>
      <c r="L3624" s="3" t="inlineStr">
        <is>
          <t>Lab Credentialing</t>
        </is>
      </c>
      <c r="M3624" s="3" t="inlineStr">
        <is>
          <t>Lab Credentialing</t>
        </is>
      </c>
    </row>
    <row r="3625">
      <c r="B3625" s="39" t="n">
        <v>46328</v>
      </c>
      <c r="C3625" s="3" t="inlineStr">
        <is>
          <t>Expense</t>
        </is>
      </c>
      <c r="D3625" s="3" t="inlineStr">
        <is>
          <t>10804</t>
        </is>
      </c>
      <c r="E3625" s="3" t="inlineStr"/>
      <c r="F3625" s="3" t="inlineStr">
        <is>
          <t>Lab Credentialing – November</t>
        </is>
      </c>
      <c r="G3625" s="3" t="inlineStr">
        <is>
          <t>Checking – Operating</t>
        </is>
      </c>
      <c r="H3625" s="3" t="inlineStr">
        <is>
          <t>Lab Credentialing</t>
        </is>
      </c>
      <c r="I3625" s="33" t="n">
        <v>827.64</v>
      </c>
      <c r="J3625" s="13">
        <f>+J3624+I3625</f>
        <v>19274.87</v>
      </c>
      <c r="K3625" s="19">
        <f>+EOMONTH(B3625,0)</f>
        <v>46356</v>
      </c>
      <c r="L3625" s="3" t="inlineStr">
        <is>
          <t>Lab Credentialing</t>
        </is>
      </c>
      <c r="M3625" s="3" t="inlineStr">
        <is>
          <t>Lab Credentialing</t>
        </is>
      </c>
    </row>
    <row r="3626">
      <c r="B3626" s="39" t="n">
        <v>46344</v>
      </c>
      <c r="C3626" s="3" t="inlineStr">
        <is>
          <t>Expense</t>
        </is>
      </c>
      <c r="D3626" s="3" t="inlineStr">
        <is>
          <t>10803</t>
        </is>
      </c>
      <c r="E3626" s="3" t="inlineStr"/>
      <c r="F3626" s="3" t="inlineStr">
        <is>
          <t>Lab Credentialing – November</t>
        </is>
      </c>
      <c r="G3626" s="3" t="inlineStr">
        <is>
          <t>Checking – Operating</t>
        </is>
      </c>
      <c r="H3626" s="3" t="inlineStr">
        <is>
          <t>Lab Credentialing</t>
        </is>
      </c>
      <c r="I3626" s="33" t="n">
        <v>1059.92</v>
      </c>
      <c r="J3626" s="13">
        <f>+J3625+I3626</f>
        <v>20334.79</v>
      </c>
      <c r="K3626" s="19">
        <f>+EOMONTH(B3626,0)</f>
        <v>46356</v>
      </c>
      <c r="L3626" s="3" t="inlineStr">
        <is>
          <t>Lab Credentialing</t>
        </is>
      </c>
      <c r="M3626" s="3" t="inlineStr">
        <is>
          <t>Lab Credentialing</t>
        </is>
      </c>
    </row>
    <row r="3627">
      <c r="A3627" s="2" t="inlineStr">
        <is>
          <t>Total for Lab Credentialing</t>
        </is>
      </c>
      <c r="I3627" s="35">
        <f>SUM(I3607:I3626)</f>
        <v>20334.79</v>
      </c>
    </row>
    <row r="3629">
      <c r="A3629" s="2" t="inlineStr">
        <is>
          <t>Office Supplies</t>
        </is>
      </c>
    </row>
    <row r="3630">
      <c r="B3630" s="39" t="n">
        <v>46028</v>
      </c>
      <c r="C3630" s="3" t="inlineStr">
        <is>
          <t>Expense</t>
        </is>
      </c>
      <c r="D3630" s="3" t="inlineStr">
        <is>
          <t>10805</t>
        </is>
      </c>
      <c r="E3630" s="3" t="inlineStr">
        <is>
          <t>Vialtrace Lab Supplies Inc</t>
        </is>
      </c>
      <c r="F3630" s="3" t="inlineStr">
        <is>
          <t>Office Supplies – January</t>
        </is>
      </c>
      <c r="G3630" s="3" t="inlineStr">
        <is>
          <t>Checking – Operating</t>
        </is>
      </c>
      <c r="H3630" s="3" t="inlineStr">
        <is>
          <t>Office Supplies</t>
        </is>
      </c>
      <c r="I3630" s="33" t="n">
        <v>1529.96</v>
      </c>
      <c r="J3630" s="13">
        <f>+I3630</f>
        <v>1529.96</v>
      </c>
      <c r="K3630" s="19">
        <f>+EOMONTH(B3630,0)</f>
        <v>46053</v>
      </c>
      <c r="L3630" s="3" t="inlineStr">
        <is>
          <t>Office Supplies</t>
        </is>
      </c>
      <c r="M3630" s="3" t="inlineStr">
        <is>
          <t>Office Expense, Supplies &amp; Postage</t>
        </is>
      </c>
    </row>
    <row r="3631">
      <c r="B3631" s="39" t="n">
        <v>46050</v>
      </c>
      <c r="C3631" s="3" t="inlineStr">
        <is>
          <t>Expense</t>
        </is>
      </c>
      <c r="D3631" s="3" t="inlineStr">
        <is>
          <t>10806</t>
        </is>
      </c>
      <c r="E3631" s="3" t="inlineStr">
        <is>
          <t>Vialtrace Lab Supplies Inc</t>
        </is>
      </c>
      <c r="F3631" s="3" t="inlineStr">
        <is>
          <t>Office Supplies – January</t>
        </is>
      </c>
      <c r="G3631" s="3" t="inlineStr">
        <is>
          <t>Checking – Operating</t>
        </is>
      </c>
      <c r="H3631" s="3" t="inlineStr">
        <is>
          <t>Office Supplies</t>
        </is>
      </c>
      <c r="I3631" s="33" t="n">
        <v>1590.04</v>
      </c>
      <c r="J3631" s="13">
        <f>+J3630+I3631</f>
        <v>3120</v>
      </c>
      <c r="K3631" s="19">
        <f>+EOMONTH(B3631,0)</f>
        <v>46053</v>
      </c>
      <c r="L3631" s="3" t="inlineStr">
        <is>
          <t>Office Supplies</t>
        </is>
      </c>
      <c r="M3631" s="3" t="inlineStr">
        <is>
          <t>Office Expense, Supplies &amp; Postage</t>
        </is>
      </c>
    </row>
    <row r="3632">
      <c r="B3632" s="39" t="n">
        <v>46058</v>
      </c>
      <c r="C3632" s="3" t="inlineStr">
        <is>
          <t>Credit Card Expense</t>
        </is>
      </c>
      <c r="D3632" s="3" t="inlineStr"/>
      <c r="E3632" s="3" t="inlineStr">
        <is>
          <t>Vialtrace Lab Supplies Inc</t>
        </is>
      </c>
      <c r="F3632" s="3" t="inlineStr">
        <is>
          <t>Office Supplies – February</t>
        </is>
      </c>
      <c r="G3632" s="3" t="inlineStr">
        <is>
          <t>Checking – Operating</t>
        </is>
      </c>
      <c r="H3632" s="3" t="inlineStr">
        <is>
          <t>Office Supplies</t>
        </is>
      </c>
      <c r="I3632" s="33" t="n">
        <v>1667.01</v>
      </c>
      <c r="J3632" s="13">
        <f>+J3631+I3632</f>
        <v>4787.01</v>
      </c>
      <c r="K3632" s="19">
        <f>+EOMONTH(B3632,0)</f>
        <v>46081</v>
      </c>
      <c r="L3632" s="3" t="inlineStr">
        <is>
          <t>Office Supplies</t>
        </is>
      </c>
      <c r="M3632" s="3" t="inlineStr">
        <is>
          <t>Office Expense, Supplies &amp; Postage</t>
        </is>
      </c>
    </row>
    <row r="3633">
      <c r="B3633" s="39" t="n">
        <v>46077</v>
      </c>
      <c r="C3633" s="3" t="inlineStr">
        <is>
          <t>Credit Card Expense</t>
        </is>
      </c>
      <c r="D3633" s="3" t="inlineStr"/>
      <c r="E3633" s="3" t="inlineStr">
        <is>
          <t>Vialtrace Lab Supplies Inc</t>
        </is>
      </c>
      <c r="F3633" s="3" t="inlineStr">
        <is>
          <t>Office Supplies – February</t>
        </is>
      </c>
      <c r="G3633" s="3" t="inlineStr">
        <is>
          <t>Checking – Operating</t>
        </is>
      </c>
      <c r="H3633" s="3" t="inlineStr">
        <is>
          <t>Office Supplies</t>
        </is>
      </c>
      <c r="I3633" s="33" t="n">
        <v>1692.99</v>
      </c>
      <c r="J3633" s="13">
        <f>+J3632+I3633</f>
        <v>6480</v>
      </c>
      <c r="K3633" s="19">
        <f>+EOMONTH(B3633,0)</f>
        <v>46081</v>
      </c>
      <c r="L3633" s="3" t="inlineStr">
        <is>
          <t>Office Supplies</t>
        </is>
      </c>
      <c r="M3633" s="3" t="inlineStr">
        <is>
          <t>Office Expense, Supplies &amp; Postage</t>
        </is>
      </c>
    </row>
    <row r="3634">
      <c r="B3634" s="39" t="n">
        <v>46096</v>
      </c>
      <c r="C3634" s="3" t="inlineStr">
        <is>
          <t>Credit Card Expense</t>
        </is>
      </c>
      <c r="D3634" s="3" t="inlineStr"/>
      <c r="E3634" s="3" t="inlineStr">
        <is>
          <t>Vialtrace Lab Supplies Inc</t>
        </is>
      </c>
      <c r="F3634" s="3" t="inlineStr">
        <is>
          <t>Office Supplies – March</t>
        </is>
      </c>
      <c r="G3634" s="3" t="inlineStr">
        <is>
          <t>Checking – Operating</t>
        </is>
      </c>
      <c r="H3634" s="3" t="inlineStr">
        <is>
          <t>Office Supplies</t>
        </is>
      </c>
      <c r="I3634" s="33" t="n">
        <v>1208.08</v>
      </c>
      <c r="J3634" s="13">
        <f>+J3633+I3634</f>
        <v>7688.08</v>
      </c>
      <c r="K3634" s="19">
        <f>+EOMONTH(B3634,0)</f>
        <v>46112</v>
      </c>
      <c r="L3634" s="3" t="inlineStr">
        <is>
          <t>Office Supplies</t>
        </is>
      </c>
      <c r="M3634" s="3" t="inlineStr">
        <is>
          <t>Office Expense, Supplies &amp; Postage</t>
        </is>
      </c>
    </row>
    <row r="3635">
      <c r="B3635" s="39" t="n">
        <v>46099</v>
      </c>
      <c r="C3635" s="3" t="inlineStr">
        <is>
          <t>Credit Card Expense</t>
        </is>
      </c>
      <c r="D3635" s="3" t="inlineStr"/>
      <c r="E3635" s="3" t="inlineStr">
        <is>
          <t>Vialtrace Lab Supplies Inc</t>
        </is>
      </c>
      <c r="F3635" s="3" t="inlineStr">
        <is>
          <t>Office Supplies – March</t>
        </is>
      </c>
      <c r="G3635" s="3" t="inlineStr">
        <is>
          <t>Checking – Operating</t>
        </is>
      </c>
      <c r="H3635" s="3" t="inlineStr">
        <is>
          <t>Office Supplies</t>
        </is>
      </c>
      <c r="I3635" s="33" t="n">
        <v>2151.92</v>
      </c>
      <c r="J3635" s="13">
        <f>+J3634+I3635</f>
        <v>9840</v>
      </c>
      <c r="K3635" s="19">
        <f>+EOMONTH(B3635,0)</f>
        <v>46112</v>
      </c>
      <c r="L3635" s="3" t="inlineStr">
        <is>
          <t>Office Supplies</t>
        </is>
      </c>
      <c r="M3635" s="3" t="inlineStr">
        <is>
          <t>Office Expense, Supplies &amp; Postage</t>
        </is>
      </c>
    </row>
    <row r="3636">
      <c r="B3636" s="39" t="n">
        <v>46119</v>
      </c>
      <c r="C3636" s="3" t="inlineStr">
        <is>
          <t>Journal Entry</t>
        </is>
      </c>
      <c r="D3636" s="3" t="inlineStr">
        <is>
          <t>JE-2667</t>
        </is>
      </c>
      <c r="E3636" s="3" t="inlineStr">
        <is>
          <t>Vialtrace Lab Supplies Inc</t>
        </is>
      </c>
      <c r="F3636" s="3" t="inlineStr">
        <is>
          <t>Office Supplies – April</t>
        </is>
      </c>
      <c r="G3636" s="3" t="inlineStr">
        <is>
          <t>Checking – Operating</t>
        </is>
      </c>
      <c r="H3636" s="3" t="inlineStr">
        <is>
          <t>Office Supplies</t>
        </is>
      </c>
      <c r="I3636" s="33" t="n">
        <v>1678.07</v>
      </c>
      <c r="J3636" s="13">
        <f>+J3635+I3636</f>
        <v>11518.07</v>
      </c>
      <c r="K3636" s="19">
        <f>+EOMONTH(B3636,0)</f>
        <v>46142</v>
      </c>
      <c r="L3636" s="3" t="inlineStr">
        <is>
          <t>Office Supplies</t>
        </is>
      </c>
      <c r="M3636" s="3" t="inlineStr">
        <is>
          <t>Office Expense, Supplies &amp; Postage</t>
        </is>
      </c>
    </row>
    <row r="3637">
      <c r="B3637" s="39" t="n">
        <v>46134</v>
      </c>
      <c r="C3637" s="3" t="inlineStr">
        <is>
          <t>Journal Entry</t>
        </is>
      </c>
      <c r="D3637" s="3" t="inlineStr">
        <is>
          <t>JE-2668</t>
        </is>
      </c>
      <c r="E3637" s="3" t="inlineStr">
        <is>
          <t>Vialtrace Lab Supplies Inc</t>
        </is>
      </c>
      <c r="F3637" s="3" t="inlineStr">
        <is>
          <t>Office Supplies – April</t>
        </is>
      </c>
      <c r="G3637" s="3" t="inlineStr">
        <is>
          <t>Checking – Operating</t>
        </is>
      </c>
      <c r="H3637" s="3" t="inlineStr">
        <is>
          <t>Office Supplies</t>
        </is>
      </c>
      <c r="I3637" s="33" t="n">
        <v>1921.93</v>
      </c>
      <c r="J3637" s="13">
        <f>+J3636+I3637</f>
        <v>13440</v>
      </c>
      <c r="K3637" s="19">
        <f>+EOMONTH(B3637,0)</f>
        <v>46142</v>
      </c>
      <c r="L3637" s="3" t="inlineStr">
        <is>
          <t>Office Supplies</t>
        </is>
      </c>
      <c r="M3637" s="3" t="inlineStr">
        <is>
          <t>Office Expense, Supplies &amp; Postage</t>
        </is>
      </c>
    </row>
    <row r="3638">
      <c r="B3638" s="39" t="n">
        <v>46144</v>
      </c>
      <c r="C3638" s="3" t="inlineStr">
        <is>
          <t>Credit Card Expense</t>
        </is>
      </c>
      <c r="D3638" s="3" t="inlineStr"/>
      <c r="E3638" s="3" t="inlineStr">
        <is>
          <t>Vialtrace Lab Supplies Inc</t>
        </is>
      </c>
      <c r="F3638" s="3" t="inlineStr">
        <is>
          <t>Office Supplies – May</t>
        </is>
      </c>
      <c r="G3638" s="3" t="inlineStr">
        <is>
          <t>Checking – Operating</t>
        </is>
      </c>
      <c r="H3638" s="3" t="inlineStr">
        <is>
          <t>Office Supplies</t>
        </is>
      </c>
      <c r="I3638" s="33" t="n">
        <v>2100.46</v>
      </c>
      <c r="J3638" s="13">
        <f>+J3637+I3638</f>
        <v>15540.46</v>
      </c>
      <c r="K3638" s="19">
        <f>+EOMONTH(B3638,0)</f>
        <v>46173</v>
      </c>
      <c r="L3638" s="3" t="inlineStr">
        <is>
          <t>Office Supplies</t>
        </is>
      </c>
      <c r="M3638" s="3" t="inlineStr">
        <is>
          <t>Office Expense, Supplies &amp; Postage</t>
        </is>
      </c>
    </row>
    <row r="3639">
      <c r="B3639" s="39" t="n">
        <v>46159</v>
      </c>
      <c r="C3639" s="3" t="inlineStr">
        <is>
          <t>Expense</t>
        </is>
      </c>
      <c r="D3639" s="3" t="inlineStr">
        <is>
          <t>10807</t>
        </is>
      </c>
      <c r="E3639" s="3" t="inlineStr">
        <is>
          <t>Vialtrace Lab Supplies Inc</t>
        </is>
      </c>
      <c r="F3639" s="3" t="inlineStr">
        <is>
          <t>Office Supplies – May</t>
        </is>
      </c>
      <c r="G3639" s="3" t="inlineStr">
        <is>
          <t>Checking – Operating</t>
        </is>
      </c>
      <c r="H3639" s="3" t="inlineStr">
        <is>
          <t>Office Supplies</t>
        </is>
      </c>
      <c r="I3639" s="33" t="n">
        <v>1259.54</v>
      </c>
      <c r="J3639" s="13">
        <f>+J3638+I3639</f>
        <v>16800</v>
      </c>
      <c r="K3639" s="19">
        <f>+EOMONTH(B3639,0)</f>
        <v>46173</v>
      </c>
      <c r="L3639" s="3" t="inlineStr">
        <is>
          <t>Office Supplies</t>
        </is>
      </c>
      <c r="M3639" s="3" t="inlineStr">
        <is>
          <t>Office Expense, Supplies &amp; Postage</t>
        </is>
      </c>
    </row>
    <row r="3640">
      <c r="B3640" s="39" t="n">
        <v>46185</v>
      </c>
      <c r="C3640" s="3" t="inlineStr">
        <is>
          <t>Credit Card Expense</t>
        </is>
      </c>
      <c r="D3640" s="3" t="inlineStr"/>
      <c r="E3640" s="3" t="inlineStr">
        <is>
          <t>Vialtrace Lab Supplies Inc</t>
        </is>
      </c>
      <c r="F3640" s="3" t="inlineStr">
        <is>
          <t>Office Supplies – June</t>
        </is>
      </c>
      <c r="G3640" s="3" t="inlineStr">
        <is>
          <t>Checking – Operating</t>
        </is>
      </c>
      <c r="H3640" s="3" t="inlineStr">
        <is>
          <t>Office Supplies</t>
        </is>
      </c>
      <c r="I3640" s="33" t="n">
        <v>1530.93</v>
      </c>
      <c r="J3640" s="13">
        <f>+J3639+I3640</f>
        <v>18330.93</v>
      </c>
      <c r="K3640" s="19">
        <f>+EOMONTH(B3640,0)</f>
        <v>46203</v>
      </c>
      <c r="L3640" s="3" t="inlineStr">
        <is>
          <t>Office Supplies</t>
        </is>
      </c>
      <c r="M3640" s="3" t="inlineStr">
        <is>
          <t>Office Expense, Supplies &amp; Postage</t>
        </is>
      </c>
    </row>
    <row r="3641">
      <c r="B3641" s="39" t="n">
        <v>46185</v>
      </c>
      <c r="C3641" s="3" t="inlineStr">
        <is>
          <t>Journal Entry</t>
        </is>
      </c>
      <c r="D3641" s="3" t="inlineStr">
        <is>
          <t>JE-2669</t>
        </is>
      </c>
      <c r="E3641" s="3" t="inlineStr">
        <is>
          <t>Vialtrace Lab Supplies Inc</t>
        </is>
      </c>
      <c r="F3641" s="3" t="inlineStr">
        <is>
          <t>Office Supplies – June</t>
        </is>
      </c>
      <c r="G3641" s="3" t="inlineStr">
        <is>
          <t>Checking – Operating</t>
        </is>
      </c>
      <c r="H3641" s="3" t="inlineStr">
        <is>
          <t>Office Supplies</t>
        </is>
      </c>
      <c r="I3641" s="33" t="n">
        <v>1669.07</v>
      </c>
      <c r="J3641" s="13">
        <f>+J3640+I3641</f>
        <v>20000</v>
      </c>
      <c r="K3641" s="19">
        <f>+EOMONTH(B3641,0)</f>
        <v>46203</v>
      </c>
      <c r="L3641" s="3" t="inlineStr">
        <is>
          <t>Office Supplies</t>
        </is>
      </c>
      <c r="M3641" s="3" t="inlineStr">
        <is>
          <t>Office Expense, Supplies &amp; Postage</t>
        </is>
      </c>
    </row>
    <row r="3642">
      <c r="B3642" s="39" t="n">
        <v>46210</v>
      </c>
      <c r="C3642" s="3" t="inlineStr">
        <is>
          <t>Journal Entry</t>
        </is>
      </c>
      <c r="D3642" s="3" t="inlineStr">
        <is>
          <t>JE-2670</t>
        </is>
      </c>
      <c r="E3642" s="3" t="inlineStr">
        <is>
          <t>Vialtrace Lab Supplies Inc</t>
        </is>
      </c>
      <c r="F3642" s="3" t="inlineStr">
        <is>
          <t>Office Supplies – July</t>
        </is>
      </c>
      <c r="G3642" s="3" t="inlineStr">
        <is>
          <t>Checking – Operating</t>
        </is>
      </c>
      <c r="H3642" s="3" t="inlineStr">
        <is>
          <t>Office Supplies</t>
        </is>
      </c>
      <c r="I3642" s="33" t="n">
        <v>1804.07</v>
      </c>
      <c r="J3642" s="13">
        <f>+J3641+I3642</f>
        <v>21804.07</v>
      </c>
      <c r="K3642" s="19">
        <f>+EOMONTH(B3642,0)</f>
        <v>46234</v>
      </c>
      <c r="L3642" s="3" t="inlineStr">
        <is>
          <t>Office Supplies</t>
        </is>
      </c>
      <c r="M3642" s="3" t="inlineStr">
        <is>
          <t>Office Expense, Supplies &amp; Postage</t>
        </is>
      </c>
    </row>
    <row r="3643">
      <c r="B3643" s="39" t="n">
        <v>46218</v>
      </c>
      <c r="C3643" s="3" t="inlineStr">
        <is>
          <t>Journal Entry</t>
        </is>
      </c>
      <c r="D3643" s="3" t="inlineStr">
        <is>
          <t>JE-2671</t>
        </is>
      </c>
      <c r="E3643" s="3" t="inlineStr">
        <is>
          <t>Vialtrace Lab Supplies Inc</t>
        </is>
      </c>
      <c r="F3643" s="3" t="inlineStr">
        <is>
          <t>Office Supplies – July</t>
        </is>
      </c>
      <c r="G3643" s="3" t="inlineStr">
        <is>
          <t>Checking – Operating</t>
        </is>
      </c>
      <c r="H3643" s="3" t="inlineStr">
        <is>
          <t>Office Supplies</t>
        </is>
      </c>
      <c r="I3643" s="33" t="n">
        <v>1395.93</v>
      </c>
      <c r="J3643" s="13">
        <f>+J3642+I3643</f>
        <v>23200</v>
      </c>
      <c r="K3643" s="19">
        <f>+EOMONTH(B3643,0)</f>
        <v>46234</v>
      </c>
      <c r="L3643" s="3" t="inlineStr">
        <is>
          <t>Office Supplies</t>
        </is>
      </c>
      <c r="M3643" s="3" t="inlineStr">
        <is>
          <t>Office Expense, Supplies &amp; Postage</t>
        </is>
      </c>
    </row>
    <row r="3644">
      <c r="B3644" s="39" t="n">
        <v>46249</v>
      </c>
      <c r="C3644" s="3" t="inlineStr">
        <is>
          <t>Credit Card Expense</t>
        </is>
      </c>
      <c r="D3644" s="3" t="inlineStr"/>
      <c r="E3644" s="3" t="inlineStr">
        <is>
          <t>Vialtrace Lab Supplies Inc</t>
        </is>
      </c>
      <c r="F3644" s="3" t="inlineStr">
        <is>
          <t>Office Supplies – August</t>
        </is>
      </c>
      <c r="G3644" s="3" t="inlineStr">
        <is>
          <t>Checking – Operating</t>
        </is>
      </c>
      <c r="H3644" s="3" t="inlineStr">
        <is>
          <t>Office Supplies</t>
        </is>
      </c>
      <c r="I3644" s="33" t="n">
        <v>2007.61</v>
      </c>
      <c r="J3644" s="13">
        <f>+J3643+I3644</f>
        <v>25207.61</v>
      </c>
      <c r="K3644" s="19">
        <f>+EOMONTH(B3644,0)</f>
        <v>46265</v>
      </c>
      <c r="L3644" s="3" t="inlineStr">
        <is>
          <t>Office Supplies</t>
        </is>
      </c>
      <c r="M3644" s="3" t="inlineStr">
        <is>
          <t>Office Expense, Supplies &amp; Postage</t>
        </is>
      </c>
    </row>
    <row r="3645">
      <c r="B3645" s="39" t="n">
        <v>46265</v>
      </c>
      <c r="C3645" s="3" t="inlineStr">
        <is>
          <t>Journal Entry</t>
        </is>
      </c>
      <c r="D3645" s="3" t="inlineStr">
        <is>
          <t>JE-2672</t>
        </is>
      </c>
      <c r="E3645" s="3" t="inlineStr">
        <is>
          <t>Vialtrace Lab Supplies Inc</t>
        </is>
      </c>
      <c r="F3645" s="3" t="inlineStr">
        <is>
          <t>Office Supplies – August</t>
        </is>
      </c>
      <c r="G3645" s="3" t="inlineStr">
        <is>
          <t>Checking – Operating</t>
        </is>
      </c>
      <c r="H3645" s="3" t="inlineStr">
        <is>
          <t>Office Supplies</t>
        </is>
      </c>
      <c r="I3645" s="33" t="n">
        <v>1592.39</v>
      </c>
      <c r="J3645" s="13">
        <f>+J3644+I3645</f>
        <v>26800</v>
      </c>
      <c r="K3645" s="19">
        <f>+EOMONTH(B3645,0)</f>
        <v>46265</v>
      </c>
      <c r="L3645" s="3" t="inlineStr">
        <is>
          <t>Office Supplies</t>
        </is>
      </c>
      <c r="M3645" s="3" t="inlineStr">
        <is>
          <t>Office Expense, Supplies &amp; Postage</t>
        </is>
      </c>
    </row>
    <row r="3646">
      <c r="B3646" s="39" t="n">
        <v>46269</v>
      </c>
      <c r="C3646" s="3" t="inlineStr">
        <is>
          <t>Expense</t>
        </is>
      </c>
      <c r="D3646" s="3" t="inlineStr">
        <is>
          <t>10808</t>
        </is>
      </c>
      <c r="E3646" s="3" t="inlineStr">
        <is>
          <t>Vialtrace Lab Supplies Inc</t>
        </is>
      </c>
      <c r="F3646" s="3" t="inlineStr">
        <is>
          <t>Office Supplies – September</t>
        </is>
      </c>
      <c r="G3646" s="3" t="inlineStr">
        <is>
          <t>Checking – Operating</t>
        </is>
      </c>
      <c r="H3646" s="3" t="inlineStr">
        <is>
          <t>Office Supplies</t>
        </is>
      </c>
      <c r="I3646" s="33" t="n">
        <v>1254.31</v>
      </c>
      <c r="J3646" s="13">
        <f>+J3645+I3646</f>
        <v>28054.31</v>
      </c>
      <c r="K3646" s="19">
        <f>+EOMONTH(B3646,0)</f>
        <v>46295</v>
      </c>
      <c r="L3646" s="3" t="inlineStr">
        <is>
          <t>Office Supplies</t>
        </is>
      </c>
      <c r="M3646" s="3" t="inlineStr">
        <is>
          <t>Office Expense, Supplies &amp; Postage</t>
        </is>
      </c>
    </row>
    <row r="3647">
      <c r="B3647" s="39" t="n">
        <v>46275</v>
      </c>
      <c r="C3647" s="3" t="inlineStr">
        <is>
          <t>Expense</t>
        </is>
      </c>
      <c r="D3647" s="3" t="inlineStr">
        <is>
          <t>10809</t>
        </is>
      </c>
      <c r="E3647" s="3" t="inlineStr">
        <is>
          <t>Vialtrace Lab Supplies Inc</t>
        </is>
      </c>
      <c r="F3647" s="3" t="inlineStr">
        <is>
          <t>Office Supplies – September</t>
        </is>
      </c>
      <c r="G3647" s="3" t="inlineStr">
        <is>
          <t>Checking – Operating</t>
        </is>
      </c>
      <c r="H3647" s="3" t="inlineStr">
        <is>
          <t>Office Supplies</t>
        </is>
      </c>
      <c r="I3647" s="33" t="n">
        <v>2273.45</v>
      </c>
      <c r="J3647" s="13">
        <f>+J3646+I3647</f>
        <v>30327.76</v>
      </c>
      <c r="K3647" s="19">
        <f>+EOMONTH(B3647,0)</f>
        <v>46295</v>
      </c>
      <c r="L3647" s="3" t="inlineStr">
        <is>
          <t>Office Supplies</t>
        </is>
      </c>
      <c r="M3647" s="3" t="inlineStr">
        <is>
          <t>Office Expense, Supplies &amp; Postage</t>
        </is>
      </c>
    </row>
    <row r="3648">
      <c r="B3648" s="39" t="n">
        <v>46313</v>
      </c>
      <c r="C3648" s="3" t="inlineStr">
        <is>
          <t>Credit Card Expense</t>
        </is>
      </c>
      <c r="D3648" s="3" t="inlineStr"/>
      <c r="E3648" s="3" t="inlineStr">
        <is>
          <t>Vialtrace Lab Supplies Inc</t>
        </is>
      </c>
      <c r="F3648" s="3" t="inlineStr">
        <is>
          <t>Office Supplies – October</t>
        </is>
      </c>
      <c r="G3648" s="3" t="inlineStr">
        <is>
          <t>Checking – Operating</t>
        </is>
      </c>
      <c r="H3648" s="3" t="inlineStr">
        <is>
          <t>Office Supplies</t>
        </is>
      </c>
      <c r="I3648" s="33" t="n">
        <v>1743.24</v>
      </c>
      <c r="J3648" s="13">
        <f>+J3647+I3648</f>
        <v>32071</v>
      </c>
      <c r="K3648" s="19">
        <f>+EOMONTH(B3648,0)</f>
        <v>46326</v>
      </c>
      <c r="L3648" s="3" t="inlineStr">
        <is>
          <t>Office Supplies</t>
        </is>
      </c>
      <c r="M3648" s="3" t="inlineStr">
        <is>
          <t>Office Expense, Supplies &amp; Postage</t>
        </is>
      </c>
    </row>
    <row r="3649">
      <c r="B3649" s="39" t="n">
        <v>46323</v>
      </c>
      <c r="C3649" s="3" t="inlineStr">
        <is>
          <t>Credit Card Expense</t>
        </is>
      </c>
      <c r="D3649" s="3" t="inlineStr"/>
      <c r="E3649" s="3" t="inlineStr">
        <is>
          <t>Vialtrace Lab Supplies Inc</t>
        </is>
      </c>
      <c r="F3649" s="3" t="inlineStr">
        <is>
          <t>Office Supplies – October</t>
        </is>
      </c>
      <c r="G3649" s="3" t="inlineStr">
        <is>
          <t>Checking – Operating</t>
        </is>
      </c>
      <c r="H3649" s="3" t="inlineStr">
        <is>
          <t>Office Supplies</t>
        </is>
      </c>
      <c r="I3649" s="33" t="n">
        <v>1945.62</v>
      </c>
      <c r="J3649" s="13">
        <f>+J3648+I3649</f>
        <v>34016.62</v>
      </c>
      <c r="K3649" s="19">
        <f>+EOMONTH(B3649,0)</f>
        <v>46326</v>
      </c>
      <c r="L3649" s="3" t="inlineStr">
        <is>
          <t>Office Supplies</t>
        </is>
      </c>
      <c r="M3649" s="3" t="inlineStr">
        <is>
          <t>Office Expense, Supplies &amp; Postage</t>
        </is>
      </c>
    </row>
    <row r="3650">
      <c r="B3650" s="39" t="n">
        <v>46347</v>
      </c>
      <c r="C3650" s="3" t="inlineStr">
        <is>
          <t>Credit Card Expense</t>
        </is>
      </c>
      <c r="D3650" s="3" t="inlineStr"/>
      <c r="E3650" s="3" t="inlineStr">
        <is>
          <t>Vialtrace Lab Supplies Inc</t>
        </is>
      </c>
      <c r="F3650" s="3" t="inlineStr">
        <is>
          <t>Office Supplies – November</t>
        </is>
      </c>
      <c r="G3650" s="3" t="inlineStr">
        <is>
          <t>Checking – Operating</t>
        </is>
      </c>
      <c r="H3650" s="3" t="inlineStr">
        <is>
          <t>Office Supplies</t>
        </is>
      </c>
      <c r="I3650" s="33" t="n">
        <v>3383.31</v>
      </c>
      <c r="J3650" s="13">
        <f>+J3649+I3650</f>
        <v>37399.93</v>
      </c>
      <c r="K3650" s="19">
        <f>+EOMONTH(B3650,0)</f>
        <v>46356</v>
      </c>
      <c r="L3650" s="3" t="inlineStr">
        <is>
          <t>Office Supplies</t>
        </is>
      </c>
      <c r="M3650" s="3" t="inlineStr">
        <is>
          <t>Office Expense, Supplies &amp; Postage</t>
        </is>
      </c>
    </row>
    <row r="3651">
      <c r="A3651" s="2" t="inlineStr">
        <is>
          <t>Total for Office Supplies</t>
        </is>
      </c>
      <c r="I3651" s="35">
        <f>SUM(I3630:I3650)</f>
        <v>37399.93</v>
      </c>
    </row>
    <row r="3653">
      <c r="A3653" s="2" t="inlineStr">
        <is>
          <t>Meals and Entertainment</t>
        </is>
      </c>
    </row>
    <row r="3654">
      <c r="B3654" s="39" t="n">
        <v>46034</v>
      </c>
      <c r="C3654" s="3" t="inlineStr">
        <is>
          <t>Journal Entry</t>
        </is>
      </c>
      <c r="D3654" s="3" t="inlineStr">
        <is>
          <t>JE-2673</t>
        </is>
      </c>
      <c r="E3654" s="3" t="inlineStr"/>
      <c r="F3654" s="3" t="inlineStr">
        <is>
          <t>Meals and Entertainment – January</t>
        </is>
      </c>
      <c r="G3654" s="3" t="inlineStr">
        <is>
          <t>Checking – Operating</t>
        </is>
      </c>
      <c r="H3654" s="3" t="inlineStr">
        <is>
          <t>Meals and Entertainment</t>
        </is>
      </c>
      <c r="I3654" s="33" t="n">
        <v>745.37</v>
      </c>
      <c r="J3654" s="13">
        <f>+I3654</f>
        <v>745.37</v>
      </c>
      <c r="K3654" s="19">
        <f>+EOMONTH(B3654,0)</f>
        <v>46053</v>
      </c>
      <c r="L3654" s="3" t="inlineStr">
        <is>
          <t>Meals and Entertainment</t>
        </is>
      </c>
      <c r="M3654" s="3" t="inlineStr">
        <is>
          <t>Travel, Meals &amp; Entertainment</t>
        </is>
      </c>
    </row>
    <row r="3655">
      <c r="B3655" s="39" t="n">
        <v>46036</v>
      </c>
      <c r="C3655" s="3" t="inlineStr">
        <is>
          <t>Credit Card Expense</t>
        </is>
      </c>
      <c r="D3655" s="3" t="inlineStr"/>
      <c r="E3655" s="3" t="inlineStr"/>
      <c r="F3655" s="3" t="inlineStr">
        <is>
          <t>Meals and Entertainment – January</t>
        </is>
      </c>
      <c r="G3655" s="3" t="inlineStr">
        <is>
          <t>Checking – Operating</t>
        </is>
      </c>
      <c r="H3655" s="3" t="inlineStr">
        <is>
          <t>Meals and Entertainment</t>
        </is>
      </c>
      <c r="I3655" s="33" t="n">
        <v>774.63</v>
      </c>
      <c r="J3655" s="13">
        <f>+J3654+I3655</f>
        <v>1520</v>
      </c>
      <c r="K3655" s="19">
        <f>+EOMONTH(B3655,0)</f>
        <v>46053</v>
      </c>
      <c r="L3655" s="3" t="inlineStr">
        <is>
          <t>Meals and Entertainment</t>
        </is>
      </c>
      <c r="M3655" s="3" t="inlineStr">
        <is>
          <t>Travel, Meals &amp; Entertainment</t>
        </is>
      </c>
    </row>
    <row r="3656">
      <c r="B3656" s="39" t="n">
        <v>46068</v>
      </c>
      <c r="C3656" s="3" t="inlineStr">
        <is>
          <t>Journal Entry</t>
        </is>
      </c>
      <c r="D3656" s="3" t="inlineStr">
        <is>
          <t>JE-2674</t>
        </is>
      </c>
      <c r="E3656" s="3" t="inlineStr"/>
      <c r="F3656" s="3" t="inlineStr">
        <is>
          <t>Meals and Entertainment – February</t>
        </is>
      </c>
      <c r="G3656" s="3" t="inlineStr">
        <is>
          <t>Checking – Operating</t>
        </is>
      </c>
      <c r="H3656" s="3" t="inlineStr">
        <is>
          <t>Meals and Entertainment</t>
        </is>
      </c>
      <c r="I3656" s="33" t="n">
        <v>543.25</v>
      </c>
      <c r="J3656" s="13">
        <f>+J3655+I3656</f>
        <v>2063.25</v>
      </c>
      <c r="K3656" s="19">
        <f>+EOMONTH(B3656,0)</f>
        <v>46081</v>
      </c>
      <c r="L3656" s="3" t="inlineStr">
        <is>
          <t>Meals and Entertainment</t>
        </is>
      </c>
      <c r="M3656" s="3" t="inlineStr">
        <is>
          <t>Travel, Meals &amp; Entertainment</t>
        </is>
      </c>
    </row>
    <row r="3657">
      <c r="B3657" s="39" t="n">
        <v>46073</v>
      </c>
      <c r="C3657" s="3" t="inlineStr">
        <is>
          <t>Expense</t>
        </is>
      </c>
      <c r="D3657" s="3" t="inlineStr">
        <is>
          <t>10810</t>
        </is>
      </c>
      <c r="E3657" s="3" t="inlineStr"/>
      <c r="F3657" s="3" t="inlineStr">
        <is>
          <t>Meals and Entertainment – February</t>
        </is>
      </c>
      <c r="G3657" s="3" t="inlineStr">
        <is>
          <t>Checking – Operating</t>
        </is>
      </c>
      <c r="H3657" s="3" t="inlineStr">
        <is>
          <t>Meals and Entertainment</t>
        </is>
      </c>
      <c r="I3657" s="33" t="n">
        <v>896.75</v>
      </c>
      <c r="J3657" s="13">
        <f>+J3656+I3657</f>
        <v>2960</v>
      </c>
      <c r="K3657" s="19">
        <f>+EOMONTH(B3657,0)</f>
        <v>46081</v>
      </c>
      <c r="L3657" s="3" t="inlineStr">
        <is>
          <t>Meals and Entertainment</t>
        </is>
      </c>
      <c r="M3657" s="3" t="inlineStr">
        <is>
          <t>Travel, Meals &amp; Entertainment</t>
        </is>
      </c>
    </row>
    <row r="3658">
      <c r="B3658" s="39" t="n">
        <v>46092</v>
      </c>
      <c r="C3658" s="3" t="inlineStr">
        <is>
          <t>Journal Entry</t>
        </is>
      </c>
      <c r="D3658" s="3" t="inlineStr">
        <is>
          <t>JE-2675</t>
        </is>
      </c>
      <c r="E3658" s="3" t="inlineStr"/>
      <c r="F3658" s="3" t="inlineStr">
        <is>
          <t>Meals and Entertainment – March</t>
        </is>
      </c>
      <c r="G3658" s="3" t="inlineStr">
        <is>
          <t>Checking – Operating</t>
        </is>
      </c>
      <c r="H3658" s="3" t="inlineStr">
        <is>
          <t>Meals and Entertainment</t>
        </is>
      </c>
      <c r="I3658" s="33" t="n">
        <v>584.73</v>
      </c>
      <c r="J3658" s="13">
        <f>+J3657+I3658</f>
        <v>3544.73</v>
      </c>
      <c r="K3658" s="19">
        <f>+EOMONTH(B3658,0)</f>
        <v>46112</v>
      </c>
      <c r="L3658" s="3" t="inlineStr">
        <is>
          <t>Meals and Entertainment</t>
        </is>
      </c>
      <c r="M3658" s="3" t="inlineStr">
        <is>
          <t>Travel, Meals &amp; Entertainment</t>
        </is>
      </c>
    </row>
    <row r="3659">
      <c r="B3659" s="39" t="n">
        <v>46107</v>
      </c>
      <c r="C3659" s="3" t="inlineStr">
        <is>
          <t>Credit Card Expense</t>
        </is>
      </c>
      <c r="D3659" s="3" t="inlineStr"/>
      <c r="E3659" s="3" t="inlineStr"/>
      <c r="F3659" s="3" t="inlineStr">
        <is>
          <t>Meals and Entertainment – March</t>
        </is>
      </c>
      <c r="G3659" s="3" t="inlineStr">
        <is>
          <t>Checking – Operating</t>
        </is>
      </c>
      <c r="H3659" s="3" t="inlineStr">
        <is>
          <t>Meals and Entertainment</t>
        </is>
      </c>
      <c r="I3659" s="33" t="n">
        <v>895.27</v>
      </c>
      <c r="J3659" s="13">
        <f>+J3658+I3659</f>
        <v>4440</v>
      </c>
      <c r="K3659" s="19">
        <f>+EOMONTH(B3659,0)</f>
        <v>46112</v>
      </c>
      <c r="L3659" s="3" t="inlineStr">
        <is>
          <t>Meals and Entertainment</t>
        </is>
      </c>
      <c r="M3659" s="3" t="inlineStr">
        <is>
          <t>Travel, Meals &amp; Entertainment</t>
        </is>
      </c>
    </row>
    <row r="3660">
      <c r="B3660" s="39" t="n">
        <v>46132</v>
      </c>
      <c r="C3660" s="3" t="inlineStr">
        <is>
          <t>Credit Card Expense</t>
        </is>
      </c>
      <c r="D3660" s="3" t="inlineStr"/>
      <c r="E3660" s="3" t="inlineStr"/>
      <c r="F3660" s="3" t="inlineStr">
        <is>
          <t>Meals and Entertainment – April</t>
        </is>
      </c>
      <c r="G3660" s="3" t="inlineStr">
        <is>
          <t>Checking – Operating</t>
        </is>
      </c>
      <c r="H3660" s="3" t="inlineStr">
        <is>
          <t>Meals and Entertainment</t>
        </is>
      </c>
      <c r="I3660" s="33" t="n">
        <v>727.39</v>
      </c>
      <c r="J3660" s="13">
        <f>+J3659+I3660</f>
        <v>5167.39</v>
      </c>
      <c r="K3660" s="19">
        <f>+EOMONTH(B3660,0)</f>
        <v>46142</v>
      </c>
      <c r="L3660" s="3" t="inlineStr">
        <is>
          <t>Meals and Entertainment</t>
        </is>
      </c>
      <c r="M3660" s="3" t="inlineStr">
        <is>
          <t>Travel, Meals &amp; Entertainment</t>
        </is>
      </c>
    </row>
    <row r="3661">
      <c r="B3661" s="39" t="n">
        <v>46136</v>
      </c>
      <c r="C3661" s="3" t="inlineStr">
        <is>
          <t>Expense</t>
        </is>
      </c>
      <c r="D3661" s="3" t="inlineStr">
        <is>
          <t>10811</t>
        </is>
      </c>
      <c r="E3661" s="3" t="inlineStr"/>
      <c r="F3661" s="3" t="inlineStr">
        <is>
          <t>Meals and Entertainment – April</t>
        </is>
      </c>
      <c r="G3661" s="3" t="inlineStr">
        <is>
          <t>Checking – Operating</t>
        </is>
      </c>
      <c r="H3661" s="3" t="inlineStr">
        <is>
          <t>Meals and Entertainment</t>
        </is>
      </c>
      <c r="I3661" s="33" t="n">
        <v>752.61</v>
      </c>
      <c r="J3661" s="13">
        <f>+J3660+I3661</f>
        <v>5920</v>
      </c>
      <c r="K3661" s="19">
        <f>+EOMONTH(B3661,0)</f>
        <v>46142</v>
      </c>
      <c r="L3661" s="3" t="inlineStr">
        <is>
          <t>Meals and Entertainment</t>
        </is>
      </c>
      <c r="M3661" s="3" t="inlineStr">
        <is>
          <t>Travel, Meals &amp; Entertainment</t>
        </is>
      </c>
    </row>
    <row r="3662">
      <c r="B3662" s="39" t="n">
        <v>46152</v>
      </c>
      <c r="C3662" s="3" t="inlineStr">
        <is>
          <t>Credit Card Expense</t>
        </is>
      </c>
      <c r="D3662" s="3" t="inlineStr"/>
      <c r="E3662" s="3" t="inlineStr"/>
      <c r="F3662" s="3" t="inlineStr">
        <is>
          <t>Meals and Entertainment – May</t>
        </is>
      </c>
      <c r="G3662" s="3" t="inlineStr">
        <is>
          <t>Checking – Operating</t>
        </is>
      </c>
      <c r="H3662" s="3" t="inlineStr">
        <is>
          <t>Meals and Entertainment</t>
        </is>
      </c>
      <c r="I3662" s="33" t="n">
        <v>706.33</v>
      </c>
      <c r="J3662" s="13">
        <f>+J3661+I3662</f>
        <v>6626.33</v>
      </c>
      <c r="K3662" s="19">
        <f>+EOMONTH(B3662,0)</f>
        <v>46173</v>
      </c>
      <c r="L3662" s="3" t="inlineStr">
        <is>
          <t>Meals and Entertainment</t>
        </is>
      </c>
      <c r="M3662" s="3" t="inlineStr">
        <is>
          <t>Travel, Meals &amp; Entertainment</t>
        </is>
      </c>
    </row>
    <row r="3663">
      <c r="B3663" s="39" t="n">
        <v>46159</v>
      </c>
      <c r="C3663" s="3" t="inlineStr">
        <is>
          <t>Expense</t>
        </is>
      </c>
      <c r="D3663" s="3" t="inlineStr">
        <is>
          <t>10812</t>
        </is>
      </c>
      <c r="E3663" s="3" t="inlineStr"/>
      <c r="F3663" s="3" t="inlineStr">
        <is>
          <t>Meals and Entertainment – May</t>
        </is>
      </c>
      <c r="G3663" s="3" t="inlineStr">
        <is>
          <t>Checking – Operating</t>
        </is>
      </c>
      <c r="H3663" s="3" t="inlineStr">
        <is>
          <t>Meals and Entertainment</t>
        </is>
      </c>
      <c r="I3663" s="33" t="n">
        <v>653.67</v>
      </c>
      <c r="J3663" s="13">
        <f>+J3662+I3663</f>
        <v>7280</v>
      </c>
      <c r="K3663" s="19">
        <f>+EOMONTH(B3663,0)</f>
        <v>46173</v>
      </c>
      <c r="L3663" s="3" t="inlineStr">
        <is>
          <t>Meals and Entertainment</t>
        </is>
      </c>
      <c r="M3663" s="3" t="inlineStr">
        <is>
          <t>Travel, Meals &amp; Entertainment</t>
        </is>
      </c>
    </row>
    <row r="3664">
      <c r="B3664" s="39" t="n">
        <v>46183</v>
      </c>
      <c r="C3664" s="3" t="inlineStr">
        <is>
          <t>Expense</t>
        </is>
      </c>
      <c r="D3664" s="3" t="inlineStr">
        <is>
          <t>10813</t>
        </is>
      </c>
      <c r="E3664" s="3" t="inlineStr"/>
      <c r="F3664" s="3" t="inlineStr">
        <is>
          <t>Meals and Entertainment – June</t>
        </is>
      </c>
      <c r="G3664" s="3" t="inlineStr">
        <is>
          <t>Checking – Operating</t>
        </is>
      </c>
      <c r="H3664" s="3" t="inlineStr">
        <is>
          <t>Meals and Entertainment</t>
        </is>
      </c>
      <c r="I3664" s="33" t="n">
        <v>754.36</v>
      </c>
      <c r="J3664" s="13">
        <f>+J3663+I3664</f>
        <v>8034.36</v>
      </c>
      <c r="K3664" s="19">
        <f>+EOMONTH(B3664,0)</f>
        <v>46203</v>
      </c>
      <c r="L3664" s="3" t="inlineStr">
        <is>
          <t>Meals and Entertainment</t>
        </is>
      </c>
      <c r="M3664" s="3" t="inlineStr">
        <is>
          <t>Travel, Meals &amp; Entertainment</t>
        </is>
      </c>
    </row>
    <row r="3665">
      <c r="B3665" s="39" t="n">
        <v>46187</v>
      </c>
      <c r="C3665" s="3" t="inlineStr">
        <is>
          <t>Expense</t>
        </is>
      </c>
      <c r="D3665" s="3" t="inlineStr">
        <is>
          <t>10814</t>
        </is>
      </c>
      <c r="E3665" s="3" t="inlineStr"/>
      <c r="F3665" s="3" t="inlineStr">
        <is>
          <t>Meals and Entertainment – June</t>
        </is>
      </c>
      <c r="G3665" s="3" t="inlineStr">
        <is>
          <t>Checking – Operating</t>
        </is>
      </c>
      <c r="H3665" s="3" t="inlineStr">
        <is>
          <t>Meals and Entertainment</t>
        </is>
      </c>
      <c r="I3665" s="33" t="n">
        <v>725.64</v>
      </c>
      <c r="J3665" s="13">
        <f>+J3664+I3665</f>
        <v>8760</v>
      </c>
      <c r="K3665" s="19">
        <f>+EOMONTH(B3665,0)</f>
        <v>46203</v>
      </c>
      <c r="L3665" s="3" t="inlineStr">
        <is>
          <t>Meals and Entertainment</t>
        </is>
      </c>
      <c r="M3665" s="3" t="inlineStr">
        <is>
          <t>Travel, Meals &amp; Entertainment</t>
        </is>
      </c>
    </row>
    <row r="3666">
      <c r="B3666" s="39" t="n">
        <v>46208</v>
      </c>
      <c r="C3666" s="3" t="inlineStr">
        <is>
          <t>Expense</t>
        </is>
      </c>
      <c r="D3666" s="3" t="inlineStr">
        <is>
          <t>10815</t>
        </is>
      </c>
      <c r="E3666" s="3" t="inlineStr"/>
      <c r="F3666" s="3" t="inlineStr">
        <is>
          <t>Meals and Entertainment – July</t>
        </is>
      </c>
      <c r="G3666" s="3" t="inlineStr">
        <is>
          <t>Checking – Operating</t>
        </is>
      </c>
      <c r="H3666" s="3" t="inlineStr">
        <is>
          <t>Meals and Entertainment</t>
        </is>
      </c>
      <c r="I3666" s="33" t="n">
        <v>910.3200000000001</v>
      </c>
      <c r="J3666" s="13">
        <f>+J3665+I3666</f>
        <v>9670.32</v>
      </c>
      <c r="K3666" s="19">
        <f>+EOMONTH(B3666,0)</f>
        <v>46234</v>
      </c>
      <c r="L3666" s="3" t="inlineStr">
        <is>
          <t>Meals and Entertainment</t>
        </is>
      </c>
      <c r="M3666" s="3" t="inlineStr">
        <is>
          <t>Travel, Meals &amp; Entertainment</t>
        </is>
      </c>
    </row>
    <row r="3667">
      <c r="B3667" s="39" t="n">
        <v>46220</v>
      </c>
      <c r="C3667" s="3" t="inlineStr">
        <is>
          <t>Credit Card Expense</t>
        </is>
      </c>
      <c r="D3667" s="3" t="inlineStr"/>
      <c r="E3667" s="3" t="inlineStr"/>
      <c r="F3667" s="3" t="inlineStr">
        <is>
          <t>Meals and Entertainment – July</t>
        </is>
      </c>
      <c r="G3667" s="3" t="inlineStr">
        <is>
          <t>Checking – Operating</t>
        </is>
      </c>
      <c r="H3667" s="3" t="inlineStr">
        <is>
          <t>Meals and Entertainment</t>
        </is>
      </c>
      <c r="I3667" s="33" t="n">
        <v>609.6799999999999</v>
      </c>
      <c r="J3667" s="13">
        <f>+J3666+I3667</f>
        <v>10280</v>
      </c>
      <c r="K3667" s="19">
        <f>+EOMONTH(B3667,0)</f>
        <v>46234</v>
      </c>
      <c r="L3667" s="3" t="inlineStr">
        <is>
          <t>Meals and Entertainment</t>
        </is>
      </c>
      <c r="M3667" s="3" t="inlineStr">
        <is>
          <t>Travel, Meals &amp; Entertainment</t>
        </is>
      </c>
    </row>
    <row r="3668">
      <c r="B3668" s="39" t="n">
        <v>46246</v>
      </c>
      <c r="C3668" s="3" t="inlineStr">
        <is>
          <t>Journal Entry</t>
        </is>
      </c>
      <c r="D3668" s="3" t="inlineStr">
        <is>
          <t>JE-2676</t>
        </is>
      </c>
      <c r="E3668" s="3" t="inlineStr"/>
      <c r="F3668" s="3" t="inlineStr">
        <is>
          <t>Meals and Entertainment – August</t>
        </is>
      </c>
      <c r="G3668" s="3" t="inlineStr">
        <is>
          <t>Checking – Operating</t>
        </is>
      </c>
      <c r="H3668" s="3" t="inlineStr">
        <is>
          <t>Meals and Entertainment</t>
        </is>
      </c>
      <c r="I3668" s="33" t="n">
        <v>599.99</v>
      </c>
      <c r="J3668" s="13">
        <f>+J3667+I3668</f>
        <v>10879.99</v>
      </c>
      <c r="K3668" s="19">
        <f>+EOMONTH(B3668,0)</f>
        <v>46265</v>
      </c>
      <c r="L3668" s="3" t="inlineStr">
        <is>
          <t>Meals and Entertainment</t>
        </is>
      </c>
      <c r="M3668" s="3" t="inlineStr">
        <is>
          <t>Travel, Meals &amp; Entertainment</t>
        </is>
      </c>
    </row>
    <row r="3669">
      <c r="B3669" s="39" t="n">
        <v>46260</v>
      </c>
      <c r="C3669" s="3" t="inlineStr">
        <is>
          <t>Expense</t>
        </is>
      </c>
      <c r="D3669" s="3" t="inlineStr">
        <is>
          <t>10816</t>
        </is>
      </c>
      <c r="E3669" s="3" t="inlineStr"/>
      <c r="F3669" s="3" t="inlineStr">
        <is>
          <t>Meals and Entertainment – August</t>
        </is>
      </c>
      <c r="G3669" s="3" t="inlineStr">
        <is>
          <t>Checking – Operating</t>
        </is>
      </c>
      <c r="H3669" s="3" t="inlineStr">
        <is>
          <t>Meals and Entertainment</t>
        </is>
      </c>
      <c r="I3669" s="33" t="n">
        <v>800.01</v>
      </c>
      <c r="J3669" s="13">
        <f>+J3668+I3669</f>
        <v>11680</v>
      </c>
      <c r="K3669" s="19">
        <f>+EOMONTH(B3669,0)</f>
        <v>46265</v>
      </c>
      <c r="L3669" s="3" t="inlineStr">
        <is>
          <t>Meals and Entertainment</t>
        </is>
      </c>
      <c r="M3669" s="3" t="inlineStr">
        <is>
          <t>Travel, Meals &amp; Entertainment</t>
        </is>
      </c>
    </row>
    <row r="3670">
      <c r="B3670" s="39" t="n">
        <v>46280</v>
      </c>
      <c r="C3670" s="3" t="inlineStr">
        <is>
          <t>Credit Card Expense</t>
        </is>
      </c>
      <c r="D3670" s="3" t="inlineStr"/>
      <c r="E3670" s="3" t="inlineStr"/>
      <c r="F3670" s="3" t="inlineStr">
        <is>
          <t>Meals and Entertainment – September</t>
        </is>
      </c>
      <c r="G3670" s="3" t="inlineStr">
        <is>
          <t>Checking – Operating</t>
        </is>
      </c>
      <c r="H3670" s="3" t="inlineStr">
        <is>
          <t>Meals and Entertainment</t>
        </is>
      </c>
      <c r="I3670" s="33" t="n">
        <v>821.1799999999999</v>
      </c>
      <c r="J3670" s="13">
        <f>+J3669+I3670</f>
        <v>12501.18</v>
      </c>
      <c r="K3670" s="19">
        <f>+EOMONTH(B3670,0)</f>
        <v>46295</v>
      </c>
      <c r="L3670" s="3" t="inlineStr">
        <is>
          <t>Meals and Entertainment</t>
        </is>
      </c>
      <c r="M3670" s="3" t="inlineStr">
        <is>
          <t>Travel, Meals &amp; Entertainment</t>
        </is>
      </c>
    </row>
    <row r="3671">
      <c r="B3671" s="39" t="n">
        <v>46293</v>
      </c>
      <c r="C3671" s="3" t="inlineStr">
        <is>
          <t>Expense</t>
        </is>
      </c>
      <c r="D3671" s="3" t="inlineStr">
        <is>
          <t>10817</t>
        </is>
      </c>
      <c r="E3671" s="3" t="inlineStr"/>
      <c r="F3671" s="3" t="inlineStr">
        <is>
          <t>Meals and Entertainment – September</t>
        </is>
      </c>
      <c r="G3671" s="3" t="inlineStr">
        <is>
          <t>Checking – Operating</t>
        </is>
      </c>
      <c r="H3671" s="3" t="inlineStr">
        <is>
          <t>Meals and Entertainment</t>
        </is>
      </c>
      <c r="I3671" s="33" t="n">
        <v>737.64</v>
      </c>
      <c r="J3671" s="13">
        <f>+J3670+I3671</f>
        <v>13238.82</v>
      </c>
      <c r="K3671" s="19">
        <f>+EOMONTH(B3671,0)</f>
        <v>46295</v>
      </c>
      <c r="L3671" s="3" t="inlineStr">
        <is>
          <t>Meals and Entertainment</t>
        </is>
      </c>
      <c r="M3671" s="3" t="inlineStr">
        <is>
          <t>Travel, Meals &amp; Entertainment</t>
        </is>
      </c>
    </row>
    <row r="3672">
      <c r="B3672" s="39" t="n">
        <v>46321</v>
      </c>
      <c r="C3672" s="3" t="inlineStr">
        <is>
          <t>Expense</t>
        </is>
      </c>
      <c r="D3672" s="3" t="inlineStr">
        <is>
          <t>10818</t>
        </is>
      </c>
      <c r="E3672" s="3" t="inlineStr"/>
      <c r="F3672" s="3" t="inlineStr">
        <is>
          <t>Meals and Entertainment – October</t>
        </is>
      </c>
      <c r="G3672" s="3" t="inlineStr">
        <is>
          <t>Checking – Operating</t>
        </is>
      </c>
      <c r="H3672" s="3" t="inlineStr">
        <is>
          <t>Meals and Entertainment</t>
        </is>
      </c>
      <c r="I3672" s="33" t="n">
        <v>1573.5</v>
      </c>
      <c r="J3672" s="13">
        <f>+J3671+I3672</f>
        <v>14812.32</v>
      </c>
      <c r="K3672" s="19">
        <f>+EOMONTH(B3672,0)</f>
        <v>46326</v>
      </c>
      <c r="L3672" s="3" t="inlineStr">
        <is>
          <t>Meals and Entertainment</t>
        </is>
      </c>
      <c r="M3672" s="3" t="inlineStr">
        <is>
          <t>Travel, Meals &amp; Entertainment</t>
        </is>
      </c>
    </row>
    <row r="3673">
      <c r="B3673" s="39" t="n">
        <v>46338</v>
      </c>
      <c r="C3673" s="3" t="inlineStr">
        <is>
          <t>Expense</t>
        </is>
      </c>
      <c r="D3673" s="3" t="inlineStr">
        <is>
          <t>10819</t>
        </is>
      </c>
      <c r="E3673" s="3" t="inlineStr"/>
      <c r="F3673" s="3" t="inlineStr">
        <is>
          <t>Meals and Entertainment – November</t>
        </is>
      </c>
      <c r="G3673" s="3" t="inlineStr">
        <is>
          <t>Checking – Operating</t>
        </is>
      </c>
      <c r="H3673" s="3" t="inlineStr">
        <is>
          <t>Meals and Entertainment</t>
        </is>
      </c>
      <c r="I3673" s="33" t="n">
        <v>781.4400000000001</v>
      </c>
      <c r="J3673" s="13">
        <f>+J3672+I3673</f>
        <v>15593.76</v>
      </c>
      <c r="K3673" s="19">
        <f>+EOMONTH(B3673,0)</f>
        <v>46356</v>
      </c>
      <c r="L3673" s="3" t="inlineStr">
        <is>
          <t>Meals and Entertainment</t>
        </is>
      </c>
      <c r="M3673" s="3" t="inlineStr">
        <is>
          <t>Travel, Meals &amp; Entertainment</t>
        </is>
      </c>
    </row>
    <row r="3674">
      <c r="B3674" s="39" t="n">
        <v>46342</v>
      </c>
      <c r="C3674" s="3" t="inlineStr">
        <is>
          <t>Journal Entry</t>
        </is>
      </c>
      <c r="D3674" s="3" t="inlineStr">
        <is>
          <t>JE-2677</t>
        </is>
      </c>
      <c r="E3674" s="3" t="inlineStr"/>
      <c r="F3674" s="3" t="inlineStr">
        <is>
          <t>Meals and Entertainment – November</t>
        </is>
      </c>
      <c r="G3674" s="3" t="inlineStr">
        <is>
          <t>Checking – Operating</t>
        </is>
      </c>
      <c r="H3674" s="3" t="inlineStr">
        <is>
          <t>Meals and Entertainment</t>
        </is>
      </c>
      <c r="I3674" s="33" t="n">
        <v>732.26</v>
      </c>
      <c r="J3674" s="13">
        <f>+J3673+I3674</f>
        <v>16326.02</v>
      </c>
      <c r="K3674" s="19">
        <f>+EOMONTH(B3674,0)</f>
        <v>46356</v>
      </c>
      <c r="L3674" s="3" t="inlineStr">
        <is>
          <t>Meals and Entertainment</t>
        </is>
      </c>
      <c r="M3674" s="3" t="inlineStr">
        <is>
          <t>Travel, Meals &amp; Entertainment</t>
        </is>
      </c>
    </row>
    <row r="3675">
      <c r="A3675" s="2" t="inlineStr">
        <is>
          <t>Total for Meals and Entertainment</t>
        </is>
      </c>
      <c r="I3675" s="35">
        <f>SUM(I3654:I3674)</f>
        <v>16326.02</v>
      </c>
    </row>
    <row r="3677">
      <c r="A3677" s="2" t="inlineStr">
        <is>
          <t>Reimbursement</t>
        </is>
      </c>
    </row>
    <row r="3678">
      <c r="B3678" s="39" t="n">
        <v>46027</v>
      </c>
      <c r="C3678" s="3" t="inlineStr">
        <is>
          <t>Journal Entry</t>
        </is>
      </c>
      <c r="D3678" s="3" t="inlineStr">
        <is>
          <t>JE-2679</t>
        </is>
      </c>
      <c r="E3678" s="3" t="inlineStr"/>
      <c r="F3678" s="3" t="inlineStr">
        <is>
          <t>Reimbursement – January</t>
        </is>
      </c>
      <c r="G3678" s="3" t="inlineStr">
        <is>
          <t>Checking – Operating</t>
        </is>
      </c>
      <c r="H3678" s="3" t="inlineStr">
        <is>
          <t>Reimbursement</t>
        </is>
      </c>
      <c r="I3678" s="33" t="n">
        <v>914.85</v>
      </c>
      <c r="J3678" s="13">
        <f>+I3678</f>
        <v>914.85</v>
      </c>
      <c r="K3678" s="19">
        <f>+EOMONTH(B3678,0)</f>
        <v>46053</v>
      </c>
      <c r="L3678" s="3" t="inlineStr">
        <is>
          <t>Reimbursement</t>
        </is>
      </c>
      <c r="M3678" s="3" t="inlineStr">
        <is>
          <t>Other Operating Expenses</t>
        </is>
      </c>
    </row>
    <row r="3679">
      <c r="B3679" s="39" t="n">
        <v>46037</v>
      </c>
      <c r="C3679" s="3" t="inlineStr">
        <is>
          <t>Journal Entry</t>
        </is>
      </c>
      <c r="D3679" s="3" t="inlineStr">
        <is>
          <t>JE-2678</t>
        </is>
      </c>
      <c r="E3679" s="3" t="inlineStr"/>
      <c r="F3679" s="3" t="inlineStr">
        <is>
          <t>Reimbursement – January</t>
        </is>
      </c>
      <c r="G3679" s="3" t="inlineStr">
        <is>
          <t>Checking – Operating</t>
        </is>
      </c>
      <c r="H3679" s="3" t="inlineStr">
        <is>
          <t>Reimbursement</t>
        </is>
      </c>
      <c r="I3679" s="33" t="n">
        <v>1785.15</v>
      </c>
      <c r="J3679" s="13">
        <f>+J3678+I3679</f>
        <v>2700</v>
      </c>
      <c r="K3679" s="19">
        <f>+EOMONTH(B3679,0)</f>
        <v>46053</v>
      </c>
      <c r="L3679" s="3" t="inlineStr">
        <is>
          <t>Reimbursement</t>
        </is>
      </c>
      <c r="M3679" s="3" t="inlineStr">
        <is>
          <t>Other Operating Expenses</t>
        </is>
      </c>
    </row>
    <row r="3680">
      <c r="B3680" s="39" t="n">
        <v>46070</v>
      </c>
      <c r="C3680" s="3" t="inlineStr">
        <is>
          <t>Credit Card Expense</t>
        </is>
      </c>
      <c r="D3680" s="3" t="inlineStr"/>
      <c r="E3680" s="3" t="inlineStr"/>
      <c r="F3680" s="3" t="inlineStr">
        <is>
          <t>Reimbursement – February</t>
        </is>
      </c>
      <c r="G3680" s="3" t="inlineStr">
        <is>
          <t>Checking – Operating</t>
        </is>
      </c>
      <c r="H3680" s="3" t="inlineStr">
        <is>
          <t>Reimbursement</t>
        </is>
      </c>
      <c r="I3680" s="33" t="n">
        <v>1145.39</v>
      </c>
      <c r="J3680" s="13">
        <f>+J3679+I3680</f>
        <v>3845.39</v>
      </c>
      <c r="K3680" s="19">
        <f>+EOMONTH(B3680,0)</f>
        <v>46081</v>
      </c>
      <c r="L3680" s="3" t="inlineStr">
        <is>
          <t>Reimbursement</t>
        </is>
      </c>
      <c r="M3680" s="3" t="inlineStr">
        <is>
          <t>Other Operating Expenses</t>
        </is>
      </c>
    </row>
    <row r="3681">
      <c r="B3681" s="39" t="n">
        <v>46081</v>
      </c>
      <c r="C3681" s="3" t="inlineStr">
        <is>
          <t>Expense</t>
        </is>
      </c>
      <c r="D3681" s="3" t="inlineStr">
        <is>
          <t>10820</t>
        </is>
      </c>
      <c r="E3681" s="3" t="inlineStr"/>
      <c r="F3681" s="3" t="inlineStr">
        <is>
          <t>Reimbursement – February</t>
        </is>
      </c>
      <c r="G3681" s="3" t="inlineStr">
        <is>
          <t>Checking – Operating</t>
        </is>
      </c>
      <c r="H3681" s="3" t="inlineStr">
        <is>
          <t>Reimbursement</t>
        </is>
      </c>
      <c r="I3681" s="33" t="n">
        <v>1494.61</v>
      </c>
      <c r="J3681" s="13">
        <f>+J3680+I3681</f>
        <v>5340</v>
      </c>
      <c r="K3681" s="19">
        <f>+EOMONTH(B3681,0)</f>
        <v>46081</v>
      </c>
      <c r="L3681" s="3" t="inlineStr">
        <is>
          <t>Reimbursement</t>
        </is>
      </c>
      <c r="M3681" s="3" t="inlineStr">
        <is>
          <t>Other Operating Expenses</t>
        </is>
      </c>
    </row>
    <row r="3682">
      <c r="B3682" s="39" t="n">
        <v>46084</v>
      </c>
      <c r="C3682" s="3" t="inlineStr">
        <is>
          <t>Credit Card Expense</t>
        </is>
      </c>
      <c r="D3682" s="3" t="inlineStr"/>
      <c r="E3682" s="3" t="inlineStr"/>
      <c r="F3682" s="3" t="inlineStr">
        <is>
          <t>Reimbursement – March</t>
        </is>
      </c>
      <c r="G3682" s="3" t="inlineStr">
        <is>
          <t>Checking – Operating</t>
        </is>
      </c>
      <c r="H3682" s="3" t="inlineStr">
        <is>
          <t>Reimbursement</t>
        </is>
      </c>
      <c r="I3682" s="33" t="n">
        <v>1633.28</v>
      </c>
      <c r="J3682" s="13">
        <f>+J3681+I3682</f>
        <v>6973.28</v>
      </c>
      <c r="K3682" s="19">
        <f>+EOMONTH(B3682,0)</f>
        <v>46112</v>
      </c>
      <c r="L3682" s="3" t="inlineStr">
        <is>
          <t>Reimbursement</t>
        </is>
      </c>
      <c r="M3682" s="3" t="inlineStr">
        <is>
          <t>Other Operating Expenses</t>
        </is>
      </c>
    </row>
    <row r="3683">
      <c r="B3683" s="39" t="n">
        <v>46085</v>
      </c>
      <c r="C3683" s="3" t="inlineStr">
        <is>
          <t>Journal Entry</t>
        </is>
      </c>
      <c r="D3683" s="3" t="inlineStr">
        <is>
          <t>JE-2680</t>
        </is>
      </c>
      <c r="E3683" s="3" t="inlineStr"/>
      <c r="F3683" s="3" t="inlineStr">
        <is>
          <t>Reimbursement – March</t>
        </is>
      </c>
      <c r="G3683" s="3" t="inlineStr">
        <is>
          <t>Checking – Operating</t>
        </is>
      </c>
      <c r="H3683" s="3" t="inlineStr">
        <is>
          <t>Reimbursement</t>
        </is>
      </c>
      <c r="I3683" s="33" t="n">
        <v>1126.72</v>
      </c>
      <c r="J3683" s="13">
        <f>+J3682+I3683</f>
        <v>8100</v>
      </c>
      <c r="K3683" s="19">
        <f>+EOMONTH(B3683,0)</f>
        <v>46112</v>
      </c>
      <c r="L3683" s="3" t="inlineStr">
        <is>
          <t>Reimbursement</t>
        </is>
      </c>
      <c r="M3683" s="3" t="inlineStr">
        <is>
          <t>Other Operating Expenses</t>
        </is>
      </c>
    </row>
    <row r="3684">
      <c r="B3684" s="39" t="n">
        <v>46116</v>
      </c>
      <c r="C3684" s="3" t="inlineStr">
        <is>
          <t>Credit Card Expense</t>
        </is>
      </c>
      <c r="D3684" s="3" t="inlineStr"/>
      <c r="E3684" s="3" t="inlineStr"/>
      <c r="F3684" s="3" t="inlineStr">
        <is>
          <t>Reimbursement – April</t>
        </is>
      </c>
      <c r="G3684" s="3" t="inlineStr">
        <is>
          <t>Checking – Operating</t>
        </is>
      </c>
      <c r="H3684" s="3" t="inlineStr">
        <is>
          <t>Reimbursement</t>
        </is>
      </c>
      <c r="I3684" s="33" t="n">
        <v>1391.62</v>
      </c>
      <c r="J3684" s="13">
        <f>+J3683+I3684</f>
        <v>9491.62</v>
      </c>
      <c r="K3684" s="19">
        <f>+EOMONTH(B3684,0)</f>
        <v>46142</v>
      </c>
      <c r="L3684" s="3" t="inlineStr">
        <is>
          <t>Reimbursement</t>
        </is>
      </c>
      <c r="M3684" s="3" t="inlineStr">
        <is>
          <t>Other Operating Expenses</t>
        </is>
      </c>
    </row>
    <row r="3685">
      <c r="B3685" s="39" t="n">
        <v>46126</v>
      </c>
      <c r="C3685" s="3" t="inlineStr">
        <is>
          <t>Credit Card Expense</t>
        </is>
      </c>
      <c r="D3685" s="3" t="inlineStr"/>
      <c r="E3685" s="3" t="inlineStr"/>
      <c r="F3685" s="3" t="inlineStr">
        <is>
          <t>Reimbursement – April</t>
        </is>
      </c>
      <c r="G3685" s="3" t="inlineStr">
        <is>
          <t>Checking – Operating</t>
        </is>
      </c>
      <c r="H3685" s="3" t="inlineStr">
        <is>
          <t>Reimbursement</t>
        </is>
      </c>
      <c r="I3685" s="33" t="n">
        <v>1428.38</v>
      </c>
      <c r="J3685" s="13">
        <f>+J3684+I3685</f>
        <v>10920</v>
      </c>
      <c r="K3685" s="19">
        <f>+EOMONTH(B3685,0)</f>
        <v>46142</v>
      </c>
      <c r="L3685" s="3" t="inlineStr">
        <is>
          <t>Reimbursement</t>
        </is>
      </c>
      <c r="M3685" s="3" t="inlineStr">
        <is>
          <t>Other Operating Expenses</t>
        </is>
      </c>
    </row>
    <row r="3686">
      <c r="B3686" s="39" t="n">
        <v>46146</v>
      </c>
      <c r="C3686" s="3" t="inlineStr">
        <is>
          <t>Journal Entry</t>
        </is>
      </c>
      <c r="D3686" s="3" t="inlineStr">
        <is>
          <t>JE-2681</t>
        </is>
      </c>
      <c r="E3686" s="3" t="inlineStr"/>
      <c r="F3686" s="3" t="inlineStr">
        <is>
          <t>Reimbursement – May</t>
        </is>
      </c>
      <c r="G3686" s="3" t="inlineStr">
        <is>
          <t>Checking – Operating</t>
        </is>
      </c>
      <c r="H3686" s="3" t="inlineStr">
        <is>
          <t>Reimbursement</t>
        </is>
      </c>
      <c r="I3686" s="33" t="n">
        <v>1287.79</v>
      </c>
      <c r="J3686" s="13">
        <f>+J3685+I3686</f>
        <v>12207.79</v>
      </c>
      <c r="K3686" s="19">
        <f>+EOMONTH(B3686,0)</f>
        <v>46173</v>
      </c>
      <c r="L3686" s="3" t="inlineStr">
        <is>
          <t>Reimbursement</t>
        </is>
      </c>
      <c r="M3686" s="3" t="inlineStr">
        <is>
          <t>Other Operating Expenses</t>
        </is>
      </c>
    </row>
    <row r="3687">
      <c r="B3687" s="39" t="n">
        <v>46164</v>
      </c>
      <c r="C3687" s="3" t="inlineStr">
        <is>
          <t>Credit Card Expense</t>
        </is>
      </c>
      <c r="D3687" s="3" t="inlineStr"/>
      <c r="E3687" s="3" t="inlineStr"/>
      <c r="F3687" s="3" t="inlineStr">
        <is>
          <t>Reimbursement – May</t>
        </is>
      </c>
      <c r="G3687" s="3" t="inlineStr">
        <is>
          <t>Checking – Operating</t>
        </is>
      </c>
      <c r="H3687" s="3" t="inlineStr">
        <is>
          <t>Reimbursement</t>
        </is>
      </c>
      <c r="I3687" s="33" t="n">
        <v>1412.21</v>
      </c>
      <c r="J3687" s="13">
        <f>+J3686+I3687</f>
        <v>13620</v>
      </c>
      <c r="K3687" s="19">
        <f>+EOMONTH(B3687,0)</f>
        <v>46173</v>
      </c>
      <c r="L3687" s="3" t="inlineStr">
        <is>
          <t>Reimbursement</t>
        </is>
      </c>
      <c r="M3687" s="3" t="inlineStr">
        <is>
          <t>Other Operating Expenses</t>
        </is>
      </c>
    </row>
    <row r="3688">
      <c r="B3688" s="39" t="n">
        <v>46190</v>
      </c>
      <c r="C3688" s="3" t="inlineStr">
        <is>
          <t>Journal Entry</t>
        </is>
      </c>
      <c r="D3688" s="3" t="inlineStr">
        <is>
          <t>JE-2682</t>
        </is>
      </c>
      <c r="E3688" s="3" t="inlineStr"/>
      <c r="F3688" s="3" t="inlineStr">
        <is>
          <t>Reimbursement – June</t>
        </is>
      </c>
      <c r="G3688" s="3" t="inlineStr">
        <is>
          <t>Checking – Operating</t>
        </is>
      </c>
      <c r="H3688" s="3" t="inlineStr">
        <is>
          <t>Reimbursement</t>
        </is>
      </c>
      <c r="I3688" s="33" t="n">
        <v>1693.4</v>
      </c>
      <c r="J3688" s="13">
        <f>+J3687+I3688</f>
        <v>15313.4</v>
      </c>
      <c r="K3688" s="19">
        <f>+EOMONTH(B3688,0)</f>
        <v>46203</v>
      </c>
      <c r="L3688" s="3" t="inlineStr">
        <is>
          <t>Reimbursement</t>
        </is>
      </c>
      <c r="M3688" s="3" t="inlineStr">
        <is>
          <t>Other Operating Expenses</t>
        </is>
      </c>
    </row>
    <row r="3689">
      <c r="B3689" s="39" t="n">
        <v>46199</v>
      </c>
      <c r="C3689" s="3" t="inlineStr">
        <is>
          <t>Expense</t>
        </is>
      </c>
      <c r="D3689" s="3" t="inlineStr">
        <is>
          <t>10821</t>
        </is>
      </c>
      <c r="E3689" s="3" t="inlineStr"/>
      <c r="F3689" s="3" t="inlineStr">
        <is>
          <t>Reimbursement – June</t>
        </is>
      </c>
      <c r="G3689" s="3" t="inlineStr">
        <is>
          <t>Checking – Operating</t>
        </is>
      </c>
      <c r="H3689" s="3" t="inlineStr">
        <is>
          <t>Reimbursement</t>
        </is>
      </c>
      <c r="I3689" s="33" t="n">
        <v>1186.6</v>
      </c>
      <c r="J3689" s="13">
        <f>+J3688+I3689</f>
        <v>16500</v>
      </c>
      <c r="K3689" s="19">
        <f>+EOMONTH(B3689,0)</f>
        <v>46203</v>
      </c>
      <c r="L3689" s="3" t="inlineStr">
        <is>
          <t>Reimbursement</t>
        </is>
      </c>
      <c r="M3689" s="3" t="inlineStr">
        <is>
          <t>Other Operating Expenses</t>
        </is>
      </c>
    </row>
    <row r="3690">
      <c r="B3690" s="39" t="n">
        <v>46226</v>
      </c>
      <c r="C3690" s="3" t="inlineStr">
        <is>
          <t>Credit Card Expense</t>
        </is>
      </c>
      <c r="D3690" s="3" t="inlineStr"/>
      <c r="E3690" s="3" t="inlineStr"/>
      <c r="F3690" s="3" t="inlineStr">
        <is>
          <t>Reimbursement – July</t>
        </is>
      </c>
      <c r="G3690" s="3" t="inlineStr">
        <is>
          <t>Checking – Operating</t>
        </is>
      </c>
      <c r="H3690" s="3" t="inlineStr">
        <is>
          <t>Reimbursement</t>
        </is>
      </c>
      <c r="I3690" s="33" t="n">
        <v>1599.52</v>
      </c>
      <c r="J3690" s="13">
        <f>+J3689+I3690</f>
        <v>18099.52</v>
      </c>
      <c r="K3690" s="19">
        <f>+EOMONTH(B3690,0)</f>
        <v>46234</v>
      </c>
      <c r="L3690" s="3" t="inlineStr">
        <is>
          <t>Reimbursement</t>
        </is>
      </c>
      <c r="M3690" s="3" t="inlineStr">
        <is>
          <t>Other Operating Expenses</t>
        </is>
      </c>
    </row>
    <row r="3691">
      <c r="B3691" s="39" t="n">
        <v>46231</v>
      </c>
      <c r="C3691" s="3" t="inlineStr">
        <is>
          <t>Expense</t>
        </is>
      </c>
      <c r="D3691" s="3" t="inlineStr">
        <is>
          <t>10822</t>
        </is>
      </c>
      <c r="E3691" s="3" t="inlineStr"/>
      <c r="F3691" s="3" t="inlineStr">
        <is>
          <t>Reimbursement – July</t>
        </is>
      </c>
      <c r="G3691" s="3" t="inlineStr">
        <is>
          <t>Checking – Operating</t>
        </is>
      </c>
      <c r="H3691" s="3" t="inlineStr">
        <is>
          <t>Reimbursement</t>
        </is>
      </c>
      <c r="I3691" s="33" t="n">
        <v>1100.48</v>
      </c>
      <c r="J3691" s="13">
        <f>+J3690+I3691</f>
        <v>19200</v>
      </c>
      <c r="K3691" s="19">
        <f>+EOMONTH(B3691,0)</f>
        <v>46234</v>
      </c>
      <c r="L3691" s="3" t="inlineStr">
        <is>
          <t>Reimbursement</t>
        </is>
      </c>
      <c r="M3691" s="3" t="inlineStr">
        <is>
          <t>Other Operating Expenses</t>
        </is>
      </c>
    </row>
    <row r="3692">
      <c r="B3692" s="39" t="n">
        <v>46243</v>
      </c>
      <c r="C3692" s="3" t="inlineStr">
        <is>
          <t>Expense</t>
        </is>
      </c>
      <c r="D3692" s="3" t="inlineStr">
        <is>
          <t>10823</t>
        </is>
      </c>
      <c r="E3692" s="3" t="inlineStr"/>
      <c r="F3692" s="3" t="inlineStr">
        <is>
          <t>Reimbursement – August</t>
        </is>
      </c>
      <c r="G3692" s="3" t="inlineStr">
        <is>
          <t>Checking – Operating</t>
        </is>
      </c>
      <c r="H3692" s="3" t="inlineStr">
        <is>
          <t>Reimbursement</t>
        </is>
      </c>
      <c r="I3692" s="33" t="n">
        <v>1590.11</v>
      </c>
      <c r="J3692" s="13">
        <f>+J3691+I3692</f>
        <v>20790.11</v>
      </c>
      <c r="K3692" s="19">
        <f>+EOMONTH(B3692,0)</f>
        <v>46265</v>
      </c>
      <c r="L3692" s="3" t="inlineStr">
        <is>
          <t>Reimbursement</t>
        </is>
      </c>
      <c r="M3692" s="3" t="inlineStr">
        <is>
          <t>Other Operating Expenses</t>
        </is>
      </c>
    </row>
    <row r="3693">
      <c r="B3693" s="39" t="n">
        <v>46252</v>
      </c>
      <c r="C3693" s="3" t="inlineStr">
        <is>
          <t>Journal Entry</t>
        </is>
      </c>
      <c r="D3693" s="3" t="inlineStr">
        <is>
          <t>JE-2683</t>
        </is>
      </c>
      <c r="E3693" s="3" t="inlineStr"/>
      <c r="F3693" s="3" t="inlineStr">
        <is>
          <t>Reimbursement – August</t>
        </is>
      </c>
      <c r="G3693" s="3" t="inlineStr">
        <is>
          <t>Checking – Operating</t>
        </is>
      </c>
      <c r="H3693" s="3" t="inlineStr">
        <is>
          <t>Reimbursement</t>
        </is>
      </c>
      <c r="I3693" s="33" t="n">
        <v>1289.89</v>
      </c>
      <c r="J3693" s="13">
        <f>+J3692+I3693</f>
        <v>22080</v>
      </c>
      <c r="K3693" s="19">
        <f>+EOMONTH(B3693,0)</f>
        <v>46265</v>
      </c>
      <c r="L3693" s="3" t="inlineStr">
        <is>
          <t>Reimbursement</t>
        </is>
      </c>
      <c r="M3693" s="3" t="inlineStr">
        <is>
          <t>Other Operating Expenses</t>
        </is>
      </c>
    </row>
    <row r="3694">
      <c r="B3694" s="39" t="n">
        <v>46290</v>
      </c>
      <c r="C3694" s="3" t="inlineStr">
        <is>
          <t>Expense</t>
        </is>
      </c>
      <c r="D3694" s="3" t="inlineStr">
        <is>
          <t>10824</t>
        </is>
      </c>
      <c r="E3694" s="3" t="inlineStr"/>
      <c r="F3694" s="3" t="inlineStr">
        <is>
          <t>Reimbursement – September</t>
        </is>
      </c>
      <c r="G3694" s="3" t="inlineStr">
        <is>
          <t>Checking – Operating</t>
        </is>
      </c>
      <c r="H3694" s="3" t="inlineStr">
        <is>
          <t>Reimbursement</t>
        </is>
      </c>
      <c r="I3694" s="33" t="n">
        <v>1162.08</v>
      </c>
      <c r="J3694" s="13">
        <f>+J3693+I3694</f>
        <v>23242.08</v>
      </c>
      <c r="K3694" s="19">
        <f>+EOMONTH(B3694,0)</f>
        <v>46295</v>
      </c>
      <c r="L3694" s="3" t="inlineStr">
        <is>
          <t>Reimbursement</t>
        </is>
      </c>
      <c r="M3694" s="3" t="inlineStr">
        <is>
          <t>Other Operating Expenses</t>
        </is>
      </c>
    </row>
    <row r="3695">
      <c r="B3695" s="39" t="n">
        <v>46291</v>
      </c>
      <c r="C3695" s="3" t="inlineStr">
        <is>
          <t>Expense</t>
        </is>
      </c>
      <c r="D3695" s="3" t="inlineStr">
        <is>
          <t>10825</t>
        </is>
      </c>
      <c r="E3695" s="3" t="inlineStr"/>
      <c r="F3695" s="3" t="inlineStr">
        <is>
          <t>Reimbursement – September</t>
        </is>
      </c>
      <c r="G3695" s="3" t="inlineStr">
        <is>
          <t>Checking – Operating</t>
        </is>
      </c>
      <c r="H3695" s="3" t="inlineStr">
        <is>
          <t>Reimbursement</t>
        </is>
      </c>
      <c r="I3695" s="33" t="n">
        <v>1589.37</v>
      </c>
      <c r="J3695" s="13">
        <f>+J3694+I3695</f>
        <v>24831.45</v>
      </c>
      <c r="K3695" s="19">
        <f>+EOMONTH(B3695,0)</f>
        <v>46295</v>
      </c>
      <c r="L3695" s="3" t="inlineStr">
        <is>
          <t>Reimbursement</t>
        </is>
      </c>
      <c r="M3695" s="3" t="inlineStr">
        <is>
          <t>Other Operating Expenses</t>
        </is>
      </c>
    </row>
    <row r="3696">
      <c r="B3696" s="39" t="n">
        <v>46321</v>
      </c>
      <c r="C3696" s="3" t="inlineStr">
        <is>
          <t>Expense</t>
        </is>
      </c>
      <c r="D3696" s="3" t="inlineStr">
        <is>
          <t>10826</t>
        </is>
      </c>
      <c r="E3696" s="3" t="inlineStr"/>
      <c r="F3696" s="3" t="inlineStr">
        <is>
          <t>Reimbursement – October</t>
        </is>
      </c>
      <c r="G3696" s="3" t="inlineStr">
        <is>
          <t>Checking – Operating</t>
        </is>
      </c>
      <c r="H3696" s="3" t="inlineStr">
        <is>
          <t>Reimbursement</t>
        </is>
      </c>
      <c r="I3696" s="33" t="n">
        <v>1314.77</v>
      </c>
      <c r="J3696" s="13">
        <f>+J3695+I3696</f>
        <v>26146.22</v>
      </c>
      <c r="K3696" s="19">
        <f>+EOMONTH(B3696,0)</f>
        <v>46326</v>
      </c>
      <c r="L3696" s="3" t="inlineStr">
        <is>
          <t>Reimbursement</t>
        </is>
      </c>
      <c r="M3696" s="3" t="inlineStr">
        <is>
          <t>Other Operating Expenses</t>
        </is>
      </c>
    </row>
    <row r="3697">
      <c r="B3697" s="39" t="n">
        <v>46321</v>
      </c>
      <c r="C3697" s="3" t="inlineStr">
        <is>
          <t>Journal Entry</t>
        </is>
      </c>
      <c r="D3697" s="3" t="inlineStr">
        <is>
          <t>JE-2684</t>
        </is>
      </c>
      <c r="E3697" s="3" t="inlineStr"/>
      <c r="F3697" s="3" t="inlineStr">
        <is>
          <t>Reimbursement – October</t>
        </is>
      </c>
      <c r="G3697" s="3" t="inlineStr">
        <is>
          <t>Checking – Operating</t>
        </is>
      </c>
      <c r="H3697" s="3" t="inlineStr">
        <is>
          <t>Reimbursement</t>
        </is>
      </c>
      <c r="I3697" s="33" t="n">
        <v>1668.99</v>
      </c>
      <c r="J3697" s="13">
        <f>+J3696+I3697</f>
        <v>27815.21</v>
      </c>
      <c r="K3697" s="19">
        <f>+EOMONTH(B3697,0)</f>
        <v>46326</v>
      </c>
      <c r="L3697" s="3" t="inlineStr">
        <is>
          <t>Reimbursement</t>
        </is>
      </c>
      <c r="M3697" s="3" t="inlineStr">
        <is>
          <t>Other Operating Expenses</t>
        </is>
      </c>
    </row>
    <row r="3698">
      <c r="B3698" s="39" t="n">
        <v>46338</v>
      </c>
      <c r="C3698" s="3" t="inlineStr">
        <is>
          <t>Credit Card Expense</t>
        </is>
      </c>
      <c r="D3698" s="3" t="inlineStr"/>
      <c r="E3698" s="3" t="inlineStr"/>
      <c r="F3698" s="3" t="inlineStr">
        <is>
          <t>Reimbursement – November</t>
        </is>
      </c>
      <c r="G3698" s="3" t="inlineStr">
        <is>
          <t>Checking – Operating</t>
        </is>
      </c>
      <c r="H3698" s="3" t="inlineStr">
        <is>
          <t>Reimbursement</t>
        </is>
      </c>
      <c r="I3698" s="33" t="n">
        <v>2822.72</v>
      </c>
      <c r="J3698" s="13">
        <f>+J3697+I3698</f>
        <v>30637.93</v>
      </c>
      <c r="K3698" s="19">
        <f>+EOMONTH(B3698,0)</f>
        <v>46356</v>
      </c>
      <c r="L3698" s="3" t="inlineStr">
        <is>
          <t>Reimbursement</t>
        </is>
      </c>
      <c r="M3698" s="3" t="inlineStr">
        <is>
          <t>Other Operating Expenses</t>
        </is>
      </c>
    </row>
    <row r="3699">
      <c r="A3699" s="2" t="inlineStr">
        <is>
          <t>Total for Reimbursement</t>
        </is>
      </c>
      <c r="I3699" s="35">
        <f>SUM(I3678:I3698)</f>
        <v>30637.93</v>
      </c>
    </row>
    <row r="3701">
      <c r="A3701" s="2" t="inlineStr">
        <is>
          <t>Parking</t>
        </is>
      </c>
    </row>
    <row r="3702">
      <c r="B3702" s="39" t="n">
        <v>46031</v>
      </c>
      <c r="C3702" s="3" t="inlineStr">
        <is>
          <t>Credit Card Expense</t>
        </is>
      </c>
      <c r="D3702" s="3" t="inlineStr"/>
      <c r="E3702" s="3" t="inlineStr"/>
      <c r="F3702" s="3" t="inlineStr">
        <is>
          <t>Parking – January</t>
        </is>
      </c>
      <c r="G3702" s="3" t="inlineStr">
        <is>
          <t>Checking – Operating</t>
        </is>
      </c>
      <c r="H3702" s="3" t="inlineStr">
        <is>
          <t>Parking</t>
        </is>
      </c>
      <c r="I3702" s="33" t="n">
        <v>663.29</v>
      </c>
      <c r="J3702" s="13">
        <f>+I3702</f>
        <v>663.29</v>
      </c>
      <c r="K3702" s="19">
        <f>+EOMONTH(B3702,0)</f>
        <v>46053</v>
      </c>
      <c r="L3702" s="3" t="inlineStr">
        <is>
          <t>Parking</t>
        </is>
      </c>
      <c r="M3702" s="3" t="inlineStr">
        <is>
          <t>Automobile Expense</t>
        </is>
      </c>
    </row>
    <row r="3703">
      <c r="B3703" s="39" t="n">
        <v>46046</v>
      </c>
      <c r="C3703" s="3" t="inlineStr">
        <is>
          <t>Credit Card Expense</t>
        </is>
      </c>
      <c r="D3703" s="3" t="inlineStr"/>
      <c r="E3703" s="3" t="inlineStr"/>
      <c r="F3703" s="3" t="inlineStr">
        <is>
          <t>Parking – January</t>
        </is>
      </c>
      <c r="G3703" s="3" t="inlineStr">
        <is>
          <t>Checking – Operating</t>
        </is>
      </c>
      <c r="H3703" s="3" t="inlineStr">
        <is>
          <t>Parking</t>
        </is>
      </c>
      <c r="I3703" s="33" t="n">
        <v>656.71</v>
      </c>
      <c r="J3703" s="13">
        <f>+J3702+I3703</f>
        <v>1320</v>
      </c>
      <c r="K3703" s="19">
        <f>+EOMONTH(B3703,0)</f>
        <v>46053</v>
      </c>
      <c r="L3703" s="3" t="inlineStr">
        <is>
          <t>Parking</t>
        </is>
      </c>
      <c r="M3703" s="3" t="inlineStr">
        <is>
          <t>Automobile Expense</t>
        </is>
      </c>
    </row>
    <row r="3704">
      <c r="B3704" s="39" t="n">
        <v>46065</v>
      </c>
      <c r="C3704" s="3" t="inlineStr">
        <is>
          <t>Expense</t>
        </is>
      </c>
      <c r="D3704" s="3" t="inlineStr">
        <is>
          <t>10827</t>
        </is>
      </c>
      <c r="E3704" s="3" t="inlineStr"/>
      <c r="F3704" s="3" t="inlineStr">
        <is>
          <t>Parking – February</t>
        </is>
      </c>
      <c r="G3704" s="3" t="inlineStr">
        <is>
          <t>Checking – Operating</t>
        </is>
      </c>
      <c r="H3704" s="3" t="inlineStr">
        <is>
          <t>Parking</t>
        </is>
      </c>
      <c r="I3704" s="33" t="n">
        <v>540.78</v>
      </c>
      <c r="J3704" s="13">
        <f>+J3703+I3704</f>
        <v>1860.78</v>
      </c>
      <c r="K3704" s="19">
        <f>+EOMONTH(B3704,0)</f>
        <v>46081</v>
      </c>
      <c r="L3704" s="3" t="inlineStr">
        <is>
          <t>Parking</t>
        </is>
      </c>
      <c r="M3704" s="3" t="inlineStr">
        <is>
          <t>Automobile Expense</t>
        </is>
      </c>
    </row>
    <row r="3705">
      <c r="B3705" s="39" t="n">
        <v>46074</v>
      </c>
      <c r="C3705" s="3" t="inlineStr">
        <is>
          <t>Credit Card Expense</t>
        </is>
      </c>
      <c r="D3705" s="3" t="inlineStr"/>
      <c r="E3705" s="3" t="inlineStr"/>
      <c r="F3705" s="3" t="inlineStr">
        <is>
          <t>Parking – February</t>
        </is>
      </c>
      <c r="G3705" s="3" t="inlineStr">
        <is>
          <t>Checking – Operating</t>
        </is>
      </c>
      <c r="H3705" s="3" t="inlineStr">
        <is>
          <t>Parking</t>
        </is>
      </c>
      <c r="I3705" s="33" t="n">
        <v>659.22</v>
      </c>
      <c r="J3705" s="13">
        <f>+J3704+I3705</f>
        <v>2520</v>
      </c>
      <c r="K3705" s="19">
        <f>+EOMONTH(B3705,0)</f>
        <v>46081</v>
      </c>
      <c r="L3705" s="3" t="inlineStr">
        <is>
          <t>Parking</t>
        </is>
      </c>
      <c r="M3705" s="3" t="inlineStr">
        <is>
          <t>Automobile Expense</t>
        </is>
      </c>
    </row>
    <row r="3706">
      <c r="B3706" s="39" t="n">
        <v>46082</v>
      </c>
      <c r="C3706" s="3" t="inlineStr">
        <is>
          <t>Expense</t>
        </is>
      </c>
      <c r="D3706" s="3" t="inlineStr">
        <is>
          <t>10828</t>
        </is>
      </c>
      <c r="E3706" s="3" t="inlineStr"/>
      <c r="F3706" s="3" t="inlineStr">
        <is>
          <t>Parking – March</t>
        </is>
      </c>
      <c r="G3706" s="3" t="inlineStr">
        <is>
          <t>Checking – Operating</t>
        </is>
      </c>
      <c r="H3706" s="3" t="inlineStr">
        <is>
          <t>Parking</t>
        </is>
      </c>
      <c r="I3706" s="33" t="n">
        <v>489.87</v>
      </c>
      <c r="J3706" s="13">
        <f>+J3705+I3706</f>
        <v>3009.87</v>
      </c>
      <c r="K3706" s="19">
        <f>+EOMONTH(B3706,0)</f>
        <v>46112</v>
      </c>
      <c r="L3706" s="3" t="inlineStr">
        <is>
          <t>Parking</t>
        </is>
      </c>
      <c r="M3706" s="3" t="inlineStr">
        <is>
          <t>Automobile Expense</t>
        </is>
      </c>
    </row>
    <row r="3707">
      <c r="B3707" s="39" t="n">
        <v>46107</v>
      </c>
      <c r="C3707" s="3" t="inlineStr">
        <is>
          <t>Credit Card Expense</t>
        </is>
      </c>
      <c r="D3707" s="3" t="inlineStr"/>
      <c r="E3707" s="3" t="inlineStr"/>
      <c r="F3707" s="3" t="inlineStr">
        <is>
          <t>Parking – March</t>
        </is>
      </c>
      <c r="G3707" s="3" t="inlineStr">
        <is>
          <t>Checking – Operating</t>
        </is>
      </c>
      <c r="H3707" s="3" t="inlineStr">
        <is>
          <t>Parking</t>
        </is>
      </c>
      <c r="I3707" s="33" t="n">
        <v>770.13</v>
      </c>
      <c r="J3707" s="13">
        <f>+J3706+I3707</f>
        <v>3780</v>
      </c>
      <c r="K3707" s="19">
        <f>+EOMONTH(B3707,0)</f>
        <v>46112</v>
      </c>
      <c r="L3707" s="3" t="inlineStr">
        <is>
          <t>Parking</t>
        </is>
      </c>
      <c r="M3707" s="3" t="inlineStr">
        <is>
          <t>Automobile Expense</t>
        </is>
      </c>
    </row>
    <row r="3708">
      <c r="B3708" s="39" t="n">
        <v>46125</v>
      </c>
      <c r="C3708" s="3" t="inlineStr">
        <is>
          <t>Credit Card Expense</t>
        </is>
      </c>
      <c r="D3708" s="3" t="inlineStr"/>
      <c r="E3708" s="3" t="inlineStr"/>
      <c r="F3708" s="3" t="inlineStr">
        <is>
          <t>Parking – April</t>
        </is>
      </c>
      <c r="G3708" s="3" t="inlineStr">
        <is>
          <t>Checking – Operating</t>
        </is>
      </c>
      <c r="H3708" s="3" t="inlineStr">
        <is>
          <t>Parking</t>
        </is>
      </c>
      <c r="I3708" s="33" t="n">
        <v>646.02</v>
      </c>
      <c r="J3708" s="13">
        <f>+J3707+I3708</f>
        <v>4426.02</v>
      </c>
      <c r="K3708" s="19">
        <f>+EOMONTH(B3708,0)</f>
        <v>46142</v>
      </c>
      <c r="L3708" s="3" t="inlineStr">
        <is>
          <t>Parking</t>
        </is>
      </c>
      <c r="M3708" s="3" t="inlineStr">
        <is>
          <t>Automobile Expense</t>
        </is>
      </c>
    </row>
    <row r="3709">
      <c r="B3709" s="39" t="n">
        <v>46126</v>
      </c>
      <c r="C3709" s="3" t="inlineStr">
        <is>
          <t>Expense</t>
        </is>
      </c>
      <c r="D3709" s="3" t="inlineStr">
        <is>
          <t>10829</t>
        </is>
      </c>
      <c r="E3709" s="3" t="inlineStr"/>
      <c r="F3709" s="3" t="inlineStr">
        <is>
          <t>Parking – April</t>
        </is>
      </c>
      <c r="G3709" s="3" t="inlineStr">
        <is>
          <t>Checking – Operating</t>
        </is>
      </c>
      <c r="H3709" s="3" t="inlineStr">
        <is>
          <t>Parking</t>
        </is>
      </c>
      <c r="I3709" s="33" t="n">
        <v>673.98</v>
      </c>
      <c r="J3709" s="13">
        <f>+J3708+I3709</f>
        <v>5100</v>
      </c>
      <c r="K3709" s="19">
        <f>+EOMONTH(B3709,0)</f>
        <v>46142</v>
      </c>
      <c r="L3709" s="3" t="inlineStr">
        <is>
          <t>Parking</t>
        </is>
      </c>
      <c r="M3709" s="3" t="inlineStr">
        <is>
          <t>Automobile Expense</t>
        </is>
      </c>
    </row>
    <row r="3710">
      <c r="B3710" s="39" t="n">
        <v>46154</v>
      </c>
      <c r="C3710" s="3" t="inlineStr">
        <is>
          <t>Expense</t>
        </is>
      </c>
      <c r="D3710" s="3" t="inlineStr">
        <is>
          <t>10830</t>
        </is>
      </c>
      <c r="E3710" s="3" t="inlineStr"/>
      <c r="F3710" s="3" t="inlineStr">
        <is>
          <t>Parking – May</t>
        </is>
      </c>
      <c r="G3710" s="3" t="inlineStr">
        <is>
          <t>Checking – Operating</t>
        </is>
      </c>
      <c r="H3710" s="3" t="inlineStr">
        <is>
          <t>Parking</t>
        </is>
      </c>
      <c r="I3710" s="33" t="n">
        <v>599.48</v>
      </c>
      <c r="J3710" s="13">
        <f>+J3709+I3710</f>
        <v>5699.48</v>
      </c>
      <c r="K3710" s="19">
        <f>+EOMONTH(B3710,0)</f>
        <v>46173</v>
      </c>
      <c r="L3710" s="3" t="inlineStr">
        <is>
          <t>Parking</t>
        </is>
      </c>
      <c r="M3710" s="3" t="inlineStr">
        <is>
          <t>Automobile Expense</t>
        </is>
      </c>
    </row>
    <row r="3711">
      <c r="B3711" s="39" t="n">
        <v>46155</v>
      </c>
      <c r="C3711" s="3" t="inlineStr">
        <is>
          <t>Credit Card Expense</t>
        </is>
      </c>
      <c r="D3711" s="3" t="inlineStr"/>
      <c r="E3711" s="3" t="inlineStr"/>
      <c r="F3711" s="3" t="inlineStr">
        <is>
          <t>Parking – May</t>
        </is>
      </c>
      <c r="G3711" s="3" t="inlineStr">
        <is>
          <t>Checking – Operating</t>
        </is>
      </c>
      <c r="H3711" s="3" t="inlineStr">
        <is>
          <t>Parking</t>
        </is>
      </c>
      <c r="I3711" s="33" t="n">
        <v>600.52</v>
      </c>
      <c r="J3711" s="13">
        <f>+J3710+I3711</f>
        <v>6300</v>
      </c>
      <c r="K3711" s="19">
        <f>+EOMONTH(B3711,0)</f>
        <v>46173</v>
      </c>
      <c r="L3711" s="3" t="inlineStr">
        <is>
          <t>Parking</t>
        </is>
      </c>
      <c r="M3711" s="3" t="inlineStr">
        <is>
          <t>Automobile Expense</t>
        </is>
      </c>
    </row>
    <row r="3712">
      <c r="B3712" s="39" t="n">
        <v>46178</v>
      </c>
      <c r="C3712" s="3" t="inlineStr">
        <is>
          <t>Expense</t>
        </is>
      </c>
      <c r="D3712" s="3" t="inlineStr">
        <is>
          <t>10831</t>
        </is>
      </c>
      <c r="E3712" s="3" t="inlineStr"/>
      <c r="F3712" s="3" t="inlineStr">
        <is>
          <t>Parking – June</t>
        </is>
      </c>
      <c r="G3712" s="3" t="inlineStr">
        <is>
          <t>Checking – Operating</t>
        </is>
      </c>
      <c r="H3712" s="3" t="inlineStr">
        <is>
          <t>Parking</t>
        </is>
      </c>
      <c r="I3712" s="33" t="n">
        <v>514.46</v>
      </c>
      <c r="J3712" s="13">
        <f>+J3711+I3712</f>
        <v>6814.46</v>
      </c>
      <c r="K3712" s="19">
        <f>+EOMONTH(B3712,0)</f>
        <v>46203</v>
      </c>
      <c r="L3712" s="3" t="inlineStr">
        <is>
          <t>Parking</t>
        </is>
      </c>
      <c r="M3712" s="3" t="inlineStr">
        <is>
          <t>Automobile Expense</t>
        </is>
      </c>
    </row>
    <row r="3713">
      <c r="B3713" s="39" t="n">
        <v>46191</v>
      </c>
      <c r="C3713" s="3" t="inlineStr">
        <is>
          <t>Credit Card Expense</t>
        </is>
      </c>
      <c r="D3713" s="3" t="inlineStr"/>
      <c r="E3713" s="3" t="inlineStr"/>
      <c r="F3713" s="3" t="inlineStr">
        <is>
          <t>Parking – June</t>
        </is>
      </c>
      <c r="G3713" s="3" t="inlineStr">
        <is>
          <t>Checking – Operating</t>
        </is>
      </c>
      <c r="H3713" s="3" t="inlineStr">
        <is>
          <t>Parking</t>
        </is>
      </c>
      <c r="I3713" s="33" t="n">
        <v>775.54</v>
      </c>
      <c r="J3713" s="13">
        <f>+J3712+I3713</f>
        <v>7590</v>
      </c>
      <c r="K3713" s="19">
        <f>+EOMONTH(B3713,0)</f>
        <v>46203</v>
      </c>
      <c r="L3713" s="3" t="inlineStr">
        <is>
          <t>Parking</t>
        </is>
      </c>
      <c r="M3713" s="3" t="inlineStr">
        <is>
          <t>Automobile Expense</t>
        </is>
      </c>
    </row>
    <row r="3714">
      <c r="B3714" s="39" t="n">
        <v>46205</v>
      </c>
      <c r="C3714" s="3" t="inlineStr">
        <is>
          <t>Expense</t>
        </is>
      </c>
      <c r="D3714" s="3" t="inlineStr">
        <is>
          <t>10832</t>
        </is>
      </c>
      <c r="E3714" s="3" t="inlineStr"/>
      <c r="F3714" s="3" t="inlineStr">
        <is>
          <t>Parking – July</t>
        </is>
      </c>
      <c r="G3714" s="3" t="inlineStr">
        <is>
          <t>Checking – Operating</t>
        </is>
      </c>
      <c r="H3714" s="3" t="inlineStr">
        <is>
          <t>Parking</t>
        </is>
      </c>
      <c r="I3714" s="33" t="n">
        <v>556.52</v>
      </c>
      <c r="J3714" s="13">
        <f>+J3713+I3714</f>
        <v>8146.52</v>
      </c>
      <c r="K3714" s="19">
        <f>+EOMONTH(B3714,0)</f>
        <v>46234</v>
      </c>
      <c r="L3714" s="3" t="inlineStr">
        <is>
          <t>Parking</t>
        </is>
      </c>
      <c r="M3714" s="3" t="inlineStr">
        <is>
          <t>Automobile Expense</t>
        </is>
      </c>
    </row>
    <row r="3715">
      <c r="B3715" s="39" t="n">
        <v>46214</v>
      </c>
      <c r="C3715" s="3" t="inlineStr">
        <is>
          <t>Expense</t>
        </is>
      </c>
      <c r="D3715" s="3" t="inlineStr">
        <is>
          <t>10833</t>
        </is>
      </c>
      <c r="E3715" s="3" t="inlineStr"/>
      <c r="F3715" s="3" t="inlineStr">
        <is>
          <t>Parking – July</t>
        </is>
      </c>
      <c r="G3715" s="3" t="inlineStr">
        <is>
          <t>Checking – Operating</t>
        </is>
      </c>
      <c r="H3715" s="3" t="inlineStr">
        <is>
          <t>Parking</t>
        </is>
      </c>
      <c r="I3715" s="33" t="n">
        <v>733.48</v>
      </c>
      <c r="J3715" s="13">
        <f>+J3714+I3715</f>
        <v>8880</v>
      </c>
      <c r="K3715" s="19">
        <f>+EOMONTH(B3715,0)</f>
        <v>46234</v>
      </c>
      <c r="L3715" s="3" t="inlineStr">
        <is>
          <t>Parking</t>
        </is>
      </c>
      <c r="M3715" s="3" t="inlineStr">
        <is>
          <t>Automobile Expense</t>
        </is>
      </c>
    </row>
    <row r="3716">
      <c r="B3716" s="39" t="n">
        <v>46248</v>
      </c>
      <c r="C3716" s="3" t="inlineStr">
        <is>
          <t>Expense</t>
        </is>
      </c>
      <c r="D3716" s="3" t="inlineStr">
        <is>
          <t>10835</t>
        </is>
      </c>
      <c r="E3716" s="3" t="inlineStr"/>
      <c r="F3716" s="3" t="inlineStr">
        <is>
          <t>Parking – August</t>
        </is>
      </c>
      <c r="G3716" s="3" t="inlineStr">
        <is>
          <t>Checking – Operating</t>
        </is>
      </c>
      <c r="H3716" s="3" t="inlineStr">
        <is>
          <t>Parking</t>
        </is>
      </c>
      <c r="I3716" s="33" t="n">
        <v>869.98</v>
      </c>
      <c r="J3716" s="13">
        <f>+J3715+I3716</f>
        <v>9749.98</v>
      </c>
      <c r="K3716" s="19">
        <f>+EOMONTH(B3716,0)</f>
        <v>46265</v>
      </c>
      <c r="L3716" s="3" t="inlineStr">
        <is>
          <t>Parking</t>
        </is>
      </c>
      <c r="M3716" s="3" t="inlineStr">
        <is>
          <t>Automobile Expense</t>
        </is>
      </c>
    </row>
    <row r="3717">
      <c r="B3717" s="39" t="n">
        <v>46254</v>
      </c>
      <c r="C3717" s="3" t="inlineStr">
        <is>
          <t>Expense</t>
        </is>
      </c>
      <c r="D3717" s="3" t="inlineStr">
        <is>
          <t>10834</t>
        </is>
      </c>
      <c r="E3717" s="3" t="inlineStr"/>
      <c r="F3717" s="3" t="inlineStr">
        <is>
          <t>Parking – August</t>
        </is>
      </c>
      <c r="G3717" s="3" t="inlineStr">
        <is>
          <t>Checking – Operating</t>
        </is>
      </c>
      <c r="H3717" s="3" t="inlineStr">
        <is>
          <t>Parking</t>
        </is>
      </c>
      <c r="I3717" s="33" t="n">
        <v>480.02</v>
      </c>
      <c r="J3717" s="13">
        <f>+J3716+I3717</f>
        <v>10230</v>
      </c>
      <c r="K3717" s="19">
        <f>+EOMONTH(B3717,0)</f>
        <v>46265</v>
      </c>
      <c r="L3717" s="3" t="inlineStr">
        <is>
          <t>Parking</t>
        </is>
      </c>
      <c r="M3717" s="3" t="inlineStr">
        <is>
          <t>Automobile Expense</t>
        </is>
      </c>
    </row>
    <row r="3718">
      <c r="B3718" s="39" t="n">
        <v>46270</v>
      </c>
      <c r="C3718" s="3" t="inlineStr">
        <is>
          <t>Journal Entry</t>
        </is>
      </c>
      <c r="D3718" s="3" t="inlineStr">
        <is>
          <t>JE-2685</t>
        </is>
      </c>
      <c r="E3718" s="3" t="inlineStr"/>
      <c r="F3718" s="3" t="inlineStr">
        <is>
          <t>Parking – September</t>
        </is>
      </c>
      <c r="G3718" s="3" t="inlineStr">
        <is>
          <t>Checking – Operating</t>
        </is>
      </c>
      <c r="H3718" s="3" t="inlineStr">
        <is>
          <t>Parking</t>
        </is>
      </c>
      <c r="I3718" s="33" t="n">
        <v>920.04</v>
      </c>
      <c r="J3718" s="13">
        <f>+J3717+I3718</f>
        <v>11150.04</v>
      </c>
      <c r="K3718" s="19">
        <f>+EOMONTH(B3718,0)</f>
        <v>46295</v>
      </c>
      <c r="L3718" s="3" t="inlineStr">
        <is>
          <t>Parking</t>
        </is>
      </c>
      <c r="M3718" s="3" t="inlineStr">
        <is>
          <t>Automobile Expense</t>
        </is>
      </c>
    </row>
    <row r="3719">
      <c r="B3719" s="39" t="n">
        <v>46279</v>
      </c>
      <c r="C3719" s="3" t="inlineStr">
        <is>
          <t>Expense</t>
        </is>
      </c>
      <c r="D3719" s="3" t="inlineStr">
        <is>
          <t>10836</t>
        </is>
      </c>
      <c r="E3719" s="3" t="inlineStr"/>
      <c r="F3719" s="3" t="inlineStr">
        <is>
          <t>Parking – September</t>
        </is>
      </c>
      <c r="G3719" s="3" t="inlineStr">
        <is>
          <t>Checking – Operating</t>
        </is>
      </c>
      <c r="H3719" s="3" t="inlineStr">
        <is>
          <t>Parking</t>
        </is>
      </c>
      <c r="I3719" s="33" t="n">
        <v>462.85</v>
      </c>
      <c r="J3719" s="13">
        <f>+J3718+I3719</f>
        <v>11612.89</v>
      </c>
      <c r="K3719" s="19">
        <f>+EOMONTH(B3719,0)</f>
        <v>46295</v>
      </c>
      <c r="L3719" s="3" t="inlineStr">
        <is>
          <t>Parking</t>
        </is>
      </c>
      <c r="M3719" s="3" t="inlineStr">
        <is>
          <t>Automobile Expense</t>
        </is>
      </c>
    </row>
    <row r="3720">
      <c r="B3720" s="39" t="n">
        <v>46298</v>
      </c>
      <c r="C3720" s="3" t="inlineStr">
        <is>
          <t>Expense</t>
        </is>
      </c>
      <c r="D3720" s="3" t="inlineStr">
        <is>
          <t>10837</t>
        </is>
      </c>
      <c r="E3720" s="3" t="inlineStr"/>
      <c r="F3720" s="3" t="inlineStr">
        <is>
          <t>Parking – October</t>
        </is>
      </c>
      <c r="G3720" s="3" t="inlineStr">
        <is>
          <t>Checking – Operating</t>
        </is>
      </c>
      <c r="H3720" s="3" t="inlineStr">
        <is>
          <t>Parking</t>
        </is>
      </c>
      <c r="I3720" s="33" t="n">
        <v>631.1799999999999</v>
      </c>
      <c r="J3720" s="13">
        <f>+J3719+I3720</f>
        <v>12244.07</v>
      </c>
      <c r="K3720" s="19">
        <f>+EOMONTH(B3720,0)</f>
        <v>46326</v>
      </c>
      <c r="L3720" s="3" t="inlineStr">
        <is>
          <t>Parking</t>
        </is>
      </c>
      <c r="M3720" s="3" t="inlineStr">
        <is>
          <t>Automobile Expense</t>
        </is>
      </c>
    </row>
    <row r="3721">
      <c r="B3721" s="39" t="n">
        <v>46300</v>
      </c>
      <c r="C3721" s="3" t="inlineStr">
        <is>
          <t>Journal Entry</t>
        </is>
      </c>
      <c r="D3721" s="3" t="inlineStr">
        <is>
          <t>JE-2686</t>
        </is>
      </c>
      <c r="E3721" s="3" t="inlineStr"/>
      <c r="F3721" s="3" t="inlineStr">
        <is>
          <t>Parking – October</t>
        </is>
      </c>
      <c r="G3721" s="3" t="inlineStr">
        <is>
          <t>Checking – Operating</t>
        </is>
      </c>
      <c r="H3721" s="3" t="inlineStr">
        <is>
          <t>Parking</t>
        </is>
      </c>
      <c r="I3721" s="33" t="n">
        <v>627.14</v>
      </c>
      <c r="J3721" s="13">
        <f>+J3720+I3721</f>
        <v>12871.21</v>
      </c>
      <c r="K3721" s="19">
        <f>+EOMONTH(B3721,0)</f>
        <v>46326</v>
      </c>
      <c r="L3721" s="3" t="inlineStr">
        <is>
          <t>Parking</t>
        </is>
      </c>
      <c r="M3721" s="3" t="inlineStr">
        <is>
          <t>Automobile Expense</t>
        </is>
      </c>
    </row>
    <row r="3722">
      <c r="B3722" s="39" t="n">
        <v>46340</v>
      </c>
      <c r="C3722" s="3" t="inlineStr">
        <is>
          <t>Credit Card Expense</t>
        </is>
      </c>
      <c r="D3722" s="3" t="inlineStr"/>
      <c r="E3722" s="3" t="inlineStr"/>
      <c r="F3722" s="3" t="inlineStr">
        <is>
          <t>Parking – November</t>
        </is>
      </c>
      <c r="G3722" s="3" t="inlineStr">
        <is>
          <t>Checking – Operating</t>
        </is>
      </c>
      <c r="H3722" s="3" t="inlineStr">
        <is>
          <t>Parking</t>
        </is>
      </c>
      <c r="I3722" s="33" t="n">
        <v>908.66</v>
      </c>
      <c r="J3722" s="13">
        <f>+J3721+I3722</f>
        <v>13779.87</v>
      </c>
      <c r="K3722" s="19">
        <f>+EOMONTH(B3722,0)</f>
        <v>46356</v>
      </c>
      <c r="L3722" s="3" t="inlineStr">
        <is>
          <t>Parking</t>
        </is>
      </c>
      <c r="M3722" s="3" t="inlineStr">
        <is>
          <t>Automobile Expense</t>
        </is>
      </c>
    </row>
    <row r="3723">
      <c r="B3723" s="39" t="n">
        <v>46355</v>
      </c>
      <c r="C3723" s="3" t="inlineStr">
        <is>
          <t>Expense</t>
        </is>
      </c>
      <c r="D3723" s="3" t="inlineStr">
        <is>
          <t>10838</t>
        </is>
      </c>
      <c r="E3723" s="3" t="inlineStr"/>
      <c r="F3723" s="3" t="inlineStr">
        <is>
          <t>Parking – November</t>
        </is>
      </c>
      <c r="G3723" s="3" t="inlineStr">
        <is>
          <t>Checking – Operating</t>
        </is>
      </c>
      <c r="H3723" s="3" t="inlineStr">
        <is>
          <t>Parking</t>
        </is>
      </c>
      <c r="I3723" s="33" t="n">
        <v>498.66</v>
      </c>
      <c r="J3723" s="13">
        <f>+J3722+I3723</f>
        <v>14278.53</v>
      </c>
      <c r="K3723" s="19">
        <f>+EOMONTH(B3723,0)</f>
        <v>46356</v>
      </c>
      <c r="L3723" s="3" t="inlineStr">
        <is>
          <t>Parking</t>
        </is>
      </c>
      <c r="M3723" s="3" t="inlineStr">
        <is>
          <t>Automobile Expense</t>
        </is>
      </c>
    </row>
    <row r="3724">
      <c r="A3724" s="2" t="inlineStr">
        <is>
          <t>Total for Parking</t>
        </is>
      </c>
      <c r="I3724" s="35">
        <f>SUM(I3702:I3723)</f>
        <v>14278.53</v>
      </c>
    </row>
    <row r="3726">
      <c r="A3726" s="2" t="inlineStr">
        <is>
          <t>Postage and Delivery</t>
        </is>
      </c>
    </row>
    <row r="3727">
      <c r="B3727" s="39" t="n">
        <v>46029</v>
      </c>
      <c r="C3727" s="3" t="inlineStr">
        <is>
          <t>Journal Entry</t>
        </is>
      </c>
      <c r="D3727" s="3" t="inlineStr">
        <is>
          <t>JE-2687</t>
        </is>
      </c>
      <c r="E3727" s="3" t="inlineStr">
        <is>
          <t>Swiftmere Courier</t>
        </is>
      </c>
      <c r="F3727" s="3" t="inlineStr">
        <is>
          <t>Postage and Delivery – January</t>
        </is>
      </c>
      <c r="G3727" s="3" t="inlineStr">
        <is>
          <t>Checking – Operating</t>
        </is>
      </c>
      <c r="H3727" s="3" t="inlineStr">
        <is>
          <t>Postage and Delivery</t>
        </is>
      </c>
      <c r="I3727" s="33" t="n">
        <v>780</v>
      </c>
      <c r="J3727" s="13">
        <f>+I3727</f>
        <v>780</v>
      </c>
      <c r="K3727" s="19">
        <f>+EOMONTH(B3727,0)</f>
        <v>46053</v>
      </c>
      <c r="L3727" s="3" t="inlineStr">
        <is>
          <t>Postage and Delivery</t>
        </is>
      </c>
      <c r="M3727" s="3" t="inlineStr">
        <is>
          <t>Office Expense, Supplies &amp; Postage</t>
        </is>
      </c>
    </row>
    <row r="3728">
      <c r="B3728" s="39" t="n">
        <v>46063</v>
      </c>
      <c r="C3728" s="3" t="inlineStr">
        <is>
          <t>Credit Card Expense</t>
        </is>
      </c>
      <c r="D3728" s="3" t="inlineStr"/>
      <c r="E3728" s="3" t="inlineStr">
        <is>
          <t>Swiftmere Courier</t>
        </is>
      </c>
      <c r="F3728" s="3" t="inlineStr">
        <is>
          <t>Postage and Delivery – February</t>
        </is>
      </c>
      <c r="G3728" s="3" t="inlineStr">
        <is>
          <t>Checking – Operating</t>
        </is>
      </c>
      <c r="H3728" s="3" t="inlineStr">
        <is>
          <t>Postage and Delivery</t>
        </is>
      </c>
      <c r="I3728" s="33" t="n">
        <v>469.23</v>
      </c>
      <c r="J3728" s="13">
        <f>+J3727+I3728</f>
        <v>1249.23</v>
      </c>
      <c r="K3728" s="19">
        <f>+EOMONTH(B3728,0)</f>
        <v>46081</v>
      </c>
      <c r="L3728" s="3" t="inlineStr">
        <is>
          <t>Postage and Delivery</t>
        </is>
      </c>
      <c r="M3728" s="3" t="inlineStr">
        <is>
          <t>Office Expense, Supplies &amp; Postage</t>
        </is>
      </c>
    </row>
    <row r="3729">
      <c r="B3729" s="39" t="n">
        <v>46068</v>
      </c>
      <c r="C3729" s="3" t="inlineStr">
        <is>
          <t>Journal Entry</t>
        </is>
      </c>
      <c r="D3729" s="3" t="inlineStr">
        <is>
          <t>JE-2688</t>
        </is>
      </c>
      <c r="E3729" s="3" t="inlineStr">
        <is>
          <t>Swiftmere Courier</t>
        </is>
      </c>
      <c r="F3729" s="3" t="inlineStr">
        <is>
          <t>Postage and Delivery – February</t>
        </is>
      </c>
      <c r="G3729" s="3" t="inlineStr">
        <is>
          <t>Checking – Operating</t>
        </is>
      </c>
      <c r="H3729" s="3" t="inlineStr">
        <is>
          <t>Postage and Delivery</t>
        </is>
      </c>
      <c r="I3729" s="33" t="n">
        <v>370.77</v>
      </c>
      <c r="J3729" s="13">
        <f>+J3728+I3729</f>
        <v>1620</v>
      </c>
      <c r="K3729" s="19">
        <f>+EOMONTH(B3729,0)</f>
        <v>46081</v>
      </c>
      <c r="L3729" s="3" t="inlineStr">
        <is>
          <t>Postage and Delivery</t>
        </is>
      </c>
      <c r="M3729" s="3" t="inlineStr">
        <is>
          <t>Office Expense, Supplies &amp; Postage</t>
        </is>
      </c>
    </row>
    <row r="3730">
      <c r="B3730" s="39" t="n">
        <v>46084</v>
      </c>
      <c r="C3730" s="3" t="inlineStr">
        <is>
          <t>Journal Entry</t>
        </is>
      </c>
      <c r="D3730" s="3" t="inlineStr">
        <is>
          <t>JE-2689</t>
        </is>
      </c>
      <c r="E3730" s="3" t="inlineStr">
        <is>
          <t>Swiftmere Courier</t>
        </is>
      </c>
      <c r="F3730" s="3" t="inlineStr">
        <is>
          <t>Postage and Delivery – March</t>
        </is>
      </c>
      <c r="G3730" s="3" t="inlineStr">
        <is>
          <t>Checking – Operating</t>
        </is>
      </c>
      <c r="H3730" s="3" t="inlineStr">
        <is>
          <t>Postage and Delivery</t>
        </is>
      </c>
      <c r="I3730" s="33" t="n">
        <v>840</v>
      </c>
      <c r="J3730" s="13">
        <f>+J3729+I3730</f>
        <v>2460</v>
      </c>
      <c r="K3730" s="19">
        <f>+EOMONTH(B3730,0)</f>
        <v>46112</v>
      </c>
      <c r="L3730" s="3" t="inlineStr">
        <is>
          <t>Postage and Delivery</t>
        </is>
      </c>
      <c r="M3730" s="3" t="inlineStr">
        <is>
          <t>Office Expense, Supplies &amp; Postage</t>
        </is>
      </c>
    </row>
    <row r="3731">
      <c r="B3731" s="39" t="n">
        <v>46115</v>
      </c>
      <c r="C3731" s="3" t="inlineStr">
        <is>
          <t>Credit Card Expense</t>
        </is>
      </c>
      <c r="D3731" s="3" t="inlineStr"/>
      <c r="E3731" s="3" t="inlineStr">
        <is>
          <t>Swiftmere Courier</t>
        </is>
      </c>
      <c r="F3731" s="3" t="inlineStr">
        <is>
          <t>Postage and Delivery – April</t>
        </is>
      </c>
      <c r="G3731" s="3" t="inlineStr">
        <is>
          <t>Checking – Operating</t>
        </is>
      </c>
      <c r="H3731" s="3" t="inlineStr">
        <is>
          <t>Postage and Delivery</t>
        </is>
      </c>
      <c r="I3731" s="33" t="n">
        <v>367.81</v>
      </c>
      <c r="J3731" s="13">
        <f>+J3730+I3731</f>
        <v>2827.81</v>
      </c>
      <c r="K3731" s="19">
        <f>+EOMONTH(B3731,0)</f>
        <v>46142</v>
      </c>
      <c r="L3731" s="3" t="inlineStr">
        <is>
          <t>Postage and Delivery</t>
        </is>
      </c>
      <c r="M3731" s="3" t="inlineStr">
        <is>
          <t>Office Expense, Supplies &amp; Postage</t>
        </is>
      </c>
    </row>
    <row r="3732">
      <c r="B3732" s="39" t="n">
        <v>46138</v>
      </c>
      <c r="C3732" s="3" t="inlineStr">
        <is>
          <t>Credit Card Expense</t>
        </is>
      </c>
      <c r="D3732" s="3" t="inlineStr"/>
      <c r="E3732" s="3" t="inlineStr">
        <is>
          <t>Swiftmere Courier</t>
        </is>
      </c>
      <c r="F3732" s="3" t="inlineStr">
        <is>
          <t>Postage and Delivery – April</t>
        </is>
      </c>
      <c r="G3732" s="3" t="inlineStr">
        <is>
          <t>Checking – Operating</t>
        </is>
      </c>
      <c r="H3732" s="3" t="inlineStr">
        <is>
          <t>Postage and Delivery</t>
        </is>
      </c>
      <c r="I3732" s="33" t="n">
        <v>532.1900000000001</v>
      </c>
      <c r="J3732" s="13">
        <f>+J3731+I3732</f>
        <v>3360</v>
      </c>
      <c r="K3732" s="19">
        <f>+EOMONTH(B3732,0)</f>
        <v>46142</v>
      </c>
      <c r="L3732" s="3" t="inlineStr">
        <is>
          <t>Postage and Delivery</t>
        </is>
      </c>
      <c r="M3732" s="3" t="inlineStr">
        <is>
          <t>Office Expense, Supplies &amp; Postage</t>
        </is>
      </c>
    </row>
    <row r="3733">
      <c r="B3733" s="39" t="n">
        <v>46153</v>
      </c>
      <c r="C3733" s="3" t="inlineStr">
        <is>
          <t>Journal Entry</t>
        </is>
      </c>
      <c r="D3733" s="3" t="inlineStr">
        <is>
          <t>JE-2690</t>
        </is>
      </c>
      <c r="E3733" s="3" t="inlineStr">
        <is>
          <t>Swiftmere Courier</t>
        </is>
      </c>
      <c r="F3733" s="3" t="inlineStr">
        <is>
          <t>Postage and Delivery – May</t>
        </is>
      </c>
      <c r="G3733" s="3" t="inlineStr">
        <is>
          <t>Checking – Operating</t>
        </is>
      </c>
      <c r="H3733" s="3" t="inlineStr">
        <is>
          <t>Postage and Delivery</t>
        </is>
      </c>
      <c r="I3733" s="33" t="n">
        <v>840</v>
      </c>
      <c r="J3733" s="13">
        <f>+J3732+I3733</f>
        <v>4200</v>
      </c>
      <c r="K3733" s="19">
        <f>+EOMONTH(B3733,0)</f>
        <v>46173</v>
      </c>
      <c r="L3733" s="3" t="inlineStr">
        <is>
          <t>Postage and Delivery</t>
        </is>
      </c>
      <c r="M3733" s="3" t="inlineStr">
        <is>
          <t>Office Expense, Supplies &amp; Postage</t>
        </is>
      </c>
    </row>
    <row r="3734">
      <c r="B3734" s="39" t="n">
        <v>46196</v>
      </c>
      <c r="C3734" s="3" t="inlineStr">
        <is>
          <t>Expense</t>
        </is>
      </c>
      <c r="D3734" s="3" t="inlineStr">
        <is>
          <t>10839</t>
        </is>
      </c>
      <c r="E3734" s="3" t="inlineStr">
        <is>
          <t>Swiftmere Courier</t>
        </is>
      </c>
      <c r="F3734" s="3" t="inlineStr">
        <is>
          <t>Postage and Delivery – June</t>
        </is>
      </c>
      <c r="G3734" s="3" t="inlineStr">
        <is>
          <t>Checking – Operating</t>
        </is>
      </c>
      <c r="H3734" s="3" t="inlineStr">
        <is>
          <t>Postage and Delivery</t>
        </is>
      </c>
      <c r="I3734" s="33" t="n">
        <v>800</v>
      </c>
      <c r="J3734" s="13">
        <f>+J3733+I3734</f>
        <v>5000</v>
      </c>
      <c r="K3734" s="19">
        <f>+EOMONTH(B3734,0)</f>
        <v>46203</v>
      </c>
      <c r="L3734" s="3" t="inlineStr">
        <is>
          <t>Postage and Delivery</t>
        </is>
      </c>
      <c r="M3734" s="3" t="inlineStr">
        <is>
          <t>Office Expense, Supplies &amp; Postage</t>
        </is>
      </c>
    </row>
    <row r="3735">
      <c r="B3735" s="39" t="n">
        <v>46204</v>
      </c>
      <c r="C3735" s="3" t="inlineStr">
        <is>
          <t>Journal Entry</t>
        </is>
      </c>
      <c r="D3735" s="3" t="inlineStr">
        <is>
          <t>JE-2691</t>
        </is>
      </c>
      <c r="E3735" s="3" t="inlineStr">
        <is>
          <t>Swiftmere Courier</t>
        </is>
      </c>
      <c r="F3735" s="3" t="inlineStr">
        <is>
          <t>Postage and Delivery – July</t>
        </is>
      </c>
      <c r="G3735" s="3" t="inlineStr">
        <is>
          <t>Checking – Operating</t>
        </is>
      </c>
      <c r="H3735" s="3" t="inlineStr">
        <is>
          <t>Postage and Delivery</t>
        </is>
      </c>
      <c r="I3735" s="33" t="n">
        <v>399.93</v>
      </c>
      <c r="J3735" s="13">
        <f>+J3734+I3735</f>
        <v>5399.93</v>
      </c>
      <c r="K3735" s="19">
        <f>+EOMONTH(B3735,0)</f>
        <v>46234</v>
      </c>
      <c r="L3735" s="3" t="inlineStr">
        <is>
          <t>Postage and Delivery</t>
        </is>
      </c>
      <c r="M3735" s="3" t="inlineStr">
        <is>
          <t>Office Expense, Supplies &amp; Postage</t>
        </is>
      </c>
    </row>
    <row r="3736">
      <c r="B3736" s="39" t="n">
        <v>46214</v>
      </c>
      <c r="C3736" s="3" t="inlineStr">
        <is>
          <t>Expense</t>
        </is>
      </c>
      <c r="D3736" s="3" t="inlineStr">
        <is>
          <t>10840</t>
        </is>
      </c>
      <c r="E3736" s="3" t="inlineStr">
        <is>
          <t>Swiftmere Courier</t>
        </is>
      </c>
      <c r="F3736" s="3" t="inlineStr">
        <is>
          <t>Postage and Delivery – July</t>
        </is>
      </c>
      <c r="G3736" s="3" t="inlineStr">
        <is>
          <t>Checking – Operating</t>
        </is>
      </c>
      <c r="H3736" s="3" t="inlineStr">
        <is>
          <t>Postage and Delivery</t>
        </is>
      </c>
      <c r="I3736" s="33" t="n">
        <v>400.07</v>
      </c>
      <c r="J3736" s="13">
        <f>+J3735+I3736</f>
        <v>5800</v>
      </c>
      <c r="K3736" s="19">
        <f>+EOMONTH(B3736,0)</f>
        <v>46234</v>
      </c>
      <c r="L3736" s="3" t="inlineStr">
        <is>
          <t>Postage and Delivery</t>
        </is>
      </c>
      <c r="M3736" s="3" t="inlineStr">
        <is>
          <t>Office Expense, Supplies &amp; Postage</t>
        </is>
      </c>
    </row>
    <row r="3737">
      <c r="B3737" s="39" t="n">
        <v>46241</v>
      </c>
      <c r="C3737" s="3" t="inlineStr">
        <is>
          <t>Expense</t>
        </is>
      </c>
      <c r="D3737" s="3" t="inlineStr">
        <is>
          <t>10841</t>
        </is>
      </c>
      <c r="E3737" s="3" t="inlineStr">
        <is>
          <t>Swiftmere Courier</t>
        </is>
      </c>
      <c r="F3737" s="3" t="inlineStr">
        <is>
          <t>Postage and Delivery – August</t>
        </is>
      </c>
      <c r="G3737" s="3" t="inlineStr">
        <is>
          <t>Checking – Operating</t>
        </is>
      </c>
      <c r="H3737" s="3" t="inlineStr">
        <is>
          <t>Postage and Delivery</t>
        </is>
      </c>
      <c r="I3737" s="33" t="n">
        <v>542.29</v>
      </c>
      <c r="J3737" s="13">
        <f>+J3736+I3737</f>
        <v>6342.29</v>
      </c>
      <c r="K3737" s="19">
        <f>+EOMONTH(B3737,0)</f>
        <v>46265</v>
      </c>
      <c r="L3737" s="3" t="inlineStr">
        <is>
          <t>Postage and Delivery</t>
        </is>
      </c>
      <c r="M3737" s="3" t="inlineStr">
        <is>
          <t>Office Expense, Supplies &amp; Postage</t>
        </is>
      </c>
    </row>
    <row r="3738">
      <c r="B3738" s="39" t="n">
        <v>46248</v>
      </c>
      <c r="C3738" s="3" t="inlineStr">
        <is>
          <t>Expense</t>
        </is>
      </c>
      <c r="D3738" s="3" t="inlineStr">
        <is>
          <t>10842</t>
        </is>
      </c>
      <c r="E3738" s="3" t="inlineStr">
        <is>
          <t>Swiftmere Courier</t>
        </is>
      </c>
      <c r="F3738" s="3" t="inlineStr">
        <is>
          <t>Postage and Delivery – August</t>
        </is>
      </c>
      <c r="G3738" s="3" t="inlineStr">
        <is>
          <t>Checking – Operating</t>
        </is>
      </c>
      <c r="H3738" s="3" t="inlineStr">
        <is>
          <t>Postage and Delivery</t>
        </is>
      </c>
      <c r="I3738" s="33" t="n">
        <v>357.71</v>
      </c>
      <c r="J3738" s="13">
        <f>+J3737+I3738</f>
        <v>6700</v>
      </c>
      <c r="K3738" s="19">
        <f>+EOMONTH(B3738,0)</f>
        <v>46265</v>
      </c>
      <c r="L3738" s="3" t="inlineStr">
        <is>
          <t>Postage and Delivery</t>
        </is>
      </c>
      <c r="M3738" s="3" t="inlineStr">
        <is>
          <t>Office Expense, Supplies &amp; Postage</t>
        </is>
      </c>
    </row>
    <row r="3739">
      <c r="B3739" s="39" t="n">
        <v>46270</v>
      </c>
      <c r="C3739" s="3" t="inlineStr">
        <is>
          <t>Expense</t>
        </is>
      </c>
      <c r="D3739" s="3" t="inlineStr">
        <is>
          <t>10843</t>
        </is>
      </c>
      <c r="E3739" s="3" t="inlineStr">
        <is>
          <t>Swiftmere Courier</t>
        </is>
      </c>
      <c r="F3739" s="3" t="inlineStr">
        <is>
          <t>Postage and Delivery – September</t>
        </is>
      </c>
      <c r="G3739" s="3" t="inlineStr">
        <is>
          <t>Checking – Operating</t>
        </is>
      </c>
      <c r="H3739" s="3" t="inlineStr">
        <is>
          <t>Postage and Delivery</t>
        </is>
      </c>
      <c r="I3739" s="33" t="n">
        <v>881.9400000000001</v>
      </c>
      <c r="J3739" s="13">
        <f>+J3738+I3739</f>
        <v>7581.94</v>
      </c>
      <c r="K3739" s="19">
        <f>+EOMONTH(B3739,0)</f>
        <v>46295</v>
      </c>
      <c r="L3739" s="3" t="inlineStr">
        <is>
          <t>Postage and Delivery</t>
        </is>
      </c>
      <c r="M3739" s="3" t="inlineStr">
        <is>
          <t>Office Expense, Supplies &amp; Postage</t>
        </is>
      </c>
    </row>
    <row r="3740">
      <c r="B3740" s="39" t="n">
        <v>46302</v>
      </c>
      <c r="C3740" s="3" t="inlineStr">
        <is>
          <t>Expense</t>
        </is>
      </c>
      <c r="D3740" s="3" t="inlineStr">
        <is>
          <t>10844</t>
        </is>
      </c>
      <c r="E3740" s="3" t="inlineStr">
        <is>
          <t>Swiftmere Courier</t>
        </is>
      </c>
      <c r="F3740" s="3" t="inlineStr">
        <is>
          <t>Postage and Delivery – October</t>
        </is>
      </c>
      <c r="G3740" s="3" t="inlineStr">
        <is>
          <t>Checking – Operating</t>
        </is>
      </c>
      <c r="H3740" s="3" t="inlineStr">
        <is>
          <t>Postage and Delivery</t>
        </is>
      </c>
      <c r="I3740" s="33" t="n">
        <v>368.55</v>
      </c>
      <c r="J3740" s="13">
        <f>+J3739+I3740</f>
        <v>7950.49</v>
      </c>
      <c r="K3740" s="19">
        <f>+EOMONTH(B3740,0)</f>
        <v>46326</v>
      </c>
      <c r="L3740" s="3" t="inlineStr">
        <is>
          <t>Postage and Delivery</t>
        </is>
      </c>
      <c r="M3740" s="3" t="inlineStr">
        <is>
          <t>Office Expense, Supplies &amp; Postage</t>
        </is>
      </c>
    </row>
    <row r="3741">
      <c r="B3741" s="39" t="n">
        <v>46302</v>
      </c>
      <c r="C3741" s="3" t="inlineStr">
        <is>
          <t>Expense</t>
        </is>
      </c>
      <c r="D3741" s="3" t="inlineStr">
        <is>
          <t>10845</t>
        </is>
      </c>
      <c r="E3741" s="3" t="inlineStr">
        <is>
          <t>Swiftmere Courier</t>
        </is>
      </c>
      <c r="F3741" s="3" t="inlineStr">
        <is>
          <t>Postage and Delivery – October</t>
        </is>
      </c>
      <c r="G3741" s="3" t="inlineStr">
        <is>
          <t>Checking – Operating</t>
        </is>
      </c>
      <c r="H3741" s="3" t="inlineStr">
        <is>
          <t>Postage and Delivery</t>
        </is>
      </c>
      <c r="I3741" s="33" t="n">
        <v>553.66</v>
      </c>
      <c r="J3741" s="13">
        <f>+J3740+I3741</f>
        <v>8504.15</v>
      </c>
      <c r="K3741" s="19">
        <f>+EOMONTH(B3741,0)</f>
        <v>46326</v>
      </c>
      <c r="L3741" s="3" t="inlineStr">
        <is>
          <t>Postage and Delivery</t>
        </is>
      </c>
      <c r="M3741" s="3" t="inlineStr">
        <is>
          <t>Office Expense, Supplies &amp; Postage</t>
        </is>
      </c>
    </row>
    <row r="3742">
      <c r="B3742" s="39" t="n">
        <v>46339</v>
      </c>
      <c r="C3742" s="3" t="inlineStr">
        <is>
          <t>Journal Entry</t>
        </is>
      </c>
      <c r="D3742" s="3" t="inlineStr">
        <is>
          <t>JE-2692</t>
        </is>
      </c>
      <c r="E3742" s="3" t="inlineStr">
        <is>
          <t>Swiftmere Courier</t>
        </is>
      </c>
      <c r="F3742" s="3" t="inlineStr">
        <is>
          <t>Postage and Delivery – November</t>
        </is>
      </c>
      <c r="G3742" s="3" t="inlineStr">
        <is>
          <t>Checking – Operating</t>
        </is>
      </c>
      <c r="H3742" s="3" t="inlineStr">
        <is>
          <t>Postage and Delivery</t>
        </is>
      </c>
      <c r="I3742" s="33" t="n">
        <v>845.83</v>
      </c>
      <c r="J3742" s="13">
        <f>+J3741+I3742</f>
        <v>9349.98</v>
      </c>
      <c r="K3742" s="19">
        <f>+EOMONTH(B3742,0)</f>
        <v>46356</v>
      </c>
      <c r="L3742" s="3" t="inlineStr">
        <is>
          <t>Postage and Delivery</t>
        </is>
      </c>
      <c r="M3742" s="3" t="inlineStr">
        <is>
          <t>Office Expense, Supplies &amp; Postage</t>
        </is>
      </c>
    </row>
    <row r="3743">
      <c r="A3743" s="2" t="inlineStr">
        <is>
          <t>Total for Postage and Delivery</t>
        </is>
      </c>
      <c r="I3743" s="35">
        <f>SUM(I3727:I3742)</f>
        <v>9349.98</v>
      </c>
    </row>
    <row r="3745">
      <c r="A3745" s="2" t="inlineStr">
        <is>
          <t>Property tax</t>
        </is>
      </c>
    </row>
    <row r="3746">
      <c r="B3746" s="39" t="n">
        <v>46030</v>
      </c>
      <c r="C3746" s="3" t="inlineStr">
        <is>
          <t>Credit Card Expense</t>
        </is>
      </c>
      <c r="D3746" s="3" t="inlineStr"/>
      <c r="E3746" s="3" t="inlineStr"/>
      <c r="F3746" s="3" t="inlineStr">
        <is>
          <t>Property tax installment</t>
        </is>
      </c>
      <c r="G3746" s="3" t="inlineStr">
        <is>
          <t>Checking – Operating</t>
        </is>
      </c>
      <c r="H3746" s="3" t="inlineStr">
        <is>
          <t>Property tax</t>
        </is>
      </c>
      <c r="I3746" s="33" t="n">
        <v>797.6900000000001</v>
      </c>
      <c r="J3746" s="13">
        <f>+I3746</f>
        <v>797.69</v>
      </c>
      <c r="K3746" s="19">
        <f>+EOMONTH(B3746,0)</f>
        <v>46053</v>
      </c>
      <c r="L3746" s="3" t="inlineStr">
        <is>
          <t>Property tax</t>
        </is>
      </c>
      <c r="M3746" s="3" t="inlineStr">
        <is>
          <t>Taxes &amp; Licenses</t>
        </is>
      </c>
    </row>
    <row r="3747">
      <c r="B3747" s="39" t="n">
        <v>46046</v>
      </c>
      <c r="C3747" s="3" t="inlineStr">
        <is>
          <t>Expense</t>
        </is>
      </c>
      <c r="D3747" s="3" t="inlineStr">
        <is>
          <t>10846</t>
        </is>
      </c>
      <c r="E3747" s="3" t="inlineStr"/>
      <c r="F3747" s="3" t="inlineStr">
        <is>
          <t>Property tax installment</t>
        </is>
      </c>
      <c r="G3747" s="3" t="inlineStr">
        <is>
          <t>Checking – Operating</t>
        </is>
      </c>
      <c r="H3747" s="3" t="inlineStr">
        <is>
          <t>Property tax</t>
        </is>
      </c>
      <c r="I3747" s="33" t="n">
        <v>1202.31</v>
      </c>
      <c r="J3747" s="13">
        <f>+J3746+I3747</f>
        <v>2000</v>
      </c>
      <c r="K3747" s="19">
        <f>+EOMONTH(B3747,0)</f>
        <v>46053</v>
      </c>
      <c r="L3747" s="3" t="inlineStr">
        <is>
          <t>Property tax</t>
        </is>
      </c>
      <c r="M3747" s="3" t="inlineStr">
        <is>
          <t>Taxes &amp; Licenses</t>
        </is>
      </c>
    </row>
    <row r="3748">
      <c r="B3748" s="39" t="n">
        <v>46075</v>
      </c>
      <c r="C3748" s="3" t="inlineStr">
        <is>
          <t>Expense</t>
        </is>
      </c>
      <c r="D3748" s="3" t="inlineStr">
        <is>
          <t>10847</t>
        </is>
      </c>
      <c r="E3748" s="3" t="inlineStr"/>
      <c r="F3748" s="3" t="inlineStr">
        <is>
          <t>Property tax installment</t>
        </is>
      </c>
      <c r="G3748" s="3" t="inlineStr">
        <is>
          <t>Checking – Operating</t>
        </is>
      </c>
      <c r="H3748" s="3" t="inlineStr">
        <is>
          <t>Property tax</t>
        </is>
      </c>
      <c r="I3748" s="33" t="n">
        <v>1076.25</v>
      </c>
      <c r="J3748" s="13">
        <f>+J3747+I3748</f>
        <v>3076.25</v>
      </c>
      <c r="K3748" s="19">
        <f>+EOMONTH(B3748,0)</f>
        <v>46081</v>
      </c>
      <c r="L3748" s="3" t="inlineStr">
        <is>
          <t>Property tax</t>
        </is>
      </c>
      <c r="M3748" s="3" t="inlineStr">
        <is>
          <t>Taxes &amp; Licenses</t>
        </is>
      </c>
    </row>
    <row r="3749">
      <c r="B3749" s="39" t="n">
        <v>46076</v>
      </c>
      <c r="C3749" s="3" t="inlineStr">
        <is>
          <t>Credit Card Expense</t>
        </is>
      </c>
      <c r="D3749" s="3" t="inlineStr"/>
      <c r="E3749" s="3" t="inlineStr"/>
      <c r="F3749" s="3" t="inlineStr">
        <is>
          <t>Property tax installment</t>
        </is>
      </c>
      <c r="G3749" s="3" t="inlineStr">
        <is>
          <t>Checking – Operating</t>
        </is>
      </c>
      <c r="H3749" s="3" t="inlineStr">
        <is>
          <t>Property tax</t>
        </is>
      </c>
      <c r="I3749" s="33" t="n">
        <v>1073.75</v>
      </c>
      <c r="J3749" s="13">
        <f>+J3748+I3749</f>
        <v>4150</v>
      </c>
      <c r="K3749" s="19">
        <f>+EOMONTH(B3749,0)</f>
        <v>46081</v>
      </c>
      <c r="L3749" s="3" t="inlineStr">
        <is>
          <t>Property tax</t>
        </is>
      </c>
      <c r="M3749" s="3" t="inlineStr">
        <is>
          <t>Taxes &amp; Licenses</t>
        </is>
      </c>
    </row>
    <row r="3750">
      <c r="B3750" s="39" t="n">
        <v>46087</v>
      </c>
      <c r="C3750" s="3" t="inlineStr">
        <is>
          <t>Journal Entry</t>
        </is>
      </c>
      <c r="D3750" s="3" t="inlineStr">
        <is>
          <t>JE-2693</t>
        </is>
      </c>
      <c r="E3750" s="3" t="inlineStr"/>
      <c r="F3750" s="3" t="inlineStr">
        <is>
          <t>Property tax installment</t>
        </is>
      </c>
      <c r="G3750" s="3" t="inlineStr">
        <is>
          <t>Checking – Operating</t>
        </is>
      </c>
      <c r="H3750" s="3" t="inlineStr">
        <is>
          <t>Property tax</t>
        </is>
      </c>
      <c r="I3750" s="33" t="n">
        <v>1360.45</v>
      </c>
      <c r="J3750" s="13">
        <f>+J3749+I3750</f>
        <v>5510.45</v>
      </c>
      <c r="K3750" s="19">
        <f>+EOMONTH(B3750,0)</f>
        <v>46112</v>
      </c>
      <c r="L3750" s="3" t="inlineStr">
        <is>
          <t>Property tax</t>
        </is>
      </c>
      <c r="M3750" s="3" t="inlineStr">
        <is>
          <t>Taxes &amp; Licenses</t>
        </is>
      </c>
    </row>
    <row r="3751">
      <c r="B3751" s="39" t="n">
        <v>46098</v>
      </c>
      <c r="C3751" s="3" t="inlineStr">
        <is>
          <t>Expense</t>
        </is>
      </c>
      <c r="D3751" s="3" t="inlineStr">
        <is>
          <t>10848</t>
        </is>
      </c>
      <c r="E3751" s="3" t="inlineStr"/>
      <c r="F3751" s="3" t="inlineStr">
        <is>
          <t>Property tax installment</t>
        </is>
      </c>
      <c r="G3751" s="3" t="inlineStr">
        <is>
          <t>Checking – Operating</t>
        </is>
      </c>
      <c r="H3751" s="3" t="inlineStr">
        <is>
          <t>Property tax</t>
        </is>
      </c>
      <c r="I3751" s="33" t="n">
        <v>839.55</v>
      </c>
      <c r="J3751" s="13">
        <f>+J3750+I3751</f>
        <v>6350</v>
      </c>
      <c r="K3751" s="19">
        <f>+EOMONTH(B3751,0)</f>
        <v>46112</v>
      </c>
      <c r="L3751" s="3" t="inlineStr">
        <is>
          <t>Property tax</t>
        </is>
      </c>
      <c r="M3751" s="3" t="inlineStr">
        <is>
          <t>Taxes &amp; Licenses</t>
        </is>
      </c>
    </row>
    <row r="3752">
      <c r="B3752" s="39" t="n">
        <v>46115</v>
      </c>
      <c r="C3752" s="3" t="inlineStr">
        <is>
          <t>Expense</t>
        </is>
      </c>
      <c r="D3752" s="3" t="inlineStr">
        <is>
          <t>10849</t>
        </is>
      </c>
      <c r="E3752" s="3" t="inlineStr"/>
      <c r="F3752" s="3" t="inlineStr">
        <is>
          <t>Property tax installment</t>
        </is>
      </c>
      <c r="G3752" s="3" t="inlineStr">
        <is>
          <t>Checking – Operating</t>
        </is>
      </c>
      <c r="H3752" s="3" t="inlineStr">
        <is>
          <t>Property tax</t>
        </is>
      </c>
      <c r="I3752" s="33" t="n">
        <v>1234.57</v>
      </c>
      <c r="J3752" s="13">
        <f>+J3751+I3752</f>
        <v>7584.57</v>
      </c>
      <c r="K3752" s="19">
        <f>+EOMONTH(B3752,0)</f>
        <v>46142</v>
      </c>
      <c r="L3752" s="3" t="inlineStr">
        <is>
          <t>Property tax</t>
        </is>
      </c>
      <c r="M3752" s="3" t="inlineStr">
        <is>
          <t>Taxes &amp; Licenses</t>
        </is>
      </c>
    </row>
    <row r="3753">
      <c r="B3753" s="39" t="n">
        <v>46127</v>
      </c>
      <c r="C3753" s="3" t="inlineStr">
        <is>
          <t>Credit Card Expense</t>
        </is>
      </c>
      <c r="D3753" s="3" t="inlineStr"/>
      <c r="E3753" s="3" t="inlineStr"/>
      <c r="F3753" s="3" t="inlineStr">
        <is>
          <t>Property tax installment</t>
        </is>
      </c>
      <c r="G3753" s="3" t="inlineStr">
        <is>
          <t>Checking – Operating</t>
        </is>
      </c>
      <c r="H3753" s="3" t="inlineStr">
        <is>
          <t>Property tax</t>
        </is>
      </c>
      <c r="I3753" s="33" t="n">
        <v>1015.43</v>
      </c>
      <c r="J3753" s="13">
        <f>+J3752+I3753</f>
        <v>8600</v>
      </c>
      <c r="K3753" s="19">
        <f>+EOMONTH(B3753,0)</f>
        <v>46142</v>
      </c>
      <c r="L3753" s="3" t="inlineStr">
        <is>
          <t>Property tax</t>
        </is>
      </c>
      <c r="M3753" s="3" t="inlineStr">
        <is>
          <t>Taxes &amp; Licenses</t>
        </is>
      </c>
    </row>
    <row r="3754">
      <c r="B3754" s="39" t="n">
        <v>46155</v>
      </c>
      <c r="C3754" s="3" t="inlineStr">
        <is>
          <t>Journal Entry</t>
        </is>
      </c>
      <c r="D3754" s="3" t="inlineStr">
        <is>
          <t>JE-2694</t>
        </is>
      </c>
      <c r="E3754" s="3" t="inlineStr"/>
      <c r="F3754" s="3" t="inlineStr">
        <is>
          <t>Property tax installment</t>
        </is>
      </c>
      <c r="G3754" s="3" t="inlineStr">
        <is>
          <t>Checking – Operating</t>
        </is>
      </c>
      <c r="H3754" s="3" t="inlineStr">
        <is>
          <t>Property tax</t>
        </is>
      </c>
      <c r="I3754" s="33" t="n">
        <v>1064.25</v>
      </c>
      <c r="J3754" s="13">
        <f>+J3753+I3754</f>
        <v>9664.25</v>
      </c>
      <c r="K3754" s="19">
        <f>+EOMONTH(B3754,0)</f>
        <v>46173</v>
      </c>
      <c r="L3754" s="3" t="inlineStr">
        <is>
          <t>Property tax</t>
        </is>
      </c>
      <c r="M3754" s="3" t="inlineStr">
        <is>
          <t>Taxes &amp; Licenses</t>
        </is>
      </c>
    </row>
    <row r="3755">
      <c r="B3755" s="39" t="n">
        <v>46172</v>
      </c>
      <c r="C3755" s="3" t="inlineStr">
        <is>
          <t>Expense</t>
        </is>
      </c>
      <c r="D3755" s="3" t="inlineStr">
        <is>
          <t>10850</t>
        </is>
      </c>
      <c r="E3755" s="3" t="inlineStr"/>
      <c r="F3755" s="3" t="inlineStr">
        <is>
          <t>Property tax installment</t>
        </is>
      </c>
      <c r="G3755" s="3" t="inlineStr">
        <is>
          <t>Checking – Operating</t>
        </is>
      </c>
      <c r="H3755" s="3" t="inlineStr">
        <is>
          <t>Property tax</t>
        </is>
      </c>
      <c r="I3755" s="33" t="n">
        <v>1185.75</v>
      </c>
      <c r="J3755" s="13">
        <f>+J3754+I3755</f>
        <v>10850</v>
      </c>
      <c r="K3755" s="19">
        <f>+EOMONTH(B3755,0)</f>
        <v>46173</v>
      </c>
      <c r="L3755" s="3" t="inlineStr">
        <is>
          <t>Property tax</t>
        </is>
      </c>
      <c r="M3755" s="3" t="inlineStr">
        <is>
          <t>Taxes &amp; Licenses</t>
        </is>
      </c>
    </row>
    <row r="3756">
      <c r="B3756" s="39" t="n">
        <v>46184</v>
      </c>
      <c r="C3756" s="3" t="inlineStr">
        <is>
          <t>Expense</t>
        </is>
      </c>
      <c r="D3756" s="3" t="inlineStr">
        <is>
          <t>10851</t>
        </is>
      </c>
      <c r="E3756" s="3" t="inlineStr"/>
      <c r="F3756" s="3" t="inlineStr">
        <is>
          <t>Property tax installment</t>
        </is>
      </c>
      <c r="G3756" s="3" t="inlineStr">
        <is>
          <t>Checking – Operating</t>
        </is>
      </c>
      <c r="H3756" s="3" t="inlineStr">
        <is>
          <t>Property tax</t>
        </is>
      </c>
      <c r="I3756" s="33" t="n">
        <v>1196.02</v>
      </c>
      <c r="J3756" s="13">
        <f>+J3755+I3756</f>
        <v>12046.02</v>
      </c>
      <c r="K3756" s="19">
        <f>+EOMONTH(B3756,0)</f>
        <v>46203</v>
      </c>
      <c r="L3756" s="3" t="inlineStr">
        <is>
          <t>Property tax</t>
        </is>
      </c>
      <c r="M3756" s="3" t="inlineStr">
        <is>
          <t>Taxes &amp; Licenses</t>
        </is>
      </c>
    </row>
    <row r="3757">
      <c r="B3757" s="39" t="n">
        <v>46196</v>
      </c>
      <c r="C3757" s="3" t="inlineStr">
        <is>
          <t>Expense</t>
        </is>
      </c>
      <c r="D3757" s="3" t="inlineStr">
        <is>
          <t>10852</t>
        </is>
      </c>
      <c r="E3757" s="3" t="inlineStr"/>
      <c r="F3757" s="3" t="inlineStr">
        <is>
          <t>Property tax installment</t>
        </is>
      </c>
      <c r="G3757" s="3" t="inlineStr">
        <is>
          <t>Checking – Operating</t>
        </is>
      </c>
      <c r="H3757" s="3" t="inlineStr">
        <is>
          <t>Property tax</t>
        </is>
      </c>
      <c r="I3757" s="33" t="n">
        <v>1103.98</v>
      </c>
      <c r="J3757" s="13">
        <f>+J3756+I3757</f>
        <v>13150</v>
      </c>
      <c r="K3757" s="19">
        <f>+EOMONTH(B3757,0)</f>
        <v>46203</v>
      </c>
      <c r="L3757" s="3" t="inlineStr">
        <is>
          <t>Property tax</t>
        </is>
      </c>
      <c r="M3757" s="3" t="inlineStr">
        <is>
          <t>Taxes &amp; Licenses</t>
        </is>
      </c>
    </row>
    <row r="3758">
      <c r="B3758" s="39" t="n">
        <v>46207</v>
      </c>
      <c r="C3758" s="3" t="inlineStr">
        <is>
          <t>Journal Entry</t>
        </is>
      </c>
      <c r="D3758" s="3" t="inlineStr">
        <is>
          <t>JE-2695</t>
        </is>
      </c>
      <c r="E3758" s="3" t="inlineStr"/>
      <c r="F3758" s="3" t="inlineStr">
        <is>
          <t>Property tax installment</t>
        </is>
      </c>
      <c r="G3758" s="3" t="inlineStr">
        <is>
          <t>Checking – Operating</t>
        </is>
      </c>
      <c r="H3758" s="3" t="inlineStr">
        <is>
          <t>Property tax</t>
        </is>
      </c>
      <c r="I3758" s="33" t="n">
        <v>1052.36</v>
      </c>
      <c r="J3758" s="13">
        <f>+J3757+I3758</f>
        <v>14202.36</v>
      </c>
      <c r="K3758" s="19">
        <f>+EOMONTH(B3758,0)</f>
        <v>46234</v>
      </c>
      <c r="L3758" s="3" t="inlineStr">
        <is>
          <t>Property tax</t>
        </is>
      </c>
      <c r="M3758" s="3" t="inlineStr">
        <is>
          <t>Taxes &amp; Licenses</t>
        </is>
      </c>
    </row>
    <row r="3759">
      <c r="B3759" s="39" t="n">
        <v>46233</v>
      </c>
      <c r="C3759" s="3" t="inlineStr">
        <is>
          <t>Credit Card Expense</t>
        </is>
      </c>
      <c r="D3759" s="3" t="inlineStr"/>
      <c r="E3759" s="3" t="inlineStr"/>
      <c r="F3759" s="3" t="inlineStr">
        <is>
          <t>Property tax installment</t>
        </is>
      </c>
      <c r="G3759" s="3" t="inlineStr">
        <is>
          <t>Checking – Operating</t>
        </is>
      </c>
      <c r="H3759" s="3" t="inlineStr">
        <is>
          <t>Property tax</t>
        </is>
      </c>
      <c r="I3759" s="33" t="n">
        <v>1047.64</v>
      </c>
      <c r="J3759" s="13">
        <f>+J3758+I3759</f>
        <v>15250</v>
      </c>
      <c r="K3759" s="19">
        <f>+EOMONTH(B3759,0)</f>
        <v>46234</v>
      </c>
      <c r="L3759" s="3" t="inlineStr">
        <is>
          <t>Property tax</t>
        </is>
      </c>
      <c r="M3759" s="3" t="inlineStr">
        <is>
          <t>Taxes &amp; Licenses</t>
        </is>
      </c>
    </row>
    <row r="3760">
      <c r="B3760" s="39" t="n">
        <v>46237</v>
      </c>
      <c r="C3760" s="3" t="inlineStr">
        <is>
          <t>Credit Card Expense</t>
        </is>
      </c>
      <c r="D3760" s="3" t="inlineStr"/>
      <c r="E3760" s="3" t="inlineStr"/>
      <c r="F3760" s="3" t="inlineStr">
        <is>
          <t>Property tax installment</t>
        </is>
      </c>
      <c r="G3760" s="3" t="inlineStr">
        <is>
          <t>Checking – Operating</t>
        </is>
      </c>
      <c r="H3760" s="3" t="inlineStr">
        <is>
          <t>Property tax</t>
        </is>
      </c>
      <c r="I3760" s="33" t="n">
        <v>917.41</v>
      </c>
      <c r="J3760" s="13">
        <f>+J3759+I3760</f>
        <v>16167.41</v>
      </c>
      <c r="K3760" s="19">
        <f>+EOMONTH(B3760,0)</f>
        <v>46265</v>
      </c>
      <c r="L3760" s="3" t="inlineStr">
        <is>
          <t>Property tax</t>
        </is>
      </c>
      <c r="M3760" s="3" t="inlineStr">
        <is>
          <t>Taxes &amp; Licenses</t>
        </is>
      </c>
    </row>
    <row r="3761">
      <c r="B3761" s="39" t="n">
        <v>46263</v>
      </c>
      <c r="C3761" s="3" t="inlineStr">
        <is>
          <t>Expense</t>
        </is>
      </c>
      <c r="D3761" s="3" t="inlineStr">
        <is>
          <t>10853</t>
        </is>
      </c>
      <c r="E3761" s="3" t="inlineStr"/>
      <c r="F3761" s="3" t="inlineStr">
        <is>
          <t>Property tax installment</t>
        </is>
      </c>
      <c r="G3761" s="3" t="inlineStr">
        <is>
          <t>Checking – Operating</t>
        </is>
      </c>
      <c r="H3761" s="3" t="inlineStr">
        <is>
          <t>Property tax</t>
        </is>
      </c>
      <c r="I3761" s="33" t="n">
        <v>1282.59</v>
      </c>
      <c r="J3761" s="13">
        <f>+J3760+I3761</f>
        <v>17450</v>
      </c>
      <c r="K3761" s="19">
        <f>+EOMONTH(B3761,0)</f>
        <v>46265</v>
      </c>
      <c r="L3761" s="3" t="inlineStr">
        <is>
          <t>Property tax</t>
        </is>
      </c>
      <c r="M3761" s="3" t="inlineStr">
        <is>
          <t>Taxes &amp; Licenses</t>
        </is>
      </c>
    </row>
    <row r="3762">
      <c r="B3762" s="39" t="n">
        <v>46280</v>
      </c>
      <c r="C3762" s="3" t="inlineStr">
        <is>
          <t>Expense</t>
        </is>
      </c>
      <c r="D3762" s="3" t="inlineStr">
        <is>
          <t>10854</t>
        </is>
      </c>
      <c r="E3762" s="3" t="inlineStr"/>
      <c r="F3762" s="3" t="inlineStr">
        <is>
          <t>Property tax installment</t>
        </is>
      </c>
      <c r="G3762" s="3" t="inlineStr">
        <is>
          <t>Checking – Operating</t>
        </is>
      </c>
      <c r="H3762" s="3" t="inlineStr">
        <is>
          <t>Property tax</t>
        </is>
      </c>
      <c r="I3762" s="33" t="n">
        <v>787.89</v>
      </c>
      <c r="J3762" s="13">
        <f>+J3761+I3762</f>
        <v>18237.89</v>
      </c>
      <c r="K3762" s="19">
        <f>+EOMONTH(B3762,0)</f>
        <v>46295</v>
      </c>
      <c r="L3762" s="3" t="inlineStr">
        <is>
          <t>Property tax</t>
        </is>
      </c>
      <c r="M3762" s="3" t="inlineStr">
        <is>
          <t>Taxes &amp; Licenses</t>
        </is>
      </c>
    </row>
    <row r="3763">
      <c r="B3763" s="39" t="n">
        <v>46291</v>
      </c>
      <c r="C3763" s="3" t="inlineStr">
        <is>
          <t>Credit Card Expense</t>
        </is>
      </c>
      <c r="D3763" s="3" t="inlineStr"/>
      <c r="E3763" s="3" t="inlineStr"/>
      <c r="F3763" s="3" t="inlineStr">
        <is>
          <t>Property tax installment</t>
        </is>
      </c>
      <c r="G3763" s="3" t="inlineStr">
        <is>
          <t>Checking – Operating</t>
        </is>
      </c>
      <c r="H3763" s="3" t="inlineStr">
        <is>
          <t>Property tax</t>
        </is>
      </c>
      <c r="I3763" s="33" t="n">
        <v>1369.08</v>
      </c>
      <c r="J3763" s="13">
        <f>+J3762+I3763</f>
        <v>19606.97</v>
      </c>
      <c r="K3763" s="19">
        <f>+EOMONTH(B3763,0)</f>
        <v>46295</v>
      </c>
      <c r="L3763" s="3" t="inlineStr">
        <is>
          <t>Property tax</t>
        </is>
      </c>
      <c r="M3763" s="3" t="inlineStr">
        <is>
          <t>Taxes &amp; Licenses</t>
        </is>
      </c>
    </row>
    <row r="3764">
      <c r="B3764" s="39" t="n">
        <v>46309</v>
      </c>
      <c r="C3764" s="3" t="inlineStr">
        <is>
          <t>Journal Entry</t>
        </is>
      </c>
      <c r="D3764" s="3" t="inlineStr">
        <is>
          <t>JE-2696</t>
        </is>
      </c>
      <c r="E3764" s="3" t="inlineStr"/>
      <c r="F3764" s="3" t="inlineStr">
        <is>
          <t>Property tax installment</t>
        </is>
      </c>
      <c r="G3764" s="3" t="inlineStr">
        <is>
          <t>Checking – Operating</t>
        </is>
      </c>
      <c r="H3764" s="3" t="inlineStr">
        <is>
          <t>Property tax</t>
        </is>
      </c>
      <c r="I3764" s="33" t="n">
        <v>1269.35</v>
      </c>
      <c r="J3764" s="13">
        <f>+J3763+I3764</f>
        <v>20876.32</v>
      </c>
      <c r="K3764" s="19">
        <f>+EOMONTH(B3764,0)</f>
        <v>46326</v>
      </c>
      <c r="L3764" s="3" t="inlineStr">
        <is>
          <t>Property tax</t>
        </is>
      </c>
      <c r="M3764" s="3" t="inlineStr">
        <is>
          <t>Taxes &amp; Licenses</t>
        </is>
      </c>
    </row>
    <row r="3765">
      <c r="B3765" s="39" t="n">
        <v>46324</v>
      </c>
      <c r="C3765" s="3" t="inlineStr">
        <is>
          <t>Journal Entry</t>
        </is>
      </c>
      <c r="D3765" s="3" t="inlineStr">
        <is>
          <t>JE-2697</t>
        </is>
      </c>
      <c r="E3765" s="3" t="inlineStr"/>
      <c r="F3765" s="3" t="inlineStr">
        <is>
          <t>Property tax installment</t>
        </is>
      </c>
      <c r="G3765" s="3" t="inlineStr">
        <is>
          <t>Checking – Operating</t>
        </is>
      </c>
      <c r="H3765" s="3" t="inlineStr">
        <is>
          <t>Property tax</t>
        </is>
      </c>
      <c r="I3765" s="33" t="n">
        <v>979.88</v>
      </c>
      <c r="J3765" s="13">
        <f>+J3764+I3765</f>
        <v>21856.2</v>
      </c>
      <c r="K3765" s="19">
        <f>+EOMONTH(B3765,0)</f>
        <v>46326</v>
      </c>
      <c r="L3765" s="3" t="inlineStr">
        <is>
          <t>Property tax</t>
        </is>
      </c>
      <c r="M3765" s="3" t="inlineStr">
        <is>
          <t>Taxes &amp; Licenses</t>
        </is>
      </c>
    </row>
    <row r="3766">
      <c r="B3766" s="39" t="n">
        <v>46348</v>
      </c>
      <c r="C3766" s="3" t="inlineStr">
        <is>
          <t>Expense</t>
        </is>
      </c>
      <c r="D3766" s="3" t="inlineStr">
        <is>
          <t>10855</t>
        </is>
      </c>
      <c r="E3766" s="3" t="inlineStr"/>
      <c r="F3766" s="3" t="inlineStr">
        <is>
          <t>Property tax installment</t>
        </is>
      </c>
      <c r="G3766" s="3" t="inlineStr">
        <is>
          <t>Checking – Operating</t>
        </is>
      </c>
      <c r="H3766" s="3" t="inlineStr">
        <is>
          <t>Property tax</t>
        </is>
      </c>
      <c r="I3766" s="33" t="n">
        <v>2175.35</v>
      </c>
      <c r="J3766" s="13">
        <f>+J3765+I3766</f>
        <v>24031.55</v>
      </c>
      <c r="K3766" s="19">
        <f>+EOMONTH(B3766,0)</f>
        <v>46356</v>
      </c>
      <c r="L3766" s="3" t="inlineStr">
        <is>
          <t>Property tax</t>
        </is>
      </c>
      <c r="M3766" s="3" t="inlineStr">
        <is>
          <t>Taxes &amp; Licenses</t>
        </is>
      </c>
    </row>
    <row r="3767">
      <c r="A3767" s="2" t="inlineStr">
        <is>
          <t>Total for Property tax</t>
        </is>
      </c>
      <c r="I3767" s="35">
        <f>SUM(I3746:I3766)</f>
        <v>24031.55</v>
      </c>
    </row>
    <row r="3769">
      <c r="A3769" s="2" t="inlineStr">
        <is>
          <t>QAQC</t>
        </is>
      </c>
    </row>
    <row r="3770">
      <c r="B3770" s="39" t="n">
        <v>46034</v>
      </c>
      <c r="C3770" s="3" t="inlineStr">
        <is>
          <t>Journal Entry</t>
        </is>
      </c>
      <c r="D3770" s="3" t="inlineStr">
        <is>
          <t>JE-2698</t>
        </is>
      </c>
      <c r="E3770" s="3" t="inlineStr">
        <is>
          <t>Reagentix Corp</t>
        </is>
      </c>
      <c r="F3770" s="3" t="inlineStr">
        <is>
          <t>QAQC – January</t>
        </is>
      </c>
      <c r="G3770" s="3" t="inlineStr">
        <is>
          <t>Checking – Operating</t>
        </is>
      </c>
      <c r="H3770" s="3" t="inlineStr">
        <is>
          <t>QAQC</t>
        </is>
      </c>
      <c r="I3770" s="33" t="n">
        <v>1686.12</v>
      </c>
      <c r="J3770" s="13">
        <f>+I3770</f>
        <v>1686.12</v>
      </c>
      <c r="K3770" s="19">
        <f>+EOMONTH(B3770,0)</f>
        <v>46053</v>
      </c>
      <c r="L3770" s="3" t="inlineStr">
        <is>
          <t>QAQC</t>
        </is>
      </c>
      <c r="M3770" s="3" t="inlineStr">
        <is>
          <t>Quality Control</t>
        </is>
      </c>
    </row>
    <row r="3771">
      <c r="B3771" s="39" t="n">
        <v>46045</v>
      </c>
      <c r="C3771" s="3" t="inlineStr">
        <is>
          <t>Expense</t>
        </is>
      </c>
      <c r="D3771" s="3" t="inlineStr">
        <is>
          <t>10856</t>
        </is>
      </c>
      <c r="E3771" s="3" t="inlineStr">
        <is>
          <t>Reagentix Corp</t>
        </is>
      </c>
      <c r="F3771" s="3" t="inlineStr">
        <is>
          <t>QAQC – January</t>
        </is>
      </c>
      <c r="G3771" s="3" t="inlineStr">
        <is>
          <t>Checking – Operating</t>
        </is>
      </c>
      <c r="H3771" s="3" t="inlineStr">
        <is>
          <t>QAQC</t>
        </is>
      </c>
      <c r="I3771" s="33" t="n">
        <v>1813.88</v>
      </c>
      <c r="J3771" s="13">
        <f>+J3770+I3771</f>
        <v>3500</v>
      </c>
      <c r="K3771" s="19">
        <f>+EOMONTH(B3771,0)</f>
        <v>46053</v>
      </c>
      <c r="L3771" s="3" t="inlineStr">
        <is>
          <t>QAQC</t>
        </is>
      </c>
      <c r="M3771" s="3" t="inlineStr">
        <is>
          <t>Quality Control</t>
        </is>
      </c>
    </row>
    <row r="3772">
      <c r="B3772" s="39" t="n">
        <v>46055</v>
      </c>
      <c r="C3772" s="3" t="inlineStr">
        <is>
          <t>Expense</t>
        </is>
      </c>
      <c r="D3772" s="3" t="inlineStr">
        <is>
          <t>10857</t>
        </is>
      </c>
      <c r="E3772" s="3" t="inlineStr">
        <is>
          <t>Reagentix Corp</t>
        </is>
      </c>
      <c r="F3772" s="3" t="inlineStr">
        <is>
          <t>QAQC – February</t>
        </is>
      </c>
      <c r="G3772" s="3" t="inlineStr">
        <is>
          <t>Checking – Operating</t>
        </is>
      </c>
      <c r="H3772" s="3" t="inlineStr">
        <is>
          <t>QAQC</t>
        </is>
      </c>
      <c r="I3772" s="33" t="n">
        <v>2496.99</v>
      </c>
      <c r="J3772" s="13">
        <f>+J3771+I3772</f>
        <v>5996.99</v>
      </c>
      <c r="K3772" s="19">
        <f>+EOMONTH(B3772,0)</f>
        <v>46081</v>
      </c>
      <c r="L3772" s="3" t="inlineStr">
        <is>
          <t>QAQC</t>
        </is>
      </c>
      <c r="M3772" s="3" t="inlineStr">
        <is>
          <t>Quality Control</t>
        </is>
      </c>
    </row>
    <row r="3773">
      <c r="B3773" s="39" t="n">
        <v>46063</v>
      </c>
      <c r="C3773" s="3" t="inlineStr">
        <is>
          <t>Journal Entry</t>
        </is>
      </c>
      <c r="D3773" s="3" t="inlineStr">
        <is>
          <t>JE-2699</t>
        </is>
      </c>
      <c r="E3773" s="3" t="inlineStr">
        <is>
          <t>Vialtrace Lab Supplies Inc</t>
        </is>
      </c>
      <c r="F3773" s="3" t="inlineStr">
        <is>
          <t>QAQC – February</t>
        </is>
      </c>
      <c r="G3773" s="3" t="inlineStr">
        <is>
          <t>Checking – Operating</t>
        </is>
      </c>
      <c r="H3773" s="3" t="inlineStr">
        <is>
          <t>QAQC</t>
        </is>
      </c>
      <c r="I3773" s="33" t="n">
        <v>1203.01</v>
      </c>
      <c r="J3773" s="13">
        <f>+J3772+I3773</f>
        <v>7200</v>
      </c>
      <c r="K3773" s="19">
        <f>+EOMONTH(B3773,0)</f>
        <v>46081</v>
      </c>
      <c r="L3773" s="3" t="inlineStr">
        <is>
          <t>QAQC</t>
        </is>
      </c>
      <c r="M3773" s="3" t="inlineStr">
        <is>
          <t>Quality Control</t>
        </is>
      </c>
    </row>
    <row r="3774">
      <c r="B3774" s="39" t="n">
        <v>46098</v>
      </c>
      <c r="C3774" s="3" t="inlineStr">
        <is>
          <t>Expense</t>
        </is>
      </c>
      <c r="D3774" s="3" t="inlineStr">
        <is>
          <t>10858</t>
        </is>
      </c>
      <c r="E3774" s="3" t="inlineStr">
        <is>
          <t>Vialtrace Lab Supplies Inc</t>
        </is>
      </c>
      <c r="F3774" s="3" t="inlineStr">
        <is>
          <t>QAQC – March</t>
        </is>
      </c>
      <c r="G3774" s="3" t="inlineStr">
        <is>
          <t>Checking – Operating</t>
        </is>
      </c>
      <c r="H3774" s="3" t="inlineStr">
        <is>
          <t>QAQC</t>
        </is>
      </c>
      <c r="I3774" s="33" t="n">
        <v>1844.75</v>
      </c>
      <c r="J3774" s="13">
        <f>+J3773+I3774</f>
        <v>9044.75</v>
      </c>
      <c r="K3774" s="19">
        <f>+EOMONTH(B3774,0)</f>
        <v>46112</v>
      </c>
      <c r="L3774" s="3" t="inlineStr">
        <is>
          <t>QAQC</t>
        </is>
      </c>
      <c r="M3774" s="3" t="inlineStr">
        <is>
          <t>Quality Control</t>
        </is>
      </c>
    </row>
    <row r="3775">
      <c r="B3775" s="39" t="n">
        <v>46105</v>
      </c>
      <c r="C3775" s="3" t="inlineStr">
        <is>
          <t>Credit Card Expense</t>
        </is>
      </c>
      <c r="D3775" s="3" t="inlineStr"/>
      <c r="E3775" s="3" t="inlineStr">
        <is>
          <t>Vialtrace Lab Supplies Inc</t>
        </is>
      </c>
      <c r="F3775" s="3" t="inlineStr">
        <is>
          <t>QAQC – March</t>
        </is>
      </c>
      <c r="G3775" s="3" t="inlineStr">
        <is>
          <t>Checking – Operating</t>
        </is>
      </c>
      <c r="H3775" s="3" t="inlineStr">
        <is>
          <t>QAQC</t>
        </is>
      </c>
      <c r="I3775" s="33" t="n">
        <v>1555.25</v>
      </c>
      <c r="J3775" s="13">
        <f>+J3774+I3775</f>
        <v>10600</v>
      </c>
      <c r="K3775" s="19">
        <f>+EOMONTH(B3775,0)</f>
        <v>46112</v>
      </c>
      <c r="L3775" s="3" t="inlineStr">
        <is>
          <t>QAQC</t>
        </is>
      </c>
      <c r="M3775" s="3" t="inlineStr">
        <is>
          <t>Quality Control</t>
        </is>
      </c>
    </row>
    <row r="3776">
      <c r="B3776" s="39" t="n">
        <v>46135</v>
      </c>
      <c r="C3776" s="3" t="inlineStr">
        <is>
          <t>Expense</t>
        </is>
      </c>
      <c r="D3776" s="3" t="inlineStr">
        <is>
          <t>10859</t>
        </is>
      </c>
      <c r="E3776" s="3" t="inlineStr">
        <is>
          <t>Reagentix Corp</t>
        </is>
      </c>
      <c r="F3776" s="3" t="inlineStr">
        <is>
          <t>QAQC – April</t>
        </is>
      </c>
      <c r="G3776" s="3" t="inlineStr">
        <is>
          <t>Checking – Operating</t>
        </is>
      </c>
      <c r="H3776" s="3" t="inlineStr">
        <is>
          <t>QAQC</t>
        </is>
      </c>
      <c r="I3776" s="33" t="n">
        <v>1548.28</v>
      </c>
      <c r="J3776" s="13">
        <f>+J3775+I3776</f>
        <v>12148.28</v>
      </c>
      <c r="K3776" s="19">
        <f>+EOMONTH(B3776,0)</f>
        <v>46142</v>
      </c>
      <c r="L3776" s="3" t="inlineStr">
        <is>
          <t>QAQC</t>
        </is>
      </c>
      <c r="M3776" s="3" t="inlineStr">
        <is>
          <t>Quality Control</t>
        </is>
      </c>
    </row>
    <row r="3777">
      <c r="B3777" s="39" t="n">
        <v>46135</v>
      </c>
      <c r="C3777" s="3" t="inlineStr">
        <is>
          <t>Expense</t>
        </is>
      </c>
      <c r="D3777" s="3" t="inlineStr">
        <is>
          <t>10860</t>
        </is>
      </c>
      <c r="E3777" s="3" t="inlineStr">
        <is>
          <t>Vialtrace Lab Supplies Inc</t>
        </is>
      </c>
      <c r="F3777" s="3" t="inlineStr">
        <is>
          <t>QAQC – April</t>
        </is>
      </c>
      <c r="G3777" s="3" t="inlineStr">
        <is>
          <t>Checking – Operating</t>
        </is>
      </c>
      <c r="H3777" s="3" t="inlineStr">
        <is>
          <t>QAQC</t>
        </is>
      </c>
      <c r="I3777" s="33" t="n">
        <v>1951.72</v>
      </c>
      <c r="J3777" s="13">
        <f>+J3776+I3777</f>
        <v>14100</v>
      </c>
      <c r="K3777" s="19">
        <f>+EOMONTH(B3777,0)</f>
        <v>46142</v>
      </c>
      <c r="L3777" s="3" t="inlineStr">
        <is>
          <t>QAQC</t>
        </is>
      </c>
      <c r="M3777" s="3" t="inlineStr">
        <is>
          <t>Quality Control</t>
        </is>
      </c>
    </row>
    <row r="3778">
      <c r="B3778" s="39" t="n">
        <v>46168</v>
      </c>
      <c r="C3778" s="3" t="inlineStr">
        <is>
          <t>Expense</t>
        </is>
      </c>
      <c r="D3778" s="3" t="inlineStr">
        <is>
          <t>10861</t>
        </is>
      </c>
      <c r="E3778" s="3" t="inlineStr">
        <is>
          <t>Vialtrace Lab Supplies Inc</t>
        </is>
      </c>
      <c r="F3778" s="3" t="inlineStr">
        <is>
          <t>QAQC – May</t>
        </is>
      </c>
      <c r="G3778" s="3" t="inlineStr">
        <is>
          <t>Checking – Operating</t>
        </is>
      </c>
      <c r="H3778" s="3" t="inlineStr">
        <is>
          <t>QAQC</t>
        </is>
      </c>
      <c r="I3778" s="33" t="n">
        <v>2220.3</v>
      </c>
      <c r="J3778" s="13">
        <f>+J3777+I3778</f>
        <v>16320.3</v>
      </c>
      <c r="K3778" s="19">
        <f>+EOMONTH(B3778,0)</f>
        <v>46173</v>
      </c>
      <c r="L3778" s="3" t="inlineStr">
        <is>
          <t>QAQC</t>
        </is>
      </c>
      <c r="M3778" s="3" t="inlineStr">
        <is>
          <t>Quality Control</t>
        </is>
      </c>
    </row>
    <row r="3779">
      <c r="B3779" s="39" t="n">
        <v>46168</v>
      </c>
      <c r="C3779" s="3" t="inlineStr">
        <is>
          <t>Journal Entry</t>
        </is>
      </c>
      <c r="D3779" s="3" t="inlineStr">
        <is>
          <t>JE-2700</t>
        </is>
      </c>
      <c r="E3779" s="3" t="inlineStr">
        <is>
          <t>Reagentix Corp</t>
        </is>
      </c>
      <c r="F3779" s="3" t="inlineStr">
        <is>
          <t>QAQC – May</t>
        </is>
      </c>
      <c r="G3779" s="3" t="inlineStr">
        <is>
          <t>Checking – Operating</t>
        </is>
      </c>
      <c r="H3779" s="3" t="inlineStr">
        <is>
          <t>QAQC</t>
        </is>
      </c>
      <c r="I3779" s="33" t="n">
        <v>1479.7</v>
      </c>
      <c r="J3779" s="13">
        <f>+J3778+I3779</f>
        <v>17800</v>
      </c>
      <c r="K3779" s="19">
        <f>+EOMONTH(B3779,0)</f>
        <v>46173</v>
      </c>
      <c r="L3779" s="3" t="inlineStr">
        <is>
          <t>QAQC</t>
        </is>
      </c>
      <c r="M3779" s="3" t="inlineStr">
        <is>
          <t>Quality Control</t>
        </is>
      </c>
    </row>
    <row r="3780">
      <c r="B3780" s="39" t="n">
        <v>46175</v>
      </c>
      <c r="C3780" s="3" t="inlineStr">
        <is>
          <t>Journal Entry</t>
        </is>
      </c>
      <c r="D3780" s="3" t="inlineStr">
        <is>
          <t>JE-2702</t>
        </is>
      </c>
      <c r="E3780" s="3" t="inlineStr">
        <is>
          <t>Vialtrace Lab Supplies Inc</t>
        </is>
      </c>
      <c r="F3780" s="3" t="inlineStr">
        <is>
          <t>QAQC – June</t>
        </is>
      </c>
      <c r="G3780" s="3" t="inlineStr">
        <is>
          <t>Checking – Operating</t>
        </is>
      </c>
      <c r="H3780" s="3" t="inlineStr">
        <is>
          <t>QAQC</t>
        </is>
      </c>
      <c r="I3780" s="33" t="n">
        <v>1641.91</v>
      </c>
      <c r="J3780" s="13">
        <f>+J3779+I3780</f>
        <v>19441.91</v>
      </c>
      <c r="K3780" s="19">
        <f>+EOMONTH(B3780,0)</f>
        <v>46203</v>
      </c>
      <c r="L3780" s="3" t="inlineStr">
        <is>
          <t>QAQC</t>
        </is>
      </c>
      <c r="M3780" s="3" t="inlineStr">
        <is>
          <t>Quality Control</t>
        </is>
      </c>
    </row>
    <row r="3781">
      <c r="B3781" s="39" t="n">
        <v>46201</v>
      </c>
      <c r="C3781" s="3" t="inlineStr">
        <is>
          <t>Journal Entry</t>
        </is>
      </c>
      <c r="D3781" s="3" t="inlineStr">
        <is>
          <t>JE-2701</t>
        </is>
      </c>
      <c r="E3781" s="3" t="inlineStr">
        <is>
          <t>Vialtrace Lab Supplies Inc</t>
        </is>
      </c>
      <c r="F3781" s="3" t="inlineStr">
        <is>
          <t>QAQC – June</t>
        </is>
      </c>
      <c r="G3781" s="3" t="inlineStr">
        <is>
          <t>Checking – Operating</t>
        </is>
      </c>
      <c r="H3781" s="3" t="inlineStr">
        <is>
          <t>QAQC</t>
        </is>
      </c>
      <c r="I3781" s="33" t="n">
        <v>1958.09</v>
      </c>
      <c r="J3781" s="13">
        <f>+J3780+I3781</f>
        <v>21400</v>
      </c>
      <c r="K3781" s="19">
        <f>+EOMONTH(B3781,0)</f>
        <v>46203</v>
      </c>
      <c r="L3781" s="3" t="inlineStr">
        <is>
          <t>QAQC</t>
        </is>
      </c>
      <c r="M3781" s="3" t="inlineStr">
        <is>
          <t>Quality Control</t>
        </is>
      </c>
    </row>
    <row r="3782">
      <c r="B3782" s="39" t="n">
        <v>46207</v>
      </c>
      <c r="C3782" s="3" t="inlineStr">
        <is>
          <t>Journal Entry</t>
        </is>
      </c>
      <c r="D3782" s="3" t="inlineStr">
        <is>
          <t>JE-2703</t>
        </is>
      </c>
      <c r="E3782" s="3" t="inlineStr">
        <is>
          <t>Reagentix Corp</t>
        </is>
      </c>
      <c r="F3782" s="3" t="inlineStr">
        <is>
          <t>QAQC – July</t>
        </is>
      </c>
      <c r="G3782" s="3" t="inlineStr">
        <is>
          <t>Checking – Operating</t>
        </is>
      </c>
      <c r="H3782" s="3" t="inlineStr">
        <is>
          <t>QAQC</t>
        </is>
      </c>
      <c r="I3782" s="33" t="n">
        <v>1911.54</v>
      </c>
      <c r="J3782" s="13">
        <f>+J3781+I3782</f>
        <v>23311.54</v>
      </c>
      <c r="K3782" s="19">
        <f>+EOMONTH(B3782,0)</f>
        <v>46234</v>
      </c>
      <c r="L3782" s="3" t="inlineStr">
        <is>
          <t>QAQC</t>
        </is>
      </c>
      <c r="M3782" s="3" t="inlineStr">
        <is>
          <t>Quality Control</t>
        </is>
      </c>
    </row>
    <row r="3783">
      <c r="B3783" s="39" t="n">
        <v>46219</v>
      </c>
      <c r="C3783" s="3" t="inlineStr">
        <is>
          <t>Expense</t>
        </is>
      </c>
      <c r="D3783" s="3" t="inlineStr">
        <is>
          <t>10862</t>
        </is>
      </c>
      <c r="E3783" s="3" t="inlineStr">
        <is>
          <t>Reagentix Corp</t>
        </is>
      </c>
      <c r="F3783" s="3" t="inlineStr">
        <is>
          <t>QAQC – July</t>
        </is>
      </c>
      <c r="G3783" s="3" t="inlineStr">
        <is>
          <t>Checking – Operating</t>
        </is>
      </c>
      <c r="H3783" s="3" t="inlineStr">
        <is>
          <t>QAQC</t>
        </is>
      </c>
      <c r="I3783" s="33" t="n">
        <v>1588.46</v>
      </c>
      <c r="J3783" s="13">
        <f>+J3782+I3783</f>
        <v>24900</v>
      </c>
      <c r="K3783" s="19">
        <f>+EOMONTH(B3783,0)</f>
        <v>46234</v>
      </c>
      <c r="L3783" s="3" t="inlineStr">
        <is>
          <t>QAQC</t>
        </is>
      </c>
      <c r="M3783" s="3" t="inlineStr">
        <is>
          <t>Quality Control</t>
        </is>
      </c>
    </row>
    <row r="3784">
      <c r="B3784" s="39" t="n">
        <v>46236</v>
      </c>
      <c r="C3784" s="3" t="inlineStr">
        <is>
          <t>Credit Card Expense</t>
        </is>
      </c>
      <c r="D3784" s="3" t="inlineStr"/>
      <c r="E3784" s="3" t="inlineStr">
        <is>
          <t>Vialtrace Lab Supplies Inc</t>
        </is>
      </c>
      <c r="F3784" s="3" t="inlineStr">
        <is>
          <t>QAQC – August</t>
        </is>
      </c>
      <c r="G3784" s="3" t="inlineStr">
        <is>
          <t>Checking – Operating</t>
        </is>
      </c>
      <c r="H3784" s="3" t="inlineStr">
        <is>
          <t>QAQC</t>
        </is>
      </c>
      <c r="I3784" s="33" t="n">
        <v>1436.64</v>
      </c>
      <c r="J3784" s="13">
        <f>+J3783+I3784</f>
        <v>26336.64</v>
      </c>
      <c r="K3784" s="19">
        <f>+EOMONTH(B3784,0)</f>
        <v>46265</v>
      </c>
      <c r="L3784" s="3" t="inlineStr">
        <is>
          <t>QAQC</t>
        </is>
      </c>
      <c r="M3784" s="3" t="inlineStr">
        <is>
          <t>Quality Control</t>
        </is>
      </c>
    </row>
    <row r="3785">
      <c r="B3785" s="39" t="n">
        <v>46236</v>
      </c>
      <c r="C3785" s="3" t="inlineStr">
        <is>
          <t>Expense</t>
        </is>
      </c>
      <c r="D3785" s="3" t="inlineStr">
        <is>
          <t>10863</t>
        </is>
      </c>
      <c r="E3785" s="3" t="inlineStr">
        <is>
          <t>Vialtrace Lab Supplies Inc</t>
        </is>
      </c>
      <c r="F3785" s="3" t="inlineStr">
        <is>
          <t>QAQC – August</t>
        </is>
      </c>
      <c r="G3785" s="3" t="inlineStr">
        <is>
          <t>Checking – Operating</t>
        </is>
      </c>
      <c r="H3785" s="3" t="inlineStr">
        <is>
          <t>QAQC</t>
        </is>
      </c>
      <c r="I3785" s="33" t="n">
        <v>2263.36</v>
      </c>
      <c r="J3785" s="13">
        <f>+J3784+I3785</f>
        <v>28600</v>
      </c>
      <c r="K3785" s="19">
        <f>+EOMONTH(B3785,0)</f>
        <v>46265</v>
      </c>
      <c r="L3785" s="3" t="inlineStr">
        <is>
          <t>QAQC</t>
        </is>
      </c>
      <c r="M3785" s="3" t="inlineStr">
        <is>
          <t>Quality Control</t>
        </is>
      </c>
    </row>
    <row r="3786">
      <c r="B3786" s="39" t="n">
        <v>46266</v>
      </c>
      <c r="C3786" s="3" t="inlineStr">
        <is>
          <t>Credit Card Expense</t>
        </is>
      </c>
      <c r="D3786" s="3" t="inlineStr"/>
      <c r="E3786" s="3" t="inlineStr">
        <is>
          <t>Reagentix Corp</t>
        </is>
      </c>
      <c r="F3786" s="3" t="inlineStr">
        <is>
          <t>QAQC – September</t>
        </is>
      </c>
      <c r="G3786" s="3" t="inlineStr">
        <is>
          <t>Checking – Operating</t>
        </is>
      </c>
      <c r="H3786" s="3" t="inlineStr">
        <is>
          <t>QAQC</t>
        </is>
      </c>
      <c r="I3786" s="33" t="n">
        <v>2201.64</v>
      </c>
      <c r="J3786" s="13">
        <f>+J3785+I3786</f>
        <v>30801.64</v>
      </c>
      <c r="K3786" s="19">
        <f>+EOMONTH(B3786,0)</f>
        <v>46295</v>
      </c>
      <c r="L3786" s="3" t="inlineStr">
        <is>
          <t>QAQC</t>
        </is>
      </c>
      <c r="M3786" s="3" t="inlineStr">
        <is>
          <t>Quality Control</t>
        </is>
      </c>
    </row>
    <row r="3787">
      <c r="B3787" s="39" t="n">
        <v>46269</v>
      </c>
      <c r="C3787" s="3" t="inlineStr">
        <is>
          <t>Expense</t>
        </is>
      </c>
      <c r="D3787" s="3" t="inlineStr">
        <is>
          <t>10864</t>
        </is>
      </c>
      <c r="E3787" s="3" t="inlineStr">
        <is>
          <t>Vialtrace Lab Supplies Inc</t>
        </is>
      </c>
      <c r="F3787" s="3" t="inlineStr">
        <is>
          <t>QAQC – September</t>
        </is>
      </c>
      <c r="G3787" s="3" t="inlineStr">
        <is>
          <t>Checking – Operating</t>
        </is>
      </c>
      <c r="H3787" s="3" t="inlineStr">
        <is>
          <t>QAQC</t>
        </is>
      </c>
      <c r="I3787" s="33" t="n">
        <v>1681.34</v>
      </c>
      <c r="J3787" s="13">
        <f>+J3786+I3787</f>
        <v>32482.98</v>
      </c>
      <c r="K3787" s="19">
        <f>+EOMONTH(B3787,0)</f>
        <v>46295</v>
      </c>
      <c r="L3787" s="3" t="inlineStr">
        <is>
          <t>QAQC</t>
        </is>
      </c>
      <c r="M3787" s="3" t="inlineStr">
        <is>
          <t>Quality Control</t>
        </is>
      </c>
    </row>
    <row r="3788">
      <c r="B3788" s="39" t="n">
        <v>46307</v>
      </c>
      <c r="C3788" s="3" t="inlineStr">
        <is>
          <t>Expense</t>
        </is>
      </c>
      <c r="D3788" s="3" t="inlineStr">
        <is>
          <t>10865</t>
        </is>
      </c>
      <c r="E3788" s="3" t="inlineStr">
        <is>
          <t>Reagentix Corp</t>
        </is>
      </c>
      <c r="F3788" s="3" t="inlineStr">
        <is>
          <t>QAQC – October</t>
        </is>
      </c>
      <c r="G3788" s="3" t="inlineStr">
        <is>
          <t>Checking – Operating</t>
        </is>
      </c>
      <c r="H3788" s="3" t="inlineStr">
        <is>
          <t>QAQC</t>
        </is>
      </c>
      <c r="I3788" s="33" t="n">
        <v>3777.36</v>
      </c>
      <c r="J3788" s="13">
        <f>+J3787+I3788</f>
        <v>36260.34</v>
      </c>
      <c r="K3788" s="19">
        <f>+EOMONTH(B3788,0)</f>
        <v>46326</v>
      </c>
      <c r="L3788" s="3" t="inlineStr">
        <is>
          <t>QAQC</t>
        </is>
      </c>
      <c r="M3788" s="3" t="inlineStr">
        <is>
          <t>Quality Control</t>
        </is>
      </c>
    </row>
    <row r="3789">
      <c r="B3789" s="39" t="n">
        <v>46339</v>
      </c>
      <c r="C3789" s="3" t="inlineStr">
        <is>
          <t>Journal Entry</t>
        </is>
      </c>
      <c r="D3789" s="3" t="inlineStr">
        <is>
          <t>JE-2704</t>
        </is>
      </c>
      <c r="E3789" s="3" t="inlineStr">
        <is>
          <t>Reagentix Corp</t>
        </is>
      </c>
      <c r="F3789" s="3" t="inlineStr">
        <is>
          <t>QAQC – November</t>
        </is>
      </c>
      <c r="G3789" s="3" t="inlineStr">
        <is>
          <t>Checking – Operating</t>
        </is>
      </c>
      <c r="H3789" s="3" t="inlineStr">
        <is>
          <t>QAQC</t>
        </is>
      </c>
      <c r="I3789" s="33" t="n">
        <v>2328.27</v>
      </c>
      <c r="J3789" s="13">
        <f>+J3788+I3789</f>
        <v>38588.61</v>
      </c>
      <c r="K3789" s="19">
        <f>+EOMONTH(B3789,0)</f>
        <v>46356</v>
      </c>
      <c r="L3789" s="3" t="inlineStr">
        <is>
          <t>QAQC</t>
        </is>
      </c>
      <c r="M3789" s="3" t="inlineStr">
        <is>
          <t>Quality Control</t>
        </is>
      </c>
    </row>
    <row r="3790">
      <c r="B3790" s="39" t="n">
        <v>46356</v>
      </c>
      <c r="C3790" s="3" t="inlineStr">
        <is>
          <t>Expense</t>
        </is>
      </c>
      <c r="D3790" s="3" t="inlineStr">
        <is>
          <t>10866</t>
        </is>
      </c>
      <c r="E3790" s="3" t="inlineStr">
        <is>
          <t>Reagentix Corp</t>
        </is>
      </c>
      <c r="F3790" s="3" t="inlineStr">
        <is>
          <t>QAQC – November</t>
        </is>
      </c>
      <c r="G3790" s="3" t="inlineStr">
        <is>
          <t>Checking – Operating</t>
        </is>
      </c>
      <c r="H3790" s="3" t="inlineStr">
        <is>
          <t>QAQC</t>
        </is>
      </c>
      <c r="I3790" s="33" t="n">
        <v>1696.54</v>
      </c>
      <c r="J3790" s="13">
        <f>+J3789+I3790</f>
        <v>40285.15</v>
      </c>
      <c r="K3790" s="19">
        <f>+EOMONTH(B3790,0)</f>
        <v>46356</v>
      </c>
      <c r="L3790" s="3" t="inlineStr">
        <is>
          <t>QAQC</t>
        </is>
      </c>
      <c r="M3790" s="3" t="inlineStr">
        <is>
          <t>Quality Control</t>
        </is>
      </c>
    </row>
    <row r="3791">
      <c r="A3791" s="2" t="inlineStr">
        <is>
          <t>Total for QAQC</t>
        </is>
      </c>
      <c r="I3791" s="35">
        <f>SUM(I3770:I3790)</f>
        <v>40285.15</v>
      </c>
    </row>
    <row r="3793">
      <c r="A3793" s="2" t="inlineStr">
        <is>
          <t>Recruitment</t>
        </is>
      </c>
    </row>
    <row r="3794">
      <c r="B3794" s="39" t="n">
        <v>46040</v>
      </c>
      <c r="C3794" s="3" t="inlineStr">
        <is>
          <t>Expense</t>
        </is>
      </c>
      <c r="D3794" s="3" t="inlineStr">
        <is>
          <t>10867</t>
        </is>
      </c>
      <c r="E3794" s="3" t="inlineStr">
        <is>
          <t>Tessarand Payroll Services</t>
        </is>
      </c>
      <c r="F3794" s="3" t="inlineStr">
        <is>
          <t>Recruitment – January</t>
        </is>
      </c>
      <c r="G3794" s="3" t="inlineStr">
        <is>
          <t>Checking – Operating</t>
        </is>
      </c>
      <c r="H3794" s="3" t="inlineStr">
        <is>
          <t>Recruitment</t>
        </is>
      </c>
      <c r="I3794" s="33" t="n">
        <v>1085.48</v>
      </c>
      <c r="J3794" s="13">
        <f>+I3794</f>
        <v>1085.48</v>
      </c>
      <c r="K3794" s="19">
        <f>+EOMONTH(B3794,0)</f>
        <v>46053</v>
      </c>
      <c r="L3794" s="3" t="inlineStr">
        <is>
          <t>Recruitment</t>
        </is>
      </c>
      <c r="M3794" s="3" t="inlineStr">
        <is>
          <t>Recruitment Costs</t>
        </is>
      </c>
    </row>
    <row r="3795">
      <c r="B3795" s="39" t="n">
        <v>46050</v>
      </c>
      <c r="C3795" s="3" t="inlineStr">
        <is>
          <t>Expense</t>
        </is>
      </c>
      <c r="D3795" s="3" t="inlineStr">
        <is>
          <t>10868</t>
        </is>
      </c>
      <c r="E3795" s="3" t="inlineStr">
        <is>
          <t>Tessarand Payroll Services</t>
        </is>
      </c>
      <c r="F3795" s="3" t="inlineStr">
        <is>
          <t>Recruitment – January</t>
        </is>
      </c>
      <c r="G3795" s="3" t="inlineStr">
        <is>
          <t>Checking – Operating</t>
        </is>
      </c>
      <c r="H3795" s="3" t="inlineStr">
        <is>
          <t>Recruitment</t>
        </is>
      </c>
      <c r="I3795" s="33" t="n">
        <v>1214.52</v>
      </c>
      <c r="J3795" s="13">
        <f>+J3794+I3795</f>
        <v>2300</v>
      </c>
      <c r="K3795" s="19">
        <f>+EOMONTH(B3795,0)</f>
        <v>46053</v>
      </c>
      <c r="L3795" s="3" t="inlineStr">
        <is>
          <t>Recruitment</t>
        </is>
      </c>
      <c r="M3795" s="3" t="inlineStr">
        <is>
          <t>Recruitment Costs</t>
        </is>
      </c>
    </row>
    <row r="3796">
      <c r="B3796" s="39" t="n">
        <v>46074</v>
      </c>
      <c r="C3796" s="3" t="inlineStr">
        <is>
          <t>Expense</t>
        </is>
      </c>
      <c r="D3796" s="3" t="inlineStr">
        <is>
          <t>10870</t>
        </is>
      </c>
      <c r="E3796" s="3" t="inlineStr">
        <is>
          <t>Tessarand Payroll Services</t>
        </is>
      </c>
      <c r="F3796" s="3" t="inlineStr">
        <is>
          <t>Recruitment – February</t>
        </is>
      </c>
      <c r="G3796" s="3" t="inlineStr">
        <is>
          <t>Checking – Operating</t>
        </is>
      </c>
      <c r="H3796" s="3" t="inlineStr">
        <is>
          <t>Recruitment</t>
        </is>
      </c>
      <c r="I3796" s="33" t="n">
        <v>1121.85</v>
      </c>
      <c r="J3796" s="13">
        <f>+J3795+I3796</f>
        <v>3421.85</v>
      </c>
      <c r="K3796" s="19">
        <f>+EOMONTH(B3796,0)</f>
        <v>46081</v>
      </c>
      <c r="L3796" s="3" t="inlineStr">
        <is>
          <t>Recruitment</t>
        </is>
      </c>
      <c r="M3796" s="3" t="inlineStr">
        <is>
          <t>Recruitment Costs</t>
        </is>
      </c>
    </row>
    <row r="3797">
      <c r="B3797" s="39" t="n">
        <v>46076</v>
      </c>
      <c r="C3797" s="3" t="inlineStr">
        <is>
          <t>Expense</t>
        </is>
      </c>
      <c r="D3797" s="3" t="inlineStr">
        <is>
          <t>10869</t>
        </is>
      </c>
      <c r="E3797" s="3" t="inlineStr">
        <is>
          <t>Tessarand Payroll Services</t>
        </is>
      </c>
      <c r="F3797" s="3" t="inlineStr">
        <is>
          <t>Recruitment – February</t>
        </is>
      </c>
      <c r="G3797" s="3" t="inlineStr">
        <is>
          <t>Checking – Operating</t>
        </is>
      </c>
      <c r="H3797" s="3" t="inlineStr">
        <is>
          <t>Recruitment</t>
        </is>
      </c>
      <c r="I3797" s="33" t="n">
        <v>1278.15</v>
      </c>
      <c r="J3797" s="13">
        <f>+J3796+I3797</f>
        <v>4700</v>
      </c>
      <c r="K3797" s="19">
        <f>+EOMONTH(B3797,0)</f>
        <v>46081</v>
      </c>
      <c r="L3797" s="3" t="inlineStr">
        <is>
          <t>Recruitment</t>
        </is>
      </c>
      <c r="M3797" s="3" t="inlineStr">
        <is>
          <t>Recruitment Costs</t>
        </is>
      </c>
    </row>
    <row r="3798">
      <c r="B3798" s="39" t="n">
        <v>46103</v>
      </c>
      <c r="C3798" s="3" t="inlineStr">
        <is>
          <t>Credit Card Expense</t>
        </is>
      </c>
      <c r="D3798" s="3" t="inlineStr"/>
      <c r="E3798" s="3" t="inlineStr">
        <is>
          <t>Tessarand Payroll Services</t>
        </is>
      </c>
      <c r="F3798" s="3" t="inlineStr">
        <is>
          <t>Recruitment – March</t>
        </is>
      </c>
      <c r="G3798" s="3" t="inlineStr">
        <is>
          <t>Checking – Operating</t>
        </is>
      </c>
      <c r="H3798" s="3" t="inlineStr">
        <is>
          <t>Recruitment</t>
        </is>
      </c>
      <c r="I3798" s="33" t="n">
        <v>1376.91</v>
      </c>
      <c r="J3798" s="13">
        <f>+J3797+I3798</f>
        <v>6076.91</v>
      </c>
      <c r="K3798" s="19">
        <f>+EOMONTH(B3798,0)</f>
        <v>46112</v>
      </c>
      <c r="L3798" s="3" t="inlineStr">
        <is>
          <t>Recruitment</t>
        </is>
      </c>
      <c r="M3798" s="3" t="inlineStr">
        <is>
          <t>Recruitment Costs</t>
        </is>
      </c>
    </row>
    <row r="3799">
      <c r="B3799" s="39" t="n">
        <v>46105</v>
      </c>
      <c r="C3799" s="3" t="inlineStr">
        <is>
          <t>Expense</t>
        </is>
      </c>
      <c r="D3799" s="3" t="inlineStr">
        <is>
          <t>10871</t>
        </is>
      </c>
      <c r="E3799" s="3" t="inlineStr">
        <is>
          <t>Tessarand Payroll Services</t>
        </is>
      </c>
      <c r="F3799" s="3" t="inlineStr">
        <is>
          <t>Recruitment – March</t>
        </is>
      </c>
      <c r="G3799" s="3" t="inlineStr">
        <is>
          <t>Checking – Operating</t>
        </is>
      </c>
      <c r="H3799" s="3" t="inlineStr">
        <is>
          <t>Recruitment</t>
        </is>
      </c>
      <c r="I3799" s="33" t="n">
        <v>1123.09</v>
      </c>
      <c r="J3799" s="13">
        <f>+J3798+I3799</f>
        <v>7200</v>
      </c>
      <c r="K3799" s="19">
        <f>+EOMONTH(B3799,0)</f>
        <v>46112</v>
      </c>
      <c r="L3799" s="3" t="inlineStr">
        <is>
          <t>Recruitment</t>
        </is>
      </c>
      <c r="M3799" s="3" t="inlineStr">
        <is>
          <t>Recruitment Costs</t>
        </is>
      </c>
    </row>
    <row r="3800">
      <c r="B3800" s="39" t="n">
        <v>46122</v>
      </c>
      <c r="C3800" s="3" t="inlineStr">
        <is>
          <t>Credit Card Expense</t>
        </is>
      </c>
      <c r="D3800" s="3" t="inlineStr"/>
      <c r="E3800" s="3" t="inlineStr">
        <is>
          <t>Tessarand Payroll Services</t>
        </is>
      </c>
      <c r="F3800" s="3" t="inlineStr">
        <is>
          <t>Recruitment – April</t>
        </is>
      </c>
      <c r="G3800" s="3" t="inlineStr">
        <is>
          <t>Checking – Operating</t>
        </is>
      </c>
      <c r="H3800" s="3" t="inlineStr">
        <is>
          <t>Recruitment</t>
        </is>
      </c>
      <c r="I3800" s="33" t="n">
        <v>1044.87</v>
      </c>
      <c r="J3800" s="13">
        <f>+J3799+I3800</f>
        <v>8244.87</v>
      </c>
      <c r="K3800" s="19">
        <f>+EOMONTH(B3800,0)</f>
        <v>46142</v>
      </c>
      <c r="L3800" s="3" t="inlineStr">
        <is>
          <t>Recruitment</t>
        </is>
      </c>
      <c r="M3800" s="3" t="inlineStr">
        <is>
          <t>Recruitment Costs</t>
        </is>
      </c>
    </row>
    <row r="3801">
      <c r="B3801" s="39" t="n">
        <v>46132</v>
      </c>
      <c r="C3801" s="3" t="inlineStr">
        <is>
          <t>Expense</t>
        </is>
      </c>
      <c r="D3801" s="3" t="inlineStr">
        <is>
          <t>10872</t>
        </is>
      </c>
      <c r="E3801" s="3" t="inlineStr">
        <is>
          <t>Tessarand Payroll Services</t>
        </is>
      </c>
      <c r="F3801" s="3" t="inlineStr">
        <is>
          <t>Recruitment – April</t>
        </is>
      </c>
      <c r="G3801" s="3" t="inlineStr">
        <is>
          <t>Checking – Operating</t>
        </is>
      </c>
      <c r="H3801" s="3" t="inlineStr">
        <is>
          <t>Recruitment</t>
        </is>
      </c>
      <c r="I3801" s="33" t="n">
        <v>1355.13</v>
      </c>
      <c r="J3801" s="13">
        <f>+J3800+I3801</f>
        <v>9600</v>
      </c>
      <c r="K3801" s="19">
        <f>+EOMONTH(B3801,0)</f>
        <v>46142</v>
      </c>
      <c r="L3801" s="3" t="inlineStr">
        <is>
          <t>Recruitment</t>
        </is>
      </c>
      <c r="M3801" s="3" t="inlineStr">
        <is>
          <t>Recruitment Costs</t>
        </is>
      </c>
    </row>
    <row r="3802">
      <c r="B3802" s="39" t="n">
        <v>46145</v>
      </c>
      <c r="C3802" s="3" t="inlineStr">
        <is>
          <t>Journal Entry</t>
        </is>
      </c>
      <c r="D3802" s="3" t="inlineStr">
        <is>
          <t>JE-2705</t>
        </is>
      </c>
      <c r="E3802" s="3" t="inlineStr">
        <is>
          <t>Tessarand Payroll Services</t>
        </is>
      </c>
      <c r="F3802" s="3" t="inlineStr">
        <is>
          <t>Recruitment – May</t>
        </is>
      </c>
      <c r="G3802" s="3" t="inlineStr">
        <is>
          <t>Checking – Operating</t>
        </is>
      </c>
      <c r="H3802" s="3" t="inlineStr">
        <is>
          <t>Recruitment</t>
        </is>
      </c>
      <c r="I3802" s="33" t="n">
        <v>1319.98</v>
      </c>
      <c r="J3802" s="13">
        <f>+J3801+I3802</f>
        <v>10919.98</v>
      </c>
      <c r="K3802" s="19">
        <f>+EOMONTH(B3802,0)</f>
        <v>46173</v>
      </c>
      <c r="L3802" s="3" t="inlineStr">
        <is>
          <t>Recruitment</t>
        </is>
      </c>
      <c r="M3802" s="3" t="inlineStr">
        <is>
          <t>Recruitment Costs</t>
        </is>
      </c>
    </row>
    <row r="3803">
      <c r="B3803" s="39" t="n">
        <v>46150</v>
      </c>
      <c r="C3803" s="3" t="inlineStr">
        <is>
          <t>Credit Card Expense</t>
        </is>
      </c>
      <c r="D3803" s="3" t="inlineStr"/>
      <c r="E3803" s="3" t="inlineStr">
        <is>
          <t>Tessarand Payroll Services</t>
        </is>
      </c>
      <c r="F3803" s="3" t="inlineStr">
        <is>
          <t>Recruitment – May</t>
        </is>
      </c>
      <c r="G3803" s="3" t="inlineStr">
        <is>
          <t>Checking – Operating</t>
        </is>
      </c>
      <c r="H3803" s="3" t="inlineStr">
        <is>
          <t>Recruitment</t>
        </is>
      </c>
      <c r="I3803" s="33" t="n">
        <v>980.02</v>
      </c>
      <c r="J3803" s="13">
        <f>+J3802+I3803</f>
        <v>11900</v>
      </c>
      <c r="K3803" s="19">
        <f>+EOMONTH(B3803,0)</f>
        <v>46173</v>
      </c>
      <c r="L3803" s="3" t="inlineStr">
        <is>
          <t>Recruitment</t>
        </is>
      </c>
      <c r="M3803" s="3" t="inlineStr">
        <is>
          <t>Recruitment Costs</t>
        </is>
      </c>
    </row>
    <row r="3804">
      <c r="B3804" s="39" t="n">
        <v>46195</v>
      </c>
      <c r="C3804" s="3" t="inlineStr">
        <is>
          <t>Expense</t>
        </is>
      </c>
      <c r="D3804" s="3" t="inlineStr">
        <is>
          <t>10873</t>
        </is>
      </c>
      <c r="E3804" s="3" t="inlineStr">
        <is>
          <t>Tessarand Payroll Services</t>
        </is>
      </c>
      <c r="F3804" s="3" t="inlineStr">
        <is>
          <t>Recruitment – June</t>
        </is>
      </c>
      <c r="G3804" s="3" t="inlineStr">
        <is>
          <t>Checking – Operating</t>
        </is>
      </c>
      <c r="H3804" s="3" t="inlineStr">
        <is>
          <t>Recruitment</t>
        </is>
      </c>
      <c r="I3804" s="33" t="n">
        <v>1117.8</v>
      </c>
      <c r="J3804" s="13">
        <f>+J3803+I3804</f>
        <v>13017.8</v>
      </c>
      <c r="K3804" s="19">
        <f>+EOMONTH(B3804,0)</f>
        <v>46203</v>
      </c>
      <c r="L3804" s="3" t="inlineStr">
        <is>
          <t>Recruitment</t>
        </is>
      </c>
      <c r="M3804" s="3" t="inlineStr">
        <is>
          <t>Recruitment Costs</t>
        </is>
      </c>
    </row>
    <row r="3805">
      <c r="B3805" s="39" t="n">
        <v>46202</v>
      </c>
      <c r="C3805" s="3" t="inlineStr">
        <is>
          <t>Journal Entry</t>
        </is>
      </c>
      <c r="D3805" s="3" t="inlineStr">
        <is>
          <t>JE-2706</t>
        </is>
      </c>
      <c r="E3805" s="3" t="inlineStr">
        <is>
          <t>Tessarand Payroll Services</t>
        </is>
      </c>
      <c r="F3805" s="3" t="inlineStr">
        <is>
          <t>Recruitment – June</t>
        </is>
      </c>
      <c r="G3805" s="3" t="inlineStr">
        <is>
          <t>Checking – Operating</t>
        </is>
      </c>
      <c r="H3805" s="3" t="inlineStr">
        <is>
          <t>Recruitment</t>
        </is>
      </c>
      <c r="I3805" s="33" t="n">
        <v>1182.2</v>
      </c>
      <c r="J3805" s="13">
        <f>+J3804+I3805</f>
        <v>14200</v>
      </c>
      <c r="K3805" s="19">
        <f>+EOMONTH(B3805,0)</f>
        <v>46203</v>
      </c>
      <c r="L3805" s="3" t="inlineStr">
        <is>
          <t>Recruitment</t>
        </is>
      </c>
      <c r="M3805" s="3" t="inlineStr">
        <is>
          <t>Recruitment Costs</t>
        </is>
      </c>
    </row>
    <row r="3806">
      <c r="B3806" s="39" t="n">
        <v>46226</v>
      </c>
      <c r="C3806" s="3" t="inlineStr">
        <is>
          <t>Expense</t>
        </is>
      </c>
      <c r="D3806" s="3" t="inlineStr">
        <is>
          <t>10874</t>
        </is>
      </c>
      <c r="E3806" s="3" t="inlineStr">
        <is>
          <t>Tessarand Payroll Services</t>
        </is>
      </c>
      <c r="F3806" s="3" t="inlineStr">
        <is>
          <t>Recruitment – July</t>
        </is>
      </c>
      <c r="G3806" s="3" t="inlineStr">
        <is>
          <t>Checking – Operating</t>
        </is>
      </c>
      <c r="H3806" s="3" t="inlineStr">
        <is>
          <t>Recruitment</t>
        </is>
      </c>
      <c r="I3806" s="33" t="n">
        <v>1029.37</v>
      </c>
      <c r="J3806" s="13">
        <f>+J3805+I3806</f>
        <v>15229.37</v>
      </c>
      <c r="K3806" s="19">
        <f>+EOMONTH(B3806,0)</f>
        <v>46234</v>
      </c>
      <c r="L3806" s="3" t="inlineStr">
        <is>
          <t>Recruitment</t>
        </is>
      </c>
      <c r="M3806" s="3" t="inlineStr">
        <is>
          <t>Recruitment Costs</t>
        </is>
      </c>
    </row>
    <row r="3807">
      <c r="B3807" s="39" t="n">
        <v>46227</v>
      </c>
      <c r="C3807" s="3" t="inlineStr">
        <is>
          <t>Expense</t>
        </is>
      </c>
      <c r="D3807" s="3" t="inlineStr">
        <is>
          <t>10875</t>
        </is>
      </c>
      <c r="E3807" s="3" t="inlineStr">
        <is>
          <t>Tessarand Payroll Services</t>
        </is>
      </c>
      <c r="F3807" s="3" t="inlineStr">
        <is>
          <t>Recruitment – July</t>
        </is>
      </c>
      <c r="G3807" s="3" t="inlineStr">
        <is>
          <t>Checking – Operating</t>
        </is>
      </c>
      <c r="H3807" s="3" t="inlineStr">
        <is>
          <t>Recruitment</t>
        </is>
      </c>
      <c r="I3807" s="33" t="n">
        <v>1370.63</v>
      </c>
      <c r="J3807" s="13">
        <f>+J3806+I3807</f>
        <v>16600</v>
      </c>
      <c r="K3807" s="19">
        <f>+EOMONTH(B3807,0)</f>
        <v>46234</v>
      </c>
      <c r="L3807" s="3" t="inlineStr">
        <is>
          <t>Recruitment</t>
        </is>
      </c>
      <c r="M3807" s="3" t="inlineStr">
        <is>
          <t>Recruitment Costs</t>
        </is>
      </c>
    </row>
    <row r="3808">
      <c r="B3808" s="39" t="n">
        <v>46237</v>
      </c>
      <c r="C3808" s="3" t="inlineStr">
        <is>
          <t>Journal Entry</t>
        </is>
      </c>
      <c r="D3808" s="3" t="inlineStr">
        <is>
          <t>JE-2707</t>
        </is>
      </c>
      <c r="E3808" s="3" t="inlineStr">
        <is>
          <t>Tessarand Payroll Services</t>
        </is>
      </c>
      <c r="F3808" s="3" t="inlineStr">
        <is>
          <t>Recruitment – August</t>
        </is>
      </c>
      <c r="G3808" s="3" t="inlineStr">
        <is>
          <t>Checking – Operating</t>
        </is>
      </c>
      <c r="H3808" s="3" t="inlineStr">
        <is>
          <t>Recruitment</t>
        </is>
      </c>
      <c r="I3808" s="33" t="n">
        <v>1601.19</v>
      </c>
      <c r="J3808" s="13">
        <f>+J3807+I3808</f>
        <v>18201.19</v>
      </c>
      <c r="K3808" s="19">
        <f>+EOMONTH(B3808,0)</f>
        <v>46265</v>
      </c>
      <c r="L3808" s="3" t="inlineStr">
        <is>
          <t>Recruitment</t>
        </is>
      </c>
      <c r="M3808" s="3" t="inlineStr">
        <is>
          <t>Recruitment Costs</t>
        </is>
      </c>
    </row>
    <row r="3809">
      <c r="B3809" s="39" t="n">
        <v>46241</v>
      </c>
      <c r="C3809" s="3" t="inlineStr">
        <is>
          <t>Expense</t>
        </is>
      </c>
      <c r="D3809" s="3" t="inlineStr">
        <is>
          <t>10876</t>
        </is>
      </c>
      <c r="E3809" s="3" t="inlineStr">
        <is>
          <t>Tessarand Payroll Services</t>
        </is>
      </c>
      <c r="F3809" s="3" t="inlineStr">
        <is>
          <t>Recruitment – August</t>
        </is>
      </c>
      <c r="G3809" s="3" t="inlineStr">
        <is>
          <t>Checking – Operating</t>
        </is>
      </c>
      <c r="H3809" s="3" t="inlineStr">
        <is>
          <t>Recruitment</t>
        </is>
      </c>
      <c r="I3809" s="33" t="n">
        <v>998.8099999999999</v>
      </c>
      <c r="J3809" s="13">
        <f>+J3808+I3809</f>
        <v>19200</v>
      </c>
      <c r="K3809" s="19">
        <f>+EOMONTH(B3809,0)</f>
        <v>46265</v>
      </c>
      <c r="L3809" s="3" t="inlineStr">
        <is>
          <t>Recruitment</t>
        </is>
      </c>
      <c r="M3809" s="3" t="inlineStr">
        <is>
          <t>Recruitment Costs</t>
        </is>
      </c>
    </row>
    <row r="3810">
      <c r="B3810" s="39" t="n">
        <v>46277</v>
      </c>
      <c r="C3810" s="3" t="inlineStr">
        <is>
          <t>Expense</t>
        </is>
      </c>
      <c r="D3810" s="3" t="inlineStr">
        <is>
          <t>10877</t>
        </is>
      </c>
      <c r="E3810" s="3" t="inlineStr">
        <is>
          <t>Tessarand Payroll Services</t>
        </is>
      </c>
      <c r="F3810" s="3" t="inlineStr">
        <is>
          <t>Recruitment – September</t>
        </is>
      </c>
      <c r="G3810" s="3" t="inlineStr">
        <is>
          <t>Checking – Operating</t>
        </is>
      </c>
      <c r="H3810" s="3" t="inlineStr">
        <is>
          <t>Recruitment</t>
        </is>
      </c>
      <c r="I3810" s="33" t="n">
        <v>2625.69</v>
      </c>
      <c r="J3810" s="13">
        <f>+J3809+I3810</f>
        <v>21825.69</v>
      </c>
      <c r="K3810" s="19">
        <f>+EOMONTH(B3810,0)</f>
        <v>46295</v>
      </c>
      <c r="L3810" s="3" t="inlineStr">
        <is>
          <t>Recruitment</t>
        </is>
      </c>
      <c r="M3810" s="3" t="inlineStr">
        <is>
          <t>Recruitment Costs</t>
        </is>
      </c>
    </row>
    <row r="3811">
      <c r="B3811" s="39" t="n">
        <v>46304</v>
      </c>
      <c r="C3811" s="3" t="inlineStr">
        <is>
          <t>Credit Card Expense</t>
        </is>
      </c>
      <c r="D3811" s="3" t="inlineStr"/>
      <c r="E3811" s="3" t="inlineStr">
        <is>
          <t>Tessarand Payroll Services</t>
        </is>
      </c>
      <c r="F3811" s="3" t="inlineStr">
        <is>
          <t>Recruitment – October</t>
        </is>
      </c>
      <c r="G3811" s="3" t="inlineStr">
        <is>
          <t>Checking – Operating</t>
        </is>
      </c>
      <c r="H3811" s="3" t="inlineStr">
        <is>
          <t>Recruitment</t>
        </is>
      </c>
      <c r="I3811" s="33" t="n">
        <v>1474.24</v>
      </c>
      <c r="J3811" s="13">
        <f>+J3810+I3811</f>
        <v>23299.93</v>
      </c>
      <c r="K3811" s="19">
        <f>+EOMONTH(B3811,0)</f>
        <v>46326</v>
      </c>
      <c r="L3811" s="3" t="inlineStr">
        <is>
          <t>Recruitment</t>
        </is>
      </c>
      <c r="M3811" s="3" t="inlineStr">
        <is>
          <t>Recruitment Costs</t>
        </is>
      </c>
    </row>
    <row r="3812">
      <c r="B3812" s="39" t="n">
        <v>46315</v>
      </c>
      <c r="C3812" s="3" t="inlineStr">
        <is>
          <t>Credit Card Expense</t>
        </is>
      </c>
      <c r="D3812" s="3" t="inlineStr"/>
      <c r="E3812" s="3" t="inlineStr">
        <is>
          <t>Tessarand Payroll Services</t>
        </is>
      </c>
      <c r="F3812" s="3" t="inlineStr">
        <is>
          <t>Recruitment – October</t>
        </is>
      </c>
      <c r="G3812" s="3" t="inlineStr">
        <is>
          <t>Checking – Operating</t>
        </is>
      </c>
      <c r="H3812" s="3" t="inlineStr">
        <is>
          <t>Recruitment</t>
        </is>
      </c>
      <c r="I3812" s="33" t="n">
        <v>932.79</v>
      </c>
      <c r="J3812" s="13">
        <f>+J3811+I3812</f>
        <v>24232.72</v>
      </c>
      <c r="K3812" s="19">
        <f>+EOMONTH(B3812,0)</f>
        <v>46326</v>
      </c>
      <c r="L3812" s="3" t="inlineStr">
        <is>
          <t>Recruitment</t>
        </is>
      </c>
      <c r="M3812" s="3" t="inlineStr">
        <is>
          <t>Recruitment Costs</t>
        </is>
      </c>
    </row>
    <row r="3813">
      <c r="B3813" s="39" t="n">
        <v>46331</v>
      </c>
      <c r="C3813" s="3" t="inlineStr">
        <is>
          <t>Expense</t>
        </is>
      </c>
      <c r="D3813" s="3" t="inlineStr">
        <is>
          <t>10878</t>
        </is>
      </c>
      <c r="E3813" s="3" t="inlineStr">
        <is>
          <t>Tessarand Payroll Services</t>
        </is>
      </c>
      <c r="F3813" s="3" t="inlineStr">
        <is>
          <t>Recruitment – November</t>
        </is>
      </c>
      <c r="G3813" s="3" t="inlineStr">
        <is>
          <t>Checking – Operating</t>
        </is>
      </c>
      <c r="H3813" s="3" t="inlineStr">
        <is>
          <t>Recruitment</t>
        </is>
      </c>
      <c r="I3813" s="33" t="n">
        <v>2431.66</v>
      </c>
      <c r="J3813" s="13">
        <f>+J3812+I3813</f>
        <v>26664.38</v>
      </c>
      <c r="K3813" s="19">
        <f>+EOMONTH(B3813,0)</f>
        <v>46356</v>
      </c>
      <c r="L3813" s="3" t="inlineStr">
        <is>
          <t>Recruitment</t>
        </is>
      </c>
      <c r="M3813" s="3" t="inlineStr">
        <is>
          <t>Recruitment Costs</t>
        </is>
      </c>
    </row>
    <row r="3814">
      <c r="A3814" s="2" t="inlineStr">
        <is>
          <t>Total for Recruitment</t>
        </is>
      </c>
      <c r="I3814" s="35">
        <f>SUM(I3794:I3813)</f>
        <v>26664.38</v>
      </c>
    </row>
    <row r="3816">
      <c r="A3816" s="2" t="inlineStr">
        <is>
          <t>Refunds</t>
        </is>
      </c>
    </row>
    <row r="3817">
      <c r="B3817" s="39" t="n">
        <v>46034</v>
      </c>
      <c r="C3817" s="3" t="inlineStr">
        <is>
          <t>Expense</t>
        </is>
      </c>
      <c r="D3817" s="3" t="inlineStr">
        <is>
          <t>10881</t>
        </is>
      </c>
      <c r="E3817" s="3" t="inlineStr"/>
      <c r="F3817" s="3" t="inlineStr">
        <is>
          <t>Patient refund</t>
        </is>
      </c>
      <c r="G3817" s="3" t="inlineStr">
        <is>
          <t>Checking – Operating</t>
        </is>
      </c>
      <c r="H3817" s="3" t="inlineStr">
        <is>
          <t>Refunds</t>
        </is>
      </c>
      <c r="I3817" s="33" t="n">
        <v>6556.11</v>
      </c>
      <c r="J3817" s="13">
        <f>+I3817</f>
        <v>6556.11</v>
      </c>
      <c r="K3817" s="19">
        <f>+EOMONTH(B3817,0)</f>
        <v>46053</v>
      </c>
      <c r="L3817" s="3" t="inlineStr">
        <is>
          <t>Refunds</t>
        </is>
      </c>
      <c r="M3817" s="3" t="inlineStr">
        <is>
          <t>Other Operating Expenses</t>
        </is>
      </c>
    </row>
    <row r="3818">
      <c r="B3818" s="39" t="n">
        <v>46038</v>
      </c>
      <c r="C3818" s="3" t="inlineStr">
        <is>
          <t>Expense</t>
        </is>
      </c>
      <c r="D3818" s="3" t="inlineStr">
        <is>
          <t>10879</t>
        </is>
      </c>
      <c r="E3818" s="3" t="inlineStr"/>
      <c r="F3818" s="3" t="inlineStr">
        <is>
          <t>Patient refund</t>
        </is>
      </c>
      <c r="G3818" s="3" t="inlineStr">
        <is>
          <t>Checking – Operating</t>
        </is>
      </c>
      <c r="H3818" s="3" t="inlineStr">
        <is>
          <t>Refunds</t>
        </is>
      </c>
      <c r="I3818" s="33" t="n">
        <v>5194.09</v>
      </c>
      <c r="J3818" s="13">
        <f>+J3817+I3818</f>
        <v>11750.2</v>
      </c>
      <c r="K3818" s="19">
        <f>+EOMONTH(B3818,0)</f>
        <v>46053</v>
      </c>
      <c r="L3818" s="3" t="inlineStr">
        <is>
          <t>Refunds</t>
        </is>
      </c>
      <c r="M3818" s="3" t="inlineStr">
        <is>
          <t>Other Operating Expenses</t>
        </is>
      </c>
    </row>
    <row r="3819">
      <c r="B3819" s="39" t="n">
        <v>46048</v>
      </c>
      <c r="C3819" s="3" t="inlineStr">
        <is>
          <t>Expense</t>
        </is>
      </c>
      <c r="D3819" s="3" t="inlineStr">
        <is>
          <t>10880</t>
        </is>
      </c>
      <c r="E3819" s="3" t="inlineStr"/>
      <c r="F3819" s="3" t="inlineStr">
        <is>
          <t>Patient refund</t>
        </is>
      </c>
      <c r="G3819" s="3" t="inlineStr">
        <is>
          <t>Checking – Operating</t>
        </is>
      </c>
      <c r="H3819" s="3" t="inlineStr">
        <is>
          <t>Refunds</t>
        </is>
      </c>
      <c r="I3819" s="33" t="n">
        <v>3749.8</v>
      </c>
      <c r="J3819" s="13">
        <f>+J3818+I3819</f>
        <v>15500</v>
      </c>
      <c r="K3819" s="19">
        <f>+EOMONTH(B3819,0)</f>
        <v>46053</v>
      </c>
      <c r="L3819" s="3" t="inlineStr">
        <is>
          <t>Refunds</t>
        </is>
      </c>
      <c r="M3819" s="3" t="inlineStr">
        <is>
          <t>Other Operating Expenses</t>
        </is>
      </c>
    </row>
    <row r="3820">
      <c r="B3820" s="39" t="n">
        <v>46056</v>
      </c>
      <c r="C3820" s="3" t="inlineStr">
        <is>
          <t>Credit Card Expense</t>
        </is>
      </c>
      <c r="D3820" s="3" t="inlineStr"/>
      <c r="E3820" s="3" t="inlineStr"/>
      <c r="F3820" s="3" t="inlineStr">
        <is>
          <t>Patient refund</t>
        </is>
      </c>
      <c r="G3820" s="3" t="inlineStr">
        <is>
          <t>Checking – Operating</t>
        </is>
      </c>
      <c r="H3820" s="3" t="inlineStr">
        <is>
          <t>Refunds</t>
        </is>
      </c>
      <c r="I3820" s="33" t="n">
        <v>7707.72</v>
      </c>
      <c r="J3820" s="13">
        <f>+J3819+I3820</f>
        <v>23207.72</v>
      </c>
      <c r="K3820" s="19">
        <f>+EOMONTH(B3820,0)</f>
        <v>46081</v>
      </c>
      <c r="L3820" s="3" t="inlineStr">
        <is>
          <t>Refunds</t>
        </is>
      </c>
      <c r="M3820" s="3" t="inlineStr">
        <is>
          <t>Other Operating Expenses</t>
        </is>
      </c>
    </row>
    <row r="3821">
      <c r="B3821" s="39" t="n">
        <v>46064</v>
      </c>
      <c r="C3821" s="3" t="inlineStr">
        <is>
          <t>Expense</t>
        </is>
      </c>
      <c r="D3821" s="3" t="inlineStr">
        <is>
          <t>10882</t>
        </is>
      </c>
      <c r="E3821" s="3" t="inlineStr"/>
      <c r="F3821" s="3" t="inlineStr">
        <is>
          <t>Patient refund</t>
        </is>
      </c>
      <c r="G3821" s="3" t="inlineStr">
        <is>
          <t>Checking – Operating</t>
        </is>
      </c>
      <c r="H3821" s="3" t="inlineStr">
        <is>
          <t>Refunds</t>
        </is>
      </c>
      <c r="I3821" s="33" t="n">
        <v>6252.28</v>
      </c>
      <c r="J3821" s="13">
        <f>+J3820+I3821</f>
        <v>29460</v>
      </c>
      <c r="K3821" s="19">
        <f>+EOMONTH(B3821,0)</f>
        <v>46081</v>
      </c>
      <c r="L3821" s="3" t="inlineStr">
        <is>
          <t>Refunds</t>
        </is>
      </c>
      <c r="M3821" s="3" t="inlineStr">
        <is>
          <t>Other Operating Expenses</t>
        </is>
      </c>
    </row>
    <row r="3822">
      <c r="B3822" s="39" t="n">
        <v>46084</v>
      </c>
      <c r="C3822" s="3" t="inlineStr">
        <is>
          <t>Credit Card Expense</t>
        </is>
      </c>
      <c r="D3822" s="3" t="inlineStr"/>
      <c r="E3822" s="3" t="inlineStr"/>
      <c r="F3822" s="3" t="inlineStr">
        <is>
          <t>Patient refund</t>
        </is>
      </c>
      <c r="G3822" s="3" t="inlineStr">
        <is>
          <t>Checking – Operating</t>
        </is>
      </c>
      <c r="H3822" s="3" t="inlineStr">
        <is>
          <t>Refunds</t>
        </is>
      </c>
      <c r="I3822" s="33" t="n">
        <v>2984.2</v>
      </c>
      <c r="J3822" s="13">
        <f>+J3821+I3822</f>
        <v>32444.2</v>
      </c>
      <c r="K3822" s="19">
        <f>+EOMONTH(B3822,0)</f>
        <v>46112</v>
      </c>
      <c r="L3822" s="3" t="inlineStr">
        <is>
          <t>Refunds</t>
        </is>
      </c>
      <c r="M3822" s="3" t="inlineStr">
        <is>
          <t>Other Operating Expenses</t>
        </is>
      </c>
    </row>
    <row r="3823">
      <c r="B3823" s="39" t="n">
        <v>46091</v>
      </c>
      <c r="C3823" s="3" t="inlineStr">
        <is>
          <t>Credit Card Expense</t>
        </is>
      </c>
      <c r="D3823" s="3" t="inlineStr"/>
      <c r="E3823" s="3" t="inlineStr"/>
      <c r="F3823" s="3" t="inlineStr">
        <is>
          <t>Patient refund</t>
        </is>
      </c>
      <c r="G3823" s="3" t="inlineStr">
        <is>
          <t>Checking – Operating</t>
        </is>
      </c>
      <c r="H3823" s="3" t="inlineStr">
        <is>
          <t>Refunds</t>
        </is>
      </c>
      <c r="I3823" s="33" t="n">
        <v>4030.28</v>
      </c>
      <c r="J3823" s="13">
        <f>+J3822+I3823</f>
        <v>36474.48</v>
      </c>
      <c r="K3823" s="19">
        <f>+EOMONTH(B3823,0)</f>
        <v>46112</v>
      </c>
      <c r="L3823" s="3" t="inlineStr">
        <is>
          <t>Refunds</t>
        </is>
      </c>
      <c r="M3823" s="3" t="inlineStr">
        <is>
          <t>Other Operating Expenses</t>
        </is>
      </c>
    </row>
    <row r="3824">
      <c r="B3824" s="39" t="n">
        <v>46097</v>
      </c>
      <c r="C3824" s="3" t="inlineStr">
        <is>
          <t>Credit Card Expense</t>
        </is>
      </c>
      <c r="D3824" s="3" t="inlineStr"/>
      <c r="E3824" s="3" t="inlineStr"/>
      <c r="F3824" s="3" t="inlineStr">
        <is>
          <t>Patient refund</t>
        </is>
      </c>
      <c r="G3824" s="3" t="inlineStr">
        <is>
          <t>Checking – Operating</t>
        </is>
      </c>
      <c r="H3824" s="3" t="inlineStr">
        <is>
          <t>Refunds</t>
        </is>
      </c>
      <c r="I3824" s="33" t="n">
        <v>2574.29</v>
      </c>
      <c r="J3824" s="13">
        <f>+J3823+I3824</f>
        <v>39048.77</v>
      </c>
      <c r="K3824" s="19">
        <f>+EOMONTH(B3824,0)</f>
        <v>46112</v>
      </c>
      <c r="L3824" s="3" t="inlineStr">
        <is>
          <t>Refunds</t>
        </is>
      </c>
      <c r="M3824" s="3" t="inlineStr">
        <is>
          <t>Other Operating Expenses</t>
        </is>
      </c>
    </row>
    <row r="3825">
      <c r="B3825" s="39" t="n">
        <v>46097</v>
      </c>
      <c r="C3825" s="3" t="inlineStr">
        <is>
          <t>Journal Entry</t>
        </is>
      </c>
      <c r="D3825" s="3" t="inlineStr">
        <is>
          <t>JE-2708</t>
        </is>
      </c>
      <c r="E3825" s="3" t="inlineStr"/>
      <c r="F3825" s="3" t="inlineStr">
        <is>
          <t>Patient refund</t>
        </is>
      </c>
      <c r="G3825" s="3" t="inlineStr">
        <is>
          <t>Checking – Operating</t>
        </is>
      </c>
      <c r="H3825" s="3" t="inlineStr">
        <is>
          <t>Refunds</t>
        </is>
      </c>
      <c r="I3825" s="33" t="n">
        <v>3995.32</v>
      </c>
      <c r="J3825" s="13">
        <f>+J3824+I3825</f>
        <v>43044.09</v>
      </c>
      <c r="K3825" s="19">
        <f>+EOMONTH(B3825,0)</f>
        <v>46112</v>
      </c>
      <c r="L3825" s="3" t="inlineStr">
        <is>
          <t>Refunds</t>
        </is>
      </c>
      <c r="M3825" s="3" t="inlineStr">
        <is>
          <t>Other Operating Expenses</t>
        </is>
      </c>
    </row>
    <row r="3826">
      <c r="B3826" s="39" t="n">
        <v>46111</v>
      </c>
      <c r="C3826" s="3" t="inlineStr">
        <is>
          <t>Credit Card Expense</t>
        </is>
      </c>
      <c r="D3826" s="3" t="inlineStr"/>
      <c r="E3826" s="3" t="inlineStr"/>
      <c r="F3826" s="3" t="inlineStr">
        <is>
          <t>Patient refund</t>
        </is>
      </c>
      <c r="G3826" s="3" t="inlineStr">
        <is>
          <t>Checking – Operating</t>
        </is>
      </c>
      <c r="H3826" s="3" t="inlineStr">
        <is>
          <t>Refunds</t>
        </is>
      </c>
      <c r="I3826" s="33" t="n">
        <v>3155.91</v>
      </c>
      <c r="J3826" s="13">
        <f>+J3825+I3826</f>
        <v>46200</v>
      </c>
      <c r="K3826" s="19">
        <f>+EOMONTH(B3826,0)</f>
        <v>46112</v>
      </c>
      <c r="L3826" s="3" t="inlineStr">
        <is>
          <t>Refunds</t>
        </is>
      </c>
      <c r="M3826" s="3" t="inlineStr">
        <is>
          <t>Other Operating Expenses</t>
        </is>
      </c>
    </row>
    <row r="3827">
      <c r="B3827" s="39" t="n">
        <v>46117</v>
      </c>
      <c r="C3827" s="3" t="inlineStr">
        <is>
          <t>Journal Entry</t>
        </is>
      </c>
      <c r="D3827" s="3" t="inlineStr">
        <is>
          <t>JE-2709</t>
        </is>
      </c>
      <c r="E3827" s="3" t="inlineStr"/>
      <c r="F3827" s="3" t="inlineStr">
        <is>
          <t>Patient refund</t>
        </is>
      </c>
      <c r="G3827" s="3" t="inlineStr">
        <is>
          <t>Checking – Operating</t>
        </is>
      </c>
      <c r="H3827" s="3" t="inlineStr">
        <is>
          <t>Refunds</t>
        </is>
      </c>
      <c r="I3827" s="33" t="n">
        <v>3975.31</v>
      </c>
      <c r="J3827" s="13">
        <f>+J3826+I3827</f>
        <v>50175.31</v>
      </c>
      <c r="K3827" s="19">
        <f>+EOMONTH(B3827,0)</f>
        <v>46142</v>
      </c>
      <c r="L3827" s="3" t="inlineStr">
        <is>
          <t>Refunds</t>
        </is>
      </c>
      <c r="M3827" s="3" t="inlineStr">
        <is>
          <t>Other Operating Expenses</t>
        </is>
      </c>
    </row>
    <row r="3828">
      <c r="B3828" s="39" t="n">
        <v>46125</v>
      </c>
      <c r="C3828" s="3" t="inlineStr">
        <is>
          <t>Credit Card Expense</t>
        </is>
      </c>
      <c r="D3828" s="3" t="inlineStr"/>
      <c r="E3828" s="3" t="inlineStr"/>
      <c r="F3828" s="3" t="inlineStr">
        <is>
          <t>Patient refund</t>
        </is>
      </c>
      <c r="G3828" s="3" t="inlineStr">
        <is>
          <t>Checking – Operating</t>
        </is>
      </c>
      <c r="H3828" s="3" t="inlineStr">
        <is>
          <t>Refunds</t>
        </is>
      </c>
      <c r="I3828" s="33" t="n">
        <v>2496.37</v>
      </c>
      <c r="J3828" s="13">
        <f>+J3827+I3828</f>
        <v>52671.68</v>
      </c>
      <c r="K3828" s="19">
        <f>+EOMONTH(B3828,0)</f>
        <v>46142</v>
      </c>
      <c r="L3828" s="3" t="inlineStr">
        <is>
          <t>Refunds</t>
        </is>
      </c>
      <c r="M3828" s="3" t="inlineStr">
        <is>
          <t>Other Operating Expenses</t>
        </is>
      </c>
    </row>
    <row r="3829">
      <c r="B3829" s="39" t="n">
        <v>46125</v>
      </c>
      <c r="C3829" s="3" t="inlineStr">
        <is>
          <t>Expense</t>
        </is>
      </c>
      <c r="D3829" s="3" t="inlineStr">
        <is>
          <t>10883</t>
        </is>
      </c>
      <c r="E3829" s="3" t="inlineStr"/>
      <c r="F3829" s="3" t="inlineStr">
        <is>
          <t>Patient refund</t>
        </is>
      </c>
      <c r="G3829" s="3" t="inlineStr">
        <is>
          <t>Checking – Operating</t>
        </is>
      </c>
      <c r="H3829" s="3" t="inlineStr">
        <is>
          <t>Refunds</t>
        </is>
      </c>
      <c r="I3829" s="33" t="n">
        <v>3891.72</v>
      </c>
      <c r="J3829" s="13">
        <f>+J3828+I3829</f>
        <v>56563.4</v>
      </c>
      <c r="K3829" s="19">
        <f>+EOMONTH(B3829,0)</f>
        <v>46142</v>
      </c>
      <c r="L3829" s="3" t="inlineStr">
        <is>
          <t>Refunds</t>
        </is>
      </c>
      <c r="M3829" s="3" t="inlineStr">
        <is>
          <t>Other Operating Expenses</t>
        </is>
      </c>
    </row>
    <row r="3830">
      <c r="B3830" s="39" t="n">
        <v>46127</v>
      </c>
      <c r="C3830" s="3" t="inlineStr">
        <is>
          <t>Expense</t>
        </is>
      </c>
      <c r="D3830" s="3" t="inlineStr">
        <is>
          <t>10885</t>
        </is>
      </c>
      <c r="E3830" s="3" t="inlineStr"/>
      <c r="F3830" s="3" t="inlineStr">
        <is>
          <t>Patient refund</t>
        </is>
      </c>
      <c r="G3830" s="3" t="inlineStr">
        <is>
          <t>Checking – Operating</t>
        </is>
      </c>
      <c r="H3830" s="3" t="inlineStr">
        <is>
          <t>Refunds</t>
        </is>
      </c>
      <c r="I3830" s="33" t="n">
        <v>2312.34</v>
      </c>
      <c r="J3830" s="13">
        <f>+J3829+I3830</f>
        <v>58875.74</v>
      </c>
      <c r="K3830" s="19">
        <f>+EOMONTH(B3830,0)</f>
        <v>46142</v>
      </c>
      <c r="L3830" s="3" t="inlineStr">
        <is>
          <t>Refunds</t>
        </is>
      </c>
      <c r="M3830" s="3" t="inlineStr">
        <is>
          <t>Other Operating Expenses</t>
        </is>
      </c>
    </row>
    <row r="3831">
      <c r="B3831" s="39" t="n">
        <v>46129</v>
      </c>
      <c r="C3831" s="3" t="inlineStr">
        <is>
          <t>Expense</t>
        </is>
      </c>
      <c r="D3831" s="3" t="inlineStr">
        <is>
          <t>10884</t>
        </is>
      </c>
      <c r="E3831" s="3" t="inlineStr"/>
      <c r="F3831" s="3" t="inlineStr">
        <is>
          <t>Patient refund</t>
        </is>
      </c>
      <c r="G3831" s="3" t="inlineStr">
        <is>
          <t>Checking – Operating</t>
        </is>
      </c>
      <c r="H3831" s="3" t="inlineStr">
        <is>
          <t>Refunds</t>
        </is>
      </c>
      <c r="I3831" s="33" t="n">
        <v>3804.26</v>
      </c>
      <c r="J3831" s="13">
        <f>+J3830+I3831</f>
        <v>62680</v>
      </c>
      <c r="K3831" s="19">
        <f>+EOMONTH(B3831,0)</f>
        <v>46142</v>
      </c>
      <c r="L3831" s="3" t="inlineStr">
        <is>
          <t>Refunds</t>
        </is>
      </c>
      <c r="M3831" s="3" t="inlineStr">
        <is>
          <t>Other Operating Expenses</t>
        </is>
      </c>
    </row>
    <row r="3832">
      <c r="B3832" s="39" t="n">
        <v>46144</v>
      </c>
      <c r="C3832" s="3" t="inlineStr">
        <is>
          <t>Credit Card Expense</t>
        </is>
      </c>
      <c r="D3832" s="3" t="inlineStr"/>
      <c r="E3832" s="3" t="inlineStr"/>
      <c r="F3832" s="3" t="inlineStr">
        <is>
          <t>Patient refund</t>
        </is>
      </c>
      <c r="G3832" s="3" t="inlineStr">
        <is>
          <t>Checking – Operating</t>
        </is>
      </c>
      <c r="H3832" s="3" t="inlineStr">
        <is>
          <t>Refunds</t>
        </is>
      </c>
      <c r="I3832" s="33" t="n">
        <v>5398.26</v>
      </c>
      <c r="J3832" s="13">
        <f>+J3831+I3832</f>
        <v>68078.26</v>
      </c>
      <c r="K3832" s="19">
        <f>+EOMONTH(B3832,0)</f>
        <v>46173</v>
      </c>
      <c r="L3832" s="3" t="inlineStr">
        <is>
          <t>Refunds</t>
        </is>
      </c>
      <c r="M3832" s="3" t="inlineStr">
        <is>
          <t>Other Operating Expenses</t>
        </is>
      </c>
    </row>
    <row r="3833">
      <c r="B3833" s="39" t="n">
        <v>46152</v>
      </c>
      <c r="C3833" s="3" t="inlineStr">
        <is>
          <t>Expense</t>
        </is>
      </c>
      <c r="D3833" s="3" t="inlineStr">
        <is>
          <t>10886</t>
        </is>
      </c>
      <c r="E3833" s="3" t="inlineStr"/>
      <c r="F3833" s="3" t="inlineStr">
        <is>
          <t>Patient refund</t>
        </is>
      </c>
      <c r="G3833" s="3" t="inlineStr">
        <is>
          <t>Checking – Operating</t>
        </is>
      </c>
      <c r="H3833" s="3" t="inlineStr">
        <is>
          <t>Refunds</t>
        </is>
      </c>
      <c r="I3833" s="33" t="n">
        <v>5193.22</v>
      </c>
      <c r="J3833" s="13">
        <f>+J3832+I3833</f>
        <v>73271.48</v>
      </c>
      <c r="K3833" s="19">
        <f>+EOMONTH(B3833,0)</f>
        <v>46173</v>
      </c>
      <c r="L3833" s="3" t="inlineStr">
        <is>
          <t>Refunds</t>
        </is>
      </c>
      <c r="M3833" s="3" t="inlineStr">
        <is>
          <t>Other Operating Expenses</t>
        </is>
      </c>
    </row>
    <row r="3834">
      <c r="B3834" s="39" t="n">
        <v>46168</v>
      </c>
      <c r="C3834" s="3" t="inlineStr">
        <is>
          <t>Credit Card Expense</t>
        </is>
      </c>
      <c r="D3834" s="3" t="inlineStr"/>
      <c r="E3834" s="3" t="inlineStr"/>
      <c r="F3834" s="3" t="inlineStr">
        <is>
          <t>Patient refund</t>
        </is>
      </c>
      <c r="G3834" s="3" t="inlineStr">
        <is>
          <t>Checking – Operating</t>
        </is>
      </c>
      <c r="H3834" s="3" t="inlineStr">
        <is>
          <t>Refunds</t>
        </is>
      </c>
      <c r="I3834" s="33" t="n">
        <v>5208.52</v>
      </c>
      <c r="J3834" s="13">
        <f>+J3833+I3834</f>
        <v>78480</v>
      </c>
      <c r="K3834" s="19">
        <f>+EOMONTH(B3834,0)</f>
        <v>46173</v>
      </c>
      <c r="L3834" s="3" t="inlineStr">
        <is>
          <t>Refunds</t>
        </is>
      </c>
      <c r="M3834" s="3" t="inlineStr">
        <is>
          <t>Other Operating Expenses</t>
        </is>
      </c>
    </row>
    <row r="3835">
      <c r="B3835" s="39" t="n">
        <v>46195</v>
      </c>
      <c r="C3835" s="3" t="inlineStr">
        <is>
          <t>Credit Card Expense</t>
        </is>
      </c>
      <c r="D3835" s="3" t="inlineStr"/>
      <c r="E3835" s="3" t="inlineStr"/>
      <c r="F3835" s="3" t="inlineStr">
        <is>
          <t>Patient refund</t>
        </is>
      </c>
      <c r="G3835" s="3" t="inlineStr">
        <is>
          <t>Checking – Operating</t>
        </is>
      </c>
      <c r="H3835" s="3" t="inlineStr">
        <is>
          <t>Refunds</t>
        </is>
      </c>
      <c r="I3835" s="33" t="n">
        <v>4272.27</v>
      </c>
      <c r="J3835" s="13">
        <f>+J3834+I3835</f>
        <v>82752.27</v>
      </c>
      <c r="K3835" s="19">
        <f>+EOMONTH(B3835,0)</f>
        <v>46203</v>
      </c>
      <c r="L3835" s="3" t="inlineStr">
        <is>
          <t>Refunds</t>
        </is>
      </c>
      <c r="M3835" s="3" t="inlineStr">
        <is>
          <t>Other Operating Expenses</t>
        </is>
      </c>
    </row>
    <row r="3836">
      <c r="B3836" s="39" t="n">
        <v>46196</v>
      </c>
      <c r="C3836" s="3" t="inlineStr">
        <is>
          <t>Credit Card Expense</t>
        </is>
      </c>
      <c r="D3836" s="3" t="inlineStr"/>
      <c r="E3836" s="3" t="inlineStr"/>
      <c r="F3836" s="3" t="inlineStr">
        <is>
          <t>Patient refund</t>
        </is>
      </c>
      <c r="G3836" s="3" t="inlineStr">
        <is>
          <t>Checking – Operating</t>
        </is>
      </c>
      <c r="H3836" s="3" t="inlineStr">
        <is>
          <t>Refunds</t>
        </is>
      </c>
      <c r="I3836" s="33" t="n">
        <v>2490.76</v>
      </c>
      <c r="J3836" s="13">
        <f>+J3835+I3836</f>
        <v>85243.03</v>
      </c>
      <c r="K3836" s="19">
        <f>+EOMONTH(B3836,0)</f>
        <v>46203</v>
      </c>
      <c r="L3836" s="3" t="inlineStr">
        <is>
          <t>Refunds</t>
        </is>
      </c>
      <c r="M3836" s="3" t="inlineStr">
        <is>
          <t>Other Operating Expenses</t>
        </is>
      </c>
    </row>
    <row r="3837">
      <c r="B3837" s="39" t="n">
        <v>46198</v>
      </c>
      <c r="C3837" s="3" t="inlineStr">
        <is>
          <t>Expense</t>
        </is>
      </c>
      <c r="D3837" s="3" t="inlineStr">
        <is>
          <t>10888</t>
        </is>
      </c>
      <c r="E3837" s="3" t="inlineStr"/>
      <c r="F3837" s="3" t="inlineStr">
        <is>
          <t>Patient refund</t>
        </is>
      </c>
      <c r="G3837" s="3" t="inlineStr">
        <is>
          <t>Checking – Operating</t>
        </is>
      </c>
      <c r="H3837" s="3" t="inlineStr">
        <is>
          <t>Refunds</t>
        </is>
      </c>
      <c r="I3837" s="33" t="n">
        <v>4945.36</v>
      </c>
      <c r="J3837" s="13">
        <f>+J3836+I3837</f>
        <v>90188.39</v>
      </c>
      <c r="K3837" s="19">
        <f>+EOMONTH(B3837,0)</f>
        <v>46203</v>
      </c>
      <c r="L3837" s="3" t="inlineStr">
        <is>
          <t>Refunds</t>
        </is>
      </c>
      <c r="M3837" s="3" t="inlineStr">
        <is>
          <t>Other Operating Expenses</t>
        </is>
      </c>
    </row>
    <row r="3838">
      <c r="B3838" s="39" t="n">
        <v>46202</v>
      </c>
      <c r="C3838" s="3" t="inlineStr">
        <is>
          <t>Expense</t>
        </is>
      </c>
      <c r="D3838" s="3" t="inlineStr">
        <is>
          <t>10887</t>
        </is>
      </c>
      <c r="E3838" s="3" t="inlineStr"/>
      <c r="F3838" s="3" t="inlineStr">
        <is>
          <t>Patient refund</t>
        </is>
      </c>
      <c r="G3838" s="3" t="inlineStr">
        <is>
          <t>Checking – Operating</t>
        </is>
      </c>
      <c r="H3838" s="3" t="inlineStr">
        <is>
          <t>Refunds</t>
        </is>
      </c>
      <c r="I3838" s="33" t="n">
        <v>3711.61</v>
      </c>
      <c r="J3838" s="13">
        <f>+J3837+I3838</f>
        <v>93900</v>
      </c>
      <c r="K3838" s="19">
        <f>+EOMONTH(B3838,0)</f>
        <v>46203</v>
      </c>
      <c r="L3838" s="3" t="inlineStr">
        <is>
          <t>Refunds</t>
        </is>
      </c>
      <c r="M3838" s="3" t="inlineStr">
        <is>
          <t>Other Operating Expenses</t>
        </is>
      </c>
    </row>
    <row r="3839">
      <c r="B3839" s="39" t="n">
        <v>46207</v>
      </c>
      <c r="C3839" s="3" t="inlineStr">
        <is>
          <t>Expense</t>
        </is>
      </c>
      <c r="D3839" s="3" t="inlineStr">
        <is>
          <t>10889</t>
        </is>
      </c>
      <c r="E3839" s="3" t="inlineStr"/>
      <c r="F3839" s="3" t="inlineStr">
        <is>
          <t>Patient refund</t>
        </is>
      </c>
      <c r="G3839" s="3" t="inlineStr">
        <is>
          <t>Checking – Operating</t>
        </is>
      </c>
      <c r="H3839" s="3" t="inlineStr">
        <is>
          <t>Refunds</t>
        </is>
      </c>
      <c r="I3839" s="33" t="n">
        <v>6556.93</v>
      </c>
      <c r="J3839" s="13">
        <f>+J3838+I3839</f>
        <v>100456.93</v>
      </c>
      <c r="K3839" s="19">
        <f>+EOMONTH(B3839,0)</f>
        <v>46234</v>
      </c>
      <c r="L3839" s="3" t="inlineStr">
        <is>
          <t>Refunds</t>
        </is>
      </c>
      <c r="M3839" s="3" t="inlineStr">
        <is>
          <t>Other Operating Expenses</t>
        </is>
      </c>
    </row>
    <row r="3840">
      <c r="B3840" s="39" t="n">
        <v>46214</v>
      </c>
      <c r="C3840" s="3" t="inlineStr">
        <is>
          <t>Credit Card Expense</t>
        </is>
      </c>
      <c r="D3840" s="3" t="inlineStr"/>
      <c r="E3840" s="3" t="inlineStr"/>
      <c r="F3840" s="3" t="inlineStr">
        <is>
          <t>Patient refund</t>
        </is>
      </c>
      <c r="G3840" s="3" t="inlineStr">
        <is>
          <t>Checking – Operating</t>
        </is>
      </c>
      <c r="H3840" s="3" t="inlineStr">
        <is>
          <t>Refunds</t>
        </is>
      </c>
      <c r="I3840" s="33" t="n">
        <v>4049.19</v>
      </c>
      <c r="J3840" s="13">
        <f>+J3839+I3840</f>
        <v>104506.12</v>
      </c>
      <c r="K3840" s="19">
        <f>+EOMONTH(B3840,0)</f>
        <v>46234</v>
      </c>
      <c r="L3840" s="3" t="inlineStr">
        <is>
          <t>Refunds</t>
        </is>
      </c>
      <c r="M3840" s="3" t="inlineStr">
        <is>
          <t>Other Operating Expenses</t>
        </is>
      </c>
    </row>
    <row r="3841">
      <c r="B3841" s="39" t="n">
        <v>46223</v>
      </c>
      <c r="C3841" s="3" t="inlineStr">
        <is>
          <t>Journal Entry</t>
        </is>
      </c>
      <c r="D3841" s="3" t="inlineStr">
        <is>
          <t>JE-2710</t>
        </is>
      </c>
      <c r="E3841" s="3" t="inlineStr"/>
      <c r="F3841" s="3" t="inlineStr">
        <is>
          <t>Patient refund</t>
        </is>
      </c>
      <c r="G3841" s="3" t="inlineStr">
        <is>
          <t>Checking – Operating</t>
        </is>
      </c>
      <c r="H3841" s="3" t="inlineStr">
        <is>
          <t>Refunds</t>
        </is>
      </c>
      <c r="I3841" s="33" t="n">
        <v>6293.88</v>
      </c>
      <c r="J3841" s="13">
        <f>+J3840+I3841</f>
        <v>110800</v>
      </c>
      <c r="K3841" s="19">
        <f>+EOMONTH(B3841,0)</f>
        <v>46234</v>
      </c>
      <c r="L3841" s="3" t="inlineStr">
        <is>
          <t>Refunds</t>
        </is>
      </c>
      <c r="M3841" s="3" t="inlineStr">
        <is>
          <t>Other Operating Expenses</t>
        </is>
      </c>
    </row>
    <row r="3842">
      <c r="B3842" s="39" t="n">
        <v>46236</v>
      </c>
      <c r="C3842" s="3" t="inlineStr">
        <is>
          <t>Journal Entry</t>
        </is>
      </c>
      <c r="D3842" s="3" t="inlineStr">
        <is>
          <t>JE-2711</t>
        </is>
      </c>
      <c r="E3842" s="3" t="inlineStr"/>
      <c r="F3842" s="3" t="inlineStr">
        <is>
          <t>Patient refund</t>
        </is>
      </c>
      <c r="G3842" s="3" t="inlineStr">
        <is>
          <t>Checking – Operating</t>
        </is>
      </c>
      <c r="H3842" s="3" t="inlineStr">
        <is>
          <t>Refunds</t>
        </is>
      </c>
      <c r="I3842" s="33" t="n">
        <v>5063.33</v>
      </c>
      <c r="J3842" s="13">
        <f>+J3841+I3842</f>
        <v>115863.33</v>
      </c>
      <c r="K3842" s="19">
        <f>+EOMONTH(B3842,0)</f>
        <v>46265</v>
      </c>
      <c r="L3842" s="3" t="inlineStr">
        <is>
          <t>Refunds</t>
        </is>
      </c>
      <c r="M3842" s="3" t="inlineStr">
        <is>
          <t>Other Operating Expenses</t>
        </is>
      </c>
    </row>
    <row r="3843">
      <c r="B3843" s="39" t="n">
        <v>46240</v>
      </c>
      <c r="C3843" s="3" t="inlineStr">
        <is>
          <t>Credit Card Expense</t>
        </is>
      </c>
      <c r="D3843" s="3" t="inlineStr"/>
      <c r="E3843" s="3" t="inlineStr"/>
      <c r="F3843" s="3" t="inlineStr">
        <is>
          <t>Patient refund</t>
        </is>
      </c>
      <c r="G3843" s="3" t="inlineStr">
        <is>
          <t>Checking – Operating</t>
        </is>
      </c>
      <c r="H3843" s="3" t="inlineStr">
        <is>
          <t>Refunds</t>
        </is>
      </c>
      <c r="I3843" s="33" t="n">
        <v>2756.53</v>
      </c>
      <c r="J3843" s="13">
        <f>+J3842+I3843</f>
        <v>118619.86</v>
      </c>
      <c r="K3843" s="19">
        <f>+EOMONTH(B3843,0)</f>
        <v>46265</v>
      </c>
      <c r="L3843" s="3" t="inlineStr">
        <is>
          <t>Refunds</t>
        </is>
      </c>
      <c r="M3843" s="3" t="inlineStr">
        <is>
          <t>Other Operating Expenses</t>
        </is>
      </c>
    </row>
    <row r="3844">
      <c r="B3844" s="39" t="n">
        <v>46250</v>
      </c>
      <c r="C3844" s="3" t="inlineStr">
        <is>
          <t>Expense</t>
        </is>
      </c>
      <c r="D3844" s="3" t="inlineStr">
        <is>
          <t>10890</t>
        </is>
      </c>
      <c r="E3844" s="3" t="inlineStr"/>
      <c r="F3844" s="3" t="inlineStr">
        <is>
          <t>Patient refund</t>
        </is>
      </c>
      <c r="G3844" s="3" t="inlineStr">
        <is>
          <t>Checking – Operating</t>
        </is>
      </c>
      <c r="H3844" s="3" t="inlineStr">
        <is>
          <t>Refunds</t>
        </is>
      </c>
      <c r="I3844" s="33" t="n">
        <v>4432.94</v>
      </c>
      <c r="J3844" s="13">
        <f>+J3843+I3844</f>
        <v>123052.8</v>
      </c>
      <c r="K3844" s="19">
        <f>+EOMONTH(B3844,0)</f>
        <v>46265</v>
      </c>
      <c r="L3844" s="3" t="inlineStr">
        <is>
          <t>Refunds</t>
        </is>
      </c>
      <c r="M3844" s="3" t="inlineStr">
        <is>
          <t>Other Operating Expenses</t>
        </is>
      </c>
    </row>
    <row r="3845">
      <c r="B3845" s="39" t="n">
        <v>46251</v>
      </c>
      <c r="C3845" s="3" t="inlineStr">
        <is>
          <t>Journal Entry</t>
        </is>
      </c>
      <c r="D3845" s="3" t="inlineStr">
        <is>
          <t>JE-2712</t>
        </is>
      </c>
      <c r="E3845" s="3" t="inlineStr"/>
      <c r="F3845" s="3" t="inlineStr">
        <is>
          <t>Patient refund</t>
        </is>
      </c>
      <c r="G3845" s="3" t="inlineStr">
        <is>
          <t>Checking – Operating</t>
        </is>
      </c>
      <c r="H3845" s="3" t="inlineStr">
        <is>
          <t>Refunds</t>
        </is>
      </c>
      <c r="I3845" s="33" t="n">
        <v>3567.2</v>
      </c>
      <c r="J3845" s="13">
        <f>+J3844+I3845</f>
        <v>126620</v>
      </c>
      <c r="K3845" s="19">
        <f>+EOMONTH(B3845,0)</f>
        <v>46265</v>
      </c>
      <c r="L3845" s="3" t="inlineStr">
        <is>
          <t>Refunds</t>
        </is>
      </c>
      <c r="M3845" s="3" t="inlineStr">
        <is>
          <t>Other Operating Expenses</t>
        </is>
      </c>
    </row>
    <row r="3846">
      <c r="B3846" s="39" t="n">
        <v>46284</v>
      </c>
      <c r="C3846" s="3" t="inlineStr">
        <is>
          <t>Expense</t>
        </is>
      </c>
      <c r="D3846" s="3" t="inlineStr">
        <is>
          <t>10892</t>
        </is>
      </c>
      <c r="E3846" s="3" t="inlineStr"/>
      <c r="F3846" s="3" t="inlineStr">
        <is>
          <t>Patient refund</t>
        </is>
      </c>
      <c r="G3846" s="3" t="inlineStr">
        <is>
          <t>Checking – Operating</t>
        </is>
      </c>
      <c r="H3846" s="3" t="inlineStr">
        <is>
          <t>Refunds</t>
        </is>
      </c>
      <c r="I3846" s="33" t="n">
        <v>3420.26</v>
      </c>
      <c r="J3846" s="13">
        <f>+J3845+I3846</f>
        <v>130040.26</v>
      </c>
      <c r="K3846" s="19">
        <f>+EOMONTH(B3846,0)</f>
        <v>46295</v>
      </c>
      <c r="L3846" s="3" t="inlineStr">
        <is>
          <t>Refunds</t>
        </is>
      </c>
      <c r="M3846" s="3" t="inlineStr">
        <is>
          <t>Other Operating Expenses</t>
        </is>
      </c>
    </row>
    <row r="3847">
      <c r="B3847" s="39" t="n">
        <v>46284</v>
      </c>
      <c r="C3847" s="3" t="inlineStr">
        <is>
          <t>Expense</t>
        </is>
      </c>
      <c r="D3847" s="3" t="inlineStr">
        <is>
          <t>10893</t>
        </is>
      </c>
      <c r="E3847" s="3" t="inlineStr"/>
      <c r="F3847" s="3" t="inlineStr">
        <is>
          <t>Patient refund</t>
        </is>
      </c>
      <c r="G3847" s="3" t="inlineStr">
        <is>
          <t>Checking – Operating</t>
        </is>
      </c>
      <c r="H3847" s="3" t="inlineStr">
        <is>
          <t>Refunds</t>
        </is>
      </c>
      <c r="I3847" s="33" t="n">
        <v>4057.47</v>
      </c>
      <c r="J3847" s="13">
        <f>+J3846+I3847</f>
        <v>134097.73</v>
      </c>
      <c r="K3847" s="19">
        <f>+EOMONTH(B3847,0)</f>
        <v>46295</v>
      </c>
      <c r="L3847" s="3" t="inlineStr">
        <is>
          <t>Refunds</t>
        </is>
      </c>
      <c r="M3847" s="3" t="inlineStr">
        <is>
          <t>Other Operating Expenses</t>
        </is>
      </c>
    </row>
    <row r="3848">
      <c r="B3848" s="39" t="n">
        <v>46287</v>
      </c>
      <c r="C3848" s="3" t="inlineStr">
        <is>
          <t>Credit Card Expense</t>
        </is>
      </c>
      <c r="D3848" s="3" t="inlineStr"/>
      <c r="E3848" s="3" t="inlineStr"/>
      <c r="F3848" s="3" t="inlineStr">
        <is>
          <t>Patient refund</t>
        </is>
      </c>
      <c r="G3848" s="3" t="inlineStr">
        <is>
          <t>Checking – Operating</t>
        </is>
      </c>
      <c r="H3848" s="3" t="inlineStr">
        <is>
          <t>Refunds</t>
        </is>
      </c>
      <c r="I3848" s="33" t="n">
        <v>3890.51</v>
      </c>
      <c r="J3848" s="13">
        <f>+J3847+I3848</f>
        <v>137988.24</v>
      </c>
      <c r="K3848" s="19">
        <f>+EOMONTH(B3848,0)</f>
        <v>46295</v>
      </c>
      <c r="L3848" s="3" t="inlineStr">
        <is>
          <t>Refunds</t>
        </is>
      </c>
      <c r="M3848" s="3" t="inlineStr">
        <is>
          <t>Other Operating Expenses</t>
        </is>
      </c>
    </row>
    <row r="3849">
      <c r="B3849" s="39" t="n">
        <v>46287</v>
      </c>
      <c r="C3849" s="3" t="inlineStr">
        <is>
          <t>Journal Entry</t>
        </is>
      </c>
      <c r="D3849" s="3" t="inlineStr">
        <is>
          <t>JE-2713</t>
        </is>
      </c>
      <c r="E3849" s="3" t="inlineStr"/>
      <c r="F3849" s="3" t="inlineStr">
        <is>
          <t>Patient refund</t>
        </is>
      </c>
      <c r="G3849" s="3" t="inlineStr">
        <is>
          <t>Checking – Operating</t>
        </is>
      </c>
      <c r="H3849" s="3" t="inlineStr">
        <is>
          <t>Refunds</t>
        </is>
      </c>
      <c r="I3849" s="33" t="n">
        <v>2295.03</v>
      </c>
      <c r="J3849" s="13">
        <f>+J3848+I3849</f>
        <v>140283.27</v>
      </c>
      <c r="K3849" s="19">
        <f>+EOMONTH(B3849,0)</f>
        <v>46295</v>
      </c>
      <c r="L3849" s="3" t="inlineStr">
        <is>
          <t>Refunds</t>
        </is>
      </c>
      <c r="M3849" s="3" t="inlineStr">
        <is>
          <t>Other Operating Expenses</t>
        </is>
      </c>
    </row>
    <row r="3850">
      <c r="B3850" s="39" t="n">
        <v>46290</v>
      </c>
      <c r="C3850" s="3" t="inlineStr">
        <is>
          <t>Expense</t>
        </is>
      </c>
      <c r="D3850" s="3" t="inlineStr">
        <is>
          <t>10891</t>
        </is>
      </c>
      <c r="E3850" s="3" t="inlineStr"/>
      <c r="F3850" s="3" t="inlineStr">
        <is>
          <t>Patient refund</t>
        </is>
      </c>
      <c r="G3850" s="3" t="inlineStr">
        <is>
          <t>Checking – Operating</t>
        </is>
      </c>
      <c r="H3850" s="3" t="inlineStr">
        <is>
          <t>Refunds</t>
        </is>
      </c>
      <c r="I3850" s="33" t="n">
        <v>4219.03</v>
      </c>
      <c r="J3850" s="13">
        <f>+J3849+I3850</f>
        <v>144502.3</v>
      </c>
      <c r="K3850" s="19">
        <f>+EOMONTH(B3850,0)</f>
        <v>46295</v>
      </c>
      <c r="L3850" s="3" t="inlineStr">
        <is>
          <t>Refunds</t>
        </is>
      </c>
      <c r="M3850" s="3" t="inlineStr">
        <is>
          <t>Other Operating Expenses</t>
        </is>
      </c>
    </row>
    <row r="3851">
      <c r="B3851" s="39" t="n">
        <v>46296</v>
      </c>
      <c r="C3851" s="3" t="inlineStr">
        <is>
          <t>Journal Entry</t>
        </is>
      </c>
      <c r="D3851" s="3" t="inlineStr">
        <is>
          <t>JE-2716</t>
        </is>
      </c>
      <c r="E3851" s="3" t="inlineStr"/>
      <c r="F3851" s="3" t="inlineStr">
        <is>
          <t>Patient refund</t>
        </is>
      </c>
      <c r="G3851" s="3" t="inlineStr">
        <is>
          <t>Checking – Operating</t>
        </is>
      </c>
      <c r="H3851" s="3" t="inlineStr">
        <is>
          <t>Refunds</t>
        </is>
      </c>
      <c r="I3851" s="33" t="n">
        <v>5359.58</v>
      </c>
      <c r="J3851" s="13">
        <f>+J3850+I3851</f>
        <v>149861.88</v>
      </c>
      <c r="K3851" s="19">
        <f>+EOMONTH(B3851,0)</f>
        <v>46326</v>
      </c>
      <c r="L3851" s="3" t="inlineStr">
        <is>
          <t>Refunds</t>
        </is>
      </c>
      <c r="M3851" s="3" t="inlineStr">
        <is>
          <t>Other Operating Expenses</t>
        </is>
      </c>
    </row>
    <row r="3852">
      <c r="B3852" s="39" t="n">
        <v>46297</v>
      </c>
      <c r="C3852" s="3" t="inlineStr">
        <is>
          <t>Expense</t>
        </is>
      </c>
      <c r="D3852" s="3" t="inlineStr">
        <is>
          <t>10894</t>
        </is>
      </c>
      <c r="E3852" s="3" t="inlineStr"/>
      <c r="F3852" s="3" t="inlineStr">
        <is>
          <t>Patient refund</t>
        </is>
      </c>
      <c r="G3852" s="3" t="inlineStr">
        <is>
          <t>Checking – Operating</t>
        </is>
      </c>
      <c r="H3852" s="3" t="inlineStr">
        <is>
          <t>Refunds</t>
        </is>
      </c>
      <c r="I3852" s="33" t="n">
        <v>4021.19</v>
      </c>
      <c r="J3852" s="13">
        <f>+J3851+I3852</f>
        <v>153883.07</v>
      </c>
      <c r="K3852" s="19">
        <f>+EOMONTH(B3852,0)</f>
        <v>46326</v>
      </c>
      <c r="L3852" s="3" t="inlineStr">
        <is>
          <t>Refunds</t>
        </is>
      </c>
      <c r="M3852" s="3" t="inlineStr">
        <is>
          <t>Other Operating Expenses</t>
        </is>
      </c>
    </row>
    <row r="3853">
      <c r="B3853" s="39" t="n">
        <v>46297</v>
      </c>
      <c r="C3853" s="3" t="inlineStr">
        <is>
          <t>Journal Entry</t>
        </is>
      </c>
      <c r="D3853" s="3" t="inlineStr">
        <is>
          <t>JE-2715</t>
        </is>
      </c>
      <c r="E3853" s="3" t="inlineStr"/>
      <c r="F3853" s="3" t="inlineStr">
        <is>
          <t>Patient refund</t>
        </is>
      </c>
      <c r="G3853" s="3" t="inlineStr">
        <is>
          <t>Checking – Operating</t>
        </is>
      </c>
      <c r="H3853" s="3" t="inlineStr">
        <is>
          <t>Refunds</t>
        </is>
      </c>
      <c r="I3853" s="33" t="n">
        <v>4793.32</v>
      </c>
      <c r="J3853" s="13">
        <f>+J3852+I3853</f>
        <v>158676.39</v>
      </c>
      <c r="K3853" s="19">
        <f>+EOMONTH(B3853,0)</f>
        <v>46326</v>
      </c>
      <c r="L3853" s="3" t="inlineStr">
        <is>
          <t>Refunds</t>
        </is>
      </c>
      <c r="M3853" s="3" t="inlineStr">
        <is>
          <t>Other Operating Expenses</t>
        </is>
      </c>
    </row>
    <row r="3854">
      <c r="B3854" s="39" t="n">
        <v>46300</v>
      </c>
      <c r="C3854" s="3" t="inlineStr">
        <is>
          <t>Journal Entry</t>
        </is>
      </c>
      <c r="D3854" s="3" t="inlineStr">
        <is>
          <t>JE-2714</t>
        </is>
      </c>
      <c r="E3854" s="3" t="inlineStr"/>
      <c r="F3854" s="3" t="inlineStr">
        <is>
          <t>Patient refund</t>
        </is>
      </c>
      <c r="G3854" s="3" t="inlineStr">
        <is>
          <t>Checking – Operating</t>
        </is>
      </c>
      <c r="H3854" s="3" t="inlineStr">
        <is>
          <t>Refunds</t>
        </is>
      </c>
      <c r="I3854" s="33" t="n">
        <v>4397.48</v>
      </c>
      <c r="J3854" s="13">
        <f>+J3853+I3854</f>
        <v>163073.87</v>
      </c>
      <c r="K3854" s="19">
        <f>+EOMONTH(B3854,0)</f>
        <v>46326</v>
      </c>
      <c r="L3854" s="3" t="inlineStr">
        <is>
          <t>Refunds</t>
        </is>
      </c>
      <c r="M3854" s="3" t="inlineStr">
        <is>
          <t>Other Operating Expenses</t>
        </is>
      </c>
    </row>
    <row r="3855">
      <c r="B3855" s="39" t="n">
        <v>46337</v>
      </c>
      <c r="C3855" s="3" t="inlineStr">
        <is>
          <t>Journal Entry</t>
        </is>
      </c>
      <c r="D3855" s="3" t="inlineStr">
        <is>
          <t>JE-2718</t>
        </is>
      </c>
      <c r="E3855" s="3" t="inlineStr"/>
      <c r="F3855" s="3" t="inlineStr">
        <is>
          <t>Patient refund</t>
        </is>
      </c>
      <c r="G3855" s="3" t="inlineStr">
        <is>
          <t>Checking – Operating</t>
        </is>
      </c>
      <c r="H3855" s="3" t="inlineStr">
        <is>
          <t>Refunds</t>
        </is>
      </c>
      <c r="I3855" s="33" t="n">
        <v>2933.04</v>
      </c>
      <c r="J3855" s="13">
        <f>+J3854+I3855</f>
        <v>166006.91</v>
      </c>
      <c r="K3855" s="19">
        <f>+EOMONTH(B3855,0)</f>
        <v>46356</v>
      </c>
      <c r="L3855" s="3" t="inlineStr">
        <is>
          <t>Refunds</t>
        </is>
      </c>
      <c r="M3855" s="3" t="inlineStr">
        <is>
          <t>Other Operating Expenses</t>
        </is>
      </c>
    </row>
    <row r="3856">
      <c r="B3856" s="39" t="n">
        <v>46344</v>
      </c>
      <c r="C3856" s="3" t="inlineStr">
        <is>
          <t>Expense</t>
        </is>
      </c>
      <c r="D3856" s="3" t="inlineStr">
        <is>
          <t>10896</t>
        </is>
      </c>
      <c r="E3856" s="3" t="inlineStr"/>
      <c r="F3856" s="3" t="inlineStr">
        <is>
          <t>Patient refund</t>
        </is>
      </c>
      <c r="G3856" s="3" t="inlineStr">
        <is>
          <t>Checking – Operating</t>
        </is>
      </c>
      <c r="H3856" s="3" t="inlineStr">
        <is>
          <t>Refunds</t>
        </is>
      </c>
      <c r="I3856" s="33" t="n">
        <v>3728.17</v>
      </c>
      <c r="J3856" s="13">
        <f>+J3855+I3856</f>
        <v>169735.08</v>
      </c>
      <c r="K3856" s="19">
        <f>+EOMONTH(B3856,0)</f>
        <v>46356</v>
      </c>
      <c r="L3856" s="3" t="inlineStr">
        <is>
          <t>Refunds</t>
        </is>
      </c>
      <c r="M3856" s="3" t="inlineStr">
        <is>
          <t>Other Operating Expenses</t>
        </is>
      </c>
    </row>
    <row r="3857">
      <c r="B3857" s="39" t="n">
        <v>46345</v>
      </c>
      <c r="C3857" s="3" t="inlineStr">
        <is>
          <t>Journal Entry</t>
        </is>
      </c>
      <c r="D3857" s="3" t="inlineStr">
        <is>
          <t>JE-2717</t>
        </is>
      </c>
      <c r="E3857" s="3" t="inlineStr"/>
      <c r="F3857" s="3" t="inlineStr">
        <is>
          <t>Patient refund</t>
        </is>
      </c>
      <c r="G3857" s="3" t="inlineStr">
        <is>
          <t>Checking – Operating</t>
        </is>
      </c>
      <c r="H3857" s="3" t="inlineStr">
        <is>
          <t>Refunds</t>
        </is>
      </c>
      <c r="I3857" s="33" t="n">
        <v>2173.35</v>
      </c>
      <c r="J3857" s="13">
        <f>+J3856+I3857</f>
        <v>171908.43</v>
      </c>
      <c r="K3857" s="19">
        <f>+EOMONTH(B3857,0)</f>
        <v>46356</v>
      </c>
      <c r="L3857" s="3" t="inlineStr">
        <is>
          <t>Refunds</t>
        </is>
      </c>
      <c r="M3857" s="3" t="inlineStr">
        <is>
          <t>Other Operating Expenses</t>
        </is>
      </c>
    </row>
    <row r="3858">
      <c r="B3858" s="39" t="n">
        <v>46350</v>
      </c>
      <c r="C3858" s="3" t="inlineStr">
        <is>
          <t>Expense</t>
        </is>
      </c>
      <c r="D3858" s="3" t="inlineStr">
        <is>
          <t>10895</t>
        </is>
      </c>
      <c r="E3858" s="3" t="inlineStr"/>
      <c r="F3858" s="3" t="inlineStr">
        <is>
          <t>Patient refund</t>
        </is>
      </c>
      <c r="G3858" s="3" t="inlineStr">
        <is>
          <t>Checking – Operating</t>
        </is>
      </c>
      <c r="H3858" s="3" t="inlineStr">
        <is>
          <t>Refunds</t>
        </is>
      </c>
      <c r="I3858" s="33" t="n">
        <v>3240.35</v>
      </c>
      <c r="J3858" s="13">
        <f>+J3857+I3858</f>
        <v>175148.78</v>
      </c>
      <c r="K3858" s="19">
        <f>+EOMONTH(B3858,0)</f>
        <v>46356</v>
      </c>
      <c r="L3858" s="3" t="inlineStr">
        <is>
          <t>Refunds</t>
        </is>
      </c>
      <c r="M3858" s="3" t="inlineStr">
        <is>
          <t>Other Operating Expenses</t>
        </is>
      </c>
    </row>
    <row r="3859">
      <c r="B3859" s="39" t="n">
        <v>46351</v>
      </c>
      <c r="C3859" s="3" t="inlineStr">
        <is>
          <t>Credit Card Expense</t>
        </is>
      </c>
      <c r="D3859" s="3" t="inlineStr"/>
      <c r="E3859" s="3" t="inlineStr"/>
      <c r="F3859" s="3" t="inlineStr">
        <is>
          <t>Patient refund</t>
        </is>
      </c>
      <c r="G3859" s="3" t="inlineStr">
        <is>
          <t>Checking – Operating</t>
        </is>
      </c>
      <c r="H3859" s="3" t="inlineStr">
        <is>
          <t>Refunds</t>
        </is>
      </c>
      <c r="I3859" s="33" t="n">
        <v>3060.51</v>
      </c>
      <c r="J3859" s="13">
        <f>+J3858+I3859</f>
        <v>178209.29</v>
      </c>
      <c r="K3859" s="19">
        <f>+EOMONTH(B3859,0)</f>
        <v>46356</v>
      </c>
      <c r="L3859" s="3" t="inlineStr">
        <is>
          <t>Refunds</t>
        </is>
      </c>
      <c r="M3859" s="3" t="inlineStr">
        <is>
          <t>Other Operating Expenses</t>
        </is>
      </c>
    </row>
    <row r="3860">
      <c r="A3860" s="2" t="inlineStr">
        <is>
          <t>Total for Refunds</t>
        </is>
      </c>
      <c r="I3860" s="35">
        <f>SUM(I3817:I3859)</f>
        <v>178209.29</v>
      </c>
    </row>
    <row r="3862">
      <c r="A3862" s="2" t="inlineStr">
        <is>
          <t>Rent Expense</t>
        </is>
      </c>
    </row>
    <row r="3863">
      <c r="B3863" s="39" t="n">
        <v>46028</v>
      </c>
      <c r="C3863" s="3" t="inlineStr">
        <is>
          <t>Bill</t>
        </is>
      </c>
      <c r="D3863" s="3" t="inlineStr"/>
      <c r="E3863" s="3" t="inlineStr">
        <is>
          <t>Halloway Ridge Realty (rent)</t>
        </is>
      </c>
      <c r="F3863" s="3" t="inlineStr">
        <is>
          <t>Rent – January</t>
        </is>
      </c>
      <c r="G3863" s="3" t="inlineStr">
        <is>
          <t>Accounts Payable</t>
        </is>
      </c>
      <c r="H3863" s="3" t="inlineStr">
        <is>
          <t>Rent Expense</t>
        </is>
      </c>
      <c r="I3863" s="33" t="n">
        <v>17866.16</v>
      </c>
      <c r="J3863" s="13">
        <f>+I3863</f>
        <v>17866.16</v>
      </c>
      <c r="K3863" s="19">
        <f>+EOMONTH(B3863,0)</f>
        <v>46053</v>
      </c>
      <c r="L3863" s="3" t="inlineStr">
        <is>
          <t>Rent Expense</t>
        </is>
      </c>
      <c r="M3863" s="3" t="inlineStr">
        <is>
          <t>Facility Rent</t>
        </is>
      </c>
    </row>
    <row r="3864">
      <c r="B3864" s="39" t="n">
        <v>46037</v>
      </c>
      <c r="C3864" s="3" t="inlineStr">
        <is>
          <t>Bill</t>
        </is>
      </c>
      <c r="D3864" s="3" t="inlineStr"/>
      <c r="E3864" s="3" t="inlineStr">
        <is>
          <t>Halloway Ridge Realty (rent)</t>
        </is>
      </c>
      <c r="F3864" s="3" t="inlineStr">
        <is>
          <t>Rent – January</t>
        </is>
      </c>
      <c r="G3864" s="3" t="inlineStr">
        <is>
          <t>Accounts Payable</t>
        </is>
      </c>
      <c r="H3864" s="3" t="inlineStr">
        <is>
          <t>Rent Expense</t>
        </is>
      </c>
      <c r="I3864" s="33" t="n">
        <v>16935.49</v>
      </c>
      <c r="J3864" s="13">
        <f>+J3863+I3864</f>
        <v>34801.65</v>
      </c>
      <c r="K3864" s="19">
        <f>+EOMONTH(B3864,0)</f>
        <v>46053</v>
      </c>
      <c r="L3864" s="3" t="inlineStr">
        <is>
          <t>Rent Expense</t>
        </is>
      </c>
      <c r="M3864" s="3" t="inlineStr">
        <is>
          <t>Facility Rent</t>
        </is>
      </c>
    </row>
    <row r="3865">
      <c r="B3865" s="39" t="n">
        <v>46040</v>
      </c>
      <c r="C3865" s="3" t="inlineStr">
        <is>
          <t>Bill</t>
        </is>
      </c>
      <c r="D3865" s="3" t="inlineStr"/>
      <c r="E3865" s="3" t="inlineStr">
        <is>
          <t>Halloway Ridge Realty (rent)</t>
        </is>
      </c>
      <c r="F3865" s="3" t="inlineStr">
        <is>
          <t>Rent – January</t>
        </is>
      </c>
      <c r="G3865" s="3" t="inlineStr">
        <is>
          <t>Accounts Payable</t>
        </is>
      </c>
      <c r="H3865" s="3" t="inlineStr">
        <is>
          <t>Rent Expense</t>
        </is>
      </c>
      <c r="I3865" s="33" t="n">
        <v>11798.35</v>
      </c>
      <c r="J3865" s="13">
        <f>+J3864+I3865</f>
        <v>46600</v>
      </c>
      <c r="K3865" s="19">
        <f>+EOMONTH(B3865,0)</f>
        <v>46053</v>
      </c>
      <c r="L3865" s="3" t="inlineStr">
        <is>
          <t>Rent Expense</t>
        </is>
      </c>
      <c r="M3865" s="3" t="inlineStr">
        <is>
          <t>Facility Rent</t>
        </is>
      </c>
    </row>
    <row r="3866">
      <c r="B3866" s="39" t="n">
        <v>46060</v>
      </c>
      <c r="C3866" s="3" t="inlineStr">
        <is>
          <t>Bill</t>
        </is>
      </c>
      <c r="D3866" s="3" t="inlineStr"/>
      <c r="E3866" s="3" t="inlineStr">
        <is>
          <t>Halloway Ridge Realty (rent)</t>
        </is>
      </c>
      <c r="F3866" s="3" t="inlineStr">
        <is>
          <t>Rent – February</t>
        </is>
      </c>
      <c r="G3866" s="3" t="inlineStr">
        <is>
          <t>Accounts Payable</t>
        </is>
      </c>
      <c r="H3866" s="3" t="inlineStr">
        <is>
          <t>Rent Expense</t>
        </is>
      </c>
      <c r="I3866" s="33" t="n">
        <v>13307.11</v>
      </c>
      <c r="J3866" s="13">
        <f>+J3865+I3866</f>
        <v>59907.11</v>
      </c>
      <c r="K3866" s="19">
        <f>+EOMONTH(B3866,0)</f>
        <v>46081</v>
      </c>
      <c r="L3866" s="3" t="inlineStr">
        <is>
          <t>Rent Expense</t>
        </is>
      </c>
      <c r="M3866" s="3" t="inlineStr">
        <is>
          <t>Facility Rent</t>
        </is>
      </c>
    </row>
    <row r="3867">
      <c r="B3867" s="39" t="n">
        <v>46062</v>
      </c>
      <c r="C3867" s="3" t="inlineStr">
        <is>
          <t>Bill</t>
        </is>
      </c>
      <c r="D3867" s="3" t="inlineStr"/>
      <c r="E3867" s="3" t="inlineStr">
        <is>
          <t>Halloway Ridge Realty (rent)</t>
        </is>
      </c>
      <c r="F3867" s="3" t="inlineStr">
        <is>
          <t>Rent – February</t>
        </is>
      </c>
      <c r="G3867" s="3" t="inlineStr">
        <is>
          <t>Accounts Payable</t>
        </is>
      </c>
      <c r="H3867" s="3" t="inlineStr">
        <is>
          <t>Rent Expense</t>
        </is>
      </c>
      <c r="I3867" s="33" t="n">
        <v>11384.59</v>
      </c>
      <c r="J3867" s="13">
        <f>+J3866+I3867</f>
        <v>71291.7</v>
      </c>
      <c r="K3867" s="19">
        <f>+EOMONTH(B3867,0)</f>
        <v>46081</v>
      </c>
      <c r="L3867" s="3" t="inlineStr">
        <is>
          <t>Rent Expense</t>
        </is>
      </c>
      <c r="M3867" s="3" t="inlineStr">
        <is>
          <t>Facility Rent</t>
        </is>
      </c>
    </row>
    <row r="3868">
      <c r="B3868" s="39" t="n">
        <v>46075</v>
      </c>
      <c r="C3868" s="3" t="inlineStr">
        <is>
          <t>Bill</t>
        </is>
      </c>
      <c r="D3868" s="3" t="inlineStr"/>
      <c r="E3868" s="3" t="inlineStr">
        <is>
          <t>Halloway Ridge Realty (rent)</t>
        </is>
      </c>
      <c r="F3868" s="3" t="inlineStr">
        <is>
          <t>Rent – February</t>
        </is>
      </c>
      <c r="G3868" s="3" t="inlineStr">
        <is>
          <t>Accounts Payable</t>
        </is>
      </c>
      <c r="H3868" s="3" t="inlineStr">
        <is>
          <t>Rent Expense</t>
        </is>
      </c>
      <c r="I3868" s="33" t="n">
        <v>21808.3</v>
      </c>
      <c r="J3868" s="13">
        <f>+J3867+I3868</f>
        <v>93100</v>
      </c>
      <c r="K3868" s="19">
        <f>+EOMONTH(B3868,0)</f>
        <v>46081</v>
      </c>
      <c r="L3868" s="3" t="inlineStr">
        <is>
          <t>Rent Expense</t>
        </is>
      </c>
      <c r="M3868" s="3" t="inlineStr">
        <is>
          <t>Facility Rent</t>
        </is>
      </c>
    </row>
    <row r="3869">
      <c r="B3869" s="39" t="n">
        <v>46084</v>
      </c>
      <c r="C3869" s="3" t="inlineStr">
        <is>
          <t>Bill</t>
        </is>
      </c>
      <c r="D3869" s="3" t="inlineStr"/>
      <c r="E3869" s="3" t="inlineStr">
        <is>
          <t>Halloway Ridge Realty (rent)</t>
        </is>
      </c>
      <c r="F3869" s="3" t="inlineStr">
        <is>
          <t>Rent – March</t>
        </is>
      </c>
      <c r="G3869" s="3" t="inlineStr">
        <is>
          <t>Accounts Payable</t>
        </is>
      </c>
      <c r="H3869" s="3" t="inlineStr">
        <is>
          <t>Rent Expense</t>
        </is>
      </c>
      <c r="I3869" s="33" t="n">
        <v>10492.81</v>
      </c>
      <c r="J3869" s="13">
        <f>+J3868+I3869</f>
        <v>103592.81</v>
      </c>
      <c r="K3869" s="19">
        <f>+EOMONTH(B3869,0)</f>
        <v>46112</v>
      </c>
      <c r="L3869" s="3" t="inlineStr">
        <is>
          <t>Rent Expense</t>
        </is>
      </c>
      <c r="M3869" s="3" t="inlineStr">
        <is>
          <t>Facility Rent</t>
        </is>
      </c>
    </row>
    <row r="3870">
      <c r="B3870" s="39" t="n">
        <v>46085</v>
      </c>
      <c r="C3870" s="3" t="inlineStr">
        <is>
          <t>Bill</t>
        </is>
      </c>
      <c r="D3870" s="3" t="inlineStr"/>
      <c r="E3870" s="3" t="inlineStr">
        <is>
          <t>Halloway Ridge Realty (rent)</t>
        </is>
      </c>
      <c r="F3870" s="3" t="inlineStr">
        <is>
          <t>Rent – March</t>
        </is>
      </c>
      <c r="G3870" s="3" t="inlineStr">
        <is>
          <t>Accounts Payable</t>
        </is>
      </c>
      <c r="H3870" s="3" t="inlineStr">
        <is>
          <t>Rent Expense</t>
        </is>
      </c>
      <c r="I3870" s="33" t="n">
        <v>11243.15</v>
      </c>
      <c r="J3870" s="13">
        <f>+J3869+I3870</f>
        <v>114835.96</v>
      </c>
      <c r="K3870" s="19">
        <f>+EOMONTH(B3870,0)</f>
        <v>46112</v>
      </c>
      <c r="L3870" s="3" t="inlineStr">
        <is>
          <t>Rent Expense</t>
        </is>
      </c>
      <c r="M3870" s="3" t="inlineStr">
        <is>
          <t>Facility Rent</t>
        </is>
      </c>
    </row>
    <row r="3871">
      <c r="B3871" s="39" t="n">
        <v>46086</v>
      </c>
      <c r="C3871" s="3" t="inlineStr">
        <is>
          <t>Bill</t>
        </is>
      </c>
      <c r="D3871" s="3" t="inlineStr"/>
      <c r="E3871" s="3" t="inlineStr">
        <is>
          <t>Halloway Ridge Realty (rent)</t>
        </is>
      </c>
      <c r="F3871" s="3" t="inlineStr">
        <is>
          <t>Rent – March</t>
        </is>
      </c>
      <c r="G3871" s="3" t="inlineStr">
        <is>
          <t>Accounts Payable</t>
        </is>
      </c>
      <c r="H3871" s="3" t="inlineStr">
        <is>
          <t>Rent Expense</t>
        </is>
      </c>
      <c r="I3871" s="33" t="n">
        <v>8793.969999999999</v>
      </c>
      <c r="J3871" s="13">
        <f>+J3870+I3871</f>
        <v>123629.93</v>
      </c>
      <c r="K3871" s="19">
        <f>+EOMONTH(B3871,0)</f>
        <v>46112</v>
      </c>
      <c r="L3871" s="3" t="inlineStr">
        <is>
          <t>Rent Expense</t>
        </is>
      </c>
      <c r="M3871" s="3" t="inlineStr">
        <is>
          <t>Facility Rent</t>
        </is>
      </c>
    </row>
    <row r="3872">
      <c r="B3872" s="39" t="n">
        <v>46095</v>
      </c>
      <c r="C3872" s="3" t="inlineStr">
        <is>
          <t>Bill</t>
        </is>
      </c>
      <c r="D3872" s="3" t="inlineStr"/>
      <c r="E3872" s="3" t="inlineStr">
        <is>
          <t>Halloway Ridge Realty (rent)</t>
        </is>
      </c>
      <c r="F3872" s="3" t="inlineStr">
        <is>
          <t>Rent – March</t>
        </is>
      </c>
      <c r="G3872" s="3" t="inlineStr">
        <is>
          <t>Accounts Payable</t>
        </is>
      </c>
      <c r="H3872" s="3" t="inlineStr">
        <is>
          <t>Rent Expense</t>
        </is>
      </c>
      <c r="I3872" s="33" t="n">
        <v>17170.07</v>
      </c>
      <c r="J3872" s="13">
        <f>+J3871+I3872</f>
        <v>140800</v>
      </c>
      <c r="K3872" s="19">
        <f>+EOMONTH(B3872,0)</f>
        <v>46112</v>
      </c>
      <c r="L3872" s="3" t="inlineStr">
        <is>
          <t>Rent Expense</t>
        </is>
      </c>
      <c r="M3872" s="3" t="inlineStr">
        <is>
          <t>Facility Rent</t>
        </is>
      </c>
    </row>
    <row r="3873">
      <c r="B3873" s="39" t="n">
        <v>46119</v>
      </c>
      <c r="C3873" s="3" t="inlineStr">
        <is>
          <t>Bill</t>
        </is>
      </c>
      <c r="D3873" s="3" t="inlineStr"/>
      <c r="E3873" s="3" t="inlineStr">
        <is>
          <t>Halloway Ridge Realty (rent)</t>
        </is>
      </c>
      <c r="F3873" s="3" t="inlineStr">
        <is>
          <t>Rent – April</t>
        </is>
      </c>
      <c r="G3873" s="3" t="inlineStr">
        <is>
          <t>Accounts Payable</t>
        </is>
      </c>
      <c r="H3873" s="3" t="inlineStr">
        <is>
          <t>Rent Expense</t>
        </is>
      </c>
      <c r="I3873" s="33" t="n">
        <v>7884.66</v>
      </c>
      <c r="J3873" s="13">
        <f>+J3872+I3873</f>
        <v>148684.66</v>
      </c>
      <c r="K3873" s="19">
        <f>+EOMONTH(B3873,0)</f>
        <v>46142</v>
      </c>
      <c r="L3873" s="3" t="inlineStr">
        <is>
          <t>Rent Expense</t>
        </is>
      </c>
      <c r="M3873" s="3" t="inlineStr">
        <is>
          <t>Facility Rent</t>
        </is>
      </c>
    </row>
    <row r="3874">
      <c r="B3874" s="39" t="n">
        <v>46120</v>
      </c>
      <c r="C3874" s="3" t="inlineStr">
        <is>
          <t>Bill</t>
        </is>
      </c>
      <c r="D3874" s="3" t="inlineStr"/>
      <c r="E3874" s="3" t="inlineStr">
        <is>
          <t>Halloway Ridge Realty (rent)</t>
        </is>
      </c>
      <c r="F3874" s="3" t="inlineStr">
        <is>
          <t>Rent – April</t>
        </is>
      </c>
      <c r="G3874" s="3" t="inlineStr">
        <is>
          <t>Accounts Payable</t>
        </is>
      </c>
      <c r="H3874" s="3" t="inlineStr">
        <is>
          <t>Rent Expense</t>
        </is>
      </c>
      <c r="I3874" s="33" t="n">
        <v>10223.17</v>
      </c>
      <c r="J3874" s="13">
        <f>+J3873+I3874</f>
        <v>158907.83</v>
      </c>
      <c r="K3874" s="19">
        <f>+EOMONTH(B3874,0)</f>
        <v>46142</v>
      </c>
      <c r="L3874" s="3" t="inlineStr">
        <is>
          <t>Rent Expense</t>
        </is>
      </c>
      <c r="M3874" s="3" t="inlineStr">
        <is>
          <t>Facility Rent</t>
        </is>
      </c>
    </row>
    <row r="3875">
      <c r="B3875" s="39" t="n">
        <v>46132</v>
      </c>
      <c r="C3875" s="3" t="inlineStr">
        <is>
          <t>Bill</t>
        </is>
      </c>
      <c r="D3875" s="3" t="inlineStr"/>
      <c r="E3875" s="3" t="inlineStr">
        <is>
          <t>Halloway Ridge Realty (rent)</t>
        </is>
      </c>
      <c r="F3875" s="3" t="inlineStr">
        <is>
          <t>Rent – April</t>
        </is>
      </c>
      <c r="G3875" s="3" t="inlineStr">
        <is>
          <t>Accounts Payable</t>
        </is>
      </c>
      <c r="H3875" s="3" t="inlineStr">
        <is>
          <t>Rent Expense</t>
        </is>
      </c>
      <c r="I3875" s="33" t="n">
        <v>7930.38</v>
      </c>
      <c r="J3875" s="13">
        <f>+J3874+I3875</f>
        <v>166838.21</v>
      </c>
      <c r="K3875" s="19">
        <f>+EOMONTH(B3875,0)</f>
        <v>46142</v>
      </c>
      <c r="L3875" s="3" t="inlineStr">
        <is>
          <t>Rent Expense</t>
        </is>
      </c>
      <c r="M3875" s="3" t="inlineStr">
        <is>
          <t>Facility Rent</t>
        </is>
      </c>
    </row>
    <row r="3876">
      <c r="B3876" s="39" t="n">
        <v>46134</v>
      </c>
      <c r="C3876" s="3" t="inlineStr">
        <is>
          <t>Bill</t>
        </is>
      </c>
      <c r="D3876" s="3" t="inlineStr"/>
      <c r="E3876" s="3" t="inlineStr">
        <is>
          <t>Halloway Ridge Realty (rent)</t>
        </is>
      </c>
      <c r="F3876" s="3" t="inlineStr">
        <is>
          <t>Rent – April</t>
        </is>
      </c>
      <c r="G3876" s="3" t="inlineStr">
        <is>
          <t>Accounts Payable</t>
        </is>
      </c>
      <c r="H3876" s="3" t="inlineStr">
        <is>
          <t>Rent Expense</t>
        </is>
      </c>
      <c r="I3876" s="33" t="n">
        <v>9232.469999999999</v>
      </c>
      <c r="J3876" s="13">
        <f>+J3875+I3876</f>
        <v>176070.68</v>
      </c>
      <c r="K3876" s="19">
        <f>+EOMONTH(B3876,0)</f>
        <v>46142</v>
      </c>
      <c r="L3876" s="3" t="inlineStr">
        <is>
          <t>Rent Expense</t>
        </is>
      </c>
      <c r="M3876" s="3" t="inlineStr">
        <is>
          <t>Facility Rent</t>
        </is>
      </c>
    </row>
    <row r="3877">
      <c r="B3877" s="39" t="n">
        <v>46137</v>
      </c>
      <c r="C3877" s="3" t="inlineStr">
        <is>
          <t>Bill</t>
        </is>
      </c>
      <c r="D3877" s="3" t="inlineStr"/>
      <c r="E3877" s="3" t="inlineStr">
        <is>
          <t>Halloway Ridge Realty (rent)</t>
        </is>
      </c>
      <c r="F3877" s="3" t="inlineStr">
        <is>
          <t>Rent – April</t>
        </is>
      </c>
      <c r="G3877" s="3" t="inlineStr">
        <is>
          <t>Accounts Payable</t>
        </is>
      </c>
      <c r="H3877" s="3" t="inlineStr">
        <is>
          <t>Rent Expense</t>
        </is>
      </c>
      <c r="I3877" s="33" t="n">
        <v>11629.32</v>
      </c>
      <c r="J3877" s="13">
        <f>+J3876+I3877</f>
        <v>187700</v>
      </c>
      <c r="K3877" s="19">
        <f>+EOMONTH(B3877,0)</f>
        <v>46142</v>
      </c>
      <c r="L3877" s="3" t="inlineStr">
        <is>
          <t>Rent Expense</t>
        </is>
      </c>
      <c r="M3877" s="3" t="inlineStr">
        <is>
          <t>Facility Rent</t>
        </is>
      </c>
    </row>
    <row r="3878">
      <c r="B3878" s="39" t="n">
        <v>46143</v>
      </c>
      <c r="C3878" s="3" t="inlineStr">
        <is>
          <t>Bill</t>
        </is>
      </c>
      <c r="D3878" s="3" t="inlineStr"/>
      <c r="E3878" s="3" t="inlineStr">
        <is>
          <t>Halloway Ridge Realty (rent)</t>
        </is>
      </c>
      <c r="F3878" s="3" t="inlineStr">
        <is>
          <t>Rent – May</t>
        </is>
      </c>
      <c r="G3878" s="3" t="inlineStr">
        <is>
          <t>Accounts Payable</t>
        </is>
      </c>
      <c r="H3878" s="3" t="inlineStr">
        <is>
          <t>Rent Expense</t>
        </is>
      </c>
      <c r="I3878" s="33" t="n">
        <v>12645.14</v>
      </c>
      <c r="J3878" s="13">
        <f>+J3877+I3878</f>
        <v>200345.14</v>
      </c>
      <c r="K3878" s="19">
        <f>+EOMONTH(B3878,0)</f>
        <v>46173</v>
      </c>
      <c r="L3878" s="3" t="inlineStr">
        <is>
          <t>Rent Expense</t>
        </is>
      </c>
      <c r="M3878" s="3" t="inlineStr">
        <is>
          <t>Facility Rent</t>
        </is>
      </c>
    </row>
    <row r="3879">
      <c r="B3879" s="39" t="n">
        <v>46148</v>
      </c>
      <c r="C3879" s="3" t="inlineStr">
        <is>
          <t>Bill</t>
        </is>
      </c>
      <c r="D3879" s="3" t="inlineStr"/>
      <c r="E3879" s="3" t="inlineStr">
        <is>
          <t>Halloway Ridge Realty (rent)</t>
        </is>
      </c>
      <c r="F3879" s="3" t="inlineStr">
        <is>
          <t>Rent – May</t>
        </is>
      </c>
      <c r="G3879" s="3" t="inlineStr">
        <is>
          <t>Accounts Payable</t>
        </is>
      </c>
      <c r="H3879" s="3" t="inlineStr">
        <is>
          <t>Rent Expense</t>
        </is>
      </c>
      <c r="I3879" s="33" t="n">
        <v>10490.58</v>
      </c>
      <c r="J3879" s="13">
        <f>+J3878+I3879</f>
        <v>210835.72</v>
      </c>
      <c r="K3879" s="19">
        <f>+EOMONTH(B3879,0)</f>
        <v>46173</v>
      </c>
      <c r="L3879" s="3" t="inlineStr">
        <is>
          <t>Rent Expense</t>
        </is>
      </c>
      <c r="M3879" s="3" t="inlineStr">
        <is>
          <t>Facility Rent</t>
        </is>
      </c>
    </row>
    <row r="3880">
      <c r="B3880" s="39" t="n">
        <v>46156</v>
      </c>
      <c r="C3880" s="3" t="inlineStr">
        <is>
          <t>Bill</t>
        </is>
      </c>
      <c r="D3880" s="3" t="inlineStr"/>
      <c r="E3880" s="3" t="inlineStr">
        <is>
          <t>Halloway Ridge Realty (rent)</t>
        </is>
      </c>
      <c r="F3880" s="3" t="inlineStr">
        <is>
          <t>Rent – May</t>
        </is>
      </c>
      <c r="G3880" s="3" t="inlineStr">
        <is>
          <t>Accounts Payable</t>
        </is>
      </c>
      <c r="H3880" s="3" t="inlineStr">
        <is>
          <t>Rent Expense</t>
        </is>
      </c>
      <c r="I3880" s="33" t="n">
        <v>5823.89</v>
      </c>
      <c r="J3880" s="13">
        <f>+J3879+I3880</f>
        <v>216659.61</v>
      </c>
      <c r="K3880" s="19">
        <f>+EOMONTH(B3880,0)</f>
        <v>46173</v>
      </c>
      <c r="L3880" s="3" t="inlineStr">
        <is>
          <t>Rent Expense</t>
        </is>
      </c>
      <c r="M3880" s="3" t="inlineStr">
        <is>
          <t>Facility Rent</t>
        </is>
      </c>
    </row>
    <row r="3881">
      <c r="B3881" s="39" t="n">
        <v>46159</v>
      </c>
      <c r="C3881" s="3" t="inlineStr">
        <is>
          <t>Bill</t>
        </is>
      </c>
      <c r="D3881" s="3" t="inlineStr"/>
      <c r="E3881" s="3" t="inlineStr">
        <is>
          <t>Halloway Ridge Realty (rent)</t>
        </is>
      </c>
      <c r="F3881" s="3" t="inlineStr">
        <is>
          <t>Rent – May</t>
        </is>
      </c>
      <c r="G3881" s="3" t="inlineStr">
        <is>
          <t>Accounts Payable</t>
        </is>
      </c>
      <c r="H3881" s="3" t="inlineStr">
        <is>
          <t>Rent Expense</t>
        </is>
      </c>
      <c r="I3881" s="33" t="n">
        <v>6722.17</v>
      </c>
      <c r="J3881" s="13">
        <f>+J3880+I3881</f>
        <v>223381.78</v>
      </c>
      <c r="K3881" s="19">
        <f>+EOMONTH(B3881,0)</f>
        <v>46173</v>
      </c>
      <c r="L3881" s="3" t="inlineStr">
        <is>
          <t>Rent Expense</t>
        </is>
      </c>
      <c r="M3881" s="3" t="inlineStr">
        <is>
          <t>Facility Rent</t>
        </is>
      </c>
    </row>
    <row r="3882">
      <c r="B3882" s="39" t="n">
        <v>46160</v>
      </c>
      <c r="C3882" s="3" t="inlineStr">
        <is>
          <t>Bill</t>
        </is>
      </c>
      <c r="D3882" s="3" t="inlineStr"/>
      <c r="E3882" s="3" t="inlineStr">
        <is>
          <t>Halloway Ridge Realty (rent)</t>
        </is>
      </c>
      <c r="F3882" s="3" t="inlineStr">
        <is>
          <t>Rent – May</t>
        </is>
      </c>
      <c r="G3882" s="3" t="inlineStr">
        <is>
          <t>Accounts Payable</t>
        </is>
      </c>
      <c r="H3882" s="3" t="inlineStr">
        <is>
          <t>Rent Expense</t>
        </is>
      </c>
      <c r="I3882" s="33" t="n">
        <v>7118.22</v>
      </c>
      <c r="J3882" s="13">
        <f>+J3881+I3882</f>
        <v>230500</v>
      </c>
      <c r="K3882" s="19">
        <f>+EOMONTH(B3882,0)</f>
        <v>46173</v>
      </c>
      <c r="L3882" s="3" t="inlineStr">
        <is>
          <t>Rent Expense</t>
        </is>
      </c>
      <c r="M3882" s="3" t="inlineStr">
        <is>
          <t>Facility Rent</t>
        </is>
      </c>
    </row>
    <row r="3883">
      <c r="B3883" s="39" t="n">
        <v>46199</v>
      </c>
      <c r="C3883" s="3" t="inlineStr">
        <is>
          <t>Bill</t>
        </is>
      </c>
      <c r="D3883" s="3" t="inlineStr"/>
      <c r="E3883" s="3" t="inlineStr">
        <is>
          <t>Halloway Ridge Realty (rent)</t>
        </is>
      </c>
      <c r="F3883" s="3" t="inlineStr">
        <is>
          <t>Rent – June</t>
        </is>
      </c>
      <c r="G3883" s="3" t="inlineStr">
        <is>
          <t>Accounts Payable</t>
        </is>
      </c>
      <c r="H3883" s="3" t="inlineStr">
        <is>
          <t>Rent Expense</t>
        </is>
      </c>
      <c r="I3883" s="33" t="n">
        <v>12327.29</v>
      </c>
      <c r="J3883" s="13">
        <f>+J3882+I3883</f>
        <v>242827.29</v>
      </c>
      <c r="K3883" s="19">
        <f>+EOMONTH(B3883,0)</f>
        <v>46203</v>
      </c>
      <c r="L3883" s="3" t="inlineStr">
        <is>
          <t>Rent Expense</t>
        </is>
      </c>
      <c r="M3883" s="3" t="inlineStr">
        <is>
          <t>Facility Rent</t>
        </is>
      </c>
    </row>
    <row r="3884">
      <c r="B3884" s="39" t="n">
        <v>46201</v>
      </c>
      <c r="C3884" s="3" t="inlineStr">
        <is>
          <t>Bill</t>
        </is>
      </c>
      <c r="D3884" s="3" t="inlineStr"/>
      <c r="E3884" s="3" t="inlineStr">
        <is>
          <t>Halloway Ridge Realty (rent)</t>
        </is>
      </c>
      <c r="F3884" s="3" t="inlineStr">
        <is>
          <t>Rent – June</t>
        </is>
      </c>
      <c r="G3884" s="3" t="inlineStr">
        <is>
          <t>Accounts Payable</t>
        </is>
      </c>
      <c r="H3884" s="3" t="inlineStr">
        <is>
          <t>Rent Expense</t>
        </is>
      </c>
      <c r="I3884" s="33" t="n">
        <v>17474.56</v>
      </c>
      <c r="J3884" s="13">
        <f>+J3883+I3884</f>
        <v>260301.85</v>
      </c>
      <c r="K3884" s="19">
        <f>+EOMONTH(B3884,0)</f>
        <v>46203</v>
      </c>
      <c r="L3884" s="3" t="inlineStr">
        <is>
          <t>Rent Expense</t>
        </is>
      </c>
      <c r="M3884" s="3" t="inlineStr">
        <is>
          <t>Facility Rent</t>
        </is>
      </c>
    </row>
    <row r="3885">
      <c r="B3885" s="39" t="n">
        <v>46202</v>
      </c>
      <c r="C3885" s="3" t="inlineStr">
        <is>
          <t>Bill</t>
        </is>
      </c>
      <c r="D3885" s="3" t="inlineStr"/>
      <c r="E3885" s="3" t="inlineStr">
        <is>
          <t>Halloway Ridge Realty (rent)</t>
        </is>
      </c>
      <c r="F3885" s="3" t="inlineStr">
        <is>
          <t>Rent – June</t>
        </is>
      </c>
      <c r="G3885" s="3" t="inlineStr">
        <is>
          <t>Accounts Payable</t>
        </is>
      </c>
      <c r="H3885" s="3" t="inlineStr">
        <is>
          <t>Rent Expense</t>
        </is>
      </c>
      <c r="I3885" s="33" t="n">
        <v>13698.15</v>
      </c>
      <c r="J3885" s="13">
        <f>+J3884+I3885</f>
        <v>274000</v>
      </c>
      <c r="K3885" s="19">
        <f>+EOMONTH(B3885,0)</f>
        <v>46203</v>
      </c>
      <c r="L3885" s="3" t="inlineStr">
        <is>
          <t>Rent Expense</t>
        </is>
      </c>
      <c r="M3885" s="3" t="inlineStr">
        <is>
          <t>Facility Rent</t>
        </is>
      </c>
    </row>
    <row r="3886">
      <c r="B3886" s="39" t="n">
        <v>46216</v>
      </c>
      <c r="C3886" s="3" t="inlineStr">
        <is>
          <t>Bill</t>
        </is>
      </c>
      <c r="D3886" s="3" t="inlineStr"/>
      <c r="E3886" s="3" t="inlineStr">
        <is>
          <t>Halloway Ridge Realty (rent)</t>
        </is>
      </c>
      <c r="F3886" s="3" t="inlineStr">
        <is>
          <t>Rent – July</t>
        </is>
      </c>
      <c r="G3886" s="3" t="inlineStr">
        <is>
          <t>Accounts Payable</t>
        </is>
      </c>
      <c r="H3886" s="3" t="inlineStr">
        <is>
          <t>Rent Expense</t>
        </is>
      </c>
      <c r="I3886" s="33" t="n">
        <v>19161.3</v>
      </c>
      <c r="J3886" s="13">
        <f>+J3885+I3886</f>
        <v>293161.3</v>
      </c>
      <c r="K3886" s="19">
        <f>+EOMONTH(B3886,0)</f>
        <v>46234</v>
      </c>
      <c r="L3886" s="3" t="inlineStr">
        <is>
          <t>Rent Expense</t>
        </is>
      </c>
      <c r="M3886" s="3" t="inlineStr">
        <is>
          <t>Facility Rent</t>
        </is>
      </c>
    </row>
    <row r="3887">
      <c r="B3887" s="39" t="n">
        <v>46231</v>
      </c>
      <c r="C3887" s="3" t="inlineStr">
        <is>
          <t>Bill</t>
        </is>
      </c>
      <c r="D3887" s="3" t="inlineStr"/>
      <c r="E3887" s="3" t="inlineStr">
        <is>
          <t>Halloway Ridge Realty (rent)</t>
        </is>
      </c>
      <c r="F3887" s="3" t="inlineStr">
        <is>
          <t>Rent – July</t>
        </is>
      </c>
      <c r="G3887" s="3" t="inlineStr">
        <is>
          <t>Accounts Payable</t>
        </is>
      </c>
      <c r="H3887" s="3" t="inlineStr">
        <is>
          <t>Rent Expense</t>
        </is>
      </c>
      <c r="I3887" s="33" t="n">
        <v>12225.76</v>
      </c>
      <c r="J3887" s="13">
        <f>+J3886+I3887</f>
        <v>305387.06</v>
      </c>
      <c r="K3887" s="19">
        <f>+EOMONTH(B3887,0)</f>
        <v>46234</v>
      </c>
      <c r="L3887" s="3" t="inlineStr">
        <is>
          <t>Rent Expense</t>
        </is>
      </c>
      <c r="M3887" s="3" t="inlineStr">
        <is>
          <t>Facility Rent</t>
        </is>
      </c>
    </row>
    <row r="3888">
      <c r="B3888" s="39" t="n">
        <v>46233</v>
      </c>
      <c r="C3888" s="3" t="inlineStr">
        <is>
          <t>Bill</t>
        </is>
      </c>
      <c r="D3888" s="3" t="inlineStr"/>
      <c r="E3888" s="3" t="inlineStr">
        <is>
          <t>Halloway Ridge Realty (rent)</t>
        </is>
      </c>
      <c r="F3888" s="3" t="inlineStr">
        <is>
          <t>Rent – July</t>
        </is>
      </c>
      <c r="G3888" s="3" t="inlineStr">
        <is>
          <t>Accounts Payable</t>
        </is>
      </c>
      <c r="H3888" s="3" t="inlineStr">
        <is>
          <t>Rent Expense</t>
        </is>
      </c>
      <c r="I3888" s="33" t="n">
        <v>14612.94</v>
      </c>
      <c r="J3888" s="13">
        <f>+J3887+I3888</f>
        <v>320000</v>
      </c>
      <c r="K3888" s="19">
        <f>+EOMONTH(B3888,0)</f>
        <v>46234</v>
      </c>
      <c r="L3888" s="3" t="inlineStr">
        <is>
          <t>Rent Expense</t>
        </is>
      </c>
      <c r="M3888" s="3" t="inlineStr">
        <is>
          <t>Facility Rent</t>
        </is>
      </c>
    </row>
    <row r="3889">
      <c r="B3889" s="39" t="n">
        <v>46235</v>
      </c>
      <c r="C3889" s="3" t="inlineStr">
        <is>
          <t>Bill</t>
        </is>
      </c>
      <c r="D3889" s="3" t="inlineStr"/>
      <c r="E3889" s="3" t="inlineStr">
        <is>
          <t>Halloway Ridge Realty (rent)</t>
        </is>
      </c>
      <c r="F3889" s="3" t="inlineStr">
        <is>
          <t>Rent – August</t>
        </is>
      </c>
      <c r="G3889" s="3" t="inlineStr">
        <is>
          <t>Accounts Payable</t>
        </is>
      </c>
      <c r="H3889" s="3" t="inlineStr">
        <is>
          <t>Rent Expense</t>
        </is>
      </c>
      <c r="I3889" s="33" t="n">
        <v>6947.51</v>
      </c>
      <c r="J3889" s="13">
        <f>+J3888+I3889</f>
        <v>326947.51</v>
      </c>
      <c r="K3889" s="19">
        <f>+EOMONTH(B3889,0)</f>
        <v>46265</v>
      </c>
      <c r="L3889" s="3" t="inlineStr">
        <is>
          <t>Rent Expense</t>
        </is>
      </c>
      <c r="M3889" s="3" t="inlineStr">
        <is>
          <t>Facility Rent</t>
        </is>
      </c>
    </row>
    <row r="3890">
      <c r="B3890" s="39" t="n">
        <v>46240</v>
      </c>
      <c r="C3890" s="3" t="inlineStr">
        <is>
          <t>Bill</t>
        </is>
      </c>
      <c r="D3890" s="3" t="inlineStr"/>
      <c r="E3890" s="3" t="inlineStr">
        <is>
          <t>Halloway Ridge Realty (rent)</t>
        </is>
      </c>
      <c r="F3890" s="3" t="inlineStr">
        <is>
          <t>Rent – August</t>
        </is>
      </c>
      <c r="G3890" s="3" t="inlineStr">
        <is>
          <t>Accounts Payable</t>
        </is>
      </c>
      <c r="H3890" s="3" t="inlineStr">
        <is>
          <t>Rent Expense</t>
        </is>
      </c>
      <c r="I3890" s="33" t="n">
        <v>9538.280000000001</v>
      </c>
      <c r="J3890" s="13">
        <f>+J3889+I3890</f>
        <v>336485.79</v>
      </c>
      <c r="K3890" s="19">
        <f>+EOMONTH(B3890,0)</f>
        <v>46265</v>
      </c>
      <c r="L3890" s="3" t="inlineStr">
        <is>
          <t>Rent Expense</t>
        </is>
      </c>
      <c r="M3890" s="3" t="inlineStr">
        <is>
          <t>Facility Rent</t>
        </is>
      </c>
    </row>
    <row r="3891">
      <c r="B3891" s="39" t="n">
        <v>46248</v>
      </c>
      <c r="C3891" s="3" t="inlineStr">
        <is>
          <t>Bill</t>
        </is>
      </c>
      <c r="D3891" s="3" t="inlineStr"/>
      <c r="E3891" s="3" t="inlineStr">
        <is>
          <t>Halloway Ridge Realty (rent)</t>
        </is>
      </c>
      <c r="F3891" s="3" t="inlineStr">
        <is>
          <t>Rent – August</t>
        </is>
      </c>
      <c r="G3891" s="3" t="inlineStr">
        <is>
          <t>Accounts Payable</t>
        </is>
      </c>
      <c r="H3891" s="3" t="inlineStr">
        <is>
          <t>Rent Expense</t>
        </is>
      </c>
      <c r="I3891" s="33" t="n">
        <v>15539.74</v>
      </c>
      <c r="J3891" s="13">
        <f>+J3890+I3891</f>
        <v>352025.53</v>
      </c>
      <c r="K3891" s="19">
        <f>+EOMONTH(B3891,0)</f>
        <v>46265</v>
      </c>
      <c r="L3891" s="3" t="inlineStr">
        <is>
          <t>Rent Expense</t>
        </is>
      </c>
      <c r="M3891" s="3" t="inlineStr">
        <is>
          <t>Facility Rent</t>
        </is>
      </c>
    </row>
    <row r="3892">
      <c r="B3892" s="39" t="n">
        <v>46261</v>
      </c>
      <c r="C3892" s="3" t="inlineStr">
        <is>
          <t>Bill</t>
        </is>
      </c>
      <c r="D3892" s="3" t="inlineStr"/>
      <c r="E3892" s="3" t="inlineStr">
        <is>
          <t>Halloway Ridge Realty (rent)</t>
        </is>
      </c>
      <c r="F3892" s="3" t="inlineStr">
        <is>
          <t>Rent – August</t>
        </is>
      </c>
      <c r="G3892" s="3" t="inlineStr">
        <is>
          <t>Accounts Payable</t>
        </is>
      </c>
      <c r="H3892" s="3" t="inlineStr">
        <is>
          <t>Rent Expense</t>
        </is>
      </c>
      <c r="I3892" s="33" t="n">
        <v>11474.47</v>
      </c>
      <c r="J3892" s="13">
        <f>+J3891+I3892</f>
        <v>363500</v>
      </c>
      <c r="K3892" s="19">
        <f>+EOMONTH(B3892,0)</f>
        <v>46265</v>
      </c>
      <c r="L3892" s="3" t="inlineStr">
        <is>
          <t>Rent Expense</t>
        </is>
      </c>
      <c r="M3892" s="3" t="inlineStr">
        <is>
          <t>Facility Rent</t>
        </is>
      </c>
    </row>
    <row r="3893">
      <c r="B3893" s="39" t="n">
        <v>46267</v>
      </c>
      <c r="C3893" s="3" t="inlineStr">
        <is>
          <t>Bill</t>
        </is>
      </c>
      <c r="D3893" s="3" t="inlineStr"/>
      <c r="E3893" s="3" t="inlineStr">
        <is>
          <t>Halloway Ridge Realty (rent)</t>
        </is>
      </c>
      <c r="F3893" s="3" t="inlineStr">
        <is>
          <t>Rent – September</t>
        </is>
      </c>
      <c r="G3893" s="3" t="inlineStr">
        <is>
          <t>Accounts Payable</t>
        </is>
      </c>
      <c r="H3893" s="3" t="inlineStr">
        <is>
          <t>Rent Expense</t>
        </is>
      </c>
      <c r="I3893" s="33" t="n">
        <v>12754.24</v>
      </c>
      <c r="J3893" s="13">
        <f>+J3892+I3893</f>
        <v>376254.24</v>
      </c>
      <c r="K3893" s="19">
        <f>+EOMONTH(B3893,0)</f>
        <v>46295</v>
      </c>
      <c r="L3893" s="3" t="inlineStr">
        <is>
          <t>Rent Expense</t>
        </is>
      </c>
      <c r="M3893" s="3" t="inlineStr">
        <is>
          <t>Facility Rent</t>
        </is>
      </c>
    </row>
    <row r="3894">
      <c r="B3894" s="39" t="n">
        <v>46287</v>
      </c>
      <c r="C3894" s="3" t="inlineStr">
        <is>
          <t>Bill</t>
        </is>
      </c>
      <c r="D3894" s="3" t="inlineStr"/>
      <c r="E3894" s="3" t="inlineStr">
        <is>
          <t>Halloway Ridge Realty (rent)</t>
        </is>
      </c>
      <c r="F3894" s="3" t="inlineStr">
        <is>
          <t>Rent – September</t>
        </is>
      </c>
      <c r="G3894" s="3" t="inlineStr">
        <is>
          <t>Accounts Payable</t>
        </is>
      </c>
      <c r="H3894" s="3" t="inlineStr">
        <is>
          <t>Rent Expense</t>
        </is>
      </c>
      <c r="I3894" s="33" t="n">
        <v>11469.45</v>
      </c>
      <c r="J3894" s="13">
        <f>+J3893+I3894</f>
        <v>387723.69</v>
      </c>
      <c r="K3894" s="19">
        <f>+EOMONTH(B3894,0)</f>
        <v>46295</v>
      </c>
      <c r="L3894" s="3" t="inlineStr">
        <is>
          <t>Rent Expense</t>
        </is>
      </c>
      <c r="M3894" s="3" t="inlineStr">
        <is>
          <t>Facility Rent</t>
        </is>
      </c>
    </row>
    <row r="3895">
      <c r="B3895" s="39" t="n">
        <v>46290</v>
      </c>
      <c r="C3895" s="3" t="inlineStr">
        <is>
          <t>Bill</t>
        </is>
      </c>
      <c r="D3895" s="3" t="inlineStr"/>
      <c r="E3895" s="3" t="inlineStr">
        <is>
          <t>Halloway Ridge Realty (rent)</t>
        </is>
      </c>
      <c r="F3895" s="3" t="inlineStr">
        <is>
          <t>Rent – September</t>
        </is>
      </c>
      <c r="G3895" s="3" t="inlineStr">
        <is>
          <t>Accounts Payable</t>
        </is>
      </c>
      <c r="H3895" s="3" t="inlineStr">
        <is>
          <t>Rent Expense</t>
        </is>
      </c>
      <c r="I3895" s="33" t="n">
        <v>19130.3</v>
      </c>
      <c r="J3895" s="13">
        <f>+J3894+I3895</f>
        <v>406853.99</v>
      </c>
      <c r="K3895" s="19">
        <f>+EOMONTH(B3895,0)</f>
        <v>46295</v>
      </c>
      <c r="L3895" s="3" t="inlineStr">
        <is>
          <t>Rent Expense</t>
        </is>
      </c>
      <c r="M3895" s="3" t="inlineStr">
        <is>
          <t>Facility Rent</t>
        </is>
      </c>
    </row>
    <row r="3896">
      <c r="B3896" s="39" t="n">
        <v>46310</v>
      </c>
      <c r="C3896" s="3" t="inlineStr">
        <is>
          <t>Bill</t>
        </is>
      </c>
      <c r="D3896" s="3" t="inlineStr"/>
      <c r="E3896" s="3" t="inlineStr">
        <is>
          <t>Halloway Ridge Realty (rent)</t>
        </is>
      </c>
      <c r="F3896" s="3" t="inlineStr">
        <is>
          <t>Rent – October</t>
        </is>
      </c>
      <c r="G3896" s="3" t="inlineStr">
        <is>
          <t>Accounts Payable</t>
        </is>
      </c>
      <c r="H3896" s="3" t="inlineStr">
        <is>
          <t>Rent Expense</t>
        </is>
      </c>
      <c r="I3896" s="33" t="n">
        <v>10941.39</v>
      </c>
      <c r="J3896" s="13">
        <f>+J3895+I3896</f>
        <v>417795.38</v>
      </c>
      <c r="K3896" s="19">
        <f>+EOMONTH(B3896,0)</f>
        <v>46326</v>
      </c>
      <c r="L3896" s="3" t="inlineStr">
        <is>
          <t>Rent Expense</t>
        </is>
      </c>
      <c r="M3896" s="3" t="inlineStr">
        <is>
          <t>Facility Rent</t>
        </is>
      </c>
    </row>
    <row r="3897">
      <c r="B3897" s="39" t="n">
        <v>46319</v>
      </c>
      <c r="C3897" s="3" t="inlineStr">
        <is>
          <t>Bill</t>
        </is>
      </c>
      <c r="D3897" s="3" t="inlineStr"/>
      <c r="E3897" s="3" t="inlineStr">
        <is>
          <t>Halloway Ridge Realty (rent)</t>
        </is>
      </c>
      <c r="F3897" s="3" t="inlineStr">
        <is>
          <t>Rent – October</t>
        </is>
      </c>
      <c r="G3897" s="3" t="inlineStr">
        <is>
          <t>Accounts Payable</t>
        </is>
      </c>
      <c r="H3897" s="3" t="inlineStr">
        <is>
          <t>Rent Expense</t>
        </is>
      </c>
      <c r="I3897" s="33" t="n">
        <v>10034.77</v>
      </c>
      <c r="J3897" s="13">
        <f>+J3896+I3897</f>
        <v>427830.15</v>
      </c>
      <c r="K3897" s="19">
        <f>+EOMONTH(B3897,0)</f>
        <v>46326</v>
      </c>
      <c r="L3897" s="3" t="inlineStr">
        <is>
          <t>Rent Expense</t>
        </is>
      </c>
      <c r="M3897" s="3" t="inlineStr">
        <is>
          <t>Facility Rent</t>
        </is>
      </c>
    </row>
    <row r="3898">
      <c r="B3898" s="39" t="n">
        <v>46319</v>
      </c>
      <c r="C3898" s="3" t="inlineStr">
        <is>
          <t>Bill</t>
        </is>
      </c>
      <c r="D3898" s="3" t="inlineStr"/>
      <c r="E3898" s="3" t="inlineStr">
        <is>
          <t>Halloway Ridge Realty (rent)</t>
        </is>
      </c>
      <c r="F3898" s="3" t="inlineStr">
        <is>
          <t>Rent – October</t>
        </is>
      </c>
      <c r="G3898" s="3" t="inlineStr">
        <is>
          <t>Accounts Payable</t>
        </is>
      </c>
      <c r="H3898" s="3" t="inlineStr">
        <is>
          <t>Rent Expense</t>
        </is>
      </c>
      <c r="I3898" s="33" t="n">
        <v>10048.35</v>
      </c>
      <c r="J3898" s="13">
        <f>+J3897+I3898</f>
        <v>437878.5</v>
      </c>
      <c r="K3898" s="19">
        <f>+EOMONTH(B3898,0)</f>
        <v>46326</v>
      </c>
      <c r="L3898" s="3" t="inlineStr">
        <is>
          <t>Rent Expense</t>
        </is>
      </c>
      <c r="M3898" s="3" t="inlineStr">
        <is>
          <t>Facility Rent</t>
        </is>
      </c>
    </row>
    <row r="3899">
      <c r="B3899" s="39" t="n">
        <v>46324</v>
      </c>
      <c r="C3899" s="3" t="inlineStr">
        <is>
          <t>Bill</t>
        </is>
      </c>
      <c r="D3899" s="3" t="inlineStr"/>
      <c r="E3899" s="3" t="inlineStr">
        <is>
          <t>Halloway Ridge Realty (rent)</t>
        </is>
      </c>
      <c r="F3899" s="3" t="inlineStr">
        <is>
          <t>Rent – October</t>
        </is>
      </c>
      <c r="G3899" s="3" t="inlineStr">
        <is>
          <t>Accounts Payable</t>
        </is>
      </c>
      <c r="H3899" s="3" t="inlineStr">
        <is>
          <t>Rent Expense</t>
        </is>
      </c>
      <c r="I3899" s="33" t="n">
        <v>12718.39</v>
      </c>
      <c r="J3899" s="13">
        <f>+J3898+I3899</f>
        <v>450596.89</v>
      </c>
      <c r="K3899" s="19">
        <f>+EOMONTH(B3899,0)</f>
        <v>46326</v>
      </c>
      <c r="L3899" s="3" t="inlineStr">
        <is>
          <t>Rent Expense</t>
        </is>
      </c>
      <c r="M3899" s="3" t="inlineStr">
        <is>
          <t>Facility Rent</t>
        </is>
      </c>
    </row>
    <row r="3900">
      <c r="B3900" s="39" t="n">
        <v>46328</v>
      </c>
      <c r="C3900" s="3" t="inlineStr">
        <is>
          <t>Bill</t>
        </is>
      </c>
      <c r="D3900" s="3" t="inlineStr"/>
      <c r="E3900" s="3" t="inlineStr">
        <is>
          <t>Halloway Ridge Realty (rent)</t>
        </is>
      </c>
      <c r="F3900" s="3" t="inlineStr">
        <is>
          <t>Rent – November</t>
        </is>
      </c>
      <c r="G3900" s="3" t="inlineStr">
        <is>
          <t>Accounts Payable</t>
        </is>
      </c>
      <c r="H3900" s="3" t="inlineStr">
        <is>
          <t>Rent Expense</t>
        </is>
      </c>
      <c r="I3900" s="33" t="n">
        <v>10289.73</v>
      </c>
      <c r="J3900" s="13">
        <f>+J3899+I3900</f>
        <v>460886.62</v>
      </c>
      <c r="K3900" s="19">
        <f>+EOMONTH(B3900,0)</f>
        <v>46356</v>
      </c>
      <c r="L3900" s="3" t="inlineStr">
        <is>
          <t>Rent Expense</t>
        </is>
      </c>
      <c r="M3900" s="3" t="inlineStr">
        <is>
          <t>Facility Rent</t>
        </is>
      </c>
    </row>
    <row r="3901">
      <c r="B3901" s="39" t="n">
        <v>46334</v>
      </c>
      <c r="C3901" s="3" t="inlineStr">
        <is>
          <t>Bill</t>
        </is>
      </c>
      <c r="D3901" s="3" t="inlineStr"/>
      <c r="E3901" s="3" t="inlineStr">
        <is>
          <t>Halloway Ridge Realty (rent)</t>
        </is>
      </c>
      <c r="F3901" s="3" t="inlineStr">
        <is>
          <t>Rent – November</t>
        </is>
      </c>
      <c r="G3901" s="3" t="inlineStr">
        <is>
          <t>Accounts Payable</t>
        </is>
      </c>
      <c r="H3901" s="3" t="inlineStr">
        <is>
          <t>Rent Expense</t>
        </is>
      </c>
      <c r="I3901" s="33" t="n">
        <v>5635.31</v>
      </c>
      <c r="J3901" s="13">
        <f>+J3900+I3901</f>
        <v>466521.93</v>
      </c>
      <c r="K3901" s="19">
        <f>+EOMONTH(B3901,0)</f>
        <v>46356</v>
      </c>
      <c r="L3901" s="3" t="inlineStr">
        <is>
          <t>Rent Expense</t>
        </is>
      </c>
      <c r="M3901" s="3" t="inlineStr">
        <is>
          <t>Facility Rent</t>
        </is>
      </c>
    </row>
    <row r="3902">
      <c r="B3902" s="39" t="n">
        <v>46334</v>
      </c>
      <c r="C3902" s="3" t="inlineStr">
        <is>
          <t>Bill</t>
        </is>
      </c>
      <c r="D3902" s="3" t="inlineStr"/>
      <c r="E3902" s="3" t="inlineStr">
        <is>
          <t>Halloway Ridge Realty (rent)</t>
        </is>
      </c>
      <c r="F3902" s="3" t="inlineStr">
        <is>
          <t>Rent – November</t>
        </is>
      </c>
      <c r="G3902" s="3" t="inlineStr">
        <is>
          <t>Accounts Payable</t>
        </is>
      </c>
      <c r="H3902" s="3" t="inlineStr">
        <is>
          <t>Rent Expense</t>
        </is>
      </c>
      <c r="I3902" s="33" t="n">
        <v>7549.79</v>
      </c>
      <c r="J3902" s="13">
        <f>+J3901+I3902</f>
        <v>474071.72</v>
      </c>
      <c r="K3902" s="19">
        <f>+EOMONTH(B3902,0)</f>
        <v>46356</v>
      </c>
      <c r="L3902" s="3" t="inlineStr">
        <is>
          <t>Rent Expense</t>
        </is>
      </c>
      <c r="M3902" s="3" t="inlineStr">
        <is>
          <t>Facility Rent</t>
        </is>
      </c>
    </row>
    <row r="3903">
      <c r="B3903" s="39" t="n">
        <v>46340</v>
      </c>
      <c r="C3903" s="3" t="inlineStr">
        <is>
          <t>Bill</t>
        </is>
      </c>
      <c r="D3903" s="3" t="inlineStr"/>
      <c r="E3903" s="3" t="inlineStr">
        <is>
          <t>Halloway Ridge Realty (rent)</t>
        </is>
      </c>
      <c r="F3903" s="3" t="inlineStr">
        <is>
          <t>Rent – November</t>
        </is>
      </c>
      <c r="G3903" s="3" t="inlineStr">
        <is>
          <t>Accounts Payable</t>
        </is>
      </c>
      <c r="H3903" s="3" t="inlineStr">
        <is>
          <t>Rent Expense</t>
        </is>
      </c>
      <c r="I3903" s="33" t="n">
        <v>8863.25</v>
      </c>
      <c r="J3903" s="13">
        <f>+J3902+I3903</f>
        <v>482934.97</v>
      </c>
      <c r="K3903" s="19">
        <f>+EOMONTH(B3903,0)</f>
        <v>46356</v>
      </c>
      <c r="L3903" s="3" t="inlineStr">
        <is>
          <t>Rent Expense</t>
        </is>
      </c>
      <c r="M3903" s="3" t="inlineStr">
        <is>
          <t>Facility Rent</t>
        </is>
      </c>
    </row>
    <row r="3904">
      <c r="B3904" s="39" t="n">
        <v>46355</v>
      </c>
      <c r="C3904" s="3" t="inlineStr">
        <is>
          <t>Bill</t>
        </is>
      </c>
      <c r="D3904" s="3" t="inlineStr"/>
      <c r="E3904" s="3" t="inlineStr">
        <is>
          <t>Halloway Ridge Realty (rent)</t>
        </is>
      </c>
      <c r="F3904" s="3" t="inlineStr">
        <is>
          <t>Rent – November</t>
        </is>
      </c>
      <c r="G3904" s="3" t="inlineStr">
        <is>
          <t>Accounts Payable</t>
        </is>
      </c>
      <c r="H3904" s="3" t="inlineStr">
        <is>
          <t>Rent Expense</t>
        </is>
      </c>
      <c r="I3904" s="33" t="n">
        <v>13022.08</v>
      </c>
      <c r="J3904" s="13">
        <f>+J3903+I3904</f>
        <v>495957.05</v>
      </c>
      <c r="K3904" s="19">
        <f>+EOMONTH(B3904,0)</f>
        <v>46356</v>
      </c>
      <c r="L3904" s="3" t="inlineStr">
        <is>
          <t>Rent Expense</t>
        </is>
      </c>
      <c r="M3904" s="3" t="inlineStr">
        <is>
          <t>Facility Rent</t>
        </is>
      </c>
    </row>
    <row r="3905">
      <c r="A3905" s="2" t="inlineStr">
        <is>
          <t>Total for Rent Expense</t>
        </is>
      </c>
      <c r="I3905" s="35">
        <f>SUM(I3863:I3904)</f>
        <v>495957.05</v>
      </c>
    </row>
    <row r="3907">
      <c r="A3907" s="2" t="inlineStr">
        <is>
          <t>Repairs and Maintenance</t>
        </is>
      </c>
    </row>
    <row r="3908">
      <c r="B3908" s="39" t="n">
        <v>46029</v>
      </c>
      <c r="C3908" s="3" t="inlineStr">
        <is>
          <t>Journal Entry</t>
        </is>
      </c>
      <c r="D3908" s="3" t="inlineStr">
        <is>
          <t>JE-2720</t>
        </is>
      </c>
      <c r="E3908" s="3" t="inlineStr">
        <is>
          <t>Lumenlease Equipment</t>
        </is>
      </c>
      <c r="F3908" s="3" t="inlineStr">
        <is>
          <t>Repairs and Maintenance – January</t>
        </is>
      </c>
      <c r="G3908" s="3" t="inlineStr">
        <is>
          <t>Checking – Operating</t>
        </is>
      </c>
      <c r="H3908" s="3" t="inlineStr">
        <is>
          <t>Repairs and Maintenance</t>
        </is>
      </c>
      <c r="I3908" s="33" t="n">
        <v>1850.58</v>
      </c>
      <c r="J3908" s="13">
        <f>+I3908</f>
        <v>1850.58</v>
      </c>
      <c r="K3908" s="19">
        <f>+EOMONTH(B3908,0)</f>
        <v>46053</v>
      </c>
      <c r="L3908" s="3" t="inlineStr">
        <is>
          <t>Repairs and Maintenance</t>
        </is>
      </c>
      <c r="M3908" s="3" t="inlineStr">
        <is>
          <t>Facility Repairs &amp; Maintenance</t>
        </is>
      </c>
    </row>
    <row r="3909">
      <c r="B3909" s="39" t="n">
        <v>46034</v>
      </c>
      <c r="C3909" s="3" t="inlineStr">
        <is>
          <t>Expense</t>
        </is>
      </c>
      <c r="D3909" s="3" t="inlineStr">
        <is>
          <t>11003</t>
        </is>
      </c>
      <c r="E3909" s="3" t="inlineStr">
        <is>
          <t>Lumenlease Equipment</t>
        </is>
      </c>
      <c r="F3909" s="3" t="inlineStr">
        <is>
          <t>Repairs and Maintenance – January</t>
        </is>
      </c>
      <c r="G3909" s="3" t="inlineStr">
        <is>
          <t>Checking – Operating</t>
        </is>
      </c>
      <c r="H3909" s="3" t="inlineStr">
        <is>
          <t>Repairs and Maintenance</t>
        </is>
      </c>
      <c r="I3909" s="33" t="n">
        <v>3324.4</v>
      </c>
      <c r="J3909" s="13">
        <f>+J3908+I3909</f>
        <v>5174.98</v>
      </c>
      <c r="K3909" s="19">
        <f>+EOMONTH(B3909,0)</f>
        <v>46053</v>
      </c>
      <c r="L3909" s="3" t="inlineStr">
        <is>
          <t>Repairs and Maintenance</t>
        </is>
      </c>
      <c r="M3909" s="3" t="inlineStr">
        <is>
          <t>Facility Repairs &amp; Maintenance</t>
        </is>
      </c>
    </row>
    <row r="3910">
      <c r="B3910" s="39" t="n">
        <v>46042</v>
      </c>
      <c r="C3910" s="3" t="inlineStr">
        <is>
          <t>Journal Entry</t>
        </is>
      </c>
      <c r="D3910" s="3" t="inlineStr">
        <is>
          <t>JE-2719</t>
        </is>
      </c>
      <c r="E3910" s="3" t="inlineStr">
        <is>
          <t>Lumenlease Equipment</t>
        </is>
      </c>
      <c r="F3910" s="3" t="inlineStr">
        <is>
          <t>Repairs and Maintenance – January</t>
        </is>
      </c>
      <c r="G3910" s="3" t="inlineStr">
        <is>
          <t>Checking – Operating</t>
        </is>
      </c>
      <c r="H3910" s="3" t="inlineStr">
        <is>
          <t>Repairs and Maintenance</t>
        </is>
      </c>
      <c r="I3910" s="33" t="n">
        <v>1549.42</v>
      </c>
      <c r="J3910" s="13">
        <f>+J3909+I3910</f>
        <v>6724.4</v>
      </c>
      <c r="K3910" s="19">
        <f>+EOMONTH(B3910,0)</f>
        <v>46053</v>
      </c>
      <c r="L3910" s="3" t="inlineStr">
        <is>
          <t>Repairs and Maintenance</t>
        </is>
      </c>
      <c r="M3910" s="3" t="inlineStr">
        <is>
          <t>Facility Repairs &amp; Maintenance</t>
        </is>
      </c>
    </row>
    <row r="3911">
      <c r="B3911" s="39" t="n">
        <v>46049</v>
      </c>
      <c r="C3911" s="3" t="inlineStr">
        <is>
          <t>Journal Entry</t>
        </is>
      </c>
      <c r="D3911" s="3" t="inlineStr">
        <is>
          <t>JE-2756</t>
        </is>
      </c>
      <c r="E3911" s="3" t="inlineStr">
        <is>
          <t>Lumenlease Equipment</t>
        </is>
      </c>
      <c r="F3911" s="3" t="inlineStr">
        <is>
          <t>Repairs and Maintenance – January</t>
        </is>
      </c>
      <c r="G3911" s="3" t="inlineStr">
        <is>
          <t>Checking – Operating</t>
        </is>
      </c>
      <c r="H3911" s="3" t="inlineStr">
        <is>
          <t>Repairs and Maintenance</t>
        </is>
      </c>
      <c r="I3911" s="33" t="n">
        <v>5875.6</v>
      </c>
      <c r="J3911" s="13">
        <f>+J3910+I3911</f>
        <v>12600</v>
      </c>
      <c r="K3911" s="19">
        <f>+EOMONTH(B3911,0)</f>
        <v>46053</v>
      </c>
      <c r="L3911" s="3" t="inlineStr">
        <is>
          <t>Repairs and Maintenance</t>
        </is>
      </c>
      <c r="M3911" s="3" t="inlineStr">
        <is>
          <t>Facility Repairs &amp; Maintenance</t>
        </is>
      </c>
    </row>
    <row r="3912">
      <c r="B3912" s="39" t="n">
        <v>46056</v>
      </c>
      <c r="C3912" s="3" t="inlineStr">
        <is>
          <t>Expense</t>
        </is>
      </c>
      <c r="D3912" s="3" t="inlineStr">
        <is>
          <t>11004</t>
        </is>
      </c>
      <c r="E3912" s="3" t="inlineStr">
        <is>
          <t>Lumenlease Equipment</t>
        </is>
      </c>
      <c r="F3912" s="3" t="inlineStr">
        <is>
          <t>Repairs and Maintenance – February</t>
        </is>
      </c>
      <c r="G3912" s="3" t="inlineStr">
        <is>
          <t>Checking – Operating</t>
        </is>
      </c>
      <c r="H3912" s="3" t="inlineStr">
        <is>
          <t>Repairs and Maintenance</t>
        </is>
      </c>
      <c r="I3912" s="33" t="n">
        <v>4928.29</v>
      </c>
      <c r="J3912" s="13">
        <f>+J3911+I3912</f>
        <v>17528.29</v>
      </c>
      <c r="K3912" s="19">
        <f>+EOMONTH(B3912,0)</f>
        <v>46081</v>
      </c>
      <c r="L3912" s="3" t="inlineStr">
        <is>
          <t>Repairs and Maintenance</t>
        </is>
      </c>
      <c r="M3912" s="3" t="inlineStr">
        <is>
          <t>Facility Repairs &amp; Maintenance</t>
        </is>
      </c>
    </row>
    <row r="3913">
      <c r="B3913" s="39" t="n">
        <v>46057</v>
      </c>
      <c r="C3913" s="3" t="inlineStr">
        <is>
          <t>Expense</t>
        </is>
      </c>
      <c r="D3913" s="3" t="inlineStr">
        <is>
          <t>10938</t>
        </is>
      </c>
      <c r="E3913" s="3" t="inlineStr">
        <is>
          <t>Lumenlease Equipment</t>
        </is>
      </c>
      <c r="F3913" s="3" t="inlineStr">
        <is>
          <t>Repairs and Maintenance – February</t>
        </is>
      </c>
      <c r="G3913" s="3" t="inlineStr">
        <is>
          <t>Checking – Operating</t>
        </is>
      </c>
      <c r="H3913" s="3" t="inlineStr">
        <is>
          <t>Repairs and Maintenance</t>
        </is>
      </c>
      <c r="I3913" s="33" t="n">
        <v>1576.38</v>
      </c>
      <c r="J3913" s="13">
        <f>+J3912+I3913</f>
        <v>19104.67</v>
      </c>
      <c r="K3913" s="19">
        <f>+EOMONTH(B3913,0)</f>
        <v>46081</v>
      </c>
      <c r="L3913" s="3" t="inlineStr">
        <is>
          <t>Repairs and Maintenance</t>
        </is>
      </c>
      <c r="M3913" s="3" t="inlineStr">
        <is>
          <t>Facility Repairs &amp; Maintenance</t>
        </is>
      </c>
    </row>
    <row r="3914">
      <c r="B3914" s="39" t="n">
        <v>46071</v>
      </c>
      <c r="C3914" s="3" t="inlineStr">
        <is>
          <t>Expense</t>
        </is>
      </c>
      <c r="D3914" s="3" t="inlineStr">
        <is>
          <t>10937</t>
        </is>
      </c>
      <c r="E3914" s="3" t="inlineStr">
        <is>
          <t>Lumenlease Equipment</t>
        </is>
      </c>
      <c r="F3914" s="3" t="inlineStr">
        <is>
          <t>Repairs and Maintenance – February</t>
        </is>
      </c>
      <c r="G3914" s="3" t="inlineStr">
        <is>
          <t>Checking – Operating</t>
        </is>
      </c>
      <c r="H3914" s="3" t="inlineStr">
        <is>
          <t>Repairs and Maintenance</t>
        </is>
      </c>
      <c r="I3914" s="33" t="n">
        <v>2223.62</v>
      </c>
      <c r="J3914" s="13">
        <f>+J3913+I3914</f>
        <v>21328.29</v>
      </c>
      <c r="K3914" s="19">
        <f>+EOMONTH(B3914,0)</f>
        <v>46081</v>
      </c>
      <c r="L3914" s="3" t="inlineStr">
        <is>
          <t>Repairs and Maintenance</t>
        </is>
      </c>
      <c r="M3914" s="3" t="inlineStr">
        <is>
          <t>Facility Repairs &amp; Maintenance</t>
        </is>
      </c>
    </row>
    <row r="3915">
      <c r="B3915" s="39" t="n">
        <v>46073</v>
      </c>
      <c r="C3915" s="3" t="inlineStr">
        <is>
          <t>Journal Entry</t>
        </is>
      </c>
      <c r="D3915" s="3" t="inlineStr">
        <is>
          <t>JE-2757</t>
        </is>
      </c>
      <c r="E3915" s="3" t="inlineStr">
        <is>
          <t>Lumenlease Equipment</t>
        </is>
      </c>
      <c r="F3915" s="3" t="inlineStr">
        <is>
          <t>Repairs and Maintenance – February</t>
        </is>
      </c>
      <c r="G3915" s="3" t="inlineStr">
        <is>
          <t>Checking – Operating</t>
        </is>
      </c>
      <c r="H3915" s="3" t="inlineStr">
        <is>
          <t>Repairs and Maintenance</t>
        </is>
      </c>
      <c r="I3915" s="33" t="n">
        <v>3771.71</v>
      </c>
      <c r="J3915" s="13">
        <f>+J3914+I3915</f>
        <v>25100</v>
      </c>
      <c r="K3915" s="19">
        <f>+EOMONTH(B3915,0)</f>
        <v>46081</v>
      </c>
      <c r="L3915" s="3" t="inlineStr">
        <is>
          <t>Repairs and Maintenance</t>
        </is>
      </c>
      <c r="M3915" s="3" t="inlineStr">
        <is>
          <t>Facility Repairs &amp; Maintenance</t>
        </is>
      </c>
    </row>
    <row r="3916">
      <c r="B3916" s="39" t="n">
        <v>46083</v>
      </c>
      <c r="C3916" s="3" t="inlineStr">
        <is>
          <t>Expense</t>
        </is>
      </c>
      <c r="D3916" s="3" t="inlineStr">
        <is>
          <t>11006</t>
        </is>
      </c>
      <c r="E3916" s="3" t="inlineStr">
        <is>
          <t>Lumenlease Equipment</t>
        </is>
      </c>
      <c r="F3916" s="3" t="inlineStr">
        <is>
          <t>Repairs and Maintenance – March</t>
        </is>
      </c>
      <c r="G3916" s="3" t="inlineStr">
        <is>
          <t>Checking – Operating</t>
        </is>
      </c>
      <c r="H3916" s="3" t="inlineStr">
        <is>
          <t>Repairs and Maintenance</t>
        </is>
      </c>
      <c r="I3916" s="33" t="n">
        <v>4995.81</v>
      </c>
      <c r="J3916" s="13">
        <f>+J3915+I3916</f>
        <v>30095.81</v>
      </c>
      <c r="K3916" s="19">
        <f>+EOMONTH(B3916,0)</f>
        <v>46112</v>
      </c>
      <c r="L3916" s="3" t="inlineStr">
        <is>
          <t>Repairs and Maintenance</t>
        </is>
      </c>
      <c r="M3916" s="3" t="inlineStr">
        <is>
          <t>Facility Repairs &amp; Maintenance</t>
        </is>
      </c>
    </row>
    <row r="3917">
      <c r="B3917" s="39" t="n">
        <v>46086</v>
      </c>
      <c r="C3917" s="3" t="inlineStr">
        <is>
          <t>Expense</t>
        </is>
      </c>
      <c r="D3917" s="3" t="inlineStr">
        <is>
          <t>10939</t>
        </is>
      </c>
      <c r="E3917" s="3" t="inlineStr">
        <is>
          <t>Lumenlease Equipment</t>
        </is>
      </c>
      <c r="F3917" s="3" t="inlineStr">
        <is>
          <t>Repairs and Maintenance – March</t>
        </is>
      </c>
      <c r="G3917" s="3" t="inlineStr">
        <is>
          <t>Checking – Operating</t>
        </is>
      </c>
      <c r="H3917" s="3" t="inlineStr">
        <is>
          <t>Repairs and Maintenance</t>
        </is>
      </c>
      <c r="I3917" s="33" t="n">
        <v>1227.21</v>
      </c>
      <c r="J3917" s="13">
        <f>+J3916+I3917</f>
        <v>31323.02</v>
      </c>
      <c r="K3917" s="19">
        <f>+EOMONTH(B3917,0)</f>
        <v>46112</v>
      </c>
      <c r="L3917" s="3" t="inlineStr">
        <is>
          <t>Repairs and Maintenance</t>
        </is>
      </c>
      <c r="M3917" s="3" t="inlineStr">
        <is>
          <t>Facility Repairs &amp; Maintenance</t>
        </is>
      </c>
    </row>
    <row r="3918">
      <c r="B3918" s="39" t="n">
        <v>46098</v>
      </c>
      <c r="C3918" s="3" t="inlineStr">
        <is>
          <t>Journal Entry</t>
        </is>
      </c>
      <c r="D3918" s="3" t="inlineStr">
        <is>
          <t>JE-2721</t>
        </is>
      </c>
      <c r="E3918" s="3" t="inlineStr">
        <is>
          <t>Lumenlease Equipment</t>
        </is>
      </c>
      <c r="F3918" s="3" t="inlineStr">
        <is>
          <t>Repairs and Maintenance – March</t>
        </is>
      </c>
      <c r="G3918" s="3" t="inlineStr">
        <is>
          <t>Checking – Operating</t>
        </is>
      </c>
      <c r="H3918" s="3" t="inlineStr">
        <is>
          <t>Repairs and Maintenance</t>
        </is>
      </c>
      <c r="I3918" s="33" t="n">
        <v>2172.79</v>
      </c>
      <c r="J3918" s="13">
        <f>+J3917+I3918</f>
        <v>33495.81</v>
      </c>
      <c r="K3918" s="19">
        <f>+EOMONTH(B3918,0)</f>
        <v>46112</v>
      </c>
      <c r="L3918" s="3" t="inlineStr">
        <is>
          <t>Repairs and Maintenance</t>
        </is>
      </c>
      <c r="M3918" s="3" t="inlineStr">
        <is>
          <t>Facility Repairs &amp; Maintenance</t>
        </is>
      </c>
    </row>
    <row r="3919">
      <c r="B3919" s="39" t="n">
        <v>46111</v>
      </c>
      <c r="C3919" s="3" t="inlineStr">
        <is>
          <t>Expense</t>
        </is>
      </c>
      <c r="D3919" s="3" t="inlineStr">
        <is>
          <t>11005</t>
        </is>
      </c>
      <c r="E3919" s="3" t="inlineStr">
        <is>
          <t>Lumenlease Equipment</t>
        </is>
      </c>
      <c r="F3919" s="3" t="inlineStr">
        <is>
          <t>Repairs and Maintenance – March</t>
        </is>
      </c>
      <c r="G3919" s="3" t="inlineStr">
        <is>
          <t>Checking – Operating</t>
        </is>
      </c>
      <c r="H3919" s="3" t="inlineStr">
        <is>
          <t>Repairs and Maintenance</t>
        </is>
      </c>
      <c r="I3919" s="33" t="n">
        <v>3704.19</v>
      </c>
      <c r="J3919" s="13">
        <f>+J3918+I3919</f>
        <v>37200</v>
      </c>
      <c r="K3919" s="19">
        <f>+EOMONTH(B3919,0)</f>
        <v>46112</v>
      </c>
      <c r="L3919" s="3" t="inlineStr">
        <is>
          <t>Repairs and Maintenance</t>
        </is>
      </c>
      <c r="M3919" s="3" t="inlineStr">
        <is>
          <t>Facility Repairs &amp; Maintenance</t>
        </is>
      </c>
    </row>
    <row r="3920">
      <c r="B3920" s="39" t="n">
        <v>46124</v>
      </c>
      <c r="C3920" s="3" t="inlineStr">
        <is>
          <t>Credit Card Expense</t>
        </is>
      </c>
      <c r="D3920" s="3" t="inlineStr"/>
      <c r="E3920" s="3" t="inlineStr">
        <is>
          <t>Lumenlease Equipment</t>
        </is>
      </c>
      <c r="F3920" s="3" t="inlineStr">
        <is>
          <t>Repairs and Maintenance – April</t>
        </is>
      </c>
      <c r="G3920" s="3" t="inlineStr">
        <is>
          <t>Checking – Operating</t>
        </is>
      </c>
      <c r="H3920" s="3" t="inlineStr">
        <is>
          <t>Repairs and Maintenance</t>
        </is>
      </c>
      <c r="I3920" s="33" t="n">
        <v>1390.1</v>
      </c>
      <c r="J3920" s="13">
        <f>+J3919+I3920</f>
        <v>38590.1</v>
      </c>
      <c r="K3920" s="19">
        <f>+EOMONTH(B3920,0)</f>
        <v>46142</v>
      </c>
      <c r="L3920" s="3" t="inlineStr">
        <is>
          <t>Repairs and Maintenance</t>
        </is>
      </c>
      <c r="M3920" s="3" t="inlineStr">
        <is>
          <t>Facility Repairs &amp; Maintenance</t>
        </is>
      </c>
    </row>
    <row r="3921">
      <c r="B3921" s="39" t="n">
        <v>46129</v>
      </c>
      <c r="C3921" s="3" t="inlineStr">
        <is>
          <t>Credit Card Expense</t>
        </is>
      </c>
      <c r="D3921" s="3" t="inlineStr"/>
      <c r="E3921" s="3" t="inlineStr">
        <is>
          <t>Lumenlease Equipment</t>
        </is>
      </c>
      <c r="F3921" s="3" t="inlineStr">
        <is>
          <t>Repairs and Maintenance – April</t>
        </is>
      </c>
      <c r="G3921" s="3" t="inlineStr">
        <is>
          <t>Checking – Operating</t>
        </is>
      </c>
      <c r="H3921" s="3" t="inlineStr">
        <is>
          <t>Repairs and Maintenance</t>
        </is>
      </c>
      <c r="I3921" s="33" t="n">
        <v>2109.9</v>
      </c>
      <c r="J3921" s="13">
        <f>+J3920+I3921</f>
        <v>40700</v>
      </c>
      <c r="K3921" s="19">
        <f>+EOMONTH(B3921,0)</f>
        <v>46142</v>
      </c>
      <c r="L3921" s="3" t="inlineStr">
        <is>
          <t>Repairs and Maintenance</t>
        </is>
      </c>
      <c r="M3921" s="3" t="inlineStr">
        <is>
          <t>Facility Repairs &amp; Maintenance</t>
        </is>
      </c>
    </row>
    <row r="3922">
      <c r="B3922" s="39" t="n">
        <v>46131</v>
      </c>
      <c r="C3922" s="3" t="inlineStr">
        <is>
          <t>Expense</t>
        </is>
      </c>
      <c r="D3922" s="3" t="inlineStr">
        <is>
          <t>11007</t>
        </is>
      </c>
      <c r="E3922" s="3" t="inlineStr">
        <is>
          <t>Lumenlease Equipment</t>
        </is>
      </c>
      <c r="F3922" s="3" t="inlineStr">
        <is>
          <t>Repairs and Maintenance – April</t>
        </is>
      </c>
      <c r="G3922" s="3" t="inlineStr">
        <is>
          <t>Checking – Operating</t>
        </is>
      </c>
      <c r="H3922" s="3" t="inlineStr">
        <is>
          <t>Repairs and Maintenance</t>
        </is>
      </c>
      <c r="I3922" s="33" t="n">
        <v>3851.4</v>
      </c>
      <c r="J3922" s="13">
        <f>+J3921+I3922</f>
        <v>44551.4</v>
      </c>
      <c r="K3922" s="19">
        <f>+EOMONTH(B3922,0)</f>
        <v>46142</v>
      </c>
      <c r="L3922" s="3" t="inlineStr">
        <is>
          <t>Repairs and Maintenance</t>
        </is>
      </c>
      <c r="M3922" s="3" t="inlineStr">
        <is>
          <t>Facility Repairs &amp; Maintenance</t>
        </is>
      </c>
    </row>
    <row r="3923">
      <c r="B3923" s="39" t="n">
        <v>46137</v>
      </c>
      <c r="C3923" s="3" t="inlineStr">
        <is>
          <t>Credit Card Expense</t>
        </is>
      </c>
      <c r="D3923" s="3" t="inlineStr"/>
      <c r="E3923" s="3" t="inlineStr">
        <is>
          <t>Lumenlease Equipment</t>
        </is>
      </c>
      <c r="F3923" s="3" t="inlineStr">
        <is>
          <t>Repairs and Maintenance – April</t>
        </is>
      </c>
      <c r="G3923" s="3" t="inlineStr">
        <is>
          <t>Checking – Operating</t>
        </is>
      </c>
      <c r="H3923" s="3" t="inlineStr">
        <is>
          <t>Repairs and Maintenance</t>
        </is>
      </c>
      <c r="I3923" s="33" t="n">
        <v>5748.6</v>
      </c>
      <c r="J3923" s="13">
        <f>+J3922+I3923</f>
        <v>50300</v>
      </c>
      <c r="K3923" s="19">
        <f>+EOMONTH(B3923,0)</f>
        <v>46142</v>
      </c>
      <c r="L3923" s="3" t="inlineStr">
        <is>
          <t>Repairs and Maintenance</t>
        </is>
      </c>
      <c r="M3923" s="3" t="inlineStr">
        <is>
          <t>Facility Repairs &amp; Maintenance</t>
        </is>
      </c>
    </row>
    <row r="3924">
      <c r="B3924" s="39" t="n">
        <v>46149</v>
      </c>
      <c r="C3924" s="3" t="inlineStr">
        <is>
          <t>Credit Card Expense</t>
        </is>
      </c>
      <c r="D3924" s="3" t="inlineStr"/>
      <c r="E3924" s="3" t="inlineStr">
        <is>
          <t>Lumenlease Equipment</t>
        </is>
      </c>
      <c r="F3924" s="3" t="inlineStr">
        <is>
          <t>Repairs and Maintenance – May</t>
        </is>
      </c>
      <c r="G3924" s="3" t="inlineStr">
        <is>
          <t>Checking – Operating</t>
        </is>
      </c>
      <c r="H3924" s="3" t="inlineStr">
        <is>
          <t>Repairs and Maintenance</t>
        </is>
      </c>
      <c r="I3924" s="33" t="n">
        <v>2105.78</v>
      </c>
      <c r="J3924" s="13">
        <f>+J3923+I3924</f>
        <v>52405.78</v>
      </c>
      <c r="K3924" s="19">
        <f>+EOMONTH(B3924,0)</f>
        <v>46173</v>
      </c>
      <c r="L3924" s="3" t="inlineStr">
        <is>
          <t>Repairs and Maintenance</t>
        </is>
      </c>
      <c r="M3924" s="3" t="inlineStr">
        <is>
          <t>Facility Repairs &amp; Maintenance</t>
        </is>
      </c>
    </row>
    <row r="3925">
      <c r="B3925" s="39" t="n">
        <v>46156</v>
      </c>
      <c r="C3925" s="3" t="inlineStr">
        <is>
          <t>Credit Card Expense</t>
        </is>
      </c>
      <c r="D3925" s="3" t="inlineStr"/>
      <c r="E3925" s="3" t="inlineStr">
        <is>
          <t>Lumenlease Equipment</t>
        </is>
      </c>
      <c r="F3925" s="3" t="inlineStr">
        <is>
          <t>Repairs and Maintenance – May</t>
        </is>
      </c>
      <c r="G3925" s="3" t="inlineStr">
        <is>
          <t>Checking – Operating</t>
        </is>
      </c>
      <c r="H3925" s="3" t="inlineStr">
        <is>
          <t>Repairs and Maintenance</t>
        </is>
      </c>
      <c r="I3925" s="33" t="n">
        <v>5463.41</v>
      </c>
      <c r="J3925" s="13">
        <f>+J3924+I3925</f>
        <v>57869.19</v>
      </c>
      <c r="K3925" s="19">
        <f>+EOMONTH(B3925,0)</f>
        <v>46173</v>
      </c>
      <c r="L3925" s="3" t="inlineStr">
        <is>
          <t>Repairs and Maintenance</t>
        </is>
      </c>
      <c r="M3925" s="3" t="inlineStr">
        <is>
          <t>Facility Repairs &amp; Maintenance</t>
        </is>
      </c>
    </row>
    <row r="3926">
      <c r="B3926" s="39" t="n">
        <v>46156</v>
      </c>
      <c r="C3926" s="3" t="inlineStr">
        <is>
          <t>Expense</t>
        </is>
      </c>
      <c r="D3926" s="3" t="inlineStr">
        <is>
          <t>11008</t>
        </is>
      </c>
      <c r="E3926" s="3" t="inlineStr">
        <is>
          <t>Lumenlease Equipment</t>
        </is>
      </c>
      <c r="F3926" s="3" t="inlineStr">
        <is>
          <t>Repairs and Maintenance – May</t>
        </is>
      </c>
      <c r="G3926" s="3" t="inlineStr">
        <is>
          <t>Checking – Operating</t>
        </is>
      </c>
      <c r="H3926" s="3" t="inlineStr">
        <is>
          <t>Repairs and Maintenance</t>
        </is>
      </c>
      <c r="I3926" s="33" t="n">
        <v>4036.59</v>
      </c>
      <c r="J3926" s="13">
        <f>+J3925+I3926</f>
        <v>61905.78</v>
      </c>
      <c r="K3926" s="19">
        <f>+EOMONTH(B3926,0)</f>
        <v>46173</v>
      </c>
      <c r="L3926" s="3" t="inlineStr">
        <is>
          <t>Repairs and Maintenance</t>
        </is>
      </c>
      <c r="M3926" s="3" t="inlineStr">
        <is>
          <t>Facility Repairs &amp; Maintenance</t>
        </is>
      </c>
    </row>
    <row r="3927">
      <c r="B3927" s="39" t="n">
        <v>46172</v>
      </c>
      <c r="C3927" s="3" t="inlineStr">
        <is>
          <t>Expense</t>
        </is>
      </c>
      <c r="D3927" s="3" t="inlineStr">
        <is>
          <t>10940</t>
        </is>
      </c>
      <c r="E3927" s="3" t="inlineStr">
        <is>
          <t>Lumenlease Equipment</t>
        </is>
      </c>
      <c r="F3927" s="3" t="inlineStr">
        <is>
          <t>Repairs and Maintenance – May</t>
        </is>
      </c>
      <c r="G3927" s="3" t="inlineStr">
        <is>
          <t>Checking – Operating</t>
        </is>
      </c>
      <c r="H3927" s="3" t="inlineStr">
        <is>
          <t>Repairs and Maintenance</t>
        </is>
      </c>
      <c r="I3927" s="33" t="n">
        <v>1594.22</v>
      </c>
      <c r="J3927" s="13">
        <f>+J3926+I3927</f>
        <v>63500</v>
      </c>
      <c r="K3927" s="19">
        <f>+EOMONTH(B3927,0)</f>
        <v>46173</v>
      </c>
      <c r="L3927" s="3" t="inlineStr">
        <is>
          <t>Repairs and Maintenance</t>
        </is>
      </c>
      <c r="M3927" s="3" t="inlineStr">
        <is>
          <t>Facility Repairs &amp; Maintenance</t>
        </is>
      </c>
    </row>
    <row r="3928">
      <c r="B3928" s="39" t="n">
        <v>46180</v>
      </c>
      <c r="C3928" s="3" t="inlineStr">
        <is>
          <t>Credit Card Expense</t>
        </is>
      </c>
      <c r="D3928" s="3" t="inlineStr"/>
      <c r="E3928" s="3" t="inlineStr">
        <is>
          <t>Lumenlease Equipment</t>
        </is>
      </c>
      <c r="F3928" s="3" t="inlineStr">
        <is>
          <t>Repairs and Maintenance – June</t>
        </is>
      </c>
      <c r="G3928" s="3" t="inlineStr">
        <is>
          <t>Checking – Operating</t>
        </is>
      </c>
      <c r="H3928" s="3" t="inlineStr">
        <is>
          <t>Repairs and Maintenance</t>
        </is>
      </c>
      <c r="I3928" s="33" t="n">
        <v>5165.07</v>
      </c>
      <c r="J3928" s="13">
        <f>+J3927+I3928</f>
        <v>68665.07</v>
      </c>
      <c r="K3928" s="19">
        <f>+EOMONTH(B3928,0)</f>
        <v>46203</v>
      </c>
      <c r="L3928" s="3" t="inlineStr">
        <is>
          <t>Repairs and Maintenance</t>
        </is>
      </c>
      <c r="M3928" s="3" t="inlineStr">
        <is>
          <t>Facility Repairs &amp; Maintenance</t>
        </is>
      </c>
    </row>
    <row r="3929">
      <c r="B3929" s="39" t="n">
        <v>46181</v>
      </c>
      <c r="C3929" s="3" t="inlineStr">
        <is>
          <t>Expense</t>
        </is>
      </c>
      <c r="D3929" s="3" t="inlineStr">
        <is>
          <t>11009</t>
        </is>
      </c>
      <c r="E3929" s="3" t="inlineStr">
        <is>
          <t>Lumenlease Equipment</t>
        </is>
      </c>
      <c r="F3929" s="3" t="inlineStr">
        <is>
          <t>Repairs and Maintenance – June</t>
        </is>
      </c>
      <c r="G3929" s="3" t="inlineStr">
        <is>
          <t>Checking – Operating</t>
        </is>
      </c>
      <c r="H3929" s="3" t="inlineStr">
        <is>
          <t>Repairs and Maintenance</t>
        </is>
      </c>
      <c r="I3929" s="33" t="n">
        <v>4434.93</v>
      </c>
      <c r="J3929" s="13">
        <f>+J3928+I3929</f>
        <v>73100</v>
      </c>
      <c r="K3929" s="19">
        <f>+EOMONTH(B3929,0)</f>
        <v>46203</v>
      </c>
      <c r="L3929" s="3" t="inlineStr">
        <is>
          <t>Repairs and Maintenance</t>
        </is>
      </c>
      <c r="M3929" s="3" t="inlineStr">
        <is>
          <t>Facility Repairs &amp; Maintenance</t>
        </is>
      </c>
    </row>
    <row r="3930">
      <c r="B3930" s="39" t="n">
        <v>46185</v>
      </c>
      <c r="C3930" s="3" t="inlineStr">
        <is>
          <t>Credit Card Expense</t>
        </is>
      </c>
      <c r="D3930" s="3" t="inlineStr"/>
      <c r="E3930" s="3" t="inlineStr">
        <is>
          <t>Lumenlease Equipment</t>
        </is>
      </c>
      <c r="F3930" s="3" t="inlineStr">
        <is>
          <t>Repairs and Maintenance – June</t>
        </is>
      </c>
      <c r="G3930" s="3" t="inlineStr">
        <is>
          <t>Checking – Operating</t>
        </is>
      </c>
      <c r="H3930" s="3" t="inlineStr">
        <is>
          <t>Repairs and Maintenance</t>
        </is>
      </c>
      <c r="I3930" s="33" t="n">
        <v>1681.29</v>
      </c>
      <c r="J3930" s="13">
        <f>+J3929+I3930</f>
        <v>74781.29</v>
      </c>
      <c r="K3930" s="19">
        <f>+EOMONTH(B3930,0)</f>
        <v>46203</v>
      </c>
      <c r="L3930" s="3" t="inlineStr">
        <is>
          <t>Repairs and Maintenance</t>
        </is>
      </c>
      <c r="M3930" s="3" t="inlineStr">
        <is>
          <t>Facility Repairs &amp; Maintenance</t>
        </is>
      </c>
    </row>
    <row r="3931">
      <c r="B3931" s="39" t="n">
        <v>46193</v>
      </c>
      <c r="C3931" s="3" t="inlineStr">
        <is>
          <t>Journal Entry</t>
        </is>
      </c>
      <c r="D3931" s="3" t="inlineStr">
        <is>
          <t>JE-2722</t>
        </is>
      </c>
      <c r="E3931" s="3" t="inlineStr">
        <is>
          <t>Lumenlease Equipment</t>
        </is>
      </c>
      <c r="F3931" s="3" t="inlineStr">
        <is>
          <t>Repairs and Maintenance – June</t>
        </is>
      </c>
      <c r="G3931" s="3" t="inlineStr">
        <is>
          <t>Checking – Operating</t>
        </is>
      </c>
      <c r="H3931" s="3" t="inlineStr">
        <is>
          <t>Repairs and Maintenance</t>
        </is>
      </c>
      <c r="I3931" s="33" t="n">
        <v>2018.71</v>
      </c>
      <c r="J3931" s="13">
        <f>+J3930+I3931</f>
        <v>76800</v>
      </c>
      <c r="K3931" s="19">
        <f>+EOMONTH(B3931,0)</f>
        <v>46203</v>
      </c>
      <c r="L3931" s="3" t="inlineStr">
        <is>
          <t>Repairs and Maintenance</t>
        </is>
      </c>
      <c r="M3931" s="3" t="inlineStr">
        <is>
          <t>Facility Repairs &amp; Maintenance</t>
        </is>
      </c>
    </row>
    <row r="3932">
      <c r="B3932" s="39" t="n">
        <v>46206</v>
      </c>
      <c r="C3932" s="3" t="inlineStr">
        <is>
          <t>Expense</t>
        </is>
      </c>
      <c r="D3932" s="3" t="inlineStr">
        <is>
          <t>11010</t>
        </is>
      </c>
      <c r="E3932" s="3" t="inlineStr">
        <is>
          <t>Lumenlease Equipment</t>
        </is>
      </c>
      <c r="F3932" s="3" t="inlineStr">
        <is>
          <t>Repairs and Maintenance – July</t>
        </is>
      </c>
      <c r="G3932" s="3" t="inlineStr">
        <is>
          <t>Checking – Operating</t>
        </is>
      </c>
      <c r="H3932" s="3" t="inlineStr">
        <is>
          <t>Repairs and Maintenance</t>
        </is>
      </c>
      <c r="I3932" s="33" t="n">
        <v>4869.51</v>
      </c>
      <c r="J3932" s="13">
        <f>+J3931+I3932</f>
        <v>81669.51</v>
      </c>
      <c r="K3932" s="19">
        <f>+EOMONTH(B3932,0)</f>
        <v>46234</v>
      </c>
      <c r="L3932" s="3" t="inlineStr">
        <is>
          <t>Repairs and Maintenance</t>
        </is>
      </c>
      <c r="M3932" s="3" t="inlineStr">
        <is>
          <t>Facility Repairs &amp; Maintenance</t>
        </is>
      </c>
    </row>
    <row r="3933">
      <c r="B3933" s="39" t="n">
        <v>46209</v>
      </c>
      <c r="C3933" s="3" t="inlineStr">
        <is>
          <t>Credit Card Expense</t>
        </is>
      </c>
      <c r="D3933" s="3" t="inlineStr"/>
      <c r="E3933" s="3" t="inlineStr">
        <is>
          <t>Lumenlease Equipment</t>
        </is>
      </c>
      <c r="F3933" s="3" t="inlineStr">
        <is>
          <t>Repairs and Maintenance – July</t>
        </is>
      </c>
      <c r="G3933" s="3" t="inlineStr">
        <is>
          <t>Checking – Operating</t>
        </is>
      </c>
      <c r="H3933" s="3" t="inlineStr">
        <is>
          <t>Repairs and Maintenance</t>
        </is>
      </c>
      <c r="I3933" s="33" t="n">
        <v>4730.49</v>
      </c>
      <c r="J3933" s="13">
        <f>+J3932+I3933</f>
        <v>86400</v>
      </c>
      <c r="K3933" s="19">
        <f>+EOMONTH(B3933,0)</f>
        <v>46234</v>
      </c>
      <c r="L3933" s="3" t="inlineStr">
        <is>
          <t>Repairs and Maintenance</t>
        </is>
      </c>
      <c r="M3933" s="3" t="inlineStr">
        <is>
          <t>Facility Repairs &amp; Maintenance</t>
        </is>
      </c>
    </row>
    <row r="3934">
      <c r="B3934" s="39" t="n">
        <v>46210</v>
      </c>
      <c r="C3934" s="3" t="inlineStr">
        <is>
          <t>Journal Entry</t>
        </is>
      </c>
      <c r="D3934" s="3" t="inlineStr">
        <is>
          <t>JE-2724</t>
        </is>
      </c>
      <c r="E3934" s="3" t="inlineStr">
        <is>
          <t>Lumenlease Equipment</t>
        </is>
      </c>
      <c r="F3934" s="3" t="inlineStr">
        <is>
          <t>Repairs and Maintenance – July</t>
        </is>
      </c>
      <c r="G3934" s="3" t="inlineStr">
        <is>
          <t>Checking – Operating</t>
        </is>
      </c>
      <c r="H3934" s="3" t="inlineStr">
        <is>
          <t>Repairs and Maintenance</t>
        </is>
      </c>
      <c r="I3934" s="33" t="n">
        <v>1806.83</v>
      </c>
      <c r="J3934" s="13">
        <f>+J3933+I3934</f>
        <v>88206.83</v>
      </c>
      <c r="K3934" s="19">
        <f>+EOMONTH(B3934,0)</f>
        <v>46234</v>
      </c>
      <c r="L3934" s="3" t="inlineStr">
        <is>
          <t>Repairs and Maintenance</t>
        </is>
      </c>
      <c r="M3934" s="3" t="inlineStr">
        <is>
          <t>Facility Repairs &amp; Maintenance</t>
        </is>
      </c>
    </row>
    <row r="3935">
      <c r="B3935" s="39" t="n">
        <v>46218</v>
      </c>
      <c r="C3935" s="3" t="inlineStr">
        <is>
          <t>Journal Entry</t>
        </is>
      </c>
      <c r="D3935" s="3" t="inlineStr">
        <is>
          <t>JE-2723</t>
        </is>
      </c>
      <c r="E3935" s="3" t="inlineStr">
        <is>
          <t>Lumenlease Equipment</t>
        </is>
      </c>
      <c r="F3935" s="3" t="inlineStr">
        <is>
          <t>Repairs and Maintenance – July</t>
        </is>
      </c>
      <c r="G3935" s="3" t="inlineStr">
        <is>
          <t>Checking – Operating</t>
        </is>
      </c>
      <c r="H3935" s="3" t="inlineStr">
        <is>
          <t>Repairs and Maintenance</t>
        </is>
      </c>
      <c r="I3935" s="33" t="n">
        <v>2093.17</v>
      </c>
      <c r="J3935" s="13">
        <f>+J3934+I3935</f>
        <v>90300</v>
      </c>
      <c r="K3935" s="19">
        <f>+EOMONTH(B3935,0)</f>
        <v>46234</v>
      </c>
      <c r="L3935" s="3" t="inlineStr">
        <is>
          <t>Repairs and Maintenance</t>
        </is>
      </c>
      <c r="M3935" s="3" t="inlineStr">
        <is>
          <t>Facility Repairs &amp; Maintenance</t>
        </is>
      </c>
    </row>
    <row r="3936">
      <c r="B3936" s="39" t="n">
        <v>46240</v>
      </c>
      <c r="C3936" s="3" t="inlineStr">
        <is>
          <t>Journal Entry</t>
        </is>
      </c>
      <c r="D3936" s="3" t="inlineStr">
        <is>
          <t>JE-2725</t>
        </is>
      </c>
      <c r="E3936" s="3" t="inlineStr">
        <is>
          <t>Lumenlease Equipment</t>
        </is>
      </c>
      <c r="F3936" s="3" t="inlineStr">
        <is>
          <t>Repairs and Maintenance – August</t>
        </is>
      </c>
      <c r="G3936" s="3" t="inlineStr">
        <is>
          <t>Checking – Operating</t>
        </is>
      </c>
      <c r="H3936" s="3" t="inlineStr">
        <is>
          <t>Repairs and Maintenance</t>
        </is>
      </c>
      <c r="I3936" s="33" t="n">
        <v>2166.79</v>
      </c>
      <c r="J3936" s="13">
        <f>+J3935+I3936</f>
        <v>92466.79</v>
      </c>
      <c r="K3936" s="19">
        <f>+EOMONTH(B3936,0)</f>
        <v>46265</v>
      </c>
      <c r="L3936" s="3" t="inlineStr">
        <is>
          <t>Repairs and Maintenance</t>
        </is>
      </c>
      <c r="M3936" s="3" t="inlineStr">
        <is>
          <t>Facility Repairs &amp; Maintenance</t>
        </is>
      </c>
    </row>
    <row r="3937">
      <c r="B3937" s="39" t="n">
        <v>46243</v>
      </c>
      <c r="C3937" s="3" t="inlineStr">
        <is>
          <t>Expense</t>
        </is>
      </c>
      <c r="D3937" s="3" t="inlineStr">
        <is>
          <t>11011</t>
        </is>
      </c>
      <c r="E3937" s="3" t="inlineStr">
        <is>
          <t>Lumenlease Equipment</t>
        </is>
      </c>
      <c r="F3937" s="3" t="inlineStr">
        <is>
          <t>Repairs and Maintenance – August</t>
        </is>
      </c>
      <c r="G3937" s="3" t="inlineStr">
        <is>
          <t>Checking – Operating</t>
        </is>
      </c>
      <c r="H3937" s="3" t="inlineStr">
        <is>
          <t>Repairs and Maintenance</t>
        </is>
      </c>
      <c r="I3937" s="33" t="n">
        <v>4155.87</v>
      </c>
      <c r="J3937" s="13">
        <f>+J3936+I3937</f>
        <v>96622.66</v>
      </c>
      <c r="K3937" s="19">
        <f>+EOMONTH(B3937,0)</f>
        <v>46265</v>
      </c>
      <c r="L3937" s="3" t="inlineStr">
        <is>
          <t>Repairs and Maintenance</t>
        </is>
      </c>
      <c r="M3937" s="3" t="inlineStr">
        <is>
          <t>Facility Repairs &amp; Maintenance</t>
        </is>
      </c>
    </row>
    <row r="3938">
      <c r="B3938" s="39" t="n">
        <v>46248</v>
      </c>
      <c r="C3938" s="3" t="inlineStr">
        <is>
          <t>Journal Entry</t>
        </is>
      </c>
      <c r="D3938" s="3" t="inlineStr">
        <is>
          <t>JE-2758</t>
        </is>
      </c>
      <c r="E3938" s="3" t="inlineStr">
        <is>
          <t>Lumenlease Equipment</t>
        </is>
      </c>
      <c r="F3938" s="3" t="inlineStr">
        <is>
          <t>Repairs and Maintenance – August</t>
        </is>
      </c>
      <c r="G3938" s="3" t="inlineStr">
        <is>
          <t>Checking – Operating</t>
        </is>
      </c>
      <c r="H3938" s="3" t="inlineStr">
        <is>
          <t>Repairs and Maintenance</t>
        </is>
      </c>
      <c r="I3938" s="33" t="n">
        <v>5144.13</v>
      </c>
      <c r="J3938" s="13">
        <f>+J3937+I3938</f>
        <v>101766.79</v>
      </c>
      <c r="K3938" s="19">
        <f>+EOMONTH(B3938,0)</f>
        <v>46265</v>
      </c>
      <c r="L3938" s="3" t="inlineStr">
        <is>
          <t>Repairs and Maintenance</t>
        </is>
      </c>
      <c r="M3938" s="3" t="inlineStr">
        <is>
          <t>Facility Repairs &amp; Maintenance</t>
        </is>
      </c>
    </row>
    <row r="3939">
      <c r="B3939" s="39" t="n">
        <v>46250</v>
      </c>
      <c r="C3939" s="3" t="inlineStr">
        <is>
          <t>Expense</t>
        </is>
      </c>
      <c r="D3939" s="3" t="inlineStr">
        <is>
          <t>10941</t>
        </is>
      </c>
      <c r="E3939" s="3" t="inlineStr">
        <is>
          <t>Lumenlease Equipment</t>
        </is>
      </c>
      <c r="F3939" s="3" t="inlineStr">
        <is>
          <t>Repairs and Maintenance – August</t>
        </is>
      </c>
      <c r="G3939" s="3" t="inlineStr">
        <is>
          <t>Checking – Operating</t>
        </is>
      </c>
      <c r="H3939" s="3" t="inlineStr">
        <is>
          <t>Repairs and Maintenance</t>
        </is>
      </c>
      <c r="I3939" s="33" t="n">
        <v>1333.21</v>
      </c>
      <c r="J3939" s="13">
        <f>+J3938+I3939</f>
        <v>103100</v>
      </c>
      <c r="K3939" s="19">
        <f>+EOMONTH(B3939,0)</f>
        <v>46265</v>
      </c>
      <c r="L3939" s="3" t="inlineStr">
        <is>
          <t>Repairs and Maintenance</t>
        </is>
      </c>
      <c r="M3939" s="3" t="inlineStr">
        <is>
          <t>Facility Repairs &amp; Maintenance</t>
        </is>
      </c>
    </row>
    <row r="3940">
      <c r="B3940" s="39" t="n">
        <v>46270</v>
      </c>
      <c r="C3940" s="3" t="inlineStr">
        <is>
          <t>Credit Card Expense</t>
        </is>
      </c>
      <c r="D3940" s="3" t="inlineStr"/>
      <c r="E3940" s="3" t="inlineStr">
        <is>
          <t>Lumenlease Equipment</t>
        </is>
      </c>
      <c r="F3940" s="3" t="inlineStr">
        <is>
          <t>Repairs and Maintenance – September</t>
        </is>
      </c>
      <c r="G3940" s="3" t="inlineStr">
        <is>
          <t>Checking – Operating</t>
        </is>
      </c>
      <c r="H3940" s="3" t="inlineStr">
        <is>
          <t>Repairs and Maintenance</t>
        </is>
      </c>
      <c r="I3940" s="33" t="n">
        <v>5586.04</v>
      </c>
      <c r="J3940" s="13">
        <f>+J3939+I3940</f>
        <v>108686.04</v>
      </c>
      <c r="K3940" s="19">
        <f>+EOMONTH(B3940,0)</f>
        <v>46295</v>
      </c>
      <c r="L3940" s="3" t="inlineStr">
        <is>
          <t>Repairs and Maintenance</t>
        </is>
      </c>
      <c r="M3940" s="3" t="inlineStr">
        <is>
          <t>Facility Repairs &amp; Maintenance</t>
        </is>
      </c>
    </row>
    <row r="3941">
      <c r="B3941" s="39" t="n">
        <v>46273</v>
      </c>
      <c r="C3941" s="3" t="inlineStr">
        <is>
          <t>Journal Entry</t>
        </is>
      </c>
      <c r="D3941" s="3" t="inlineStr">
        <is>
          <t>JE-2726</t>
        </is>
      </c>
      <c r="E3941" s="3" t="inlineStr">
        <is>
          <t>Lumenlease Equipment</t>
        </is>
      </c>
      <c r="F3941" s="3" t="inlineStr">
        <is>
          <t>Repairs and Maintenance – September</t>
        </is>
      </c>
      <c r="G3941" s="3" t="inlineStr">
        <is>
          <t>Checking – Operating</t>
        </is>
      </c>
      <c r="H3941" s="3" t="inlineStr">
        <is>
          <t>Repairs and Maintenance</t>
        </is>
      </c>
      <c r="I3941" s="33" t="n">
        <v>1505.54</v>
      </c>
      <c r="J3941" s="13">
        <f>+J3940+I3941</f>
        <v>110191.58</v>
      </c>
      <c r="K3941" s="19">
        <f>+EOMONTH(B3941,0)</f>
        <v>46295</v>
      </c>
      <c r="L3941" s="3" t="inlineStr">
        <is>
          <t>Repairs and Maintenance</t>
        </is>
      </c>
      <c r="M3941" s="3" t="inlineStr">
        <is>
          <t>Facility Repairs &amp; Maintenance</t>
        </is>
      </c>
    </row>
    <row r="3942">
      <c r="B3942" s="39" t="n">
        <v>46288</v>
      </c>
      <c r="C3942" s="3" t="inlineStr">
        <is>
          <t>Expense</t>
        </is>
      </c>
      <c r="D3942" s="3" t="inlineStr">
        <is>
          <t>10942</t>
        </is>
      </c>
      <c r="E3942" s="3" t="inlineStr">
        <is>
          <t>Lumenlease Equipment</t>
        </is>
      </c>
      <c r="F3942" s="3" t="inlineStr">
        <is>
          <t>Repairs and Maintenance – September</t>
        </is>
      </c>
      <c r="G3942" s="3" t="inlineStr">
        <is>
          <t>Checking – Operating</t>
        </is>
      </c>
      <c r="H3942" s="3" t="inlineStr">
        <is>
          <t>Repairs and Maintenance</t>
        </is>
      </c>
      <c r="I3942" s="33" t="n">
        <v>2248.37</v>
      </c>
      <c r="J3942" s="13">
        <f>+J3941+I3942</f>
        <v>112439.95</v>
      </c>
      <c r="K3942" s="19">
        <f>+EOMONTH(B3942,0)</f>
        <v>46295</v>
      </c>
      <c r="L3942" s="3" t="inlineStr">
        <is>
          <t>Repairs and Maintenance</t>
        </is>
      </c>
      <c r="M3942" s="3" t="inlineStr">
        <is>
          <t>Facility Repairs &amp; Maintenance</t>
        </is>
      </c>
    </row>
    <row r="3943">
      <c r="B3943" s="39" t="n">
        <v>46291</v>
      </c>
      <c r="C3943" s="3" t="inlineStr">
        <is>
          <t>Expense</t>
        </is>
      </c>
      <c r="D3943" s="3" t="inlineStr">
        <is>
          <t>11012</t>
        </is>
      </c>
      <c r="E3943" s="3" t="inlineStr">
        <is>
          <t>Lumenlease Equipment</t>
        </is>
      </c>
      <c r="F3943" s="3" t="inlineStr">
        <is>
          <t>Repairs and Maintenance – September</t>
        </is>
      </c>
      <c r="G3943" s="3" t="inlineStr">
        <is>
          <t>Checking – Operating</t>
        </is>
      </c>
      <c r="H3943" s="3" t="inlineStr">
        <is>
          <t>Repairs and Maintenance</t>
        </is>
      </c>
      <c r="I3943" s="33" t="n">
        <v>3966.83</v>
      </c>
      <c r="J3943" s="13">
        <f>+J3942+I3943</f>
        <v>116406.78</v>
      </c>
      <c r="K3943" s="19">
        <f>+EOMONTH(B3943,0)</f>
        <v>46295</v>
      </c>
      <c r="L3943" s="3" t="inlineStr">
        <is>
          <t>Repairs and Maintenance</t>
        </is>
      </c>
      <c r="M3943" s="3" t="inlineStr">
        <is>
          <t>Facility Repairs &amp; Maintenance</t>
        </is>
      </c>
    </row>
    <row r="3944">
      <c r="B3944" s="39" t="n">
        <v>46309</v>
      </c>
      <c r="C3944" s="3" t="inlineStr">
        <is>
          <t>Journal Entry</t>
        </is>
      </c>
      <c r="D3944" s="3" t="inlineStr">
        <is>
          <t>JE-2727</t>
        </is>
      </c>
      <c r="E3944" s="3" t="inlineStr">
        <is>
          <t>Lumenlease Equipment</t>
        </is>
      </c>
      <c r="F3944" s="3" t="inlineStr">
        <is>
          <t>Repairs and Maintenance – October</t>
        </is>
      </c>
      <c r="G3944" s="3" t="inlineStr">
        <is>
          <t>Checking – Operating</t>
        </is>
      </c>
      <c r="H3944" s="3" t="inlineStr">
        <is>
          <t>Repairs and Maintenance</t>
        </is>
      </c>
      <c r="I3944" s="33" t="n">
        <v>3766.24</v>
      </c>
      <c r="J3944" s="13">
        <f>+J3943+I3944</f>
        <v>120173.02</v>
      </c>
      <c r="K3944" s="19">
        <f>+EOMONTH(B3944,0)</f>
        <v>46326</v>
      </c>
      <c r="L3944" s="3" t="inlineStr">
        <is>
          <t>Repairs and Maintenance</t>
        </is>
      </c>
      <c r="M3944" s="3" t="inlineStr">
        <is>
          <t>Facility Repairs &amp; Maintenance</t>
        </is>
      </c>
    </row>
    <row r="3945">
      <c r="B3945" s="39" t="n">
        <v>46310</v>
      </c>
      <c r="C3945" s="3" t="inlineStr">
        <is>
          <t>Expense</t>
        </is>
      </c>
      <c r="D3945" s="3" t="inlineStr">
        <is>
          <t>11013</t>
        </is>
      </c>
      <c r="E3945" s="3" t="inlineStr">
        <is>
          <t>Lumenlease Equipment</t>
        </is>
      </c>
      <c r="F3945" s="3" t="inlineStr">
        <is>
          <t>Repairs and Maintenance – October</t>
        </is>
      </c>
      <c r="G3945" s="3" t="inlineStr">
        <is>
          <t>Checking – Operating</t>
        </is>
      </c>
      <c r="H3945" s="3" t="inlineStr">
        <is>
          <t>Repairs and Maintenance</t>
        </is>
      </c>
      <c r="I3945" s="33" t="n">
        <v>5750.02</v>
      </c>
      <c r="J3945" s="13">
        <f>+J3944+I3945</f>
        <v>125923.04</v>
      </c>
      <c r="K3945" s="19">
        <f>+EOMONTH(B3945,0)</f>
        <v>46326</v>
      </c>
      <c r="L3945" s="3" t="inlineStr">
        <is>
          <t>Repairs and Maintenance</t>
        </is>
      </c>
      <c r="M3945" s="3" t="inlineStr">
        <is>
          <t>Facility Repairs &amp; Maintenance</t>
        </is>
      </c>
    </row>
    <row r="3946">
      <c r="B3946" s="39" t="n">
        <v>46315</v>
      </c>
      <c r="C3946" s="3" t="inlineStr">
        <is>
          <t>Expense</t>
        </is>
      </c>
      <c r="D3946" s="3" t="inlineStr">
        <is>
          <t>11014</t>
        </is>
      </c>
      <c r="E3946" s="3" t="inlineStr">
        <is>
          <t>Lumenlease Equipment</t>
        </is>
      </c>
      <c r="F3946" s="3" t="inlineStr">
        <is>
          <t>Repairs and Maintenance – October</t>
        </is>
      </c>
      <c r="G3946" s="3" t="inlineStr">
        <is>
          <t>Checking – Operating</t>
        </is>
      </c>
      <c r="H3946" s="3" t="inlineStr">
        <is>
          <t>Repairs and Maintenance</t>
        </is>
      </c>
      <c r="I3946" s="33" t="n">
        <v>3921.35</v>
      </c>
      <c r="J3946" s="13">
        <f>+J3945+I3946</f>
        <v>129844.39</v>
      </c>
      <c r="K3946" s="19">
        <f>+EOMONTH(B3946,0)</f>
        <v>46326</v>
      </c>
      <c r="L3946" s="3" t="inlineStr">
        <is>
          <t>Repairs and Maintenance</t>
        </is>
      </c>
      <c r="M3946" s="3" t="inlineStr">
        <is>
          <t>Facility Repairs &amp; Maintenance</t>
        </is>
      </c>
    </row>
    <row r="3947">
      <c r="B3947" s="39" t="n">
        <v>46327</v>
      </c>
      <c r="C3947" s="3" t="inlineStr">
        <is>
          <t>Expense</t>
        </is>
      </c>
      <c r="D3947" s="3" t="inlineStr">
        <is>
          <t>11015</t>
        </is>
      </c>
      <c r="E3947" s="3" t="inlineStr">
        <is>
          <t>Lumenlease Equipment</t>
        </is>
      </c>
      <c r="F3947" s="3" t="inlineStr">
        <is>
          <t>Repairs and Maintenance – November</t>
        </is>
      </c>
      <c r="G3947" s="3" t="inlineStr">
        <is>
          <t>Checking – Operating</t>
        </is>
      </c>
      <c r="H3947" s="3" t="inlineStr">
        <is>
          <t>Repairs and Maintenance</t>
        </is>
      </c>
      <c r="I3947" s="33" t="n">
        <v>4720.88</v>
      </c>
      <c r="J3947" s="13">
        <f>+J3946+I3947</f>
        <v>134565.27</v>
      </c>
      <c r="K3947" s="19">
        <f>+EOMONTH(B3947,0)</f>
        <v>46356</v>
      </c>
      <c r="L3947" s="3" t="inlineStr">
        <is>
          <t>Repairs and Maintenance</t>
        </is>
      </c>
      <c r="M3947" s="3" t="inlineStr">
        <is>
          <t>Facility Repairs &amp; Maintenance</t>
        </is>
      </c>
    </row>
    <row r="3948">
      <c r="B3948" s="39" t="n">
        <v>46336</v>
      </c>
      <c r="C3948" s="3" t="inlineStr">
        <is>
          <t>Journal Entry</t>
        </is>
      </c>
      <c r="D3948" s="3" t="inlineStr">
        <is>
          <t>JE-2728</t>
        </is>
      </c>
      <c r="E3948" s="3" t="inlineStr">
        <is>
          <t>Lumenlease Equipment</t>
        </is>
      </c>
      <c r="F3948" s="3" t="inlineStr">
        <is>
          <t>Repairs and Maintenance – November</t>
        </is>
      </c>
      <c r="G3948" s="3" t="inlineStr">
        <is>
          <t>Checking – Operating</t>
        </is>
      </c>
      <c r="H3948" s="3" t="inlineStr">
        <is>
          <t>Repairs and Maintenance</t>
        </is>
      </c>
      <c r="I3948" s="33" t="n">
        <v>2089.25</v>
      </c>
      <c r="J3948" s="13">
        <f>+J3947+I3948</f>
        <v>136654.52</v>
      </c>
      <c r="K3948" s="19">
        <f>+EOMONTH(B3948,0)</f>
        <v>46356</v>
      </c>
      <c r="L3948" s="3" t="inlineStr">
        <is>
          <t>Repairs and Maintenance</t>
        </is>
      </c>
      <c r="M3948" s="3" t="inlineStr">
        <is>
          <t>Facility Repairs &amp; Maintenance</t>
        </is>
      </c>
    </row>
    <row r="3949">
      <c r="B3949" s="39" t="n">
        <v>46350</v>
      </c>
      <c r="C3949" s="3" t="inlineStr">
        <is>
          <t>Expense</t>
        </is>
      </c>
      <c r="D3949" s="3" t="inlineStr">
        <is>
          <t>11016</t>
        </is>
      </c>
      <c r="E3949" s="3" t="inlineStr">
        <is>
          <t>Lumenlease Equipment</t>
        </is>
      </c>
      <c r="F3949" s="3" t="inlineStr">
        <is>
          <t>Repairs and Maintenance – November</t>
        </is>
      </c>
      <c r="G3949" s="3" t="inlineStr">
        <is>
          <t>Checking – Operating</t>
        </is>
      </c>
      <c r="H3949" s="3" t="inlineStr">
        <is>
          <t>Repairs and Maintenance</t>
        </is>
      </c>
      <c r="I3949" s="33" t="n">
        <v>4787.47</v>
      </c>
      <c r="J3949" s="13">
        <f>+J3948+I3949</f>
        <v>141441.99</v>
      </c>
      <c r="K3949" s="19">
        <f>+EOMONTH(B3949,0)</f>
        <v>46356</v>
      </c>
      <c r="L3949" s="3" t="inlineStr">
        <is>
          <t>Repairs and Maintenance</t>
        </is>
      </c>
      <c r="M3949" s="3" t="inlineStr">
        <is>
          <t>Facility Repairs &amp; Maintenance</t>
        </is>
      </c>
    </row>
    <row r="3950">
      <c r="B3950" s="39" t="n">
        <v>46355</v>
      </c>
      <c r="C3950" s="3" t="inlineStr">
        <is>
          <t>Expense</t>
        </is>
      </c>
      <c r="D3950" s="3" t="inlineStr">
        <is>
          <t>10943</t>
        </is>
      </c>
      <c r="E3950" s="3" t="inlineStr">
        <is>
          <t>Lumenlease Equipment</t>
        </is>
      </c>
      <c r="F3950" s="3" t="inlineStr">
        <is>
          <t>Repairs and Maintenance – November</t>
        </is>
      </c>
      <c r="G3950" s="3" t="inlineStr">
        <is>
          <t>Checking – Operating</t>
        </is>
      </c>
      <c r="H3950" s="3" t="inlineStr">
        <is>
          <t>Repairs and Maintenance</t>
        </is>
      </c>
      <c r="I3950" s="33" t="n">
        <v>1473.2</v>
      </c>
      <c r="J3950" s="13">
        <f>+J3949+I3950</f>
        <v>142915.19</v>
      </c>
      <c r="K3950" s="19">
        <f>+EOMONTH(B3950,0)</f>
        <v>46356</v>
      </c>
      <c r="L3950" s="3" t="inlineStr">
        <is>
          <t>Repairs and Maintenance</t>
        </is>
      </c>
      <c r="M3950" s="3" t="inlineStr">
        <is>
          <t>Facility Repairs &amp; Maintenance</t>
        </is>
      </c>
    </row>
    <row r="3951">
      <c r="A3951" s="2" t="inlineStr">
        <is>
          <t>Total for Repairs and Maintenance</t>
        </is>
      </c>
      <c r="I3951" s="35">
        <f>SUM(I3908:I3950)</f>
        <v>142915.19</v>
      </c>
    </row>
    <row r="3953">
      <c r="A3953" s="2" t="inlineStr">
        <is>
          <t>Automobile Expense</t>
        </is>
      </c>
    </row>
    <row r="3954">
      <c r="B3954" s="39" t="n">
        <v>46032</v>
      </c>
      <c r="C3954" s="3" t="inlineStr">
        <is>
          <t>Journal Entry</t>
        </is>
      </c>
      <c r="D3954" s="3" t="inlineStr">
        <is>
          <t>JE-2730</t>
        </is>
      </c>
      <c r="E3954" s="3" t="inlineStr"/>
      <c r="F3954" s="3" t="inlineStr">
        <is>
          <t>Automobile Expense – January</t>
        </is>
      </c>
      <c r="G3954" s="3" t="inlineStr">
        <is>
          <t>Checking – Operating</t>
        </is>
      </c>
      <c r="H3954" s="3" t="inlineStr">
        <is>
          <t>Automobile Expense</t>
        </is>
      </c>
      <c r="I3954" s="33" t="n">
        <v>850.15</v>
      </c>
      <c r="J3954" s="13">
        <f>+I3954</f>
        <v>850.15</v>
      </c>
      <c r="K3954" s="19">
        <f>+EOMONTH(B3954,0)</f>
        <v>46053</v>
      </c>
      <c r="L3954" s="3" t="inlineStr">
        <is>
          <t>Automobile Expense</t>
        </is>
      </c>
      <c r="M3954" s="3" t="inlineStr">
        <is>
          <t>Automobile Expense</t>
        </is>
      </c>
    </row>
    <row r="3955">
      <c r="B3955" s="39" t="n">
        <v>46050</v>
      </c>
      <c r="C3955" s="3" t="inlineStr">
        <is>
          <t>Journal Entry</t>
        </is>
      </c>
      <c r="D3955" s="3" t="inlineStr">
        <is>
          <t>JE-2729</t>
        </is>
      </c>
      <c r="E3955" s="3" t="inlineStr"/>
      <c r="F3955" s="3" t="inlineStr">
        <is>
          <t>Automobile Expense – January</t>
        </is>
      </c>
      <c r="G3955" s="3" t="inlineStr">
        <is>
          <t>Checking – Operating</t>
        </is>
      </c>
      <c r="H3955" s="3" t="inlineStr">
        <is>
          <t>Automobile Expense</t>
        </is>
      </c>
      <c r="I3955" s="33" t="n">
        <v>909.85</v>
      </c>
      <c r="J3955" s="13">
        <f>+J3954+I3955</f>
        <v>1760</v>
      </c>
      <c r="K3955" s="19">
        <f>+EOMONTH(B3955,0)</f>
        <v>46053</v>
      </c>
      <c r="L3955" s="3" t="inlineStr">
        <is>
          <t>Automobile Expense</t>
        </is>
      </c>
      <c r="M3955" s="3" t="inlineStr">
        <is>
          <t>Automobile Expense</t>
        </is>
      </c>
    </row>
    <row r="3956">
      <c r="B3956" s="39" t="n">
        <v>46068</v>
      </c>
      <c r="C3956" s="3" t="inlineStr">
        <is>
          <t>Expense</t>
        </is>
      </c>
      <c r="D3956" s="3" t="inlineStr">
        <is>
          <t>10944</t>
        </is>
      </c>
      <c r="E3956" s="3" t="inlineStr"/>
      <c r="F3956" s="3" t="inlineStr">
        <is>
          <t>Automobile Expense – February</t>
        </is>
      </c>
      <c r="G3956" s="3" t="inlineStr">
        <is>
          <t>Checking – Operating</t>
        </is>
      </c>
      <c r="H3956" s="3" t="inlineStr">
        <is>
          <t>Automobile Expense</t>
        </is>
      </c>
      <c r="I3956" s="33" t="n">
        <v>822.09</v>
      </c>
      <c r="J3956" s="13">
        <f>+J3955+I3956</f>
        <v>2582.09</v>
      </c>
      <c r="K3956" s="19">
        <f>+EOMONTH(B3956,0)</f>
        <v>46081</v>
      </c>
      <c r="L3956" s="3" t="inlineStr">
        <is>
          <t>Automobile Expense</t>
        </is>
      </c>
      <c r="M3956" s="3" t="inlineStr">
        <is>
          <t>Automobile Expense</t>
        </is>
      </c>
    </row>
    <row r="3957">
      <c r="B3957" s="39" t="n">
        <v>46081</v>
      </c>
      <c r="C3957" s="3" t="inlineStr">
        <is>
          <t>Expense</t>
        </is>
      </c>
      <c r="D3957" s="3" t="inlineStr">
        <is>
          <t>10945</t>
        </is>
      </c>
      <c r="E3957" s="3" t="inlineStr"/>
      <c r="F3957" s="3" t="inlineStr">
        <is>
          <t>Automobile Expense – February</t>
        </is>
      </c>
      <c r="G3957" s="3" t="inlineStr">
        <is>
          <t>Checking – Operating</t>
        </is>
      </c>
      <c r="H3957" s="3" t="inlineStr">
        <is>
          <t>Automobile Expense</t>
        </is>
      </c>
      <c r="I3957" s="33" t="n">
        <v>777.91</v>
      </c>
      <c r="J3957" s="13">
        <f>+J3956+I3957</f>
        <v>3360</v>
      </c>
      <c r="K3957" s="19">
        <f>+EOMONTH(B3957,0)</f>
        <v>46081</v>
      </c>
      <c r="L3957" s="3" t="inlineStr">
        <is>
          <t>Automobile Expense</t>
        </is>
      </c>
      <c r="M3957" s="3" t="inlineStr">
        <is>
          <t>Automobile Expense</t>
        </is>
      </c>
    </row>
    <row r="3958">
      <c r="B3958" s="39" t="n">
        <v>46111</v>
      </c>
      <c r="C3958" s="3" t="inlineStr">
        <is>
          <t>Journal Entry</t>
        </is>
      </c>
      <c r="D3958" s="3" t="inlineStr">
        <is>
          <t>JE-2731</t>
        </is>
      </c>
      <c r="E3958" s="3" t="inlineStr"/>
      <c r="F3958" s="3" t="inlineStr">
        <is>
          <t>Automobile Expense – March</t>
        </is>
      </c>
      <c r="G3958" s="3" t="inlineStr">
        <is>
          <t>Checking – Operating</t>
        </is>
      </c>
      <c r="H3958" s="3" t="inlineStr">
        <is>
          <t>Automobile Expense</t>
        </is>
      </c>
      <c r="I3958" s="33" t="n">
        <v>668.24</v>
      </c>
      <c r="J3958" s="13">
        <f>+J3957+I3958</f>
        <v>4028.24</v>
      </c>
      <c r="K3958" s="19">
        <f>+EOMONTH(B3958,0)</f>
        <v>46112</v>
      </c>
      <c r="L3958" s="3" t="inlineStr">
        <is>
          <t>Automobile Expense</t>
        </is>
      </c>
      <c r="M3958" s="3" t="inlineStr">
        <is>
          <t>Automobile Expense</t>
        </is>
      </c>
    </row>
    <row r="3959">
      <c r="B3959" s="39" t="n">
        <v>46111</v>
      </c>
      <c r="C3959" s="3" t="inlineStr">
        <is>
          <t>Journal Entry</t>
        </is>
      </c>
      <c r="D3959" s="3" t="inlineStr">
        <is>
          <t>JE-2732</t>
        </is>
      </c>
      <c r="E3959" s="3" t="inlineStr"/>
      <c r="F3959" s="3" t="inlineStr">
        <is>
          <t>Automobile Expense – March</t>
        </is>
      </c>
      <c r="G3959" s="3" t="inlineStr">
        <is>
          <t>Checking – Operating</t>
        </is>
      </c>
      <c r="H3959" s="3" t="inlineStr">
        <is>
          <t>Automobile Expense</t>
        </is>
      </c>
      <c r="I3959" s="33" t="n">
        <v>1011.76</v>
      </c>
      <c r="J3959" s="13">
        <f>+J3958+I3959</f>
        <v>5040</v>
      </c>
      <c r="K3959" s="19">
        <f>+EOMONTH(B3959,0)</f>
        <v>46112</v>
      </c>
      <c r="L3959" s="3" t="inlineStr">
        <is>
          <t>Automobile Expense</t>
        </is>
      </c>
      <c r="M3959" s="3" t="inlineStr">
        <is>
          <t>Automobile Expense</t>
        </is>
      </c>
    </row>
    <row r="3960">
      <c r="B3960" s="39" t="n">
        <v>46117</v>
      </c>
      <c r="C3960" s="3" t="inlineStr">
        <is>
          <t>Journal Entry</t>
        </is>
      </c>
      <c r="D3960" s="3" t="inlineStr">
        <is>
          <t>JE-2733</t>
        </is>
      </c>
      <c r="E3960" s="3" t="inlineStr"/>
      <c r="F3960" s="3" t="inlineStr">
        <is>
          <t>Automobile Expense – April</t>
        </is>
      </c>
      <c r="G3960" s="3" t="inlineStr">
        <is>
          <t>Checking – Operating</t>
        </is>
      </c>
      <c r="H3960" s="3" t="inlineStr">
        <is>
          <t>Automobile Expense</t>
        </is>
      </c>
      <c r="I3960" s="33" t="n">
        <v>875.63</v>
      </c>
      <c r="J3960" s="13">
        <f>+J3959+I3960</f>
        <v>5915.63</v>
      </c>
      <c r="K3960" s="19">
        <f>+EOMONTH(B3960,0)</f>
        <v>46142</v>
      </c>
      <c r="L3960" s="3" t="inlineStr">
        <is>
          <t>Automobile Expense</t>
        </is>
      </c>
      <c r="M3960" s="3" t="inlineStr">
        <is>
          <t>Automobile Expense</t>
        </is>
      </c>
    </row>
    <row r="3961">
      <c r="B3961" s="39" t="n">
        <v>46127</v>
      </c>
      <c r="C3961" s="3" t="inlineStr">
        <is>
          <t>Expense</t>
        </is>
      </c>
      <c r="D3961" s="3" t="inlineStr">
        <is>
          <t>10946</t>
        </is>
      </c>
      <c r="E3961" s="3" t="inlineStr"/>
      <c r="F3961" s="3" t="inlineStr">
        <is>
          <t>Automobile Expense – April</t>
        </is>
      </c>
      <c r="G3961" s="3" t="inlineStr">
        <is>
          <t>Checking – Operating</t>
        </is>
      </c>
      <c r="H3961" s="3" t="inlineStr">
        <is>
          <t>Automobile Expense</t>
        </is>
      </c>
      <c r="I3961" s="33" t="n">
        <v>884.37</v>
      </c>
      <c r="J3961" s="13">
        <f>+J3960+I3961</f>
        <v>6800</v>
      </c>
      <c r="K3961" s="19">
        <f>+EOMONTH(B3961,0)</f>
        <v>46142</v>
      </c>
      <c r="L3961" s="3" t="inlineStr">
        <is>
          <t>Automobile Expense</t>
        </is>
      </c>
      <c r="M3961" s="3" t="inlineStr">
        <is>
          <t>Automobile Expense</t>
        </is>
      </c>
    </row>
    <row r="3962">
      <c r="B3962" s="39" t="n">
        <v>46147</v>
      </c>
      <c r="C3962" s="3" t="inlineStr">
        <is>
          <t>Expense</t>
        </is>
      </c>
      <c r="D3962" s="3" t="inlineStr">
        <is>
          <t>10947</t>
        </is>
      </c>
      <c r="E3962" s="3" t="inlineStr"/>
      <c r="F3962" s="3" t="inlineStr">
        <is>
          <t>Automobile Expense – May</t>
        </is>
      </c>
      <c r="G3962" s="3" t="inlineStr">
        <is>
          <t>Checking – Operating</t>
        </is>
      </c>
      <c r="H3962" s="3" t="inlineStr">
        <is>
          <t>Automobile Expense</t>
        </is>
      </c>
      <c r="I3962" s="33" t="n">
        <v>1033.44</v>
      </c>
      <c r="J3962" s="13">
        <f>+J3961+I3962</f>
        <v>7833.44</v>
      </c>
      <c r="K3962" s="19">
        <f>+EOMONTH(B3962,0)</f>
        <v>46173</v>
      </c>
      <c r="L3962" s="3" t="inlineStr">
        <is>
          <t>Automobile Expense</t>
        </is>
      </c>
      <c r="M3962" s="3" t="inlineStr">
        <is>
          <t>Automobile Expense</t>
        </is>
      </c>
    </row>
    <row r="3963">
      <c r="B3963" s="39" t="n">
        <v>46148</v>
      </c>
      <c r="C3963" s="3" t="inlineStr">
        <is>
          <t>Credit Card Expense</t>
        </is>
      </c>
      <c r="D3963" s="3" t="inlineStr"/>
      <c r="E3963" s="3" t="inlineStr"/>
      <c r="F3963" s="3" t="inlineStr">
        <is>
          <t>Automobile Expense – May</t>
        </is>
      </c>
      <c r="G3963" s="3" t="inlineStr">
        <is>
          <t>Checking – Operating</t>
        </is>
      </c>
      <c r="H3963" s="3" t="inlineStr">
        <is>
          <t>Automobile Expense</t>
        </is>
      </c>
      <c r="I3963" s="33" t="n">
        <v>566.5599999999999</v>
      </c>
      <c r="J3963" s="13">
        <f>+J3962+I3963</f>
        <v>8400</v>
      </c>
      <c r="K3963" s="19">
        <f>+EOMONTH(B3963,0)</f>
        <v>46173</v>
      </c>
      <c r="L3963" s="3" t="inlineStr">
        <is>
          <t>Automobile Expense</t>
        </is>
      </c>
      <c r="M3963" s="3" t="inlineStr">
        <is>
          <t>Automobile Expense</t>
        </is>
      </c>
    </row>
    <row r="3964">
      <c r="B3964" s="39" t="n">
        <v>46186</v>
      </c>
      <c r="C3964" s="3" t="inlineStr">
        <is>
          <t>Credit Card Expense</t>
        </is>
      </c>
      <c r="D3964" s="3" t="inlineStr"/>
      <c r="E3964" s="3" t="inlineStr"/>
      <c r="F3964" s="3" t="inlineStr">
        <is>
          <t>Automobile Expense – June</t>
        </is>
      </c>
      <c r="G3964" s="3" t="inlineStr">
        <is>
          <t>Checking – Operating</t>
        </is>
      </c>
      <c r="H3964" s="3" t="inlineStr">
        <is>
          <t>Automobile Expense</t>
        </is>
      </c>
      <c r="I3964" s="33" t="n">
        <v>753.71</v>
      </c>
      <c r="J3964" s="13">
        <f>+J3963+I3964</f>
        <v>9153.71</v>
      </c>
      <c r="K3964" s="19">
        <f>+EOMONTH(B3964,0)</f>
        <v>46203</v>
      </c>
      <c r="L3964" s="3" t="inlineStr">
        <is>
          <t>Automobile Expense</t>
        </is>
      </c>
      <c r="M3964" s="3" t="inlineStr">
        <is>
          <t>Automobile Expense</t>
        </is>
      </c>
    </row>
    <row r="3965">
      <c r="B3965" s="39" t="n">
        <v>46200</v>
      </c>
      <c r="C3965" s="3" t="inlineStr">
        <is>
          <t>Credit Card Expense</t>
        </is>
      </c>
      <c r="D3965" s="3" t="inlineStr"/>
      <c r="E3965" s="3" t="inlineStr"/>
      <c r="F3965" s="3" t="inlineStr">
        <is>
          <t>Automobile Expense – June</t>
        </is>
      </c>
      <c r="G3965" s="3" t="inlineStr">
        <is>
          <t>Checking – Operating</t>
        </is>
      </c>
      <c r="H3965" s="3" t="inlineStr">
        <is>
          <t>Automobile Expense</t>
        </is>
      </c>
      <c r="I3965" s="33" t="n">
        <v>966.29</v>
      </c>
      <c r="J3965" s="13">
        <f>+J3964+I3965</f>
        <v>10120</v>
      </c>
      <c r="K3965" s="19">
        <f>+EOMONTH(B3965,0)</f>
        <v>46203</v>
      </c>
      <c r="L3965" s="3" t="inlineStr">
        <is>
          <t>Automobile Expense</t>
        </is>
      </c>
      <c r="M3965" s="3" t="inlineStr">
        <is>
          <t>Automobile Expense</t>
        </is>
      </c>
    </row>
    <row r="3966">
      <c r="B3966" s="39" t="n">
        <v>46225</v>
      </c>
      <c r="C3966" s="3" t="inlineStr">
        <is>
          <t>Credit Card Expense</t>
        </is>
      </c>
      <c r="D3966" s="3" t="inlineStr"/>
      <c r="E3966" s="3" t="inlineStr"/>
      <c r="F3966" s="3" t="inlineStr">
        <is>
          <t>Automobile Expense – July</t>
        </is>
      </c>
      <c r="G3966" s="3" t="inlineStr">
        <is>
          <t>Checking – Operating</t>
        </is>
      </c>
      <c r="H3966" s="3" t="inlineStr">
        <is>
          <t>Automobile Expense</t>
        </is>
      </c>
      <c r="I3966" s="33" t="n">
        <v>710.3</v>
      </c>
      <c r="J3966" s="13">
        <f>+J3965+I3966</f>
        <v>10830.3</v>
      </c>
      <c r="K3966" s="19">
        <f>+EOMONTH(B3966,0)</f>
        <v>46234</v>
      </c>
      <c r="L3966" s="3" t="inlineStr">
        <is>
          <t>Automobile Expense</t>
        </is>
      </c>
      <c r="M3966" s="3" t="inlineStr">
        <is>
          <t>Automobile Expense</t>
        </is>
      </c>
    </row>
    <row r="3967">
      <c r="B3967" s="39" t="n">
        <v>46229</v>
      </c>
      <c r="C3967" s="3" t="inlineStr">
        <is>
          <t>Expense</t>
        </is>
      </c>
      <c r="D3967" s="3" t="inlineStr">
        <is>
          <t>10948</t>
        </is>
      </c>
      <c r="E3967" s="3" t="inlineStr"/>
      <c r="F3967" s="3" t="inlineStr">
        <is>
          <t>Automobile Expense – July</t>
        </is>
      </c>
      <c r="G3967" s="3" t="inlineStr">
        <is>
          <t>Checking – Operating</t>
        </is>
      </c>
      <c r="H3967" s="3" t="inlineStr">
        <is>
          <t>Automobile Expense</t>
        </is>
      </c>
      <c r="I3967" s="33" t="n">
        <v>1009.7</v>
      </c>
      <c r="J3967" s="13">
        <f>+J3966+I3967</f>
        <v>11840</v>
      </c>
      <c r="K3967" s="19">
        <f>+EOMONTH(B3967,0)</f>
        <v>46234</v>
      </c>
      <c r="L3967" s="3" t="inlineStr">
        <is>
          <t>Automobile Expense</t>
        </is>
      </c>
      <c r="M3967" s="3" t="inlineStr">
        <is>
          <t>Automobile Expense</t>
        </is>
      </c>
    </row>
    <row r="3968">
      <c r="B3968" s="39" t="n">
        <v>46248</v>
      </c>
      <c r="C3968" s="3" t="inlineStr">
        <is>
          <t>Expense</t>
        </is>
      </c>
      <c r="D3968" s="3" t="inlineStr">
        <is>
          <t>10949</t>
        </is>
      </c>
      <c r="E3968" s="3" t="inlineStr"/>
      <c r="F3968" s="3" t="inlineStr">
        <is>
          <t>Automobile Expense – August</t>
        </is>
      </c>
      <c r="G3968" s="3" t="inlineStr">
        <is>
          <t>Checking – Operating</t>
        </is>
      </c>
      <c r="H3968" s="3" t="inlineStr">
        <is>
          <t>Automobile Expense</t>
        </is>
      </c>
      <c r="I3968" s="33" t="n">
        <v>805.1799999999999</v>
      </c>
      <c r="J3968" s="13">
        <f>+J3967+I3968</f>
        <v>12645.18</v>
      </c>
      <c r="K3968" s="19">
        <f>+EOMONTH(B3968,0)</f>
        <v>46265</v>
      </c>
      <c r="L3968" s="3" t="inlineStr">
        <is>
          <t>Automobile Expense</t>
        </is>
      </c>
      <c r="M3968" s="3" t="inlineStr">
        <is>
          <t>Automobile Expense</t>
        </is>
      </c>
    </row>
    <row r="3969">
      <c r="B3969" s="39" t="n">
        <v>46262</v>
      </c>
      <c r="C3969" s="3" t="inlineStr">
        <is>
          <t>Journal Entry</t>
        </is>
      </c>
      <c r="D3969" s="3" t="inlineStr">
        <is>
          <t>JE-2734</t>
        </is>
      </c>
      <c r="E3969" s="3" t="inlineStr"/>
      <c r="F3969" s="3" t="inlineStr">
        <is>
          <t>Automobile Expense – August</t>
        </is>
      </c>
      <c r="G3969" s="3" t="inlineStr">
        <is>
          <t>Checking – Operating</t>
        </is>
      </c>
      <c r="H3969" s="3" t="inlineStr">
        <is>
          <t>Automobile Expense</t>
        </is>
      </c>
      <c r="I3969" s="33" t="n">
        <v>994.8200000000001</v>
      </c>
      <c r="J3969" s="13">
        <f>+J3968+I3969</f>
        <v>13640</v>
      </c>
      <c r="K3969" s="19">
        <f>+EOMONTH(B3969,0)</f>
        <v>46265</v>
      </c>
      <c r="L3969" s="3" t="inlineStr">
        <is>
          <t>Automobile Expense</t>
        </is>
      </c>
      <c r="M3969" s="3" t="inlineStr">
        <is>
          <t>Automobile Expense</t>
        </is>
      </c>
    </row>
    <row r="3970">
      <c r="B3970" s="39" t="n">
        <v>46283</v>
      </c>
      <c r="C3970" s="3" t="inlineStr">
        <is>
          <t>Credit Card Expense</t>
        </is>
      </c>
      <c r="D3970" s="3" t="inlineStr"/>
      <c r="E3970" s="3" t="inlineStr"/>
      <c r="F3970" s="3" t="inlineStr">
        <is>
          <t>Automobile Expense – September</t>
        </is>
      </c>
      <c r="G3970" s="3" t="inlineStr">
        <is>
          <t>Checking – Operating</t>
        </is>
      </c>
      <c r="H3970" s="3" t="inlineStr">
        <is>
          <t>Automobile Expense</t>
        </is>
      </c>
      <c r="I3970" s="33" t="n">
        <v>1843.85</v>
      </c>
      <c r="J3970" s="13">
        <f>+J3969+I3970</f>
        <v>15483.85</v>
      </c>
      <c r="K3970" s="19">
        <f>+EOMONTH(B3970,0)</f>
        <v>46295</v>
      </c>
      <c r="L3970" s="3" t="inlineStr">
        <is>
          <t>Automobile Expense</t>
        </is>
      </c>
      <c r="M3970" s="3" t="inlineStr">
        <is>
          <t>Automobile Expense</t>
        </is>
      </c>
    </row>
    <row r="3971">
      <c r="B3971" s="39" t="n">
        <v>46304</v>
      </c>
      <c r="C3971" s="3" t="inlineStr">
        <is>
          <t>Journal Entry</t>
        </is>
      </c>
      <c r="D3971" s="3" t="inlineStr">
        <is>
          <t>JE-2736</t>
        </is>
      </c>
      <c r="E3971" s="3" t="inlineStr"/>
      <c r="F3971" s="3" t="inlineStr">
        <is>
          <t>Automobile Expense – October</t>
        </is>
      </c>
      <c r="G3971" s="3" t="inlineStr">
        <is>
          <t>Checking – Operating</t>
        </is>
      </c>
      <c r="H3971" s="3" t="inlineStr">
        <is>
          <t>Automobile Expense</t>
        </is>
      </c>
      <c r="I3971" s="33" t="n">
        <v>914.45</v>
      </c>
      <c r="J3971" s="13">
        <f>+J3970+I3971</f>
        <v>16398.3</v>
      </c>
      <c r="K3971" s="19">
        <f>+EOMONTH(B3971,0)</f>
        <v>46326</v>
      </c>
      <c r="L3971" s="3" t="inlineStr">
        <is>
          <t>Automobile Expense</t>
        </is>
      </c>
      <c r="M3971" s="3" t="inlineStr">
        <is>
          <t>Automobile Expense</t>
        </is>
      </c>
    </row>
    <row r="3972">
      <c r="B3972" s="39" t="n">
        <v>46326</v>
      </c>
      <c r="C3972" s="3" t="inlineStr">
        <is>
          <t>Journal Entry</t>
        </is>
      </c>
      <c r="D3972" s="3" t="inlineStr">
        <is>
          <t>JE-2735</t>
        </is>
      </c>
      <c r="E3972" s="3" t="inlineStr"/>
      <c r="F3972" s="3" t="inlineStr">
        <is>
          <t>Automobile Expense – October</t>
        </is>
      </c>
      <c r="G3972" s="3" t="inlineStr">
        <is>
          <t>Checking – Operating</t>
        </is>
      </c>
      <c r="H3972" s="3" t="inlineStr">
        <is>
          <t>Automobile Expense</t>
        </is>
      </c>
      <c r="I3972" s="33" t="n">
        <v>763.3099999999999</v>
      </c>
      <c r="J3972" s="13">
        <f>+J3971+I3972</f>
        <v>17161.61</v>
      </c>
      <c r="K3972" s="19">
        <f>+EOMONTH(B3972,0)</f>
        <v>46326</v>
      </c>
      <c r="L3972" s="3" t="inlineStr">
        <is>
          <t>Automobile Expense</t>
        </is>
      </c>
      <c r="M3972" s="3" t="inlineStr">
        <is>
          <t>Automobile Expense</t>
        </is>
      </c>
    </row>
    <row r="3973">
      <c r="B3973" s="39" t="n">
        <v>46338</v>
      </c>
      <c r="C3973" s="3" t="inlineStr">
        <is>
          <t>Credit Card Expense</t>
        </is>
      </c>
      <c r="D3973" s="3" t="inlineStr"/>
      <c r="E3973" s="3" t="inlineStr"/>
      <c r="F3973" s="3" t="inlineStr">
        <is>
          <t>Automobile Expense – November</t>
        </is>
      </c>
      <c r="G3973" s="3" t="inlineStr">
        <is>
          <t>Checking – Operating</t>
        </is>
      </c>
      <c r="H3973" s="3" t="inlineStr">
        <is>
          <t>Automobile Expense</t>
        </is>
      </c>
      <c r="I3973" s="33" t="n">
        <v>1134.25</v>
      </c>
      <c r="J3973" s="13">
        <f>+J3972+I3973</f>
        <v>18295.86</v>
      </c>
      <c r="K3973" s="19">
        <f>+EOMONTH(B3973,0)</f>
        <v>46356</v>
      </c>
      <c r="L3973" s="3" t="inlineStr">
        <is>
          <t>Automobile Expense</t>
        </is>
      </c>
      <c r="M3973" s="3" t="inlineStr">
        <is>
          <t>Automobile Expense</t>
        </is>
      </c>
    </row>
    <row r="3974">
      <c r="B3974" s="39" t="n">
        <v>46353</v>
      </c>
      <c r="C3974" s="3" t="inlineStr">
        <is>
          <t>Journal Entry</t>
        </is>
      </c>
      <c r="D3974" s="3" t="inlineStr">
        <is>
          <t>JE-2737</t>
        </is>
      </c>
      <c r="E3974" s="3" t="inlineStr"/>
      <c r="F3974" s="3" t="inlineStr">
        <is>
          <t>Automobile Expense – November</t>
        </is>
      </c>
      <c r="G3974" s="3" t="inlineStr">
        <is>
          <t>Checking – Operating</t>
        </is>
      </c>
      <c r="H3974" s="3" t="inlineStr">
        <is>
          <t>Automobile Expense</t>
        </is>
      </c>
      <c r="I3974" s="33" t="n">
        <v>742.17</v>
      </c>
      <c r="J3974" s="13">
        <f>+J3973+I3974</f>
        <v>19038.03</v>
      </c>
      <c r="K3974" s="19">
        <f>+EOMONTH(B3974,0)</f>
        <v>46356</v>
      </c>
      <c r="L3974" s="3" t="inlineStr">
        <is>
          <t>Automobile Expense</t>
        </is>
      </c>
      <c r="M3974" s="3" t="inlineStr">
        <is>
          <t>Automobile Expense</t>
        </is>
      </c>
    </row>
    <row r="3975">
      <c r="A3975" s="2" t="inlineStr">
        <is>
          <t>Total for Automobile Expense</t>
        </is>
      </c>
      <c r="I3975" s="35">
        <f>SUM(I3954:I3974)</f>
        <v>19038.03</v>
      </c>
    </row>
    <row r="3977">
      <c r="A3977" s="2" t="inlineStr">
        <is>
          <t>Car expense</t>
        </is>
      </c>
    </row>
    <row r="3978">
      <c r="B3978" s="39" t="n">
        <v>46029</v>
      </c>
      <c r="C3978" s="3" t="inlineStr">
        <is>
          <t>Expense</t>
        </is>
      </c>
      <c r="D3978" s="3" t="inlineStr">
        <is>
          <t>10950</t>
        </is>
      </c>
      <c r="E3978" s="3" t="inlineStr"/>
      <c r="F3978" s="3" t="inlineStr">
        <is>
          <t>Car expense – January</t>
        </is>
      </c>
      <c r="G3978" s="3" t="inlineStr">
        <is>
          <t>Checking – Operating</t>
        </is>
      </c>
      <c r="H3978" s="3" t="inlineStr">
        <is>
          <t>Car expense</t>
        </is>
      </c>
      <c r="I3978" s="33" t="n">
        <v>701.74</v>
      </c>
      <c r="J3978" s="13">
        <f>+I3978</f>
        <v>701.74</v>
      </c>
      <c r="K3978" s="19">
        <f>+EOMONTH(B3978,0)</f>
        <v>46053</v>
      </c>
      <c r="L3978" s="3" t="inlineStr">
        <is>
          <t>Car expense</t>
        </is>
      </c>
      <c r="M3978" s="3" t="inlineStr">
        <is>
          <t>Automobile Expense</t>
        </is>
      </c>
    </row>
    <row r="3979">
      <c r="B3979" s="39" t="n">
        <v>46047</v>
      </c>
      <c r="C3979" s="3" t="inlineStr">
        <is>
          <t>Journal Entry</t>
        </is>
      </c>
      <c r="D3979" s="3" t="inlineStr">
        <is>
          <t>JE-2738</t>
        </is>
      </c>
      <c r="E3979" s="3" t="inlineStr"/>
      <c r="F3979" s="3" t="inlineStr">
        <is>
          <t>Car expense – January</t>
        </is>
      </c>
      <c r="G3979" s="3" t="inlineStr">
        <is>
          <t>Checking – Operating</t>
        </is>
      </c>
      <c r="H3979" s="3" t="inlineStr">
        <is>
          <t>Car expense</t>
        </is>
      </c>
      <c r="I3979" s="33" t="n">
        <v>618.26</v>
      </c>
      <c r="J3979" s="13">
        <f>+J3978+I3979</f>
        <v>1320</v>
      </c>
      <c r="K3979" s="19">
        <f>+EOMONTH(B3979,0)</f>
        <v>46053</v>
      </c>
      <c r="L3979" s="3" t="inlineStr">
        <is>
          <t>Car expense</t>
        </is>
      </c>
      <c r="M3979" s="3" t="inlineStr">
        <is>
          <t>Automobile Expense</t>
        </is>
      </c>
    </row>
    <row r="3980">
      <c r="B3980" s="39" t="n">
        <v>46078</v>
      </c>
      <c r="C3980" s="3" t="inlineStr">
        <is>
          <t>Expense</t>
        </is>
      </c>
      <c r="D3980" s="3" t="inlineStr">
        <is>
          <t>10951</t>
        </is>
      </c>
      <c r="E3980" s="3" t="inlineStr"/>
      <c r="F3980" s="3" t="inlineStr">
        <is>
          <t>Car expense – February</t>
        </is>
      </c>
      <c r="G3980" s="3" t="inlineStr">
        <is>
          <t>Checking – Operating</t>
        </is>
      </c>
      <c r="H3980" s="3" t="inlineStr">
        <is>
          <t>Car expense</t>
        </is>
      </c>
      <c r="I3980" s="33" t="n">
        <v>828.6</v>
      </c>
      <c r="J3980" s="13">
        <f>+J3979+I3980</f>
        <v>2148.6</v>
      </c>
      <c r="K3980" s="19">
        <f>+EOMONTH(B3980,0)</f>
        <v>46081</v>
      </c>
      <c r="L3980" s="3" t="inlineStr">
        <is>
          <t>Car expense</t>
        </is>
      </c>
      <c r="M3980" s="3" t="inlineStr">
        <is>
          <t>Automobile Expense</t>
        </is>
      </c>
    </row>
    <row r="3981">
      <c r="B3981" s="39" t="n">
        <v>46078</v>
      </c>
      <c r="C3981" s="3" t="inlineStr">
        <is>
          <t>Journal Entry</t>
        </is>
      </c>
      <c r="D3981" s="3" t="inlineStr">
        <is>
          <t>JE-2739</t>
        </is>
      </c>
      <c r="E3981" s="3" t="inlineStr"/>
      <c r="F3981" s="3" t="inlineStr">
        <is>
          <t>Car expense – February</t>
        </is>
      </c>
      <c r="G3981" s="3" t="inlineStr">
        <is>
          <t>Checking – Operating</t>
        </is>
      </c>
      <c r="H3981" s="3" t="inlineStr">
        <is>
          <t>Car expense</t>
        </is>
      </c>
      <c r="I3981" s="33" t="n">
        <v>371.4</v>
      </c>
      <c r="J3981" s="13">
        <f>+J3980+I3981</f>
        <v>2520</v>
      </c>
      <c r="K3981" s="19">
        <f>+EOMONTH(B3981,0)</f>
        <v>46081</v>
      </c>
      <c r="L3981" s="3" t="inlineStr">
        <is>
          <t>Car expense</t>
        </is>
      </c>
      <c r="M3981" s="3" t="inlineStr">
        <is>
          <t>Automobile Expense</t>
        </is>
      </c>
    </row>
    <row r="3982">
      <c r="B3982" s="39" t="n">
        <v>46102</v>
      </c>
      <c r="C3982" s="3" t="inlineStr">
        <is>
          <t>Expense</t>
        </is>
      </c>
      <c r="D3982" s="3" t="inlineStr">
        <is>
          <t>10952</t>
        </is>
      </c>
      <c r="E3982" s="3" t="inlineStr"/>
      <c r="F3982" s="3" t="inlineStr">
        <is>
          <t>Car expense – March</t>
        </is>
      </c>
      <c r="G3982" s="3" t="inlineStr">
        <is>
          <t>Checking – Operating</t>
        </is>
      </c>
      <c r="H3982" s="3" t="inlineStr">
        <is>
          <t>Car expense</t>
        </is>
      </c>
      <c r="I3982" s="33" t="n">
        <v>597.09</v>
      </c>
      <c r="J3982" s="13">
        <f>+J3981+I3982</f>
        <v>3117.09</v>
      </c>
      <c r="K3982" s="19">
        <f>+EOMONTH(B3982,0)</f>
        <v>46112</v>
      </c>
      <c r="L3982" s="3" t="inlineStr">
        <is>
          <t>Car expense</t>
        </is>
      </c>
      <c r="M3982" s="3" t="inlineStr">
        <is>
          <t>Automobile Expense</t>
        </is>
      </c>
    </row>
    <row r="3983">
      <c r="B3983" s="39" t="n">
        <v>46110</v>
      </c>
      <c r="C3983" s="3" t="inlineStr">
        <is>
          <t>Journal Entry</t>
        </is>
      </c>
      <c r="D3983" s="3" t="inlineStr">
        <is>
          <t>JE-2740</t>
        </is>
      </c>
      <c r="E3983" s="3" t="inlineStr"/>
      <c r="F3983" s="3" t="inlineStr">
        <is>
          <t>Car expense – March</t>
        </is>
      </c>
      <c r="G3983" s="3" t="inlineStr">
        <is>
          <t>Checking – Operating</t>
        </is>
      </c>
      <c r="H3983" s="3" t="inlineStr">
        <is>
          <t>Car expense</t>
        </is>
      </c>
      <c r="I3983" s="33" t="n">
        <v>662.91</v>
      </c>
      <c r="J3983" s="13">
        <f>+J3982+I3983</f>
        <v>3780</v>
      </c>
      <c r="K3983" s="19">
        <f>+EOMONTH(B3983,0)</f>
        <v>46112</v>
      </c>
      <c r="L3983" s="3" t="inlineStr">
        <is>
          <t>Car expense</t>
        </is>
      </c>
      <c r="M3983" s="3" t="inlineStr">
        <is>
          <t>Automobile Expense</t>
        </is>
      </c>
    </row>
    <row r="3984">
      <c r="B3984" s="39" t="n">
        <v>46120</v>
      </c>
      <c r="C3984" s="3" t="inlineStr">
        <is>
          <t>Expense</t>
        </is>
      </c>
      <c r="D3984" s="3" t="inlineStr">
        <is>
          <t>10954</t>
        </is>
      </c>
      <c r="E3984" s="3" t="inlineStr"/>
      <c r="F3984" s="3" t="inlineStr">
        <is>
          <t>Car expense – April</t>
        </is>
      </c>
      <c r="G3984" s="3" t="inlineStr">
        <is>
          <t>Checking – Operating</t>
        </is>
      </c>
      <c r="H3984" s="3" t="inlineStr">
        <is>
          <t>Car expense</t>
        </is>
      </c>
      <c r="I3984" s="33" t="n">
        <v>585.36</v>
      </c>
      <c r="J3984" s="13">
        <f>+J3983+I3984</f>
        <v>4365.36</v>
      </c>
      <c r="K3984" s="19">
        <f>+EOMONTH(B3984,0)</f>
        <v>46142</v>
      </c>
      <c r="L3984" s="3" t="inlineStr">
        <is>
          <t>Car expense</t>
        </is>
      </c>
      <c r="M3984" s="3" t="inlineStr">
        <is>
          <t>Automobile Expense</t>
        </is>
      </c>
    </row>
    <row r="3985">
      <c r="B3985" s="39" t="n">
        <v>46122</v>
      </c>
      <c r="C3985" s="3" t="inlineStr">
        <is>
          <t>Expense</t>
        </is>
      </c>
      <c r="D3985" s="3" t="inlineStr">
        <is>
          <t>10953</t>
        </is>
      </c>
      <c r="E3985" s="3" t="inlineStr"/>
      <c r="F3985" s="3" t="inlineStr">
        <is>
          <t>Car expense – April</t>
        </is>
      </c>
      <c r="G3985" s="3" t="inlineStr">
        <is>
          <t>Checking – Operating</t>
        </is>
      </c>
      <c r="H3985" s="3" t="inlineStr">
        <is>
          <t>Car expense</t>
        </is>
      </c>
      <c r="I3985" s="33" t="n">
        <v>734.64</v>
      </c>
      <c r="J3985" s="13">
        <f>+J3984+I3985</f>
        <v>5100</v>
      </c>
      <c r="K3985" s="19">
        <f>+EOMONTH(B3985,0)</f>
        <v>46142</v>
      </c>
      <c r="L3985" s="3" t="inlineStr">
        <is>
          <t>Car expense</t>
        </is>
      </c>
      <c r="M3985" s="3" t="inlineStr">
        <is>
          <t>Automobile Expense</t>
        </is>
      </c>
    </row>
    <row r="3986">
      <c r="B3986" s="39" t="n">
        <v>46154</v>
      </c>
      <c r="C3986" s="3" t="inlineStr">
        <is>
          <t>Journal Entry</t>
        </is>
      </c>
      <c r="D3986" s="3" t="inlineStr">
        <is>
          <t>JE-2741</t>
        </is>
      </c>
      <c r="E3986" s="3" t="inlineStr"/>
      <c r="F3986" s="3" t="inlineStr">
        <is>
          <t>Car expense – May</t>
        </is>
      </c>
      <c r="G3986" s="3" t="inlineStr">
        <is>
          <t>Checking – Operating</t>
        </is>
      </c>
      <c r="H3986" s="3" t="inlineStr">
        <is>
          <t>Car expense</t>
        </is>
      </c>
      <c r="I3986" s="33" t="n">
        <v>475.79</v>
      </c>
      <c r="J3986" s="13">
        <f>+J3985+I3986</f>
        <v>5575.79</v>
      </c>
      <c r="K3986" s="19">
        <f>+EOMONTH(B3986,0)</f>
        <v>46173</v>
      </c>
      <c r="L3986" s="3" t="inlineStr">
        <is>
          <t>Car expense</t>
        </is>
      </c>
      <c r="M3986" s="3" t="inlineStr">
        <is>
          <t>Automobile Expense</t>
        </is>
      </c>
    </row>
    <row r="3987">
      <c r="B3987" s="39" t="n">
        <v>46173</v>
      </c>
      <c r="C3987" s="3" t="inlineStr">
        <is>
          <t>Expense</t>
        </is>
      </c>
      <c r="D3987" s="3" t="inlineStr">
        <is>
          <t>10955</t>
        </is>
      </c>
      <c r="E3987" s="3" t="inlineStr"/>
      <c r="F3987" s="3" t="inlineStr">
        <is>
          <t>Car expense – May</t>
        </is>
      </c>
      <c r="G3987" s="3" t="inlineStr">
        <is>
          <t>Checking – Operating</t>
        </is>
      </c>
      <c r="H3987" s="3" t="inlineStr">
        <is>
          <t>Car expense</t>
        </is>
      </c>
      <c r="I3987" s="33" t="n">
        <v>724.21</v>
      </c>
      <c r="J3987" s="13">
        <f>+J3986+I3987</f>
        <v>6300</v>
      </c>
      <c r="K3987" s="19">
        <f>+EOMONTH(B3987,0)</f>
        <v>46173</v>
      </c>
      <c r="L3987" s="3" t="inlineStr">
        <is>
          <t>Car expense</t>
        </is>
      </c>
      <c r="M3987" s="3" t="inlineStr">
        <is>
          <t>Automobile Expense</t>
        </is>
      </c>
    </row>
    <row r="3988">
      <c r="B3988" s="39" t="n">
        <v>46194</v>
      </c>
      <c r="C3988" s="3" t="inlineStr">
        <is>
          <t>Journal Entry</t>
        </is>
      </c>
      <c r="D3988" s="3" t="inlineStr">
        <is>
          <t>JE-2743</t>
        </is>
      </c>
      <c r="E3988" s="3" t="inlineStr"/>
      <c r="F3988" s="3" t="inlineStr">
        <is>
          <t>Car expense – June</t>
        </is>
      </c>
      <c r="G3988" s="3" t="inlineStr">
        <is>
          <t>Checking – Operating</t>
        </is>
      </c>
      <c r="H3988" s="3" t="inlineStr">
        <is>
          <t>Car expense</t>
        </is>
      </c>
      <c r="I3988" s="33" t="n">
        <v>617.61</v>
      </c>
      <c r="J3988" s="13">
        <f>+J3987+I3988</f>
        <v>6917.61</v>
      </c>
      <c r="K3988" s="19">
        <f>+EOMONTH(B3988,0)</f>
        <v>46203</v>
      </c>
      <c r="L3988" s="3" t="inlineStr">
        <is>
          <t>Car expense</t>
        </is>
      </c>
      <c r="M3988" s="3" t="inlineStr">
        <is>
          <t>Automobile Expense</t>
        </is>
      </c>
    </row>
    <row r="3989">
      <c r="B3989" s="39" t="n">
        <v>46198</v>
      </c>
      <c r="C3989" s="3" t="inlineStr">
        <is>
          <t>Journal Entry</t>
        </is>
      </c>
      <c r="D3989" s="3" t="inlineStr">
        <is>
          <t>JE-2742</t>
        </is>
      </c>
      <c r="E3989" s="3" t="inlineStr"/>
      <c r="F3989" s="3" t="inlineStr">
        <is>
          <t>Car expense – June</t>
        </is>
      </c>
      <c r="G3989" s="3" t="inlineStr">
        <is>
          <t>Checking – Operating</t>
        </is>
      </c>
      <c r="H3989" s="3" t="inlineStr">
        <is>
          <t>Car expense</t>
        </is>
      </c>
      <c r="I3989" s="33" t="n">
        <v>672.39</v>
      </c>
      <c r="J3989" s="13">
        <f>+J3988+I3989</f>
        <v>7590</v>
      </c>
      <c r="K3989" s="19">
        <f>+EOMONTH(B3989,0)</f>
        <v>46203</v>
      </c>
      <c r="L3989" s="3" t="inlineStr">
        <is>
          <t>Car expense</t>
        </is>
      </c>
      <c r="M3989" s="3" t="inlineStr">
        <is>
          <t>Automobile Expense</t>
        </is>
      </c>
    </row>
    <row r="3990">
      <c r="B3990" s="39" t="n">
        <v>46225</v>
      </c>
      <c r="C3990" s="3" t="inlineStr">
        <is>
          <t>Expense</t>
        </is>
      </c>
      <c r="D3990" s="3" t="inlineStr">
        <is>
          <t>10957</t>
        </is>
      </c>
      <c r="E3990" s="3" t="inlineStr"/>
      <c r="F3990" s="3" t="inlineStr">
        <is>
          <t>Car expense – July</t>
        </is>
      </c>
      <c r="G3990" s="3" t="inlineStr">
        <is>
          <t>Checking – Operating</t>
        </is>
      </c>
      <c r="H3990" s="3" t="inlineStr">
        <is>
          <t>Car expense</t>
        </is>
      </c>
      <c r="I3990" s="33" t="n">
        <v>495.68</v>
      </c>
      <c r="J3990" s="13">
        <f>+J3989+I3990</f>
        <v>8085.68</v>
      </c>
      <c r="K3990" s="19">
        <f>+EOMONTH(B3990,0)</f>
        <v>46234</v>
      </c>
      <c r="L3990" s="3" t="inlineStr">
        <is>
          <t>Car expense</t>
        </is>
      </c>
      <c r="M3990" s="3" t="inlineStr">
        <is>
          <t>Automobile Expense</t>
        </is>
      </c>
    </row>
    <row r="3991">
      <c r="B3991" s="39" t="n">
        <v>46229</v>
      </c>
      <c r="C3991" s="3" t="inlineStr">
        <is>
          <t>Expense</t>
        </is>
      </c>
      <c r="D3991" s="3" t="inlineStr">
        <is>
          <t>10956</t>
        </is>
      </c>
      <c r="E3991" s="3" t="inlineStr"/>
      <c r="F3991" s="3" t="inlineStr">
        <is>
          <t>Car expense – July</t>
        </is>
      </c>
      <c r="G3991" s="3" t="inlineStr">
        <is>
          <t>Checking – Operating</t>
        </is>
      </c>
      <c r="H3991" s="3" t="inlineStr">
        <is>
          <t>Car expense</t>
        </is>
      </c>
      <c r="I3991" s="33" t="n">
        <v>794.3200000000001</v>
      </c>
      <c r="J3991" s="13">
        <f>+J3990+I3991</f>
        <v>8880</v>
      </c>
      <c r="K3991" s="19">
        <f>+EOMONTH(B3991,0)</f>
        <v>46234</v>
      </c>
      <c r="L3991" s="3" t="inlineStr">
        <is>
          <t>Car expense</t>
        </is>
      </c>
      <c r="M3991" s="3" t="inlineStr">
        <is>
          <t>Automobile Expense</t>
        </is>
      </c>
    </row>
    <row r="3992">
      <c r="B3992" s="39" t="n">
        <v>46235</v>
      </c>
      <c r="C3992" s="3" t="inlineStr">
        <is>
          <t>Expense</t>
        </is>
      </c>
      <c r="D3992" s="3" t="inlineStr">
        <is>
          <t>10958</t>
        </is>
      </c>
      <c r="E3992" s="3" t="inlineStr"/>
      <c r="F3992" s="3" t="inlineStr">
        <is>
          <t>Car expense – August</t>
        </is>
      </c>
      <c r="G3992" s="3" t="inlineStr">
        <is>
          <t>Checking – Operating</t>
        </is>
      </c>
      <c r="H3992" s="3" t="inlineStr">
        <is>
          <t>Car expense</t>
        </is>
      </c>
      <c r="I3992" s="33" t="n">
        <v>819.23</v>
      </c>
      <c r="J3992" s="13">
        <f>+J3991+I3992</f>
        <v>9699.23</v>
      </c>
      <c r="K3992" s="19">
        <f>+EOMONTH(B3992,0)</f>
        <v>46265</v>
      </c>
      <c r="L3992" s="3" t="inlineStr">
        <is>
          <t>Car expense</t>
        </is>
      </c>
      <c r="M3992" s="3" t="inlineStr">
        <is>
          <t>Automobile Expense</t>
        </is>
      </c>
    </row>
    <row r="3993">
      <c r="B3993" s="39" t="n">
        <v>46262</v>
      </c>
      <c r="C3993" s="3" t="inlineStr">
        <is>
          <t>Credit Card Expense</t>
        </is>
      </c>
      <c r="D3993" s="3" t="inlineStr"/>
      <c r="E3993" s="3" t="inlineStr"/>
      <c r="F3993" s="3" t="inlineStr">
        <is>
          <t>Car expense – August</t>
        </is>
      </c>
      <c r="G3993" s="3" t="inlineStr">
        <is>
          <t>Checking – Operating</t>
        </is>
      </c>
      <c r="H3993" s="3" t="inlineStr">
        <is>
          <t>Car expense</t>
        </is>
      </c>
      <c r="I3993" s="33" t="n">
        <v>530.77</v>
      </c>
      <c r="J3993" s="13">
        <f>+J3992+I3993</f>
        <v>10230</v>
      </c>
      <c r="K3993" s="19">
        <f>+EOMONTH(B3993,0)</f>
        <v>46265</v>
      </c>
      <c r="L3993" s="3" t="inlineStr">
        <is>
          <t>Car expense</t>
        </is>
      </c>
      <c r="M3993" s="3" t="inlineStr">
        <is>
          <t>Automobile Expense</t>
        </is>
      </c>
    </row>
    <row r="3994">
      <c r="B3994" s="39" t="n">
        <v>46266</v>
      </c>
      <c r="C3994" s="3" t="inlineStr">
        <is>
          <t>Expense</t>
        </is>
      </c>
      <c r="D3994" s="3" t="inlineStr">
        <is>
          <t>10959</t>
        </is>
      </c>
      <c r="E3994" s="3" t="inlineStr"/>
      <c r="F3994" s="3" t="inlineStr">
        <is>
          <t>Car expense – September</t>
        </is>
      </c>
      <c r="G3994" s="3" t="inlineStr">
        <is>
          <t>Checking – Operating</t>
        </is>
      </c>
      <c r="H3994" s="3" t="inlineStr">
        <is>
          <t>Car expense</t>
        </is>
      </c>
      <c r="I3994" s="33" t="n">
        <v>1382.89</v>
      </c>
      <c r="J3994" s="13">
        <f>+J3993+I3994</f>
        <v>11612.89</v>
      </c>
      <c r="K3994" s="19">
        <f>+EOMONTH(B3994,0)</f>
        <v>46295</v>
      </c>
      <c r="L3994" s="3" t="inlineStr">
        <is>
          <t>Car expense</t>
        </is>
      </c>
      <c r="M3994" s="3" t="inlineStr">
        <is>
          <t>Automobile Expense</t>
        </is>
      </c>
    </row>
    <row r="3995">
      <c r="B3995" s="39" t="n">
        <v>46310</v>
      </c>
      <c r="C3995" s="3" t="inlineStr">
        <is>
          <t>Expense</t>
        </is>
      </c>
      <c r="D3995" s="3" t="inlineStr">
        <is>
          <t>10960</t>
        </is>
      </c>
      <c r="E3995" s="3" t="inlineStr"/>
      <c r="F3995" s="3" t="inlineStr">
        <is>
          <t>Car expense – October</t>
        </is>
      </c>
      <c r="G3995" s="3" t="inlineStr">
        <is>
          <t>Checking – Operating</t>
        </is>
      </c>
      <c r="H3995" s="3" t="inlineStr">
        <is>
          <t>Car expense</t>
        </is>
      </c>
      <c r="I3995" s="33" t="n">
        <v>1258.32</v>
      </c>
      <c r="J3995" s="13">
        <f>+J3994+I3995</f>
        <v>12871.21</v>
      </c>
      <c r="K3995" s="19">
        <f>+EOMONTH(B3995,0)</f>
        <v>46326</v>
      </c>
      <c r="L3995" s="3" t="inlineStr">
        <is>
          <t>Car expense</t>
        </is>
      </c>
      <c r="M3995" s="3" t="inlineStr">
        <is>
          <t>Automobile Expense</t>
        </is>
      </c>
    </row>
    <row r="3996">
      <c r="B3996" s="39" t="n">
        <v>46330</v>
      </c>
      <c r="C3996" s="3" t="inlineStr">
        <is>
          <t>Expense</t>
        </is>
      </c>
      <c r="D3996" s="3" t="inlineStr">
        <is>
          <t>10961</t>
        </is>
      </c>
      <c r="E3996" s="3" t="inlineStr"/>
      <c r="F3996" s="3" t="inlineStr">
        <is>
          <t>Car expense – November</t>
        </is>
      </c>
      <c r="G3996" s="3" t="inlineStr">
        <is>
          <t>Checking – Operating</t>
        </is>
      </c>
      <c r="H3996" s="3" t="inlineStr">
        <is>
          <t>Car expense</t>
        </is>
      </c>
      <c r="I3996" s="33" t="n">
        <v>690.55</v>
      </c>
      <c r="J3996" s="13">
        <f>+J3995+I3996</f>
        <v>13561.76</v>
      </c>
      <c r="K3996" s="19">
        <f>+EOMONTH(B3996,0)</f>
        <v>46356</v>
      </c>
      <c r="L3996" s="3" t="inlineStr">
        <is>
          <t>Car expense</t>
        </is>
      </c>
      <c r="M3996" s="3" t="inlineStr">
        <is>
          <t>Automobile Expense</t>
        </is>
      </c>
    </row>
    <row r="3997">
      <c r="B3997" s="39" t="n">
        <v>46356</v>
      </c>
      <c r="C3997" s="3" t="inlineStr">
        <is>
          <t>Credit Card Expense</t>
        </is>
      </c>
      <c r="D3997" s="3" t="inlineStr"/>
      <c r="E3997" s="3" t="inlineStr"/>
      <c r="F3997" s="3" t="inlineStr">
        <is>
          <t>Car expense – November</t>
        </is>
      </c>
      <c r="G3997" s="3" t="inlineStr">
        <is>
          <t>Checking – Operating</t>
        </is>
      </c>
      <c r="H3997" s="3" t="inlineStr">
        <is>
          <t>Car expense</t>
        </is>
      </c>
      <c r="I3997" s="33" t="n">
        <v>716.77</v>
      </c>
      <c r="J3997" s="13">
        <f>+J3996+I3997</f>
        <v>14278.53</v>
      </c>
      <c r="K3997" s="19">
        <f>+EOMONTH(B3997,0)</f>
        <v>46356</v>
      </c>
      <c r="L3997" s="3" t="inlineStr">
        <is>
          <t>Car expense</t>
        </is>
      </c>
      <c r="M3997" s="3" t="inlineStr">
        <is>
          <t>Automobile Expense</t>
        </is>
      </c>
    </row>
    <row r="3998">
      <c r="A3998" s="2" t="inlineStr">
        <is>
          <t>Total for Car expense</t>
        </is>
      </c>
      <c r="I3998" s="35">
        <f>SUM(I3978:I3997)</f>
        <v>14278.53</v>
      </c>
    </row>
    <row r="4000">
      <c r="A4000" s="2" t="inlineStr">
        <is>
          <t>Gas</t>
        </is>
      </c>
    </row>
    <row r="4001">
      <c r="B4001" s="39" t="n">
        <v>46032</v>
      </c>
      <c r="C4001" s="3" t="inlineStr">
        <is>
          <t>Credit Card Expense</t>
        </is>
      </c>
      <c r="D4001" s="3" t="inlineStr"/>
      <c r="E4001" s="3" t="inlineStr"/>
      <c r="F4001" s="3" t="inlineStr">
        <is>
          <t>Gas – January</t>
        </is>
      </c>
      <c r="G4001" s="3" t="inlineStr">
        <is>
          <t>Checking – Operating</t>
        </is>
      </c>
      <c r="H4001" s="3" t="inlineStr">
        <is>
          <t>Gas</t>
        </is>
      </c>
      <c r="I4001" s="33" t="n">
        <v>846.5599999999999</v>
      </c>
      <c r="J4001" s="13">
        <f>+I4001</f>
        <v>846.56</v>
      </c>
      <c r="K4001" s="19">
        <f>+EOMONTH(B4001,0)</f>
        <v>46053</v>
      </c>
      <c r="L4001" s="3" t="inlineStr">
        <is>
          <t>Gas</t>
        </is>
      </c>
      <c r="M4001" s="3" t="inlineStr">
        <is>
          <t>Automobile Expense</t>
        </is>
      </c>
    </row>
    <row r="4002">
      <c r="B4002" s="39" t="n">
        <v>46037</v>
      </c>
      <c r="C4002" s="3" t="inlineStr">
        <is>
          <t>Journal Entry</t>
        </is>
      </c>
      <c r="D4002" s="3" t="inlineStr">
        <is>
          <t>JE-2744</t>
        </is>
      </c>
      <c r="E4002" s="3" t="inlineStr"/>
      <c r="F4002" s="3" t="inlineStr">
        <is>
          <t>Gas – January</t>
        </is>
      </c>
      <c r="G4002" s="3" t="inlineStr">
        <is>
          <t>Checking – Operating</t>
        </is>
      </c>
      <c r="H4002" s="3" t="inlineStr">
        <is>
          <t>Gas</t>
        </is>
      </c>
      <c r="I4002" s="33" t="n">
        <v>853.4400000000001</v>
      </c>
      <c r="J4002" s="13">
        <f>+J4001+I4002</f>
        <v>1700</v>
      </c>
      <c r="K4002" s="19">
        <f>+EOMONTH(B4002,0)</f>
        <v>46053</v>
      </c>
      <c r="L4002" s="3" t="inlineStr">
        <is>
          <t>Gas</t>
        </is>
      </c>
      <c r="M4002" s="3" t="inlineStr">
        <is>
          <t>Automobile Expense</t>
        </is>
      </c>
    </row>
    <row r="4003">
      <c r="B4003" s="39" t="n">
        <v>46069</v>
      </c>
      <c r="C4003" s="3" t="inlineStr">
        <is>
          <t>Expense</t>
        </is>
      </c>
      <c r="D4003" s="3" t="inlineStr">
        <is>
          <t>10962</t>
        </is>
      </c>
      <c r="E4003" s="3" t="inlineStr"/>
      <c r="F4003" s="3" t="inlineStr">
        <is>
          <t>Gas – February</t>
        </is>
      </c>
      <c r="G4003" s="3" t="inlineStr">
        <is>
          <t>Checking – Operating</t>
        </is>
      </c>
      <c r="H4003" s="3" t="inlineStr">
        <is>
          <t>Gas</t>
        </is>
      </c>
      <c r="I4003" s="33" t="n">
        <v>787.7</v>
      </c>
      <c r="J4003" s="13">
        <f>+J4002+I4003</f>
        <v>2487.7</v>
      </c>
      <c r="K4003" s="19">
        <f>+EOMONTH(B4003,0)</f>
        <v>46081</v>
      </c>
      <c r="L4003" s="3" t="inlineStr">
        <is>
          <t>Gas</t>
        </is>
      </c>
      <c r="M4003" s="3" t="inlineStr">
        <is>
          <t>Automobile Expense</t>
        </is>
      </c>
    </row>
    <row r="4004">
      <c r="B4004" s="39" t="n">
        <v>46070</v>
      </c>
      <c r="C4004" s="3" t="inlineStr">
        <is>
          <t>Expense</t>
        </is>
      </c>
      <c r="D4004" s="3" t="inlineStr">
        <is>
          <t>10963</t>
        </is>
      </c>
      <c r="E4004" s="3" t="inlineStr"/>
      <c r="F4004" s="3" t="inlineStr">
        <is>
          <t>Gas – February</t>
        </is>
      </c>
      <c r="G4004" s="3" t="inlineStr">
        <is>
          <t>Checking – Operating</t>
        </is>
      </c>
      <c r="H4004" s="3" t="inlineStr">
        <is>
          <t>Gas</t>
        </is>
      </c>
      <c r="I4004" s="33" t="n">
        <v>1112.3</v>
      </c>
      <c r="J4004" s="13">
        <f>+J4003+I4004</f>
        <v>3600</v>
      </c>
      <c r="K4004" s="19">
        <f>+EOMONTH(B4004,0)</f>
        <v>46081</v>
      </c>
      <c r="L4004" s="3" t="inlineStr">
        <is>
          <t>Gas</t>
        </is>
      </c>
      <c r="M4004" s="3" t="inlineStr">
        <is>
          <t>Automobile Expense</t>
        </is>
      </c>
    </row>
    <row r="4005">
      <c r="B4005" s="39" t="n">
        <v>46092</v>
      </c>
      <c r="C4005" s="3" t="inlineStr">
        <is>
          <t>Expense</t>
        </is>
      </c>
      <c r="D4005" s="3" t="inlineStr">
        <is>
          <t>10964</t>
        </is>
      </c>
      <c r="E4005" s="3" t="inlineStr"/>
      <c r="F4005" s="3" t="inlineStr">
        <is>
          <t>Gas – March</t>
        </is>
      </c>
      <c r="G4005" s="3" t="inlineStr">
        <is>
          <t>Checking – Operating</t>
        </is>
      </c>
      <c r="H4005" s="3" t="inlineStr">
        <is>
          <t>Gas</t>
        </is>
      </c>
      <c r="I4005" s="33" t="n">
        <v>1310.67</v>
      </c>
      <c r="J4005" s="13">
        <f>+J4004+I4005</f>
        <v>4910.67</v>
      </c>
      <c r="K4005" s="19">
        <f>+EOMONTH(B4005,0)</f>
        <v>46112</v>
      </c>
      <c r="L4005" s="3" t="inlineStr">
        <is>
          <t>Gas</t>
        </is>
      </c>
      <c r="M4005" s="3" t="inlineStr">
        <is>
          <t>Automobile Expense</t>
        </is>
      </c>
    </row>
    <row r="4006">
      <c r="B4006" s="39" t="n">
        <v>46097</v>
      </c>
      <c r="C4006" s="3" t="inlineStr">
        <is>
          <t>Expense</t>
        </is>
      </c>
      <c r="D4006" s="3" t="inlineStr">
        <is>
          <t>10965</t>
        </is>
      </c>
      <c r="E4006" s="3" t="inlineStr"/>
      <c r="F4006" s="3" t="inlineStr">
        <is>
          <t>Gas – March</t>
        </is>
      </c>
      <c r="G4006" s="3" t="inlineStr">
        <is>
          <t>Checking – Operating</t>
        </is>
      </c>
      <c r="H4006" s="3" t="inlineStr">
        <is>
          <t>Gas</t>
        </is>
      </c>
      <c r="I4006" s="33" t="n">
        <v>589.33</v>
      </c>
      <c r="J4006" s="13">
        <f>+J4005+I4006</f>
        <v>5500</v>
      </c>
      <c r="K4006" s="19">
        <f>+EOMONTH(B4006,0)</f>
        <v>46112</v>
      </c>
      <c r="L4006" s="3" t="inlineStr">
        <is>
          <t>Gas</t>
        </is>
      </c>
      <c r="M4006" s="3" t="inlineStr">
        <is>
          <t>Automobile Expense</t>
        </is>
      </c>
    </row>
    <row r="4007">
      <c r="B4007" s="39" t="n">
        <v>46118</v>
      </c>
      <c r="C4007" s="3" t="inlineStr">
        <is>
          <t>Journal Entry</t>
        </is>
      </c>
      <c r="D4007" s="3" t="inlineStr">
        <is>
          <t>JE-2745</t>
        </is>
      </c>
      <c r="E4007" s="3" t="inlineStr"/>
      <c r="F4007" s="3" t="inlineStr">
        <is>
          <t>Gas – April</t>
        </is>
      </c>
      <c r="G4007" s="3" t="inlineStr">
        <is>
          <t>Checking – Operating</t>
        </is>
      </c>
      <c r="H4007" s="3" t="inlineStr">
        <is>
          <t>Gas</t>
        </is>
      </c>
      <c r="I4007" s="33" t="n">
        <v>862.85</v>
      </c>
      <c r="J4007" s="13">
        <f>+J4006+I4007</f>
        <v>6362.85</v>
      </c>
      <c r="K4007" s="19">
        <f>+EOMONTH(B4007,0)</f>
        <v>46142</v>
      </c>
      <c r="L4007" s="3" t="inlineStr">
        <is>
          <t>Gas</t>
        </is>
      </c>
      <c r="M4007" s="3" t="inlineStr">
        <is>
          <t>Automobile Expense</t>
        </is>
      </c>
    </row>
    <row r="4008">
      <c r="B4008" s="39" t="n">
        <v>46119</v>
      </c>
      <c r="C4008" s="3" t="inlineStr">
        <is>
          <t>Expense</t>
        </is>
      </c>
      <c r="D4008" s="3" t="inlineStr">
        <is>
          <t>10966</t>
        </is>
      </c>
      <c r="E4008" s="3" t="inlineStr"/>
      <c r="F4008" s="3" t="inlineStr">
        <is>
          <t>Gas – April</t>
        </is>
      </c>
      <c r="G4008" s="3" t="inlineStr">
        <is>
          <t>Checking – Operating</t>
        </is>
      </c>
      <c r="H4008" s="3" t="inlineStr">
        <is>
          <t>Gas</t>
        </is>
      </c>
      <c r="I4008" s="33" t="n">
        <v>937.15</v>
      </c>
      <c r="J4008" s="13">
        <f>+J4007+I4008</f>
        <v>7300</v>
      </c>
      <c r="K4008" s="19">
        <f>+EOMONTH(B4008,0)</f>
        <v>46142</v>
      </c>
      <c r="L4008" s="3" t="inlineStr">
        <is>
          <t>Gas</t>
        </is>
      </c>
      <c r="M4008" s="3" t="inlineStr">
        <is>
          <t>Automobile Expense</t>
        </is>
      </c>
    </row>
    <row r="4009">
      <c r="B4009" s="39" t="n">
        <v>46147</v>
      </c>
      <c r="C4009" s="3" t="inlineStr">
        <is>
          <t>Expense</t>
        </is>
      </c>
      <c r="D4009" s="3" t="inlineStr">
        <is>
          <t>10967</t>
        </is>
      </c>
      <c r="E4009" s="3" t="inlineStr"/>
      <c r="F4009" s="3" t="inlineStr">
        <is>
          <t>Gas – May</t>
        </is>
      </c>
      <c r="G4009" s="3" t="inlineStr">
        <is>
          <t>Checking – Operating</t>
        </is>
      </c>
      <c r="H4009" s="3" t="inlineStr">
        <is>
          <t>Gas</t>
        </is>
      </c>
      <c r="I4009" s="33" t="n">
        <v>1202.97</v>
      </c>
      <c r="J4009" s="13">
        <f>+J4008+I4009</f>
        <v>8502.97</v>
      </c>
      <c r="K4009" s="19">
        <f>+EOMONTH(B4009,0)</f>
        <v>46173</v>
      </c>
      <c r="L4009" s="3" t="inlineStr">
        <is>
          <t>Gas</t>
        </is>
      </c>
      <c r="M4009" s="3" t="inlineStr">
        <is>
          <t>Automobile Expense</t>
        </is>
      </c>
    </row>
    <row r="4010">
      <c r="B4010" s="39" t="n">
        <v>46152</v>
      </c>
      <c r="C4010" s="3" t="inlineStr">
        <is>
          <t>Journal Entry</t>
        </is>
      </c>
      <c r="D4010" s="3" t="inlineStr">
        <is>
          <t>JE-2746</t>
        </is>
      </c>
      <c r="E4010" s="3" t="inlineStr"/>
      <c r="F4010" s="3" t="inlineStr">
        <is>
          <t>Gas – May</t>
        </is>
      </c>
      <c r="G4010" s="3" t="inlineStr">
        <is>
          <t>Checking – Operating</t>
        </is>
      </c>
      <c r="H4010" s="3" t="inlineStr">
        <is>
          <t>Gas</t>
        </is>
      </c>
      <c r="I4010" s="33" t="n">
        <v>697.03</v>
      </c>
      <c r="J4010" s="13">
        <f>+J4009+I4010</f>
        <v>9200</v>
      </c>
      <c r="K4010" s="19">
        <f>+EOMONTH(B4010,0)</f>
        <v>46173</v>
      </c>
      <c r="L4010" s="3" t="inlineStr">
        <is>
          <t>Gas</t>
        </is>
      </c>
      <c r="M4010" s="3" t="inlineStr">
        <is>
          <t>Automobile Expense</t>
        </is>
      </c>
    </row>
    <row r="4011">
      <c r="B4011" s="39" t="n">
        <v>46186</v>
      </c>
      <c r="C4011" s="3" t="inlineStr">
        <is>
          <t>Credit Card Expense</t>
        </is>
      </c>
      <c r="D4011" s="3" t="inlineStr"/>
      <c r="E4011" s="3" t="inlineStr"/>
      <c r="F4011" s="3" t="inlineStr">
        <is>
          <t>Gas – June</t>
        </is>
      </c>
      <c r="G4011" s="3" t="inlineStr">
        <is>
          <t>Checking – Operating</t>
        </is>
      </c>
      <c r="H4011" s="3" t="inlineStr">
        <is>
          <t>Gas</t>
        </is>
      </c>
      <c r="I4011" s="33" t="n">
        <v>859.33</v>
      </c>
      <c r="J4011" s="13">
        <f>+J4010+I4011</f>
        <v>10059.33</v>
      </c>
      <c r="K4011" s="19">
        <f>+EOMONTH(B4011,0)</f>
        <v>46203</v>
      </c>
      <c r="L4011" s="3" t="inlineStr">
        <is>
          <t>Gas</t>
        </is>
      </c>
      <c r="M4011" s="3" t="inlineStr">
        <is>
          <t>Automobile Expense</t>
        </is>
      </c>
    </row>
    <row r="4012">
      <c r="B4012" s="39" t="n">
        <v>46198</v>
      </c>
      <c r="C4012" s="3" t="inlineStr">
        <is>
          <t>Journal Entry</t>
        </is>
      </c>
      <c r="D4012" s="3" t="inlineStr">
        <is>
          <t>JE-2747</t>
        </is>
      </c>
      <c r="E4012" s="3" t="inlineStr"/>
      <c r="F4012" s="3" t="inlineStr">
        <is>
          <t>Gas – June</t>
        </is>
      </c>
      <c r="G4012" s="3" t="inlineStr">
        <is>
          <t>Checking – Operating</t>
        </is>
      </c>
      <c r="H4012" s="3" t="inlineStr">
        <is>
          <t>Gas</t>
        </is>
      </c>
      <c r="I4012" s="33" t="n">
        <v>840.67</v>
      </c>
      <c r="J4012" s="13">
        <f>+J4011+I4012</f>
        <v>10900</v>
      </c>
      <c r="K4012" s="19">
        <f>+EOMONTH(B4012,0)</f>
        <v>46203</v>
      </c>
      <c r="L4012" s="3" t="inlineStr">
        <is>
          <t>Gas</t>
        </is>
      </c>
      <c r="M4012" s="3" t="inlineStr">
        <is>
          <t>Automobile Expense</t>
        </is>
      </c>
    </row>
    <row r="4013">
      <c r="B4013" s="39" t="n">
        <v>46210</v>
      </c>
      <c r="C4013" s="3" t="inlineStr">
        <is>
          <t>Expense</t>
        </is>
      </c>
      <c r="D4013" s="3" t="inlineStr">
        <is>
          <t>10968</t>
        </is>
      </c>
      <c r="E4013" s="3" t="inlineStr"/>
      <c r="F4013" s="3" t="inlineStr">
        <is>
          <t>Gas – July</t>
        </is>
      </c>
      <c r="G4013" s="3" t="inlineStr">
        <is>
          <t>Checking – Operating</t>
        </is>
      </c>
      <c r="H4013" s="3" t="inlineStr">
        <is>
          <t>Gas</t>
        </is>
      </c>
      <c r="I4013" s="33" t="n">
        <v>673.45</v>
      </c>
      <c r="J4013" s="13">
        <f>+J4012+I4013</f>
        <v>11573.45</v>
      </c>
      <c r="K4013" s="19">
        <f>+EOMONTH(B4013,0)</f>
        <v>46234</v>
      </c>
      <c r="L4013" s="3" t="inlineStr">
        <is>
          <t>Gas</t>
        </is>
      </c>
      <c r="M4013" s="3" t="inlineStr">
        <is>
          <t>Automobile Expense</t>
        </is>
      </c>
    </row>
    <row r="4014">
      <c r="B4014" s="39" t="n">
        <v>46222</v>
      </c>
      <c r="C4014" s="3" t="inlineStr">
        <is>
          <t>Expense</t>
        </is>
      </c>
      <c r="D4014" s="3" t="inlineStr">
        <is>
          <t>10969</t>
        </is>
      </c>
      <c r="E4014" s="3" t="inlineStr"/>
      <c r="F4014" s="3" t="inlineStr">
        <is>
          <t>Gas – July</t>
        </is>
      </c>
      <c r="G4014" s="3" t="inlineStr">
        <is>
          <t>Checking – Operating</t>
        </is>
      </c>
      <c r="H4014" s="3" t="inlineStr">
        <is>
          <t>Gas</t>
        </is>
      </c>
      <c r="I4014" s="33" t="n">
        <v>1126.55</v>
      </c>
      <c r="J4014" s="13">
        <f>+J4013+I4014</f>
        <v>12700</v>
      </c>
      <c r="K4014" s="19">
        <f>+EOMONTH(B4014,0)</f>
        <v>46234</v>
      </c>
      <c r="L4014" s="3" t="inlineStr">
        <is>
          <t>Gas</t>
        </is>
      </c>
      <c r="M4014" s="3" t="inlineStr">
        <is>
          <t>Automobile Expense</t>
        </is>
      </c>
    </row>
    <row r="4015">
      <c r="B4015" s="39" t="n">
        <v>46243</v>
      </c>
      <c r="C4015" s="3" t="inlineStr">
        <is>
          <t>Credit Card Expense</t>
        </is>
      </c>
      <c r="D4015" s="3" t="inlineStr"/>
      <c r="E4015" s="3" t="inlineStr"/>
      <c r="F4015" s="3" t="inlineStr">
        <is>
          <t>Gas – August</t>
        </is>
      </c>
      <c r="G4015" s="3" t="inlineStr">
        <is>
          <t>Checking – Operating</t>
        </is>
      </c>
      <c r="H4015" s="3" t="inlineStr">
        <is>
          <t>Gas</t>
        </is>
      </c>
      <c r="I4015" s="33" t="n">
        <v>938.74</v>
      </c>
      <c r="J4015" s="13">
        <f>+J4014+I4015</f>
        <v>13638.74</v>
      </c>
      <c r="K4015" s="19">
        <f>+EOMONTH(B4015,0)</f>
        <v>46265</v>
      </c>
      <c r="L4015" s="3" t="inlineStr">
        <is>
          <t>Gas</t>
        </is>
      </c>
      <c r="M4015" s="3" t="inlineStr">
        <is>
          <t>Automobile Expense</t>
        </is>
      </c>
    </row>
    <row r="4016">
      <c r="B4016" s="39" t="n">
        <v>46254</v>
      </c>
      <c r="C4016" s="3" t="inlineStr">
        <is>
          <t>Credit Card Expense</t>
        </is>
      </c>
      <c r="D4016" s="3" t="inlineStr"/>
      <c r="E4016" s="3" t="inlineStr"/>
      <c r="F4016" s="3" t="inlineStr">
        <is>
          <t>Gas – August</t>
        </is>
      </c>
      <c r="G4016" s="3" t="inlineStr">
        <is>
          <t>Checking – Operating</t>
        </is>
      </c>
      <c r="H4016" s="3" t="inlineStr">
        <is>
          <t>Gas</t>
        </is>
      </c>
      <c r="I4016" s="33" t="n">
        <v>961.26</v>
      </c>
      <c r="J4016" s="13">
        <f>+J4015+I4016</f>
        <v>14600</v>
      </c>
      <c r="K4016" s="19">
        <f>+EOMONTH(B4016,0)</f>
        <v>46265</v>
      </c>
      <c r="L4016" s="3" t="inlineStr">
        <is>
          <t>Gas</t>
        </is>
      </c>
      <c r="M4016" s="3" t="inlineStr">
        <is>
          <t>Automobile Expense</t>
        </is>
      </c>
    </row>
    <row r="4017">
      <c r="B4017" s="39" t="n">
        <v>46277</v>
      </c>
      <c r="C4017" s="3" t="inlineStr">
        <is>
          <t>Expense</t>
        </is>
      </c>
      <c r="D4017" s="3" t="inlineStr">
        <is>
          <t>10970</t>
        </is>
      </c>
      <c r="E4017" s="3" t="inlineStr"/>
      <c r="F4017" s="3" t="inlineStr">
        <is>
          <t>Gas – September</t>
        </is>
      </c>
      <c r="G4017" s="3" t="inlineStr">
        <is>
          <t>Checking – Operating</t>
        </is>
      </c>
      <c r="H4017" s="3" t="inlineStr">
        <is>
          <t>Gas</t>
        </is>
      </c>
      <c r="I4017" s="33" t="n">
        <v>1033.22</v>
      </c>
      <c r="J4017" s="13">
        <f>+J4016+I4017</f>
        <v>15633.22</v>
      </c>
      <c r="K4017" s="19">
        <f>+EOMONTH(B4017,0)</f>
        <v>46295</v>
      </c>
      <c r="L4017" s="3" t="inlineStr">
        <is>
          <t>Gas</t>
        </is>
      </c>
      <c r="M4017" s="3" t="inlineStr">
        <is>
          <t>Automobile Expense</t>
        </is>
      </c>
    </row>
    <row r="4018">
      <c r="B4018" s="39" t="n">
        <v>46284</v>
      </c>
      <c r="C4018" s="3" t="inlineStr">
        <is>
          <t>Journal Entry</t>
        </is>
      </c>
      <c r="D4018" s="3" t="inlineStr">
        <is>
          <t>JE-2748</t>
        </is>
      </c>
      <c r="E4018" s="3" t="inlineStr"/>
      <c r="F4018" s="3" t="inlineStr">
        <is>
          <t>Gas – September</t>
        </is>
      </c>
      <c r="G4018" s="3" t="inlineStr">
        <is>
          <t>Checking – Operating</t>
        </is>
      </c>
      <c r="H4018" s="3" t="inlineStr">
        <is>
          <t>Gas</t>
        </is>
      </c>
      <c r="I4018" s="33" t="n">
        <v>894.23</v>
      </c>
      <c r="J4018" s="13">
        <f>+J4017+I4018</f>
        <v>16527.45</v>
      </c>
      <c r="K4018" s="19">
        <f>+EOMONTH(B4018,0)</f>
        <v>46295</v>
      </c>
      <c r="L4018" s="3" t="inlineStr">
        <is>
          <t>Gas</t>
        </is>
      </c>
      <c r="M4018" s="3" t="inlineStr">
        <is>
          <t>Automobile Expense</t>
        </is>
      </c>
    </row>
    <row r="4019">
      <c r="B4019" s="39" t="n">
        <v>46317</v>
      </c>
      <c r="C4019" s="3" t="inlineStr">
        <is>
          <t>Expense</t>
        </is>
      </c>
      <c r="D4019" s="3" t="inlineStr">
        <is>
          <t>10971</t>
        </is>
      </c>
      <c r="E4019" s="3" t="inlineStr"/>
      <c r="F4019" s="3" t="inlineStr">
        <is>
          <t>Gas – October</t>
        </is>
      </c>
      <c r="G4019" s="3" t="inlineStr">
        <is>
          <t>Checking – Operating</t>
        </is>
      </c>
      <c r="H4019" s="3" t="inlineStr">
        <is>
          <t>Gas</t>
        </is>
      </c>
      <c r="I4019" s="33" t="n">
        <v>971.02</v>
      </c>
      <c r="J4019" s="13">
        <f>+J4018+I4019</f>
        <v>17498.47</v>
      </c>
      <c r="K4019" s="19">
        <f>+EOMONTH(B4019,0)</f>
        <v>46326</v>
      </c>
      <c r="L4019" s="3" t="inlineStr">
        <is>
          <t>Gas</t>
        </is>
      </c>
      <c r="M4019" s="3" t="inlineStr">
        <is>
          <t>Automobile Expense</t>
        </is>
      </c>
    </row>
    <row r="4020">
      <c r="B4020" s="39" t="n">
        <v>46321</v>
      </c>
      <c r="C4020" s="3" t="inlineStr">
        <is>
          <t>Credit Card Expense</t>
        </is>
      </c>
      <c r="D4020" s="3" t="inlineStr"/>
      <c r="E4020" s="3" t="inlineStr"/>
      <c r="F4020" s="3" t="inlineStr">
        <is>
          <t>Gas – October</t>
        </is>
      </c>
      <c r="G4020" s="3" t="inlineStr">
        <is>
          <t>Checking – Operating</t>
        </is>
      </c>
      <c r="H4020" s="3" t="inlineStr">
        <is>
          <t>Gas</t>
        </is>
      </c>
      <c r="I4020" s="33" t="n">
        <v>921.46</v>
      </c>
      <c r="J4020" s="13">
        <f>+J4019+I4020</f>
        <v>18419.93</v>
      </c>
      <c r="K4020" s="19">
        <f>+EOMONTH(B4020,0)</f>
        <v>46326</v>
      </c>
      <c r="L4020" s="3" t="inlineStr">
        <is>
          <t>Gas</t>
        </is>
      </c>
      <c r="M4020" s="3" t="inlineStr">
        <is>
          <t>Automobile Expense</t>
        </is>
      </c>
    </row>
    <row r="4021">
      <c r="B4021" s="39" t="n">
        <v>46332</v>
      </c>
      <c r="C4021" s="3" t="inlineStr">
        <is>
          <t>Expense</t>
        </is>
      </c>
      <c r="D4021" s="3" t="inlineStr">
        <is>
          <t>10972</t>
        </is>
      </c>
      <c r="E4021" s="3" t="inlineStr"/>
      <c r="F4021" s="3" t="inlineStr">
        <is>
          <t>Gas – November</t>
        </is>
      </c>
      <c r="G4021" s="3" t="inlineStr">
        <is>
          <t>Checking – Operating</t>
        </is>
      </c>
      <c r="H4021" s="3" t="inlineStr">
        <is>
          <t>Gas</t>
        </is>
      </c>
      <c r="I4021" s="33" t="n">
        <v>683.6</v>
      </c>
      <c r="J4021" s="13">
        <f>+J4020+I4021</f>
        <v>19103.53</v>
      </c>
      <c r="K4021" s="19">
        <f>+EOMONTH(B4021,0)</f>
        <v>46356</v>
      </c>
      <c r="L4021" s="3" t="inlineStr">
        <is>
          <t>Gas</t>
        </is>
      </c>
      <c r="M4021" s="3" t="inlineStr">
        <is>
          <t>Automobile Expense</t>
        </is>
      </c>
    </row>
    <row r="4022">
      <c r="B4022" s="39" t="n">
        <v>46351</v>
      </c>
      <c r="C4022" s="3" t="inlineStr">
        <is>
          <t>Credit Card Expense</t>
        </is>
      </c>
      <c r="D4022" s="3" t="inlineStr"/>
      <c r="E4022" s="3" t="inlineStr"/>
      <c r="F4022" s="3" t="inlineStr">
        <is>
          <t>Gas – November</t>
        </is>
      </c>
      <c r="G4022" s="3" t="inlineStr">
        <is>
          <t>Checking – Operating</t>
        </is>
      </c>
      <c r="H4022" s="3" t="inlineStr">
        <is>
          <t>Gas</t>
        </is>
      </c>
      <c r="I4022" s="33" t="n">
        <v>1208.5</v>
      </c>
      <c r="J4022" s="13">
        <f>+J4021+I4022</f>
        <v>20312.03</v>
      </c>
      <c r="K4022" s="19">
        <f>+EOMONTH(B4022,0)</f>
        <v>46356</v>
      </c>
      <c r="L4022" s="3" t="inlineStr">
        <is>
          <t>Gas</t>
        </is>
      </c>
      <c r="M4022" s="3" t="inlineStr">
        <is>
          <t>Automobile Expense</t>
        </is>
      </c>
    </row>
    <row r="4023">
      <c r="A4023" s="2" t="inlineStr">
        <is>
          <t>Total for Gas</t>
        </is>
      </c>
      <c r="I4023" s="35">
        <f>SUM(I4001:I4022)</f>
        <v>20312.03</v>
      </c>
    </row>
    <row r="4025">
      <c r="A4025" s="2" t="inlineStr">
        <is>
          <t>Hazard Waste</t>
        </is>
      </c>
    </row>
    <row r="4026">
      <c r="B4026" s="39" t="n">
        <v>46026</v>
      </c>
      <c r="C4026" s="3" t="inlineStr">
        <is>
          <t>Bill</t>
        </is>
      </c>
      <c r="D4026" s="3" t="inlineStr"/>
      <c r="E4026" s="3" t="inlineStr">
        <is>
          <t>Northmoor Waste Services</t>
        </is>
      </c>
      <c r="F4026" s="3" t="inlineStr">
        <is>
          <t>Hazard Waste – January</t>
        </is>
      </c>
      <c r="G4026" s="3" t="inlineStr">
        <is>
          <t>Accounts Payable</t>
        </is>
      </c>
      <c r="H4026" s="3" t="inlineStr">
        <is>
          <t>Hazard Waste</t>
        </is>
      </c>
      <c r="I4026" s="33" t="n">
        <v>851.0599999999999</v>
      </c>
      <c r="J4026" s="13">
        <f>+I4026</f>
        <v>851.06</v>
      </c>
      <c r="K4026" s="19">
        <f>+EOMONTH(B4026,0)</f>
        <v>46053</v>
      </c>
      <c r="L4026" s="3" t="inlineStr">
        <is>
          <t>Hazard Waste</t>
        </is>
      </c>
      <c r="M4026" s="3" t="inlineStr">
        <is>
          <t>Waste Removal</t>
        </is>
      </c>
    </row>
    <row r="4027">
      <c r="B4027" s="39" t="n">
        <v>46038</v>
      </c>
      <c r="C4027" s="3" t="inlineStr">
        <is>
          <t>Bill</t>
        </is>
      </c>
      <c r="D4027" s="3" t="inlineStr"/>
      <c r="E4027" s="3" t="inlineStr">
        <is>
          <t>Northmoor Waste Services</t>
        </is>
      </c>
      <c r="F4027" s="3" t="inlineStr">
        <is>
          <t>Hazard Waste – January</t>
        </is>
      </c>
      <c r="G4027" s="3" t="inlineStr">
        <is>
          <t>Accounts Payable</t>
        </is>
      </c>
      <c r="H4027" s="3" t="inlineStr">
        <is>
          <t>Hazard Waste</t>
        </is>
      </c>
      <c r="I4027" s="33" t="n">
        <v>1008.94</v>
      </c>
      <c r="J4027" s="13">
        <f>+J4026+I4027</f>
        <v>1860</v>
      </c>
      <c r="K4027" s="19">
        <f>+EOMONTH(B4027,0)</f>
        <v>46053</v>
      </c>
      <c r="L4027" s="3" t="inlineStr">
        <is>
          <t>Hazard Waste</t>
        </is>
      </c>
      <c r="M4027" s="3" t="inlineStr">
        <is>
          <t>Waste Removal</t>
        </is>
      </c>
    </row>
    <row r="4028">
      <c r="B4028" s="39" t="n">
        <v>46058</v>
      </c>
      <c r="C4028" s="3" t="inlineStr">
        <is>
          <t>Bill</t>
        </is>
      </c>
      <c r="D4028" s="3" t="inlineStr"/>
      <c r="E4028" s="3" t="inlineStr">
        <is>
          <t>Northmoor Waste Services</t>
        </is>
      </c>
      <c r="F4028" s="3" t="inlineStr">
        <is>
          <t>Hazard Waste – February</t>
        </is>
      </c>
      <c r="G4028" s="3" t="inlineStr">
        <is>
          <t>Accounts Payable</t>
        </is>
      </c>
      <c r="H4028" s="3" t="inlineStr">
        <is>
          <t>Hazard Waste</t>
        </is>
      </c>
      <c r="I4028" s="33" t="n">
        <v>1164.84</v>
      </c>
      <c r="J4028" s="13">
        <f>+J4027+I4028</f>
        <v>3024.84</v>
      </c>
      <c r="K4028" s="19">
        <f>+EOMONTH(B4028,0)</f>
        <v>46081</v>
      </c>
      <c r="L4028" s="3" t="inlineStr">
        <is>
          <t>Hazard Waste</t>
        </is>
      </c>
      <c r="M4028" s="3" t="inlineStr">
        <is>
          <t>Waste Removal</t>
        </is>
      </c>
    </row>
    <row r="4029">
      <c r="B4029" s="39" t="n">
        <v>46068</v>
      </c>
      <c r="C4029" s="3" t="inlineStr">
        <is>
          <t>Bill</t>
        </is>
      </c>
      <c r="D4029" s="3" t="inlineStr"/>
      <c r="E4029" s="3" t="inlineStr">
        <is>
          <t>Northmoor Waste Services</t>
        </is>
      </c>
      <c r="F4029" s="3" t="inlineStr">
        <is>
          <t>Hazard Waste – February</t>
        </is>
      </c>
      <c r="G4029" s="3" t="inlineStr">
        <is>
          <t>Accounts Payable</t>
        </is>
      </c>
      <c r="H4029" s="3" t="inlineStr">
        <is>
          <t>Hazard Waste</t>
        </is>
      </c>
      <c r="I4029" s="33" t="n">
        <v>635.16</v>
      </c>
      <c r="J4029" s="13">
        <f>+J4028+I4029</f>
        <v>3660</v>
      </c>
      <c r="K4029" s="19">
        <f>+EOMONTH(B4029,0)</f>
        <v>46081</v>
      </c>
      <c r="L4029" s="3" t="inlineStr">
        <is>
          <t>Hazard Waste</t>
        </is>
      </c>
      <c r="M4029" s="3" t="inlineStr">
        <is>
          <t>Waste Removal</t>
        </is>
      </c>
    </row>
    <row r="4030">
      <c r="B4030" s="39" t="n">
        <v>46092</v>
      </c>
      <c r="C4030" s="3" t="inlineStr">
        <is>
          <t>Bill</t>
        </is>
      </c>
      <c r="D4030" s="3" t="inlineStr"/>
      <c r="E4030" s="3" t="inlineStr">
        <is>
          <t>Northmoor Waste Services</t>
        </is>
      </c>
      <c r="F4030" s="3" t="inlineStr">
        <is>
          <t>Hazard Waste – March</t>
        </is>
      </c>
      <c r="G4030" s="3" t="inlineStr">
        <is>
          <t>Accounts Payable</t>
        </is>
      </c>
      <c r="H4030" s="3" t="inlineStr">
        <is>
          <t>Hazard Waste</t>
        </is>
      </c>
      <c r="I4030" s="33" t="n">
        <v>1028.13</v>
      </c>
      <c r="J4030" s="13">
        <f>+J4029+I4030</f>
        <v>4688.13</v>
      </c>
      <c r="K4030" s="19">
        <f>+EOMONTH(B4030,0)</f>
        <v>46112</v>
      </c>
      <c r="L4030" s="3" t="inlineStr">
        <is>
          <t>Hazard Waste</t>
        </is>
      </c>
      <c r="M4030" s="3" t="inlineStr">
        <is>
          <t>Waste Removal</t>
        </is>
      </c>
    </row>
    <row r="4031">
      <c r="B4031" s="39" t="n">
        <v>46095</v>
      </c>
      <c r="C4031" s="3" t="inlineStr">
        <is>
          <t>Bill</t>
        </is>
      </c>
      <c r="D4031" s="3" t="inlineStr"/>
      <c r="E4031" s="3" t="inlineStr">
        <is>
          <t>Northmoor Waste Services</t>
        </is>
      </c>
      <c r="F4031" s="3" t="inlineStr">
        <is>
          <t>Hazard Waste – March</t>
        </is>
      </c>
      <c r="G4031" s="3" t="inlineStr">
        <is>
          <t>Accounts Payable</t>
        </is>
      </c>
      <c r="H4031" s="3" t="inlineStr">
        <is>
          <t>Hazard Waste</t>
        </is>
      </c>
      <c r="I4031" s="33" t="n">
        <v>891.87</v>
      </c>
      <c r="J4031" s="13">
        <f>+J4030+I4031</f>
        <v>5580</v>
      </c>
      <c r="K4031" s="19">
        <f>+EOMONTH(B4031,0)</f>
        <v>46112</v>
      </c>
      <c r="L4031" s="3" t="inlineStr">
        <is>
          <t>Hazard Waste</t>
        </is>
      </c>
      <c r="M4031" s="3" t="inlineStr">
        <is>
          <t>Waste Removal</t>
        </is>
      </c>
    </row>
    <row r="4032">
      <c r="B4032" s="39" t="n">
        <v>46120</v>
      </c>
      <c r="C4032" s="3" t="inlineStr">
        <is>
          <t>Bill</t>
        </is>
      </c>
      <c r="D4032" s="3" t="inlineStr"/>
      <c r="E4032" s="3" t="inlineStr">
        <is>
          <t>Northmoor Waste Services</t>
        </is>
      </c>
      <c r="F4032" s="3" t="inlineStr">
        <is>
          <t>Hazard Waste – April</t>
        </is>
      </c>
      <c r="G4032" s="3" t="inlineStr">
        <is>
          <t>Accounts Payable</t>
        </is>
      </c>
      <c r="H4032" s="3" t="inlineStr">
        <is>
          <t>Hazard Waste</t>
        </is>
      </c>
      <c r="I4032" s="33" t="n">
        <v>1096.85</v>
      </c>
      <c r="J4032" s="13">
        <f>+J4031+I4032</f>
        <v>6676.85</v>
      </c>
      <c r="K4032" s="19">
        <f>+EOMONTH(B4032,0)</f>
        <v>46142</v>
      </c>
      <c r="L4032" s="3" t="inlineStr">
        <is>
          <t>Hazard Waste</t>
        </is>
      </c>
      <c r="M4032" s="3" t="inlineStr">
        <is>
          <t>Waste Removal</t>
        </is>
      </c>
    </row>
    <row r="4033">
      <c r="B4033" s="39" t="n">
        <v>46134</v>
      </c>
      <c r="C4033" s="3" t="inlineStr">
        <is>
          <t>Bill</t>
        </is>
      </c>
      <c r="D4033" s="3" t="inlineStr"/>
      <c r="E4033" s="3" t="inlineStr">
        <is>
          <t>Northmoor Waste Services</t>
        </is>
      </c>
      <c r="F4033" s="3" t="inlineStr">
        <is>
          <t>Hazard Waste – April</t>
        </is>
      </c>
      <c r="G4033" s="3" t="inlineStr">
        <is>
          <t>Accounts Payable</t>
        </is>
      </c>
      <c r="H4033" s="3" t="inlineStr">
        <is>
          <t>Hazard Waste</t>
        </is>
      </c>
      <c r="I4033" s="33" t="n">
        <v>643.15</v>
      </c>
      <c r="J4033" s="13">
        <f>+J4032+I4033</f>
        <v>7320</v>
      </c>
      <c r="K4033" s="19">
        <f>+EOMONTH(B4033,0)</f>
        <v>46142</v>
      </c>
      <c r="L4033" s="3" t="inlineStr">
        <is>
          <t>Hazard Waste</t>
        </is>
      </c>
      <c r="M4033" s="3" t="inlineStr">
        <is>
          <t>Waste Removal</t>
        </is>
      </c>
    </row>
    <row r="4034">
      <c r="B4034" s="39" t="n">
        <v>46145</v>
      </c>
      <c r="C4034" s="3" t="inlineStr">
        <is>
          <t>Bill</t>
        </is>
      </c>
      <c r="D4034" s="3" t="inlineStr"/>
      <c r="E4034" s="3" t="inlineStr">
        <is>
          <t>Northmoor Waste Services</t>
        </is>
      </c>
      <c r="F4034" s="3" t="inlineStr">
        <is>
          <t>Hazard Waste – May</t>
        </is>
      </c>
      <c r="G4034" s="3" t="inlineStr">
        <is>
          <t>Accounts Payable</t>
        </is>
      </c>
      <c r="H4034" s="3" t="inlineStr">
        <is>
          <t>Hazard Waste</t>
        </is>
      </c>
      <c r="I4034" s="33" t="n">
        <v>663.26</v>
      </c>
      <c r="J4034" s="13">
        <f>+J4033+I4034</f>
        <v>7983.26</v>
      </c>
      <c r="K4034" s="19">
        <f>+EOMONTH(B4034,0)</f>
        <v>46173</v>
      </c>
      <c r="L4034" s="3" t="inlineStr">
        <is>
          <t>Hazard Waste</t>
        </is>
      </c>
      <c r="M4034" s="3" t="inlineStr">
        <is>
          <t>Waste Removal</t>
        </is>
      </c>
    </row>
    <row r="4035">
      <c r="B4035" s="39" t="n">
        <v>46165</v>
      </c>
      <c r="C4035" s="3" t="inlineStr">
        <is>
          <t>Bill</t>
        </is>
      </c>
      <c r="D4035" s="3" t="inlineStr"/>
      <c r="E4035" s="3" t="inlineStr">
        <is>
          <t>Northmoor Waste Services</t>
        </is>
      </c>
      <c r="F4035" s="3" t="inlineStr">
        <is>
          <t>Hazard Waste – May</t>
        </is>
      </c>
      <c r="G4035" s="3" t="inlineStr">
        <is>
          <t>Accounts Payable</t>
        </is>
      </c>
      <c r="H4035" s="3" t="inlineStr">
        <is>
          <t>Hazard Waste</t>
        </is>
      </c>
      <c r="I4035" s="33" t="n">
        <v>1196.74</v>
      </c>
      <c r="J4035" s="13">
        <f>+J4034+I4035</f>
        <v>9180</v>
      </c>
      <c r="K4035" s="19">
        <f>+EOMONTH(B4035,0)</f>
        <v>46173</v>
      </c>
      <c r="L4035" s="3" t="inlineStr">
        <is>
          <t>Hazard Waste</t>
        </is>
      </c>
      <c r="M4035" s="3" t="inlineStr">
        <is>
          <t>Waste Removal</t>
        </is>
      </c>
    </row>
    <row r="4036">
      <c r="B4036" s="39" t="n">
        <v>46178</v>
      </c>
      <c r="C4036" s="3" t="inlineStr">
        <is>
          <t>Bill</t>
        </is>
      </c>
      <c r="D4036" s="3" t="inlineStr"/>
      <c r="E4036" s="3" t="inlineStr">
        <is>
          <t>Northmoor Waste Services</t>
        </is>
      </c>
      <c r="F4036" s="3" t="inlineStr">
        <is>
          <t>Hazard Waste – June</t>
        </is>
      </c>
      <c r="G4036" s="3" t="inlineStr">
        <is>
          <t>Accounts Payable</t>
        </is>
      </c>
      <c r="H4036" s="3" t="inlineStr">
        <is>
          <t>Hazard Waste</t>
        </is>
      </c>
      <c r="I4036" s="33" t="n">
        <v>921.64</v>
      </c>
      <c r="J4036" s="13">
        <f>+J4035+I4036</f>
        <v>10101.64</v>
      </c>
      <c r="K4036" s="19">
        <f>+EOMONTH(B4036,0)</f>
        <v>46203</v>
      </c>
      <c r="L4036" s="3" t="inlineStr">
        <is>
          <t>Hazard Waste</t>
        </is>
      </c>
      <c r="M4036" s="3" t="inlineStr">
        <is>
          <t>Waste Removal</t>
        </is>
      </c>
    </row>
    <row r="4037">
      <c r="B4037" s="39" t="n">
        <v>46195</v>
      </c>
      <c r="C4037" s="3" t="inlineStr">
        <is>
          <t>Bill</t>
        </is>
      </c>
      <c r="D4037" s="3" t="inlineStr"/>
      <c r="E4037" s="3" t="inlineStr">
        <is>
          <t>Northmoor Waste Services</t>
        </is>
      </c>
      <c r="F4037" s="3" t="inlineStr">
        <is>
          <t>Hazard Waste – June</t>
        </is>
      </c>
      <c r="G4037" s="3" t="inlineStr">
        <is>
          <t>Accounts Payable</t>
        </is>
      </c>
      <c r="H4037" s="3" t="inlineStr">
        <is>
          <t>Hazard Waste</t>
        </is>
      </c>
      <c r="I4037" s="33" t="n">
        <v>998.36</v>
      </c>
      <c r="J4037" s="13">
        <f>+J4036+I4037</f>
        <v>11100</v>
      </c>
      <c r="K4037" s="19">
        <f>+EOMONTH(B4037,0)</f>
        <v>46203</v>
      </c>
      <c r="L4037" s="3" t="inlineStr">
        <is>
          <t>Hazard Waste</t>
        </is>
      </c>
      <c r="M4037" s="3" t="inlineStr">
        <is>
          <t>Waste Removal</t>
        </is>
      </c>
    </row>
    <row r="4038">
      <c r="B4038" s="39" t="n">
        <v>46205</v>
      </c>
      <c r="C4038" s="3" t="inlineStr">
        <is>
          <t>Bill</t>
        </is>
      </c>
      <c r="D4038" s="3" t="inlineStr"/>
      <c r="E4038" s="3" t="inlineStr">
        <is>
          <t>Northmoor Waste Services</t>
        </is>
      </c>
      <c r="F4038" s="3" t="inlineStr">
        <is>
          <t>Hazard Waste – July</t>
        </is>
      </c>
      <c r="G4038" s="3" t="inlineStr">
        <is>
          <t>Accounts Payable</t>
        </is>
      </c>
      <c r="H4038" s="3" t="inlineStr">
        <is>
          <t>Hazard Waste</t>
        </is>
      </c>
      <c r="I4038" s="33" t="n">
        <v>1001.87</v>
      </c>
      <c r="J4038" s="13">
        <f>+J4037+I4038</f>
        <v>12101.87</v>
      </c>
      <c r="K4038" s="19">
        <f>+EOMONTH(B4038,0)</f>
        <v>46234</v>
      </c>
      <c r="L4038" s="3" t="inlineStr">
        <is>
          <t>Hazard Waste</t>
        </is>
      </c>
      <c r="M4038" s="3" t="inlineStr">
        <is>
          <t>Waste Removal</t>
        </is>
      </c>
    </row>
    <row r="4039">
      <c r="B4039" s="39" t="n">
        <v>46207</v>
      </c>
      <c r="C4039" s="3" t="inlineStr">
        <is>
          <t>Bill</t>
        </is>
      </c>
      <c r="D4039" s="3" t="inlineStr"/>
      <c r="E4039" s="3" t="inlineStr">
        <is>
          <t>Northmoor Waste Services</t>
        </is>
      </c>
      <c r="F4039" s="3" t="inlineStr">
        <is>
          <t>Hazard Waste – July</t>
        </is>
      </c>
      <c r="G4039" s="3" t="inlineStr">
        <is>
          <t>Accounts Payable</t>
        </is>
      </c>
      <c r="H4039" s="3" t="inlineStr">
        <is>
          <t>Hazard Waste</t>
        </is>
      </c>
      <c r="I4039" s="33" t="n">
        <v>738.13</v>
      </c>
      <c r="J4039" s="13">
        <f>+J4038+I4039</f>
        <v>12840</v>
      </c>
      <c r="K4039" s="19">
        <f>+EOMONTH(B4039,0)</f>
        <v>46234</v>
      </c>
      <c r="L4039" s="3" t="inlineStr">
        <is>
          <t>Hazard Waste</t>
        </is>
      </c>
      <c r="M4039" s="3" t="inlineStr">
        <is>
          <t>Waste Removal</t>
        </is>
      </c>
    </row>
    <row r="4040">
      <c r="B4040" s="39" t="n">
        <v>46236</v>
      </c>
      <c r="C4040" s="3" t="inlineStr">
        <is>
          <t>Bill</t>
        </is>
      </c>
      <c r="D4040" s="3" t="inlineStr"/>
      <c r="E4040" s="3" t="inlineStr">
        <is>
          <t>Northmoor Waste Services</t>
        </is>
      </c>
      <c r="F4040" s="3" t="inlineStr">
        <is>
          <t>Hazard Waste – August</t>
        </is>
      </c>
      <c r="G4040" s="3" t="inlineStr">
        <is>
          <t>Accounts Payable</t>
        </is>
      </c>
      <c r="H4040" s="3" t="inlineStr">
        <is>
          <t>Hazard Waste</t>
        </is>
      </c>
      <c r="I4040" s="33" t="n">
        <v>877.83</v>
      </c>
      <c r="J4040" s="13">
        <f>+J4039+I4040</f>
        <v>13717.83</v>
      </c>
      <c r="K4040" s="19">
        <f>+EOMONTH(B4040,0)</f>
        <v>46265</v>
      </c>
      <c r="L4040" s="3" t="inlineStr">
        <is>
          <t>Hazard Waste</t>
        </is>
      </c>
      <c r="M4040" s="3" t="inlineStr">
        <is>
          <t>Waste Removal</t>
        </is>
      </c>
    </row>
    <row r="4041">
      <c r="B4041" s="39" t="n">
        <v>46238</v>
      </c>
      <c r="C4041" s="3" t="inlineStr">
        <is>
          <t>Bill</t>
        </is>
      </c>
      <c r="D4041" s="3" t="inlineStr"/>
      <c r="E4041" s="3" t="inlineStr">
        <is>
          <t>Northmoor Waste Services</t>
        </is>
      </c>
      <c r="F4041" s="3" t="inlineStr">
        <is>
          <t>Hazard Waste – August</t>
        </is>
      </c>
      <c r="G4041" s="3" t="inlineStr">
        <is>
          <t>Accounts Payable</t>
        </is>
      </c>
      <c r="H4041" s="3" t="inlineStr">
        <is>
          <t>Hazard Waste</t>
        </is>
      </c>
      <c r="I4041" s="33" t="n">
        <v>922.17</v>
      </c>
      <c r="J4041" s="13">
        <f>+J4040+I4041</f>
        <v>14640</v>
      </c>
      <c r="K4041" s="19">
        <f>+EOMONTH(B4041,0)</f>
        <v>46265</v>
      </c>
      <c r="L4041" s="3" t="inlineStr">
        <is>
          <t>Hazard Waste</t>
        </is>
      </c>
      <c r="M4041" s="3" t="inlineStr">
        <is>
          <t>Waste Removal</t>
        </is>
      </c>
    </row>
    <row r="4042">
      <c r="B4042" s="39" t="n">
        <v>46272</v>
      </c>
      <c r="C4042" s="3" t="inlineStr">
        <is>
          <t>Bill</t>
        </is>
      </c>
      <c r="D4042" s="3" t="inlineStr"/>
      <c r="E4042" s="3" t="inlineStr">
        <is>
          <t>Northmoor Waste Services</t>
        </is>
      </c>
      <c r="F4042" s="3" t="inlineStr">
        <is>
          <t>Hazard Waste – September</t>
        </is>
      </c>
      <c r="G4042" s="3" t="inlineStr">
        <is>
          <t>Accounts Payable</t>
        </is>
      </c>
      <c r="H4042" s="3" t="inlineStr">
        <is>
          <t>Hazard Waste</t>
        </is>
      </c>
      <c r="I4042" s="33" t="n">
        <v>1890.13</v>
      </c>
      <c r="J4042" s="13">
        <f>+J4041+I4042</f>
        <v>16530.13</v>
      </c>
      <c r="K4042" s="19">
        <f>+EOMONTH(B4042,0)</f>
        <v>46295</v>
      </c>
      <c r="L4042" s="3" t="inlineStr">
        <is>
          <t>Hazard Waste</t>
        </is>
      </c>
      <c r="M4042" s="3" t="inlineStr">
        <is>
          <t>Waste Removal</t>
        </is>
      </c>
    </row>
    <row r="4043">
      <c r="B4043" s="39" t="n">
        <v>46298</v>
      </c>
      <c r="C4043" s="3" t="inlineStr">
        <is>
          <t>Bill</t>
        </is>
      </c>
      <c r="D4043" s="3" t="inlineStr"/>
      <c r="E4043" s="3" t="inlineStr">
        <is>
          <t>Northmoor Waste Services</t>
        </is>
      </c>
      <c r="F4043" s="3" t="inlineStr">
        <is>
          <t>Hazard Waste – October</t>
        </is>
      </c>
      <c r="G4043" s="3" t="inlineStr">
        <is>
          <t>Accounts Payable</t>
        </is>
      </c>
      <c r="H4043" s="3" t="inlineStr">
        <is>
          <t>Hazard Waste</t>
        </is>
      </c>
      <c r="I4043" s="33" t="n">
        <v>1978.98</v>
      </c>
      <c r="J4043" s="13">
        <f>+J4042+I4043</f>
        <v>18509.11</v>
      </c>
      <c r="K4043" s="19">
        <f>+EOMONTH(B4043,0)</f>
        <v>46326</v>
      </c>
      <c r="L4043" s="3" t="inlineStr">
        <is>
          <t>Hazard Waste</t>
        </is>
      </c>
      <c r="M4043" s="3" t="inlineStr">
        <is>
          <t>Waste Removal</t>
        </is>
      </c>
    </row>
    <row r="4044">
      <c r="B4044" s="39" t="n">
        <v>46352</v>
      </c>
      <c r="C4044" s="3" t="inlineStr">
        <is>
          <t>Bill</t>
        </is>
      </c>
      <c r="D4044" s="3" t="inlineStr"/>
      <c r="E4044" s="3" t="inlineStr">
        <is>
          <t>Northmoor Waste Services</t>
        </is>
      </c>
      <c r="F4044" s="3" t="inlineStr">
        <is>
          <t>Hazard Waste – November</t>
        </is>
      </c>
      <c r="G4044" s="3" t="inlineStr">
        <is>
          <t>Accounts Payable</t>
        </is>
      </c>
      <c r="H4044" s="3" t="inlineStr">
        <is>
          <t>Hazard Waste</t>
        </is>
      </c>
      <c r="I4044" s="33" t="n">
        <v>1806.3</v>
      </c>
      <c r="J4044" s="13">
        <f>+J4043+I4044</f>
        <v>20315.41</v>
      </c>
      <c r="K4044" s="19">
        <f>+EOMONTH(B4044,0)</f>
        <v>46356</v>
      </c>
      <c r="L4044" s="3" t="inlineStr">
        <is>
          <t>Hazard Waste</t>
        </is>
      </c>
      <c r="M4044" s="3" t="inlineStr">
        <is>
          <t>Waste Removal</t>
        </is>
      </c>
    </row>
    <row r="4045">
      <c r="A4045" s="2" t="inlineStr">
        <is>
          <t>Total for Hazard Waste</t>
        </is>
      </c>
      <c r="I4045" s="35">
        <f>SUM(I4026:I4044)</f>
        <v>20315.41</v>
      </c>
    </row>
    <row r="4047">
      <c r="A4047" s="2" t="inlineStr">
        <is>
          <t>Landscaping</t>
        </is>
      </c>
    </row>
    <row r="4048">
      <c r="B4048" s="39" t="n">
        <v>46030</v>
      </c>
      <c r="C4048" s="3" t="inlineStr">
        <is>
          <t>Expense</t>
        </is>
      </c>
      <c r="D4048" s="3" t="inlineStr">
        <is>
          <t>10992</t>
        </is>
      </c>
      <c r="E4048" s="3" t="inlineStr">
        <is>
          <t>Halloway Ridge Realty (rent)</t>
        </is>
      </c>
      <c r="F4048" s="3" t="inlineStr">
        <is>
          <t>Landscaping – January</t>
        </is>
      </c>
      <c r="G4048" s="3" t="inlineStr">
        <is>
          <t>Checking – Operating</t>
        </is>
      </c>
      <c r="H4048" s="3" t="inlineStr">
        <is>
          <t>Landscaping</t>
        </is>
      </c>
      <c r="I4048" s="33" t="n">
        <v>1390.46</v>
      </c>
      <c r="J4048" s="13">
        <f>+I4048</f>
        <v>1390.46</v>
      </c>
      <c r="K4048" s="19">
        <f>+EOMONTH(B4048,0)</f>
        <v>46053</v>
      </c>
      <c r="L4048" s="3" t="inlineStr">
        <is>
          <t>Landscaping</t>
        </is>
      </c>
      <c r="M4048" s="3" t="inlineStr">
        <is>
          <t>Other Facility Expenses</t>
        </is>
      </c>
    </row>
    <row r="4049">
      <c r="B4049" s="39" t="n">
        <v>46043</v>
      </c>
      <c r="C4049" s="3" t="inlineStr">
        <is>
          <t>Expense</t>
        </is>
      </c>
      <c r="D4049" s="3" t="inlineStr">
        <is>
          <t>10991</t>
        </is>
      </c>
      <c r="E4049" s="3" t="inlineStr">
        <is>
          <t>Halloway Ridge Realty (rent)</t>
        </is>
      </c>
      <c r="F4049" s="3" t="inlineStr">
        <is>
          <t>Landscaping – January</t>
        </is>
      </c>
      <c r="G4049" s="3" t="inlineStr">
        <is>
          <t>Checking – Operating</t>
        </is>
      </c>
      <c r="H4049" s="3" t="inlineStr">
        <is>
          <t>Landscaping</t>
        </is>
      </c>
      <c r="I4049" s="33" t="n">
        <v>1109.54</v>
      </c>
      <c r="J4049" s="13">
        <f>+J4048+I4049</f>
        <v>2500</v>
      </c>
      <c r="K4049" s="19">
        <f>+EOMONTH(B4049,0)</f>
        <v>46053</v>
      </c>
      <c r="L4049" s="3" t="inlineStr">
        <is>
          <t>Landscaping</t>
        </is>
      </c>
      <c r="M4049" s="3" t="inlineStr">
        <is>
          <t>Other Facility Expenses</t>
        </is>
      </c>
    </row>
    <row r="4050">
      <c r="B4050" s="39" t="n">
        <v>46067</v>
      </c>
      <c r="C4050" s="3" t="inlineStr">
        <is>
          <t>Credit Card Expense</t>
        </is>
      </c>
      <c r="D4050" s="3" t="inlineStr"/>
      <c r="E4050" s="3" t="inlineStr">
        <is>
          <t>Halloway Ridge Realty (rent)</t>
        </is>
      </c>
      <c r="F4050" s="3" t="inlineStr">
        <is>
          <t>Landscaping – February</t>
        </is>
      </c>
      <c r="G4050" s="3" t="inlineStr">
        <is>
          <t>Checking – Operating</t>
        </is>
      </c>
      <c r="H4050" s="3" t="inlineStr">
        <is>
          <t>Landscaping</t>
        </is>
      </c>
      <c r="I4050" s="33" t="n">
        <v>906.45</v>
      </c>
      <c r="J4050" s="13">
        <f>+J4049+I4050</f>
        <v>3406.45</v>
      </c>
      <c r="K4050" s="19">
        <f>+EOMONTH(B4050,0)</f>
        <v>46081</v>
      </c>
      <c r="L4050" s="3" t="inlineStr">
        <is>
          <t>Landscaping</t>
        </is>
      </c>
      <c r="M4050" s="3" t="inlineStr">
        <is>
          <t>Other Facility Expenses</t>
        </is>
      </c>
    </row>
    <row r="4051">
      <c r="B4051" s="39" t="n">
        <v>46072</v>
      </c>
      <c r="C4051" s="3" t="inlineStr">
        <is>
          <t>Expense</t>
        </is>
      </c>
      <c r="D4051" s="3" t="inlineStr">
        <is>
          <t>10993</t>
        </is>
      </c>
      <c r="E4051" s="3" t="inlineStr">
        <is>
          <t>Halloway Ridge Realty (rent)</t>
        </is>
      </c>
      <c r="F4051" s="3" t="inlineStr">
        <is>
          <t>Landscaping – February</t>
        </is>
      </c>
      <c r="G4051" s="3" t="inlineStr">
        <is>
          <t>Checking – Operating</t>
        </is>
      </c>
      <c r="H4051" s="3" t="inlineStr">
        <is>
          <t>Landscaping</t>
        </is>
      </c>
      <c r="I4051" s="33" t="n">
        <v>1393.55</v>
      </c>
      <c r="J4051" s="13">
        <f>+J4050+I4051</f>
        <v>4800</v>
      </c>
      <c r="K4051" s="19">
        <f>+EOMONTH(B4051,0)</f>
        <v>46081</v>
      </c>
      <c r="L4051" s="3" t="inlineStr">
        <is>
          <t>Landscaping</t>
        </is>
      </c>
      <c r="M4051" s="3" t="inlineStr">
        <is>
          <t>Other Facility Expenses</t>
        </is>
      </c>
    </row>
    <row r="4052">
      <c r="B4052" s="39" t="n">
        <v>46100</v>
      </c>
      <c r="C4052" s="3" t="inlineStr">
        <is>
          <t>Expense</t>
        </is>
      </c>
      <c r="D4052" s="3" t="inlineStr">
        <is>
          <t>10994</t>
        </is>
      </c>
      <c r="E4052" s="3" t="inlineStr">
        <is>
          <t>Halloway Ridge Realty (rent)</t>
        </is>
      </c>
      <c r="F4052" s="3" t="inlineStr">
        <is>
          <t>Landscaping – March</t>
        </is>
      </c>
      <c r="G4052" s="3" t="inlineStr">
        <is>
          <t>Checking – Operating</t>
        </is>
      </c>
      <c r="H4052" s="3" t="inlineStr">
        <is>
          <t>Landscaping</t>
        </is>
      </c>
      <c r="I4052" s="33" t="n">
        <v>1128.82</v>
      </c>
      <c r="J4052" s="13">
        <f>+J4051+I4052</f>
        <v>5928.82</v>
      </c>
      <c r="K4052" s="19">
        <f>+EOMONTH(B4052,0)</f>
        <v>46112</v>
      </c>
      <c r="L4052" s="3" t="inlineStr">
        <is>
          <t>Landscaping</t>
        </is>
      </c>
      <c r="M4052" s="3" t="inlineStr">
        <is>
          <t>Other Facility Expenses</t>
        </is>
      </c>
    </row>
    <row r="4053">
      <c r="B4053" s="39" t="n">
        <v>46109</v>
      </c>
      <c r="C4053" s="3" t="inlineStr">
        <is>
          <t>Journal Entry</t>
        </is>
      </c>
      <c r="D4053" s="3" t="inlineStr">
        <is>
          <t>JE-2749</t>
        </is>
      </c>
      <c r="E4053" s="3" t="inlineStr">
        <is>
          <t>Halloway Ridge Realty (rent)</t>
        </is>
      </c>
      <c r="F4053" s="3" t="inlineStr">
        <is>
          <t>Landscaping – March</t>
        </is>
      </c>
      <c r="G4053" s="3" t="inlineStr">
        <is>
          <t>Checking – Operating</t>
        </is>
      </c>
      <c r="H4053" s="3" t="inlineStr">
        <is>
          <t>Landscaping</t>
        </is>
      </c>
      <c r="I4053" s="33" t="n">
        <v>1171.18</v>
      </c>
      <c r="J4053" s="13">
        <f>+J4052+I4053</f>
        <v>7100</v>
      </c>
      <c r="K4053" s="19">
        <f>+EOMONTH(B4053,0)</f>
        <v>46112</v>
      </c>
      <c r="L4053" s="3" t="inlineStr">
        <is>
          <t>Landscaping</t>
        </is>
      </c>
      <c r="M4053" s="3" t="inlineStr">
        <is>
          <t>Other Facility Expenses</t>
        </is>
      </c>
    </row>
    <row r="4054">
      <c r="B4054" s="39" t="n">
        <v>46119</v>
      </c>
      <c r="C4054" s="3" t="inlineStr">
        <is>
          <t>Expense</t>
        </is>
      </c>
      <c r="D4054" s="3" t="inlineStr">
        <is>
          <t>10995</t>
        </is>
      </c>
      <c r="E4054" s="3" t="inlineStr">
        <is>
          <t>Halloway Ridge Realty (rent)</t>
        </is>
      </c>
      <c r="F4054" s="3" t="inlineStr">
        <is>
          <t>Landscaping – April</t>
        </is>
      </c>
      <c r="G4054" s="3" t="inlineStr">
        <is>
          <t>Checking – Operating</t>
        </is>
      </c>
      <c r="H4054" s="3" t="inlineStr">
        <is>
          <t>Landscaping</t>
        </is>
      </c>
      <c r="I4054" s="33" t="n">
        <v>1374.11</v>
      </c>
      <c r="J4054" s="13">
        <f>+J4053+I4054</f>
        <v>8474.11</v>
      </c>
      <c r="K4054" s="19">
        <f>+EOMONTH(B4054,0)</f>
        <v>46142</v>
      </c>
      <c r="L4054" s="3" t="inlineStr">
        <is>
          <t>Landscaping</t>
        </is>
      </c>
      <c r="M4054" s="3" t="inlineStr">
        <is>
          <t>Other Facility Expenses</t>
        </is>
      </c>
    </row>
    <row r="4055">
      <c r="B4055" s="39" t="n">
        <v>46128</v>
      </c>
      <c r="C4055" s="3" t="inlineStr">
        <is>
          <t>Expense</t>
        </is>
      </c>
      <c r="D4055" s="3" t="inlineStr">
        <is>
          <t>10996</t>
        </is>
      </c>
      <c r="E4055" s="3" t="inlineStr">
        <is>
          <t>Halloway Ridge Realty (rent)</t>
        </is>
      </c>
      <c r="F4055" s="3" t="inlineStr">
        <is>
          <t>Landscaping – April</t>
        </is>
      </c>
      <c r="G4055" s="3" t="inlineStr">
        <is>
          <t>Checking – Operating</t>
        </is>
      </c>
      <c r="H4055" s="3" t="inlineStr">
        <is>
          <t>Landscaping</t>
        </is>
      </c>
      <c r="I4055" s="33" t="n">
        <v>1025.89</v>
      </c>
      <c r="J4055" s="13">
        <f>+J4054+I4055</f>
        <v>9500</v>
      </c>
      <c r="K4055" s="19">
        <f>+EOMONTH(B4055,0)</f>
        <v>46142</v>
      </c>
      <c r="L4055" s="3" t="inlineStr">
        <is>
          <t>Landscaping</t>
        </is>
      </c>
      <c r="M4055" s="3" t="inlineStr">
        <is>
          <t>Other Facility Expenses</t>
        </is>
      </c>
    </row>
    <row r="4056">
      <c r="B4056" s="39" t="n">
        <v>46151</v>
      </c>
      <c r="C4056" s="3" t="inlineStr">
        <is>
          <t>Expense</t>
        </is>
      </c>
      <c r="D4056" s="3" t="inlineStr">
        <is>
          <t>10997</t>
        </is>
      </c>
      <c r="E4056" s="3" t="inlineStr">
        <is>
          <t>Halloway Ridge Realty (rent)</t>
        </is>
      </c>
      <c r="F4056" s="3" t="inlineStr">
        <is>
          <t>Landscaping – May</t>
        </is>
      </c>
      <c r="G4056" s="3" t="inlineStr">
        <is>
          <t>Checking – Operating</t>
        </is>
      </c>
      <c r="H4056" s="3" t="inlineStr">
        <is>
          <t>Landscaping</t>
        </is>
      </c>
      <c r="I4056" s="33" t="n">
        <v>1331.34</v>
      </c>
      <c r="J4056" s="13">
        <f>+J4055+I4056</f>
        <v>10831.34</v>
      </c>
      <c r="K4056" s="19">
        <f>+EOMONTH(B4056,0)</f>
        <v>46173</v>
      </c>
      <c r="L4056" s="3" t="inlineStr">
        <is>
          <t>Landscaping</t>
        </is>
      </c>
      <c r="M4056" s="3" t="inlineStr">
        <is>
          <t>Other Facility Expenses</t>
        </is>
      </c>
    </row>
    <row r="4057">
      <c r="B4057" s="39" t="n">
        <v>46165</v>
      </c>
      <c r="C4057" s="3" t="inlineStr">
        <is>
          <t>Journal Entry</t>
        </is>
      </c>
      <c r="D4057" s="3" t="inlineStr">
        <is>
          <t>JE-2750</t>
        </is>
      </c>
      <c r="E4057" s="3" t="inlineStr">
        <is>
          <t>Halloway Ridge Realty (rent)</t>
        </is>
      </c>
      <c r="F4057" s="3" t="inlineStr">
        <is>
          <t>Landscaping – May</t>
        </is>
      </c>
      <c r="G4057" s="3" t="inlineStr">
        <is>
          <t>Checking – Operating</t>
        </is>
      </c>
      <c r="H4057" s="3" t="inlineStr">
        <is>
          <t>Landscaping</t>
        </is>
      </c>
      <c r="I4057" s="33" t="n">
        <v>1168.66</v>
      </c>
      <c r="J4057" s="13">
        <f>+J4056+I4057</f>
        <v>12000</v>
      </c>
      <c r="K4057" s="19">
        <f>+EOMONTH(B4057,0)</f>
        <v>46173</v>
      </c>
      <c r="L4057" s="3" t="inlineStr">
        <is>
          <t>Landscaping</t>
        </is>
      </c>
      <c r="M4057" s="3" t="inlineStr">
        <is>
          <t>Other Facility Expenses</t>
        </is>
      </c>
    </row>
    <row r="4058">
      <c r="B4058" s="39" t="n">
        <v>46174</v>
      </c>
      <c r="C4058" s="3" t="inlineStr">
        <is>
          <t>Credit Card Expense</t>
        </is>
      </c>
      <c r="D4058" s="3" t="inlineStr"/>
      <c r="E4058" s="3" t="inlineStr">
        <is>
          <t>Halloway Ridge Realty (rent)</t>
        </is>
      </c>
      <c r="F4058" s="3" t="inlineStr">
        <is>
          <t>Landscaping – June</t>
        </is>
      </c>
      <c r="G4058" s="3" t="inlineStr">
        <is>
          <t>Checking – Operating</t>
        </is>
      </c>
      <c r="H4058" s="3" t="inlineStr">
        <is>
          <t>Landscaping</t>
        </is>
      </c>
      <c r="I4058" s="33" t="n">
        <v>1334.45</v>
      </c>
      <c r="J4058" s="13">
        <f>+J4057+I4058</f>
        <v>13334.45</v>
      </c>
      <c r="K4058" s="19">
        <f>+EOMONTH(B4058,0)</f>
        <v>46203</v>
      </c>
      <c r="L4058" s="3" t="inlineStr">
        <is>
          <t>Landscaping</t>
        </is>
      </c>
      <c r="M4058" s="3" t="inlineStr">
        <is>
          <t>Other Facility Expenses</t>
        </is>
      </c>
    </row>
    <row r="4059">
      <c r="B4059" s="39" t="n">
        <v>46189</v>
      </c>
      <c r="C4059" s="3" t="inlineStr">
        <is>
          <t>Expense</t>
        </is>
      </c>
      <c r="D4059" s="3" t="inlineStr">
        <is>
          <t>10998</t>
        </is>
      </c>
      <c r="E4059" s="3" t="inlineStr">
        <is>
          <t>Halloway Ridge Realty (rent)</t>
        </is>
      </c>
      <c r="F4059" s="3" t="inlineStr">
        <is>
          <t>Landscaping – June</t>
        </is>
      </c>
      <c r="G4059" s="3" t="inlineStr">
        <is>
          <t>Checking – Operating</t>
        </is>
      </c>
      <c r="H4059" s="3" t="inlineStr">
        <is>
          <t>Landscaping</t>
        </is>
      </c>
      <c r="I4059" s="33" t="n">
        <v>965.55</v>
      </c>
      <c r="J4059" s="13">
        <f>+J4058+I4059</f>
        <v>14300</v>
      </c>
      <c r="K4059" s="19">
        <f>+EOMONTH(B4059,0)</f>
        <v>46203</v>
      </c>
      <c r="L4059" s="3" t="inlineStr">
        <is>
          <t>Landscaping</t>
        </is>
      </c>
      <c r="M4059" s="3" t="inlineStr">
        <is>
          <t>Other Facility Expenses</t>
        </is>
      </c>
    </row>
    <row r="4060">
      <c r="B4060" s="39" t="n">
        <v>46216</v>
      </c>
      <c r="C4060" s="3" t="inlineStr">
        <is>
          <t>Journal Entry</t>
        </is>
      </c>
      <c r="D4060" s="3" t="inlineStr">
        <is>
          <t>JE-2751</t>
        </is>
      </c>
      <c r="E4060" s="3" t="inlineStr">
        <is>
          <t>Halloway Ridge Realty (rent)</t>
        </is>
      </c>
      <c r="F4060" s="3" t="inlineStr">
        <is>
          <t>Landscaping – July</t>
        </is>
      </c>
      <c r="G4060" s="3" t="inlineStr">
        <is>
          <t>Checking – Operating</t>
        </is>
      </c>
      <c r="H4060" s="3" t="inlineStr">
        <is>
          <t>Landscaping</t>
        </is>
      </c>
      <c r="I4060" s="33" t="n">
        <v>944.26</v>
      </c>
      <c r="J4060" s="13">
        <f>+J4059+I4060</f>
        <v>15244.26</v>
      </c>
      <c r="K4060" s="19">
        <f>+EOMONTH(B4060,0)</f>
        <v>46234</v>
      </c>
      <c r="L4060" s="3" t="inlineStr">
        <is>
          <t>Landscaping</t>
        </is>
      </c>
      <c r="M4060" s="3" t="inlineStr">
        <is>
          <t>Other Facility Expenses</t>
        </is>
      </c>
    </row>
    <row r="4061">
      <c r="B4061" s="39" t="n">
        <v>46226</v>
      </c>
      <c r="C4061" s="3" t="inlineStr">
        <is>
          <t>Expense</t>
        </is>
      </c>
      <c r="D4061" s="3" t="inlineStr">
        <is>
          <t>10999</t>
        </is>
      </c>
      <c r="E4061" s="3" t="inlineStr">
        <is>
          <t>Halloway Ridge Realty (rent)</t>
        </is>
      </c>
      <c r="F4061" s="3" t="inlineStr">
        <is>
          <t>Landscaping – July</t>
        </is>
      </c>
      <c r="G4061" s="3" t="inlineStr">
        <is>
          <t>Checking – Operating</t>
        </is>
      </c>
      <c r="H4061" s="3" t="inlineStr">
        <is>
          <t>Landscaping</t>
        </is>
      </c>
      <c r="I4061" s="33" t="n">
        <v>1355.74</v>
      </c>
      <c r="J4061" s="13">
        <f>+J4060+I4061</f>
        <v>16600</v>
      </c>
      <c r="K4061" s="19">
        <f>+EOMONTH(B4061,0)</f>
        <v>46234</v>
      </c>
      <c r="L4061" s="3" t="inlineStr">
        <is>
          <t>Landscaping</t>
        </is>
      </c>
      <c r="M4061" s="3" t="inlineStr">
        <is>
          <t>Other Facility Expenses</t>
        </is>
      </c>
    </row>
    <row r="4062">
      <c r="B4062" s="39" t="n">
        <v>46252</v>
      </c>
      <c r="C4062" s="3" t="inlineStr">
        <is>
          <t>Journal Entry</t>
        </is>
      </c>
      <c r="D4062" s="3" t="inlineStr">
        <is>
          <t>JE-2752</t>
        </is>
      </c>
      <c r="E4062" s="3" t="inlineStr">
        <is>
          <t>Halloway Ridge Realty (rent)</t>
        </is>
      </c>
      <c r="F4062" s="3" t="inlineStr">
        <is>
          <t>Landscaping – August</t>
        </is>
      </c>
      <c r="G4062" s="3" t="inlineStr">
        <is>
          <t>Checking – Operating</t>
        </is>
      </c>
      <c r="H4062" s="3" t="inlineStr">
        <is>
          <t>Landscaping</t>
        </is>
      </c>
      <c r="I4062" s="33" t="n">
        <v>1656.78</v>
      </c>
      <c r="J4062" s="13">
        <f>+J4061+I4062</f>
        <v>18256.78</v>
      </c>
      <c r="K4062" s="19">
        <f>+EOMONTH(B4062,0)</f>
        <v>46265</v>
      </c>
      <c r="L4062" s="3" t="inlineStr">
        <is>
          <t>Landscaping</t>
        </is>
      </c>
      <c r="M4062" s="3" t="inlineStr">
        <is>
          <t>Other Facility Expenses</t>
        </is>
      </c>
    </row>
    <row r="4063">
      <c r="B4063" s="39" t="n">
        <v>46256</v>
      </c>
      <c r="C4063" s="3" t="inlineStr">
        <is>
          <t>Journal Entry</t>
        </is>
      </c>
      <c r="D4063" s="3" t="inlineStr">
        <is>
          <t>JE-2753</t>
        </is>
      </c>
      <c r="E4063" s="3" t="inlineStr">
        <is>
          <t>Halloway Ridge Realty (rent)</t>
        </is>
      </c>
      <c r="F4063" s="3" t="inlineStr">
        <is>
          <t>Landscaping – August</t>
        </is>
      </c>
      <c r="G4063" s="3" t="inlineStr">
        <is>
          <t>Checking – Operating</t>
        </is>
      </c>
      <c r="H4063" s="3" t="inlineStr">
        <is>
          <t>Landscaping</t>
        </is>
      </c>
      <c r="I4063" s="33" t="n">
        <v>943.22</v>
      </c>
      <c r="J4063" s="13">
        <f>+J4062+I4063</f>
        <v>19200</v>
      </c>
      <c r="K4063" s="19">
        <f>+EOMONTH(B4063,0)</f>
        <v>46265</v>
      </c>
      <c r="L4063" s="3" t="inlineStr">
        <is>
          <t>Landscaping</t>
        </is>
      </c>
      <c r="M4063" s="3" t="inlineStr">
        <is>
          <t>Other Facility Expenses</t>
        </is>
      </c>
    </row>
    <row r="4064">
      <c r="B4064" s="39" t="n">
        <v>46285</v>
      </c>
      <c r="C4064" s="3" t="inlineStr">
        <is>
          <t>Expense</t>
        </is>
      </c>
      <c r="D4064" s="3" t="inlineStr">
        <is>
          <t>11000</t>
        </is>
      </c>
      <c r="E4064" s="3" t="inlineStr">
        <is>
          <t>Halloway Ridge Realty (rent)</t>
        </is>
      </c>
      <c r="F4064" s="3" t="inlineStr">
        <is>
          <t>Landscaping – September</t>
        </is>
      </c>
      <c r="G4064" s="3" t="inlineStr">
        <is>
          <t>Checking – Operating</t>
        </is>
      </c>
      <c r="H4064" s="3" t="inlineStr">
        <is>
          <t>Landscaping</t>
        </is>
      </c>
      <c r="I4064" s="33" t="n">
        <v>841.67</v>
      </c>
      <c r="J4064" s="13">
        <f>+J4063+I4064</f>
        <v>20041.67</v>
      </c>
      <c r="K4064" s="19">
        <f>+EOMONTH(B4064,0)</f>
        <v>46295</v>
      </c>
      <c r="L4064" s="3" t="inlineStr">
        <is>
          <t>Landscaping</t>
        </is>
      </c>
      <c r="M4064" s="3" t="inlineStr">
        <is>
          <t>Other Facility Expenses</t>
        </is>
      </c>
    </row>
    <row r="4065">
      <c r="B4065" s="39" t="n">
        <v>46285</v>
      </c>
      <c r="C4065" s="3" t="inlineStr">
        <is>
          <t>Expense</t>
        </is>
      </c>
      <c r="D4065" s="3" t="inlineStr">
        <is>
          <t>11001</t>
        </is>
      </c>
      <c r="E4065" s="3" t="inlineStr">
        <is>
          <t>Halloway Ridge Realty (rent)</t>
        </is>
      </c>
      <c r="F4065" s="3" t="inlineStr">
        <is>
          <t>Landscaping – September</t>
        </is>
      </c>
      <c r="G4065" s="3" t="inlineStr">
        <is>
          <t>Checking – Operating</t>
        </is>
      </c>
      <c r="H4065" s="3" t="inlineStr">
        <is>
          <t>Landscaping</t>
        </is>
      </c>
      <c r="I4065" s="33" t="n">
        <v>1546.59</v>
      </c>
      <c r="J4065" s="13">
        <f>+J4064+I4065</f>
        <v>21588.26</v>
      </c>
      <c r="K4065" s="19">
        <f>+EOMONTH(B4065,0)</f>
        <v>46295</v>
      </c>
      <c r="L4065" s="3" t="inlineStr">
        <is>
          <t>Landscaping</t>
        </is>
      </c>
      <c r="M4065" s="3" t="inlineStr">
        <is>
          <t>Other Facility Expenses</t>
        </is>
      </c>
    </row>
    <row r="4066">
      <c r="B4066" s="39" t="n">
        <v>46322</v>
      </c>
      <c r="C4066" s="3" t="inlineStr">
        <is>
          <t>Journal Entry</t>
        </is>
      </c>
      <c r="D4066" s="3" t="inlineStr">
        <is>
          <t>JE-2754</t>
        </is>
      </c>
      <c r="E4066" s="3" t="inlineStr">
        <is>
          <t>Halloway Ridge Realty (rent)</t>
        </is>
      </c>
      <c r="F4066" s="3" t="inlineStr">
        <is>
          <t>Landscaping – October</t>
        </is>
      </c>
      <c r="G4066" s="3" t="inlineStr">
        <is>
          <t>Checking – Operating</t>
        </is>
      </c>
      <c r="H4066" s="3" t="inlineStr">
        <is>
          <t>Landscaping</t>
        </is>
      </c>
      <c r="I4066" s="33" t="n">
        <v>2510.58</v>
      </c>
      <c r="J4066" s="13">
        <f>+J4065+I4066</f>
        <v>24098.84</v>
      </c>
      <c r="K4066" s="19">
        <f>+EOMONTH(B4066,0)</f>
        <v>46326</v>
      </c>
      <c r="L4066" s="3" t="inlineStr">
        <is>
          <t>Landscaping</t>
        </is>
      </c>
      <c r="M4066" s="3" t="inlineStr">
        <is>
          <t>Other Facility Expenses</t>
        </is>
      </c>
    </row>
    <row r="4067">
      <c r="B4067" s="39" t="n">
        <v>46351</v>
      </c>
      <c r="C4067" s="3" t="inlineStr">
        <is>
          <t>Expense</t>
        </is>
      </c>
      <c r="D4067" s="3" t="inlineStr">
        <is>
          <t>11002</t>
        </is>
      </c>
      <c r="E4067" s="3" t="inlineStr">
        <is>
          <t>Halloway Ridge Realty (rent)</t>
        </is>
      </c>
      <c r="F4067" s="3" t="inlineStr">
        <is>
          <t>Landscaping – November</t>
        </is>
      </c>
      <c r="G4067" s="3" t="inlineStr">
        <is>
          <t>Checking – Operating</t>
        </is>
      </c>
      <c r="H4067" s="3" t="inlineStr">
        <is>
          <t>Landscaping</t>
        </is>
      </c>
      <c r="I4067" s="33" t="n">
        <v>1453.68</v>
      </c>
      <c r="J4067" s="13">
        <f>+J4066+I4067</f>
        <v>25552.52</v>
      </c>
      <c r="K4067" s="19">
        <f>+EOMONTH(B4067,0)</f>
        <v>46356</v>
      </c>
      <c r="L4067" s="3" t="inlineStr">
        <is>
          <t>Landscaping</t>
        </is>
      </c>
      <c r="M4067" s="3" t="inlineStr">
        <is>
          <t>Other Facility Expenses</t>
        </is>
      </c>
    </row>
    <row r="4068">
      <c r="B4068" s="39" t="n">
        <v>46354</v>
      </c>
      <c r="C4068" s="3" t="inlineStr">
        <is>
          <t>Journal Entry</t>
        </is>
      </c>
      <c r="D4068" s="3" t="inlineStr">
        <is>
          <t>JE-2755</t>
        </is>
      </c>
      <c r="E4068" s="3" t="inlineStr">
        <is>
          <t>Halloway Ridge Realty (rent)</t>
        </is>
      </c>
      <c r="F4068" s="3" t="inlineStr">
        <is>
          <t>Landscaping – November</t>
        </is>
      </c>
      <c r="G4068" s="3" t="inlineStr">
        <is>
          <t>Checking – Operating</t>
        </is>
      </c>
      <c r="H4068" s="3" t="inlineStr">
        <is>
          <t>Landscaping</t>
        </is>
      </c>
      <c r="I4068" s="33" t="n">
        <v>1058.07</v>
      </c>
      <c r="J4068" s="13">
        <f>+J4067+I4068</f>
        <v>26610.59</v>
      </c>
      <c r="K4068" s="19">
        <f>+EOMONTH(B4068,0)</f>
        <v>46356</v>
      </c>
      <c r="L4068" s="3" t="inlineStr">
        <is>
          <t>Landscaping</t>
        </is>
      </c>
      <c r="M4068" s="3" t="inlineStr">
        <is>
          <t>Other Facility Expenses</t>
        </is>
      </c>
    </row>
    <row r="4069">
      <c r="A4069" s="2" t="inlineStr">
        <is>
          <t>Total for Landscaping</t>
        </is>
      </c>
      <c r="I4069" s="35">
        <f>SUM(I4048:I4068)</f>
        <v>26610.59</v>
      </c>
    </row>
    <row r="4071">
      <c r="A4071" s="2" t="inlineStr">
        <is>
          <t>Waste Removal</t>
        </is>
      </c>
    </row>
    <row r="4072">
      <c r="B4072" s="39" t="n">
        <v>46035</v>
      </c>
      <c r="C4072" s="3" t="inlineStr">
        <is>
          <t>Bill</t>
        </is>
      </c>
      <c r="D4072" s="3" t="inlineStr"/>
      <c r="E4072" s="3" t="inlineStr">
        <is>
          <t>Northmoor Waste Services</t>
        </is>
      </c>
      <c r="F4072" s="3" t="inlineStr">
        <is>
          <t>Waste Removal – January</t>
        </is>
      </c>
      <c r="G4072" s="3" t="inlineStr">
        <is>
          <t>Accounts Payable</t>
        </is>
      </c>
      <c r="H4072" s="3" t="inlineStr">
        <is>
          <t>Waste Removal</t>
        </is>
      </c>
      <c r="I4072" s="33" t="n">
        <v>615.33</v>
      </c>
      <c r="J4072" s="13">
        <f>+I4072</f>
        <v>615.33</v>
      </c>
      <c r="K4072" s="19">
        <f>+EOMONTH(B4072,0)</f>
        <v>46053</v>
      </c>
      <c r="L4072" s="3" t="inlineStr">
        <is>
          <t>Waste Removal</t>
        </is>
      </c>
      <c r="M4072" s="3" t="inlineStr">
        <is>
          <t>Waste Removal</t>
        </is>
      </c>
    </row>
    <row r="4073">
      <c r="B4073" s="39" t="n">
        <v>46043</v>
      </c>
      <c r="C4073" s="3" t="inlineStr">
        <is>
          <t>Bill</t>
        </is>
      </c>
      <c r="D4073" s="3" t="inlineStr"/>
      <c r="E4073" s="3" t="inlineStr">
        <is>
          <t>Northmoor Waste Services</t>
        </is>
      </c>
      <c r="F4073" s="3" t="inlineStr">
        <is>
          <t>Waste Removal – January</t>
        </is>
      </c>
      <c r="G4073" s="3" t="inlineStr">
        <is>
          <t>Accounts Payable</t>
        </is>
      </c>
      <c r="H4073" s="3" t="inlineStr">
        <is>
          <t>Waste Removal</t>
        </is>
      </c>
      <c r="I4073" s="33" t="n">
        <v>624.67</v>
      </c>
      <c r="J4073" s="13">
        <f>+J4072+I4073</f>
        <v>1240</v>
      </c>
      <c r="K4073" s="19">
        <f>+EOMONTH(B4073,0)</f>
        <v>46053</v>
      </c>
      <c r="L4073" s="3" t="inlineStr">
        <is>
          <t>Waste Removal</t>
        </is>
      </c>
      <c r="M4073" s="3" t="inlineStr">
        <is>
          <t>Waste Removal</t>
        </is>
      </c>
    </row>
    <row r="4074">
      <c r="B4074" s="39" t="n">
        <v>46059</v>
      </c>
      <c r="C4074" s="3" t="inlineStr">
        <is>
          <t>Bill</t>
        </is>
      </c>
      <c r="D4074" s="3" t="inlineStr"/>
      <c r="E4074" s="3" t="inlineStr">
        <is>
          <t>Northmoor Waste Services</t>
        </is>
      </c>
      <c r="F4074" s="3" t="inlineStr">
        <is>
          <t>Waste Removal – February</t>
        </is>
      </c>
      <c r="G4074" s="3" t="inlineStr">
        <is>
          <t>Accounts Payable</t>
        </is>
      </c>
      <c r="H4074" s="3" t="inlineStr">
        <is>
          <t>Waste Removal</t>
        </is>
      </c>
      <c r="I4074" s="33" t="n">
        <v>645.0700000000001</v>
      </c>
      <c r="J4074" s="13">
        <f>+J4073+I4074</f>
        <v>1885.07</v>
      </c>
      <c r="K4074" s="19">
        <f>+EOMONTH(B4074,0)</f>
        <v>46081</v>
      </c>
      <c r="L4074" s="3" t="inlineStr">
        <is>
          <t>Waste Removal</t>
        </is>
      </c>
      <c r="M4074" s="3" t="inlineStr">
        <is>
          <t>Waste Removal</t>
        </is>
      </c>
    </row>
    <row r="4075">
      <c r="B4075" s="39" t="n">
        <v>46060</v>
      </c>
      <c r="C4075" s="3" t="inlineStr">
        <is>
          <t>Bill</t>
        </is>
      </c>
      <c r="D4075" s="3" t="inlineStr"/>
      <c r="E4075" s="3" t="inlineStr">
        <is>
          <t>Northmoor Waste Services</t>
        </is>
      </c>
      <c r="F4075" s="3" t="inlineStr">
        <is>
          <t>Waste Removal – February</t>
        </is>
      </c>
      <c r="G4075" s="3" t="inlineStr">
        <is>
          <t>Accounts Payable</t>
        </is>
      </c>
      <c r="H4075" s="3" t="inlineStr">
        <is>
          <t>Waste Removal</t>
        </is>
      </c>
      <c r="I4075" s="33" t="n">
        <v>554.9299999999999</v>
      </c>
      <c r="J4075" s="13">
        <f>+J4074+I4075</f>
        <v>2440</v>
      </c>
      <c r="K4075" s="19">
        <f>+EOMONTH(B4075,0)</f>
        <v>46081</v>
      </c>
      <c r="L4075" s="3" t="inlineStr">
        <is>
          <t>Waste Removal</t>
        </is>
      </c>
      <c r="M4075" s="3" t="inlineStr">
        <is>
          <t>Waste Removal</t>
        </is>
      </c>
    </row>
    <row r="4076">
      <c r="B4076" s="39" t="n">
        <v>46091</v>
      </c>
      <c r="C4076" s="3" t="inlineStr">
        <is>
          <t>Bill</t>
        </is>
      </c>
      <c r="D4076" s="3" t="inlineStr"/>
      <c r="E4076" s="3" t="inlineStr">
        <is>
          <t>Northmoor Waste Services</t>
        </is>
      </c>
      <c r="F4076" s="3" t="inlineStr">
        <is>
          <t>Waste Removal – March</t>
        </is>
      </c>
      <c r="G4076" s="3" t="inlineStr">
        <is>
          <t>Accounts Payable</t>
        </is>
      </c>
      <c r="H4076" s="3" t="inlineStr">
        <is>
          <t>Waste Removal</t>
        </is>
      </c>
      <c r="I4076" s="33" t="n">
        <v>547.26</v>
      </c>
      <c r="J4076" s="13">
        <f>+J4075+I4076</f>
        <v>2987.26</v>
      </c>
      <c r="K4076" s="19">
        <f>+EOMONTH(B4076,0)</f>
        <v>46112</v>
      </c>
      <c r="L4076" s="3" t="inlineStr">
        <is>
          <t>Waste Removal</t>
        </is>
      </c>
      <c r="M4076" s="3" t="inlineStr">
        <is>
          <t>Waste Removal</t>
        </is>
      </c>
    </row>
    <row r="4077">
      <c r="B4077" s="39" t="n">
        <v>46097</v>
      </c>
      <c r="C4077" s="3" t="inlineStr">
        <is>
          <t>Bill</t>
        </is>
      </c>
      <c r="D4077" s="3" t="inlineStr"/>
      <c r="E4077" s="3" t="inlineStr">
        <is>
          <t>Northmoor Waste Services</t>
        </is>
      </c>
      <c r="F4077" s="3" t="inlineStr">
        <is>
          <t>Waste Removal – March</t>
        </is>
      </c>
      <c r="G4077" s="3" t="inlineStr">
        <is>
          <t>Accounts Payable</t>
        </is>
      </c>
      <c r="H4077" s="3" t="inlineStr">
        <is>
          <t>Waste Removal</t>
        </is>
      </c>
      <c r="I4077" s="33" t="n">
        <v>732.74</v>
      </c>
      <c r="J4077" s="13">
        <f>+J4076+I4077</f>
        <v>3720</v>
      </c>
      <c r="K4077" s="19">
        <f>+EOMONTH(B4077,0)</f>
        <v>46112</v>
      </c>
      <c r="L4077" s="3" t="inlineStr">
        <is>
          <t>Waste Removal</t>
        </is>
      </c>
      <c r="M4077" s="3" t="inlineStr">
        <is>
          <t>Waste Removal</t>
        </is>
      </c>
    </row>
    <row r="4078">
      <c r="B4078" s="39" t="n">
        <v>46123</v>
      </c>
      <c r="C4078" s="3" t="inlineStr">
        <is>
          <t>Bill</t>
        </is>
      </c>
      <c r="D4078" s="3" t="inlineStr"/>
      <c r="E4078" s="3" t="inlineStr">
        <is>
          <t>Northmoor Waste Services</t>
        </is>
      </c>
      <c r="F4078" s="3" t="inlineStr">
        <is>
          <t>Waste Removal – April</t>
        </is>
      </c>
      <c r="G4078" s="3" t="inlineStr">
        <is>
          <t>Accounts Payable</t>
        </is>
      </c>
      <c r="H4078" s="3" t="inlineStr">
        <is>
          <t>Waste Removal</t>
        </is>
      </c>
      <c r="I4078" s="33" t="n">
        <v>491.56</v>
      </c>
      <c r="J4078" s="13">
        <f>+J4077+I4078</f>
        <v>4211.56</v>
      </c>
      <c r="K4078" s="19">
        <f>+EOMONTH(B4078,0)</f>
        <v>46142</v>
      </c>
      <c r="L4078" s="3" t="inlineStr">
        <is>
          <t>Waste Removal</t>
        </is>
      </c>
      <c r="M4078" s="3" t="inlineStr">
        <is>
          <t>Waste Removal</t>
        </is>
      </c>
    </row>
    <row r="4079">
      <c r="B4079" s="39" t="n">
        <v>46132</v>
      </c>
      <c r="C4079" s="3" t="inlineStr">
        <is>
          <t>Bill</t>
        </is>
      </c>
      <c r="D4079" s="3" t="inlineStr"/>
      <c r="E4079" s="3" t="inlineStr">
        <is>
          <t>Northmoor Waste Services</t>
        </is>
      </c>
      <c r="F4079" s="3" t="inlineStr">
        <is>
          <t>Waste Removal – April</t>
        </is>
      </c>
      <c r="G4079" s="3" t="inlineStr">
        <is>
          <t>Accounts Payable</t>
        </is>
      </c>
      <c r="H4079" s="3" t="inlineStr">
        <is>
          <t>Waste Removal</t>
        </is>
      </c>
      <c r="I4079" s="33" t="n">
        <v>668.4400000000001</v>
      </c>
      <c r="J4079" s="13">
        <f>+J4078+I4079</f>
        <v>4880</v>
      </c>
      <c r="K4079" s="19">
        <f>+EOMONTH(B4079,0)</f>
        <v>46142</v>
      </c>
      <c r="L4079" s="3" t="inlineStr">
        <is>
          <t>Waste Removal</t>
        </is>
      </c>
      <c r="M4079" s="3" t="inlineStr">
        <is>
          <t>Waste Removal</t>
        </is>
      </c>
    </row>
    <row r="4080">
      <c r="B4080" s="39" t="n">
        <v>46148</v>
      </c>
      <c r="C4080" s="3" t="inlineStr">
        <is>
          <t>Bill</t>
        </is>
      </c>
      <c r="D4080" s="3" t="inlineStr"/>
      <c r="E4080" s="3" t="inlineStr">
        <is>
          <t>Northmoor Waste Services</t>
        </is>
      </c>
      <c r="F4080" s="3" t="inlineStr">
        <is>
          <t>Waste Removal – May</t>
        </is>
      </c>
      <c r="G4080" s="3" t="inlineStr">
        <is>
          <t>Accounts Payable</t>
        </is>
      </c>
      <c r="H4080" s="3" t="inlineStr">
        <is>
          <t>Waste Removal</t>
        </is>
      </c>
      <c r="I4080" s="33" t="n">
        <v>648.4400000000001</v>
      </c>
      <c r="J4080" s="13">
        <f>+J4079+I4080</f>
        <v>5528.44</v>
      </c>
      <c r="K4080" s="19">
        <f>+EOMONTH(B4080,0)</f>
        <v>46173</v>
      </c>
      <c r="L4080" s="3" t="inlineStr">
        <is>
          <t>Waste Removal</t>
        </is>
      </c>
      <c r="M4080" s="3" t="inlineStr">
        <is>
          <t>Waste Removal</t>
        </is>
      </c>
    </row>
    <row r="4081">
      <c r="B4081" s="39" t="n">
        <v>46173</v>
      </c>
      <c r="C4081" s="3" t="inlineStr">
        <is>
          <t>Bill</t>
        </is>
      </c>
      <c r="D4081" s="3" t="inlineStr"/>
      <c r="E4081" s="3" t="inlineStr">
        <is>
          <t>Northmoor Waste Services</t>
        </is>
      </c>
      <c r="F4081" s="3" t="inlineStr">
        <is>
          <t>Waste Removal – May</t>
        </is>
      </c>
      <c r="G4081" s="3" t="inlineStr">
        <is>
          <t>Accounts Payable</t>
        </is>
      </c>
      <c r="H4081" s="3" t="inlineStr">
        <is>
          <t>Waste Removal</t>
        </is>
      </c>
      <c r="I4081" s="33" t="n">
        <v>591.5599999999999</v>
      </c>
      <c r="J4081" s="13">
        <f>+J4080+I4081</f>
        <v>6120</v>
      </c>
      <c r="K4081" s="19">
        <f>+EOMONTH(B4081,0)</f>
        <v>46173</v>
      </c>
      <c r="L4081" s="3" t="inlineStr">
        <is>
          <t>Waste Removal</t>
        </is>
      </c>
      <c r="M4081" s="3" t="inlineStr">
        <is>
          <t>Waste Removal</t>
        </is>
      </c>
    </row>
    <row r="4082">
      <c r="B4082" s="39" t="n">
        <v>46176</v>
      </c>
      <c r="C4082" s="3" t="inlineStr">
        <is>
          <t>Bill</t>
        </is>
      </c>
      <c r="D4082" s="3" t="inlineStr"/>
      <c r="E4082" s="3" t="inlineStr">
        <is>
          <t>Northmoor Waste Services</t>
        </is>
      </c>
      <c r="F4082" s="3" t="inlineStr">
        <is>
          <t>Waste Removal – June</t>
        </is>
      </c>
      <c r="G4082" s="3" t="inlineStr">
        <is>
          <t>Accounts Payable</t>
        </is>
      </c>
      <c r="H4082" s="3" t="inlineStr">
        <is>
          <t>Waste Removal</t>
        </is>
      </c>
      <c r="I4082" s="33" t="n">
        <v>727.7</v>
      </c>
      <c r="J4082" s="13">
        <f>+J4081+I4082</f>
        <v>6847.7</v>
      </c>
      <c r="K4082" s="19">
        <f>+EOMONTH(B4082,0)</f>
        <v>46203</v>
      </c>
      <c r="L4082" s="3" t="inlineStr">
        <is>
          <t>Waste Removal</t>
        </is>
      </c>
      <c r="M4082" s="3" t="inlineStr">
        <is>
          <t>Waste Removal</t>
        </is>
      </c>
    </row>
    <row r="4083">
      <c r="B4083" s="39" t="n">
        <v>46193</v>
      </c>
      <c r="C4083" s="3" t="inlineStr">
        <is>
          <t>Bill</t>
        </is>
      </c>
      <c r="D4083" s="3" t="inlineStr"/>
      <c r="E4083" s="3" t="inlineStr">
        <is>
          <t>Northmoor Waste Services</t>
        </is>
      </c>
      <c r="F4083" s="3" t="inlineStr">
        <is>
          <t>Waste Removal – June</t>
        </is>
      </c>
      <c r="G4083" s="3" t="inlineStr">
        <is>
          <t>Accounts Payable</t>
        </is>
      </c>
      <c r="H4083" s="3" t="inlineStr">
        <is>
          <t>Waste Removal</t>
        </is>
      </c>
      <c r="I4083" s="33" t="n">
        <v>552.3</v>
      </c>
      <c r="J4083" s="13">
        <f>+J4082+I4083</f>
        <v>7400</v>
      </c>
      <c r="K4083" s="19">
        <f>+EOMONTH(B4083,0)</f>
        <v>46203</v>
      </c>
      <c r="L4083" s="3" t="inlineStr">
        <is>
          <t>Waste Removal</t>
        </is>
      </c>
      <c r="M4083" s="3" t="inlineStr">
        <is>
          <t>Waste Removal</t>
        </is>
      </c>
    </row>
    <row r="4084">
      <c r="B4084" s="39" t="n">
        <v>46228</v>
      </c>
      <c r="C4084" s="3" t="inlineStr">
        <is>
          <t>Bill</t>
        </is>
      </c>
      <c r="D4084" s="3" t="inlineStr"/>
      <c r="E4084" s="3" t="inlineStr">
        <is>
          <t>Northmoor Waste Services</t>
        </is>
      </c>
      <c r="F4084" s="3" t="inlineStr">
        <is>
          <t>Waste Removal – July</t>
        </is>
      </c>
      <c r="G4084" s="3" t="inlineStr">
        <is>
          <t>Accounts Payable</t>
        </is>
      </c>
      <c r="H4084" s="3" t="inlineStr">
        <is>
          <t>Waste Removal</t>
        </is>
      </c>
      <c r="I4084" s="33" t="n">
        <v>652.95</v>
      </c>
      <c r="J4084" s="13">
        <f>+J4083+I4084</f>
        <v>8052.95</v>
      </c>
      <c r="K4084" s="19">
        <f>+EOMONTH(B4084,0)</f>
        <v>46234</v>
      </c>
      <c r="L4084" s="3" t="inlineStr">
        <is>
          <t>Waste Removal</t>
        </is>
      </c>
      <c r="M4084" s="3" t="inlineStr">
        <is>
          <t>Waste Removal</t>
        </is>
      </c>
    </row>
    <row r="4085">
      <c r="B4085" s="39" t="n">
        <v>46230</v>
      </c>
      <c r="C4085" s="3" t="inlineStr">
        <is>
          <t>Bill</t>
        </is>
      </c>
      <c r="D4085" s="3" t="inlineStr"/>
      <c r="E4085" s="3" t="inlineStr">
        <is>
          <t>Northmoor Waste Services</t>
        </is>
      </c>
      <c r="F4085" s="3" t="inlineStr">
        <is>
          <t>Waste Removal – July</t>
        </is>
      </c>
      <c r="G4085" s="3" t="inlineStr">
        <is>
          <t>Accounts Payable</t>
        </is>
      </c>
      <c r="H4085" s="3" t="inlineStr">
        <is>
          <t>Waste Removal</t>
        </is>
      </c>
      <c r="I4085" s="33" t="n">
        <v>507.05</v>
      </c>
      <c r="J4085" s="13">
        <f>+J4084+I4085</f>
        <v>8560</v>
      </c>
      <c r="K4085" s="19">
        <f>+EOMONTH(B4085,0)</f>
        <v>46234</v>
      </c>
      <c r="L4085" s="3" t="inlineStr">
        <is>
          <t>Waste Removal</t>
        </is>
      </c>
      <c r="M4085" s="3" t="inlineStr">
        <is>
          <t>Waste Removal</t>
        </is>
      </c>
    </row>
    <row r="4086">
      <c r="B4086" s="39" t="n">
        <v>46238</v>
      </c>
      <c r="C4086" s="3" t="inlineStr">
        <is>
          <t>Bill</t>
        </is>
      </c>
      <c r="D4086" s="3" t="inlineStr"/>
      <c r="E4086" s="3" t="inlineStr">
        <is>
          <t>Northmoor Waste Services</t>
        </is>
      </c>
      <c r="F4086" s="3" t="inlineStr">
        <is>
          <t>Waste Removal – August</t>
        </is>
      </c>
      <c r="G4086" s="3" t="inlineStr">
        <is>
          <t>Accounts Payable</t>
        </is>
      </c>
      <c r="H4086" s="3" t="inlineStr">
        <is>
          <t>Waste Removal</t>
        </is>
      </c>
      <c r="I4086" s="33" t="n">
        <v>694.91</v>
      </c>
      <c r="J4086" s="13">
        <f>+J4085+I4086</f>
        <v>9254.91</v>
      </c>
      <c r="K4086" s="19">
        <f>+EOMONTH(B4086,0)</f>
        <v>46265</v>
      </c>
      <c r="L4086" s="3" t="inlineStr">
        <is>
          <t>Waste Removal</t>
        </is>
      </c>
      <c r="M4086" s="3" t="inlineStr">
        <is>
          <t>Waste Removal</t>
        </is>
      </c>
    </row>
    <row r="4087">
      <c r="B4087" s="39" t="n">
        <v>46254</v>
      </c>
      <c r="C4087" s="3" t="inlineStr">
        <is>
          <t>Bill</t>
        </is>
      </c>
      <c r="D4087" s="3" t="inlineStr"/>
      <c r="E4087" s="3" t="inlineStr">
        <is>
          <t>Northmoor Waste Services</t>
        </is>
      </c>
      <c r="F4087" s="3" t="inlineStr">
        <is>
          <t>Waste Removal – August</t>
        </is>
      </c>
      <c r="G4087" s="3" t="inlineStr">
        <is>
          <t>Accounts Payable</t>
        </is>
      </c>
      <c r="H4087" s="3" t="inlineStr">
        <is>
          <t>Waste Removal</t>
        </is>
      </c>
      <c r="I4087" s="33" t="n">
        <v>505.09</v>
      </c>
      <c r="J4087" s="13">
        <f>+J4086+I4087</f>
        <v>9760</v>
      </c>
      <c r="K4087" s="19">
        <f>+EOMONTH(B4087,0)</f>
        <v>46265</v>
      </c>
      <c r="L4087" s="3" t="inlineStr">
        <is>
          <t>Waste Removal</t>
        </is>
      </c>
      <c r="M4087" s="3" t="inlineStr">
        <is>
          <t>Waste Removal</t>
        </is>
      </c>
    </row>
    <row r="4088">
      <c r="B4088" s="39" t="n">
        <v>46282</v>
      </c>
      <c r="C4088" s="3" t="inlineStr">
        <is>
          <t>Bill</t>
        </is>
      </c>
      <c r="D4088" s="3" t="inlineStr"/>
      <c r="E4088" s="3" t="inlineStr">
        <is>
          <t>Northmoor Waste Services</t>
        </is>
      </c>
      <c r="F4088" s="3" t="inlineStr">
        <is>
          <t>Waste Removal – September</t>
        </is>
      </c>
      <c r="G4088" s="3" t="inlineStr">
        <is>
          <t>Accounts Payable</t>
        </is>
      </c>
      <c r="H4088" s="3" t="inlineStr">
        <is>
          <t>Waste Removal</t>
        </is>
      </c>
      <c r="I4088" s="33" t="n">
        <v>1260.09</v>
      </c>
      <c r="J4088" s="13">
        <f>+J4087+I4088</f>
        <v>11020.09</v>
      </c>
      <c r="K4088" s="19">
        <f>+EOMONTH(B4088,0)</f>
        <v>46295</v>
      </c>
      <c r="L4088" s="3" t="inlineStr">
        <is>
          <t>Waste Removal</t>
        </is>
      </c>
      <c r="M4088" s="3" t="inlineStr">
        <is>
          <t>Waste Removal</t>
        </is>
      </c>
    </row>
    <row r="4089">
      <c r="B4089" s="39" t="n">
        <v>46317</v>
      </c>
      <c r="C4089" s="3" t="inlineStr">
        <is>
          <t>Bill</t>
        </is>
      </c>
      <c r="D4089" s="3" t="inlineStr"/>
      <c r="E4089" s="3" t="inlineStr">
        <is>
          <t>Northmoor Waste Services</t>
        </is>
      </c>
      <c r="F4089" s="3" t="inlineStr">
        <is>
          <t>Waste Removal – October</t>
        </is>
      </c>
      <c r="G4089" s="3" t="inlineStr">
        <is>
          <t>Accounts Payable</t>
        </is>
      </c>
      <c r="H4089" s="3" t="inlineStr">
        <is>
          <t>Waste Removal</t>
        </is>
      </c>
      <c r="I4089" s="33" t="n">
        <v>1319.32</v>
      </c>
      <c r="J4089" s="13">
        <f>+J4088+I4089</f>
        <v>12339.41</v>
      </c>
      <c r="K4089" s="19">
        <f>+EOMONTH(B4089,0)</f>
        <v>46326</v>
      </c>
      <c r="L4089" s="3" t="inlineStr">
        <is>
          <t>Waste Removal</t>
        </is>
      </c>
      <c r="M4089" s="3" t="inlineStr">
        <is>
          <t>Waste Removal</t>
        </is>
      </c>
    </row>
    <row r="4090">
      <c r="B4090" s="39" t="n">
        <v>46328</v>
      </c>
      <c r="C4090" s="3" t="inlineStr">
        <is>
          <t>Bill</t>
        </is>
      </c>
      <c r="D4090" s="3" t="inlineStr"/>
      <c r="E4090" s="3" t="inlineStr">
        <is>
          <t>Northmoor Waste Services</t>
        </is>
      </c>
      <c r="F4090" s="3" t="inlineStr">
        <is>
          <t>Waste Removal – November</t>
        </is>
      </c>
      <c r="G4090" s="3" t="inlineStr">
        <is>
          <t>Accounts Payable</t>
        </is>
      </c>
      <c r="H4090" s="3" t="inlineStr">
        <is>
          <t>Waste Removal</t>
        </is>
      </c>
      <c r="I4090" s="33" t="n">
        <v>1204.2</v>
      </c>
      <c r="J4090" s="13">
        <f>+J4089+I4090</f>
        <v>13543.61</v>
      </c>
      <c r="K4090" s="19">
        <f>+EOMONTH(B4090,0)</f>
        <v>46356</v>
      </c>
      <c r="L4090" s="3" t="inlineStr">
        <is>
          <t>Waste Removal</t>
        </is>
      </c>
      <c r="M4090" s="3" t="inlineStr">
        <is>
          <t>Waste Removal</t>
        </is>
      </c>
    </row>
    <row r="4091">
      <c r="A4091" s="2" t="inlineStr">
        <is>
          <t>Total for Waste Removal</t>
        </is>
      </c>
      <c r="I4091" s="35">
        <f>SUM(I4072:I4090)</f>
        <v>13543.61</v>
      </c>
    </row>
    <row r="4093">
      <c r="A4093" s="2" t="inlineStr">
        <is>
          <t>Salaries and Wages</t>
        </is>
      </c>
    </row>
    <row r="4094">
      <c r="B4094" s="39" t="n">
        <v>46026</v>
      </c>
      <c r="C4094" s="3" t="inlineStr">
        <is>
          <t>Payroll Check</t>
        </is>
      </c>
      <c r="D4094" s="3" t="inlineStr">
        <is>
          <t>11036</t>
        </is>
      </c>
      <c r="E4094" s="3" t="inlineStr">
        <is>
          <t>Tessarand Payroll Services</t>
        </is>
      </c>
      <c r="F4094" s="3" t="inlineStr">
        <is>
          <t>Payroll – biweekly</t>
        </is>
      </c>
      <c r="G4094" s="3" t="inlineStr">
        <is>
          <t>Checking – Operating</t>
        </is>
      </c>
      <c r="H4094" s="3" t="inlineStr">
        <is>
          <t>Salaries and Wages</t>
        </is>
      </c>
      <c r="I4094" s="33" t="n">
        <v>131458.93</v>
      </c>
      <c r="J4094" s="13">
        <f>+I4094</f>
        <v>131458.93</v>
      </c>
      <c r="K4094" s="19">
        <f>+EOMONTH(B4094,0)</f>
        <v>46053</v>
      </c>
      <c r="L4094" s="3" t="inlineStr">
        <is>
          <t>Salaries and Wages</t>
        </is>
      </c>
      <c r="M4094" s="3" t="inlineStr">
        <is>
          <t>Salaries &amp; Wages</t>
        </is>
      </c>
    </row>
    <row r="4095">
      <c r="B4095" s="39" t="n">
        <v>46037</v>
      </c>
      <c r="C4095" s="3" t="inlineStr">
        <is>
          <t>Payroll Check</t>
        </is>
      </c>
      <c r="D4095" s="3" t="inlineStr">
        <is>
          <t>11037</t>
        </is>
      </c>
      <c r="E4095" s="3" t="inlineStr">
        <is>
          <t>Tessarand Payroll Services</t>
        </is>
      </c>
      <c r="F4095" s="3" t="inlineStr">
        <is>
          <t>Payroll – biweekly</t>
        </is>
      </c>
      <c r="G4095" s="3" t="inlineStr">
        <is>
          <t>Checking – Operating</t>
        </is>
      </c>
      <c r="H4095" s="3" t="inlineStr">
        <is>
          <t>Salaries and Wages</t>
        </is>
      </c>
      <c r="I4095" s="33" t="n">
        <v>132048.83</v>
      </c>
      <c r="J4095" s="13">
        <f>+J4094+I4095</f>
        <v>263507.76</v>
      </c>
      <c r="K4095" s="19">
        <f>+EOMONTH(B4095,0)</f>
        <v>46053</v>
      </c>
      <c r="L4095" s="3" t="inlineStr">
        <is>
          <t>Salaries and Wages</t>
        </is>
      </c>
      <c r="M4095" s="3" t="inlineStr">
        <is>
          <t>Salaries &amp; Wages</t>
        </is>
      </c>
    </row>
    <row r="4096">
      <c r="B4096" s="39" t="n">
        <v>46050</v>
      </c>
      <c r="C4096" s="3" t="inlineStr">
        <is>
          <t>Payroll Check</t>
        </is>
      </c>
      <c r="D4096" s="3" t="inlineStr">
        <is>
          <t>11038</t>
        </is>
      </c>
      <c r="E4096" s="3" t="inlineStr">
        <is>
          <t>Tessarand Payroll Services</t>
        </is>
      </c>
      <c r="F4096" s="3" t="inlineStr">
        <is>
          <t>Payroll – biweekly</t>
        </is>
      </c>
      <c r="G4096" s="3" t="inlineStr">
        <is>
          <t>Checking – Operating</t>
        </is>
      </c>
      <c r="H4096" s="3" t="inlineStr">
        <is>
          <t>Salaries and Wages</t>
        </is>
      </c>
      <c r="I4096" s="33" t="n">
        <v>72282.24000000001</v>
      </c>
      <c r="J4096" s="13">
        <f>+J4095+I4096</f>
        <v>335790</v>
      </c>
      <c r="K4096" s="19">
        <f>+EOMONTH(B4096,0)</f>
        <v>46053</v>
      </c>
      <c r="L4096" s="3" t="inlineStr">
        <is>
          <t>Salaries and Wages</t>
        </is>
      </c>
      <c r="M4096" s="3" t="inlineStr">
        <is>
          <t>Salaries &amp; Wages</t>
        </is>
      </c>
    </row>
    <row r="4097">
      <c r="B4097" s="39" t="n">
        <v>46063</v>
      </c>
      <c r="C4097" s="3" t="inlineStr">
        <is>
          <t>Payroll Check</t>
        </is>
      </c>
      <c r="D4097" s="3" t="inlineStr">
        <is>
          <t>11039</t>
        </is>
      </c>
      <c r="E4097" s="3" t="inlineStr">
        <is>
          <t>Tessarand Payroll Services</t>
        </is>
      </c>
      <c r="F4097" s="3" t="inlineStr">
        <is>
          <t>Payroll – biweekly</t>
        </is>
      </c>
      <c r="G4097" s="3" t="inlineStr">
        <is>
          <t>Checking – Operating</t>
        </is>
      </c>
      <c r="H4097" s="3" t="inlineStr">
        <is>
          <t>Salaries and Wages</t>
        </is>
      </c>
      <c r="I4097" s="33" t="n">
        <v>130552.99</v>
      </c>
      <c r="J4097" s="13">
        <f>+J4096+I4097</f>
        <v>466342.99</v>
      </c>
      <c r="K4097" s="19">
        <f>+EOMONTH(B4097,0)</f>
        <v>46081</v>
      </c>
      <c r="L4097" s="3" t="inlineStr">
        <is>
          <t>Salaries and Wages</t>
        </is>
      </c>
      <c r="M4097" s="3" t="inlineStr">
        <is>
          <t>Salaries &amp; Wages</t>
        </is>
      </c>
    </row>
    <row r="4098">
      <c r="B4098" s="39" t="n">
        <v>46076</v>
      </c>
      <c r="C4098" s="3" t="inlineStr">
        <is>
          <t>Payroll Check</t>
        </is>
      </c>
      <c r="D4098" s="3" t="inlineStr">
        <is>
          <t>11040</t>
        </is>
      </c>
      <c r="E4098" s="3" t="inlineStr">
        <is>
          <t>Tessarand Payroll Services</t>
        </is>
      </c>
      <c r="F4098" s="3" t="inlineStr">
        <is>
          <t>Payroll – biweekly</t>
        </is>
      </c>
      <c r="G4098" s="3" t="inlineStr">
        <is>
          <t>Checking – Operating</t>
        </is>
      </c>
      <c r="H4098" s="3" t="inlineStr">
        <is>
          <t>Salaries and Wages</t>
        </is>
      </c>
      <c r="I4098" s="33" t="n">
        <v>195207.01</v>
      </c>
      <c r="J4098" s="13">
        <f>+J4097+I4098</f>
        <v>661550</v>
      </c>
      <c r="K4098" s="19">
        <f>+EOMONTH(B4098,0)</f>
        <v>46081</v>
      </c>
      <c r="L4098" s="3" t="inlineStr">
        <is>
          <t>Salaries and Wages</t>
        </is>
      </c>
      <c r="M4098" s="3" t="inlineStr">
        <is>
          <t>Salaries &amp; Wages</t>
        </is>
      </c>
    </row>
    <row r="4099">
      <c r="B4099" s="39" t="n">
        <v>46082</v>
      </c>
      <c r="C4099" s="3" t="inlineStr">
        <is>
          <t>Payroll Check</t>
        </is>
      </c>
      <c r="D4099" s="3" t="inlineStr">
        <is>
          <t>11041</t>
        </is>
      </c>
      <c r="E4099" s="3" t="inlineStr">
        <is>
          <t>Tessarand Payroll Services</t>
        </is>
      </c>
      <c r="F4099" s="3" t="inlineStr">
        <is>
          <t>Payroll – biweekly</t>
        </is>
      </c>
      <c r="G4099" s="3" t="inlineStr">
        <is>
          <t>Checking – Operating</t>
        </is>
      </c>
      <c r="H4099" s="3" t="inlineStr">
        <is>
          <t>Salaries and Wages</t>
        </is>
      </c>
      <c r="I4099" s="33" t="n">
        <v>166542.5</v>
      </c>
      <c r="J4099" s="13">
        <f>+J4098+I4099</f>
        <v>828092.5</v>
      </c>
      <c r="K4099" s="19">
        <f>+EOMONTH(B4099,0)</f>
        <v>46112</v>
      </c>
      <c r="L4099" s="3" t="inlineStr">
        <is>
          <t>Salaries and Wages</t>
        </is>
      </c>
      <c r="M4099" s="3" t="inlineStr">
        <is>
          <t>Salaries &amp; Wages</t>
        </is>
      </c>
    </row>
    <row r="4100">
      <c r="B4100" s="39" t="n">
        <v>46101</v>
      </c>
      <c r="C4100" s="3" t="inlineStr">
        <is>
          <t>Payroll Check</t>
        </is>
      </c>
      <c r="D4100" s="3" t="inlineStr">
        <is>
          <t>11042</t>
        </is>
      </c>
      <c r="E4100" s="3" t="inlineStr">
        <is>
          <t>Tessarand Payroll Services</t>
        </is>
      </c>
      <c r="F4100" s="3" t="inlineStr">
        <is>
          <t>Payroll – biweekly</t>
        </is>
      </c>
      <c r="G4100" s="3" t="inlineStr">
        <is>
          <t>Checking – Operating</t>
        </is>
      </c>
      <c r="H4100" s="3" t="inlineStr">
        <is>
          <t>Salaries and Wages</t>
        </is>
      </c>
      <c r="I4100" s="33" t="n">
        <v>159507.5</v>
      </c>
      <c r="J4100" s="13">
        <f>+J4099+I4100</f>
        <v>987600</v>
      </c>
      <c r="K4100" s="19">
        <f>+EOMONTH(B4100,0)</f>
        <v>46112</v>
      </c>
      <c r="L4100" s="3" t="inlineStr">
        <is>
          <t>Salaries and Wages</t>
        </is>
      </c>
      <c r="M4100" s="3" t="inlineStr">
        <is>
          <t>Salaries &amp; Wages</t>
        </is>
      </c>
    </row>
    <row r="4101">
      <c r="B4101" s="39" t="n">
        <v>46113</v>
      </c>
      <c r="C4101" s="3" t="inlineStr">
        <is>
          <t>Payroll Check</t>
        </is>
      </c>
      <c r="D4101" s="3" t="inlineStr">
        <is>
          <t>11043</t>
        </is>
      </c>
      <c r="E4101" s="3" t="inlineStr">
        <is>
          <t>Tessarand Payroll Services</t>
        </is>
      </c>
      <c r="F4101" s="3" t="inlineStr">
        <is>
          <t>Payroll – biweekly</t>
        </is>
      </c>
      <c r="G4101" s="3" t="inlineStr">
        <is>
          <t>Checking – Operating</t>
        </is>
      </c>
      <c r="H4101" s="3" t="inlineStr">
        <is>
          <t>Salaries and Wages</t>
        </is>
      </c>
      <c r="I4101" s="33" t="n">
        <v>177258.54</v>
      </c>
      <c r="J4101" s="13">
        <f>+J4100+I4101</f>
        <v>1164858.54</v>
      </c>
      <c r="K4101" s="19">
        <f>+EOMONTH(B4101,0)</f>
        <v>46142</v>
      </c>
      <c r="L4101" s="3" t="inlineStr">
        <is>
          <t>Salaries and Wages</t>
        </is>
      </c>
      <c r="M4101" s="3" t="inlineStr">
        <is>
          <t>Salaries &amp; Wages</t>
        </is>
      </c>
    </row>
    <row r="4102">
      <c r="B4102" s="39" t="n">
        <v>46137</v>
      </c>
      <c r="C4102" s="3" t="inlineStr">
        <is>
          <t>Payroll Check</t>
        </is>
      </c>
      <c r="D4102" s="3" t="inlineStr">
        <is>
          <t>11044</t>
        </is>
      </c>
      <c r="E4102" s="3" t="inlineStr">
        <is>
          <t>Tessarand Payroll Services</t>
        </is>
      </c>
      <c r="F4102" s="3" t="inlineStr">
        <is>
          <t>Payroll – biweekly</t>
        </is>
      </c>
      <c r="G4102" s="3" t="inlineStr">
        <is>
          <t>Checking – Operating</t>
        </is>
      </c>
      <c r="H4102" s="3" t="inlineStr">
        <is>
          <t>Salaries and Wages</t>
        </is>
      </c>
      <c r="I4102" s="33" t="n">
        <v>149911.46</v>
      </c>
      <c r="J4102" s="13">
        <f>+J4101+I4102</f>
        <v>1314770</v>
      </c>
      <c r="K4102" s="19">
        <f>+EOMONTH(B4102,0)</f>
        <v>46142</v>
      </c>
      <c r="L4102" s="3" t="inlineStr">
        <is>
          <t>Salaries and Wages</t>
        </is>
      </c>
      <c r="M4102" s="3" t="inlineStr">
        <is>
          <t>Salaries &amp; Wages</t>
        </is>
      </c>
    </row>
    <row r="4103">
      <c r="B4103" s="39" t="n">
        <v>46146</v>
      </c>
      <c r="C4103" s="3" t="inlineStr">
        <is>
          <t>Payroll Check</t>
        </is>
      </c>
      <c r="D4103" s="3" t="inlineStr">
        <is>
          <t>11045</t>
        </is>
      </c>
      <c r="E4103" s="3" t="inlineStr">
        <is>
          <t>Tessarand Payroll Services</t>
        </is>
      </c>
      <c r="F4103" s="3" t="inlineStr">
        <is>
          <t>Payroll – biweekly</t>
        </is>
      </c>
      <c r="G4103" s="3" t="inlineStr">
        <is>
          <t>Checking – Operating</t>
        </is>
      </c>
      <c r="H4103" s="3" t="inlineStr">
        <is>
          <t>Salaries and Wages</t>
        </is>
      </c>
      <c r="I4103" s="33" t="n">
        <v>164780.02</v>
      </c>
      <c r="J4103" s="13">
        <f>+J4102+I4103</f>
        <v>1479550.02</v>
      </c>
      <c r="K4103" s="19">
        <f>+EOMONTH(B4103,0)</f>
        <v>46173</v>
      </c>
      <c r="L4103" s="3" t="inlineStr">
        <is>
          <t>Salaries and Wages</t>
        </is>
      </c>
      <c r="M4103" s="3" t="inlineStr">
        <is>
          <t>Salaries &amp; Wages</t>
        </is>
      </c>
    </row>
    <row r="4104">
      <c r="B4104" s="39" t="n">
        <v>46156</v>
      </c>
      <c r="C4104" s="3" t="inlineStr">
        <is>
          <t>Payroll Check</t>
        </is>
      </c>
      <c r="D4104" s="3" t="inlineStr">
        <is>
          <t>11046</t>
        </is>
      </c>
      <c r="E4104" s="3" t="inlineStr">
        <is>
          <t>Tessarand Payroll Services</t>
        </is>
      </c>
      <c r="F4104" s="3" t="inlineStr">
        <is>
          <t>Payroll – biweekly</t>
        </is>
      </c>
      <c r="G4104" s="3" t="inlineStr">
        <is>
          <t>Checking – Operating</t>
        </is>
      </c>
      <c r="H4104" s="3" t="inlineStr">
        <is>
          <t>Salaries and Wages</t>
        </is>
      </c>
      <c r="I4104" s="33" t="n">
        <v>171319.98</v>
      </c>
      <c r="J4104" s="13">
        <f>+J4103+I4104</f>
        <v>1650870</v>
      </c>
      <c r="K4104" s="19">
        <f>+EOMONTH(B4104,0)</f>
        <v>46173</v>
      </c>
      <c r="L4104" s="3" t="inlineStr">
        <is>
          <t>Salaries and Wages</t>
        </is>
      </c>
      <c r="M4104" s="3" t="inlineStr">
        <is>
          <t>Salaries &amp; Wages</t>
        </is>
      </c>
    </row>
    <row r="4105">
      <c r="B4105" s="39" t="n">
        <v>46176</v>
      </c>
      <c r="C4105" s="3" t="inlineStr">
        <is>
          <t>Payroll Check</t>
        </is>
      </c>
      <c r="D4105" s="3" t="inlineStr">
        <is>
          <t>11047</t>
        </is>
      </c>
      <c r="E4105" s="3" t="inlineStr">
        <is>
          <t>Tessarand Payroll Services</t>
        </is>
      </c>
      <c r="F4105" s="3" t="inlineStr">
        <is>
          <t>Payroll – biweekly</t>
        </is>
      </c>
      <c r="G4105" s="3" t="inlineStr">
        <is>
          <t>Checking – Operating</t>
        </is>
      </c>
      <c r="H4105" s="3" t="inlineStr">
        <is>
          <t>Salaries and Wages</t>
        </is>
      </c>
      <c r="I4105" s="33" t="n">
        <v>153776.27</v>
      </c>
      <c r="J4105" s="13">
        <f>+J4104+I4105</f>
        <v>1804646.27</v>
      </c>
      <c r="K4105" s="19">
        <f>+EOMONTH(B4105,0)</f>
        <v>46203</v>
      </c>
      <c r="L4105" s="3" t="inlineStr">
        <is>
          <t>Salaries and Wages</t>
        </is>
      </c>
      <c r="M4105" s="3" t="inlineStr">
        <is>
          <t>Salaries &amp; Wages</t>
        </is>
      </c>
    </row>
    <row r="4106">
      <c r="B4106" s="39" t="n">
        <v>46194</v>
      </c>
      <c r="C4106" s="3" t="inlineStr">
        <is>
          <t>Payroll Check</t>
        </is>
      </c>
      <c r="D4106" s="3" t="inlineStr">
        <is>
          <t>11048</t>
        </is>
      </c>
      <c r="E4106" s="3" t="inlineStr">
        <is>
          <t>Tessarand Payroll Services</t>
        </is>
      </c>
      <c r="F4106" s="3" t="inlineStr">
        <is>
          <t>Payroll – biweekly</t>
        </is>
      </c>
      <c r="G4106" s="3" t="inlineStr">
        <is>
          <t>Checking – Operating</t>
        </is>
      </c>
      <c r="H4106" s="3" t="inlineStr">
        <is>
          <t>Salaries and Wages</t>
        </is>
      </c>
      <c r="I4106" s="33" t="n">
        <v>174773.73</v>
      </c>
      <c r="J4106" s="13">
        <f>+J4105+I4106</f>
        <v>1979420</v>
      </c>
      <c r="K4106" s="19">
        <f>+EOMONTH(B4106,0)</f>
        <v>46203</v>
      </c>
      <c r="L4106" s="3" t="inlineStr">
        <is>
          <t>Salaries and Wages</t>
        </is>
      </c>
      <c r="M4106" s="3" t="inlineStr">
        <is>
          <t>Salaries &amp; Wages</t>
        </is>
      </c>
    </row>
    <row r="4107">
      <c r="B4107" s="39" t="n">
        <v>46206</v>
      </c>
      <c r="C4107" s="3" t="inlineStr">
        <is>
          <t>Payroll Check</t>
        </is>
      </c>
      <c r="D4107" s="3" t="inlineStr">
        <is>
          <t>11049</t>
        </is>
      </c>
      <c r="E4107" s="3" t="inlineStr">
        <is>
          <t>Tessarand Payroll Services</t>
        </is>
      </c>
      <c r="F4107" s="3" t="inlineStr">
        <is>
          <t>Payroll – biweekly</t>
        </is>
      </c>
      <c r="G4107" s="3" t="inlineStr">
        <is>
          <t>Checking – Operating</t>
        </is>
      </c>
      <c r="H4107" s="3" t="inlineStr">
        <is>
          <t>Salaries and Wages</t>
        </is>
      </c>
      <c r="I4107" s="33" t="n">
        <v>108709.51</v>
      </c>
      <c r="J4107" s="13">
        <f>+J4106+I4107</f>
        <v>2088129.51</v>
      </c>
      <c r="K4107" s="19">
        <f>+EOMONTH(B4107,0)</f>
        <v>46234</v>
      </c>
      <c r="L4107" s="3" t="inlineStr">
        <is>
          <t>Salaries and Wages</t>
        </is>
      </c>
      <c r="M4107" s="3" t="inlineStr">
        <is>
          <t>Salaries &amp; Wages</t>
        </is>
      </c>
    </row>
    <row r="4108">
      <c r="B4108" s="39" t="n">
        <v>46222</v>
      </c>
      <c r="C4108" s="3" t="inlineStr">
        <is>
          <t>Payroll Check</t>
        </is>
      </c>
      <c r="D4108" s="3" t="inlineStr">
        <is>
          <t>11050</t>
        </is>
      </c>
      <c r="E4108" s="3" t="inlineStr">
        <is>
          <t>Tessarand Payroll Services</t>
        </is>
      </c>
      <c r="F4108" s="3" t="inlineStr">
        <is>
          <t>Payroll – biweekly</t>
        </is>
      </c>
      <c r="G4108" s="3" t="inlineStr">
        <is>
          <t>Checking – Operating</t>
        </is>
      </c>
      <c r="H4108" s="3" t="inlineStr">
        <is>
          <t>Salaries and Wages</t>
        </is>
      </c>
      <c r="I4108" s="33" t="n">
        <v>71097.71000000001</v>
      </c>
      <c r="J4108" s="13">
        <f>+J4107+I4108</f>
        <v>2159227.22</v>
      </c>
      <c r="K4108" s="19">
        <f>+EOMONTH(B4108,0)</f>
        <v>46234</v>
      </c>
      <c r="L4108" s="3" t="inlineStr">
        <is>
          <t>Salaries and Wages</t>
        </is>
      </c>
      <c r="M4108" s="3" t="inlineStr">
        <is>
          <t>Salaries &amp; Wages</t>
        </is>
      </c>
    </row>
    <row r="4109">
      <c r="B4109" s="39" t="n">
        <v>46231</v>
      </c>
      <c r="C4109" s="3" t="inlineStr">
        <is>
          <t>Payroll Check</t>
        </is>
      </c>
      <c r="D4109" s="3" t="inlineStr">
        <is>
          <t>11051</t>
        </is>
      </c>
      <c r="E4109" s="3" t="inlineStr">
        <is>
          <t>Tessarand Payroll Services</t>
        </is>
      </c>
      <c r="F4109" s="3" t="inlineStr">
        <is>
          <t>Payroll – biweekly</t>
        </is>
      </c>
      <c r="G4109" s="3" t="inlineStr">
        <is>
          <t>Checking – Operating</t>
        </is>
      </c>
      <c r="H4109" s="3" t="inlineStr">
        <is>
          <t>Salaries and Wages</t>
        </is>
      </c>
      <c r="I4109" s="33" t="n">
        <v>150192.78</v>
      </c>
      <c r="J4109" s="13">
        <f>+J4108+I4109</f>
        <v>2309420</v>
      </c>
      <c r="K4109" s="19">
        <f>+EOMONTH(B4109,0)</f>
        <v>46234</v>
      </c>
      <c r="L4109" s="3" t="inlineStr">
        <is>
          <t>Salaries and Wages</t>
        </is>
      </c>
      <c r="M4109" s="3" t="inlineStr">
        <is>
          <t>Salaries &amp; Wages</t>
        </is>
      </c>
    </row>
    <row r="4110">
      <c r="B4110" s="39" t="n">
        <v>46246</v>
      </c>
      <c r="C4110" s="3" t="inlineStr">
        <is>
          <t>Payroll Check</t>
        </is>
      </c>
      <c r="D4110" s="3" t="inlineStr">
        <is>
          <t>11052</t>
        </is>
      </c>
      <c r="E4110" s="3" t="inlineStr">
        <is>
          <t>Tessarand Payroll Services</t>
        </is>
      </c>
      <c r="F4110" s="3" t="inlineStr">
        <is>
          <t>Payroll – biweekly</t>
        </is>
      </c>
      <c r="G4110" s="3" t="inlineStr">
        <is>
          <t>Checking – Operating</t>
        </is>
      </c>
      <c r="H4110" s="3" t="inlineStr">
        <is>
          <t>Salaries and Wages</t>
        </is>
      </c>
      <c r="I4110" s="33" t="n">
        <v>178917.93</v>
      </c>
      <c r="J4110" s="13">
        <f>+J4109+I4110</f>
        <v>2488337.93</v>
      </c>
      <c r="K4110" s="19">
        <f>+EOMONTH(B4110,0)</f>
        <v>46265</v>
      </c>
      <c r="L4110" s="3" t="inlineStr">
        <is>
          <t>Salaries and Wages</t>
        </is>
      </c>
      <c r="M4110" s="3" t="inlineStr">
        <is>
          <t>Salaries &amp; Wages</t>
        </is>
      </c>
    </row>
    <row r="4111">
      <c r="B4111" s="39" t="n">
        <v>46259</v>
      </c>
      <c r="C4111" s="3" t="inlineStr">
        <is>
          <t>Payroll Check</t>
        </is>
      </c>
      <c r="D4111" s="3" t="inlineStr">
        <is>
          <t>11053</t>
        </is>
      </c>
      <c r="E4111" s="3" t="inlineStr">
        <is>
          <t>Tessarand Payroll Services</t>
        </is>
      </c>
      <c r="F4111" s="3" t="inlineStr">
        <is>
          <t>Payroll – biweekly</t>
        </is>
      </c>
      <c r="G4111" s="3" t="inlineStr">
        <is>
          <t>Checking – Operating</t>
        </is>
      </c>
      <c r="H4111" s="3" t="inlineStr">
        <is>
          <t>Salaries and Wages</t>
        </is>
      </c>
      <c r="I4111" s="33" t="n">
        <v>152682.07</v>
      </c>
      <c r="J4111" s="13">
        <f>+J4110+I4111</f>
        <v>2641020</v>
      </c>
      <c r="K4111" s="19">
        <f>+EOMONTH(B4111,0)</f>
        <v>46265</v>
      </c>
      <c r="L4111" s="3" t="inlineStr">
        <is>
          <t>Salaries and Wages</t>
        </is>
      </c>
      <c r="M4111" s="3" t="inlineStr">
        <is>
          <t>Salaries &amp; Wages</t>
        </is>
      </c>
    </row>
    <row r="4112">
      <c r="B4112" s="39" t="n">
        <v>46277</v>
      </c>
      <c r="C4112" s="3" t="inlineStr">
        <is>
          <t>Payroll Check</t>
        </is>
      </c>
      <c r="D4112" s="3" t="inlineStr">
        <is>
          <t>11054</t>
        </is>
      </c>
      <c r="E4112" s="3" t="inlineStr">
        <is>
          <t>Tessarand Payroll Services</t>
        </is>
      </c>
      <c r="F4112" s="3" t="inlineStr">
        <is>
          <t>Payroll – biweekly</t>
        </is>
      </c>
      <c r="G4112" s="3" t="inlineStr">
        <is>
          <t>Checking – Operating</t>
        </is>
      </c>
      <c r="H4112" s="3" t="inlineStr">
        <is>
          <t>Salaries and Wages</t>
        </is>
      </c>
      <c r="I4112" s="33" t="n">
        <v>151271.98</v>
      </c>
      <c r="J4112" s="13">
        <f>+J4111+I4112</f>
        <v>2792291.98</v>
      </c>
      <c r="K4112" s="19">
        <f>+EOMONTH(B4112,0)</f>
        <v>46295</v>
      </c>
      <c r="L4112" s="3" t="inlineStr">
        <is>
          <t>Salaries and Wages</t>
        </is>
      </c>
      <c r="M4112" s="3" t="inlineStr">
        <is>
          <t>Salaries &amp; Wages</t>
        </is>
      </c>
    </row>
    <row r="4113">
      <c r="B4113" s="39" t="n">
        <v>46281</v>
      </c>
      <c r="C4113" s="3" t="inlineStr">
        <is>
          <t>Payroll Check</t>
        </is>
      </c>
      <c r="D4113" s="3" t="inlineStr">
        <is>
          <t>11055</t>
        </is>
      </c>
      <c r="E4113" s="3" t="inlineStr">
        <is>
          <t>Tessarand Payroll Services</t>
        </is>
      </c>
      <c r="F4113" s="3" t="inlineStr">
        <is>
          <t>Payroll – biweekly</t>
        </is>
      </c>
      <c r="G4113" s="3" t="inlineStr">
        <is>
          <t>Checking – Operating</t>
        </is>
      </c>
      <c r="H4113" s="3" t="inlineStr">
        <is>
          <t>Salaries and Wages</t>
        </is>
      </c>
      <c r="I4113" s="33" t="n">
        <v>184826.28</v>
      </c>
      <c r="J4113" s="13">
        <f>+J4112+I4113</f>
        <v>2977118.26</v>
      </c>
      <c r="K4113" s="19">
        <f>+EOMONTH(B4113,0)</f>
        <v>46295</v>
      </c>
      <c r="L4113" s="3" t="inlineStr">
        <is>
          <t>Salaries and Wages</t>
        </is>
      </c>
      <c r="M4113" s="3" t="inlineStr">
        <is>
          <t>Salaries &amp; Wages</t>
        </is>
      </c>
    </row>
    <row r="4114">
      <c r="B4114" s="39" t="n">
        <v>46296</v>
      </c>
      <c r="C4114" s="3" t="inlineStr">
        <is>
          <t>Payroll Check</t>
        </is>
      </c>
      <c r="D4114" s="3" t="inlineStr">
        <is>
          <t>11056</t>
        </is>
      </c>
      <c r="E4114" s="3" t="inlineStr">
        <is>
          <t>Tessarand Payroll Services</t>
        </is>
      </c>
      <c r="F4114" s="3" t="inlineStr">
        <is>
          <t>Payroll – biweekly</t>
        </is>
      </c>
      <c r="G4114" s="3" t="inlineStr">
        <is>
          <t>Checking – Operating</t>
        </is>
      </c>
      <c r="H4114" s="3" t="inlineStr">
        <is>
          <t>Salaries and Wages</t>
        </is>
      </c>
      <c r="I4114" s="33" t="n">
        <v>115392.11</v>
      </c>
      <c r="J4114" s="13">
        <f>+J4113+I4114</f>
        <v>3092510.37</v>
      </c>
      <c r="K4114" s="19">
        <f>+EOMONTH(B4114,0)</f>
        <v>46326</v>
      </c>
      <c r="L4114" s="3" t="inlineStr">
        <is>
          <t>Salaries and Wages</t>
        </is>
      </c>
      <c r="M4114" s="3" t="inlineStr">
        <is>
          <t>Salaries &amp; Wages</t>
        </is>
      </c>
    </row>
    <row r="4115">
      <c r="B4115" s="39" t="n">
        <v>46310</v>
      </c>
      <c r="C4115" s="3" t="inlineStr">
        <is>
          <t>Payroll Check</t>
        </is>
      </c>
      <c r="D4115" s="3" t="inlineStr">
        <is>
          <t>11057</t>
        </is>
      </c>
      <c r="E4115" s="3" t="inlineStr">
        <is>
          <t>Tessarand Payroll Services</t>
        </is>
      </c>
      <c r="F4115" s="3" t="inlineStr">
        <is>
          <t>Payroll – biweekly</t>
        </is>
      </c>
      <c r="G4115" s="3" t="inlineStr">
        <is>
          <t>Checking – Operating</t>
        </is>
      </c>
      <c r="H4115" s="3" t="inlineStr">
        <is>
          <t>Salaries and Wages</t>
        </is>
      </c>
      <c r="I4115" s="33" t="n">
        <v>225111.72</v>
      </c>
      <c r="J4115" s="13">
        <f>+J4114+I4115</f>
        <v>3317622.09</v>
      </c>
      <c r="K4115" s="19">
        <f>+EOMONTH(B4115,0)</f>
        <v>46326</v>
      </c>
      <c r="L4115" s="3" t="inlineStr">
        <is>
          <t>Salaries and Wages</t>
        </is>
      </c>
      <c r="M4115" s="3" t="inlineStr">
        <is>
          <t>Salaries &amp; Wages</t>
        </is>
      </c>
    </row>
    <row r="4116">
      <c r="B4116" s="39" t="n">
        <v>46332</v>
      </c>
      <c r="C4116" s="3" t="inlineStr">
        <is>
          <t>Payroll Check</t>
        </is>
      </c>
      <c r="D4116" s="3" t="inlineStr">
        <is>
          <t>11058</t>
        </is>
      </c>
      <c r="E4116" s="3" t="inlineStr">
        <is>
          <t>Tessarand Payroll Services</t>
        </is>
      </c>
      <c r="F4116" s="3" t="inlineStr">
        <is>
          <t>Payroll – biweekly</t>
        </is>
      </c>
      <c r="G4116" s="3" t="inlineStr">
        <is>
          <t>Checking – Operating</t>
        </is>
      </c>
      <c r="H4116" s="3" t="inlineStr">
        <is>
          <t>Salaries and Wages</t>
        </is>
      </c>
      <c r="I4116" s="33" t="n">
        <v>147877.1</v>
      </c>
      <c r="J4116" s="13">
        <f>+J4115+I4116</f>
        <v>3465499.19</v>
      </c>
      <c r="K4116" s="19">
        <f>+EOMONTH(B4116,0)</f>
        <v>46356</v>
      </c>
      <c r="L4116" s="3" t="inlineStr">
        <is>
          <t>Salaries and Wages</t>
        </is>
      </c>
      <c r="M4116" s="3" t="inlineStr">
        <is>
          <t>Salaries &amp; Wages</t>
        </is>
      </c>
    </row>
    <row r="4117">
      <c r="B4117" s="39" t="n">
        <v>46345</v>
      </c>
      <c r="C4117" s="3" t="inlineStr">
        <is>
          <t>Payroll Check</t>
        </is>
      </c>
      <c r="D4117" s="3" t="inlineStr">
        <is>
          <t>11059</t>
        </is>
      </c>
      <c r="E4117" s="3" t="inlineStr">
        <is>
          <t>Tessarand Payroll Services</t>
        </is>
      </c>
      <c r="F4117" s="3" t="inlineStr">
        <is>
          <t>Payroll – biweekly</t>
        </is>
      </c>
      <c r="G4117" s="3" t="inlineStr">
        <is>
          <t>Checking – Operating</t>
        </is>
      </c>
      <c r="H4117" s="3" t="inlineStr">
        <is>
          <t>Salaries and Wages</t>
        </is>
      </c>
      <c r="I4117" s="33" t="n">
        <v>187955.18</v>
      </c>
      <c r="J4117" s="13">
        <f>+J4116+I4117</f>
        <v>3653454.37</v>
      </c>
      <c r="K4117" s="19">
        <f>+EOMONTH(B4117,0)</f>
        <v>46356</v>
      </c>
      <c r="L4117" s="3" t="inlineStr">
        <is>
          <t>Salaries and Wages</t>
        </is>
      </c>
      <c r="M4117" s="3" t="inlineStr">
        <is>
          <t>Salaries &amp; Wages</t>
        </is>
      </c>
    </row>
    <row r="4118">
      <c r="A4118" s="2" t="inlineStr">
        <is>
          <t>Total for Salaries and Wages</t>
        </is>
      </c>
      <c r="I4118" s="35">
        <f>SUM(I4094:I4117)</f>
        <v>3653454.37</v>
      </c>
    </row>
    <row r="4120">
      <c r="A4120" s="2" t="inlineStr">
        <is>
          <t>Payroll Taxes</t>
        </is>
      </c>
    </row>
    <row r="4121">
      <c r="B4121" s="39" t="n">
        <v>46034</v>
      </c>
      <c r="C4121" s="3" t="inlineStr">
        <is>
          <t>Payroll Check</t>
        </is>
      </c>
      <c r="D4121" s="3" t="inlineStr">
        <is>
          <t>11060</t>
        </is>
      </c>
      <c r="E4121" s="3" t="inlineStr">
        <is>
          <t>Tessarand Payroll Services</t>
        </is>
      </c>
      <c r="F4121" s="3" t="inlineStr">
        <is>
          <t>Payroll taxes – biweekly</t>
        </is>
      </c>
      <c r="G4121" s="3" t="inlineStr">
        <is>
          <t>Checking – Operating</t>
        </is>
      </c>
      <c r="H4121" s="3" t="inlineStr">
        <is>
          <t>Payroll Taxes</t>
        </is>
      </c>
      <c r="I4121" s="33" t="n">
        <v>1182.77</v>
      </c>
      <c r="J4121" s="13">
        <f>+I4121</f>
        <v>1182.77</v>
      </c>
      <c r="K4121" s="19">
        <f>+EOMONTH(B4121,0)</f>
        <v>46053</v>
      </c>
      <c r="L4121" s="3" t="inlineStr">
        <is>
          <t>Payroll Taxes</t>
        </is>
      </c>
      <c r="M4121" s="3" t="inlineStr">
        <is>
          <t>Payroll Taxes</t>
        </is>
      </c>
    </row>
    <row r="4122">
      <c r="B4122" s="39" t="n">
        <v>46048</v>
      </c>
      <c r="C4122" s="3" t="inlineStr">
        <is>
          <t>Payroll Check</t>
        </is>
      </c>
      <c r="D4122" s="3" t="inlineStr">
        <is>
          <t>11062</t>
        </is>
      </c>
      <c r="E4122" s="3" t="inlineStr">
        <is>
          <t>Tessarand Payroll Services</t>
        </is>
      </c>
      <c r="F4122" s="3" t="inlineStr">
        <is>
          <t>Payroll taxes – biweekly</t>
        </is>
      </c>
      <c r="G4122" s="3" t="inlineStr">
        <is>
          <t>Checking – Operating</t>
        </is>
      </c>
      <c r="H4122" s="3" t="inlineStr">
        <is>
          <t>Payroll Taxes</t>
        </is>
      </c>
      <c r="I4122" s="33" t="n">
        <v>702.78</v>
      </c>
      <c r="J4122" s="13">
        <f>+J4121+I4122</f>
        <v>1885.55</v>
      </c>
      <c r="K4122" s="19">
        <f>+EOMONTH(B4122,0)</f>
        <v>46053</v>
      </c>
      <c r="L4122" s="3" t="inlineStr">
        <is>
          <t>Payroll Taxes</t>
        </is>
      </c>
      <c r="M4122" s="3" t="inlineStr">
        <is>
          <t>Payroll Taxes</t>
        </is>
      </c>
    </row>
    <row r="4123">
      <c r="B4123" s="39" t="n">
        <v>46049</v>
      </c>
      <c r="C4123" s="3" t="inlineStr">
        <is>
          <t>Payroll Check</t>
        </is>
      </c>
      <c r="D4123" s="3" t="inlineStr">
        <is>
          <t>11064</t>
        </is>
      </c>
      <c r="E4123" s="3" t="inlineStr">
        <is>
          <t>Tessarand Payroll Services</t>
        </is>
      </c>
      <c r="F4123" s="3" t="inlineStr">
        <is>
          <t>Payroll taxes – biweekly</t>
        </is>
      </c>
      <c r="G4123" s="3" t="inlineStr">
        <is>
          <t>Checking – Operating</t>
        </is>
      </c>
      <c r="H4123" s="3" t="inlineStr">
        <is>
          <t>Payroll Taxes</t>
        </is>
      </c>
      <c r="I4123" s="33" t="n">
        <v>664.45</v>
      </c>
      <c r="J4123" s="13">
        <f>+J4122+I4123</f>
        <v>2550</v>
      </c>
      <c r="K4123" s="19">
        <f>+EOMONTH(B4123,0)</f>
        <v>46053</v>
      </c>
      <c r="L4123" s="3" t="inlineStr">
        <is>
          <t>Payroll Taxes</t>
        </is>
      </c>
      <c r="M4123" s="3" t="inlineStr">
        <is>
          <t>Payroll Taxes</t>
        </is>
      </c>
    </row>
    <row r="4124">
      <c r="B4124" s="39" t="n">
        <v>46065</v>
      </c>
      <c r="C4124" s="3" t="inlineStr">
        <is>
          <t>Payroll Check</t>
        </is>
      </c>
      <c r="D4124" s="3" t="inlineStr">
        <is>
          <t>11066</t>
        </is>
      </c>
      <c r="E4124" s="3" t="inlineStr">
        <is>
          <t>Tessarand Payroll Services</t>
        </is>
      </c>
      <c r="F4124" s="3" t="inlineStr">
        <is>
          <t>Payroll taxes – biweekly</t>
        </is>
      </c>
      <c r="G4124" s="3" t="inlineStr">
        <is>
          <t>Checking – Operating</t>
        </is>
      </c>
      <c r="H4124" s="3" t="inlineStr">
        <is>
          <t>Payroll Taxes</t>
        </is>
      </c>
      <c r="I4124" s="33" t="n">
        <v>1250.97</v>
      </c>
      <c r="J4124" s="13">
        <f>+J4123+I4124</f>
        <v>3800.97</v>
      </c>
      <c r="K4124" s="19">
        <f>+EOMONTH(B4124,0)</f>
        <v>46081</v>
      </c>
      <c r="L4124" s="3" t="inlineStr">
        <is>
          <t>Payroll Taxes</t>
        </is>
      </c>
      <c r="M4124" s="3" t="inlineStr">
        <is>
          <t>Payroll Taxes</t>
        </is>
      </c>
    </row>
    <row r="4125">
      <c r="B4125" s="39" t="n">
        <v>46073</v>
      </c>
      <c r="C4125" s="3" t="inlineStr">
        <is>
          <t>Payroll Check</t>
        </is>
      </c>
      <c r="D4125" s="3" t="inlineStr">
        <is>
          <t>11068</t>
        </is>
      </c>
      <c r="E4125" s="3" t="inlineStr">
        <is>
          <t>Tessarand Payroll Services</t>
        </is>
      </c>
      <c r="F4125" s="3" t="inlineStr">
        <is>
          <t>Payroll taxes – biweekly</t>
        </is>
      </c>
      <c r="G4125" s="3" t="inlineStr">
        <is>
          <t>Checking – Operating</t>
        </is>
      </c>
      <c r="H4125" s="3" t="inlineStr">
        <is>
          <t>Payroll Taxes</t>
        </is>
      </c>
      <c r="I4125" s="33" t="n">
        <v>1149.03</v>
      </c>
      <c r="J4125" s="13">
        <f>+J4124+I4125</f>
        <v>4950</v>
      </c>
      <c r="K4125" s="19">
        <f>+EOMONTH(B4125,0)</f>
        <v>46081</v>
      </c>
      <c r="L4125" s="3" t="inlineStr">
        <is>
          <t>Payroll Taxes</t>
        </is>
      </c>
      <c r="M4125" s="3" t="inlineStr">
        <is>
          <t>Payroll Taxes</t>
        </is>
      </c>
    </row>
    <row r="4126">
      <c r="B4126" s="39" t="n">
        <v>46091</v>
      </c>
      <c r="C4126" s="3" t="inlineStr">
        <is>
          <t>Payroll Check</t>
        </is>
      </c>
      <c r="D4126" s="3" t="inlineStr">
        <is>
          <t>11070</t>
        </is>
      </c>
      <c r="E4126" s="3" t="inlineStr">
        <is>
          <t>Tessarand Payroll Services</t>
        </is>
      </c>
      <c r="F4126" s="3" t="inlineStr">
        <is>
          <t>Payroll taxes – biweekly</t>
        </is>
      </c>
      <c r="G4126" s="3" t="inlineStr">
        <is>
          <t>Checking – Operating</t>
        </is>
      </c>
      <c r="H4126" s="3" t="inlineStr">
        <is>
          <t>Payroll Taxes</t>
        </is>
      </c>
      <c r="I4126" s="33" t="n">
        <v>1259.14</v>
      </c>
      <c r="J4126" s="13">
        <f>+J4125+I4126</f>
        <v>6209.14</v>
      </c>
      <c r="K4126" s="19">
        <f>+EOMONTH(B4126,0)</f>
        <v>46112</v>
      </c>
      <c r="L4126" s="3" t="inlineStr">
        <is>
          <t>Payroll Taxes</t>
        </is>
      </c>
      <c r="M4126" s="3" t="inlineStr">
        <is>
          <t>Payroll Taxes</t>
        </is>
      </c>
    </row>
    <row r="4127">
      <c r="B4127" s="39" t="n">
        <v>46104</v>
      </c>
      <c r="C4127" s="3" t="inlineStr">
        <is>
          <t>Payroll Check</t>
        </is>
      </c>
      <c r="D4127" s="3" t="inlineStr">
        <is>
          <t>11072</t>
        </is>
      </c>
      <c r="E4127" s="3" t="inlineStr">
        <is>
          <t>Tessarand Payroll Services</t>
        </is>
      </c>
      <c r="F4127" s="3" t="inlineStr">
        <is>
          <t>Payroll taxes – biweekly</t>
        </is>
      </c>
      <c r="G4127" s="3" t="inlineStr">
        <is>
          <t>Checking – Operating</t>
        </is>
      </c>
      <c r="H4127" s="3" t="inlineStr">
        <is>
          <t>Payroll Taxes</t>
        </is>
      </c>
      <c r="I4127" s="33" t="n">
        <v>1150.86</v>
      </c>
      <c r="J4127" s="13">
        <f>+J4126+I4127</f>
        <v>7360</v>
      </c>
      <c r="K4127" s="19">
        <f>+EOMONTH(B4127,0)</f>
        <v>46112</v>
      </c>
      <c r="L4127" s="3" t="inlineStr">
        <is>
          <t>Payroll Taxes</t>
        </is>
      </c>
      <c r="M4127" s="3" t="inlineStr">
        <is>
          <t>Payroll Taxes</t>
        </is>
      </c>
    </row>
    <row r="4128">
      <c r="B4128" s="39" t="n">
        <v>46123</v>
      </c>
      <c r="C4128" s="3" t="inlineStr">
        <is>
          <t>Payroll Check</t>
        </is>
      </c>
      <c r="D4128" s="3" t="inlineStr">
        <is>
          <t>11074</t>
        </is>
      </c>
      <c r="E4128" s="3" t="inlineStr">
        <is>
          <t>Tessarand Payroll Services</t>
        </is>
      </c>
      <c r="F4128" s="3" t="inlineStr">
        <is>
          <t>Payroll taxes – biweekly</t>
        </is>
      </c>
      <c r="G4128" s="3" t="inlineStr">
        <is>
          <t>Checking – Operating</t>
        </is>
      </c>
      <c r="H4128" s="3" t="inlineStr">
        <is>
          <t>Payroll Taxes</t>
        </is>
      </c>
      <c r="I4128" s="33" t="n">
        <v>1039.54</v>
      </c>
      <c r="J4128" s="13">
        <f>+J4127+I4128</f>
        <v>8399.54</v>
      </c>
      <c r="K4128" s="19">
        <f>+EOMONTH(B4128,0)</f>
        <v>46142</v>
      </c>
      <c r="L4128" s="3" t="inlineStr">
        <is>
          <t>Payroll Taxes</t>
        </is>
      </c>
      <c r="M4128" s="3" t="inlineStr">
        <is>
          <t>Payroll Taxes</t>
        </is>
      </c>
    </row>
    <row r="4129">
      <c r="B4129" s="39" t="n">
        <v>46136</v>
      </c>
      <c r="C4129" s="3" t="inlineStr">
        <is>
          <t>Payroll Check</t>
        </is>
      </c>
      <c r="D4129" s="3" t="inlineStr">
        <is>
          <t>11076</t>
        </is>
      </c>
      <c r="E4129" s="3" t="inlineStr">
        <is>
          <t>Tessarand Payroll Services</t>
        </is>
      </c>
      <c r="F4129" s="3" t="inlineStr">
        <is>
          <t>Payroll taxes – biweekly</t>
        </is>
      </c>
      <c r="G4129" s="3" t="inlineStr">
        <is>
          <t>Checking – Operating</t>
        </is>
      </c>
      <c r="H4129" s="3" t="inlineStr">
        <is>
          <t>Payroll Taxes</t>
        </is>
      </c>
      <c r="I4129" s="33" t="n">
        <v>1350.46</v>
      </c>
      <c r="J4129" s="13">
        <f>+J4128+I4129</f>
        <v>9750</v>
      </c>
      <c r="K4129" s="19">
        <f>+EOMONTH(B4129,0)</f>
        <v>46142</v>
      </c>
      <c r="L4129" s="3" t="inlineStr">
        <is>
          <t>Payroll Taxes</t>
        </is>
      </c>
      <c r="M4129" s="3" t="inlineStr">
        <is>
          <t>Payroll Taxes</t>
        </is>
      </c>
    </row>
    <row r="4130">
      <c r="B4130" s="39" t="n">
        <v>46146</v>
      </c>
      <c r="C4130" s="3" t="inlineStr">
        <is>
          <t>Payroll Check</t>
        </is>
      </c>
      <c r="D4130" s="3" t="inlineStr">
        <is>
          <t>11078</t>
        </is>
      </c>
      <c r="E4130" s="3" t="inlineStr">
        <is>
          <t>Tessarand Payroll Services</t>
        </is>
      </c>
      <c r="F4130" s="3" t="inlineStr">
        <is>
          <t>Payroll taxes – biweekly</t>
        </is>
      </c>
      <c r="G4130" s="3" t="inlineStr">
        <is>
          <t>Checking – Operating</t>
        </is>
      </c>
      <c r="H4130" s="3" t="inlineStr">
        <is>
          <t>Payroll Taxes</t>
        </is>
      </c>
      <c r="I4130" s="33" t="n">
        <v>1670.98</v>
      </c>
      <c r="J4130" s="13">
        <f>+J4129+I4130</f>
        <v>11420.98</v>
      </c>
      <c r="K4130" s="19">
        <f>+EOMONTH(B4130,0)</f>
        <v>46173</v>
      </c>
      <c r="L4130" s="3" t="inlineStr">
        <is>
          <t>Payroll Taxes</t>
        </is>
      </c>
      <c r="M4130" s="3" t="inlineStr">
        <is>
          <t>Payroll Taxes</t>
        </is>
      </c>
    </row>
    <row r="4131">
      <c r="B4131" s="39" t="n">
        <v>46161</v>
      </c>
      <c r="C4131" s="3" t="inlineStr">
        <is>
          <t>Payroll Check</t>
        </is>
      </c>
      <c r="D4131" s="3" t="inlineStr">
        <is>
          <t>11080</t>
        </is>
      </c>
      <c r="E4131" s="3" t="inlineStr">
        <is>
          <t>Tessarand Payroll Services</t>
        </is>
      </c>
      <c r="F4131" s="3" t="inlineStr">
        <is>
          <t>Payroll taxes – biweekly</t>
        </is>
      </c>
      <c r="G4131" s="3" t="inlineStr">
        <is>
          <t>Checking – Operating</t>
        </is>
      </c>
      <c r="H4131" s="3" t="inlineStr">
        <is>
          <t>Payroll Taxes</t>
        </is>
      </c>
      <c r="I4131" s="33" t="n">
        <v>889.02</v>
      </c>
      <c r="J4131" s="13">
        <f>+J4130+I4131</f>
        <v>12310</v>
      </c>
      <c r="K4131" s="19">
        <f>+EOMONTH(B4131,0)</f>
        <v>46173</v>
      </c>
      <c r="L4131" s="3" t="inlineStr">
        <is>
          <t>Payroll Taxes</t>
        </is>
      </c>
      <c r="M4131" s="3" t="inlineStr">
        <is>
          <t>Payroll Taxes</t>
        </is>
      </c>
    </row>
    <row r="4132">
      <c r="B4132" s="39" t="n">
        <v>46179</v>
      </c>
      <c r="C4132" s="3" t="inlineStr">
        <is>
          <t>Payroll Check</t>
        </is>
      </c>
      <c r="D4132" s="3" t="inlineStr">
        <is>
          <t>11082</t>
        </is>
      </c>
      <c r="E4132" s="3" t="inlineStr">
        <is>
          <t>Tessarand Payroll Services</t>
        </is>
      </c>
      <c r="F4132" s="3" t="inlineStr">
        <is>
          <t>Payroll taxes – biweekly</t>
        </is>
      </c>
      <c r="G4132" s="3" t="inlineStr">
        <is>
          <t>Checking – Operating</t>
        </is>
      </c>
      <c r="H4132" s="3" t="inlineStr">
        <is>
          <t>Payroll Taxes</t>
        </is>
      </c>
      <c r="I4132" s="33" t="n">
        <v>1322.78</v>
      </c>
      <c r="J4132" s="13">
        <f>+J4131+I4132</f>
        <v>13632.78</v>
      </c>
      <c r="K4132" s="19">
        <f>+EOMONTH(B4132,0)</f>
        <v>46203</v>
      </c>
      <c r="L4132" s="3" t="inlineStr">
        <is>
          <t>Payroll Taxes</t>
        </is>
      </c>
      <c r="M4132" s="3" t="inlineStr">
        <is>
          <t>Payroll Taxes</t>
        </is>
      </c>
    </row>
    <row r="4133">
      <c r="B4133" s="39" t="n">
        <v>46191</v>
      </c>
      <c r="C4133" s="3" t="inlineStr">
        <is>
          <t>Payroll Check</t>
        </is>
      </c>
      <c r="D4133" s="3" t="inlineStr">
        <is>
          <t>11084</t>
        </is>
      </c>
      <c r="E4133" s="3" t="inlineStr">
        <is>
          <t>Tessarand Payroll Services</t>
        </is>
      </c>
      <c r="F4133" s="3" t="inlineStr">
        <is>
          <t>Payroll taxes – biweekly</t>
        </is>
      </c>
      <c r="G4133" s="3" t="inlineStr">
        <is>
          <t>Checking – Operating</t>
        </is>
      </c>
      <c r="H4133" s="3" t="inlineStr">
        <is>
          <t>Payroll Taxes</t>
        </is>
      </c>
      <c r="I4133" s="33" t="n">
        <v>1087.22</v>
      </c>
      <c r="J4133" s="13">
        <f>+J4132+I4133</f>
        <v>14720</v>
      </c>
      <c r="K4133" s="19">
        <f>+EOMONTH(B4133,0)</f>
        <v>46203</v>
      </c>
      <c r="L4133" s="3" t="inlineStr">
        <is>
          <t>Payroll Taxes</t>
        </is>
      </c>
      <c r="M4133" s="3" t="inlineStr">
        <is>
          <t>Payroll Taxes</t>
        </is>
      </c>
    </row>
    <row r="4134">
      <c r="B4134" s="39" t="n">
        <v>46215</v>
      </c>
      <c r="C4134" s="3" t="inlineStr">
        <is>
          <t>Payroll Check</t>
        </is>
      </c>
      <c r="D4134" s="3" t="inlineStr">
        <is>
          <t>11086</t>
        </is>
      </c>
      <c r="E4134" s="3" t="inlineStr">
        <is>
          <t>Tessarand Payroll Services</t>
        </is>
      </c>
      <c r="F4134" s="3" t="inlineStr">
        <is>
          <t>Payroll taxes – biweekly</t>
        </is>
      </c>
      <c r="G4134" s="3" t="inlineStr">
        <is>
          <t>Checking – Operating</t>
        </is>
      </c>
      <c r="H4134" s="3" t="inlineStr">
        <is>
          <t>Payroll Taxes</t>
        </is>
      </c>
      <c r="I4134" s="33" t="n">
        <v>1004.2</v>
      </c>
      <c r="J4134" s="13">
        <f>+J4133+I4134</f>
        <v>15724.2</v>
      </c>
      <c r="K4134" s="19">
        <f>+EOMONTH(B4134,0)</f>
        <v>46234</v>
      </c>
      <c r="L4134" s="3" t="inlineStr">
        <is>
          <t>Payroll Taxes</t>
        </is>
      </c>
      <c r="M4134" s="3" t="inlineStr">
        <is>
          <t>Payroll Taxes</t>
        </is>
      </c>
    </row>
    <row r="4135">
      <c r="B4135" s="39" t="n">
        <v>46229</v>
      </c>
      <c r="C4135" s="3" t="inlineStr">
        <is>
          <t>Payroll Check</t>
        </is>
      </c>
      <c r="D4135" s="3" t="inlineStr">
        <is>
          <t>11088</t>
        </is>
      </c>
      <c r="E4135" s="3" t="inlineStr">
        <is>
          <t>Tessarand Payroll Services</t>
        </is>
      </c>
      <c r="F4135" s="3" t="inlineStr">
        <is>
          <t>Payroll taxes – biweekly</t>
        </is>
      </c>
      <c r="G4135" s="3" t="inlineStr">
        <is>
          <t>Checking – Operating</t>
        </is>
      </c>
      <c r="H4135" s="3" t="inlineStr">
        <is>
          <t>Payroll Taxes</t>
        </is>
      </c>
      <c r="I4135" s="33" t="n">
        <v>933.38</v>
      </c>
      <c r="J4135" s="13">
        <f>+J4134+I4135</f>
        <v>16657.58</v>
      </c>
      <c r="K4135" s="19">
        <f>+EOMONTH(B4135,0)</f>
        <v>46234</v>
      </c>
      <c r="L4135" s="3" t="inlineStr">
        <is>
          <t>Payroll Taxes</t>
        </is>
      </c>
      <c r="M4135" s="3" t="inlineStr">
        <is>
          <t>Payroll Taxes</t>
        </is>
      </c>
    </row>
    <row r="4136">
      <c r="B4136" s="39" t="n">
        <v>46230</v>
      </c>
      <c r="C4136" s="3" t="inlineStr">
        <is>
          <t>Payroll Check</t>
        </is>
      </c>
      <c r="D4136" s="3" t="inlineStr">
        <is>
          <t>11090</t>
        </is>
      </c>
      <c r="E4136" s="3" t="inlineStr">
        <is>
          <t>Tessarand Payroll Services</t>
        </is>
      </c>
      <c r="F4136" s="3" t="inlineStr">
        <is>
          <t>Payroll taxes – biweekly</t>
        </is>
      </c>
      <c r="G4136" s="3" t="inlineStr">
        <is>
          <t>Checking – Operating</t>
        </is>
      </c>
      <c r="H4136" s="3" t="inlineStr">
        <is>
          <t>Payroll Taxes</t>
        </is>
      </c>
      <c r="I4136" s="33" t="n">
        <v>522.42</v>
      </c>
      <c r="J4136" s="13">
        <f>+J4135+I4136</f>
        <v>17180</v>
      </c>
      <c r="K4136" s="19">
        <f>+EOMONTH(B4136,0)</f>
        <v>46234</v>
      </c>
      <c r="L4136" s="3" t="inlineStr">
        <is>
          <t>Payroll Taxes</t>
        </is>
      </c>
      <c r="M4136" s="3" t="inlineStr">
        <is>
          <t>Payroll Taxes</t>
        </is>
      </c>
    </row>
    <row r="4137">
      <c r="B4137" s="39" t="n">
        <v>46247</v>
      </c>
      <c r="C4137" s="3" t="inlineStr">
        <is>
          <t>Payroll Check</t>
        </is>
      </c>
      <c r="D4137" s="3" t="inlineStr">
        <is>
          <t>11092</t>
        </is>
      </c>
      <c r="E4137" s="3" t="inlineStr">
        <is>
          <t>Tessarand Payroll Services</t>
        </is>
      </c>
      <c r="F4137" s="3" t="inlineStr">
        <is>
          <t>Payroll taxes – biweekly</t>
        </is>
      </c>
      <c r="G4137" s="3" t="inlineStr">
        <is>
          <t>Checking – Operating</t>
        </is>
      </c>
      <c r="H4137" s="3" t="inlineStr">
        <is>
          <t>Payroll Taxes</t>
        </is>
      </c>
      <c r="I4137" s="33" t="n">
        <v>1372.51</v>
      </c>
      <c r="J4137" s="13">
        <f>+J4136+I4137</f>
        <v>18552.51</v>
      </c>
      <c r="K4137" s="19">
        <f>+EOMONTH(B4137,0)</f>
        <v>46265</v>
      </c>
      <c r="L4137" s="3" t="inlineStr">
        <is>
          <t>Payroll Taxes</t>
        </is>
      </c>
      <c r="M4137" s="3" t="inlineStr">
        <is>
          <t>Payroll Taxes</t>
        </is>
      </c>
    </row>
    <row r="4138">
      <c r="B4138" s="39" t="n">
        <v>46250</v>
      </c>
      <c r="C4138" s="3" t="inlineStr">
        <is>
          <t>Payroll Check</t>
        </is>
      </c>
      <c r="D4138" s="3" t="inlineStr">
        <is>
          <t>11094</t>
        </is>
      </c>
      <c r="E4138" s="3" t="inlineStr">
        <is>
          <t>Tessarand Payroll Services</t>
        </is>
      </c>
      <c r="F4138" s="3" t="inlineStr">
        <is>
          <t>Payroll taxes – biweekly</t>
        </is>
      </c>
      <c r="G4138" s="3" t="inlineStr">
        <is>
          <t>Checking – Operating</t>
        </is>
      </c>
      <c r="H4138" s="3" t="inlineStr">
        <is>
          <t>Payroll Taxes</t>
        </is>
      </c>
      <c r="I4138" s="33" t="n">
        <v>1087.49</v>
      </c>
      <c r="J4138" s="13">
        <f>+J4137+I4138</f>
        <v>19640</v>
      </c>
      <c r="K4138" s="19">
        <f>+EOMONTH(B4138,0)</f>
        <v>46265</v>
      </c>
      <c r="L4138" s="3" t="inlineStr">
        <is>
          <t>Payroll Taxes</t>
        </is>
      </c>
      <c r="M4138" s="3" t="inlineStr">
        <is>
          <t>Payroll Taxes</t>
        </is>
      </c>
    </row>
    <row r="4139">
      <c r="B4139" s="39" t="n">
        <v>46267</v>
      </c>
      <c r="C4139" s="3" t="inlineStr">
        <is>
          <t>Payroll Check</t>
        </is>
      </c>
      <c r="D4139" s="3" t="inlineStr">
        <is>
          <t>11096</t>
        </is>
      </c>
      <c r="E4139" s="3" t="inlineStr">
        <is>
          <t>Tessarand Payroll Services</t>
        </is>
      </c>
      <c r="F4139" s="3" t="inlineStr">
        <is>
          <t>Payroll taxes – biweekly</t>
        </is>
      </c>
      <c r="G4139" s="3" t="inlineStr">
        <is>
          <t>Checking – Operating</t>
        </is>
      </c>
      <c r="H4139" s="3" t="inlineStr">
        <is>
          <t>Payroll Taxes</t>
        </is>
      </c>
      <c r="I4139" s="33" t="n">
        <v>1305.4</v>
      </c>
      <c r="J4139" s="13">
        <f>+J4138+I4139</f>
        <v>20945.4</v>
      </c>
      <c r="K4139" s="19">
        <f>+EOMONTH(B4139,0)</f>
        <v>46295</v>
      </c>
      <c r="L4139" s="3" t="inlineStr">
        <is>
          <t>Payroll Taxes</t>
        </is>
      </c>
      <c r="M4139" s="3" t="inlineStr">
        <is>
          <t>Payroll Taxes</t>
        </is>
      </c>
    </row>
    <row r="4140">
      <c r="B4140" s="39" t="n">
        <v>46286</v>
      </c>
      <c r="C4140" s="3" t="inlineStr">
        <is>
          <t>Payroll Check</t>
        </is>
      </c>
      <c r="D4140" s="3" t="inlineStr">
        <is>
          <t>11098</t>
        </is>
      </c>
      <c r="E4140" s="3" t="inlineStr">
        <is>
          <t>Tessarand Payroll Services</t>
        </is>
      </c>
      <c r="F4140" s="3" t="inlineStr">
        <is>
          <t>Payroll taxes – biweekly</t>
        </is>
      </c>
      <c r="G4140" s="3" t="inlineStr">
        <is>
          <t>Checking – Operating</t>
        </is>
      </c>
      <c r="H4140" s="3" t="inlineStr">
        <is>
          <t>Payroll Taxes</t>
        </is>
      </c>
      <c r="I4140" s="33" t="n">
        <v>1169.07</v>
      </c>
      <c r="J4140" s="13">
        <f>+J4139+I4140</f>
        <v>22114.47</v>
      </c>
      <c r="K4140" s="19">
        <f>+EOMONTH(B4140,0)</f>
        <v>46295</v>
      </c>
      <c r="L4140" s="3" t="inlineStr">
        <is>
          <t>Payroll Taxes</t>
        </is>
      </c>
      <c r="M4140" s="3" t="inlineStr">
        <is>
          <t>Payroll Taxes</t>
        </is>
      </c>
    </row>
    <row r="4141">
      <c r="B4141" s="39" t="n">
        <v>46302</v>
      </c>
      <c r="C4141" s="3" t="inlineStr">
        <is>
          <t>Payroll Check</t>
        </is>
      </c>
      <c r="D4141" s="3" t="inlineStr">
        <is>
          <t>11100</t>
        </is>
      </c>
      <c r="E4141" s="3" t="inlineStr">
        <is>
          <t>Tessarand Payroll Services</t>
        </is>
      </c>
      <c r="F4141" s="3" t="inlineStr">
        <is>
          <t>Payroll taxes – biweekly</t>
        </is>
      </c>
      <c r="G4141" s="3" t="inlineStr">
        <is>
          <t>Checking – Operating</t>
        </is>
      </c>
      <c r="H4141" s="3" t="inlineStr">
        <is>
          <t>Payroll Taxes</t>
        </is>
      </c>
      <c r="I4141" s="33" t="n">
        <v>1064.64</v>
      </c>
      <c r="J4141" s="13">
        <f>+J4140+I4141</f>
        <v>23179.11</v>
      </c>
      <c r="K4141" s="19">
        <f>+EOMONTH(B4141,0)</f>
        <v>46326</v>
      </c>
      <c r="L4141" s="3" t="inlineStr">
        <is>
          <t>Payroll Taxes</t>
        </is>
      </c>
      <c r="M4141" s="3" t="inlineStr">
        <is>
          <t>Payroll Taxes</t>
        </is>
      </c>
    </row>
    <row r="4142">
      <c r="B4142" s="39" t="n">
        <v>46315</v>
      </c>
      <c r="C4142" s="3" t="inlineStr">
        <is>
          <t>Payroll Check</t>
        </is>
      </c>
      <c r="D4142" s="3" t="inlineStr">
        <is>
          <t>11102</t>
        </is>
      </c>
      <c r="E4142" s="3" t="inlineStr">
        <is>
          <t>Tessarand Payroll Services</t>
        </is>
      </c>
      <c r="F4142" s="3" t="inlineStr">
        <is>
          <t>Payroll taxes – biweekly</t>
        </is>
      </c>
      <c r="G4142" s="3" t="inlineStr">
        <is>
          <t>Checking – Operating</t>
        </is>
      </c>
      <c r="H4142" s="3" t="inlineStr">
        <is>
          <t>Payroll Taxes</t>
        </is>
      </c>
      <c r="I4142" s="33" t="n">
        <v>1415.32</v>
      </c>
      <c r="J4142" s="13">
        <f>+J4141+I4142</f>
        <v>24594.43</v>
      </c>
      <c r="K4142" s="19">
        <f>+EOMONTH(B4142,0)</f>
        <v>46326</v>
      </c>
      <c r="L4142" s="3" t="inlineStr">
        <is>
          <t>Payroll Taxes</t>
        </is>
      </c>
      <c r="M4142" s="3" t="inlineStr">
        <is>
          <t>Payroll Taxes</t>
        </is>
      </c>
    </row>
    <row r="4143">
      <c r="B4143" s="39" t="n">
        <v>46330</v>
      </c>
      <c r="C4143" s="3" t="inlineStr">
        <is>
          <t>Payroll Check</t>
        </is>
      </c>
      <c r="D4143" s="3" t="inlineStr">
        <is>
          <t>11104</t>
        </is>
      </c>
      <c r="E4143" s="3" t="inlineStr">
        <is>
          <t>Tessarand Payroll Services</t>
        </is>
      </c>
      <c r="F4143" s="3" t="inlineStr">
        <is>
          <t>Payroll taxes – biweekly</t>
        </is>
      </c>
      <c r="G4143" s="3" t="inlineStr">
        <is>
          <t>Checking – Operating</t>
        </is>
      </c>
      <c r="H4143" s="3" t="inlineStr">
        <is>
          <t>Payroll Taxes</t>
        </is>
      </c>
      <c r="I4143" s="33" t="n">
        <v>1253.55</v>
      </c>
      <c r="J4143" s="13">
        <f>+J4142+I4143</f>
        <v>25847.98</v>
      </c>
      <c r="K4143" s="19">
        <f>+EOMONTH(B4143,0)</f>
        <v>46356</v>
      </c>
      <c r="L4143" s="3" t="inlineStr">
        <is>
          <t>Payroll Taxes</t>
        </is>
      </c>
      <c r="M4143" s="3" t="inlineStr">
        <is>
          <t>Payroll Taxes</t>
        </is>
      </c>
    </row>
    <row r="4144">
      <c r="B4144" s="39" t="n">
        <v>46347</v>
      </c>
      <c r="C4144" s="3" t="inlineStr">
        <is>
          <t>Payroll Check</t>
        </is>
      </c>
      <c r="D4144" s="3" t="inlineStr">
        <is>
          <t>11106</t>
        </is>
      </c>
      <c r="E4144" s="3" t="inlineStr">
        <is>
          <t>Tessarand Payroll Services</t>
        </is>
      </c>
      <c r="F4144" s="3" t="inlineStr">
        <is>
          <t>Payroll taxes – biweekly</t>
        </is>
      </c>
      <c r="G4144" s="3" t="inlineStr">
        <is>
          <t>Checking – Operating</t>
        </is>
      </c>
      <c r="H4144" s="3" t="inlineStr">
        <is>
          <t>Payroll Taxes</t>
        </is>
      </c>
      <c r="I4144" s="33" t="n">
        <v>1219.05</v>
      </c>
      <c r="J4144" s="13">
        <f>+J4143+I4144</f>
        <v>27067.03</v>
      </c>
      <c r="K4144" s="19">
        <f>+EOMONTH(B4144,0)</f>
        <v>46356</v>
      </c>
      <c r="L4144" s="3" t="inlineStr">
        <is>
          <t>Payroll Taxes</t>
        </is>
      </c>
      <c r="M4144" s="3" t="inlineStr">
        <is>
          <t>Payroll Taxes</t>
        </is>
      </c>
    </row>
    <row r="4145">
      <c r="A4145" s="2" t="inlineStr">
        <is>
          <t>Total for Payroll Taxes</t>
        </is>
      </c>
      <c r="I4145" s="35">
        <f>SUM(I4121:I4144)</f>
        <v>27067.03</v>
      </c>
    </row>
    <row r="4147">
      <c r="A4147" s="2" t="inlineStr">
        <is>
          <t>Payroll Processing Fee</t>
        </is>
      </c>
    </row>
    <row r="4148">
      <c r="B4148" s="39" t="n">
        <v>46033</v>
      </c>
      <c r="C4148" s="3" t="inlineStr">
        <is>
          <t>Payroll Check</t>
        </is>
      </c>
      <c r="D4148" s="3" t="inlineStr">
        <is>
          <t>11108</t>
        </is>
      </c>
      <c r="E4148" s="3" t="inlineStr">
        <is>
          <t>Tessarand Payroll Services</t>
        </is>
      </c>
      <c r="F4148" s="3" t="inlineStr">
        <is>
          <t>Payroll processing fee</t>
        </is>
      </c>
      <c r="G4148" s="3" t="inlineStr">
        <is>
          <t>Checking – Operating</t>
        </is>
      </c>
      <c r="H4148" s="3" t="inlineStr">
        <is>
          <t>Payroll Processing Fee</t>
        </is>
      </c>
      <c r="I4148" s="33" t="n">
        <v>109.77</v>
      </c>
      <c r="J4148" s="13">
        <f>+I4148</f>
        <v>109.77</v>
      </c>
      <c r="K4148" s="19">
        <f>+EOMONTH(B4148,0)</f>
        <v>46053</v>
      </c>
      <c r="L4148" s="3" t="inlineStr">
        <is>
          <t>Payroll Processing Fee</t>
        </is>
      </c>
      <c r="M4148" s="3" t="inlineStr">
        <is>
          <t>Payroll Processing Fee</t>
        </is>
      </c>
    </row>
    <row r="4149">
      <c r="B4149" s="39" t="n">
        <v>46042</v>
      </c>
      <c r="C4149" s="3" t="inlineStr">
        <is>
          <t>Payroll Check</t>
        </is>
      </c>
      <c r="D4149" s="3" t="inlineStr">
        <is>
          <t>11109</t>
        </is>
      </c>
      <c r="E4149" s="3" t="inlineStr">
        <is>
          <t>Tessarand Payroll Services</t>
        </is>
      </c>
      <c r="F4149" s="3" t="inlineStr">
        <is>
          <t>Payroll processing fee</t>
        </is>
      </c>
      <c r="G4149" s="3" t="inlineStr">
        <is>
          <t>Checking – Operating</t>
        </is>
      </c>
      <c r="H4149" s="3" t="inlineStr">
        <is>
          <t>Payroll Processing Fee</t>
        </is>
      </c>
      <c r="I4149" s="33" t="n">
        <v>63.64</v>
      </c>
      <c r="J4149" s="13">
        <f>+J4148+I4149</f>
        <v>173.41</v>
      </c>
      <c r="K4149" s="19">
        <f>+EOMONTH(B4149,0)</f>
        <v>46053</v>
      </c>
      <c r="L4149" s="3" t="inlineStr">
        <is>
          <t>Payroll Processing Fee</t>
        </is>
      </c>
      <c r="M4149" s="3" t="inlineStr">
        <is>
          <t>Payroll Processing Fee</t>
        </is>
      </c>
    </row>
    <row r="4150">
      <c r="B4150" s="39" t="n">
        <v>46049</v>
      </c>
      <c r="C4150" s="3" t="inlineStr">
        <is>
          <t>Payroll Check</t>
        </is>
      </c>
      <c r="D4150" s="3" t="inlineStr">
        <is>
          <t>11110</t>
        </is>
      </c>
      <c r="E4150" s="3" t="inlineStr">
        <is>
          <t>Tessarand Payroll Services</t>
        </is>
      </c>
      <c r="F4150" s="3" t="inlineStr">
        <is>
          <t>Payroll processing fee</t>
        </is>
      </c>
      <c r="G4150" s="3" t="inlineStr">
        <is>
          <t>Checking – Operating</t>
        </is>
      </c>
      <c r="H4150" s="3" t="inlineStr">
        <is>
          <t>Payroll Processing Fee</t>
        </is>
      </c>
      <c r="I4150" s="33" t="n">
        <v>86.59</v>
      </c>
      <c r="J4150" s="13">
        <f>+J4149+I4150</f>
        <v>260</v>
      </c>
      <c r="K4150" s="19">
        <f>+EOMONTH(B4150,0)</f>
        <v>46053</v>
      </c>
      <c r="L4150" s="3" t="inlineStr">
        <is>
          <t>Payroll Processing Fee</t>
        </is>
      </c>
      <c r="M4150" s="3" t="inlineStr">
        <is>
          <t>Payroll Processing Fee</t>
        </is>
      </c>
    </row>
    <row r="4151">
      <c r="B4151" s="39" t="n">
        <v>46060</v>
      </c>
      <c r="C4151" s="3" t="inlineStr">
        <is>
          <t>Payroll Check</t>
        </is>
      </c>
      <c r="D4151" s="3" t="inlineStr">
        <is>
          <t>11111</t>
        </is>
      </c>
      <c r="E4151" s="3" t="inlineStr">
        <is>
          <t>Tessarand Payroll Services</t>
        </is>
      </c>
      <c r="F4151" s="3" t="inlineStr">
        <is>
          <t>Payroll processing fee</t>
        </is>
      </c>
      <c r="G4151" s="3" t="inlineStr">
        <is>
          <t>Checking – Operating</t>
        </is>
      </c>
      <c r="H4151" s="3" t="inlineStr">
        <is>
          <t>Payroll Processing Fee</t>
        </is>
      </c>
      <c r="I4151" s="33" t="n">
        <v>150.13</v>
      </c>
      <c r="J4151" s="13">
        <f>+J4150+I4151</f>
        <v>410.13</v>
      </c>
      <c r="K4151" s="19">
        <f>+EOMONTH(B4151,0)</f>
        <v>46081</v>
      </c>
      <c r="L4151" s="3" t="inlineStr">
        <is>
          <t>Payroll Processing Fee</t>
        </is>
      </c>
      <c r="M4151" s="3" t="inlineStr">
        <is>
          <t>Payroll Processing Fee</t>
        </is>
      </c>
    </row>
    <row r="4152">
      <c r="B4152" s="39" t="n">
        <v>46067</v>
      </c>
      <c r="C4152" s="3" t="inlineStr">
        <is>
          <t>Payroll Check</t>
        </is>
      </c>
      <c r="D4152" s="3" t="inlineStr">
        <is>
          <t>11112</t>
        </is>
      </c>
      <c r="E4152" s="3" t="inlineStr">
        <is>
          <t>Tessarand Payroll Services</t>
        </is>
      </c>
      <c r="F4152" s="3" t="inlineStr">
        <is>
          <t>Payroll processing fee</t>
        </is>
      </c>
      <c r="G4152" s="3" t="inlineStr">
        <is>
          <t>Checking – Operating</t>
        </is>
      </c>
      <c r="H4152" s="3" t="inlineStr">
        <is>
          <t>Payroll Processing Fee</t>
        </is>
      </c>
      <c r="I4152" s="33" t="n">
        <v>89.87</v>
      </c>
      <c r="J4152" s="13">
        <f>+J4151+I4152</f>
        <v>500</v>
      </c>
      <c r="K4152" s="19">
        <f>+EOMONTH(B4152,0)</f>
        <v>46081</v>
      </c>
      <c r="L4152" s="3" t="inlineStr">
        <is>
          <t>Payroll Processing Fee</t>
        </is>
      </c>
      <c r="M4152" s="3" t="inlineStr">
        <is>
          <t>Payroll Processing Fee</t>
        </is>
      </c>
    </row>
    <row r="4153">
      <c r="B4153" s="39" t="n">
        <v>46094</v>
      </c>
      <c r="C4153" s="3" t="inlineStr">
        <is>
          <t>Payroll Check</t>
        </is>
      </c>
      <c r="D4153" s="3" t="inlineStr">
        <is>
          <t>11113</t>
        </is>
      </c>
      <c r="E4153" s="3" t="inlineStr">
        <is>
          <t>Tessarand Payroll Services</t>
        </is>
      </c>
      <c r="F4153" s="3" t="inlineStr">
        <is>
          <t>Payroll processing fee</t>
        </is>
      </c>
      <c r="G4153" s="3" t="inlineStr">
        <is>
          <t>Checking – Operating</t>
        </is>
      </c>
      <c r="H4153" s="3" t="inlineStr">
        <is>
          <t>Payroll Processing Fee</t>
        </is>
      </c>
      <c r="I4153" s="33" t="n">
        <v>109.41</v>
      </c>
      <c r="J4153" s="13">
        <f>+J4152+I4153</f>
        <v>609.41</v>
      </c>
      <c r="K4153" s="19">
        <f>+EOMONTH(B4153,0)</f>
        <v>46112</v>
      </c>
      <c r="L4153" s="3" t="inlineStr">
        <is>
          <t>Payroll Processing Fee</t>
        </is>
      </c>
      <c r="M4153" s="3" t="inlineStr">
        <is>
          <t>Payroll Processing Fee</t>
        </is>
      </c>
    </row>
    <row r="4154">
      <c r="B4154" s="39" t="n">
        <v>46097</v>
      </c>
      <c r="C4154" s="3" t="inlineStr">
        <is>
          <t>Payroll Check</t>
        </is>
      </c>
      <c r="D4154" s="3" t="inlineStr">
        <is>
          <t>11114</t>
        </is>
      </c>
      <c r="E4154" s="3" t="inlineStr">
        <is>
          <t>Tessarand Payroll Services</t>
        </is>
      </c>
      <c r="F4154" s="3" t="inlineStr">
        <is>
          <t>Payroll processing fee</t>
        </is>
      </c>
      <c r="G4154" s="3" t="inlineStr">
        <is>
          <t>Checking – Operating</t>
        </is>
      </c>
      <c r="H4154" s="3" t="inlineStr">
        <is>
          <t>Payroll Processing Fee</t>
        </is>
      </c>
      <c r="I4154" s="33" t="n">
        <v>130.59</v>
      </c>
      <c r="J4154" s="13">
        <f>+J4153+I4154</f>
        <v>740</v>
      </c>
      <c r="K4154" s="19">
        <f>+EOMONTH(B4154,0)</f>
        <v>46112</v>
      </c>
      <c r="L4154" s="3" t="inlineStr">
        <is>
          <t>Payroll Processing Fee</t>
        </is>
      </c>
      <c r="M4154" s="3" t="inlineStr">
        <is>
          <t>Payroll Processing Fee</t>
        </is>
      </c>
    </row>
    <row r="4155">
      <c r="B4155" s="39" t="n">
        <v>46120</v>
      </c>
      <c r="C4155" s="3" t="inlineStr">
        <is>
          <t>Payroll Check</t>
        </is>
      </c>
      <c r="D4155" s="3" t="inlineStr">
        <is>
          <t>11115</t>
        </is>
      </c>
      <c r="E4155" s="3" t="inlineStr">
        <is>
          <t>Tessarand Payroll Services</t>
        </is>
      </c>
      <c r="F4155" s="3" t="inlineStr">
        <is>
          <t>Payroll processing fee</t>
        </is>
      </c>
      <c r="G4155" s="3" t="inlineStr">
        <is>
          <t>Checking – Operating</t>
        </is>
      </c>
      <c r="H4155" s="3" t="inlineStr">
        <is>
          <t>Payroll Processing Fee</t>
        </is>
      </c>
      <c r="I4155" s="33" t="n">
        <v>125.59</v>
      </c>
      <c r="J4155" s="13">
        <f>+J4154+I4155</f>
        <v>865.59</v>
      </c>
      <c r="K4155" s="19">
        <f>+EOMONTH(B4155,0)</f>
        <v>46142</v>
      </c>
      <c r="L4155" s="3" t="inlineStr">
        <is>
          <t>Payroll Processing Fee</t>
        </is>
      </c>
      <c r="M4155" s="3" t="inlineStr">
        <is>
          <t>Payroll Processing Fee</t>
        </is>
      </c>
    </row>
    <row r="4156">
      <c r="B4156" s="39" t="n">
        <v>46131</v>
      </c>
      <c r="C4156" s="3" t="inlineStr">
        <is>
          <t>Payroll Check</t>
        </is>
      </c>
      <c r="D4156" s="3" t="inlineStr">
        <is>
          <t>11116</t>
        </is>
      </c>
      <c r="E4156" s="3" t="inlineStr">
        <is>
          <t>Tessarand Payroll Services</t>
        </is>
      </c>
      <c r="F4156" s="3" t="inlineStr">
        <is>
          <t>Payroll processing fee</t>
        </is>
      </c>
      <c r="G4156" s="3" t="inlineStr">
        <is>
          <t>Checking – Operating</t>
        </is>
      </c>
      <c r="H4156" s="3" t="inlineStr">
        <is>
          <t>Payroll Processing Fee</t>
        </is>
      </c>
      <c r="I4156" s="33" t="n">
        <v>114.41</v>
      </c>
      <c r="J4156" s="13">
        <f>+J4155+I4156</f>
        <v>980</v>
      </c>
      <c r="K4156" s="19">
        <f>+EOMONTH(B4156,0)</f>
        <v>46142</v>
      </c>
      <c r="L4156" s="3" t="inlineStr">
        <is>
          <t>Payroll Processing Fee</t>
        </is>
      </c>
      <c r="M4156" s="3" t="inlineStr">
        <is>
          <t>Payroll Processing Fee</t>
        </is>
      </c>
    </row>
    <row r="4157">
      <c r="B4157" s="39" t="n">
        <v>46146</v>
      </c>
      <c r="C4157" s="3" t="inlineStr">
        <is>
          <t>Payroll Check</t>
        </is>
      </c>
      <c r="D4157" s="3" t="inlineStr">
        <is>
          <t>11117</t>
        </is>
      </c>
      <c r="E4157" s="3" t="inlineStr">
        <is>
          <t>Tessarand Payroll Services</t>
        </is>
      </c>
      <c r="F4157" s="3" t="inlineStr">
        <is>
          <t>Payroll processing fee</t>
        </is>
      </c>
      <c r="G4157" s="3" t="inlineStr">
        <is>
          <t>Checking – Operating</t>
        </is>
      </c>
      <c r="H4157" s="3" t="inlineStr">
        <is>
          <t>Payroll Processing Fee</t>
        </is>
      </c>
      <c r="I4157" s="33" t="n">
        <v>151.07</v>
      </c>
      <c r="J4157" s="13">
        <f>+J4156+I4157</f>
        <v>1131.07</v>
      </c>
      <c r="K4157" s="19">
        <f>+EOMONTH(B4157,0)</f>
        <v>46173</v>
      </c>
      <c r="L4157" s="3" t="inlineStr">
        <is>
          <t>Payroll Processing Fee</t>
        </is>
      </c>
      <c r="M4157" s="3" t="inlineStr">
        <is>
          <t>Payroll Processing Fee</t>
        </is>
      </c>
    </row>
    <row r="4158">
      <c r="B4158" s="39" t="n">
        <v>46159</v>
      </c>
      <c r="C4158" s="3" t="inlineStr">
        <is>
          <t>Payroll Check</t>
        </is>
      </c>
      <c r="D4158" s="3" t="inlineStr">
        <is>
          <t>11118</t>
        </is>
      </c>
      <c r="E4158" s="3" t="inlineStr">
        <is>
          <t>Tessarand Payroll Services</t>
        </is>
      </c>
      <c r="F4158" s="3" t="inlineStr">
        <is>
          <t>Payroll processing fee</t>
        </is>
      </c>
      <c r="G4158" s="3" t="inlineStr">
        <is>
          <t>Checking – Operating</t>
        </is>
      </c>
      <c r="H4158" s="3" t="inlineStr">
        <is>
          <t>Payroll Processing Fee</t>
        </is>
      </c>
      <c r="I4158" s="33" t="n">
        <v>88.93000000000001</v>
      </c>
      <c r="J4158" s="13">
        <f>+J4157+I4158</f>
        <v>1220</v>
      </c>
      <c r="K4158" s="19">
        <f>+EOMONTH(B4158,0)</f>
        <v>46173</v>
      </c>
      <c r="L4158" s="3" t="inlineStr">
        <is>
          <t>Payroll Processing Fee</t>
        </is>
      </c>
      <c r="M4158" s="3" t="inlineStr">
        <is>
          <t>Payroll Processing Fee</t>
        </is>
      </c>
    </row>
    <row r="4159">
      <c r="B4159" s="39" t="n">
        <v>46179</v>
      </c>
      <c r="C4159" s="3" t="inlineStr">
        <is>
          <t>Payroll Check</t>
        </is>
      </c>
      <c r="D4159" s="3" t="inlineStr">
        <is>
          <t>11119</t>
        </is>
      </c>
      <c r="E4159" s="3" t="inlineStr">
        <is>
          <t>Tessarand Payroll Services</t>
        </is>
      </c>
      <c r="F4159" s="3" t="inlineStr">
        <is>
          <t>Payroll processing fee</t>
        </is>
      </c>
      <c r="G4159" s="3" t="inlineStr">
        <is>
          <t>Checking – Operating</t>
        </is>
      </c>
      <c r="H4159" s="3" t="inlineStr">
        <is>
          <t>Payroll Processing Fee</t>
        </is>
      </c>
      <c r="I4159" s="33" t="n">
        <v>82.8</v>
      </c>
      <c r="J4159" s="13">
        <f>+J4158+I4159</f>
        <v>1302.8</v>
      </c>
      <c r="K4159" s="19">
        <f>+EOMONTH(B4159,0)</f>
        <v>46203</v>
      </c>
      <c r="L4159" s="3" t="inlineStr">
        <is>
          <t>Payroll Processing Fee</t>
        </is>
      </c>
      <c r="M4159" s="3" t="inlineStr">
        <is>
          <t>Payroll Processing Fee</t>
        </is>
      </c>
    </row>
    <row r="4160">
      <c r="B4160" s="39" t="n">
        <v>46195</v>
      </c>
      <c r="C4160" s="3" t="inlineStr">
        <is>
          <t>Payroll Check</t>
        </is>
      </c>
      <c r="D4160" s="3" t="inlineStr">
        <is>
          <t>11120</t>
        </is>
      </c>
      <c r="E4160" s="3" t="inlineStr">
        <is>
          <t>Tessarand Payroll Services</t>
        </is>
      </c>
      <c r="F4160" s="3" t="inlineStr">
        <is>
          <t>Payroll processing fee</t>
        </is>
      </c>
      <c r="G4160" s="3" t="inlineStr">
        <is>
          <t>Checking – Operating</t>
        </is>
      </c>
      <c r="H4160" s="3" t="inlineStr">
        <is>
          <t>Payroll Processing Fee</t>
        </is>
      </c>
      <c r="I4160" s="33" t="n">
        <v>157.2</v>
      </c>
      <c r="J4160" s="13">
        <f>+J4159+I4160</f>
        <v>1460</v>
      </c>
      <c r="K4160" s="19">
        <f>+EOMONTH(B4160,0)</f>
        <v>46203</v>
      </c>
      <c r="L4160" s="3" t="inlineStr">
        <is>
          <t>Payroll Processing Fee</t>
        </is>
      </c>
      <c r="M4160" s="3" t="inlineStr">
        <is>
          <t>Payroll Processing Fee</t>
        </is>
      </c>
    </row>
    <row r="4161">
      <c r="B4161" s="39" t="n">
        <v>46207</v>
      </c>
      <c r="C4161" s="3" t="inlineStr">
        <is>
          <t>Payroll Check</t>
        </is>
      </c>
      <c r="D4161" s="3" t="inlineStr">
        <is>
          <t>11121</t>
        </is>
      </c>
      <c r="E4161" s="3" t="inlineStr">
        <is>
          <t>Tessarand Payroll Services</t>
        </is>
      </c>
      <c r="F4161" s="3" t="inlineStr">
        <is>
          <t>Payroll processing fee</t>
        </is>
      </c>
      <c r="G4161" s="3" t="inlineStr">
        <is>
          <t>Checking – Operating</t>
        </is>
      </c>
      <c r="H4161" s="3" t="inlineStr">
        <is>
          <t>Payroll Processing Fee</t>
        </is>
      </c>
      <c r="I4161" s="33" t="n">
        <v>51.59</v>
      </c>
      <c r="J4161" s="13">
        <f>+J4160+I4161</f>
        <v>1511.59</v>
      </c>
      <c r="K4161" s="19">
        <f>+EOMONTH(B4161,0)</f>
        <v>46234</v>
      </c>
      <c r="L4161" s="3" t="inlineStr">
        <is>
          <t>Payroll Processing Fee</t>
        </is>
      </c>
      <c r="M4161" s="3" t="inlineStr">
        <is>
          <t>Payroll Processing Fee</t>
        </is>
      </c>
    </row>
    <row r="4162">
      <c r="B4162" s="39" t="n">
        <v>46227</v>
      </c>
      <c r="C4162" s="3" t="inlineStr">
        <is>
          <t>Payroll Check</t>
        </is>
      </c>
      <c r="D4162" s="3" t="inlineStr">
        <is>
          <t>11122</t>
        </is>
      </c>
      <c r="E4162" s="3" t="inlineStr">
        <is>
          <t>Tessarand Payroll Services</t>
        </is>
      </c>
      <c r="F4162" s="3" t="inlineStr">
        <is>
          <t>Payroll processing fee</t>
        </is>
      </c>
      <c r="G4162" s="3" t="inlineStr">
        <is>
          <t>Checking – Operating</t>
        </is>
      </c>
      <c r="H4162" s="3" t="inlineStr">
        <is>
          <t>Payroll Processing Fee</t>
        </is>
      </c>
      <c r="I4162" s="33" t="n">
        <v>87.12</v>
      </c>
      <c r="J4162" s="13">
        <f>+J4161+I4162</f>
        <v>1598.71</v>
      </c>
      <c r="K4162" s="19">
        <f>+EOMONTH(B4162,0)</f>
        <v>46234</v>
      </c>
      <c r="L4162" s="3" t="inlineStr">
        <is>
          <t>Payroll Processing Fee</t>
        </is>
      </c>
      <c r="M4162" s="3" t="inlineStr">
        <is>
          <t>Payroll Processing Fee</t>
        </is>
      </c>
    </row>
    <row r="4163">
      <c r="B4163" s="39" t="n">
        <v>46230</v>
      </c>
      <c r="C4163" s="3" t="inlineStr">
        <is>
          <t>Payroll Check</t>
        </is>
      </c>
      <c r="D4163" s="3" t="inlineStr">
        <is>
          <t>11123</t>
        </is>
      </c>
      <c r="E4163" s="3" t="inlineStr">
        <is>
          <t>Tessarand Payroll Services</t>
        </is>
      </c>
      <c r="F4163" s="3" t="inlineStr">
        <is>
          <t>Payroll processing fee</t>
        </is>
      </c>
      <c r="G4163" s="3" t="inlineStr">
        <is>
          <t>Checking – Operating</t>
        </is>
      </c>
      <c r="H4163" s="3" t="inlineStr">
        <is>
          <t>Payroll Processing Fee</t>
        </is>
      </c>
      <c r="I4163" s="33" t="n">
        <v>101.29</v>
      </c>
      <c r="J4163" s="13">
        <f>+J4162+I4163</f>
        <v>1700</v>
      </c>
      <c r="K4163" s="19">
        <f>+EOMONTH(B4163,0)</f>
        <v>46234</v>
      </c>
      <c r="L4163" s="3" t="inlineStr">
        <is>
          <t>Payroll Processing Fee</t>
        </is>
      </c>
      <c r="M4163" s="3" t="inlineStr">
        <is>
          <t>Payroll Processing Fee</t>
        </is>
      </c>
    </row>
    <row r="4164">
      <c r="B4164" s="39" t="n">
        <v>46238</v>
      </c>
      <c r="C4164" s="3" t="inlineStr">
        <is>
          <t>Payroll Check</t>
        </is>
      </c>
      <c r="D4164" s="3" t="inlineStr">
        <is>
          <t>11124</t>
        </is>
      </c>
      <c r="E4164" s="3" t="inlineStr">
        <is>
          <t>Tessarand Payroll Services</t>
        </is>
      </c>
      <c r="F4164" s="3" t="inlineStr">
        <is>
          <t>Payroll processing fee</t>
        </is>
      </c>
      <c r="G4164" s="3" t="inlineStr">
        <is>
          <t>Checking – Operating</t>
        </is>
      </c>
      <c r="H4164" s="3" t="inlineStr">
        <is>
          <t>Payroll Processing Fee</t>
        </is>
      </c>
      <c r="I4164" s="33" t="n">
        <v>83.69</v>
      </c>
      <c r="J4164" s="13">
        <f>+J4163+I4164</f>
        <v>1783.69</v>
      </c>
      <c r="K4164" s="19">
        <f>+EOMONTH(B4164,0)</f>
        <v>46265</v>
      </c>
      <c r="L4164" s="3" t="inlineStr">
        <is>
          <t>Payroll Processing Fee</t>
        </is>
      </c>
      <c r="M4164" s="3" t="inlineStr">
        <is>
          <t>Payroll Processing Fee</t>
        </is>
      </c>
    </row>
    <row r="4165">
      <c r="B4165" s="39" t="n">
        <v>46255</v>
      </c>
      <c r="C4165" s="3" t="inlineStr">
        <is>
          <t>Payroll Check</t>
        </is>
      </c>
      <c r="D4165" s="3" t="inlineStr">
        <is>
          <t>11125</t>
        </is>
      </c>
      <c r="E4165" s="3" t="inlineStr">
        <is>
          <t>Tessarand Payroll Services</t>
        </is>
      </c>
      <c r="F4165" s="3" t="inlineStr">
        <is>
          <t>Payroll processing fee</t>
        </is>
      </c>
      <c r="G4165" s="3" t="inlineStr">
        <is>
          <t>Checking – Operating</t>
        </is>
      </c>
      <c r="H4165" s="3" t="inlineStr">
        <is>
          <t>Payroll Processing Fee</t>
        </is>
      </c>
      <c r="I4165" s="33" t="n">
        <v>156.31</v>
      </c>
      <c r="J4165" s="13">
        <f>+J4164+I4165</f>
        <v>1940</v>
      </c>
      <c r="K4165" s="19">
        <f>+EOMONTH(B4165,0)</f>
        <v>46265</v>
      </c>
      <c r="L4165" s="3" t="inlineStr">
        <is>
          <t>Payroll Processing Fee</t>
        </is>
      </c>
      <c r="M4165" s="3" t="inlineStr">
        <is>
          <t>Payroll Processing Fee</t>
        </is>
      </c>
    </row>
    <row r="4166">
      <c r="B4166" s="39" t="n">
        <v>46269</v>
      </c>
      <c r="C4166" s="3" t="inlineStr">
        <is>
          <t>Payroll Check</t>
        </is>
      </c>
      <c r="D4166" s="3" t="inlineStr">
        <is>
          <t>11126</t>
        </is>
      </c>
      <c r="E4166" s="3" t="inlineStr">
        <is>
          <t>Tessarand Payroll Services</t>
        </is>
      </c>
      <c r="F4166" s="3" t="inlineStr">
        <is>
          <t>Payroll processing fee</t>
        </is>
      </c>
      <c r="G4166" s="3" t="inlineStr">
        <is>
          <t>Checking – Operating</t>
        </is>
      </c>
      <c r="H4166" s="3" t="inlineStr">
        <is>
          <t>Payroll Processing Fee</t>
        </is>
      </c>
      <c r="I4166" s="33" t="n">
        <v>162.07</v>
      </c>
      <c r="J4166" s="13">
        <f>+J4165+I4166</f>
        <v>2102.07</v>
      </c>
      <c r="K4166" s="19">
        <f>+EOMONTH(B4166,0)</f>
        <v>46295</v>
      </c>
      <c r="L4166" s="3" t="inlineStr">
        <is>
          <t>Payroll Processing Fee</t>
        </is>
      </c>
      <c r="M4166" s="3" t="inlineStr">
        <is>
          <t>Payroll Processing Fee</t>
        </is>
      </c>
    </row>
    <row r="4167">
      <c r="B4167" s="39" t="n">
        <v>46280</v>
      </c>
      <c r="C4167" s="3" t="inlineStr">
        <is>
          <t>Payroll Check</t>
        </is>
      </c>
      <c r="D4167" s="3" t="inlineStr">
        <is>
          <t>11127</t>
        </is>
      </c>
      <c r="E4167" s="3" t="inlineStr">
        <is>
          <t>Tessarand Payroll Services</t>
        </is>
      </c>
      <c r="F4167" s="3" t="inlineStr">
        <is>
          <t>Payroll processing fee</t>
        </is>
      </c>
      <c r="G4167" s="3" t="inlineStr">
        <is>
          <t>Checking – Operating</t>
        </is>
      </c>
      <c r="H4167" s="3" t="inlineStr">
        <is>
          <t>Payroll Processing Fee</t>
        </is>
      </c>
      <c r="I4167" s="33" t="n">
        <v>92.78</v>
      </c>
      <c r="J4167" s="13">
        <f>+J4166+I4167</f>
        <v>2194.85</v>
      </c>
      <c r="K4167" s="19">
        <f>+EOMONTH(B4167,0)</f>
        <v>46295</v>
      </c>
      <c r="L4167" s="3" t="inlineStr">
        <is>
          <t>Payroll Processing Fee</t>
        </is>
      </c>
      <c r="M4167" s="3" t="inlineStr">
        <is>
          <t>Payroll Processing Fee</t>
        </is>
      </c>
    </row>
    <row r="4168">
      <c r="B4168" s="39" t="n">
        <v>46296</v>
      </c>
      <c r="C4168" s="3" t="inlineStr">
        <is>
          <t>Payroll Check</t>
        </is>
      </c>
      <c r="D4168" s="3" t="inlineStr">
        <is>
          <t>11128</t>
        </is>
      </c>
      <c r="E4168" s="3" t="inlineStr">
        <is>
          <t>Tessarand Payroll Services</t>
        </is>
      </c>
      <c r="F4168" s="3" t="inlineStr">
        <is>
          <t>Payroll processing fee</t>
        </is>
      </c>
      <c r="G4168" s="3" t="inlineStr">
        <is>
          <t>Checking – Operating</t>
        </is>
      </c>
      <c r="H4168" s="3" t="inlineStr">
        <is>
          <t>Payroll Processing Fee</t>
        </is>
      </c>
      <c r="I4168" s="33" t="n">
        <v>153.48</v>
      </c>
      <c r="J4168" s="13">
        <f>+J4167+I4168</f>
        <v>2348.33</v>
      </c>
      <c r="K4168" s="19">
        <f>+EOMONTH(B4168,0)</f>
        <v>46326</v>
      </c>
      <c r="L4168" s="3" t="inlineStr">
        <is>
          <t>Payroll Processing Fee</t>
        </is>
      </c>
      <c r="M4168" s="3" t="inlineStr">
        <is>
          <t>Payroll Processing Fee</t>
        </is>
      </c>
    </row>
    <row r="4169">
      <c r="B4169" s="39" t="n">
        <v>46310</v>
      </c>
      <c r="C4169" s="3" t="inlineStr">
        <is>
          <t>Payroll Check</t>
        </is>
      </c>
      <c r="D4169" s="3" t="inlineStr">
        <is>
          <t>11129</t>
        </is>
      </c>
      <c r="E4169" s="3" t="inlineStr">
        <is>
          <t>Tessarand Payroll Services</t>
        </is>
      </c>
      <c r="F4169" s="3" t="inlineStr">
        <is>
          <t>Payroll processing fee</t>
        </is>
      </c>
      <c r="G4169" s="3" t="inlineStr">
        <is>
          <t>Checking – Operating</t>
        </is>
      </c>
      <c r="H4169" s="3" t="inlineStr">
        <is>
          <t>Payroll Processing Fee</t>
        </is>
      </c>
      <c r="I4169" s="33" t="n">
        <v>98.22</v>
      </c>
      <c r="J4169" s="13">
        <f>+J4168+I4169</f>
        <v>2446.55</v>
      </c>
      <c r="K4169" s="19">
        <f>+EOMONTH(B4169,0)</f>
        <v>46326</v>
      </c>
      <c r="L4169" s="3" t="inlineStr">
        <is>
          <t>Payroll Processing Fee</t>
        </is>
      </c>
      <c r="M4169" s="3" t="inlineStr">
        <is>
          <t>Payroll Processing Fee</t>
        </is>
      </c>
    </row>
    <row r="4170">
      <c r="B4170" s="39" t="n">
        <v>46332</v>
      </c>
      <c r="C4170" s="3" t="inlineStr">
        <is>
          <t>Payroll Check</t>
        </is>
      </c>
      <c r="D4170" s="3" t="inlineStr">
        <is>
          <t>11130</t>
        </is>
      </c>
      <c r="E4170" s="3" t="inlineStr">
        <is>
          <t>Tessarand Payroll Services</t>
        </is>
      </c>
      <c r="F4170" s="3" t="inlineStr">
        <is>
          <t>Payroll processing fee</t>
        </is>
      </c>
      <c r="G4170" s="3" t="inlineStr">
        <is>
          <t>Checking – Operating</t>
        </is>
      </c>
      <c r="H4170" s="3" t="inlineStr">
        <is>
          <t>Payroll Processing Fee</t>
        </is>
      </c>
      <c r="I4170" s="33" t="n">
        <v>143.71</v>
      </c>
      <c r="J4170" s="13">
        <f>+J4169+I4170</f>
        <v>2590.26</v>
      </c>
      <c r="K4170" s="19">
        <f>+EOMONTH(B4170,0)</f>
        <v>46356</v>
      </c>
      <c r="L4170" s="3" t="inlineStr">
        <is>
          <t>Payroll Processing Fee</t>
        </is>
      </c>
      <c r="M4170" s="3" t="inlineStr">
        <is>
          <t>Payroll Processing Fee</t>
        </is>
      </c>
    </row>
    <row r="4171">
      <c r="B4171" s="39" t="n">
        <v>46344</v>
      </c>
      <c r="C4171" s="3" t="inlineStr">
        <is>
          <t>Payroll Check</t>
        </is>
      </c>
      <c r="D4171" s="3" t="inlineStr">
        <is>
          <t>11131</t>
        </is>
      </c>
      <c r="E4171" s="3" t="inlineStr">
        <is>
          <t>Tessarand Payroll Services</t>
        </is>
      </c>
      <c r="F4171" s="3" t="inlineStr">
        <is>
          <t>Payroll processing fee</t>
        </is>
      </c>
      <c r="G4171" s="3" t="inlineStr">
        <is>
          <t>Checking – Operating</t>
        </is>
      </c>
      <c r="H4171" s="3" t="inlineStr">
        <is>
          <t>Payroll Processing Fee</t>
        </is>
      </c>
      <c r="I4171" s="33" t="n">
        <v>112.59</v>
      </c>
      <c r="J4171" s="13">
        <f>+J4170+I4171</f>
        <v>2702.85</v>
      </c>
      <c r="K4171" s="19">
        <f>+EOMONTH(B4171,0)</f>
        <v>46356</v>
      </c>
      <c r="L4171" s="3" t="inlineStr">
        <is>
          <t>Payroll Processing Fee</t>
        </is>
      </c>
      <c r="M4171" s="3" t="inlineStr">
        <is>
          <t>Payroll Processing Fee</t>
        </is>
      </c>
    </row>
    <row r="4172">
      <c r="A4172" s="2" t="inlineStr">
        <is>
          <t>Total for Payroll Processing Fee</t>
        </is>
      </c>
      <c r="I4172" s="35">
        <f>SUM(I4148:I4171)</f>
        <v>2702.85</v>
      </c>
    </row>
    <row r="4174">
      <c r="A4174" s="2" t="inlineStr">
        <is>
          <t>Benefits</t>
        </is>
      </c>
    </row>
    <row r="4175">
      <c r="B4175" s="39" t="n">
        <v>46028</v>
      </c>
      <c r="C4175" s="3" t="inlineStr">
        <is>
          <t>Bill</t>
        </is>
      </c>
      <c r="D4175" s="3" t="inlineStr"/>
      <c r="E4175" s="3" t="inlineStr">
        <is>
          <t>Tarrowmere Mutual Insurance</t>
        </is>
      </c>
      <c r="F4175" s="3" t="inlineStr">
        <is>
          <t>Benefits – January</t>
        </is>
      </c>
      <c r="G4175" s="3" t="inlineStr">
        <is>
          <t>Accounts Payable</t>
        </is>
      </c>
      <c r="H4175" s="3" t="inlineStr">
        <is>
          <t>Benefits</t>
        </is>
      </c>
      <c r="I4175" s="33" t="n">
        <v>5785.49</v>
      </c>
      <c r="J4175" s="13">
        <f>+I4175</f>
        <v>5785.49</v>
      </c>
      <c r="K4175" s="19">
        <f>+EOMONTH(B4175,0)</f>
        <v>46053</v>
      </c>
      <c r="L4175" s="3" t="inlineStr">
        <is>
          <t>Benefits</t>
        </is>
      </c>
      <c r="M4175" s="3" t="inlineStr">
        <is>
          <t>Employee Benefits</t>
        </is>
      </c>
    </row>
    <row r="4176">
      <c r="B4176" s="39" t="n">
        <v>46044</v>
      </c>
      <c r="C4176" s="3" t="inlineStr">
        <is>
          <t>Bill</t>
        </is>
      </c>
      <c r="D4176" s="3" t="inlineStr"/>
      <c r="E4176" s="3" t="inlineStr">
        <is>
          <t>Tarrowmere Mutual Insurance</t>
        </is>
      </c>
      <c r="F4176" s="3" t="inlineStr">
        <is>
          <t>Benefits – January</t>
        </is>
      </c>
      <c r="G4176" s="3" t="inlineStr">
        <is>
          <t>Accounts Payable</t>
        </is>
      </c>
      <c r="H4176" s="3" t="inlineStr">
        <is>
          <t>Benefits</t>
        </is>
      </c>
      <c r="I4176" s="33" t="n">
        <v>5498.21</v>
      </c>
      <c r="J4176" s="13">
        <f>+J4175+I4176</f>
        <v>11283.7</v>
      </c>
      <c r="K4176" s="19">
        <f>+EOMONTH(B4176,0)</f>
        <v>46053</v>
      </c>
      <c r="L4176" s="3" t="inlineStr">
        <is>
          <t>Benefits</t>
        </is>
      </c>
      <c r="M4176" s="3" t="inlineStr">
        <is>
          <t>Employee Benefits</t>
        </is>
      </c>
    </row>
    <row r="4177">
      <c r="B4177" s="39" t="n">
        <v>46049</v>
      </c>
      <c r="C4177" s="3" t="inlineStr">
        <is>
          <t>Bill</t>
        </is>
      </c>
      <c r="D4177" s="3" t="inlineStr"/>
      <c r="E4177" s="3" t="inlineStr">
        <is>
          <t>Tarrowmere Mutual Insurance</t>
        </is>
      </c>
      <c r="F4177" s="3" t="inlineStr">
        <is>
          <t>Benefits – January</t>
        </is>
      </c>
      <c r="G4177" s="3" t="inlineStr">
        <is>
          <t>Accounts Payable</t>
        </is>
      </c>
      <c r="H4177" s="3" t="inlineStr">
        <is>
          <t>Benefits</t>
        </is>
      </c>
      <c r="I4177" s="33" t="n">
        <v>4149.43</v>
      </c>
      <c r="J4177" s="13">
        <f>+J4176+I4177</f>
        <v>15433.13</v>
      </c>
      <c r="K4177" s="19">
        <f>+EOMONTH(B4177,0)</f>
        <v>46053</v>
      </c>
      <c r="L4177" s="3" t="inlineStr">
        <is>
          <t>Benefits</t>
        </is>
      </c>
      <c r="M4177" s="3" t="inlineStr">
        <is>
          <t>Employee Benefits</t>
        </is>
      </c>
    </row>
    <row r="4178">
      <c r="B4178" s="39" t="n">
        <v>46051</v>
      </c>
      <c r="C4178" s="3" t="inlineStr">
        <is>
          <t>Bill</t>
        </is>
      </c>
      <c r="D4178" s="3" t="inlineStr"/>
      <c r="E4178" s="3" t="inlineStr">
        <is>
          <t>Tarrowmere Mutual Insurance</t>
        </is>
      </c>
      <c r="F4178" s="3" t="inlineStr">
        <is>
          <t>Benefits – January</t>
        </is>
      </c>
      <c r="G4178" s="3" t="inlineStr">
        <is>
          <t>Accounts Payable</t>
        </is>
      </c>
      <c r="H4178" s="3" t="inlineStr">
        <is>
          <t>Benefits</t>
        </is>
      </c>
      <c r="I4178" s="33" t="n">
        <v>6666.87</v>
      </c>
      <c r="J4178" s="13">
        <f>+J4177+I4178</f>
        <v>22100</v>
      </c>
      <c r="K4178" s="19">
        <f>+EOMONTH(B4178,0)</f>
        <v>46053</v>
      </c>
      <c r="L4178" s="3" t="inlineStr">
        <is>
          <t>Benefits</t>
        </is>
      </c>
      <c r="M4178" s="3" t="inlineStr">
        <is>
          <t>Employee Benefits</t>
        </is>
      </c>
    </row>
    <row r="4179">
      <c r="B4179" s="39" t="n">
        <v>46058</v>
      </c>
      <c r="C4179" s="3" t="inlineStr">
        <is>
          <t>Bill</t>
        </is>
      </c>
      <c r="D4179" s="3" t="inlineStr"/>
      <c r="E4179" s="3" t="inlineStr">
        <is>
          <t>Tarrowmere Mutual Insurance</t>
        </is>
      </c>
      <c r="F4179" s="3" t="inlineStr">
        <is>
          <t>Benefits – February</t>
        </is>
      </c>
      <c r="G4179" s="3" t="inlineStr">
        <is>
          <t>Accounts Payable</t>
        </is>
      </c>
      <c r="H4179" s="3" t="inlineStr">
        <is>
          <t>Benefits</t>
        </is>
      </c>
      <c r="I4179" s="33" t="n">
        <v>4992.61</v>
      </c>
      <c r="J4179" s="13">
        <f>+J4178+I4179</f>
        <v>27092.61</v>
      </c>
      <c r="K4179" s="19">
        <f>+EOMONTH(B4179,0)</f>
        <v>46081</v>
      </c>
      <c r="L4179" s="3" t="inlineStr">
        <is>
          <t>Benefits</t>
        </is>
      </c>
      <c r="M4179" s="3" t="inlineStr">
        <is>
          <t>Employee Benefits</t>
        </is>
      </c>
    </row>
    <row r="4180">
      <c r="B4180" s="39" t="n">
        <v>46059</v>
      </c>
      <c r="C4180" s="3" t="inlineStr">
        <is>
          <t>Bill</t>
        </is>
      </c>
      <c r="D4180" s="3" t="inlineStr"/>
      <c r="E4180" s="3" t="inlineStr">
        <is>
          <t>Tarrowmere Mutual Insurance</t>
        </is>
      </c>
      <c r="F4180" s="3" t="inlineStr">
        <is>
          <t>Benefits – February</t>
        </is>
      </c>
      <c r="G4180" s="3" t="inlineStr">
        <is>
          <t>Accounts Payable</t>
        </is>
      </c>
      <c r="H4180" s="3" t="inlineStr">
        <is>
          <t>Benefits</t>
        </is>
      </c>
      <c r="I4180" s="33" t="n">
        <v>5339.27</v>
      </c>
      <c r="J4180" s="13">
        <f>+J4179+I4180</f>
        <v>32431.88</v>
      </c>
      <c r="K4180" s="19">
        <f>+EOMONTH(B4180,0)</f>
        <v>46081</v>
      </c>
      <c r="L4180" s="3" t="inlineStr">
        <is>
          <t>Benefits</t>
        </is>
      </c>
      <c r="M4180" s="3" t="inlineStr">
        <is>
          <t>Employee Benefits</t>
        </is>
      </c>
    </row>
    <row r="4181">
      <c r="B4181" s="39" t="n">
        <v>46075</v>
      </c>
      <c r="C4181" s="3" t="inlineStr">
        <is>
          <t>Bill</t>
        </is>
      </c>
      <c r="D4181" s="3" t="inlineStr"/>
      <c r="E4181" s="3" t="inlineStr">
        <is>
          <t>Tarrowmere Mutual Insurance</t>
        </is>
      </c>
      <c r="F4181" s="3" t="inlineStr">
        <is>
          <t>Benefits – February</t>
        </is>
      </c>
      <c r="G4181" s="3" t="inlineStr">
        <is>
          <t>Accounts Payable</t>
        </is>
      </c>
      <c r="H4181" s="3" t="inlineStr">
        <is>
          <t>Benefits</t>
        </is>
      </c>
      <c r="I4181" s="33" t="n">
        <v>4930.75</v>
      </c>
      <c r="J4181" s="13">
        <f>+J4180+I4181</f>
        <v>37362.63</v>
      </c>
      <c r="K4181" s="19">
        <f>+EOMONTH(B4181,0)</f>
        <v>46081</v>
      </c>
      <c r="L4181" s="3" t="inlineStr">
        <is>
          <t>Benefits</t>
        </is>
      </c>
      <c r="M4181" s="3" t="inlineStr">
        <is>
          <t>Employee Benefits</t>
        </is>
      </c>
    </row>
    <row r="4182">
      <c r="B4182" s="39" t="n">
        <v>46076</v>
      </c>
      <c r="C4182" s="3" t="inlineStr">
        <is>
          <t>Bill</t>
        </is>
      </c>
      <c r="D4182" s="3" t="inlineStr"/>
      <c r="E4182" s="3" t="inlineStr">
        <is>
          <t>Tarrowmere Mutual Insurance</t>
        </is>
      </c>
      <c r="F4182" s="3" t="inlineStr">
        <is>
          <t>Benefits – February</t>
        </is>
      </c>
      <c r="G4182" s="3" t="inlineStr">
        <is>
          <t>Accounts Payable</t>
        </is>
      </c>
      <c r="H4182" s="3" t="inlineStr">
        <is>
          <t>Benefits</t>
        </is>
      </c>
      <c r="I4182" s="33" t="n">
        <v>3246.1</v>
      </c>
      <c r="J4182" s="13">
        <f>+J4181+I4182</f>
        <v>40608.73</v>
      </c>
      <c r="K4182" s="19">
        <f>+EOMONTH(B4182,0)</f>
        <v>46081</v>
      </c>
      <c r="L4182" s="3" t="inlineStr">
        <is>
          <t>Benefits</t>
        </is>
      </c>
      <c r="M4182" s="3" t="inlineStr">
        <is>
          <t>Employee Benefits</t>
        </is>
      </c>
    </row>
    <row r="4183">
      <c r="B4183" s="39" t="n">
        <v>46081</v>
      </c>
      <c r="C4183" s="3" t="inlineStr">
        <is>
          <t>Bill</t>
        </is>
      </c>
      <c r="D4183" s="3" t="inlineStr"/>
      <c r="E4183" s="3" t="inlineStr">
        <is>
          <t>Tarrowmere Mutual Insurance</t>
        </is>
      </c>
      <c r="F4183" s="3" t="inlineStr">
        <is>
          <t>Benefits – February</t>
        </is>
      </c>
      <c r="G4183" s="3" t="inlineStr">
        <is>
          <t>Accounts Payable</t>
        </is>
      </c>
      <c r="H4183" s="3" t="inlineStr">
        <is>
          <t>Benefits</t>
        </is>
      </c>
      <c r="I4183" s="33" t="n">
        <v>3391.27</v>
      </c>
      <c r="J4183" s="13">
        <f>+J4182+I4183</f>
        <v>44000</v>
      </c>
      <c r="K4183" s="19">
        <f>+EOMONTH(B4183,0)</f>
        <v>46081</v>
      </c>
      <c r="L4183" s="3" t="inlineStr">
        <is>
          <t>Benefits</t>
        </is>
      </c>
      <c r="M4183" s="3" t="inlineStr">
        <is>
          <t>Employee Benefits</t>
        </is>
      </c>
    </row>
    <row r="4184">
      <c r="B4184" s="39" t="n">
        <v>46082</v>
      </c>
      <c r="C4184" s="3" t="inlineStr">
        <is>
          <t>Bill</t>
        </is>
      </c>
      <c r="D4184" s="3" t="inlineStr"/>
      <c r="E4184" s="3" t="inlineStr">
        <is>
          <t>Tarrowmere Mutual Insurance</t>
        </is>
      </c>
      <c r="F4184" s="3" t="inlineStr">
        <is>
          <t>Benefits – March</t>
        </is>
      </c>
      <c r="G4184" s="3" t="inlineStr">
        <is>
          <t>Accounts Payable</t>
        </is>
      </c>
      <c r="H4184" s="3" t="inlineStr">
        <is>
          <t>Benefits</t>
        </is>
      </c>
      <c r="I4184" s="33" t="n">
        <v>4481.53</v>
      </c>
      <c r="J4184" s="13">
        <f>+J4183+I4184</f>
        <v>48481.53</v>
      </c>
      <c r="K4184" s="19">
        <f>+EOMONTH(B4184,0)</f>
        <v>46112</v>
      </c>
      <c r="L4184" s="3" t="inlineStr">
        <is>
          <t>Benefits</t>
        </is>
      </c>
      <c r="M4184" s="3" t="inlineStr">
        <is>
          <t>Employee Benefits</t>
        </is>
      </c>
    </row>
    <row r="4185">
      <c r="B4185" s="39" t="n">
        <v>46092</v>
      </c>
      <c r="C4185" s="3" t="inlineStr">
        <is>
          <t>Bill</t>
        </is>
      </c>
      <c r="D4185" s="3" t="inlineStr"/>
      <c r="E4185" s="3" t="inlineStr">
        <is>
          <t>Tarrowmere Mutual Insurance</t>
        </is>
      </c>
      <c r="F4185" s="3" t="inlineStr">
        <is>
          <t>Benefits – March</t>
        </is>
      </c>
      <c r="G4185" s="3" t="inlineStr">
        <is>
          <t>Accounts Payable</t>
        </is>
      </c>
      <c r="H4185" s="3" t="inlineStr">
        <is>
          <t>Benefits</t>
        </is>
      </c>
      <c r="I4185" s="33" t="n">
        <v>5651.73</v>
      </c>
      <c r="J4185" s="13">
        <f>+J4184+I4185</f>
        <v>54133.26</v>
      </c>
      <c r="K4185" s="19">
        <f>+EOMONTH(B4185,0)</f>
        <v>46112</v>
      </c>
      <c r="L4185" s="3" t="inlineStr">
        <is>
          <t>Benefits</t>
        </is>
      </c>
      <c r="M4185" s="3" t="inlineStr">
        <is>
          <t>Employee Benefits</t>
        </is>
      </c>
    </row>
    <row r="4186">
      <c r="B4186" s="39" t="n">
        <v>46095</v>
      </c>
      <c r="C4186" s="3" t="inlineStr">
        <is>
          <t>Bill</t>
        </is>
      </c>
      <c r="D4186" s="3" t="inlineStr"/>
      <c r="E4186" s="3" t="inlineStr">
        <is>
          <t>Tarrowmere Mutual Insurance</t>
        </is>
      </c>
      <c r="F4186" s="3" t="inlineStr">
        <is>
          <t>Benefits – March</t>
        </is>
      </c>
      <c r="G4186" s="3" t="inlineStr">
        <is>
          <t>Accounts Payable</t>
        </is>
      </c>
      <c r="H4186" s="3" t="inlineStr">
        <is>
          <t>Benefits</t>
        </is>
      </c>
      <c r="I4186" s="33" t="n">
        <v>5125.61</v>
      </c>
      <c r="J4186" s="13">
        <f>+J4185+I4186</f>
        <v>59258.87</v>
      </c>
      <c r="K4186" s="19">
        <f>+EOMONTH(B4186,0)</f>
        <v>46112</v>
      </c>
      <c r="L4186" s="3" t="inlineStr">
        <is>
          <t>Benefits</t>
        </is>
      </c>
      <c r="M4186" s="3" t="inlineStr">
        <is>
          <t>Employee Benefits</t>
        </is>
      </c>
    </row>
    <row r="4187">
      <c r="B4187" s="39" t="n">
        <v>46098</v>
      </c>
      <c r="C4187" s="3" t="inlineStr">
        <is>
          <t>Bill</t>
        </is>
      </c>
      <c r="D4187" s="3" t="inlineStr"/>
      <c r="E4187" s="3" t="inlineStr">
        <is>
          <t>Tarrowmere Mutual Insurance</t>
        </is>
      </c>
      <c r="F4187" s="3" t="inlineStr">
        <is>
          <t>Benefits – March</t>
        </is>
      </c>
      <c r="G4187" s="3" t="inlineStr">
        <is>
          <t>Accounts Payable</t>
        </is>
      </c>
      <c r="H4187" s="3" t="inlineStr">
        <is>
          <t>Benefits</t>
        </is>
      </c>
      <c r="I4187" s="33" t="n">
        <v>3385.35</v>
      </c>
      <c r="J4187" s="13">
        <f>+J4186+I4187</f>
        <v>62644.22</v>
      </c>
      <c r="K4187" s="19">
        <f>+EOMONTH(B4187,0)</f>
        <v>46112</v>
      </c>
      <c r="L4187" s="3" t="inlineStr">
        <is>
          <t>Benefits</t>
        </is>
      </c>
      <c r="M4187" s="3" t="inlineStr">
        <is>
          <t>Employee Benefits</t>
        </is>
      </c>
    </row>
    <row r="4188">
      <c r="B4188" s="39" t="n">
        <v>46103</v>
      </c>
      <c r="C4188" s="3" t="inlineStr">
        <is>
          <t>Bill</t>
        </is>
      </c>
      <c r="D4188" s="3" t="inlineStr"/>
      <c r="E4188" s="3" t="inlineStr">
        <is>
          <t>Tarrowmere Mutual Insurance</t>
        </is>
      </c>
      <c r="F4188" s="3" t="inlineStr">
        <is>
          <t>Benefits – March</t>
        </is>
      </c>
      <c r="G4188" s="3" t="inlineStr">
        <is>
          <t>Accounts Payable</t>
        </is>
      </c>
      <c r="H4188" s="3" t="inlineStr">
        <is>
          <t>Benefits</t>
        </is>
      </c>
      <c r="I4188" s="33" t="n">
        <v>3855.78</v>
      </c>
      <c r="J4188" s="13">
        <f>+J4187+I4188</f>
        <v>66500</v>
      </c>
      <c r="K4188" s="19">
        <f>+EOMONTH(B4188,0)</f>
        <v>46112</v>
      </c>
      <c r="L4188" s="3" t="inlineStr">
        <is>
          <t>Benefits</t>
        </is>
      </c>
      <c r="M4188" s="3" t="inlineStr">
        <is>
          <t>Employee Benefits</t>
        </is>
      </c>
    </row>
    <row r="4189">
      <c r="B4189" s="39" t="n">
        <v>46114</v>
      </c>
      <c r="C4189" s="3" t="inlineStr">
        <is>
          <t>Bill</t>
        </is>
      </c>
      <c r="D4189" s="3" t="inlineStr"/>
      <c r="E4189" s="3" t="inlineStr">
        <is>
          <t>Tarrowmere Mutual Insurance</t>
        </is>
      </c>
      <c r="F4189" s="3" t="inlineStr">
        <is>
          <t>Benefits – April</t>
        </is>
      </c>
      <c r="G4189" s="3" t="inlineStr">
        <is>
          <t>Accounts Payable</t>
        </is>
      </c>
      <c r="H4189" s="3" t="inlineStr">
        <is>
          <t>Benefits</t>
        </is>
      </c>
      <c r="I4189" s="33" t="n">
        <v>5103.61</v>
      </c>
      <c r="J4189" s="13">
        <f>+J4188+I4189</f>
        <v>71603.61</v>
      </c>
      <c r="K4189" s="19">
        <f>+EOMONTH(B4189,0)</f>
        <v>46142</v>
      </c>
      <c r="L4189" s="3" t="inlineStr">
        <is>
          <t>Benefits</t>
        </is>
      </c>
      <c r="M4189" s="3" t="inlineStr">
        <is>
          <t>Employee Benefits</t>
        </is>
      </c>
    </row>
    <row r="4190">
      <c r="B4190" s="39" t="n">
        <v>46117</v>
      </c>
      <c r="C4190" s="3" t="inlineStr">
        <is>
          <t>Bill</t>
        </is>
      </c>
      <c r="D4190" s="3" t="inlineStr"/>
      <c r="E4190" s="3" t="inlineStr">
        <is>
          <t>Tarrowmere Mutual Insurance</t>
        </is>
      </c>
      <c r="F4190" s="3" t="inlineStr">
        <is>
          <t>Benefits – April</t>
        </is>
      </c>
      <c r="G4190" s="3" t="inlineStr">
        <is>
          <t>Accounts Payable</t>
        </is>
      </c>
      <c r="H4190" s="3" t="inlineStr">
        <is>
          <t>Benefits</t>
        </is>
      </c>
      <c r="I4190" s="33" t="n">
        <v>6559.15</v>
      </c>
      <c r="J4190" s="13">
        <f>+J4189+I4190</f>
        <v>78162.76</v>
      </c>
      <c r="K4190" s="19">
        <f>+EOMONTH(B4190,0)</f>
        <v>46142</v>
      </c>
      <c r="L4190" s="3" t="inlineStr">
        <is>
          <t>Benefits</t>
        </is>
      </c>
      <c r="M4190" s="3" t="inlineStr">
        <is>
          <t>Employee Benefits</t>
        </is>
      </c>
    </row>
    <row r="4191">
      <c r="B4191" s="39" t="n">
        <v>46120</v>
      </c>
      <c r="C4191" s="3" t="inlineStr">
        <is>
          <t>Bill</t>
        </is>
      </c>
      <c r="D4191" s="3" t="inlineStr"/>
      <c r="E4191" s="3" t="inlineStr">
        <is>
          <t>Tarrowmere Mutual Insurance</t>
        </is>
      </c>
      <c r="F4191" s="3" t="inlineStr">
        <is>
          <t>Benefits – April</t>
        </is>
      </c>
      <c r="G4191" s="3" t="inlineStr">
        <is>
          <t>Accounts Payable</t>
        </is>
      </c>
      <c r="H4191" s="3" t="inlineStr">
        <is>
          <t>Benefits</t>
        </is>
      </c>
      <c r="I4191" s="33" t="n">
        <v>6169.19</v>
      </c>
      <c r="J4191" s="13">
        <f>+J4190+I4191</f>
        <v>84331.95</v>
      </c>
      <c r="K4191" s="19">
        <f>+EOMONTH(B4191,0)</f>
        <v>46142</v>
      </c>
      <c r="L4191" s="3" t="inlineStr">
        <is>
          <t>Benefits</t>
        </is>
      </c>
      <c r="M4191" s="3" t="inlineStr">
        <is>
          <t>Employee Benefits</t>
        </is>
      </c>
    </row>
    <row r="4192">
      <c r="B4192" s="39" t="n">
        <v>46129</v>
      </c>
      <c r="C4192" s="3" t="inlineStr">
        <is>
          <t>Bill</t>
        </is>
      </c>
      <c r="D4192" s="3" t="inlineStr"/>
      <c r="E4192" s="3" t="inlineStr">
        <is>
          <t>Tarrowmere Mutual Insurance</t>
        </is>
      </c>
      <c r="F4192" s="3" t="inlineStr">
        <is>
          <t>Benefits – April</t>
        </is>
      </c>
      <c r="G4192" s="3" t="inlineStr">
        <is>
          <t>Accounts Payable</t>
        </is>
      </c>
      <c r="H4192" s="3" t="inlineStr">
        <is>
          <t>Benefits</t>
        </is>
      </c>
      <c r="I4192" s="33" t="n">
        <v>4868.05</v>
      </c>
      <c r="J4192" s="13">
        <f>+J4191+I4192</f>
        <v>89200</v>
      </c>
      <c r="K4192" s="19">
        <f>+EOMONTH(B4192,0)</f>
        <v>46142</v>
      </c>
      <c r="L4192" s="3" t="inlineStr">
        <is>
          <t>Benefits</t>
        </is>
      </c>
      <c r="M4192" s="3" t="inlineStr">
        <is>
          <t>Employee Benefits</t>
        </is>
      </c>
    </row>
    <row r="4193">
      <c r="B4193" s="39" t="n">
        <v>46154</v>
      </c>
      <c r="C4193" s="3" t="inlineStr">
        <is>
          <t>Bill</t>
        </is>
      </c>
      <c r="D4193" s="3" t="inlineStr"/>
      <c r="E4193" s="3" t="inlineStr">
        <is>
          <t>Tarrowmere Mutual Insurance</t>
        </is>
      </c>
      <c r="F4193" s="3" t="inlineStr">
        <is>
          <t>Benefits – May</t>
        </is>
      </c>
      <c r="G4193" s="3" t="inlineStr">
        <is>
          <t>Accounts Payable</t>
        </is>
      </c>
      <c r="H4193" s="3" t="inlineStr">
        <is>
          <t>Benefits</t>
        </is>
      </c>
      <c r="I4193" s="33" t="n">
        <v>7033.45</v>
      </c>
      <c r="J4193" s="13">
        <f>+J4192+I4193</f>
        <v>96233.45</v>
      </c>
      <c r="K4193" s="19">
        <f>+EOMONTH(B4193,0)</f>
        <v>46173</v>
      </c>
      <c r="L4193" s="3" t="inlineStr">
        <is>
          <t>Benefits</t>
        </is>
      </c>
      <c r="M4193" s="3" t="inlineStr">
        <is>
          <t>Employee Benefits</t>
        </is>
      </c>
    </row>
    <row r="4194">
      <c r="B4194" s="39" t="n">
        <v>46159</v>
      </c>
      <c r="C4194" s="3" t="inlineStr">
        <is>
          <t>Bill</t>
        </is>
      </c>
      <c r="D4194" s="3" t="inlineStr"/>
      <c r="E4194" s="3" t="inlineStr">
        <is>
          <t>Tarrowmere Mutual Insurance</t>
        </is>
      </c>
      <c r="F4194" s="3" t="inlineStr">
        <is>
          <t>Benefits – May</t>
        </is>
      </c>
      <c r="G4194" s="3" t="inlineStr">
        <is>
          <t>Accounts Payable</t>
        </is>
      </c>
      <c r="H4194" s="3" t="inlineStr">
        <is>
          <t>Benefits</t>
        </is>
      </c>
      <c r="I4194" s="33" t="n">
        <v>8052.91</v>
      </c>
      <c r="J4194" s="13">
        <f>+J4193+I4194</f>
        <v>104286.36</v>
      </c>
      <c r="K4194" s="19">
        <f>+EOMONTH(B4194,0)</f>
        <v>46173</v>
      </c>
      <c r="L4194" s="3" t="inlineStr">
        <is>
          <t>Benefits</t>
        </is>
      </c>
      <c r="M4194" s="3" t="inlineStr">
        <is>
          <t>Employee Benefits</t>
        </is>
      </c>
    </row>
    <row r="4195">
      <c r="B4195" s="39" t="n">
        <v>46170</v>
      </c>
      <c r="C4195" s="3" t="inlineStr">
        <is>
          <t>Bill</t>
        </is>
      </c>
      <c r="D4195" s="3" t="inlineStr"/>
      <c r="E4195" s="3" t="inlineStr">
        <is>
          <t>Tarrowmere Mutual Insurance</t>
        </is>
      </c>
      <c r="F4195" s="3" t="inlineStr">
        <is>
          <t>Benefits – May</t>
        </is>
      </c>
      <c r="G4195" s="3" t="inlineStr">
        <is>
          <t>Accounts Payable</t>
        </is>
      </c>
      <c r="H4195" s="3" t="inlineStr">
        <is>
          <t>Benefits</t>
        </is>
      </c>
      <c r="I4195" s="33" t="n">
        <v>7713.64</v>
      </c>
      <c r="J4195" s="13">
        <f>+J4194+I4195</f>
        <v>112000</v>
      </c>
      <c r="K4195" s="19">
        <f>+EOMONTH(B4195,0)</f>
        <v>46173</v>
      </c>
      <c r="L4195" s="3" t="inlineStr">
        <is>
          <t>Benefits</t>
        </is>
      </c>
      <c r="M4195" s="3" t="inlineStr">
        <is>
          <t>Employee Benefits</t>
        </is>
      </c>
    </row>
    <row r="4196">
      <c r="B4196" s="39" t="n">
        <v>46177</v>
      </c>
      <c r="C4196" s="3" t="inlineStr">
        <is>
          <t>Bill</t>
        </is>
      </c>
      <c r="D4196" s="3" t="inlineStr"/>
      <c r="E4196" s="3" t="inlineStr">
        <is>
          <t>Tarrowmere Mutual Insurance</t>
        </is>
      </c>
      <c r="F4196" s="3" t="inlineStr">
        <is>
          <t>Benefits – June</t>
        </is>
      </c>
      <c r="G4196" s="3" t="inlineStr">
        <is>
          <t>Accounts Payable</t>
        </is>
      </c>
      <c r="H4196" s="3" t="inlineStr">
        <is>
          <t>Benefits</t>
        </is>
      </c>
      <c r="I4196" s="33" t="n">
        <v>8368.940000000001</v>
      </c>
      <c r="J4196" s="13">
        <f>+J4195+I4196</f>
        <v>120368.94</v>
      </c>
      <c r="K4196" s="19">
        <f>+EOMONTH(B4196,0)</f>
        <v>46203</v>
      </c>
      <c r="L4196" s="3" t="inlineStr">
        <is>
          <t>Benefits</t>
        </is>
      </c>
      <c r="M4196" s="3" t="inlineStr">
        <is>
          <t>Employee Benefits</t>
        </is>
      </c>
    </row>
    <row r="4197">
      <c r="B4197" s="39" t="n">
        <v>46178</v>
      </c>
      <c r="C4197" s="3" t="inlineStr">
        <is>
          <t>Bill</t>
        </is>
      </c>
      <c r="D4197" s="3" t="inlineStr"/>
      <c r="E4197" s="3" t="inlineStr">
        <is>
          <t>Tarrowmere Mutual Insurance</t>
        </is>
      </c>
      <c r="F4197" s="3" t="inlineStr">
        <is>
          <t>Benefits – June</t>
        </is>
      </c>
      <c r="G4197" s="3" t="inlineStr">
        <is>
          <t>Accounts Payable</t>
        </is>
      </c>
      <c r="H4197" s="3" t="inlineStr">
        <is>
          <t>Benefits</t>
        </is>
      </c>
      <c r="I4197" s="33" t="n">
        <v>5174.01</v>
      </c>
      <c r="J4197" s="13">
        <f>+J4196+I4197</f>
        <v>125542.95</v>
      </c>
      <c r="K4197" s="19">
        <f>+EOMONTH(B4197,0)</f>
        <v>46203</v>
      </c>
      <c r="L4197" s="3" t="inlineStr">
        <is>
          <t>Benefits</t>
        </is>
      </c>
      <c r="M4197" s="3" t="inlineStr">
        <is>
          <t>Employee Benefits</t>
        </is>
      </c>
    </row>
    <row r="4198">
      <c r="B4198" s="39" t="n">
        <v>46199</v>
      </c>
      <c r="C4198" s="3" t="inlineStr">
        <is>
          <t>Bill</t>
        </is>
      </c>
      <c r="D4198" s="3" t="inlineStr"/>
      <c r="E4198" s="3" t="inlineStr">
        <is>
          <t>Tarrowmere Mutual Insurance</t>
        </is>
      </c>
      <c r="F4198" s="3" t="inlineStr">
        <is>
          <t>Benefits – June</t>
        </is>
      </c>
      <c r="G4198" s="3" t="inlineStr">
        <is>
          <t>Accounts Payable</t>
        </is>
      </c>
      <c r="H4198" s="3" t="inlineStr">
        <is>
          <t>Benefits</t>
        </is>
      </c>
      <c r="I4198" s="33" t="n">
        <v>8857.049999999999</v>
      </c>
      <c r="J4198" s="13">
        <f>+J4197+I4198</f>
        <v>134400</v>
      </c>
      <c r="K4198" s="19">
        <f>+EOMONTH(B4198,0)</f>
        <v>46203</v>
      </c>
      <c r="L4198" s="3" t="inlineStr">
        <is>
          <t>Benefits</t>
        </is>
      </c>
      <c r="M4198" s="3" t="inlineStr">
        <is>
          <t>Employee Benefits</t>
        </is>
      </c>
    </row>
    <row r="4199">
      <c r="B4199" s="39" t="n">
        <v>46207</v>
      </c>
      <c r="C4199" s="3" t="inlineStr">
        <is>
          <t>Bill</t>
        </is>
      </c>
      <c r="D4199" s="3" t="inlineStr"/>
      <c r="E4199" s="3" t="inlineStr">
        <is>
          <t>Tarrowmere Mutual Insurance</t>
        </is>
      </c>
      <c r="F4199" s="3" t="inlineStr">
        <is>
          <t>Benefits – July</t>
        </is>
      </c>
      <c r="G4199" s="3" t="inlineStr">
        <is>
          <t>Accounts Payable</t>
        </is>
      </c>
      <c r="H4199" s="3" t="inlineStr">
        <is>
          <t>Benefits</t>
        </is>
      </c>
      <c r="I4199" s="33" t="n">
        <v>3204.16</v>
      </c>
      <c r="J4199" s="13">
        <f>+J4198+I4199</f>
        <v>137604.16</v>
      </c>
      <c r="K4199" s="19">
        <f>+EOMONTH(B4199,0)</f>
        <v>46234</v>
      </c>
      <c r="L4199" s="3" t="inlineStr">
        <is>
          <t>Benefits</t>
        </is>
      </c>
      <c r="M4199" s="3" t="inlineStr">
        <is>
          <t>Employee Benefits</t>
        </is>
      </c>
    </row>
    <row r="4200">
      <c r="B4200" s="39" t="n">
        <v>46208</v>
      </c>
      <c r="C4200" s="3" t="inlineStr">
        <is>
          <t>Bill</t>
        </is>
      </c>
      <c r="D4200" s="3" t="inlineStr"/>
      <c r="E4200" s="3" t="inlineStr">
        <is>
          <t>Tarrowmere Mutual Insurance</t>
        </is>
      </c>
      <c r="F4200" s="3" t="inlineStr">
        <is>
          <t>Benefits – July</t>
        </is>
      </c>
      <c r="G4200" s="3" t="inlineStr">
        <is>
          <t>Accounts Payable</t>
        </is>
      </c>
      <c r="H4200" s="3" t="inlineStr">
        <is>
          <t>Benefits</t>
        </is>
      </c>
      <c r="I4200" s="33" t="n">
        <v>4526.4</v>
      </c>
      <c r="J4200" s="13">
        <f>+J4199+I4200</f>
        <v>142130.56</v>
      </c>
      <c r="K4200" s="19">
        <f>+EOMONTH(B4200,0)</f>
        <v>46234</v>
      </c>
      <c r="L4200" s="3" t="inlineStr">
        <is>
          <t>Benefits</t>
        </is>
      </c>
      <c r="M4200" s="3" t="inlineStr">
        <is>
          <t>Employee Benefits</t>
        </is>
      </c>
    </row>
    <row r="4201">
      <c r="B4201" s="39" t="n">
        <v>46211</v>
      </c>
      <c r="C4201" s="3" t="inlineStr">
        <is>
          <t>Bill</t>
        </is>
      </c>
      <c r="D4201" s="3" t="inlineStr"/>
      <c r="E4201" s="3" t="inlineStr">
        <is>
          <t>Tarrowmere Mutual Insurance</t>
        </is>
      </c>
      <c r="F4201" s="3" t="inlineStr">
        <is>
          <t>Benefits – July</t>
        </is>
      </c>
      <c r="G4201" s="3" t="inlineStr">
        <is>
          <t>Accounts Payable</t>
        </is>
      </c>
      <c r="H4201" s="3" t="inlineStr">
        <is>
          <t>Benefits</t>
        </is>
      </c>
      <c r="I4201" s="33" t="n">
        <v>4430.76</v>
      </c>
      <c r="J4201" s="13">
        <f>+J4200+I4201</f>
        <v>146561.32</v>
      </c>
      <c r="K4201" s="19">
        <f>+EOMONTH(B4201,0)</f>
        <v>46234</v>
      </c>
      <c r="L4201" s="3" t="inlineStr">
        <is>
          <t>Benefits</t>
        </is>
      </c>
      <c r="M4201" s="3" t="inlineStr">
        <is>
          <t>Employee Benefits</t>
        </is>
      </c>
    </row>
    <row r="4202">
      <c r="B4202" s="39" t="n">
        <v>46222</v>
      </c>
      <c r="C4202" s="3" t="inlineStr">
        <is>
          <t>Bill</t>
        </is>
      </c>
      <c r="D4202" s="3" t="inlineStr"/>
      <c r="E4202" s="3" t="inlineStr">
        <is>
          <t>Tarrowmere Mutual Insurance</t>
        </is>
      </c>
      <c r="F4202" s="3" t="inlineStr">
        <is>
          <t>Benefits – July</t>
        </is>
      </c>
      <c r="G4202" s="3" t="inlineStr">
        <is>
          <t>Accounts Payable</t>
        </is>
      </c>
      <c r="H4202" s="3" t="inlineStr">
        <is>
          <t>Benefits</t>
        </is>
      </c>
      <c r="I4202" s="33" t="n">
        <v>5283.14</v>
      </c>
      <c r="J4202" s="13">
        <f>+J4201+I4202</f>
        <v>151844.46</v>
      </c>
      <c r="K4202" s="19">
        <f>+EOMONTH(B4202,0)</f>
        <v>46234</v>
      </c>
      <c r="L4202" s="3" t="inlineStr">
        <is>
          <t>Benefits</t>
        </is>
      </c>
      <c r="M4202" s="3" t="inlineStr">
        <is>
          <t>Employee Benefits</t>
        </is>
      </c>
    </row>
    <row r="4203">
      <c r="B4203" s="39" t="n">
        <v>46224</v>
      </c>
      <c r="C4203" s="3" t="inlineStr">
        <is>
          <t>Bill</t>
        </is>
      </c>
      <c r="D4203" s="3" t="inlineStr"/>
      <c r="E4203" s="3" t="inlineStr">
        <is>
          <t>Tarrowmere Mutual Insurance</t>
        </is>
      </c>
      <c r="F4203" s="3" t="inlineStr">
        <is>
          <t>Benefits – July</t>
        </is>
      </c>
      <c r="G4203" s="3" t="inlineStr">
        <is>
          <t>Accounts Payable</t>
        </is>
      </c>
      <c r="H4203" s="3" t="inlineStr">
        <is>
          <t>Benefits</t>
        </is>
      </c>
      <c r="I4203" s="33" t="n">
        <v>4855.54</v>
      </c>
      <c r="J4203" s="13">
        <f>+J4202+I4203</f>
        <v>156700</v>
      </c>
      <c r="K4203" s="19">
        <f>+EOMONTH(B4203,0)</f>
        <v>46234</v>
      </c>
      <c r="L4203" s="3" t="inlineStr">
        <is>
          <t>Benefits</t>
        </is>
      </c>
      <c r="M4203" s="3" t="inlineStr">
        <is>
          <t>Employee Benefits</t>
        </is>
      </c>
    </row>
    <row r="4204">
      <c r="B4204" s="39" t="n">
        <v>46235</v>
      </c>
      <c r="C4204" s="3" t="inlineStr">
        <is>
          <t>Bill</t>
        </is>
      </c>
      <c r="D4204" s="3" t="inlineStr"/>
      <c r="E4204" s="3" t="inlineStr">
        <is>
          <t>Tarrowmere Mutual Insurance</t>
        </is>
      </c>
      <c r="F4204" s="3" t="inlineStr">
        <is>
          <t>Benefits – August</t>
        </is>
      </c>
      <c r="G4204" s="3" t="inlineStr">
        <is>
          <t>Accounts Payable</t>
        </is>
      </c>
      <c r="H4204" s="3" t="inlineStr">
        <is>
          <t>Benefits</t>
        </is>
      </c>
      <c r="I4204" s="33" t="n">
        <v>5702.82</v>
      </c>
      <c r="J4204" s="13">
        <f>+J4203+I4204</f>
        <v>162402.82</v>
      </c>
      <c r="K4204" s="19">
        <f>+EOMONTH(B4204,0)</f>
        <v>46265</v>
      </c>
      <c r="L4204" s="3" t="inlineStr">
        <is>
          <t>Benefits</t>
        </is>
      </c>
      <c r="M4204" s="3" t="inlineStr">
        <is>
          <t>Employee Benefits</t>
        </is>
      </c>
    </row>
    <row r="4205">
      <c r="B4205" s="39" t="n">
        <v>46235</v>
      </c>
      <c r="C4205" s="3" t="inlineStr">
        <is>
          <t>Bill</t>
        </is>
      </c>
      <c r="D4205" s="3" t="inlineStr"/>
      <c r="E4205" s="3" t="inlineStr">
        <is>
          <t>Tarrowmere Mutual Insurance</t>
        </is>
      </c>
      <c r="F4205" s="3" t="inlineStr">
        <is>
          <t>Benefits – August</t>
        </is>
      </c>
      <c r="G4205" s="3" t="inlineStr">
        <is>
          <t>Accounts Payable</t>
        </is>
      </c>
      <c r="H4205" s="3" t="inlineStr">
        <is>
          <t>Benefits</t>
        </is>
      </c>
      <c r="I4205" s="33" t="n">
        <v>3174.9</v>
      </c>
      <c r="J4205" s="13">
        <f>+J4204+I4205</f>
        <v>165577.72</v>
      </c>
      <c r="K4205" s="19">
        <f>+EOMONTH(B4205,0)</f>
        <v>46265</v>
      </c>
      <c r="L4205" s="3" t="inlineStr">
        <is>
          <t>Benefits</t>
        </is>
      </c>
      <c r="M4205" s="3" t="inlineStr">
        <is>
          <t>Employee Benefits</t>
        </is>
      </c>
    </row>
    <row r="4206">
      <c r="B4206" s="39" t="n">
        <v>46251</v>
      </c>
      <c r="C4206" s="3" t="inlineStr">
        <is>
          <t>Bill</t>
        </is>
      </c>
      <c r="D4206" s="3" t="inlineStr"/>
      <c r="E4206" s="3" t="inlineStr">
        <is>
          <t>Tarrowmere Mutual Insurance</t>
        </is>
      </c>
      <c r="F4206" s="3" t="inlineStr">
        <is>
          <t>Benefits – August</t>
        </is>
      </c>
      <c r="G4206" s="3" t="inlineStr">
        <is>
          <t>Accounts Payable</t>
        </is>
      </c>
      <c r="H4206" s="3" t="inlineStr">
        <is>
          <t>Benefits</t>
        </is>
      </c>
      <c r="I4206" s="33" t="n">
        <v>4622.81</v>
      </c>
      <c r="J4206" s="13">
        <f>+J4205+I4206</f>
        <v>170200.53</v>
      </c>
      <c r="K4206" s="19">
        <f>+EOMONTH(B4206,0)</f>
        <v>46265</v>
      </c>
      <c r="L4206" s="3" t="inlineStr">
        <is>
          <t>Benefits</t>
        </is>
      </c>
      <c r="M4206" s="3" t="inlineStr">
        <is>
          <t>Employee Benefits</t>
        </is>
      </c>
    </row>
    <row r="4207">
      <c r="B4207" s="39" t="n">
        <v>46262</v>
      </c>
      <c r="C4207" s="3" t="inlineStr">
        <is>
          <t>Bill</t>
        </is>
      </c>
      <c r="D4207" s="3" t="inlineStr"/>
      <c r="E4207" s="3" t="inlineStr">
        <is>
          <t>Tarrowmere Mutual Insurance</t>
        </is>
      </c>
      <c r="F4207" s="3" t="inlineStr">
        <is>
          <t>Benefits – August</t>
        </is>
      </c>
      <c r="G4207" s="3" t="inlineStr">
        <is>
          <t>Accounts Payable</t>
        </is>
      </c>
      <c r="H4207" s="3" t="inlineStr">
        <is>
          <t>Benefits</t>
        </is>
      </c>
      <c r="I4207" s="33" t="n">
        <v>4443.54</v>
      </c>
      <c r="J4207" s="13">
        <f>+J4206+I4207</f>
        <v>174644.07</v>
      </c>
      <c r="K4207" s="19">
        <f>+EOMONTH(B4207,0)</f>
        <v>46265</v>
      </c>
      <c r="L4207" s="3" t="inlineStr">
        <is>
          <t>Benefits</t>
        </is>
      </c>
      <c r="M4207" s="3" t="inlineStr">
        <is>
          <t>Employee Benefits</t>
        </is>
      </c>
    </row>
    <row r="4208">
      <c r="B4208" s="39" t="n">
        <v>46264</v>
      </c>
      <c r="C4208" s="3" t="inlineStr">
        <is>
          <t>Bill</t>
        </is>
      </c>
      <c r="D4208" s="3" t="inlineStr"/>
      <c r="E4208" s="3" t="inlineStr">
        <is>
          <t>Tarrowmere Mutual Insurance</t>
        </is>
      </c>
      <c r="F4208" s="3" t="inlineStr">
        <is>
          <t>Benefits – August</t>
        </is>
      </c>
      <c r="G4208" s="3" t="inlineStr">
        <is>
          <t>Accounts Payable</t>
        </is>
      </c>
      <c r="H4208" s="3" t="inlineStr">
        <is>
          <t>Benefits</t>
        </is>
      </c>
      <c r="I4208" s="33" t="n">
        <v>4855.93</v>
      </c>
      <c r="J4208" s="13">
        <f>+J4207+I4208</f>
        <v>179500</v>
      </c>
      <c r="K4208" s="19">
        <f>+EOMONTH(B4208,0)</f>
        <v>46265</v>
      </c>
      <c r="L4208" s="3" t="inlineStr">
        <is>
          <t>Benefits</t>
        </is>
      </c>
      <c r="M4208" s="3" t="inlineStr">
        <is>
          <t>Employee Benefits</t>
        </is>
      </c>
    </row>
    <row r="4209">
      <c r="B4209" s="39" t="n">
        <v>46266</v>
      </c>
      <c r="C4209" s="3" t="inlineStr">
        <is>
          <t>Bill</t>
        </is>
      </c>
      <c r="D4209" s="3" t="inlineStr"/>
      <c r="E4209" s="3" t="inlineStr">
        <is>
          <t>Tarrowmere Mutual Insurance</t>
        </is>
      </c>
      <c r="F4209" s="3" t="inlineStr">
        <is>
          <t>Benefits – September</t>
        </is>
      </c>
      <c r="G4209" s="3" t="inlineStr">
        <is>
          <t>Accounts Payable</t>
        </is>
      </c>
      <c r="H4209" s="3" t="inlineStr">
        <is>
          <t>Benefits</t>
        </is>
      </c>
      <c r="I4209" s="33" t="n">
        <v>4217.08</v>
      </c>
      <c r="J4209" s="13">
        <f>+J4208+I4209</f>
        <v>183717.08</v>
      </c>
      <c r="K4209" s="19">
        <f>+EOMONTH(B4209,0)</f>
        <v>46295</v>
      </c>
      <c r="L4209" s="3" t="inlineStr">
        <is>
          <t>Benefits</t>
        </is>
      </c>
      <c r="M4209" s="3" t="inlineStr">
        <is>
          <t>Employee Benefits</t>
        </is>
      </c>
    </row>
    <row r="4210">
      <c r="B4210" s="39" t="n">
        <v>46275</v>
      </c>
      <c r="C4210" s="3" t="inlineStr">
        <is>
          <t>Bill</t>
        </is>
      </c>
      <c r="D4210" s="3" t="inlineStr"/>
      <c r="E4210" s="3" t="inlineStr">
        <is>
          <t>Tarrowmere Mutual Insurance</t>
        </is>
      </c>
      <c r="F4210" s="3" t="inlineStr">
        <is>
          <t>Benefits – September</t>
        </is>
      </c>
      <c r="G4210" s="3" t="inlineStr">
        <is>
          <t>Accounts Payable</t>
        </is>
      </c>
      <c r="H4210" s="3" t="inlineStr">
        <is>
          <t>Benefits</t>
        </is>
      </c>
      <c r="I4210" s="33" t="n">
        <v>3450.84</v>
      </c>
      <c r="J4210" s="13">
        <f>+J4209+I4210</f>
        <v>187167.92</v>
      </c>
      <c r="K4210" s="19">
        <f>+EOMONTH(B4210,0)</f>
        <v>46295</v>
      </c>
      <c r="L4210" s="3" t="inlineStr">
        <is>
          <t>Benefits</t>
        </is>
      </c>
      <c r="M4210" s="3" t="inlineStr">
        <is>
          <t>Employee Benefits</t>
        </is>
      </c>
    </row>
    <row r="4211">
      <c r="B4211" s="39" t="n">
        <v>46283</v>
      </c>
      <c r="C4211" s="3" t="inlineStr">
        <is>
          <t>Bill</t>
        </is>
      </c>
      <c r="D4211" s="3" t="inlineStr"/>
      <c r="E4211" s="3" t="inlineStr">
        <is>
          <t>Tarrowmere Mutual Insurance</t>
        </is>
      </c>
      <c r="F4211" s="3" t="inlineStr">
        <is>
          <t>Benefits – September</t>
        </is>
      </c>
      <c r="G4211" s="3" t="inlineStr">
        <is>
          <t>Accounts Payable</t>
        </is>
      </c>
      <c r="H4211" s="3" t="inlineStr">
        <is>
          <t>Benefits</t>
        </is>
      </c>
      <c r="I4211" s="33" t="n">
        <v>4662.9</v>
      </c>
      <c r="J4211" s="13">
        <f>+J4210+I4211</f>
        <v>191830.82</v>
      </c>
      <c r="K4211" s="19">
        <f>+EOMONTH(B4211,0)</f>
        <v>46295</v>
      </c>
      <c r="L4211" s="3" t="inlineStr">
        <is>
          <t>Benefits</t>
        </is>
      </c>
      <c r="M4211" s="3" t="inlineStr">
        <is>
          <t>Employee Benefits</t>
        </is>
      </c>
    </row>
    <row r="4212">
      <c r="B4212" s="39" t="n">
        <v>46287</v>
      </c>
      <c r="C4212" s="3" t="inlineStr">
        <is>
          <t>Bill</t>
        </is>
      </c>
      <c r="D4212" s="3" t="inlineStr"/>
      <c r="E4212" s="3" t="inlineStr">
        <is>
          <t>Tarrowmere Mutual Insurance</t>
        </is>
      </c>
      <c r="F4212" s="3" t="inlineStr">
        <is>
          <t>Benefits – September</t>
        </is>
      </c>
      <c r="G4212" s="3" t="inlineStr">
        <is>
          <t>Accounts Payable</t>
        </is>
      </c>
      <c r="H4212" s="3" t="inlineStr">
        <is>
          <t>Benefits</t>
        </is>
      </c>
      <c r="I4212" s="33" t="n">
        <v>5846.32</v>
      </c>
      <c r="J4212" s="13">
        <f>+J4211+I4212</f>
        <v>197677.14</v>
      </c>
      <c r="K4212" s="19">
        <f>+EOMONTH(B4212,0)</f>
        <v>46295</v>
      </c>
      <c r="L4212" s="3" t="inlineStr">
        <is>
          <t>Benefits</t>
        </is>
      </c>
      <c r="M4212" s="3" t="inlineStr">
        <is>
          <t>Employee Benefits</t>
        </is>
      </c>
    </row>
    <row r="4213">
      <c r="B4213" s="39" t="n">
        <v>46288</v>
      </c>
      <c r="C4213" s="3" t="inlineStr">
        <is>
          <t>Bill</t>
        </is>
      </c>
      <c r="D4213" s="3" t="inlineStr"/>
      <c r="E4213" s="3" t="inlineStr">
        <is>
          <t>Tarrowmere Mutual Insurance</t>
        </is>
      </c>
      <c r="F4213" s="3" t="inlineStr">
        <is>
          <t>Benefits – September</t>
        </is>
      </c>
      <c r="G4213" s="3" t="inlineStr">
        <is>
          <t>Accounts Payable</t>
        </is>
      </c>
      <c r="H4213" s="3" t="inlineStr">
        <is>
          <t>Benefits</t>
        </is>
      </c>
      <c r="I4213" s="33" t="n">
        <v>4944.08</v>
      </c>
      <c r="J4213" s="13">
        <f>+J4212+I4213</f>
        <v>202621.22</v>
      </c>
      <c r="K4213" s="19">
        <f>+EOMONTH(B4213,0)</f>
        <v>46295</v>
      </c>
      <c r="L4213" s="3" t="inlineStr">
        <is>
          <t>Benefits</t>
        </is>
      </c>
      <c r="M4213" s="3" t="inlineStr">
        <is>
          <t>Employee Benefits</t>
        </is>
      </c>
    </row>
    <row r="4214">
      <c r="B4214" s="39" t="n">
        <v>46299</v>
      </c>
      <c r="C4214" s="3" t="inlineStr">
        <is>
          <t>Bill</t>
        </is>
      </c>
      <c r="D4214" s="3" t="inlineStr"/>
      <c r="E4214" s="3" t="inlineStr">
        <is>
          <t>Tarrowmere Mutual Insurance</t>
        </is>
      </c>
      <c r="F4214" s="3" t="inlineStr">
        <is>
          <t>Benefits – October</t>
        </is>
      </c>
      <c r="G4214" s="3" t="inlineStr">
        <is>
          <t>Accounts Payable</t>
        </is>
      </c>
      <c r="H4214" s="3" t="inlineStr">
        <is>
          <t>Benefits</t>
        </is>
      </c>
      <c r="I4214" s="33" t="n">
        <v>3767.86</v>
      </c>
      <c r="J4214" s="13">
        <f>+J4213+I4214</f>
        <v>206389.08</v>
      </c>
      <c r="K4214" s="19">
        <f>+EOMONTH(B4214,0)</f>
        <v>46326</v>
      </c>
      <c r="L4214" s="3" t="inlineStr">
        <is>
          <t>Benefits</t>
        </is>
      </c>
      <c r="M4214" s="3" t="inlineStr">
        <is>
          <t>Employee Benefits</t>
        </is>
      </c>
    </row>
    <row r="4215">
      <c r="B4215" s="39" t="n">
        <v>46301</v>
      </c>
      <c r="C4215" s="3" t="inlineStr">
        <is>
          <t>Bill</t>
        </is>
      </c>
      <c r="D4215" s="3" t="inlineStr"/>
      <c r="E4215" s="3" t="inlineStr">
        <is>
          <t>Tarrowmere Mutual Insurance</t>
        </is>
      </c>
      <c r="F4215" s="3" t="inlineStr">
        <is>
          <t>Benefits – October</t>
        </is>
      </c>
      <c r="G4215" s="3" t="inlineStr">
        <is>
          <t>Accounts Payable</t>
        </is>
      </c>
      <c r="H4215" s="3" t="inlineStr">
        <is>
          <t>Benefits</t>
        </is>
      </c>
      <c r="I4215" s="33" t="n">
        <v>5042.87</v>
      </c>
      <c r="J4215" s="13">
        <f>+J4214+I4215</f>
        <v>211431.95</v>
      </c>
      <c r="K4215" s="19">
        <f>+EOMONTH(B4215,0)</f>
        <v>46326</v>
      </c>
      <c r="L4215" s="3" t="inlineStr">
        <is>
          <t>Benefits</t>
        </is>
      </c>
      <c r="M4215" s="3" t="inlineStr">
        <is>
          <t>Employee Benefits</t>
        </is>
      </c>
    </row>
    <row r="4216">
      <c r="B4216" s="39" t="n">
        <v>46316</v>
      </c>
      <c r="C4216" s="3" t="inlineStr">
        <is>
          <t>Bill</t>
        </is>
      </c>
      <c r="D4216" s="3" t="inlineStr"/>
      <c r="E4216" s="3" t="inlineStr">
        <is>
          <t>Tarrowmere Mutual Insurance</t>
        </is>
      </c>
      <c r="F4216" s="3" t="inlineStr">
        <is>
          <t>Benefits – October</t>
        </is>
      </c>
      <c r="G4216" s="3" t="inlineStr">
        <is>
          <t>Accounts Payable</t>
        </is>
      </c>
      <c r="H4216" s="3" t="inlineStr">
        <is>
          <t>Benefits</t>
        </is>
      </c>
      <c r="I4216" s="33" t="n">
        <v>5011.87</v>
      </c>
      <c r="J4216" s="13">
        <f>+J4215+I4216</f>
        <v>216443.82</v>
      </c>
      <c r="K4216" s="19">
        <f>+EOMONTH(B4216,0)</f>
        <v>46326</v>
      </c>
      <c r="L4216" s="3" t="inlineStr">
        <is>
          <t>Benefits</t>
        </is>
      </c>
      <c r="M4216" s="3" t="inlineStr">
        <is>
          <t>Employee Benefits</t>
        </is>
      </c>
    </row>
    <row r="4217">
      <c r="B4217" s="39" t="n">
        <v>46322</v>
      </c>
      <c r="C4217" s="3" t="inlineStr">
        <is>
          <t>Bill</t>
        </is>
      </c>
      <c r="D4217" s="3" t="inlineStr"/>
      <c r="E4217" s="3" t="inlineStr">
        <is>
          <t>Tarrowmere Mutual Insurance</t>
        </is>
      </c>
      <c r="F4217" s="3" t="inlineStr">
        <is>
          <t>Benefits – October</t>
        </is>
      </c>
      <c r="G4217" s="3" t="inlineStr">
        <is>
          <t>Accounts Payable</t>
        </is>
      </c>
      <c r="H4217" s="3" t="inlineStr">
        <is>
          <t>Benefits</t>
        </is>
      </c>
      <c r="I4217" s="33" t="n">
        <v>4315.8</v>
      </c>
      <c r="J4217" s="13">
        <f>+J4216+I4217</f>
        <v>220759.62</v>
      </c>
      <c r="K4217" s="19">
        <f>+EOMONTH(B4217,0)</f>
        <v>46326</v>
      </c>
      <c r="L4217" s="3" t="inlineStr">
        <is>
          <t>Benefits</t>
        </is>
      </c>
      <c r="M4217" s="3" t="inlineStr">
        <is>
          <t>Employee Benefits</t>
        </is>
      </c>
    </row>
    <row r="4218">
      <c r="B4218" s="39" t="n">
        <v>46323</v>
      </c>
      <c r="C4218" s="3" t="inlineStr">
        <is>
          <t>Bill</t>
        </is>
      </c>
      <c r="D4218" s="3" t="inlineStr"/>
      <c r="E4218" s="3" t="inlineStr">
        <is>
          <t>Tarrowmere Mutual Insurance</t>
        </is>
      </c>
      <c r="F4218" s="3" t="inlineStr">
        <is>
          <t>Benefits – October</t>
        </is>
      </c>
      <c r="G4218" s="3" t="inlineStr">
        <is>
          <t>Accounts Payable</t>
        </is>
      </c>
      <c r="H4218" s="3" t="inlineStr">
        <is>
          <t>Benefits</t>
        </is>
      </c>
      <c r="I4218" s="33" t="n">
        <v>5145.32</v>
      </c>
      <c r="J4218" s="13">
        <f>+J4217+I4218</f>
        <v>225904.94</v>
      </c>
      <c r="K4218" s="19">
        <f>+EOMONTH(B4218,0)</f>
        <v>46326</v>
      </c>
      <c r="L4218" s="3" t="inlineStr">
        <is>
          <t>Benefits</t>
        </is>
      </c>
      <c r="M4218" s="3" t="inlineStr">
        <is>
          <t>Employee Benefits</t>
        </is>
      </c>
    </row>
    <row r="4219">
      <c r="B4219" s="39" t="n">
        <v>46340</v>
      </c>
      <c r="C4219" s="3" t="inlineStr">
        <is>
          <t>Bill</t>
        </is>
      </c>
      <c r="D4219" s="3" t="inlineStr"/>
      <c r="E4219" s="3" t="inlineStr">
        <is>
          <t>Tarrowmere Mutual Insurance</t>
        </is>
      </c>
      <c r="F4219" s="3" t="inlineStr">
        <is>
          <t>Benefits – November</t>
        </is>
      </c>
      <c r="G4219" s="3" t="inlineStr">
        <is>
          <t>Accounts Payable</t>
        </is>
      </c>
      <c r="H4219" s="3" t="inlineStr">
        <is>
          <t>Benefits</t>
        </is>
      </c>
      <c r="I4219" s="33" t="n">
        <v>4072.24</v>
      </c>
      <c r="J4219" s="13">
        <f>+J4218+I4219</f>
        <v>229977.18</v>
      </c>
      <c r="K4219" s="19">
        <f>+EOMONTH(B4219,0)</f>
        <v>46356</v>
      </c>
      <c r="L4219" s="3" t="inlineStr">
        <is>
          <t>Benefits</t>
        </is>
      </c>
      <c r="M4219" s="3" t="inlineStr">
        <is>
          <t>Employee Benefits</t>
        </is>
      </c>
    </row>
    <row r="4220">
      <c r="B4220" s="39" t="n">
        <v>46347</v>
      </c>
      <c r="C4220" s="3" t="inlineStr">
        <is>
          <t>Bill</t>
        </is>
      </c>
      <c r="D4220" s="3" t="inlineStr"/>
      <c r="E4220" s="3" t="inlineStr">
        <is>
          <t>Tarrowmere Mutual Insurance</t>
        </is>
      </c>
      <c r="F4220" s="3" t="inlineStr">
        <is>
          <t>Benefits – November</t>
        </is>
      </c>
      <c r="G4220" s="3" t="inlineStr">
        <is>
          <t>Accounts Payable</t>
        </is>
      </c>
      <c r="H4220" s="3" t="inlineStr">
        <is>
          <t>Benefits</t>
        </is>
      </c>
      <c r="I4220" s="33" t="n">
        <v>7101.56</v>
      </c>
      <c r="J4220" s="13">
        <f>+J4219+I4220</f>
        <v>237078.74</v>
      </c>
      <c r="K4220" s="19">
        <f>+EOMONTH(B4220,0)</f>
        <v>46356</v>
      </c>
      <c r="L4220" s="3" t="inlineStr">
        <is>
          <t>Benefits</t>
        </is>
      </c>
      <c r="M4220" s="3" t="inlineStr">
        <is>
          <t>Employee Benefits</t>
        </is>
      </c>
    </row>
    <row r="4221">
      <c r="B4221" s="39" t="n">
        <v>46350</v>
      </c>
      <c r="C4221" s="3" t="inlineStr">
        <is>
          <t>Bill</t>
        </is>
      </c>
      <c r="D4221" s="3" t="inlineStr"/>
      <c r="E4221" s="3" t="inlineStr">
        <is>
          <t>Tarrowmere Mutual Insurance</t>
        </is>
      </c>
      <c r="F4221" s="3" t="inlineStr">
        <is>
          <t>Benefits – November</t>
        </is>
      </c>
      <c r="G4221" s="3" t="inlineStr">
        <is>
          <t>Accounts Payable</t>
        </is>
      </c>
      <c r="H4221" s="3" t="inlineStr">
        <is>
          <t>Benefits</t>
        </is>
      </c>
      <c r="I4221" s="33" t="n">
        <v>7124.07</v>
      </c>
      <c r="J4221" s="13">
        <f>+J4220+I4221</f>
        <v>244202.81</v>
      </c>
      <c r="K4221" s="19">
        <f>+EOMONTH(B4221,0)</f>
        <v>46356</v>
      </c>
      <c r="L4221" s="3" t="inlineStr">
        <is>
          <t>Benefits</t>
        </is>
      </c>
      <c r="M4221" s="3" t="inlineStr">
        <is>
          <t>Employee Benefits</t>
        </is>
      </c>
    </row>
    <row r="4222">
      <c r="B4222" s="39" t="n">
        <v>46353</v>
      </c>
      <c r="C4222" s="3" t="inlineStr">
        <is>
          <t>Bill</t>
        </is>
      </c>
      <c r="D4222" s="3" t="inlineStr"/>
      <c r="E4222" s="3" t="inlineStr">
        <is>
          <t>Tarrowmere Mutual Insurance</t>
        </is>
      </c>
      <c r="F4222" s="3" t="inlineStr">
        <is>
          <t>Benefits – November</t>
        </is>
      </c>
      <c r="G4222" s="3" t="inlineStr">
        <is>
          <t>Accounts Payable</t>
        </is>
      </c>
      <c r="H4222" s="3" t="inlineStr">
        <is>
          <t>Benefits</t>
        </is>
      </c>
      <c r="I4222" s="33" t="n">
        <v>4943.14</v>
      </c>
      <c r="J4222" s="13">
        <f>+J4221+I4222</f>
        <v>249145.95</v>
      </c>
      <c r="K4222" s="19">
        <f>+EOMONTH(B4222,0)</f>
        <v>46356</v>
      </c>
      <c r="L4222" s="3" t="inlineStr">
        <is>
          <t>Benefits</t>
        </is>
      </c>
      <c r="M4222" s="3" t="inlineStr">
        <is>
          <t>Employee Benefits</t>
        </is>
      </c>
    </row>
    <row r="4223">
      <c r="A4223" s="2" t="inlineStr">
        <is>
          <t>Total for Benefits</t>
        </is>
      </c>
      <c r="I4223" s="35">
        <f>SUM(I4175:I4222)</f>
        <v>249145.95</v>
      </c>
    </row>
    <row r="4225">
      <c r="A4225" s="2" t="inlineStr">
        <is>
          <t>Sales and Marketing Expenses</t>
        </is>
      </c>
    </row>
    <row r="4226">
      <c r="B4226" s="39" t="n">
        <v>46024</v>
      </c>
      <c r="C4226" s="3" t="inlineStr">
        <is>
          <t>Credit Card Expense</t>
        </is>
      </c>
      <c r="D4226" s="3" t="inlineStr"/>
      <c r="E4226" s="3" t="inlineStr">
        <is>
          <t>Tessarand Payroll Services</t>
        </is>
      </c>
      <c r="F4226" s="3" t="inlineStr">
        <is>
          <t>Sales and Marketing Expenses – January</t>
        </is>
      </c>
      <c r="G4226" s="3" t="inlineStr">
        <is>
          <t>Checking – Operating</t>
        </is>
      </c>
      <c r="H4226" s="3" t="inlineStr">
        <is>
          <t>Sales and Marketing Expenses</t>
        </is>
      </c>
      <c r="I4226" s="33" t="n">
        <v>17315.5</v>
      </c>
      <c r="J4226" s="13">
        <f>+I4226</f>
        <v>17315.5</v>
      </c>
      <c r="K4226" s="19">
        <f>+EOMONTH(B4226,0)</f>
        <v>46053</v>
      </c>
      <c r="L4226" s="3" t="inlineStr">
        <is>
          <t>Sales and Marketing Expenses</t>
        </is>
      </c>
      <c r="M4226" s="3" t="inlineStr">
        <is>
          <t>Sales Rep Expense</t>
        </is>
      </c>
    </row>
    <row r="4227">
      <c r="B4227" s="39" t="n">
        <v>46045</v>
      </c>
      <c r="C4227" s="3" t="inlineStr">
        <is>
          <t>Credit Card Expense</t>
        </is>
      </c>
      <c r="D4227" s="3" t="inlineStr"/>
      <c r="E4227" s="3" t="inlineStr">
        <is>
          <t>Tessarand Payroll Services</t>
        </is>
      </c>
      <c r="F4227" s="3" t="inlineStr">
        <is>
          <t>Sales and Marketing Expenses – January</t>
        </is>
      </c>
      <c r="G4227" s="3" t="inlineStr">
        <is>
          <t>Checking – Operating</t>
        </is>
      </c>
      <c r="H4227" s="3" t="inlineStr">
        <is>
          <t>Sales and Marketing Expenses</t>
        </is>
      </c>
      <c r="I4227" s="33" t="n">
        <v>13911.76</v>
      </c>
      <c r="J4227" s="13">
        <f>+J4226+I4227</f>
        <v>31227.26</v>
      </c>
      <c r="K4227" s="19">
        <f>+EOMONTH(B4227,0)</f>
        <v>46053</v>
      </c>
      <c r="L4227" s="3" t="inlineStr">
        <is>
          <t>Sales and Marketing Expenses</t>
        </is>
      </c>
      <c r="M4227" s="3" t="inlineStr">
        <is>
          <t>Sales Rep Expense</t>
        </is>
      </c>
    </row>
    <row r="4228">
      <c r="B4228" s="39" t="n">
        <v>46049</v>
      </c>
      <c r="C4228" s="3" t="inlineStr">
        <is>
          <t>Expense</t>
        </is>
      </c>
      <c r="D4228" s="3" t="inlineStr">
        <is>
          <t>11176</t>
        </is>
      </c>
      <c r="E4228" s="3" t="inlineStr">
        <is>
          <t>Tessarand Payroll Services</t>
        </is>
      </c>
      <c r="F4228" s="3" t="inlineStr">
        <is>
          <t>Sales and Marketing Expenses – January</t>
        </is>
      </c>
      <c r="G4228" s="3" t="inlineStr">
        <is>
          <t>Checking – Operating</t>
        </is>
      </c>
      <c r="H4228" s="3" t="inlineStr">
        <is>
          <t>Sales and Marketing Expenses</t>
        </is>
      </c>
      <c r="I4228" s="33" t="n">
        <v>19417.21</v>
      </c>
      <c r="J4228" s="13">
        <f>+J4227+I4228</f>
        <v>50644.47</v>
      </c>
      <c r="K4228" s="19">
        <f>+EOMONTH(B4228,0)</f>
        <v>46053</v>
      </c>
      <c r="L4228" s="3" t="inlineStr">
        <is>
          <t>Sales and Marketing Expenses</t>
        </is>
      </c>
      <c r="M4228" s="3" t="inlineStr">
        <is>
          <t>Sales Rep Expense</t>
        </is>
      </c>
    </row>
    <row r="4229">
      <c r="B4229" s="39" t="n">
        <v>46053</v>
      </c>
      <c r="C4229" s="3" t="inlineStr">
        <is>
          <t>Credit Card Expense</t>
        </is>
      </c>
      <c r="D4229" s="3" t="inlineStr"/>
      <c r="E4229" s="3" t="inlineStr">
        <is>
          <t>Tessarand Payroll Services</t>
        </is>
      </c>
      <c r="F4229" s="3" t="inlineStr">
        <is>
          <t>Sales and Marketing Expenses – January</t>
        </is>
      </c>
      <c r="G4229" s="3" t="inlineStr">
        <is>
          <t>Checking – Operating</t>
        </is>
      </c>
      <c r="H4229" s="3" t="inlineStr">
        <is>
          <t>Sales and Marketing Expenses</t>
        </is>
      </c>
      <c r="I4229" s="33" t="n">
        <v>13155.53</v>
      </c>
      <c r="J4229" s="13">
        <f>+J4228+I4229</f>
        <v>63800</v>
      </c>
      <c r="K4229" s="19">
        <f>+EOMONTH(B4229,0)</f>
        <v>46053</v>
      </c>
      <c r="L4229" s="3" t="inlineStr">
        <is>
          <t>Sales and Marketing Expenses</t>
        </is>
      </c>
      <c r="M4229" s="3" t="inlineStr">
        <is>
          <t>Sales Rep Expense</t>
        </is>
      </c>
    </row>
    <row r="4230">
      <c r="B4230" s="39" t="n">
        <v>46057</v>
      </c>
      <c r="C4230" s="3" t="inlineStr">
        <is>
          <t>Credit Card Expense</t>
        </is>
      </c>
      <c r="D4230" s="3" t="inlineStr"/>
      <c r="E4230" s="3" t="inlineStr">
        <is>
          <t>Tessarand Payroll Services</t>
        </is>
      </c>
      <c r="F4230" s="3" t="inlineStr">
        <is>
          <t>Sales and Marketing Expenses – February</t>
        </is>
      </c>
      <c r="G4230" s="3" t="inlineStr">
        <is>
          <t>Checking – Operating</t>
        </is>
      </c>
      <c r="H4230" s="3" t="inlineStr">
        <is>
          <t>Sales and Marketing Expenses</t>
        </is>
      </c>
      <c r="I4230" s="33" t="n">
        <v>14857.66</v>
      </c>
      <c r="J4230" s="13">
        <f>+J4229+I4230</f>
        <v>78657.66</v>
      </c>
      <c r="K4230" s="19">
        <f>+EOMONTH(B4230,0)</f>
        <v>46081</v>
      </c>
      <c r="L4230" s="3" t="inlineStr">
        <is>
          <t>Sales and Marketing Expenses</t>
        </is>
      </c>
      <c r="M4230" s="3" t="inlineStr">
        <is>
          <t>Sales Rep Expense</t>
        </is>
      </c>
    </row>
    <row r="4231">
      <c r="B4231" s="39" t="n">
        <v>46067</v>
      </c>
      <c r="C4231" s="3" t="inlineStr">
        <is>
          <t>Credit Card Expense</t>
        </is>
      </c>
      <c r="D4231" s="3" t="inlineStr"/>
      <c r="E4231" s="3" t="inlineStr">
        <is>
          <t>Tessarand Payroll Services</t>
        </is>
      </c>
      <c r="F4231" s="3" t="inlineStr">
        <is>
          <t>Sales and Marketing Expenses – February</t>
        </is>
      </c>
      <c r="G4231" s="3" t="inlineStr">
        <is>
          <t>Checking – Operating</t>
        </is>
      </c>
      <c r="H4231" s="3" t="inlineStr">
        <is>
          <t>Sales and Marketing Expenses</t>
        </is>
      </c>
      <c r="I4231" s="33" t="n">
        <v>12118.83</v>
      </c>
      <c r="J4231" s="13">
        <f>+J4230+I4231</f>
        <v>90776.49</v>
      </c>
      <c r="K4231" s="19">
        <f>+EOMONTH(B4231,0)</f>
        <v>46081</v>
      </c>
      <c r="L4231" s="3" t="inlineStr">
        <is>
          <t>Sales and Marketing Expenses</t>
        </is>
      </c>
      <c r="M4231" s="3" t="inlineStr">
        <is>
          <t>Sales Rep Expense</t>
        </is>
      </c>
    </row>
    <row r="4232">
      <c r="B4232" s="39" t="n">
        <v>46072</v>
      </c>
      <c r="C4232" s="3" t="inlineStr">
        <is>
          <t>Journal Entry</t>
        </is>
      </c>
      <c r="D4232" s="3" t="inlineStr">
        <is>
          <t>JE-2760</t>
        </is>
      </c>
      <c r="E4232" s="3" t="inlineStr">
        <is>
          <t>Tessarand Payroll Services</t>
        </is>
      </c>
      <c r="F4232" s="3" t="inlineStr">
        <is>
          <t>Sales and Marketing Expenses – February</t>
        </is>
      </c>
      <c r="G4232" s="3" t="inlineStr">
        <is>
          <t>Checking – Operating</t>
        </is>
      </c>
      <c r="H4232" s="3" t="inlineStr">
        <is>
          <t>Sales and Marketing Expenses</t>
        </is>
      </c>
      <c r="I4232" s="33" t="n">
        <v>15785.41</v>
      </c>
      <c r="J4232" s="13">
        <f>+J4231+I4232</f>
        <v>106561.9</v>
      </c>
      <c r="K4232" s="19">
        <f>+EOMONTH(B4232,0)</f>
        <v>46081</v>
      </c>
      <c r="L4232" s="3" t="inlineStr">
        <is>
          <t>Sales and Marketing Expenses</t>
        </is>
      </c>
      <c r="M4232" s="3" t="inlineStr">
        <is>
          <t>Sales Rep Expense</t>
        </is>
      </c>
    </row>
    <row r="4233">
      <c r="B4233" s="39" t="n">
        <v>46081</v>
      </c>
      <c r="C4233" s="3" t="inlineStr">
        <is>
          <t>Journal Entry</t>
        </is>
      </c>
      <c r="D4233" s="3" t="inlineStr">
        <is>
          <t>JE-2759</t>
        </is>
      </c>
      <c r="E4233" s="3" t="inlineStr">
        <is>
          <t>Tessarand Payroll Services</t>
        </is>
      </c>
      <c r="F4233" s="3" t="inlineStr">
        <is>
          <t>Sales and Marketing Expenses – February</t>
        </is>
      </c>
      <c r="G4233" s="3" t="inlineStr">
        <is>
          <t>Checking – Operating</t>
        </is>
      </c>
      <c r="H4233" s="3" t="inlineStr">
        <is>
          <t>Sales and Marketing Expenses</t>
        </is>
      </c>
      <c r="I4233" s="33" t="n">
        <v>10738.1</v>
      </c>
      <c r="J4233" s="13">
        <f>+J4232+I4233</f>
        <v>117300</v>
      </c>
      <c r="K4233" s="19">
        <f>+EOMONTH(B4233,0)</f>
        <v>46081</v>
      </c>
      <c r="L4233" s="3" t="inlineStr">
        <is>
          <t>Sales and Marketing Expenses</t>
        </is>
      </c>
      <c r="M4233" s="3" t="inlineStr">
        <is>
          <t>Sales Rep Expense</t>
        </is>
      </c>
    </row>
    <row r="4234">
      <c r="B4234" s="39" t="n">
        <v>46083</v>
      </c>
      <c r="C4234" s="3" t="inlineStr">
        <is>
          <t>Expense</t>
        </is>
      </c>
      <c r="D4234" s="3" t="inlineStr">
        <is>
          <t>11178</t>
        </is>
      </c>
      <c r="E4234" s="3" t="inlineStr">
        <is>
          <t>Tessarand Payroll Services</t>
        </is>
      </c>
      <c r="F4234" s="3" t="inlineStr">
        <is>
          <t>Sales and Marketing Expenses – March</t>
        </is>
      </c>
      <c r="G4234" s="3" t="inlineStr">
        <is>
          <t>Checking – Operating</t>
        </is>
      </c>
      <c r="H4234" s="3" t="inlineStr">
        <is>
          <t>Sales and Marketing Expenses</t>
        </is>
      </c>
      <c r="I4234" s="33" t="n">
        <v>21372.17</v>
      </c>
      <c r="J4234" s="13">
        <f>+J4233+I4234</f>
        <v>138672.17</v>
      </c>
      <c r="K4234" s="19">
        <f>+EOMONTH(B4234,0)</f>
        <v>46112</v>
      </c>
      <c r="L4234" s="3" t="inlineStr">
        <is>
          <t>Sales and Marketing Expenses</t>
        </is>
      </c>
      <c r="M4234" s="3" t="inlineStr">
        <is>
          <t>Sales Rep Expense</t>
        </is>
      </c>
    </row>
    <row r="4235">
      <c r="B4235" s="39" t="n">
        <v>46086</v>
      </c>
      <c r="C4235" s="3" t="inlineStr">
        <is>
          <t>Expense</t>
        </is>
      </c>
      <c r="D4235" s="3" t="inlineStr">
        <is>
          <t>11177</t>
        </is>
      </c>
      <c r="E4235" s="3" t="inlineStr">
        <is>
          <t>Tessarand Payroll Services</t>
        </is>
      </c>
      <c r="F4235" s="3" t="inlineStr">
        <is>
          <t>Sales and Marketing Expenses – March</t>
        </is>
      </c>
      <c r="G4235" s="3" t="inlineStr">
        <is>
          <t>Checking – Operating</t>
        </is>
      </c>
      <c r="H4235" s="3" t="inlineStr">
        <is>
          <t>Sales and Marketing Expenses</t>
        </is>
      </c>
      <c r="I4235" s="33" t="n">
        <v>13567.16</v>
      </c>
      <c r="J4235" s="13">
        <f>+J4234+I4235</f>
        <v>152239.33</v>
      </c>
      <c r="K4235" s="19">
        <f>+EOMONTH(B4235,0)</f>
        <v>46112</v>
      </c>
      <c r="L4235" s="3" t="inlineStr">
        <is>
          <t>Sales and Marketing Expenses</t>
        </is>
      </c>
      <c r="M4235" s="3" t="inlineStr">
        <is>
          <t>Sales Rep Expense</t>
        </is>
      </c>
    </row>
    <row r="4236">
      <c r="B4236" s="39" t="n">
        <v>46099</v>
      </c>
      <c r="C4236" s="3" t="inlineStr">
        <is>
          <t>Credit Card Expense</t>
        </is>
      </c>
      <c r="D4236" s="3" t="inlineStr"/>
      <c r="E4236" s="3" t="inlineStr">
        <is>
          <t>Tessarand Payroll Services</t>
        </is>
      </c>
      <c r="F4236" s="3" t="inlineStr">
        <is>
          <t>Sales and Marketing Expenses – March</t>
        </is>
      </c>
      <c r="G4236" s="3" t="inlineStr">
        <is>
          <t>Checking – Operating</t>
        </is>
      </c>
      <c r="H4236" s="3" t="inlineStr">
        <is>
          <t>Sales and Marketing Expenses</t>
        </is>
      </c>
      <c r="I4236" s="33" t="n">
        <v>14858.45</v>
      </c>
      <c r="J4236" s="13">
        <f>+J4235+I4236</f>
        <v>167097.78</v>
      </c>
      <c r="K4236" s="19">
        <f>+EOMONTH(B4236,0)</f>
        <v>46112</v>
      </c>
      <c r="L4236" s="3" t="inlineStr">
        <is>
          <t>Sales and Marketing Expenses</t>
        </is>
      </c>
      <c r="M4236" s="3" t="inlineStr">
        <is>
          <t>Sales Rep Expense</t>
        </is>
      </c>
    </row>
    <row r="4237">
      <c r="B4237" s="39" t="n">
        <v>46108</v>
      </c>
      <c r="C4237" s="3" t="inlineStr">
        <is>
          <t>Expense</t>
        </is>
      </c>
      <c r="D4237" s="3" t="inlineStr">
        <is>
          <t>11179</t>
        </is>
      </c>
      <c r="E4237" s="3" t="inlineStr">
        <is>
          <t>Tessarand Payroll Services</t>
        </is>
      </c>
      <c r="F4237" s="3" t="inlineStr">
        <is>
          <t>Sales and Marketing Expenses – March</t>
        </is>
      </c>
      <c r="G4237" s="3" t="inlineStr">
        <is>
          <t>Checking – Operating</t>
        </is>
      </c>
      <c r="H4237" s="3" t="inlineStr">
        <is>
          <t>Sales and Marketing Expenses</t>
        </is>
      </c>
      <c r="I4237" s="33" t="n">
        <v>12202.22</v>
      </c>
      <c r="J4237" s="13">
        <f>+J4236+I4237</f>
        <v>179300</v>
      </c>
      <c r="K4237" s="19">
        <f>+EOMONTH(B4237,0)</f>
        <v>46112</v>
      </c>
      <c r="L4237" s="3" t="inlineStr">
        <is>
          <t>Sales and Marketing Expenses</t>
        </is>
      </c>
      <c r="M4237" s="3" t="inlineStr">
        <is>
          <t>Sales Rep Expense</t>
        </is>
      </c>
    </row>
    <row r="4238">
      <c r="B4238" s="39" t="n">
        <v>46119</v>
      </c>
      <c r="C4238" s="3" t="inlineStr">
        <is>
          <t>Expense</t>
        </is>
      </c>
      <c r="D4238" s="3" t="inlineStr">
        <is>
          <t>11183</t>
        </is>
      </c>
      <c r="E4238" s="3" t="inlineStr">
        <is>
          <t>Tessarand Payroll Services</t>
        </is>
      </c>
      <c r="F4238" s="3" t="inlineStr">
        <is>
          <t>Sales and Marketing Expenses – April</t>
        </is>
      </c>
      <c r="G4238" s="3" t="inlineStr">
        <is>
          <t>Checking – Operating</t>
        </is>
      </c>
      <c r="H4238" s="3" t="inlineStr">
        <is>
          <t>Sales and Marketing Expenses</t>
        </is>
      </c>
      <c r="I4238" s="33" t="n">
        <v>11716.13</v>
      </c>
      <c r="J4238" s="13">
        <f>+J4237+I4238</f>
        <v>191016.13</v>
      </c>
      <c r="K4238" s="19">
        <f>+EOMONTH(B4238,0)</f>
        <v>46142</v>
      </c>
      <c r="L4238" s="3" t="inlineStr">
        <is>
          <t>Sales and Marketing Expenses</t>
        </is>
      </c>
      <c r="M4238" s="3" t="inlineStr">
        <is>
          <t>Sales Rep Expense</t>
        </is>
      </c>
    </row>
    <row r="4239">
      <c r="B4239" s="39" t="n">
        <v>46120</v>
      </c>
      <c r="C4239" s="3" t="inlineStr">
        <is>
          <t>Journal Entry</t>
        </is>
      </c>
      <c r="D4239" s="3" t="inlineStr">
        <is>
          <t>JE-2761</t>
        </is>
      </c>
      <c r="E4239" s="3" t="inlineStr">
        <is>
          <t>Tessarand Payroll Services</t>
        </is>
      </c>
      <c r="F4239" s="3" t="inlineStr">
        <is>
          <t>Sales and Marketing Expenses – April</t>
        </is>
      </c>
      <c r="G4239" s="3" t="inlineStr">
        <is>
          <t>Checking – Operating</t>
        </is>
      </c>
      <c r="H4239" s="3" t="inlineStr">
        <is>
          <t>Sales and Marketing Expenses</t>
        </is>
      </c>
      <c r="I4239" s="33" t="n">
        <v>11807.87</v>
      </c>
      <c r="J4239" s="13">
        <f>+J4238+I4239</f>
        <v>202824</v>
      </c>
      <c r="K4239" s="19">
        <f>+EOMONTH(B4239,0)</f>
        <v>46142</v>
      </c>
      <c r="L4239" s="3" t="inlineStr">
        <is>
          <t>Sales and Marketing Expenses</t>
        </is>
      </c>
      <c r="M4239" s="3" t="inlineStr">
        <is>
          <t>Sales Rep Expense</t>
        </is>
      </c>
    </row>
    <row r="4240">
      <c r="B4240" s="39" t="n">
        <v>46128</v>
      </c>
      <c r="C4240" s="3" t="inlineStr">
        <is>
          <t>Expense</t>
        </is>
      </c>
      <c r="D4240" s="3" t="inlineStr">
        <is>
          <t>11181</t>
        </is>
      </c>
      <c r="E4240" s="3" t="inlineStr">
        <is>
          <t>Tessarand Payroll Services</t>
        </is>
      </c>
      <c r="F4240" s="3" t="inlineStr">
        <is>
          <t>Sales and Marketing Expenses – April</t>
        </is>
      </c>
      <c r="G4240" s="3" t="inlineStr">
        <is>
          <t>Checking – Operating</t>
        </is>
      </c>
      <c r="H4240" s="3" t="inlineStr">
        <is>
          <t>Sales and Marketing Expenses</t>
        </is>
      </c>
      <c r="I4240" s="33" t="n">
        <v>13496.73</v>
      </c>
      <c r="J4240" s="13">
        <f>+J4239+I4240</f>
        <v>216320.73</v>
      </c>
      <c r="K4240" s="19">
        <f>+EOMONTH(B4240,0)</f>
        <v>46142</v>
      </c>
      <c r="L4240" s="3" t="inlineStr">
        <is>
          <t>Sales and Marketing Expenses</t>
        </is>
      </c>
      <c r="M4240" s="3" t="inlineStr">
        <is>
          <t>Sales Rep Expense</t>
        </is>
      </c>
    </row>
    <row r="4241">
      <c r="B4241" s="39" t="n">
        <v>46134</v>
      </c>
      <c r="C4241" s="3" t="inlineStr">
        <is>
          <t>Expense</t>
        </is>
      </c>
      <c r="D4241" s="3" t="inlineStr">
        <is>
          <t>11182</t>
        </is>
      </c>
      <c r="E4241" s="3" t="inlineStr">
        <is>
          <t>Tessarand Payroll Services</t>
        </is>
      </c>
      <c r="F4241" s="3" t="inlineStr">
        <is>
          <t>Sales and Marketing Expenses – April</t>
        </is>
      </c>
      <c r="G4241" s="3" t="inlineStr">
        <is>
          <t>Checking – Operating</t>
        </is>
      </c>
      <c r="H4241" s="3" t="inlineStr">
        <is>
          <t>Sales and Marketing Expenses</t>
        </is>
      </c>
      <c r="I4241" s="33" t="n">
        <v>11052.86</v>
      </c>
      <c r="J4241" s="13">
        <f>+J4240+I4241</f>
        <v>227373.59</v>
      </c>
      <c r="K4241" s="19">
        <f>+EOMONTH(B4241,0)</f>
        <v>46142</v>
      </c>
      <c r="L4241" s="3" t="inlineStr">
        <is>
          <t>Sales and Marketing Expenses</t>
        </is>
      </c>
      <c r="M4241" s="3" t="inlineStr">
        <is>
          <t>Sales Rep Expense</t>
        </is>
      </c>
    </row>
    <row r="4242">
      <c r="B4242" s="39" t="n">
        <v>46137</v>
      </c>
      <c r="C4242" s="3" t="inlineStr">
        <is>
          <t>Expense</t>
        </is>
      </c>
      <c r="D4242" s="3" t="inlineStr">
        <is>
          <t>11180</t>
        </is>
      </c>
      <c r="E4242" s="3" t="inlineStr">
        <is>
          <t>Tessarand Payroll Services</t>
        </is>
      </c>
      <c r="F4242" s="3" t="inlineStr">
        <is>
          <t>Sales and Marketing Expenses – April</t>
        </is>
      </c>
      <c r="G4242" s="3" t="inlineStr">
        <is>
          <t>Checking – Operating</t>
        </is>
      </c>
      <c r="H4242" s="3" t="inlineStr">
        <is>
          <t>Sales and Marketing Expenses</t>
        </is>
      </c>
      <c r="I4242" s="33" t="n">
        <v>16926.41</v>
      </c>
      <c r="J4242" s="13">
        <f>+J4241+I4242</f>
        <v>244300</v>
      </c>
      <c r="K4242" s="19">
        <f>+EOMONTH(B4242,0)</f>
        <v>46142</v>
      </c>
      <c r="L4242" s="3" t="inlineStr">
        <is>
          <t>Sales and Marketing Expenses</t>
        </is>
      </c>
      <c r="M4242" s="3" t="inlineStr">
        <is>
          <t>Sales Rep Expense</t>
        </is>
      </c>
    </row>
    <row r="4243">
      <c r="B4243" s="39" t="n">
        <v>46146</v>
      </c>
      <c r="C4243" s="3" t="inlineStr">
        <is>
          <t>Journal Entry</t>
        </is>
      </c>
      <c r="D4243" s="3" t="inlineStr">
        <is>
          <t>JE-2763</t>
        </is>
      </c>
      <c r="E4243" s="3" t="inlineStr">
        <is>
          <t>Tessarand Payroll Services</t>
        </is>
      </c>
      <c r="F4243" s="3" t="inlineStr">
        <is>
          <t>Sales and Marketing Expenses – May</t>
        </is>
      </c>
      <c r="G4243" s="3" t="inlineStr">
        <is>
          <t>Checking – Operating</t>
        </is>
      </c>
      <c r="H4243" s="3" t="inlineStr">
        <is>
          <t>Sales and Marketing Expenses</t>
        </is>
      </c>
      <c r="I4243" s="33" t="n">
        <v>13013.3</v>
      </c>
      <c r="J4243" s="13">
        <f>+J4242+I4243</f>
        <v>257313.3</v>
      </c>
      <c r="K4243" s="19">
        <f>+EOMONTH(B4243,0)</f>
        <v>46173</v>
      </c>
      <c r="L4243" s="3" t="inlineStr">
        <is>
          <t>Sales and Marketing Expenses</t>
        </is>
      </c>
      <c r="M4243" s="3" t="inlineStr">
        <is>
          <t>Sales Rep Expense</t>
        </is>
      </c>
    </row>
    <row r="4244">
      <c r="B4244" s="39" t="n">
        <v>46149</v>
      </c>
      <c r="C4244" s="3" t="inlineStr">
        <is>
          <t>Journal Entry</t>
        </is>
      </c>
      <c r="D4244" s="3" t="inlineStr">
        <is>
          <t>JE-2762</t>
        </is>
      </c>
      <c r="E4244" s="3" t="inlineStr">
        <is>
          <t>Tessarand Payroll Services</t>
        </is>
      </c>
      <c r="F4244" s="3" t="inlineStr">
        <is>
          <t>Sales and Marketing Expenses – May</t>
        </is>
      </c>
      <c r="G4244" s="3" t="inlineStr">
        <is>
          <t>Checking – Operating</t>
        </is>
      </c>
      <c r="H4244" s="3" t="inlineStr">
        <is>
          <t>Sales and Marketing Expenses</t>
        </is>
      </c>
      <c r="I4244" s="33" t="n">
        <v>17118.36</v>
      </c>
      <c r="J4244" s="13">
        <f>+J4243+I4244</f>
        <v>274431.66</v>
      </c>
      <c r="K4244" s="19">
        <f>+EOMONTH(B4244,0)</f>
        <v>46173</v>
      </c>
      <c r="L4244" s="3" t="inlineStr">
        <is>
          <t>Sales and Marketing Expenses</t>
        </is>
      </c>
      <c r="M4244" s="3" t="inlineStr">
        <is>
          <t>Sales Rep Expense</t>
        </is>
      </c>
    </row>
    <row r="4245">
      <c r="B4245" s="39" t="n">
        <v>46152</v>
      </c>
      <c r="C4245" s="3" t="inlineStr">
        <is>
          <t>Expense</t>
        </is>
      </c>
      <c r="D4245" s="3" t="inlineStr">
        <is>
          <t>11184</t>
        </is>
      </c>
      <c r="E4245" s="3" t="inlineStr">
        <is>
          <t>Tessarand Payroll Services</t>
        </is>
      </c>
      <c r="F4245" s="3" t="inlineStr">
        <is>
          <t>Sales and Marketing Expenses – May</t>
        </is>
      </c>
      <c r="G4245" s="3" t="inlineStr">
        <is>
          <t>Checking – Operating</t>
        </is>
      </c>
      <c r="H4245" s="3" t="inlineStr">
        <is>
          <t>Sales and Marketing Expenses</t>
        </is>
      </c>
      <c r="I4245" s="33" t="n">
        <v>17960.5</v>
      </c>
      <c r="J4245" s="13">
        <f>+J4244+I4245</f>
        <v>292392.16</v>
      </c>
      <c r="K4245" s="19">
        <f>+EOMONTH(B4245,0)</f>
        <v>46173</v>
      </c>
      <c r="L4245" s="3" t="inlineStr">
        <is>
          <t>Sales and Marketing Expenses</t>
        </is>
      </c>
      <c r="M4245" s="3" t="inlineStr">
        <is>
          <t>Sales Rep Expense</t>
        </is>
      </c>
    </row>
    <row r="4246">
      <c r="B4246" s="39" t="n">
        <v>46161</v>
      </c>
      <c r="C4246" s="3" t="inlineStr">
        <is>
          <t>Expense</t>
        </is>
      </c>
      <c r="D4246" s="3" t="inlineStr">
        <is>
          <t>11185</t>
        </is>
      </c>
      <c r="E4246" s="3" t="inlineStr">
        <is>
          <t>Tessarand Payroll Services</t>
        </is>
      </c>
      <c r="F4246" s="3" t="inlineStr">
        <is>
          <t>Sales and Marketing Expenses – May</t>
        </is>
      </c>
      <c r="G4246" s="3" t="inlineStr">
        <is>
          <t>Checking – Operating</t>
        </is>
      </c>
      <c r="H4246" s="3" t="inlineStr">
        <is>
          <t>Sales and Marketing Expenses</t>
        </is>
      </c>
      <c r="I4246" s="33" t="n">
        <v>12807.84</v>
      </c>
      <c r="J4246" s="13">
        <f>+J4245+I4246</f>
        <v>305200</v>
      </c>
      <c r="K4246" s="19">
        <f>+EOMONTH(B4246,0)</f>
        <v>46173</v>
      </c>
      <c r="L4246" s="3" t="inlineStr">
        <is>
          <t>Sales and Marketing Expenses</t>
        </is>
      </c>
      <c r="M4246" s="3" t="inlineStr">
        <is>
          <t>Sales Rep Expense</t>
        </is>
      </c>
    </row>
    <row r="4247">
      <c r="B4247" s="39" t="n">
        <v>46183</v>
      </c>
      <c r="C4247" s="3" t="inlineStr">
        <is>
          <t>Credit Card Expense</t>
        </is>
      </c>
      <c r="D4247" s="3" t="inlineStr"/>
      <c r="E4247" s="3" t="inlineStr">
        <is>
          <t>Tessarand Payroll Services</t>
        </is>
      </c>
      <c r="F4247" s="3" t="inlineStr">
        <is>
          <t>Sales and Marketing Expenses – June</t>
        </is>
      </c>
      <c r="G4247" s="3" t="inlineStr">
        <is>
          <t>Checking – Operating</t>
        </is>
      </c>
      <c r="H4247" s="3" t="inlineStr">
        <is>
          <t>Sales and Marketing Expenses</t>
        </is>
      </c>
      <c r="I4247" s="33" t="n">
        <v>14173.14</v>
      </c>
      <c r="J4247" s="13">
        <f>+J4246+I4247</f>
        <v>319373.14</v>
      </c>
      <c r="K4247" s="19">
        <f>+EOMONTH(B4247,0)</f>
        <v>46203</v>
      </c>
      <c r="L4247" s="3" t="inlineStr">
        <is>
          <t>Sales and Marketing Expenses</t>
        </is>
      </c>
      <c r="M4247" s="3" t="inlineStr">
        <is>
          <t>Sales Rep Expense</t>
        </is>
      </c>
    </row>
    <row r="4248">
      <c r="B4248" s="39" t="n">
        <v>46190</v>
      </c>
      <c r="C4248" s="3" t="inlineStr">
        <is>
          <t>Credit Card Expense</t>
        </is>
      </c>
      <c r="D4248" s="3" t="inlineStr"/>
      <c r="E4248" s="3" t="inlineStr">
        <is>
          <t>Tessarand Payroll Services</t>
        </is>
      </c>
      <c r="F4248" s="3" t="inlineStr">
        <is>
          <t>Sales and Marketing Expenses – June</t>
        </is>
      </c>
      <c r="G4248" s="3" t="inlineStr">
        <is>
          <t>Checking – Operating</t>
        </is>
      </c>
      <c r="H4248" s="3" t="inlineStr">
        <is>
          <t>Sales and Marketing Expenses</t>
        </is>
      </c>
      <c r="I4248" s="33" t="n">
        <v>23518.09</v>
      </c>
      <c r="J4248" s="13">
        <f>+J4247+I4248</f>
        <v>342891.23</v>
      </c>
      <c r="K4248" s="19">
        <f>+EOMONTH(B4248,0)</f>
        <v>46203</v>
      </c>
      <c r="L4248" s="3" t="inlineStr">
        <is>
          <t>Sales and Marketing Expenses</t>
        </is>
      </c>
      <c r="M4248" s="3" t="inlineStr">
        <is>
          <t>Sales Rep Expense</t>
        </is>
      </c>
    </row>
    <row r="4249">
      <c r="B4249" s="39" t="n">
        <v>46199</v>
      </c>
      <c r="C4249" s="3" t="inlineStr">
        <is>
          <t>Expense</t>
        </is>
      </c>
      <c r="D4249" s="3" t="inlineStr">
        <is>
          <t>11186</t>
        </is>
      </c>
      <c r="E4249" s="3" t="inlineStr">
        <is>
          <t>Tessarand Payroll Services</t>
        </is>
      </c>
      <c r="F4249" s="3" t="inlineStr">
        <is>
          <t>Sales and Marketing Expenses – June</t>
        </is>
      </c>
      <c r="G4249" s="3" t="inlineStr">
        <is>
          <t>Checking – Operating</t>
        </is>
      </c>
      <c r="H4249" s="3" t="inlineStr">
        <is>
          <t>Sales and Marketing Expenses</t>
        </is>
      </c>
      <c r="I4249" s="33" t="n">
        <v>22708.77</v>
      </c>
      <c r="J4249" s="13">
        <f>+J4248+I4249</f>
        <v>365600</v>
      </c>
      <c r="K4249" s="19">
        <f>+EOMONTH(B4249,0)</f>
        <v>46203</v>
      </c>
      <c r="L4249" s="3" t="inlineStr">
        <is>
          <t>Sales and Marketing Expenses</t>
        </is>
      </c>
      <c r="M4249" s="3" t="inlineStr">
        <is>
          <t>Sales Rep Expense</t>
        </is>
      </c>
    </row>
    <row r="4250">
      <c r="B4250" s="39" t="n">
        <v>46206</v>
      </c>
      <c r="C4250" s="3" t="inlineStr">
        <is>
          <t>Credit Card Expense</t>
        </is>
      </c>
      <c r="D4250" s="3" t="inlineStr"/>
      <c r="E4250" s="3" t="inlineStr">
        <is>
          <t>Tessarand Payroll Services</t>
        </is>
      </c>
      <c r="F4250" s="3" t="inlineStr">
        <is>
          <t>Sales and Marketing Expenses – July</t>
        </is>
      </c>
      <c r="G4250" s="3" t="inlineStr">
        <is>
          <t>Checking – Operating</t>
        </is>
      </c>
      <c r="H4250" s="3" t="inlineStr">
        <is>
          <t>Sales and Marketing Expenses</t>
        </is>
      </c>
      <c r="I4250" s="33" t="n">
        <v>15523.91</v>
      </c>
      <c r="J4250" s="13">
        <f>+J4249+I4250</f>
        <v>381123.91</v>
      </c>
      <c r="K4250" s="19">
        <f>+EOMONTH(B4250,0)</f>
        <v>46234</v>
      </c>
      <c r="L4250" s="3" t="inlineStr">
        <is>
          <t>Sales and Marketing Expenses</t>
        </is>
      </c>
      <c r="M4250" s="3" t="inlineStr">
        <is>
          <t>Sales Rep Expense</t>
        </is>
      </c>
    </row>
    <row r="4251">
      <c r="B4251" s="39" t="n">
        <v>46208</v>
      </c>
      <c r="C4251" s="3" t="inlineStr">
        <is>
          <t>Credit Card Expense</t>
        </is>
      </c>
      <c r="D4251" s="3" t="inlineStr"/>
      <c r="E4251" s="3" t="inlineStr">
        <is>
          <t>Tessarand Payroll Services</t>
        </is>
      </c>
      <c r="F4251" s="3" t="inlineStr">
        <is>
          <t>Sales and Marketing Expenses – July</t>
        </is>
      </c>
      <c r="G4251" s="3" t="inlineStr">
        <is>
          <t>Checking – Operating</t>
        </is>
      </c>
      <c r="H4251" s="3" t="inlineStr">
        <is>
          <t>Sales and Marketing Expenses</t>
        </is>
      </c>
      <c r="I4251" s="33" t="n">
        <v>14419.49</v>
      </c>
      <c r="J4251" s="13">
        <f>+J4250+I4251</f>
        <v>395543.4</v>
      </c>
      <c r="K4251" s="19">
        <f>+EOMONTH(B4251,0)</f>
        <v>46234</v>
      </c>
      <c r="L4251" s="3" t="inlineStr">
        <is>
          <t>Sales and Marketing Expenses</t>
        </is>
      </c>
      <c r="M4251" s="3" t="inlineStr">
        <is>
          <t>Sales Rep Expense</t>
        </is>
      </c>
    </row>
    <row r="4252">
      <c r="B4252" s="39" t="n">
        <v>46229</v>
      </c>
      <c r="C4252" s="3" t="inlineStr">
        <is>
          <t>Expense</t>
        </is>
      </c>
      <c r="D4252" s="3" t="inlineStr">
        <is>
          <t>11188</t>
        </is>
      </c>
      <c r="E4252" s="3" t="inlineStr">
        <is>
          <t>Tessarand Payroll Services</t>
        </is>
      </c>
      <c r="F4252" s="3" t="inlineStr">
        <is>
          <t>Sales and Marketing Expenses – July</t>
        </is>
      </c>
      <c r="G4252" s="3" t="inlineStr">
        <is>
          <t>Checking – Operating</t>
        </is>
      </c>
      <c r="H4252" s="3" t="inlineStr">
        <is>
          <t>Sales and Marketing Expenses</t>
        </is>
      </c>
      <c r="I4252" s="33" t="n">
        <v>16223.58</v>
      </c>
      <c r="J4252" s="13">
        <f>+J4251+I4252</f>
        <v>411766.98</v>
      </c>
      <c r="K4252" s="19">
        <f>+EOMONTH(B4252,0)</f>
        <v>46234</v>
      </c>
      <c r="L4252" s="3" t="inlineStr">
        <is>
          <t>Sales and Marketing Expenses</t>
        </is>
      </c>
      <c r="M4252" s="3" t="inlineStr">
        <is>
          <t>Sales Rep Expense</t>
        </is>
      </c>
    </row>
    <row r="4253">
      <c r="B4253" s="39" t="n">
        <v>46230</v>
      </c>
      <c r="C4253" s="3" t="inlineStr">
        <is>
          <t>Expense</t>
        </is>
      </c>
      <c r="D4253" s="3" t="inlineStr">
        <is>
          <t>11187</t>
        </is>
      </c>
      <c r="E4253" s="3" t="inlineStr">
        <is>
          <t>Tessarand Payroll Services</t>
        </is>
      </c>
      <c r="F4253" s="3" t="inlineStr">
        <is>
          <t>Sales and Marketing Expenses – July</t>
        </is>
      </c>
      <c r="G4253" s="3" t="inlineStr">
        <is>
          <t>Checking – Operating</t>
        </is>
      </c>
      <c r="H4253" s="3" t="inlineStr">
        <is>
          <t>Sales and Marketing Expenses</t>
        </is>
      </c>
      <c r="I4253" s="33" t="n">
        <v>20233.02</v>
      </c>
      <c r="J4253" s="13">
        <f>+J4252+I4253</f>
        <v>432000</v>
      </c>
      <c r="K4253" s="19">
        <f>+EOMONTH(B4253,0)</f>
        <v>46234</v>
      </c>
      <c r="L4253" s="3" t="inlineStr">
        <is>
          <t>Sales and Marketing Expenses</t>
        </is>
      </c>
      <c r="M4253" s="3" t="inlineStr">
        <is>
          <t>Sales Rep Expense</t>
        </is>
      </c>
    </row>
    <row r="4254">
      <c r="B4254" s="39" t="n">
        <v>46249</v>
      </c>
      <c r="C4254" s="3" t="inlineStr">
        <is>
          <t>Credit Card Expense</t>
        </is>
      </c>
      <c r="D4254" s="3" t="inlineStr"/>
      <c r="E4254" s="3" t="inlineStr">
        <is>
          <t>Tessarand Payroll Services</t>
        </is>
      </c>
      <c r="F4254" s="3" t="inlineStr">
        <is>
          <t>Sales and Marketing Expenses – August</t>
        </is>
      </c>
      <c r="G4254" s="3" t="inlineStr">
        <is>
          <t>Checking – Operating</t>
        </is>
      </c>
      <c r="H4254" s="3" t="inlineStr">
        <is>
          <t>Sales and Marketing Expenses</t>
        </is>
      </c>
      <c r="I4254" s="33" t="n">
        <v>13490.63</v>
      </c>
      <c r="J4254" s="13">
        <f>+J4253+I4254</f>
        <v>445490.63</v>
      </c>
      <c r="K4254" s="19">
        <f>+EOMONTH(B4254,0)</f>
        <v>46265</v>
      </c>
      <c r="L4254" s="3" t="inlineStr">
        <is>
          <t>Sales and Marketing Expenses</t>
        </is>
      </c>
      <c r="M4254" s="3" t="inlineStr">
        <is>
          <t>Sales Rep Expense</t>
        </is>
      </c>
    </row>
    <row r="4255">
      <c r="B4255" s="39" t="n">
        <v>46249</v>
      </c>
      <c r="C4255" s="3" t="inlineStr">
        <is>
          <t>Expense</t>
        </is>
      </c>
      <c r="D4255" s="3" t="inlineStr">
        <is>
          <t>11190</t>
        </is>
      </c>
      <c r="E4255" s="3" t="inlineStr">
        <is>
          <t>Tessarand Payroll Services</t>
        </is>
      </c>
      <c r="F4255" s="3" t="inlineStr">
        <is>
          <t>Sales and Marketing Expenses – August</t>
        </is>
      </c>
      <c r="G4255" s="3" t="inlineStr">
        <is>
          <t>Checking – Operating</t>
        </is>
      </c>
      <c r="H4255" s="3" t="inlineStr">
        <is>
          <t>Sales and Marketing Expenses</t>
        </is>
      </c>
      <c r="I4255" s="33" t="n">
        <v>10163.91</v>
      </c>
      <c r="J4255" s="13">
        <f>+J4254+I4255</f>
        <v>455654.54</v>
      </c>
      <c r="K4255" s="19">
        <f>+EOMONTH(B4255,0)</f>
        <v>46265</v>
      </c>
      <c r="L4255" s="3" t="inlineStr">
        <is>
          <t>Sales and Marketing Expenses</t>
        </is>
      </c>
      <c r="M4255" s="3" t="inlineStr">
        <is>
          <t>Sales Rep Expense</t>
        </is>
      </c>
    </row>
    <row r="4256">
      <c r="B4256" s="39" t="n">
        <v>46254</v>
      </c>
      <c r="C4256" s="3" t="inlineStr">
        <is>
          <t>Credit Card Expense</t>
        </is>
      </c>
      <c r="D4256" s="3" t="inlineStr"/>
      <c r="E4256" s="3" t="inlineStr">
        <is>
          <t>Tessarand Payroll Services</t>
        </is>
      </c>
      <c r="F4256" s="3" t="inlineStr">
        <is>
          <t>Sales and Marketing Expenses – August</t>
        </is>
      </c>
      <c r="G4256" s="3" t="inlineStr">
        <is>
          <t>Checking – Operating</t>
        </is>
      </c>
      <c r="H4256" s="3" t="inlineStr">
        <is>
          <t>Sales and Marketing Expenses</t>
        </is>
      </c>
      <c r="I4256" s="33" t="n">
        <v>13676.19</v>
      </c>
      <c r="J4256" s="13">
        <f>+J4255+I4256</f>
        <v>469330.73</v>
      </c>
      <c r="K4256" s="19">
        <f>+EOMONTH(B4256,0)</f>
        <v>46265</v>
      </c>
      <c r="L4256" s="3" t="inlineStr">
        <is>
          <t>Sales and Marketing Expenses</t>
        </is>
      </c>
      <c r="M4256" s="3" t="inlineStr">
        <is>
          <t>Sales Rep Expense</t>
        </is>
      </c>
    </row>
    <row r="4257">
      <c r="B4257" s="39" t="n">
        <v>46259</v>
      </c>
      <c r="C4257" s="3" t="inlineStr">
        <is>
          <t>Expense</t>
        </is>
      </c>
      <c r="D4257" s="3" t="inlineStr">
        <is>
          <t>11191</t>
        </is>
      </c>
      <c r="E4257" s="3" t="inlineStr">
        <is>
          <t>Tessarand Payroll Services</t>
        </is>
      </c>
      <c r="F4257" s="3" t="inlineStr">
        <is>
          <t>Sales and Marketing Expenses – August</t>
        </is>
      </c>
      <c r="G4257" s="3" t="inlineStr">
        <is>
          <t>Checking – Operating</t>
        </is>
      </c>
      <c r="H4257" s="3" t="inlineStr">
        <is>
          <t>Sales and Marketing Expenses</t>
        </is>
      </c>
      <c r="I4257" s="33" t="n">
        <v>16890.29</v>
      </c>
      <c r="J4257" s="13">
        <f>+J4256+I4257</f>
        <v>486221.02</v>
      </c>
      <c r="K4257" s="19">
        <f>+EOMONTH(B4257,0)</f>
        <v>46265</v>
      </c>
      <c r="L4257" s="3" t="inlineStr">
        <is>
          <t>Sales and Marketing Expenses</t>
        </is>
      </c>
      <c r="M4257" s="3" t="inlineStr">
        <is>
          <t>Sales Rep Expense</t>
        </is>
      </c>
    </row>
    <row r="4258">
      <c r="B4258" s="39" t="n">
        <v>46260</v>
      </c>
      <c r="C4258" s="3" t="inlineStr">
        <is>
          <t>Expense</t>
        </is>
      </c>
      <c r="D4258" s="3" t="inlineStr">
        <is>
          <t>11189</t>
        </is>
      </c>
      <c r="E4258" s="3" t="inlineStr">
        <is>
          <t>Tessarand Payroll Services</t>
        </is>
      </c>
      <c r="F4258" s="3" t="inlineStr">
        <is>
          <t>Sales and Marketing Expenses – August</t>
        </is>
      </c>
      <c r="G4258" s="3" t="inlineStr">
        <is>
          <t>Checking – Operating</t>
        </is>
      </c>
      <c r="H4258" s="3" t="inlineStr">
        <is>
          <t>Sales and Marketing Expenses</t>
        </is>
      </c>
      <c r="I4258" s="33" t="n">
        <v>9078.98</v>
      </c>
      <c r="J4258" s="13">
        <f>+J4257+I4258</f>
        <v>495300</v>
      </c>
      <c r="K4258" s="19">
        <f>+EOMONTH(B4258,0)</f>
        <v>46265</v>
      </c>
      <c r="L4258" s="3" t="inlineStr">
        <is>
          <t>Sales and Marketing Expenses</t>
        </is>
      </c>
      <c r="M4258" s="3" t="inlineStr">
        <is>
          <t>Sales Rep Expense</t>
        </is>
      </c>
    </row>
    <row r="4259">
      <c r="B4259" s="39" t="n">
        <v>46278</v>
      </c>
      <c r="C4259" s="3" t="inlineStr">
        <is>
          <t>Credit Card Expense</t>
        </is>
      </c>
      <c r="D4259" s="3" t="inlineStr"/>
      <c r="E4259" s="3" t="inlineStr">
        <is>
          <t>Tessarand Payroll Services</t>
        </is>
      </c>
      <c r="F4259" s="3" t="inlineStr">
        <is>
          <t>Sales and Marketing Expenses – September</t>
        </is>
      </c>
      <c r="G4259" s="3" t="inlineStr">
        <is>
          <t>Checking – Operating</t>
        </is>
      </c>
      <c r="H4259" s="3" t="inlineStr">
        <is>
          <t>Sales and Marketing Expenses</t>
        </is>
      </c>
      <c r="I4259" s="33" t="n">
        <v>23148.99</v>
      </c>
      <c r="J4259" s="13">
        <f>+J4258+I4259</f>
        <v>518448.99</v>
      </c>
      <c r="K4259" s="19">
        <f>+EOMONTH(B4259,0)</f>
        <v>46295</v>
      </c>
      <c r="L4259" s="3" t="inlineStr">
        <is>
          <t>Sales and Marketing Expenses</t>
        </is>
      </c>
      <c r="M4259" s="3" t="inlineStr">
        <is>
          <t>Sales Rep Expense</t>
        </is>
      </c>
    </row>
    <row r="4260">
      <c r="B4260" s="39" t="n">
        <v>46283</v>
      </c>
      <c r="C4260" s="3" t="inlineStr">
        <is>
          <t>Expense</t>
        </is>
      </c>
      <c r="D4260" s="3" t="inlineStr">
        <is>
          <t>11192</t>
        </is>
      </c>
      <c r="E4260" s="3" t="inlineStr">
        <is>
          <t>Tessarand Payroll Services</t>
        </is>
      </c>
      <c r="F4260" s="3" t="inlineStr">
        <is>
          <t>Sales and Marketing Expenses – September</t>
        </is>
      </c>
      <c r="G4260" s="3" t="inlineStr">
        <is>
          <t>Checking – Operating</t>
        </is>
      </c>
      <c r="H4260" s="3" t="inlineStr">
        <is>
          <t>Sales and Marketing Expenses</t>
        </is>
      </c>
      <c r="I4260" s="33" t="n">
        <v>20345.02</v>
      </c>
      <c r="J4260" s="13">
        <f>+J4259+I4260</f>
        <v>538794.01</v>
      </c>
      <c r="K4260" s="19">
        <f>+EOMONTH(B4260,0)</f>
        <v>46295</v>
      </c>
      <c r="L4260" s="3" t="inlineStr">
        <is>
          <t>Sales and Marketing Expenses</t>
        </is>
      </c>
      <c r="M4260" s="3" t="inlineStr">
        <is>
          <t>Sales Rep Expense</t>
        </is>
      </c>
    </row>
    <row r="4261">
      <c r="B4261" s="39" t="n">
        <v>46294</v>
      </c>
      <c r="C4261" s="3" t="inlineStr">
        <is>
          <t>Journal Entry</t>
        </is>
      </c>
      <c r="D4261" s="3" t="inlineStr">
        <is>
          <t>JE-2764</t>
        </is>
      </c>
      <c r="E4261" s="3" t="inlineStr">
        <is>
          <t>Tessarand Payroll Services</t>
        </is>
      </c>
      <c r="F4261" s="3" t="inlineStr">
        <is>
          <t>Sales and Marketing Expenses – September</t>
        </is>
      </c>
      <c r="G4261" s="3" t="inlineStr">
        <is>
          <t>Checking – Operating</t>
        </is>
      </c>
      <c r="H4261" s="3" t="inlineStr">
        <is>
          <t>Sales and Marketing Expenses</t>
        </is>
      </c>
      <c r="I4261" s="33" t="n">
        <v>19712.6</v>
      </c>
      <c r="J4261" s="13">
        <f>+J4260+I4261</f>
        <v>558506.61</v>
      </c>
      <c r="K4261" s="19">
        <f>+EOMONTH(B4261,0)</f>
        <v>46295</v>
      </c>
      <c r="L4261" s="3" t="inlineStr">
        <is>
          <t>Sales and Marketing Expenses</t>
        </is>
      </c>
      <c r="M4261" s="3" t="inlineStr">
        <is>
          <t>Sales Rep Expense</t>
        </is>
      </c>
    </row>
    <row r="4262">
      <c r="B4262" s="39" t="n">
        <v>46309</v>
      </c>
      <c r="C4262" s="3" t="inlineStr">
        <is>
          <t>Expense</t>
        </is>
      </c>
      <c r="D4262" s="3" t="inlineStr">
        <is>
          <t>11193</t>
        </is>
      </c>
      <c r="E4262" s="3" t="inlineStr">
        <is>
          <t>Tessarand Payroll Services</t>
        </is>
      </c>
      <c r="F4262" s="3" t="inlineStr">
        <is>
          <t>Sales and Marketing Expenses – October</t>
        </is>
      </c>
      <c r="G4262" s="3" t="inlineStr">
        <is>
          <t>Checking – Operating</t>
        </is>
      </c>
      <c r="H4262" s="3" t="inlineStr">
        <is>
          <t>Sales and Marketing Expenses</t>
        </is>
      </c>
      <c r="I4262" s="33" t="n">
        <v>23304.61</v>
      </c>
      <c r="J4262" s="13">
        <f>+J4261+I4262</f>
        <v>581811.22</v>
      </c>
      <c r="K4262" s="19">
        <f>+EOMONTH(B4262,0)</f>
        <v>46326</v>
      </c>
      <c r="L4262" s="3" t="inlineStr">
        <is>
          <t>Sales and Marketing Expenses</t>
        </is>
      </c>
      <c r="M4262" s="3" t="inlineStr">
        <is>
          <t>Sales Rep Expense</t>
        </is>
      </c>
    </row>
    <row r="4263">
      <c r="B4263" s="39" t="n">
        <v>46320</v>
      </c>
      <c r="C4263" s="3" t="inlineStr">
        <is>
          <t>Journal Entry</t>
        </is>
      </c>
      <c r="D4263" s="3" t="inlineStr">
        <is>
          <t>JE-2765</t>
        </is>
      </c>
      <c r="E4263" s="3" t="inlineStr">
        <is>
          <t>Tessarand Payroll Services</t>
        </is>
      </c>
      <c r="F4263" s="3" t="inlineStr">
        <is>
          <t>Sales and Marketing Expenses – October</t>
        </is>
      </c>
      <c r="G4263" s="3" t="inlineStr">
        <is>
          <t>Checking – Operating</t>
        </is>
      </c>
      <c r="H4263" s="3" t="inlineStr">
        <is>
          <t>Sales and Marketing Expenses</t>
        </is>
      </c>
      <c r="I4263" s="33" t="n">
        <v>30214.41</v>
      </c>
      <c r="J4263" s="13">
        <f>+J4262+I4263</f>
        <v>612025.63</v>
      </c>
      <c r="K4263" s="19">
        <f>+EOMONTH(B4263,0)</f>
        <v>46326</v>
      </c>
      <c r="L4263" s="3" t="inlineStr">
        <is>
          <t>Sales and Marketing Expenses</t>
        </is>
      </c>
      <c r="M4263" s="3" t="inlineStr">
        <is>
          <t>Sales Rep Expense</t>
        </is>
      </c>
    </row>
    <row r="4264">
      <c r="B4264" s="39" t="n">
        <v>46321</v>
      </c>
      <c r="C4264" s="3" t="inlineStr">
        <is>
          <t>Expense</t>
        </is>
      </c>
      <c r="D4264" s="3" t="inlineStr">
        <is>
          <t>11194</t>
        </is>
      </c>
      <c r="E4264" s="3" t="inlineStr">
        <is>
          <t>Tessarand Payroll Services</t>
        </is>
      </c>
      <c r="F4264" s="3" t="inlineStr">
        <is>
          <t>Sales and Marketing Expenses – October</t>
        </is>
      </c>
      <c r="G4264" s="3" t="inlineStr">
        <is>
          <t>Checking – Operating</t>
        </is>
      </c>
      <c r="H4264" s="3" t="inlineStr">
        <is>
          <t>Sales and Marketing Expenses</t>
        </is>
      </c>
      <c r="I4264" s="33" t="n">
        <v>15743.94</v>
      </c>
      <c r="J4264" s="13">
        <f>+J4263+I4264</f>
        <v>627769.57</v>
      </c>
      <c r="K4264" s="19">
        <f>+EOMONTH(B4264,0)</f>
        <v>46326</v>
      </c>
      <c r="L4264" s="3" t="inlineStr">
        <is>
          <t>Sales and Marketing Expenses</t>
        </is>
      </c>
      <c r="M4264" s="3" t="inlineStr">
        <is>
          <t>Sales Rep Expense</t>
        </is>
      </c>
    </row>
    <row r="4265">
      <c r="B4265" s="39" t="n">
        <v>46327</v>
      </c>
      <c r="C4265" s="3" t="inlineStr">
        <is>
          <t>Expense</t>
        </is>
      </c>
      <c r="D4265" s="3" t="inlineStr">
        <is>
          <t>11197</t>
        </is>
      </c>
      <c r="E4265" s="3" t="inlineStr">
        <is>
          <t>Tessarand Payroll Services</t>
        </is>
      </c>
      <c r="F4265" s="3" t="inlineStr">
        <is>
          <t>Sales and Marketing Expenses – November</t>
        </is>
      </c>
      <c r="G4265" s="3" t="inlineStr">
        <is>
          <t>Checking – Operating</t>
        </is>
      </c>
      <c r="H4265" s="3" t="inlineStr">
        <is>
          <t>Sales and Marketing Expenses</t>
        </is>
      </c>
      <c r="I4265" s="33" t="n">
        <v>8786.690000000001</v>
      </c>
      <c r="J4265" s="13">
        <f>+J4264+I4265</f>
        <v>636556.26</v>
      </c>
      <c r="K4265" s="19">
        <f>+EOMONTH(B4265,0)</f>
        <v>46356</v>
      </c>
      <c r="L4265" s="3" t="inlineStr">
        <is>
          <t>Sales and Marketing Expenses</t>
        </is>
      </c>
      <c r="M4265" s="3" t="inlineStr">
        <is>
          <t>Sales Rep Expense</t>
        </is>
      </c>
    </row>
    <row r="4266">
      <c r="B4266" s="39" t="n">
        <v>46333</v>
      </c>
      <c r="C4266" s="3" t="inlineStr">
        <is>
          <t>Credit Card Expense</t>
        </is>
      </c>
      <c r="D4266" s="3" t="inlineStr"/>
      <c r="E4266" s="3" t="inlineStr">
        <is>
          <t>Tessarand Payroll Services</t>
        </is>
      </c>
      <c r="F4266" s="3" t="inlineStr">
        <is>
          <t>Sales and Marketing Expenses – November</t>
        </is>
      </c>
      <c r="G4266" s="3" t="inlineStr">
        <is>
          <t>Checking – Operating</t>
        </is>
      </c>
      <c r="H4266" s="3" t="inlineStr">
        <is>
          <t>Sales and Marketing Expenses</t>
        </is>
      </c>
      <c r="I4266" s="33" t="n">
        <v>13503.67</v>
      </c>
      <c r="J4266" s="13">
        <f>+J4265+I4266</f>
        <v>650059.93</v>
      </c>
      <c r="K4266" s="19">
        <f>+EOMONTH(B4266,0)</f>
        <v>46356</v>
      </c>
      <c r="L4266" s="3" t="inlineStr">
        <is>
          <t>Sales and Marketing Expenses</t>
        </is>
      </c>
      <c r="M4266" s="3" t="inlineStr">
        <is>
          <t>Sales Rep Expense</t>
        </is>
      </c>
    </row>
    <row r="4267">
      <c r="B4267" s="39" t="n">
        <v>46337</v>
      </c>
      <c r="C4267" s="3" t="inlineStr">
        <is>
          <t>Credit Card Expense</t>
        </is>
      </c>
      <c r="D4267" s="3" t="inlineStr"/>
      <c r="E4267" s="3" t="inlineStr">
        <is>
          <t>Tessarand Payroll Services</t>
        </is>
      </c>
      <c r="F4267" s="3" t="inlineStr">
        <is>
          <t>Sales and Marketing Expenses – November</t>
        </is>
      </c>
      <c r="G4267" s="3" t="inlineStr">
        <is>
          <t>Checking – Operating</t>
        </is>
      </c>
      <c r="H4267" s="3" t="inlineStr">
        <is>
          <t>Sales and Marketing Expenses</t>
        </is>
      </c>
      <c r="I4267" s="33" t="n">
        <v>13539.14</v>
      </c>
      <c r="J4267" s="13">
        <f>+J4266+I4267</f>
        <v>663599.07</v>
      </c>
      <c r="K4267" s="19">
        <f>+EOMONTH(B4267,0)</f>
        <v>46356</v>
      </c>
      <c r="L4267" s="3" t="inlineStr">
        <is>
          <t>Sales and Marketing Expenses</t>
        </is>
      </c>
      <c r="M4267" s="3" t="inlineStr">
        <is>
          <t>Sales Rep Expense</t>
        </is>
      </c>
    </row>
    <row r="4268">
      <c r="B4268" s="39" t="n">
        <v>46347</v>
      </c>
      <c r="C4268" s="3" t="inlineStr">
        <is>
          <t>Expense</t>
        </is>
      </c>
      <c r="D4268" s="3" t="inlineStr">
        <is>
          <t>11195</t>
        </is>
      </c>
      <c r="E4268" s="3" t="inlineStr">
        <is>
          <t>Tessarand Payroll Services</t>
        </is>
      </c>
      <c r="F4268" s="3" t="inlineStr">
        <is>
          <t>Sales and Marketing Expenses – November</t>
        </is>
      </c>
      <c r="G4268" s="3" t="inlineStr">
        <is>
          <t>Checking – Operating</t>
        </is>
      </c>
      <c r="H4268" s="3" t="inlineStr">
        <is>
          <t>Sales and Marketing Expenses</t>
        </is>
      </c>
      <c r="I4268" s="33" t="n">
        <v>14432.81</v>
      </c>
      <c r="J4268" s="13">
        <f>+J4267+I4268</f>
        <v>678031.88</v>
      </c>
      <c r="K4268" s="19">
        <f>+EOMONTH(B4268,0)</f>
        <v>46356</v>
      </c>
      <c r="L4268" s="3" t="inlineStr">
        <is>
          <t>Sales and Marketing Expenses</t>
        </is>
      </c>
      <c r="M4268" s="3" t="inlineStr">
        <is>
          <t>Sales Rep Expense</t>
        </is>
      </c>
    </row>
    <row r="4269">
      <c r="B4269" s="39" t="n">
        <v>46351</v>
      </c>
      <c r="C4269" s="3" t="inlineStr">
        <is>
          <t>Expense</t>
        </is>
      </c>
      <c r="D4269" s="3" t="inlineStr">
        <is>
          <t>11196</t>
        </is>
      </c>
      <c r="E4269" s="3" t="inlineStr">
        <is>
          <t>Tessarand Payroll Services</t>
        </is>
      </c>
      <c r="F4269" s="3" t="inlineStr">
        <is>
          <t>Sales and Marketing Expenses – November</t>
        </is>
      </c>
      <c r="G4269" s="3" t="inlineStr">
        <is>
          <t>Checking – Operating</t>
        </is>
      </c>
      <c r="H4269" s="3" t="inlineStr">
        <is>
          <t>Sales and Marketing Expenses</t>
        </is>
      </c>
      <c r="I4269" s="33" t="n">
        <v>9413.41</v>
      </c>
      <c r="J4269" s="13">
        <f>+J4268+I4269</f>
        <v>687445.29</v>
      </c>
      <c r="K4269" s="19">
        <f>+EOMONTH(B4269,0)</f>
        <v>46356</v>
      </c>
      <c r="L4269" s="3" t="inlineStr">
        <is>
          <t>Sales and Marketing Expenses</t>
        </is>
      </c>
      <c r="M4269" s="3" t="inlineStr">
        <is>
          <t>Sales Rep Expense</t>
        </is>
      </c>
    </row>
    <row r="4270">
      <c r="A4270" s="2" t="inlineStr">
        <is>
          <t>Total for Sales and Marketing Expenses</t>
        </is>
      </c>
      <c r="I4270" s="35">
        <f>SUM(I4226:I4269)</f>
        <v>687445.29</v>
      </c>
    </row>
    <row r="4272">
      <c r="A4272" s="2" t="inlineStr">
        <is>
          <t>Business Meetings &amp; Development</t>
        </is>
      </c>
    </row>
    <row r="4273">
      <c r="B4273" s="39" t="n">
        <v>46028</v>
      </c>
      <c r="C4273" s="3" t="inlineStr">
        <is>
          <t>Expense</t>
        </is>
      </c>
      <c r="D4273" s="3" t="inlineStr">
        <is>
          <t>11198</t>
        </is>
      </c>
      <c r="E4273" s="3" t="inlineStr"/>
      <c r="F4273" s="3" t="inlineStr">
        <is>
          <t>Business Meetings &amp; Development – January</t>
        </is>
      </c>
      <c r="G4273" s="3" t="inlineStr">
        <is>
          <t>Checking – Operating</t>
        </is>
      </c>
      <c r="H4273" s="3" t="inlineStr">
        <is>
          <t>Business Meetings &amp; Development</t>
        </is>
      </c>
      <c r="I4273" s="33" t="n">
        <v>3186.02</v>
      </c>
      <c r="J4273" s="13">
        <f>+I4273</f>
        <v>3186.02</v>
      </c>
      <c r="K4273" s="19">
        <f>+EOMONTH(B4273,0)</f>
        <v>46053</v>
      </c>
      <c r="L4273" s="3" t="inlineStr">
        <is>
          <t>Business Meetings &amp; Development</t>
        </is>
      </c>
      <c r="M4273" s="3" t="inlineStr">
        <is>
          <t>Advertising &amp; Marketing</t>
        </is>
      </c>
    </row>
    <row r="4274">
      <c r="B4274" s="39" t="n">
        <v>46051</v>
      </c>
      <c r="C4274" s="3" t="inlineStr">
        <is>
          <t>Credit Card Expense</t>
        </is>
      </c>
      <c r="D4274" s="3" t="inlineStr"/>
      <c r="E4274" s="3" t="inlineStr"/>
      <c r="F4274" s="3" t="inlineStr">
        <is>
          <t>Business Meetings &amp; Development – January</t>
        </is>
      </c>
      <c r="G4274" s="3" t="inlineStr">
        <is>
          <t>Checking – Operating</t>
        </is>
      </c>
      <c r="H4274" s="3" t="inlineStr">
        <is>
          <t>Business Meetings &amp; Development</t>
        </is>
      </c>
      <c r="I4274" s="33" t="n">
        <v>4413.98</v>
      </c>
      <c r="J4274" s="13">
        <f>+J4273+I4274</f>
        <v>7600</v>
      </c>
      <c r="K4274" s="19">
        <f>+EOMONTH(B4274,0)</f>
        <v>46053</v>
      </c>
      <c r="L4274" s="3" t="inlineStr">
        <is>
          <t>Business Meetings &amp; Development</t>
        </is>
      </c>
      <c r="M4274" s="3" t="inlineStr">
        <is>
          <t>Advertising &amp; Marketing</t>
        </is>
      </c>
    </row>
    <row r="4275">
      <c r="B4275" s="39" t="n">
        <v>46064</v>
      </c>
      <c r="C4275" s="3" t="inlineStr">
        <is>
          <t>Expense</t>
        </is>
      </c>
      <c r="D4275" s="3" t="inlineStr">
        <is>
          <t>11200</t>
        </is>
      </c>
      <c r="E4275" s="3" t="inlineStr"/>
      <c r="F4275" s="3" t="inlineStr">
        <is>
          <t>Business Meetings &amp; Development – February</t>
        </is>
      </c>
      <c r="G4275" s="3" t="inlineStr">
        <is>
          <t>Checking – Operating</t>
        </is>
      </c>
      <c r="H4275" s="3" t="inlineStr">
        <is>
          <t>Business Meetings &amp; Development</t>
        </is>
      </c>
      <c r="I4275" s="33" t="n">
        <v>3644.09</v>
      </c>
      <c r="J4275" s="13">
        <f>+J4274+I4275</f>
        <v>11244.09</v>
      </c>
      <c r="K4275" s="19">
        <f>+EOMONTH(B4275,0)</f>
        <v>46081</v>
      </c>
      <c r="L4275" s="3" t="inlineStr">
        <is>
          <t>Business Meetings &amp; Development</t>
        </is>
      </c>
      <c r="M4275" s="3" t="inlineStr">
        <is>
          <t>Advertising &amp; Marketing</t>
        </is>
      </c>
    </row>
    <row r="4276">
      <c r="B4276" s="39" t="n">
        <v>46074</v>
      </c>
      <c r="C4276" s="3" t="inlineStr">
        <is>
          <t>Expense</t>
        </is>
      </c>
      <c r="D4276" s="3" t="inlineStr">
        <is>
          <t>11199</t>
        </is>
      </c>
      <c r="E4276" s="3" t="inlineStr"/>
      <c r="F4276" s="3" t="inlineStr">
        <is>
          <t>Business Meetings &amp; Development – February</t>
        </is>
      </c>
      <c r="G4276" s="3" t="inlineStr">
        <is>
          <t>Checking – Operating</t>
        </is>
      </c>
      <c r="H4276" s="3" t="inlineStr">
        <is>
          <t>Business Meetings &amp; Development</t>
        </is>
      </c>
      <c r="I4276" s="33" t="n">
        <v>3255.91</v>
      </c>
      <c r="J4276" s="13">
        <f>+J4275+I4276</f>
        <v>14500</v>
      </c>
      <c r="K4276" s="19">
        <f>+EOMONTH(B4276,0)</f>
        <v>46081</v>
      </c>
      <c r="L4276" s="3" t="inlineStr">
        <is>
          <t>Business Meetings &amp; Development</t>
        </is>
      </c>
      <c r="M4276" s="3" t="inlineStr">
        <is>
          <t>Advertising &amp; Marketing</t>
        </is>
      </c>
    </row>
    <row r="4277">
      <c r="B4277" s="39" t="n">
        <v>46087</v>
      </c>
      <c r="C4277" s="3" t="inlineStr">
        <is>
          <t>Expense</t>
        </is>
      </c>
      <c r="D4277" s="3" t="inlineStr">
        <is>
          <t>11201</t>
        </is>
      </c>
      <c r="E4277" s="3" t="inlineStr"/>
      <c r="F4277" s="3" t="inlineStr">
        <is>
          <t>Business Meetings &amp; Development – March</t>
        </is>
      </c>
      <c r="G4277" s="3" t="inlineStr">
        <is>
          <t>Checking – Operating</t>
        </is>
      </c>
      <c r="H4277" s="3" t="inlineStr">
        <is>
          <t>Business Meetings &amp; Development</t>
        </is>
      </c>
      <c r="I4277" s="33" t="n">
        <v>3976.62</v>
      </c>
      <c r="J4277" s="13">
        <f>+J4276+I4277</f>
        <v>18476.62</v>
      </c>
      <c r="K4277" s="19">
        <f>+EOMONTH(B4277,0)</f>
        <v>46112</v>
      </c>
      <c r="L4277" s="3" t="inlineStr">
        <is>
          <t>Business Meetings &amp; Development</t>
        </is>
      </c>
      <c r="M4277" s="3" t="inlineStr">
        <is>
          <t>Advertising &amp; Marketing</t>
        </is>
      </c>
    </row>
    <row r="4278">
      <c r="B4278" s="39" t="n">
        <v>46112</v>
      </c>
      <c r="C4278" s="3" t="inlineStr">
        <is>
          <t>Journal Entry</t>
        </is>
      </c>
      <c r="D4278" s="3" t="inlineStr">
        <is>
          <t>JE-2766</t>
        </is>
      </c>
      <c r="E4278" s="3" t="inlineStr"/>
      <c r="F4278" s="3" t="inlineStr">
        <is>
          <t>Business Meetings &amp; Development – March</t>
        </is>
      </c>
      <c r="G4278" s="3" t="inlineStr">
        <is>
          <t>Checking – Operating</t>
        </is>
      </c>
      <c r="H4278" s="3" t="inlineStr">
        <is>
          <t>Business Meetings &amp; Development</t>
        </is>
      </c>
      <c r="I4278" s="33" t="n">
        <v>3223.38</v>
      </c>
      <c r="J4278" s="13">
        <f>+J4277+I4278</f>
        <v>21700</v>
      </c>
      <c r="K4278" s="19">
        <f>+EOMONTH(B4278,0)</f>
        <v>46112</v>
      </c>
      <c r="L4278" s="3" t="inlineStr">
        <is>
          <t>Business Meetings &amp; Development</t>
        </is>
      </c>
      <c r="M4278" s="3" t="inlineStr">
        <is>
          <t>Advertising &amp; Marketing</t>
        </is>
      </c>
    </row>
    <row r="4279">
      <c r="B4279" s="39" t="n">
        <v>46117</v>
      </c>
      <c r="C4279" s="3" t="inlineStr">
        <is>
          <t>Credit Card Expense</t>
        </is>
      </c>
      <c r="D4279" s="3" t="inlineStr"/>
      <c r="E4279" s="3" t="inlineStr"/>
      <c r="F4279" s="3" t="inlineStr">
        <is>
          <t>Business Meetings &amp; Development – April</t>
        </is>
      </c>
      <c r="G4279" s="3" t="inlineStr">
        <is>
          <t>Checking – Operating</t>
        </is>
      </c>
      <c r="H4279" s="3" t="inlineStr">
        <is>
          <t>Business Meetings &amp; Development</t>
        </is>
      </c>
      <c r="I4279" s="33" t="n">
        <v>4358.03</v>
      </c>
      <c r="J4279" s="13">
        <f>+J4278+I4279</f>
        <v>26058.03</v>
      </c>
      <c r="K4279" s="19">
        <f>+EOMONTH(B4279,0)</f>
        <v>46142</v>
      </c>
      <c r="L4279" s="3" t="inlineStr">
        <is>
          <t>Business Meetings &amp; Development</t>
        </is>
      </c>
      <c r="M4279" s="3" t="inlineStr">
        <is>
          <t>Advertising &amp; Marketing</t>
        </is>
      </c>
    </row>
    <row r="4280">
      <c r="B4280" s="39" t="n">
        <v>46129</v>
      </c>
      <c r="C4280" s="3" t="inlineStr">
        <is>
          <t>Expense</t>
        </is>
      </c>
      <c r="D4280" s="3" t="inlineStr">
        <is>
          <t>11202</t>
        </is>
      </c>
      <c r="E4280" s="3" t="inlineStr"/>
      <c r="F4280" s="3" t="inlineStr">
        <is>
          <t>Business Meetings &amp; Development – April</t>
        </is>
      </c>
      <c r="G4280" s="3" t="inlineStr">
        <is>
          <t>Checking – Operating</t>
        </is>
      </c>
      <c r="H4280" s="3" t="inlineStr">
        <is>
          <t>Business Meetings &amp; Development</t>
        </is>
      </c>
      <c r="I4280" s="33" t="n">
        <v>2541.97</v>
      </c>
      <c r="J4280" s="13">
        <f>+J4279+I4280</f>
        <v>28600</v>
      </c>
      <c r="K4280" s="19">
        <f>+EOMONTH(B4280,0)</f>
        <v>46142</v>
      </c>
      <c r="L4280" s="3" t="inlineStr">
        <is>
          <t>Business Meetings &amp; Development</t>
        </is>
      </c>
      <c r="M4280" s="3" t="inlineStr">
        <is>
          <t>Advertising &amp; Marketing</t>
        </is>
      </c>
    </row>
    <row r="4281">
      <c r="B4281" s="39" t="n">
        <v>46144</v>
      </c>
      <c r="C4281" s="3" t="inlineStr">
        <is>
          <t>Expense</t>
        </is>
      </c>
      <c r="D4281" s="3" t="inlineStr">
        <is>
          <t>11203</t>
        </is>
      </c>
      <c r="E4281" s="3" t="inlineStr"/>
      <c r="F4281" s="3" t="inlineStr">
        <is>
          <t>Business Meetings &amp; Development – May</t>
        </is>
      </c>
      <c r="G4281" s="3" t="inlineStr">
        <is>
          <t>Checking – Operating</t>
        </is>
      </c>
      <c r="H4281" s="3" t="inlineStr">
        <is>
          <t>Business Meetings &amp; Development</t>
        </is>
      </c>
      <c r="I4281" s="33" t="n">
        <v>3097.73</v>
      </c>
      <c r="J4281" s="13">
        <f>+J4280+I4281</f>
        <v>31697.73</v>
      </c>
      <c r="K4281" s="19">
        <f>+EOMONTH(B4281,0)</f>
        <v>46173</v>
      </c>
      <c r="L4281" s="3" t="inlineStr">
        <is>
          <t>Business Meetings &amp; Development</t>
        </is>
      </c>
      <c r="M4281" s="3" t="inlineStr">
        <is>
          <t>Advertising &amp; Marketing</t>
        </is>
      </c>
    </row>
    <row r="4282">
      <c r="B4282" s="39" t="n">
        <v>46162</v>
      </c>
      <c r="C4282" s="3" t="inlineStr">
        <is>
          <t>Credit Card Expense</t>
        </is>
      </c>
      <c r="D4282" s="3" t="inlineStr"/>
      <c r="E4282" s="3" t="inlineStr"/>
      <c r="F4282" s="3" t="inlineStr">
        <is>
          <t>Business Meetings &amp; Development – May</t>
        </is>
      </c>
      <c r="G4282" s="3" t="inlineStr">
        <is>
          <t>Checking – Operating</t>
        </is>
      </c>
      <c r="H4282" s="3" t="inlineStr">
        <is>
          <t>Business Meetings &amp; Development</t>
        </is>
      </c>
      <c r="I4282" s="33" t="n">
        <v>4402.27</v>
      </c>
      <c r="J4282" s="13">
        <f>+J4281+I4282</f>
        <v>36100</v>
      </c>
      <c r="K4282" s="19">
        <f>+EOMONTH(B4282,0)</f>
        <v>46173</v>
      </c>
      <c r="L4282" s="3" t="inlineStr">
        <is>
          <t>Business Meetings &amp; Development</t>
        </is>
      </c>
      <c r="M4282" s="3" t="inlineStr">
        <is>
          <t>Advertising &amp; Marketing</t>
        </is>
      </c>
    </row>
    <row r="4283">
      <c r="B4283" s="39" t="n">
        <v>46187</v>
      </c>
      <c r="C4283" s="3" t="inlineStr">
        <is>
          <t>Expense</t>
        </is>
      </c>
      <c r="D4283" s="3" t="inlineStr">
        <is>
          <t>11204</t>
        </is>
      </c>
      <c r="E4283" s="3" t="inlineStr"/>
      <c r="F4283" s="3" t="inlineStr">
        <is>
          <t>Business Meetings &amp; Development – June</t>
        </is>
      </c>
      <c r="G4283" s="3" t="inlineStr">
        <is>
          <t>Checking – Operating</t>
        </is>
      </c>
      <c r="H4283" s="3" t="inlineStr">
        <is>
          <t>Business Meetings &amp; Development</t>
        </is>
      </c>
      <c r="I4283" s="33" t="n">
        <v>4159.17</v>
      </c>
      <c r="J4283" s="13">
        <f>+J4282+I4283</f>
        <v>40259.17</v>
      </c>
      <c r="K4283" s="19">
        <f>+EOMONTH(B4283,0)</f>
        <v>46203</v>
      </c>
      <c r="L4283" s="3" t="inlineStr">
        <is>
          <t>Business Meetings &amp; Development</t>
        </is>
      </c>
      <c r="M4283" s="3" t="inlineStr">
        <is>
          <t>Advertising &amp; Marketing</t>
        </is>
      </c>
    </row>
    <row r="4284">
      <c r="B4284" s="39" t="n">
        <v>46201</v>
      </c>
      <c r="C4284" s="3" t="inlineStr">
        <is>
          <t>Credit Card Expense</t>
        </is>
      </c>
      <c r="D4284" s="3" t="inlineStr"/>
      <c r="E4284" s="3" t="inlineStr"/>
      <c r="F4284" s="3" t="inlineStr">
        <is>
          <t>Business Meetings &amp; Development – June</t>
        </is>
      </c>
      <c r="G4284" s="3" t="inlineStr">
        <is>
          <t>Checking – Operating</t>
        </is>
      </c>
      <c r="H4284" s="3" t="inlineStr">
        <is>
          <t>Business Meetings &amp; Development</t>
        </is>
      </c>
      <c r="I4284" s="33" t="n">
        <v>3240.83</v>
      </c>
      <c r="J4284" s="13">
        <f>+J4283+I4284</f>
        <v>43500</v>
      </c>
      <c r="K4284" s="19">
        <f>+EOMONTH(B4284,0)</f>
        <v>46203</v>
      </c>
      <c r="L4284" s="3" t="inlineStr">
        <is>
          <t>Business Meetings &amp; Development</t>
        </is>
      </c>
      <c r="M4284" s="3" t="inlineStr">
        <is>
          <t>Advertising &amp; Marketing</t>
        </is>
      </c>
    </row>
    <row r="4285">
      <c r="B4285" s="39" t="n">
        <v>46220</v>
      </c>
      <c r="C4285" s="3" t="inlineStr">
        <is>
          <t>Credit Card Expense</t>
        </is>
      </c>
      <c r="D4285" s="3" t="inlineStr"/>
      <c r="E4285" s="3" t="inlineStr"/>
      <c r="F4285" s="3" t="inlineStr">
        <is>
          <t>Business Meetings &amp; Development – July</t>
        </is>
      </c>
      <c r="G4285" s="3" t="inlineStr">
        <is>
          <t>Checking – Operating</t>
        </is>
      </c>
      <c r="H4285" s="3" t="inlineStr">
        <is>
          <t>Business Meetings &amp; Development</t>
        </is>
      </c>
      <c r="I4285" s="33" t="n">
        <v>3475.13</v>
      </c>
      <c r="J4285" s="13">
        <f>+J4284+I4285</f>
        <v>46975.13</v>
      </c>
      <c r="K4285" s="19">
        <f>+EOMONTH(B4285,0)</f>
        <v>46234</v>
      </c>
      <c r="L4285" s="3" t="inlineStr">
        <is>
          <t>Business Meetings &amp; Development</t>
        </is>
      </c>
      <c r="M4285" s="3" t="inlineStr">
        <is>
          <t>Advertising &amp; Marketing</t>
        </is>
      </c>
    </row>
    <row r="4286">
      <c r="B4286" s="39" t="n">
        <v>46221</v>
      </c>
      <c r="C4286" s="3" t="inlineStr">
        <is>
          <t>Expense</t>
        </is>
      </c>
      <c r="D4286" s="3" t="inlineStr">
        <is>
          <t>11205</t>
        </is>
      </c>
      <c r="E4286" s="3" t="inlineStr"/>
      <c r="F4286" s="3" t="inlineStr">
        <is>
          <t>Business Meetings &amp; Development – July</t>
        </is>
      </c>
      <c r="G4286" s="3" t="inlineStr">
        <is>
          <t>Checking – Operating</t>
        </is>
      </c>
      <c r="H4286" s="3" t="inlineStr">
        <is>
          <t>Business Meetings &amp; Development</t>
        </is>
      </c>
      <c r="I4286" s="33" t="n">
        <v>3424.87</v>
      </c>
      <c r="J4286" s="13">
        <f>+J4285+I4286</f>
        <v>50400</v>
      </c>
      <c r="K4286" s="19">
        <f>+EOMONTH(B4286,0)</f>
        <v>46234</v>
      </c>
      <c r="L4286" s="3" t="inlineStr">
        <is>
          <t>Business Meetings &amp; Development</t>
        </is>
      </c>
      <c r="M4286" s="3" t="inlineStr">
        <is>
          <t>Advertising &amp; Marketing</t>
        </is>
      </c>
    </row>
    <row r="4287">
      <c r="B4287" s="39" t="n">
        <v>46242</v>
      </c>
      <c r="C4287" s="3" t="inlineStr">
        <is>
          <t>Journal Entry</t>
        </is>
      </c>
      <c r="D4287" s="3" t="inlineStr">
        <is>
          <t>JE-2767</t>
        </is>
      </c>
      <c r="E4287" s="3" t="inlineStr"/>
      <c r="F4287" s="3" t="inlineStr">
        <is>
          <t>Business Meetings &amp; Development – August</t>
        </is>
      </c>
      <c r="G4287" s="3" t="inlineStr">
        <is>
          <t>Checking – Operating</t>
        </is>
      </c>
      <c r="H4287" s="3" t="inlineStr">
        <is>
          <t>Business Meetings &amp; Development</t>
        </is>
      </c>
      <c r="I4287" s="33" t="n">
        <v>4550.89</v>
      </c>
      <c r="J4287" s="13">
        <f>+J4286+I4287</f>
        <v>54950.89</v>
      </c>
      <c r="K4287" s="19">
        <f>+EOMONTH(B4287,0)</f>
        <v>46265</v>
      </c>
      <c r="L4287" s="3" t="inlineStr">
        <is>
          <t>Business Meetings &amp; Development</t>
        </is>
      </c>
      <c r="M4287" s="3" t="inlineStr">
        <is>
          <t>Advertising &amp; Marketing</t>
        </is>
      </c>
    </row>
    <row r="4288">
      <c r="B4288" s="39" t="n">
        <v>46247</v>
      </c>
      <c r="C4288" s="3" t="inlineStr">
        <is>
          <t>Expense</t>
        </is>
      </c>
      <c r="D4288" s="3" t="inlineStr">
        <is>
          <t>11206</t>
        </is>
      </c>
      <c r="E4288" s="3" t="inlineStr"/>
      <c r="F4288" s="3" t="inlineStr">
        <is>
          <t>Business Meetings &amp; Development – August</t>
        </is>
      </c>
      <c r="G4288" s="3" t="inlineStr">
        <is>
          <t>Checking – Operating</t>
        </is>
      </c>
      <c r="H4288" s="3" t="inlineStr">
        <is>
          <t>Business Meetings &amp; Development</t>
        </is>
      </c>
      <c r="I4288" s="33" t="n">
        <v>2749.11</v>
      </c>
      <c r="J4288" s="13">
        <f>+J4287+I4288</f>
        <v>57700</v>
      </c>
      <c r="K4288" s="19">
        <f>+EOMONTH(B4288,0)</f>
        <v>46265</v>
      </c>
      <c r="L4288" s="3" t="inlineStr">
        <is>
          <t>Business Meetings &amp; Development</t>
        </is>
      </c>
      <c r="M4288" s="3" t="inlineStr">
        <is>
          <t>Advertising &amp; Marketing</t>
        </is>
      </c>
    </row>
    <row r="4289">
      <c r="B4289" s="39" t="n">
        <v>46282</v>
      </c>
      <c r="C4289" s="3" t="inlineStr">
        <is>
          <t>Journal Entry</t>
        </is>
      </c>
      <c r="D4289" s="3" t="inlineStr">
        <is>
          <t>JE-2768</t>
        </is>
      </c>
      <c r="E4289" s="3" t="inlineStr"/>
      <c r="F4289" s="3" t="inlineStr">
        <is>
          <t>Business Meetings &amp; Development – September</t>
        </is>
      </c>
      <c r="G4289" s="3" t="inlineStr">
        <is>
          <t>Checking – Operating</t>
        </is>
      </c>
      <c r="H4289" s="3" t="inlineStr">
        <is>
          <t>Business Meetings &amp; Development</t>
        </is>
      </c>
      <c r="I4289" s="33" t="n">
        <v>4760.65</v>
      </c>
      <c r="J4289" s="13">
        <f>+J4288+I4289</f>
        <v>62460.65</v>
      </c>
      <c r="K4289" s="19">
        <f>+EOMONTH(B4289,0)</f>
        <v>46295</v>
      </c>
      <c r="L4289" s="3" t="inlineStr">
        <is>
          <t>Business Meetings &amp; Development</t>
        </is>
      </c>
      <c r="M4289" s="3" t="inlineStr">
        <is>
          <t>Advertising &amp; Marketing</t>
        </is>
      </c>
    </row>
    <row r="4290">
      <c r="B4290" s="39" t="n">
        <v>46286</v>
      </c>
      <c r="C4290" s="3" t="inlineStr">
        <is>
          <t>Credit Card Expense</t>
        </is>
      </c>
      <c r="D4290" s="3" t="inlineStr"/>
      <c r="E4290" s="3" t="inlineStr"/>
      <c r="F4290" s="3" t="inlineStr">
        <is>
          <t>Business Meetings &amp; Development – September</t>
        </is>
      </c>
      <c r="G4290" s="3" t="inlineStr">
        <is>
          <t>Checking – Operating</t>
        </is>
      </c>
      <c r="H4290" s="3" t="inlineStr">
        <is>
          <t>Business Meetings &amp; Development</t>
        </is>
      </c>
      <c r="I4290" s="33" t="n">
        <v>2535.03</v>
      </c>
      <c r="J4290" s="13">
        <f>+J4289+I4290</f>
        <v>64995.68</v>
      </c>
      <c r="K4290" s="19">
        <f>+EOMONTH(B4290,0)</f>
        <v>46295</v>
      </c>
      <c r="L4290" s="3" t="inlineStr">
        <is>
          <t>Business Meetings &amp; Development</t>
        </is>
      </c>
      <c r="M4290" s="3" t="inlineStr">
        <is>
          <t>Advertising &amp; Marketing</t>
        </is>
      </c>
    </row>
    <row r="4291">
      <c r="B4291" s="39" t="n">
        <v>46322</v>
      </c>
      <c r="C4291" s="3" t="inlineStr">
        <is>
          <t>Credit Card Expense</t>
        </is>
      </c>
      <c r="D4291" s="3" t="inlineStr"/>
      <c r="E4291" s="3" t="inlineStr"/>
      <c r="F4291" s="3" t="inlineStr">
        <is>
          <t>Business Meetings &amp; Development – October</t>
        </is>
      </c>
      <c r="G4291" s="3" t="inlineStr">
        <is>
          <t>Checking – Operating</t>
        </is>
      </c>
      <c r="H4291" s="3" t="inlineStr">
        <is>
          <t>Business Meetings &amp; Development</t>
        </is>
      </c>
      <c r="I4291" s="33" t="n">
        <v>7411.76</v>
      </c>
      <c r="J4291" s="13">
        <f>+J4290+I4291</f>
        <v>72407.44</v>
      </c>
      <c r="K4291" s="19">
        <f>+EOMONTH(B4291,0)</f>
        <v>46326</v>
      </c>
      <c r="L4291" s="3" t="inlineStr">
        <is>
          <t>Business Meetings &amp; Development</t>
        </is>
      </c>
      <c r="M4291" s="3" t="inlineStr">
        <is>
          <t>Advertising &amp; Marketing</t>
        </is>
      </c>
    </row>
    <row r="4292">
      <c r="B4292" s="39" t="n">
        <v>46330</v>
      </c>
      <c r="C4292" s="3" t="inlineStr">
        <is>
          <t>Expense</t>
        </is>
      </c>
      <c r="D4292" s="3" t="inlineStr">
        <is>
          <t>11208</t>
        </is>
      </c>
      <c r="E4292" s="3" t="inlineStr"/>
      <c r="F4292" s="3" t="inlineStr">
        <is>
          <t>Business Meetings &amp; Development – November</t>
        </is>
      </c>
      <c r="G4292" s="3" t="inlineStr">
        <is>
          <t>Checking – Operating</t>
        </is>
      </c>
      <c r="H4292" s="3" t="inlineStr">
        <is>
          <t>Business Meetings &amp; Development</t>
        </is>
      </c>
      <c r="I4292" s="33" t="n">
        <v>3177.44</v>
      </c>
      <c r="J4292" s="13">
        <f>+J4291+I4292</f>
        <v>75584.88</v>
      </c>
      <c r="K4292" s="19">
        <f>+EOMONTH(B4292,0)</f>
        <v>46356</v>
      </c>
      <c r="L4292" s="3" t="inlineStr">
        <is>
          <t>Business Meetings &amp; Development</t>
        </is>
      </c>
      <c r="M4292" s="3" t="inlineStr">
        <is>
          <t>Advertising &amp; Marketing</t>
        </is>
      </c>
    </row>
    <row r="4293">
      <c r="B4293" s="39" t="n">
        <v>46334</v>
      </c>
      <c r="C4293" s="3" t="inlineStr">
        <is>
          <t>Expense</t>
        </is>
      </c>
      <c r="D4293" s="3" t="inlineStr">
        <is>
          <t>11207</t>
        </is>
      </c>
      <c r="E4293" s="3" t="inlineStr"/>
      <c r="F4293" s="3" t="inlineStr">
        <is>
          <t>Business Meetings &amp; Development – November</t>
        </is>
      </c>
      <c r="G4293" s="3" t="inlineStr">
        <is>
          <t>Checking – Operating</t>
        </is>
      </c>
      <c r="H4293" s="3" t="inlineStr">
        <is>
          <t>Business Meetings &amp; Development</t>
        </is>
      </c>
      <c r="I4293" s="33" t="n">
        <v>4042.99</v>
      </c>
      <c r="J4293" s="13">
        <f>+J4292+I4293</f>
        <v>79627.87</v>
      </c>
      <c r="K4293" s="19">
        <f>+EOMONTH(B4293,0)</f>
        <v>46356</v>
      </c>
      <c r="L4293" s="3" t="inlineStr">
        <is>
          <t>Business Meetings &amp; Development</t>
        </is>
      </c>
      <c r="M4293" s="3" t="inlineStr">
        <is>
          <t>Advertising &amp; Marketing</t>
        </is>
      </c>
    </row>
    <row r="4294">
      <c r="A4294" s="2" t="inlineStr">
        <is>
          <t>Total for Business Meetings &amp; Development</t>
        </is>
      </c>
      <c r="I4294" s="35">
        <f>SUM(I4273:I4293)</f>
        <v>79627.87</v>
      </c>
    </row>
    <row r="4296">
      <c r="A4296" s="2" t="inlineStr">
        <is>
          <t>Software</t>
        </is>
      </c>
    </row>
    <row r="4297">
      <c r="B4297" s="39" t="n">
        <v>46026</v>
      </c>
      <c r="C4297" s="3" t="inlineStr">
        <is>
          <t>Credit Card Expense</t>
        </is>
      </c>
      <c r="D4297" s="3" t="inlineStr"/>
      <c r="E4297" s="3" t="inlineStr">
        <is>
          <t>Ledgerquill Billing SaaS</t>
        </is>
      </c>
      <c r="F4297" s="3" t="inlineStr">
        <is>
          <t>Software – January</t>
        </is>
      </c>
      <c r="G4297" s="3" t="inlineStr">
        <is>
          <t>Checking – Operating</t>
        </is>
      </c>
      <c r="H4297" s="3" t="inlineStr">
        <is>
          <t>Software</t>
        </is>
      </c>
      <c r="I4297" s="33" t="n">
        <v>2653.5</v>
      </c>
      <c r="J4297" s="13">
        <f>+I4297</f>
        <v>2653.5</v>
      </c>
      <c r="K4297" s="19">
        <f>+EOMONTH(B4297,0)</f>
        <v>46053</v>
      </c>
      <c r="L4297" s="3" t="inlineStr">
        <is>
          <t>Software</t>
        </is>
      </c>
      <c r="M4297" s="3" t="inlineStr">
        <is>
          <t>Information Technology Expense</t>
        </is>
      </c>
    </row>
    <row r="4298">
      <c r="B4298" s="39" t="n">
        <v>46038</v>
      </c>
      <c r="C4298" s="3" t="inlineStr">
        <is>
          <t>Credit Card Expense</t>
        </is>
      </c>
      <c r="D4298" s="3" t="inlineStr"/>
      <c r="E4298" s="3" t="inlineStr">
        <is>
          <t>Ledgerquill Billing SaaS</t>
        </is>
      </c>
      <c r="F4298" s="3" t="inlineStr">
        <is>
          <t>Software – January</t>
        </is>
      </c>
      <c r="G4298" s="3" t="inlineStr">
        <is>
          <t>Checking – Operating</t>
        </is>
      </c>
      <c r="H4298" s="3" t="inlineStr">
        <is>
          <t>Software</t>
        </is>
      </c>
      <c r="I4298" s="33" t="n">
        <v>2656.5</v>
      </c>
      <c r="J4298" s="13">
        <f>+J4297+I4298</f>
        <v>5310</v>
      </c>
      <c r="K4298" s="19">
        <f>+EOMONTH(B4298,0)</f>
        <v>46053</v>
      </c>
      <c r="L4298" s="3" t="inlineStr">
        <is>
          <t>Software</t>
        </is>
      </c>
      <c r="M4298" s="3" t="inlineStr">
        <is>
          <t>Information Technology Expense</t>
        </is>
      </c>
    </row>
    <row r="4299">
      <c r="B4299" s="39" t="n">
        <v>46061</v>
      </c>
      <c r="C4299" s="3" t="inlineStr">
        <is>
          <t>Journal Entry</t>
        </is>
      </c>
      <c r="D4299" s="3" t="inlineStr">
        <is>
          <t>JE-2770</t>
        </is>
      </c>
      <c r="E4299" s="3" t="inlineStr">
        <is>
          <t>Ledgerquill Billing SaaS</t>
        </is>
      </c>
      <c r="F4299" s="3" t="inlineStr">
        <is>
          <t>Software – February</t>
        </is>
      </c>
      <c r="G4299" s="3" t="inlineStr">
        <is>
          <t>Checking – Operating</t>
        </is>
      </c>
      <c r="H4299" s="3" t="inlineStr">
        <is>
          <t>Software</t>
        </is>
      </c>
      <c r="I4299" s="33" t="n">
        <v>3127.13</v>
      </c>
      <c r="J4299" s="13">
        <f>+J4298+I4299</f>
        <v>8437.13</v>
      </c>
      <c r="K4299" s="19">
        <f>+EOMONTH(B4299,0)</f>
        <v>46081</v>
      </c>
      <c r="L4299" s="3" t="inlineStr">
        <is>
          <t>Software</t>
        </is>
      </c>
      <c r="M4299" s="3" t="inlineStr">
        <is>
          <t>Information Technology Expense</t>
        </is>
      </c>
    </row>
    <row r="4300">
      <c r="B4300" s="39" t="n">
        <v>46066</v>
      </c>
      <c r="C4300" s="3" t="inlineStr">
        <is>
          <t>Journal Entry</t>
        </is>
      </c>
      <c r="D4300" s="3" t="inlineStr">
        <is>
          <t>JE-2769</t>
        </is>
      </c>
      <c r="E4300" s="3" t="inlineStr">
        <is>
          <t>Ledgerquill Billing SaaS</t>
        </is>
      </c>
      <c r="F4300" s="3" t="inlineStr">
        <is>
          <t>Software – February</t>
        </is>
      </c>
      <c r="G4300" s="3" t="inlineStr">
        <is>
          <t>Checking – Operating</t>
        </is>
      </c>
      <c r="H4300" s="3" t="inlineStr">
        <is>
          <t>Software</t>
        </is>
      </c>
      <c r="I4300" s="33" t="n">
        <v>2032.87</v>
      </c>
      <c r="J4300" s="13">
        <f>+J4299+I4300</f>
        <v>10470</v>
      </c>
      <c r="K4300" s="19">
        <f>+EOMONTH(B4300,0)</f>
        <v>46081</v>
      </c>
      <c r="L4300" s="3" t="inlineStr">
        <is>
          <t>Software</t>
        </is>
      </c>
      <c r="M4300" s="3" t="inlineStr">
        <is>
          <t>Information Technology Expense</t>
        </is>
      </c>
    </row>
    <row r="4301">
      <c r="B4301" s="39" t="n">
        <v>46083</v>
      </c>
      <c r="C4301" s="3" t="inlineStr">
        <is>
          <t>Expense</t>
        </is>
      </c>
      <c r="D4301" s="3" t="inlineStr">
        <is>
          <t>11209</t>
        </is>
      </c>
      <c r="E4301" s="3" t="inlineStr">
        <is>
          <t>Ledgerquill Billing SaaS</t>
        </is>
      </c>
      <c r="F4301" s="3" t="inlineStr">
        <is>
          <t>Software – March</t>
        </is>
      </c>
      <c r="G4301" s="3" t="inlineStr">
        <is>
          <t>Checking – Operating</t>
        </is>
      </c>
      <c r="H4301" s="3" t="inlineStr">
        <is>
          <t>Software</t>
        </is>
      </c>
      <c r="I4301" s="33" t="n">
        <v>1982.55</v>
      </c>
      <c r="J4301" s="13">
        <f>+J4300+I4301</f>
        <v>12452.55</v>
      </c>
      <c r="K4301" s="19">
        <f>+EOMONTH(B4301,0)</f>
        <v>46112</v>
      </c>
      <c r="L4301" s="3" t="inlineStr">
        <is>
          <t>Software</t>
        </is>
      </c>
      <c r="M4301" s="3" t="inlineStr">
        <is>
          <t>Information Technology Expense</t>
        </is>
      </c>
    </row>
    <row r="4302">
      <c r="B4302" s="39" t="n">
        <v>46110</v>
      </c>
      <c r="C4302" s="3" t="inlineStr">
        <is>
          <t>Expense</t>
        </is>
      </c>
      <c r="D4302" s="3" t="inlineStr">
        <is>
          <t>11210</t>
        </is>
      </c>
      <c r="E4302" s="3" t="inlineStr">
        <is>
          <t>Ledgerquill Billing SaaS</t>
        </is>
      </c>
      <c r="F4302" s="3" t="inlineStr">
        <is>
          <t>Software – March</t>
        </is>
      </c>
      <c r="G4302" s="3" t="inlineStr">
        <is>
          <t>Checking – Operating</t>
        </is>
      </c>
      <c r="H4302" s="3" t="inlineStr">
        <is>
          <t>Software</t>
        </is>
      </c>
      <c r="I4302" s="33" t="n">
        <v>3747.45</v>
      </c>
      <c r="J4302" s="13">
        <f>+J4301+I4302</f>
        <v>16200</v>
      </c>
      <c r="K4302" s="19">
        <f>+EOMONTH(B4302,0)</f>
        <v>46112</v>
      </c>
      <c r="L4302" s="3" t="inlineStr">
        <is>
          <t>Software</t>
        </is>
      </c>
      <c r="M4302" s="3" t="inlineStr">
        <is>
          <t>Information Technology Expense</t>
        </is>
      </c>
    </row>
    <row r="4303">
      <c r="B4303" s="39" t="n">
        <v>46122</v>
      </c>
      <c r="C4303" s="3" t="inlineStr">
        <is>
          <t>Expense</t>
        </is>
      </c>
      <c r="D4303" s="3" t="inlineStr">
        <is>
          <t>11211</t>
        </is>
      </c>
      <c r="E4303" s="3" t="inlineStr">
        <is>
          <t>Ledgerquill Billing SaaS</t>
        </is>
      </c>
      <c r="F4303" s="3" t="inlineStr">
        <is>
          <t>Software – April</t>
        </is>
      </c>
      <c r="G4303" s="3" t="inlineStr">
        <is>
          <t>Checking – Operating</t>
        </is>
      </c>
      <c r="H4303" s="3" t="inlineStr">
        <is>
          <t>Software</t>
        </is>
      </c>
      <c r="I4303" s="33" t="n">
        <v>3176.19</v>
      </c>
      <c r="J4303" s="13">
        <f>+J4302+I4303</f>
        <v>19376.19</v>
      </c>
      <c r="K4303" s="19">
        <f>+EOMONTH(B4303,0)</f>
        <v>46142</v>
      </c>
      <c r="L4303" s="3" t="inlineStr">
        <is>
          <t>Software</t>
        </is>
      </c>
      <c r="M4303" s="3" t="inlineStr">
        <is>
          <t>Information Technology Expense</t>
        </is>
      </c>
    </row>
    <row r="4304">
      <c r="B4304" s="39" t="n">
        <v>46128</v>
      </c>
      <c r="C4304" s="3" t="inlineStr">
        <is>
          <t>Expense</t>
        </is>
      </c>
      <c r="D4304" s="3" t="inlineStr">
        <is>
          <t>11212</t>
        </is>
      </c>
      <c r="E4304" s="3" t="inlineStr">
        <is>
          <t>Ledgerquill Billing SaaS</t>
        </is>
      </c>
      <c r="F4304" s="3" t="inlineStr">
        <is>
          <t>Software – April</t>
        </is>
      </c>
      <c r="G4304" s="3" t="inlineStr">
        <is>
          <t>Checking – Operating</t>
        </is>
      </c>
      <c r="H4304" s="3" t="inlineStr">
        <is>
          <t>Software</t>
        </is>
      </c>
      <c r="I4304" s="33" t="n">
        <v>2673.81</v>
      </c>
      <c r="J4304" s="13">
        <f>+J4303+I4304</f>
        <v>22050</v>
      </c>
      <c r="K4304" s="19">
        <f>+EOMONTH(B4304,0)</f>
        <v>46142</v>
      </c>
      <c r="L4304" s="3" t="inlineStr">
        <is>
          <t>Software</t>
        </is>
      </c>
      <c r="M4304" s="3" t="inlineStr">
        <is>
          <t>Information Technology Expense</t>
        </is>
      </c>
    </row>
    <row r="4305">
      <c r="B4305" s="39" t="n">
        <v>46168</v>
      </c>
      <c r="C4305" s="3" t="inlineStr">
        <is>
          <t>Credit Card Expense</t>
        </is>
      </c>
      <c r="D4305" s="3" t="inlineStr"/>
      <c r="E4305" s="3" t="inlineStr">
        <is>
          <t>Ledgerquill Billing SaaS</t>
        </is>
      </c>
      <c r="F4305" s="3" t="inlineStr">
        <is>
          <t>Software – May</t>
        </is>
      </c>
      <c r="G4305" s="3" t="inlineStr">
        <is>
          <t>Checking – Operating</t>
        </is>
      </c>
      <c r="H4305" s="3" t="inlineStr">
        <is>
          <t>Software</t>
        </is>
      </c>
      <c r="I4305" s="33" t="n">
        <v>2524.78</v>
      </c>
      <c r="J4305" s="13">
        <f>+J4304+I4305</f>
        <v>24574.78</v>
      </c>
      <c r="K4305" s="19">
        <f>+EOMONTH(B4305,0)</f>
        <v>46173</v>
      </c>
      <c r="L4305" s="3" t="inlineStr">
        <is>
          <t>Software</t>
        </is>
      </c>
      <c r="M4305" s="3" t="inlineStr">
        <is>
          <t>Information Technology Expense</t>
        </is>
      </c>
    </row>
    <row r="4306">
      <c r="B4306" s="39" t="n">
        <v>46171</v>
      </c>
      <c r="C4306" s="3" t="inlineStr">
        <is>
          <t>Credit Card Expense</t>
        </is>
      </c>
      <c r="D4306" s="3" t="inlineStr"/>
      <c r="E4306" s="3" t="inlineStr">
        <is>
          <t>Ledgerquill Billing SaaS</t>
        </is>
      </c>
      <c r="F4306" s="3" t="inlineStr">
        <is>
          <t>Software – May</t>
        </is>
      </c>
      <c r="G4306" s="3" t="inlineStr">
        <is>
          <t>Checking – Operating</t>
        </is>
      </c>
      <c r="H4306" s="3" t="inlineStr">
        <is>
          <t>Software</t>
        </is>
      </c>
      <c r="I4306" s="33" t="n">
        <v>3085.22</v>
      </c>
      <c r="J4306" s="13">
        <f>+J4305+I4306</f>
        <v>27660</v>
      </c>
      <c r="K4306" s="19">
        <f>+EOMONTH(B4306,0)</f>
        <v>46173</v>
      </c>
      <c r="L4306" s="3" t="inlineStr">
        <is>
          <t>Software</t>
        </is>
      </c>
      <c r="M4306" s="3" t="inlineStr">
        <is>
          <t>Information Technology Expense</t>
        </is>
      </c>
    </row>
    <row r="4307">
      <c r="B4307" s="39" t="n">
        <v>46182</v>
      </c>
      <c r="C4307" s="3" t="inlineStr">
        <is>
          <t>Expense</t>
        </is>
      </c>
      <c r="D4307" s="3" t="inlineStr">
        <is>
          <t>11213</t>
        </is>
      </c>
      <c r="E4307" s="3" t="inlineStr">
        <is>
          <t>Ledgerquill Billing SaaS</t>
        </is>
      </c>
      <c r="F4307" s="3" t="inlineStr">
        <is>
          <t>Software – June</t>
        </is>
      </c>
      <c r="G4307" s="3" t="inlineStr">
        <is>
          <t>Checking – Operating</t>
        </is>
      </c>
      <c r="H4307" s="3" t="inlineStr">
        <is>
          <t>Software</t>
        </is>
      </c>
      <c r="I4307" s="33" t="n">
        <v>2957.36</v>
      </c>
      <c r="J4307" s="13">
        <f>+J4306+I4307</f>
        <v>30617.36</v>
      </c>
      <c r="K4307" s="19">
        <f>+EOMONTH(B4307,0)</f>
        <v>46203</v>
      </c>
      <c r="L4307" s="3" t="inlineStr">
        <is>
          <t>Software</t>
        </is>
      </c>
      <c r="M4307" s="3" t="inlineStr">
        <is>
          <t>Information Technology Expense</t>
        </is>
      </c>
    </row>
    <row r="4308">
      <c r="B4308" s="39" t="n">
        <v>46194</v>
      </c>
      <c r="C4308" s="3" t="inlineStr">
        <is>
          <t>Journal Entry</t>
        </is>
      </c>
      <c r="D4308" s="3" t="inlineStr">
        <is>
          <t>JE-2771</t>
        </is>
      </c>
      <c r="E4308" s="3" t="inlineStr">
        <is>
          <t>Ledgerquill Billing SaaS</t>
        </is>
      </c>
      <c r="F4308" s="3" t="inlineStr">
        <is>
          <t>Software – June</t>
        </is>
      </c>
      <c r="G4308" s="3" t="inlineStr">
        <is>
          <t>Checking – Operating</t>
        </is>
      </c>
      <c r="H4308" s="3" t="inlineStr">
        <is>
          <t>Software</t>
        </is>
      </c>
      <c r="I4308" s="33" t="n">
        <v>2502.64</v>
      </c>
      <c r="J4308" s="13">
        <f>+J4307+I4308</f>
        <v>33120</v>
      </c>
      <c r="K4308" s="19">
        <f>+EOMONTH(B4308,0)</f>
        <v>46203</v>
      </c>
      <c r="L4308" s="3" t="inlineStr">
        <is>
          <t>Software</t>
        </is>
      </c>
      <c r="M4308" s="3" t="inlineStr">
        <is>
          <t>Information Technology Expense</t>
        </is>
      </c>
    </row>
    <row r="4309">
      <c r="B4309" s="39" t="n">
        <v>46216</v>
      </c>
      <c r="C4309" s="3" t="inlineStr">
        <is>
          <t>Expense</t>
        </is>
      </c>
      <c r="D4309" s="3" t="inlineStr">
        <is>
          <t>11214</t>
        </is>
      </c>
      <c r="E4309" s="3" t="inlineStr">
        <is>
          <t>Ledgerquill Billing SaaS</t>
        </is>
      </c>
      <c r="F4309" s="3" t="inlineStr">
        <is>
          <t>Software – July</t>
        </is>
      </c>
      <c r="G4309" s="3" t="inlineStr">
        <is>
          <t>Checking – Operating</t>
        </is>
      </c>
      <c r="H4309" s="3" t="inlineStr">
        <is>
          <t>Software</t>
        </is>
      </c>
      <c r="I4309" s="33" t="n">
        <v>2403.5</v>
      </c>
      <c r="J4309" s="13">
        <f>+J4308+I4309</f>
        <v>35523.5</v>
      </c>
      <c r="K4309" s="19">
        <f>+EOMONTH(B4309,0)</f>
        <v>46234</v>
      </c>
      <c r="L4309" s="3" t="inlineStr">
        <is>
          <t>Software</t>
        </is>
      </c>
      <c r="M4309" s="3" t="inlineStr">
        <is>
          <t>Information Technology Expense</t>
        </is>
      </c>
    </row>
    <row r="4310">
      <c r="B4310" s="39" t="n">
        <v>46227</v>
      </c>
      <c r="C4310" s="3" t="inlineStr">
        <is>
          <t>Journal Entry</t>
        </is>
      </c>
      <c r="D4310" s="3" t="inlineStr">
        <is>
          <t>JE-2772</t>
        </is>
      </c>
      <c r="E4310" s="3" t="inlineStr">
        <is>
          <t>Ledgerquill Billing SaaS</t>
        </is>
      </c>
      <c r="F4310" s="3" t="inlineStr">
        <is>
          <t>Software – July</t>
        </is>
      </c>
      <c r="G4310" s="3" t="inlineStr">
        <is>
          <t>Checking – Operating</t>
        </is>
      </c>
      <c r="H4310" s="3" t="inlineStr">
        <is>
          <t>Software</t>
        </is>
      </c>
      <c r="I4310" s="33" t="n">
        <v>3146.5</v>
      </c>
      <c r="J4310" s="13">
        <f>+J4309+I4310</f>
        <v>38670</v>
      </c>
      <c r="K4310" s="19">
        <f>+EOMONTH(B4310,0)</f>
        <v>46234</v>
      </c>
      <c r="L4310" s="3" t="inlineStr">
        <is>
          <t>Software</t>
        </is>
      </c>
      <c r="M4310" s="3" t="inlineStr">
        <is>
          <t>Information Technology Expense</t>
        </is>
      </c>
    </row>
    <row r="4311">
      <c r="B4311" s="39" t="n">
        <v>46261</v>
      </c>
      <c r="C4311" s="3" t="inlineStr">
        <is>
          <t>Journal Entry</t>
        </is>
      </c>
      <c r="D4311" s="3" t="inlineStr">
        <is>
          <t>JE-2773</t>
        </is>
      </c>
      <c r="E4311" s="3" t="inlineStr">
        <is>
          <t>Ledgerquill Billing SaaS</t>
        </is>
      </c>
      <c r="F4311" s="3" t="inlineStr">
        <is>
          <t>Software – August</t>
        </is>
      </c>
      <c r="G4311" s="3" t="inlineStr">
        <is>
          <t>Checking – Operating</t>
        </is>
      </c>
      <c r="H4311" s="3" t="inlineStr">
        <is>
          <t>Software</t>
        </is>
      </c>
      <c r="I4311" s="33" t="n">
        <v>3191.75</v>
      </c>
      <c r="J4311" s="13">
        <f>+J4310+I4311</f>
        <v>41861.75</v>
      </c>
      <c r="K4311" s="19">
        <f>+EOMONTH(B4311,0)</f>
        <v>46265</v>
      </c>
      <c r="L4311" s="3" t="inlineStr">
        <is>
          <t>Software</t>
        </is>
      </c>
      <c r="M4311" s="3" t="inlineStr">
        <is>
          <t>Information Technology Expense</t>
        </is>
      </c>
    </row>
    <row r="4312">
      <c r="B4312" s="39" t="n">
        <v>46263</v>
      </c>
      <c r="C4312" s="3" t="inlineStr">
        <is>
          <t>Expense</t>
        </is>
      </c>
      <c r="D4312" s="3" t="inlineStr">
        <is>
          <t>11215</t>
        </is>
      </c>
      <c r="E4312" s="3" t="inlineStr">
        <is>
          <t>Ledgerquill Billing SaaS</t>
        </is>
      </c>
      <c r="F4312" s="3" t="inlineStr">
        <is>
          <t>Software – August</t>
        </is>
      </c>
      <c r="G4312" s="3" t="inlineStr">
        <is>
          <t>Checking – Operating</t>
        </is>
      </c>
      <c r="H4312" s="3" t="inlineStr">
        <is>
          <t>Software</t>
        </is>
      </c>
      <c r="I4312" s="33" t="n">
        <v>2568.25</v>
      </c>
      <c r="J4312" s="13">
        <f>+J4311+I4312</f>
        <v>44430</v>
      </c>
      <c r="K4312" s="19">
        <f>+EOMONTH(B4312,0)</f>
        <v>46265</v>
      </c>
      <c r="L4312" s="3" t="inlineStr">
        <is>
          <t>Software</t>
        </is>
      </c>
      <c r="M4312" s="3" t="inlineStr">
        <is>
          <t>Information Technology Expense</t>
        </is>
      </c>
    </row>
    <row r="4313">
      <c r="B4313" s="39" t="n">
        <v>46285</v>
      </c>
      <c r="C4313" s="3" t="inlineStr">
        <is>
          <t>Credit Card Expense</t>
        </is>
      </c>
      <c r="D4313" s="3" t="inlineStr"/>
      <c r="E4313" s="3" t="inlineStr">
        <is>
          <t>Ledgerquill Billing SaaS</t>
        </is>
      </c>
      <c r="F4313" s="3" t="inlineStr">
        <is>
          <t>Software – September</t>
        </is>
      </c>
      <c r="G4313" s="3" t="inlineStr">
        <is>
          <t>Checking – Operating</t>
        </is>
      </c>
      <c r="H4313" s="3" t="inlineStr">
        <is>
          <t>Software</t>
        </is>
      </c>
      <c r="I4313" s="33" t="n">
        <v>5784.9</v>
      </c>
      <c r="J4313" s="13">
        <f>+J4312+I4313</f>
        <v>50214.9</v>
      </c>
      <c r="K4313" s="19">
        <f>+EOMONTH(B4313,0)</f>
        <v>46295</v>
      </c>
      <c r="L4313" s="3" t="inlineStr">
        <is>
          <t>Software</t>
        </is>
      </c>
      <c r="M4313" s="3" t="inlineStr">
        <is>
          <t>Information Technology Expense</t>
        </is>
      </c>
    </row>
    <row r="4314">
      <c r="B4314" s="39" t="n">
        <v>46299</v>
      </c>
      <c r="C4314" s="3" t="inlineStr">
        <is>
          <t>Credit Card Expense</t>
        </is>
      </c>
      <c r="D4314" s="3" t="inlineStr"/>
      <c r="E4314" s="3" t="inlineStr">
        <is>
          <t>Ledgerquill Billing SaaS</t>
        </is>
      </c>
      <c r="F4314" s="3" t="inlineStr">
        <is>
          <t>Software – October</t>
        </is>
      </c>
      <c r="G4314" s="3" t="inlineStr">
        <is>
          <t>Checking – Operating</t>
        </is>
      </c>
      <c r="H4314" s="3" t="inlineStr">
        <is>
          <t>Software</t>
        </is>
      </c>
      <c r="I4314" s="33" t="n">
        <v>2879.82</v>
      </c>
      <c r="J4314" s="13">
        <f>+J4313+I4314</f>
        <v>53094.72</v>
      </c>
      <c r="K4314" s="19">
        <f>+EOMONTH(B4314,0)</f>
        <v>46326</v>
      </c>
      <c r="L4314" s="3" t="inlineStr">
        <is>
          <t>Software</t>
        </is>
      </c>
      <c r="M4314" s="3" t="inlineStr">
        <is>
          <t>Information Technology Expense</t>
        </is>
      </c>
    </row>
    <row r="4315">
      <c r="B4315" s="39" t="n">
        <v>46303</v>
      </c>
      <c r="C4315" s="3" t="inlineStr">
        <is>
          <t>Credit Card Expense</t>
        </is>
      </c>
      <c r="D4315" s="3" t="inlineStr"/>
      <c r="E4315" s="3" t="inlineStr">
        <is>
          <t>Ledgerquill Billing SaaS</t>
        </is>
      </c>
      <c r="F4315" s="3" t="inlineStr">
        <is>
          <t>Software – October</t>
        </is>
      </c>
      <c r="G4315" s="3" t="inlineStr">
        <is>
          <t>Checking – Operating</t>
        </is>
      </c>
      <c r="H4315" s="3" t="inlineStr">
        <is>
          <t>Software</t>
        </is>
      </c>
      <c r="I4315" s="33" t="n">
        <v>2416.04</v>
      </c>
      <c r="J4315" s="13">
        <f>+J4314+I4315</f>
        <v>55510.76</v>
      </c>
      <c r="K4315" s="19">
        <f>+EOMONTH(B4315,0)</f>
        <v>46326</v>
      </c>
      <c r="L4315" s="3" t="inlineStr">
        <is>
          <t>Software</t>
        </is>
      </c>
      <c r="M4315" s="3" t="inlineStr">
        <is>
          <t>Information Technology Expense</t>
        </is>
      </c>
    </row>
    <row r="4316">
      <c r="B4316" s="39" t="n">
        <v>46332</v>
      </c>
      <c r="C4316" s="3" t="inlineStr">
        <is>
          <t>Expense</t>
        </is>
      </c>
      <c r="D4316" s="3" t="inlineStr">
        <is>
          <t>11216</t>
        </is>
      </c>
      <c r="E4316" s="3" t="inlineStr">
        <is>
          <t>Ledgerquill Billing SaaS</t>
        </is>
      </c>
      <c r="F4316" s="3" t="inlineStr">
        <is>
          <t>Software – November</t>
        </is>
      </c>
      <c r="G4316" s="3" t="inlineStr">
        <is>
          <t>Checking – Operating</t>
        </is>
      </c>
      <c r="H4316" s="3" t="inlineStr">
        <is>
          <t>Software</t>
        </is>
      </c>
      <c r="I4316" s="33" t="n">
        <v>3342.27</v>
      </c>
      <c r="J4316" s="13">
        <f>+J4315+I4316</f>
        <v>58853.03</v>
      </c>
      <c r="K4316" s="19">
        <f>+EOMONTH(B4316,0)</f>
        <v>46356</v>
      </c>
      <c r="L4316" s="3" t="inlineStr">
        <is>
          <t>Software</t>
        </is>
      </c>
      <c r="M4316" s="3" t="inlineStr">
        <is>
          <t>Information Technology Expense</t>
        </is>
      </c>
    </row>
    <row r="4317">
      <c r="B4317" s="39" t="n">
        <v>46334</v>
      </c>
      <c r="C4317" s="3" t="inlineStr">
        <is>
          <t>Expense</t>
        </is>
      </c>
      <c r="D4317" s="3" t="inlineStr">
        <is>
          <t>11217</t>
        </is>
      </c>
      <c r="E4317" s="3" t="inlineStr">
        <is>
          <t>Ledgerquill Billing SaaS</t>
        </is>
      </c>
      <c r="F4317" s="3" t="inlineStr">
        <is>
          <t>Software – November</t>
        </is>
      </c>
      <c r="G4317" s="3" t="inlineStr">
        <is>
          <t>Checking – Operating</t>
        </is>
      </c>
      <c r="H4317" s="3" t="inlineStr">
        <is>
          <t>Software</t>
        </is>
      </c>
      <c r="I4317" s="33" t="n">
        <v>2006.65</v>
      </c>
      <c r="J4317" s="13">
        <f>+J4316+I4317</f>
        <v>60859.68</v>
      </c>
      <c r="K4317" s="19">
        <f>+EOMONTH(B4317,0)</f>
        <v>46356</v>
      </c>
      <c r="L4317" s="3" t="inlineStr">
        <is>
          <t>Software</t>
        </is>
      </c>
      <c r="M4317" s="3" t="inlineStr">
        <is>
          <t>Information Technology Expense</t>
        </is>
      </c>
    </row>
    <row r="4318">
      <c r="A4318" s="2" t="inlineStr">
        <is>
          <t>Total for Software</t>
        </is>
      </c>
      <c r="I4318" s="35">
        <f>SUM(I4297:I4317)</f>
        <v>60859.68</v>
      </c>
    </row>
    <row r="4320">
      <c r="A4320" s="2" t="inlineStr">
        <is>
          <t>Billing Software as a Service</t>
        </is>
      </c>
    </row>
    <row r="4321">
      <c r="B4321" s="39" t="n">
        <v>46031</v>
      </c>
      <c r="C4321" s="3" t="inlineStr">
        <is>
          <t>Bill</t>
        </is>
      </c>
      <c r="D4321" s="3" t="inlineStr"/>
      <c r="E4321" s="3" t="inlineStr">
        <is>
          <t>Ledgerquill Billing SaaS</t>
        </is>
      </c>
      <c r="F4321" s="3" t="inlineStr">
        <is>
          <t>Billing Software as a Service – January</t>
        </is>
      </c>
      <c r="G4321" s="3" t="inlineStr">
        <is>
          <t>Accounts Payable</t>
        </is>
      </c>
      <c r="H4321" s="3" t="inlineStr">
        <is>
          <t>Billing Software as a Service</t>
        </is>
      </c>
      <c r="I4321" s="33" t="n">
        <v>21277.65</v>
      </c>
      <c r="J4321" s="13">
        <f>+I4321</f>
        <v>21277.65</v>
      </c>
      <c r="K4321" s="19">
        <f>+EOMONTH(B4321,0)</f>
        <v>46053</v>
      </c>
      <c r="L4321" s="3" t="inlineStr">
        <is>
          <t>Billing Software as a Service</t>
        </is>
      </c>
      <c r="M4321" s="3" t="inlineStr">
        <is>
          <t>Billing &amp; Collection Fees</t>
        </is>
      </c>
    </row>
    <row r="4322">
      <c r="B4322" s="39" t="n">
        <v>46032</v>
      </c>
      <c r="C4322" s="3" t="inlineStr">
        <is>
          <t>Bill</t>
        </is>
      </c>
      <c r="D4322" s="3" t="inlineStr"/>
      <c r="E4322" s="3" t="inlineStr">
        <is>
          <t>Ledgerquill Billing SaaS</t>
        </is>
      </c>
      <c r="F4322" s="3" t="inlineStr">
        <is>
          <t>Billing Software as a Service – January</t>
        </is>
      </c>
      <c r="G4322" s="3" t="inlineStr">
        <is>
          <t>Accounts Payable</t>
        </is>
      </c>
      <c r="H4322" s="3" t="inlineStr">
        <is>
          <t>Billing Software as a Service</t>
        </is>
      </c>
      <c r="I4322" s="33" t="n">
        <v>15439.6</v>
      </c>
      <c r="J4322" s="13">
        <f>+J4321+I4322</f>
        <v>36717.25</v>
      </c>
      <c r="K4322" s="19">
        <f>+EOMONTH(B4322,0)</f>
        <v>46053</v>
      </c>
      <c r="L4322" s="3" t="inlineStr">
        <is>
          <t>Billing Software as a Service</t>
        </is>
      </c>
      <c r="M4322" s="3" t="inlineStr">
        <is>
          <t>Billing &amp; Collection Fees</t>
        </is>
      </c>
    </row>
    <row r="4323">
      <c r="B4323" s="39" t="n">
        <v>46037</v>
      </c>
      <c r="C4323" s="3" t="inlineStr">
        <is>
          <t>Bill</t>
        </is>
      </c>
      <c r="D4323" s="3" t="inlineStr"/>
      <c r="E4323" s="3" t="inlineStr">
        <is>
          <t>Ledgerquill Billing SaaS</t>
        </is>
      </c>
      <c r="F4323" s="3" t="inlineStr">
        <is>
          <t>Billing Software as a Service – January</t>
        </is>
      </c>
      <c r="G4323" s="3" t="inlineStr">
        <is>
          <t>Accounts Payable</t>
        </is>
      </c>
      <c r="H4323" s="3" t="inlineStr">
        <is>
          <t>Billing Software as a Service</t>
        </is>
      </c>
      <c r="I4323" s="33" t="n">
        <v>10293.65</v>
      </c>
      <c r="J4323" s="13">
        <f>+J4322+I4323</f>
        <v>47010.9</v>
      </c>
      <c r="K4323" s="19">
        <f>+EOMONTH(B4323,0)</f>
        <v>46053</v>
      </c>
      <c r="L4323" s="3" t="inlineStr">
        <is>
          <t>Billing Software as a Service</t>
        </is>
      </c>
      <c r="M4323" s="3" t="inlineStr">
        <is>
          <t>Billing &amp; Collection Fees</t>
        </is>
      </c>
    </row>
    <row r="4324">
      <c r="B4324" s="39" t="n">
        <v>46040</v>
      </c>
      <c r="C4324" s="3" t="inlineStr">
        <is>
          <t>Bill</t>
        </is>
      </c>
      <c r="D4324" s="3" t="inlineStr"/>
      <c r="E4324" s="3" t="inlineStr">
        <is>
          <t>Ledgerquill Billing SaaS</t>
        </is>
      </c>
      <c r="F4324" s="3" t="inlineStr">
        <is>
          <t>Billing Software as a Service – January</t>
        </is>
      </c>
      <c r="G4324" s="3" t="inlineStr">
        <is>
          <t>Accounts Payable</t>
        </is>
      </c>
      <c r="H4324" s="3" t="inlineStr">
        <is>
          <t>Billing Software as a Service</t>
        </is>
      </c>
      <c r="I4324" s="33" t="n">
        <v>15689.1</v>
      </c>
      <c r="J4324" s="13">
        <f>+J4323+I4324</f>
        <v>62700</v>
      </c>
      <c r="K4324" s="19">
        <f>+EOMONTH(B4324,0)</f>
        <v>46053</v>
      </c>
      <c r="L4324" s="3" t="inlineStr">
        <is>
          <t>Billing Software as a Service</t>
        </is>
      </c>
      <c r="M4324" s="3" t="inlineStr">
        <is>
          <t>Billing &amp; Collection Fees</t>
        </is>
      </c>
    </row>
    <row r="4325">
      <c r="B4325" s="39" t="n">
        <v>46062</v>
      </c>
      <c r="C4325" s="3" t="inlineStr">
        <is>
          <t>Bill</t>
        </is>
      </c>
      <c r="D4325" s="3" t="inlineStr"/>
      <c r="E4325" s="3" t="inlineStr">
        <is>
          <t>Ledgerquill Billing SaaS</t>
        </is>
      </c>
      <c r="F4325" s="3" t="inlineStr">
        <is>
          <t>Billing Software as a Service – February</t>
        </is>
      </c>
      <c r="G4325" s="3" t="inlineStr">
        <is>
          <t>Accounts Payable</t>
        </is>
      </c>
      <c r="H4325" s="3" t="inlineStr">
        <is>
          <t>Billing Software as a Service</t>
        </is>
      </c>
      <c r="I4325" s="33" t="n">
        <v>23065.49</v>
      </c>
      <c r="J4325" s="13">
        <f>+J4324+I4325</f>
        <v>85765.49</v>
      </c>
      <c r="K4325" s="19">
        <f>+EOMONTH(B4325,0)</f>
        <v>46081</v>
      </c>
      <c r="L4325" s="3" t="inlineStr">
        <is>
          <t>Billing Software as a Service</t>
        </is>
      </c>
      <c r="M4325" s="3" t="inlineStr">
        <is>
          <t>Billing &amp; Collection Fees</t>
        </is>
      </c>
    </row>
    <row r="4326">
      <c r="B4326" s="39" t="n">
        <v>46064</v>
      </c>
      <c r="C4326" s="3" t="inlineStr">
        <is>
          <t>Bill</t>
        </is>
      </c>
      <c r="D4326" s="3" t="inlineStr"/>
      <c r="E4326" s="3" t="inlineStr">
        <is>
          <t>Ledgerquill Billing SaaS</t>
        </is>
      </c>
      <c r="F4326" s="3" t="inlineStr">
        <is>
          <t>Billing Software as a Service – February</t>
        </is>
      </c>
      <c r="G4326" s="3" t="inlineStr">
        <is>
          <t>Accounts Payable</t>
        </is>
      </c>
      <c r="H4326" s="3" t="inlineStr">
        <is>
          <t>Billing Software as a Service</t>
        </is>
      </c>
      <c r="I4326" s="33" t="n">
        <v>20435.67</v>
      </c>
      <c r="J4326" s="13">
        <f>+J4325+I4326</f>
        <v>106201.16</v>
      </c>
      <c r="K4326" s="19">
        <f>+EOMONTH(B4326,0)</f>
        <v>46081</v>
      </c>
      <c r="L4326" s="3" t="inlineStr">
        <is>
          <t>Billing Software as a Service</t>
        </is>
      </c>
      <c r="M4326" s="3" t="inlineStr">
        <is>
          <t>Billing &amp; Collection Fees</t>
        </is>
      </c>
    </row>
    <row r="4327">
      <c r="B4327" s="39" t="n">
        <v>46076</v>
      </c>
      <c r="C4327" s="3" t="inlineStr">
        <is>
          <t>Bill</t>
        </is>
      </c>
      <c r="D4327" s="3" t="inlineStr"/>
      <c r="E4327" s="3" t="inlineStr">
        <is>
          <t>Ledgerquill Billing SaaS</t>
        </is>
      </c>
      <c r="F4327" s="3" t="inlineStr">
        <is>
          <t>Billing Software as a Service – February</t>
        </is>
      </c>
      <c r="G4327" s="3" t="inlineStr">
        <is>
          <t>Accounts Payable</t>
        </is>
      </c>
      <c r="H4327" s="3" t="inlineStr">
        <is>
          <t>Billing Software as a Service</t>
        </is>
      </c>
      <c r="I4327" s="33" t="n">
        <v>10798.84</v>
      </c>
      <c r="J4327" s="13">
        <f>+J4326+I4327</f>
        <v>117000</v>
      </c>
      <c r="K4327" s="19">
        <f>+EOMONTH(B4327,0)</f>
        <v>46081</v>
      </c>
      <c r="L4327" s="3" t="inlineStr">
        <is>
          <t>Billing Software as a Service</t>
        </is>
      </c>
      <c r="M4327" s="3" t="inlineStr">
        <is>
          <t>Billing &amp; Collection Fees</t>
        </is>
      </c>
    </row>
    <row r="4328">
      <c r="B4328" s="39" t="n">
        <v>46086</v>
      </c>
      <c r="C4328" s="3" t="inlineStr">
        <is>
          <t>Bill</t>
        </is>
      </c>
      <c r="D4328" s="3" t="inlineStr"/>
      <c r="E4328" s="3" t="inlineStr">
        <is>
          <t>Ledgerquill Billing SaaS</t>
        </is>
      </c>
      <c r="F4328" s="3" t="inlineStr">
        <is>
          <t>Billing Software as a Service – March</t>
        </is>
      </c>
      <c r="G4328" s="3" t="inlineStr">
        <is>
          <t>Accounts Payable</t>
        </is>
      </c>
      <c r="H4328" s="3" t="inlineStr">
        <is>
          <t>Billing Software as a Service</t>
        </is>
      </c>
      <c r="I4328" s="33" t="n">
        <v>15462.2</v>
      </c>
      <c r="J4328" s="13">
        <f>+J4327+I4328</f>
        <v>132462.2</v>
      </c>
      <c r="K4328" s="19">
        <f>+EOMONTH(B4328,0)</f>
        <v>46112</v>
      </c>
      <c r="L4328" s="3" t="inlineStr">
        <is>
          <t>Billing Software as a Service</t>
        </is>
      </c>
      <c r="M4328" s="3" t="inlineStr">
        <is>
          <t>Billing &amp; Collection Fees</t>
        </is>
      </c>
    </row>
    <row r="4329">
      <c r="B4329" s="39" t="n">
        <v>46087</v>
      </c>
      <c r="C4329" s="3" t="inlineStr">
        <is>
          <t>Bill</t>
        </is>
      </c>
      <c r="D4329" s="3" t="inlineStr"/>
      <c r="E4329" s="3" t="inlineStr">
        <is>
          <t>Ledgerquill Billing SaaS</t>
        </is>
      </c>
      <c r="F4329" s="3" t="inlineStr">
        <is>
          <t>Billing Software as a Service – March</t>
        </is>
      </c>
      <c r="G4329" s="3" t="inlineStr">
        <is>
          <t>Accounts Payable</t>
        </is>
      </c>
      <c r="H4329" s="3" t="inlineStr">
        <is>
          <t>Billing Software as a Service</t>
        </is>
      </c>
      <c r="I4329" s="33" t="n">
        <v>9465.32</v>
      </c>
      <c r="J4329" s="13">
        <f>+J4328+I4329</f>
        <v>141927.52</v>
      </c>
      <c r="K4329" s="19">
        <f>+EOMONTH(B4329,0)</f>
        <v>46112</v>
      </c>
      <c r="L4329" s="3" t="inlineStr">
        <is>
          <t>Billing Software as a Service</t>
        </is>
      </c>
      <c r="M4329" s="3" t="inlineStr">
        <is>
          <t>Billing &amp; Collection Fees</t>
        </is>
      </c>
    </row>
    <row r="4330">
      <c r="B4330" s="39" t="n">
        <v>46088</v>
      </c>
      <c r="C4330" s="3" t="inlineStr">
        <is>
          <t>Bill</t>
        </is>
      </c>
      <c r="D4330" s="3" t="inlineStr"/>
      <c r="E4330" s="3" t="inlineStr">
        <is>
          <t>Ledgerquill Billing SaaS</t>
        </is>
      </c>
      <c r="F4330" s="3" t="inlineStr">
        <is>
          <t>Billing Software as a Service – March</t>
        </is>
      </c>
      <c r="G4330" s="3" t="inlineStr">
        <is>
          <t>Accounts Payable</t>
        </is>
      </c>
      <c r="H4330" s="3" t="inlineStr">
        <is>
          <t>Billing Software as a Service</t>
        </is>
      </c>
      <c r="I4330" s="33" t="n">
        <v>9041.620000000001</v>
      </c>
      <c r="J4330" s="13">
        <f>+J4329+I4330</f>
        <v>150969.14</v>
      </c>
      <c r="K4330" s="19">
        <f>+EOMONTH(B4330,0)</f>
        <v>46112</v>
      </c>
      <c r="L4330" s="3" t="inlineStr">
        <is>
          <t>Billing Software as a Service</t>
        </is>
      </c>
      <c r="M4330" s="3" t="inlineStr">
        <is>
          <t>Billing &amp; Collection Fees</t>
        </is>
      </c>
    </row>
    <row r="4331">
      <c r="B4331" s="39" t="n">
        <v>46090</v>
      </c>
      <c r="C4331" s="3" t="inlineStr">
        <is>
          <t>Bill</t>
        </is>
      </c>
      <c r="D4331" s="3" t="inlineStr"/>
      <c r="E4331" s="3" t="inlineStr">
        <is>
          <t>Ledgerquill Billing SaaS</t>
        </is>
      </c>
      <c r="F4331" s="3" t="inlineStr">
        <is>
          <t>Billing Software as a Service – March</t>
        </is>
      </c>
      <c r="G4331" s="3" t="inlineStr">
        <is>
          <t>Accounts Payable</t>
        </is>
      </c>
      <c r="H4331" s="3" t="inlineStr">
        <is>
          <t>Billing Software as a Service</t>
        </is>
      </c>
      <c r="I4331" s="33" t="n">
        <v>17857.99</v>
      </c>
      <c r="J4331" s="13">
        <f>+J4330+I4331</f>
        <v>168827.13</v>
      </c>
      <c r="K4331" s="19">
        <f>+EOMONTH(B4331,0)</f>
        <v>46112</v>
      </c>
      <c r="L4331" s="3" t="inlineStr">
        <is>
          <t>Billing Software as a Service</t>
        </is>
      </c>
      <c r="M4331" s="3" t="inlineStr">
        <is>
          <t>Billing &amp; Collection Fees</t>
        </is>
      </c>
    </row>
    <row r="4332">
      <c r="B4332" s="39" t="n">
        <v>46099</v>
      </c>
      <c r="C4332" s="3" t="inlineStr">
        <is>
          <t>Bill</t>
        </is>
      </c>
      <c r="D4332" s="3" t="inlineStr"/>
      <c r="E4332" s="3" t="inlineStr">
        <is>
          <t>Ledgerquill Billing SaaS</t>
        </is>
      </c>
      <c r="F4332" s="3" t="inlineStr">
        <is>
          <t>Billing Software as a Service – March</t>
        </is>
      </c>
      <c r="G4332" s="3" t="inlineStr">
        <is>
          <t>Accounts Payable</t>
        </is>
      </c>
      <c r="H4332" s="3" t="inlineStr">
        <is>
          <t>Billing Software as a Service</t>
        </is>
      </c>
      <c r="I4332" s="33" t="n">
        <v>9372.870000000001</v>
      </c>
      <c r="J4332" s="13">
        <f>+J4331+I4332</f>
        <v>178200</v>
      </c>
      <c r="K4332" s="19">
        <f>+EOMONTH(B4332,0)</f>
        <v>46112</v>
      </c>
      <c r="L4332" s="3" t="inlineStr">
        <is>
          <t>Billing Software as a Service</t>
        </is>
      </c>
      <c r="M4332" s="3" t="inlineStr">
        <is>
          <t>Billing &amp; Collection Fees</t>
        </is>
      </c>
    </row>
    <row r="4333">
      <c r="B4333" s="39" t="n">
        <v>46119</v>
      </c>
      <c r="C4333" s="3" t="inlineStr">
        <is>
          <t>Bill</t>
        </is>
      </c>
      <c r="D4333" s="3" t="inlineStr"/>
      <c r="E4333" s="3" t="inlineStr">
        <is>
          <t>Ledgerquill Billing SaaS</t>
        </is>
      </c>
      <c r="F4333" s="3" t="inlineStr">
        <is>
          <t>Billing Software as a Service – April</t>
        </is>
      </c>
      <c r="G4333" s="3" t="inlineStr">
        <is>
          <t>Accounts Payable</t>
        </is>
      </c>
      <c r="H4333" s="3" t="inlineStr">
        <is>
          <t>Billing Software as a Service</t>
        </is>
      </c>
      <c r="I4333" s="33" t="n">
        <v>20357.83</v>
      </c>
      <c r="J4333" s="13">
        <f>+J4332+I4333</f>
        <v>198557.83</v>
      </c>
      <c r="K4333" s="19">
        <f>+EOMONTH(B4333,0)</f>
        <v>46142</v>
      </c>
      <c r="L4333" s="3" t="inlineStr">
        <is>
          <t>Billing Software as a Service</t>
        </is>
      </c>
      <c r="M4333" s="3" t="inlineStr">
        <is>
          <t>Billing &amp; Collection Fees</t>
        </is>
      </c>
    </row>
    <row r="4334">
      <c r="B4334" s="39" t="n">
        <v>46124</v>
      </c>
      <c r="C4334" s="3" t="inlineStr">
        <is>
          <t>Bill</t>
        </is>
      </c>
      <c r="D4334" s="3" t="inlineStr"/>
      <c r="E4334" s="3" t="inlineStr">
        <is>
          <t>Ledgerquill Billing SaaS</t>
        </is>
      </c>
      <c r="F4334" s="3" t="inlineStr">
        <is>
          <t>Billing Software as a Service – April</t>
        </is>
      </c>
      <c r="G4334" s="3" t="inlineStr">
        <is>
          <t>Accounts Payable</t>
        </is>
      </c>
      <c r="H4334" s="3" t="inlineStr">
        <is>
          <t>Billing Software as a Service</t>
        </is>
      </c>
      <c r="I4334" s="33" t="n">
        <v>15731.77</v>
      </c>
      <c r="J4334" s="13">
        <f>+J4333+I4334</f>
        <v>214289.6</v>
      </c>
      <c r="K4334" s="19">
        <f>+EOMONTH(B4334,0)</f>
        <v>46142</v>
      </c>
      <c r="L4334" s="3" t="inlineStr">
        <is>
          <t>Billing Software as a Service</t>
        </is>
      </c>
      <c r="M4334" s="3" t="inlineStr">
        <is>
          <t>Billing &amp; Collection Fees</t>
        </is>
      </c>
    </row>
    <row r="4335">
      <c r="B4335" s="39" t="n">
        <v>46139</v>
      </c>
      <c r="C4335" s="3" t="inlineStr">
        <is>
          <t>Bill</t>
        </is>
      </c>
      <c r="D4335" s="3" t="inlineStr"/>
      <c r="E4335" s="3" t="inlineStr">
        <is>
          <t>Ledgerquill Billing SaaS</t>
        </is>
      </c>
      <c r="F4335" s="3" t="inlineStr">
        <is>
          <t>Billing Software as a Service – April</t>
        </is>
      </c>
      <c r="G4335" s="3" t="inlineStr">
        <is>
          <t>Accounts Payable</t>
        </is>
      </c>
      <c r="H4335" s="3" t="inlineStr">
        <is>
          <t>Billing Software as a Service</t>
        </is>
      </c>
      <c r="I4335" s="33" t="n">
        <v>29110.4</v>
      </c>
      <c r="J4335" s="13">
        <f>+J4334+I4335</f>
        <v>243400</v>
      </c>
      <c r="K4335" s="19">
        <f>+EOMONTH(B4335,0)</f>
        <v>46142</v>
      </c>
      <c r="L4335" s="3" t="inlineStr">
        <is>
          <t>Billing Software as a Service</t>
        </is>
      </c>
      <c r="M4335" s="3" t="inlineStr">
        <is>
          <t>Billing &amp; Collection Fees</t>
        </is>
      </c>
    </row>
    <row r="4336">
      <c r="B4336" s="39" t="n">
        <v>46150</v>
      </c>
      <c r="C4336" s="3" t="inlineStr">
        <is>
          <t>Bill</t>
        </is>
      </c>
      <c r="D4336" s="3" t="inlineStr"/>
      <c r="E4336" s="3" t="inlineStr">
        <is>
          <t>Ledgerquill Billing SaaS</t>
        </is>
      </c>
      <c r="F4336" s="3" t="inlineStr">
        <is>
          <t>Billing Software as a Service – May</t>
        </is>
      </c>
      <c r="G4336" s="3" t="inlineStr">
        <is>
          <t>Accounts Payable</t>
        </is>
      </c>
      <c r="H4336" s="3" t="inlineStr">
        <is>
          <t>Billing Software as a Service</t>
        </is>
      </c>
      <c r="I4336" s="33" t="n">
        <v>10938.26</v>
      </c>
      <c r="J4336" s="13">
        <f>+J4335+I4336</f>
        <v>254338.26</v>
      </c>
      <c r="K4336" s="19">
        <f>+EOMONTH(B4336,0)</f>
        <v>46173</v>
      </c>
      <c r="L4336" s="3" t="inlineStr">
        <is>
          <t>Billing Software as a Service</t>
        </is>
      </c>
      <c r="M4336" s="3" t="inlineStr">
        <is>
          <t>Billing &amp; Collection Fees</t>
        </is>
      </c>
    </row>
    <row r="4337">
      <c r="B4337" s="39" t="n">
        <v>46151</v>
      </c>
      <c r="C4337" s="3" t="inlineStr">
        <is>
          <t>Bill</t>
        </is>
      </c>
      <c r="D4337" s="3" t="inlineStr"/>
      <c r="E4337" s="3" t="inlineStr">
        <is>
          <t>Ledgerquill Billing SaaS</t>
        </is>
      </c>
      <c r="F4337" s="3" t="inlineStr">
        <is>
          <t>Billing Software as a Service – May</t>
        </is>
      </c>
      <c r="G4337" s="3" t="inlineStr">
        <is>
          <t>Accounts Payable</t>
        </is>
      </c>
      <c r="H4337" s="3" t="inlineStr">
        <is>
          <t>Billing Software as a Service</t>
        </is>
      </c>
      <c r="I4337" s="33" t="n">
        <v>16834.62</v>
      </c>
      <c r="J4337" s="13">
        <f>+J4336+I4337</f>
        <v>271172.88</v>
      </c>
      <c r="K4337" s="19">
        <f>+EOMONTH(B4337,0)</f>
        <v>46173</v>
      </c>
      <c r="L4337" s="3" t="inlineStr">
        <is>
          <t>Billing Software as a Service</t>
        </is>
      </c>
      <c r="M4337" s="3" t="inlineStr">
        <is>
          <t>Billing &amp; Collection Fees</t>
        </is>
      </c>
    </row>
    <row r="4338">
      <c r="B4338" s="39" t="n">
        <v>46152</v>
      </c>
      <c r="C4338" s="3" t="inlineStr">
        <is>
          <t>Bill</t>
        </is>
      </c>
      <c r="D4338" s="3" t="inlineStr"/>
      <c r="E4338" s="3" t="inlineStr">
        <is>
          <t>Ledgerquill Billing SaaS</t>
        </is>
      </c>
      <c r="F4338" s="3" t="inlineStr">
        <is>
          <t>Billing Software as a Service – May</t>
        </is>
      </c>
      <c r="G4338" s="3" t="inlineStr">
        <is>
          <t>Accounts Payable</t>
        </is>
      </c>
      <c r="H4338" s="3" t="inlineStr">
        <is>
          <t>Billing Software as a Service</t>
        </is>
      </c>
      <c r="I4338" s="33" t="n">
        <v>13941.2</v>
      </c>
      <c r="J4338" s="13">
        <f>+J4337+I4338</f>
        <v>285114.08</v>
      </c>
      <c r="K4338" s="19">
        <f>+EOMONTH(B4338,0)</f>
        <v>46173</v>
      </c>
      <c r="L4338" s="3" t="inlineStr">
        <is>
          <t>Billing Software as a Service</t>
        </is>
      </c>
      <c r="M4338" s="3" t="inlineStr">
        <is>
          <t>Billing &amp; Collection Fees</t>
        </is>
      </c>
    </row>
    <row r="4339">
      <c r="B4339" s="39" t="n">
        <v>46154</v>
      </c>
      <c r="C4339" s="3" t="inlineStr">
        <is>
          <t>Bill</t>
        </is>
      </c>
      <c r="D4339" s="3" t="inlineStr"/>
      <c r="E4339" s="3" t="inlineStr">
        <is>
          <t>Ledgerquill Billing SaaS</t>
        </is>
      </c>
      <c r="F4339" s="3" t="inlineStr">
        <is>
          <t>Billing Software as a Service – May</t>
        </is>
      </c>
      <c r="G4339" s="3" t="inlineStr">
        <is>
          <t>Accounts Payable</t>
        </is>
      </c>
      <c r="H4339" s="3" t="inlineStr">
        <is>
          <t>Billing Software as a Service</t>
        </is>
      </c>
      <c r="I4339" s="33" t="n">
        <v>20485.92</v>
      </c>
      <c r="J4339" s="13">
        <f>+J4338+I4339</f>
        <v>305600</v>
      </c>
      <c r="K4339" s="19">
        <f>+EOMONTH(B4339,0)</f>
        <v>46173</v>
      </c>
      <c r="L4339" s="3" t="inlineStr">
        <is>
          <t>Billing Software as a Service</t>
        </is>
      </c>
      <c r="M4339" s="3" t="inlineStr">
        <is>
          <t>Billing &amp; Collection Fees</t>
        </is>
      </c>
    </row>
    <row r="4340">
      <c r="B4340" s="39" t="n">
        <v>46179</v>
      </c>
      <c r="C4340" s="3" t="inlineStr">
        <is>
          <t>Bill</t>
        </is>
      </c>
      <c r="D4340" s="3" t="inlineStr"/>
      <c r="E4340" s="3" t="inlineStr">
        <is>
          <t>Ledgerquill Billing SaaS</t>
        </is>
      </c>
      <c r="F4340" s="3" t="inlineStr">
        <is>
          <t>Billing Software as a Service – June</t>
        </is>
      </c>
      <c r="G4340" s="3" t="inlineStr">
        <is>
          <t>Accounts Payable</t>
        </is>
      </c>
      <c r="H4340" s="3" t="inlineStr">
        <is>
          <t>Billing Software as a Service</t>
        </is>
      </c>
      <c r="I4340" s="33" t="n">
        <v>11332.06</v>
      </c>
      <c r="J4340" s="13">
        <f>+J4339+I4340</f>
        <v>316932.06</v>
      </c>
      <c r="K4340" s="19">
        <f>+EOMONTH(B4340,0)</f>
        <v>46203</v>
      </c>
      <c r="L4340" s="3" t="inlineStr">
        <is>
          <t>Billing Software as a Service</t>
        </is>
      </c>
      <c r="M4340" s="3" t="inlineStr">
        <is>
          <t>Billing &amp; Collection Fees</t>
        </is>
      </c>
    </row>
    <row r="4341">
      <c r="B4341" s="39" t="n">
        <v>46191</v>
      </c>
      <c r="C4341" s="3" t="inlineStr">
        <is>
          <t>Bill</t>
        </is>
      </c>
      <c r="D4341" s="3" t="inlineStr"/>
      <c r="E4341" s="3" t="inlineStr">
        <is>
          <t>Ledgerquill Billing SaaS</t>
        </is>
      </c>
      <c r="F4341" s="3" t="inlineStr">
        <is>
          <t>Billing Software as a Service – June</t>
        </is>
      </c>
      <c r="G4341" s="3" t="inlineStr">
        <is>
          <t>Accounts Payable</t>
        </is>
      </c>
      <c r="H4341" s="3" t="inlineStr">
        <is>
          <t>Billing Software as a Service</t>
        </is>
      </c>
      <c r="I4341" s="33" t="n">
        <v>16584.79</v>
      </c>
      <c r="J4341" s="13">
        <f>+J4340+I4341</f>
        <v>333516.85</v>
      </c>
      <c r="K4341" s="19">
        <f>+EOMONTH(B4341,0)</f>
        <v>46203</v>
      </c>
      <c r="L4341" s="3" t="inlineStr">
        <is>
          <t>Billing Software as a Service</t>
        </is>
      </c>
      <c r="M4341" s="3" t="inlineStr">
        <is>
          <t>Billing &amp; Collection Fees</t>
        </is>
      </c>
    </row>
    <row r="4342">
      <c r="B4342" s="39" t="n">
        <v>46193</v>
      </c>
      <c r="C4342" s="3" t="inlineStr">
        <is>
          <t>Bill</t>
        </is>
      </c>
      <c r="D4342" s="3" t="inlineStr"/>
      <c r="E4342" s="3" t="inlineStr">
        <is>
          <t>Ledgerquill Billing SaaS</t>
        </is>
      </c>
      <c r="F4342" s="3" t="inlineStr">
        <is>
          <t>Billing Software as a Service – June</t>
        </is>
      </c>
      <c r="G4342" s="3" t="inlineStr">
        <is>
          <t>Accounts Payable</t>
        </is>
      </c>
      <c r="H4342" s="3" t="inlineStr">
        <is>
          <t>Billing Software as a Service</t>
        </is>
      </c>
      <c r="I4342" s="33" t="n">
        <v>8469.959999999999</v>
      </c>
      <c r="J4342" s="13">
        <f>+J4341+I4342</f>
        <v>341986.81</v>
      </c>
      <c r="K4342" s="19">
        <f>+EOMONTH(B4342,0)</f>
        <v>46203</v>
      </c>
      <c r="L4342" s="3" t="inlineStr">
        <is>
          <t>Billing Software as a Service</t>
        </is>
      </c>
      <c r="M4342" s="3" t="inlineStr">
        <is>
          <t>Billing &amp; Collection Fees</t>
        </is>
      </c>
    </row>
    <row r="4343">
      <c r="B4343" s="39" t="n">
        <v>46196</v>
      </c>
      <c r="C4343" s="3" t="inlineStr">
        <is>
          <t>Bill</t>
        </is>
      </c>
      <c r="D4343" s="3" t="inlineStr"/>
      <c r="E4343" s="3" t="inlineStr">
        <is>
          <t>Ledgerquill Billing SaaS</t>
        </is>
      </c>
      <c r="F4343" s="3" t="inlineStr">
        <is>
          <t>Billing Software as a Service – June</t>
        </is>
      </c>
      <c r="G4343" s="3" t="inlineStr">
        <is>
          <t>Accounts Payable</t>
        </is>
      </c>
      <c r="H4343" s="3" t="inlineStr">
        <is>
          <t>Billing Software as a Service</t>
        </is>
      </c>
      <c r="I4343" s="33" t="n">
        <v>13721.3</v>
      </c>
      <c r="J4343" s="13">
        <f>+J4342+I4343</f>
        <v>355708.11</v>
      </c>
      <c r="K4343" s="19">
        <f>+EOMONTH(B4343,0)</f>
        <v>46203</v>
      </c>
      <c r="L4343" s="3" t="inlineStr">
        <is>
          <t>Billing Software as a Service</t>
        </is>
      </c>
      <c r="M4343" s="3" t="inlineStr">
        <is>
          <t>Billing &amp; Collection Fees</t>
        </is>
      </c>
    </row>
    <row r="4344">
      <c r="B4344" s="39" t="n">
        <v>46203</v>
      </c>
      <c r="C4344" s="3" t="inlineStr">
        <is>
          <t>Bill</t>
        </is>
      </c>
      <c r="D4344" s="3" t="inlineStr"/>
      <c r="E4344" s="3" t="inlineStr">
        <is>
          <t>Ledgerquill Billing SaaS</t>
        </is>
      </c>
      <c r="F4344" s="3" t="inlineStr">
        <is>
          <t>Billing Software as a Service – June</t>
        </is>
      </c>
      <c r="G4344" s="3" t="inlineStr">
        <is>
          <t>Accounts Payable</t>
        </is>
      </c>
      <c r="H4344" s="3" t="inlineStr">
        <is>
          <t>Billing Software as a Service</t>
        </is>
      </c>
      <c r="I4344" s="33" t="n">
        <v>12291.89</v>
      </c>
      <c r="J4344" s="13">
        <f>+J4343+I4344</f>
        <v>368000</v>
      </c>
      <c r="K4344" s="19">
        <f>+EOMONTH(B4344,0)</f>
        <v>46203</v>
      </c>
      <c r="L4344" s="3" t="inlineStr">
        <is>
          <t>Billing Software as a Service</t>
        </is>
      </c>
      <c r="M4344" s="3" t="inlineStr">
        <is>
          <t>Billing &amp; Collection Fees</t>
        </is>
      </c>
    </row>
    <row r="4345">
      <c r="B4345" s="39" t="n">
        <v>46214</v>
      </c>
      <c r="C4345" s="3" t="inlineStr">
        <is>
          <t>Bill</t>
        </is>
      </c>
      <c r="D4345" s="3" t="inlineStr"/>
      <c r="E4345" s="3" t="inlineStr">
        <is>
          <t>Ledgerquill Billing SaaS</t>
        </is>
      </c>
      <c r="F4345" s="3" t="inlineStr">
        <is>
          <t>Billing Software as a Service – July</t>
        </is>
      </c>
      <c r="G4345" s="3" t="inlineStr">
        <is>
          <t>Accounts Payable</t>
        </is>
      </c>
      <c r="H4345" s="3" t="inlineStr">
        <is>
          <t>Billing Software as a Service</t>
        </is>
      </c>
      <c r="I4345" s="33" t="n">
        <v>15959.6</v>
      </c>
      <c r="J4345" s="13">
        <f>+J4344+I4345</f>
        <v>383959.6</v>
      </c>
      <c r="K4345" s="19">
        <f>+EOMONTH(B4345,0)</f>
        <v>46234</v>
      </c>
      <c r="L4345" s="3" t="inlineStr">
        <is>
          <t>Billing Software as a Service</t>
        </is>
      </c>
      <c r="M4345" s="3" t="inlineStr">
        <is>
          <t>Billing &amp; Collection Fees</t>
        </is>
      </c>
    </row>
    <row r="4346">
      <c r="B4346" s="39" t="n">
        <v>46222</v>
      </c>
      <c r="C4346" s="3" t="inlineStr">
        <is>
          <t>Bill</t>
        </is>
      </c>
      <c r="D4346" s="3" t="inlineStr"/>
      <c r="E4346" s="3" t="inlineStr">
        <is>
          <t>Ledgerquill Billing SaaS</t>
        </is>
      </c>
      <c r="F4346" s="3" t="inlineStr">
        <is>
          <t>Billing Software as a Service – July</t>
        </is>
      </c>
      <c r="G4346" s="3" t="inlineStr">
        <is>
          <t>Accounts Payable</t>
        </is>
      </c>
      <c r="H4346" s="3" t="inlineStr">
        <is>
          <t>Billing Software as a Service</t>
        </is>
      </c>
      <c r="I4346" s="33" t="n">
        <v>17550.86</v>
      </c>
      <c r="J4346" s="13">
        <f>+J4345+I4346</f>
        <v>401510.46</v>
      </c>
      <c r="K4346" s="19">
        <f>+EOMONTH(B4346,0)</f>
        <v>46234</v>
      </c>
      <c r="L4346" s="3" t="inlineStr">
        <is>
          <t>Billing Software as a Service</t>
        </is>
      </c>
      <c r="M4346" s="3" t="inlineStr">
        <is>
          <t>Billing &amp; Collection Fees</t>
        </is>
      </c>
    </row>
    <row r="4347">
      <c r="B4347" s="39" t="n">
        <v>46229</v>
      </c>
      <c r="C4347" s="3" t="inlineStr">
        <is>
          <t>Bill</t>
        </is>
      </c>
      <c r="D4347" s="3" t="inlineStr"/>
      <c r="E4347" s="3" t="inlineStr">
        <is>
          <t>Ledgerquill Billing SaaS</t>
        </is>
      </c>
      <c r="F4347" s="3" t="inlineStr">
        <is>
          <t>Billing Software as a Service – July</t>
        </is>
      </c>
      <c r="G4347" s="3" t="inlineStr">
        <is>
          <t>Accounts Payable</t>
        </is>
      </c>
      <c r="H4347" s="3" t="inlineStr">
        <is>
          <t>Billing Software as a Service</t>
        </is>
      </c>
      <c r="I4347" s="33" t="n">
        <v>14417.95</v>
      </c>
      <c r="J4347" s="13">
        <f>+J4346+I4347</f>
        <v>415928.41</v>
      </c>
      <c r="K4347" s="19">
        <f>+EOMONTH(B4347,0)</f>
        <v>46234</v>
      </c>
      <c r="L4347" s="3" t="inlineStr">
        <is>
          <t>Billing Software as a Service</t>
        </is>
      </c>
      <c r="M4347" s="3" t="inlineStr">
        <is>
          <t>Billing &amp; Collection Fees</t>
        </is>
      </c>
    </row>
    <row r="4348">
      <c r="B4348" s="39" t="n">
        <v>46231</v>
      </c>
      <c r="C4348" s="3" t="inlineStr">
        <is>
          <t>Bill</t>
        </is>
      </c>
      <c r="D4348" s="3" t="inlineStr"/>
      <c r="E4348" s="3" t="inlineStr">
        <is>
          <t>Ledgerquill Billing SaaS</t>
        </is>
      </c>
      <c r="F4348" s="3" t="inlineStr">
        <is>
          <t>Billing Software as a Service – July</t>
        </is>
      </c>
      <c r="G4348" s="3" t="inlineStr">
        <is>
          <t>Accounts Payable</t>
        </is>
      </c>
      <c r="H4348" s="3" t="inlineStr">
        <is>
          <t>Billing Software as a Service</t>
        </is>
      </c>
      <c r="I4348" s="33" t="n">
        <v>14171.59</v>
      </c>
      <c r="J4348" s="13">
        <f>+J4347+I4348</f>
        <v>430100</v>
      </c>
      <c r="K4348" s="19">
        <f>+EOMONTH(B4348,0)</f>
        <v>46234</v>
      </c>
      <c r="L4348" s="3" t="inlineStr">
        <is>
          <t>Billing Software as a Service</t>
        </is>
      </c>
      <c r="M4348" s="3" t="inlineStr">
        <is>
          <t>Billing &amp; Collection Fees</t>
        </is>
      </c>
    </row>
    <row r="4349">
      <c r="B4349" s="39" t="n">
        <v>46235</v>
      </c>
      <c r="C4349" s="3" t="inlineStr">
        <is>
          <t>Bill</t>
        </is>
      </c>
      <c r="D4349" s="3" t="inlineStr"/>
      <c r="E4349" s="3" t="inlineStr">
        <is>
          <t>Ledgerquill Billing SaaS</t>
        </is>
      </c>
      <c r="F4349" s="3" t="inlineStr">
        <is>
          <t>Billing Software as a Service – August</t>
        </is>
      </c>
      <c r="G4349" s="3" t="inlineStr">
        <is>
          <t>Accounts Payable</t>
        </is>
      </c>
      <c r="H4349" s="3" t="inlineStr">
        <is>
          <t>Billing Software as a Service</t>
        </is>
      </c>
      <c r="I4349" s="33" t="n">
        <v>16833.65</v>
      </c>
      <c r="J4349" s="13">
        <f>+J4348+I4349</f>
        <v>446933.65</v>
      </c>
      <c r="K4349" s="19">
        <f>+EOMONTH(B4349,0)</f>
        <v>46265</v>
      </c>
      <c r="L4349" s="3" t="inlineStr">
        <is>
          <t>Billing Software as a Service</t>
        </is>
      </c>
      <c r="M4349" s="3" t="inlineStr">
        <is>
          <t>Billing &amp; Collection Fees</t>
        </is>
      </c>
    </row>
    <row r="4350">
      <c r="B4350" s="39" t="n">
        <v>46236</v>
      </c>
      <c r="C4350" s="3" t="inlineStr">
        <is>
          <t>Bill</t>
        </is>
      </c>
      <c r="D4350" s="3" t="inlineStr"/>
      <c r="E4350" s="3" t="inlineStr">
        <is>
          <t>Ledgerquill Billing SaaS</t>
        </is>
      </c>
      <c r="F4350" s="3" t="inlineStr">
        <is>
          <t>Billing Software as a Service – August</t>
        </is>
      </c>
      <c r="G4350" s="3" t="inlineStr">
        <is>
          <t>Accounts Payable</t>
        </is>
      </c>
      <c r="H4350" s="3" t="inlineStr">
        <is>
          <t>Billing Software as a Service</t>
        </is>
      </c>
      <c r="I4350" s="33" t="n">
        <v>17195.12</v>
      </c>
      <c r="J4350" s="13">
        <f>+J4349+I4350</f>
        <v>464128.77</v>
      </c>
      <c r="K4350" s="19">
        <f>+EOMONTH(B4350,0)</f>
        <v>46265</v>
      </c>
      <c r="L4350" s="3" t="inlineStr">
        <is>
          <t>Billing Software as a Service</t>
        </is>
      </c>
      <c r="M4350" s="3" t="inlineStr">
        <is>
          <t>Billing &amp; Collection Fees</t>
        </is>
      </c>
    </row>
    <row r="4351">
      <c r="B4351" s="39" t="n">
        <v>46245</v>
      </c>
      <c r="C4351" s="3" t="inlineStr">
        <is>
          <t>Bill</t>
        </is>
      </c>
      <c r="D4351" s="3" t="inlineStr"/>
      <c r="E4351" s="3" t="inlineStr">
        <is>
          <t>Ledgerquill Billing SaaS</t>
        </is>
      </c>
      <c r="F4351" s="3" t="inlineStr">
        <is>
          <t>Billing Software as a Service – August</t>
        </is>
      </c>
      <c r="G4351" s="3" t="inlineStr">
        <is>
          <t>Accounts Payable</t>
        </is>
      </c>
      <c r="H4351" s="3" t="inlineStr">
        <is>
          <t>Billing Software as a Service</t>
        </is>
      </c>
      <c r="I4351" s="33" t="n">
        <v>14777.1</v>
      </c>
      <c r="J4351" s="13">
        <f>+J4350+I4351</f>
        <v>478905.87</v>
      </c>
      <c r="K4351" s="19">
        <f>+EOMONTH(B4351,0)</f>
        <v>46265</v>
      </c>
      <c r="L4351" s="3" t="inlineStr">
        <is>
          <t>Billing Software as a Service</t>
        </is>
      </c>
      <c r="M4351" s="3" t="inlineStr">
        <is>
          <t>Billing &amp; Collection Fees</t>
        </is>
      </c>
    </row>
    <row r="4352">
      <c r="B4352" s="39" t="n">
        <v>46251</v>
      </c>
      <c r="C4352" s="3" t="inlineStr">
        <is>
          <t>Bill</t>
        </is>
      </c>
      <c r="D4352" s="3" t="inlineStr"/>
      <c r="E4352" s="3" t="inlineStr">
        <is>
          <t>Ledgerquill Billing SaaS</t>
        </is>
      </c>
      <c r="F4352" s="3" t="inlineStr">
        <is>
          <t>Billing Software as a Service – August</t>
        </is>
      </c>
      <c r="G4352" s="3" t="inlineStr">
        <is>
          <t>Accounts Payable</t>
        </is>
      </c>
      <c r="H4352" s="3" t="inlineStr">
        <is>
          <t>Billing Software as a Service</t>
        </is>
      </c>
      <c r="I4352" s="33" t="n">
        <v>11694.13</v>
      </c>
      <c r="J4352" s="13">
        <f>+J4351+I4352</f>
        <v>490600</v>
      </c>
      <c r="K4352" s="19">
        <f>+EOMONTH(B4352,0)</f>
        <v>46265</v>
      </c>
      <c r="L4352" s="3" t="inlineStr">
        <is>
          <t>Billing Software as a Service</t>
        </is>
      </c>
      <c r="M4352" s="3" t="inlineStr">
        <is>
          <t>Billing &amp; Collection Fees</t>
        </is>
      </c>
    </row>
    <row r="4353">
      <c r="B4353" s="39" t="n">
        <v>46267</v>
      </c>
      <c r="C4353" s="3" t="inlineStr">
        <is>
          <t>Bill</t>
        </is>
      </c>
      <c r="D4353" s="3" t="inlineStr"/>
      <c r="E4353" s="3" t="inlineStr">
        <is>
          <t>Ledgerquill Billing SaaS</t>
        </is>
      </c>
      <c r="F4353" s="3" t="inlineStr">
        <is>
          <t>Billing Software as a Service – September</t>
        </is>
      </c>
      <c r="G4353" s="3" t="inlineStr">
        <is>
          <t>Accounts Payable</t>
        </is>
      </c>
      <c r="H4353" s="3" t="inlineStr">
        <is>
          <t>Billing Software as a Service</t>
        </is>
      </c>
      <c r="I4353" s="33" t="n">
        <v>11925.89</v>
      </c>
      <c r="J4353" s="13">
        <f>+J4352+I4353</f>
        <v>502525.89</v>
      </c>
      <c r="K4353" s="19">
        <f>+EOMONTH(B4353,0)</f>
        <v>46295</v>
      </c>
      <c r="L4353" s="3" t="inlineStr">
        <is>
          <t>Billing Software as a Service</t>
        </is>
      </c>
      <c r="M4353" s="3" t="inlineStr">
        <is>
          <t>Billing &amp; Collection Fees</t>
        </is>
      </c>
    </row>
    <row r="4354">
      <c r="B4354" s="39" t="n">
        <v>46269</v>
      </c>
      <c r="C4354" s="3" t="inlineStr">
        <is>
          <t>Bill</t>
        </is>
      </c>
      <c r="D4354" s="3" t="inlineStr"/>
      <c r="E4354" s="3" t="inlineStr">
        <is>
          <t>Ledgerquill Billing SaaS</t>
        </is>
      </c>
      <c r="F4354" s="3" t="inlineStr">
        <is>
          <t>Billing Software as a Service – September</t>
        </is>
      </c>
      <c r="G4354" s="3" t="inlineStr">
        <is>
          <t>Accounts Payable</t>
        </is>
      </c>
      <c r="H4354" s="3" t="inlineStr">
        <is>
          <t>Billing Software as a Service</t>
        </is>
      </c>
      <c r="I4354" s="33" t="n">
        <v>10389.61</v>
      </c>
      <c r="J4354" s="13">
        <f>+J4353+I4354</f>
        <v>512915.5</v>
      </c>
      <c r="K4354" s="19">
        <f>+EOMONTH(B4354,0)</f>
        <v>46295</v>
      </c>
      <c r="L4354" s="3" t="inlineStr">
        <is>
          <t>Billing Software as a Service</t>
        </is>
      </c>
      <c r="M4354" s="3" t="inlineStr">
        <is>
          <t>Billing &amp; Collection Fees</t>
        </is>
      </c>
    </row>
    <row r="4355">
      <c r="B4355" s="39" t="n">
        <v>46277</v>
      </c>
      <c r="C4355" s="3" t="inlineStr">
        <is>
          <t>Bill</t>
        </is>
      </c>
      <c r="D4355" s="3" t="inlineStr"/>
      <c r="E4355" s="3" t="inlineStr">
        <is>
          <t>Ledgerquill Billing SaaS</t>
        </is>
      </c>
      <c r="F4355" s="3" t="inlineStr">
        <is>
          <t>Billing Software as a Service – September</t>
        </is>
      </c>
      <c r="G4355" s="3" t="inlineStr">
        <is>
          <t>Accounts Payable</t>
        </is>
      </c>
      <c r="H4355" s="3" t="inlineStr">
        <is>
          <t>Billing Software as a Service</t>
        </is>
      </c>
      <c r="I4355" s="33" t="n">
        <v>16338.97</v>
      </c>
      <c r="J4355" s="13">
        <f>+J4354+I4355</f>
        <v>529254.47</v>
      </c>
      <c r="K4355" s="19">
        <f>+EOMONTH(B4355,0)</f>
        <v>46295</v>
      </c>
      <c r="L4355" s="3" t="inlineStr">
        <is>
          <t>Billing Software as a Service</t>
        </is>
      </c>
      <c r="M4355" s="3" t="inlineStr">
        <is>
          <t>Billing &amp; Collection Fees</t>
        </is>
      </c>
    </row>
    <row r="4356">
      <c r="B4356" s="39" t="n">
        <v>46289</v>
      </c>
      <c r="C4356" s="3" t="inlineStr">
        <is>
          <t>Bill</t>
        </is>
      </c>
      <c r="D4356" s="3" t="inlineStr"/>
      <c r="E4356" s="3" t="inlineStr">
        <is>
          <t>Ledgerquill Billing SaaS</t>
        </is>
      </c>
      <c r="F4356" s="3" t="inlineStr">
        <is>
          <t>Billing Software as a Service – September</t>
        </is>
      </c>
      <c r="G4356" s="3" t="inlineStr">
        <is>
          <t>Accounts Payable</t>
        </is>
      </c>
      <c r="H4356" s="3" t="inlineStr">
        <is>
          <t>Billing Software as a Service</t>
        </is>
      </c>
      <c r="I4356" s="33" t="n">
        <v>16348.36</v>
      </c>
      <c r="J4356" s="13">
        <f>+J4355+I4356</f>
        <v>545602.83</v>
      </c>
      <c r="K4356" s="19">
        <f>+EOMONTH(B4356,0)</f>
        <v>46295</v>
      </c>
      <c r="L4356" s="3" t="inlineStr">
        <is>
          <t>Billing Software as a Service</t>
        </is>
      </c>
      <c r="M4356" s="3" t="inlineStr">
        <is>
          <t>Billing &amp; Collection Fees</t>
        </is>
      </c>
    </row>
    <row r="4357">
      <c r="B4357" s="39" t="n">
        <v>46291</v>
      </c>
      <c r="C4357" s="3" t="inlineStr">
        <is>
          <t>Bill</t>
        </is>
      </c>
      <c r="D4357" s="3" t="inlineStr"/>
      <c r="E4357" s="3" t="inlineStr">
        <is>
          <t>Ledgerquill Billing SaaS</t>
        </is>
      </c>
      <c r="F4357" s="3" t="inlineStr">
        <is>
          <t>Billing Software as a Service – September</t>
        </is>
      </c>
      <c r="G4357" s="3" t="inlineStr">
        <is>
          <t>Accounts Payable</t>
        </is>
      </c>
      <c r="H4357" s="3" t="inlineStr">
        <is>
          <t>Billing Software as a Service</t>
        </is>
      </c>
      <c r="I4357" s="33" t="n">
        <v>10889.15</v>
      </c>
      <c r="J4357" s="13">
        <f>+J4356+I4357</f>
        <v>556491.98</v>
      </c>
      <c r="K4357" s="19">
        <f>+EOMONTH(B4357,0)</f>
        <v>46295</v>
      </c>
      <c r="L4357" s="3" t="inlineStr">
        <is>
          <t>Billing Software as a Service</t>
        </is>
      </c>
      <c r="M4357" s="3" t="inlineStr">
        <is>
          <t>Billing &amp; Collection Fees</t>
        </is>
      </c>
    </row>
    <row r="4358">
      <c r="B4358" s="39" t="n">
        <v>46304</v>
      </c>
      <c r="C4358" s="3" t="inlineStr">
        <is>
          <t>Bill</t>
        </is>
      </c>
      <c r="D4358" s="3" t="inlineStr"/>
      <c r="E4358" s="3" t="inlineStr">
        <is>
          <t>Ledgerquill Billing SaaS</t>
        </is>
      </c>
      <c r="F4358" s="3" t="inlineStr">
        <is>
          <t>Billing Software as a Service – October</t>
        </is>
      </c>
      <c r="G4358" s="3" t="inlineStr">
        <is>
          <t>Accounts Payable</t>
        </is>
      </c>
      <c r="H4358" s="3" t="inlineStr">
        <is>
          <t>Billing Software as a Service</t>
        </is>
      </c>
      <c r="I4358" s="33" t="n">
        <v>19451.35</v>
      </c>
      <c r="J4358" s="13">
        <f>+J4357+I4358</f>
        <v>575943.33</v>
      </c>
      <c r="K4358" s="19">
        <f>+EOMONTH(B4358,0)</f>
        <v>46326</v>
      </c>
      <c r="L4358" s="3" t="inlineStr">
        <is>
          <t>Billing Software as a Service</t>
        </is>
      </c>
      <c r="M4358" s="3" t="inlineStr">
        <is>
          <t>Billing &amp; Collection Fees</t>
        </is>
      </c>
    </row>
    <row r="4359">
      <c r="B4359" s="39" t="n">
        <v>46310</v>
      </c>
      <c r="C4359" s="3" t="inlineStr">
        <is>
          <t>Bill</t>
        </is>
      </c>
      <c r="D4359" s="3" t="inlineStr"/>
      <c r="E4359" s="3" t="inlineStr">
        <is>
          <t>Ledgerquill Billing SaaS</t>
        </is>
      </c>
      <c r="F4359" s="3" t="inlineStr">
        <is>
          <t>Billing Software as a Service – October</t>
        </is>
      </c>
      <c r="G4359" s="3" t="inlineStr">
        <is>
          <t>Accounts Payable</t>
        </is>
      </c>
      <c r="H4359" s="3" t="inlineStr">
        <is>
          <t>Billing Software as a Service</t>
        </is>
      </c>
      <c r="I4359" s="33" t="n">
        <v>26598.95</v>
      </c>
      <c r="J4359" s="13">
        <f>+J4358+I4359</f>
        <v>602542.28</v>
      </c>
      <c r="K4359" s="19">
        <f>+EOMONTH(B4359,0)</f>
        <v>46326</v>
      </c>
      <c r="L4359" s="3" t="inlineStr">
        <is>
          <t>Billing Software as a Service</t>
        </is>
      </c>
      <c r="M4359" s="3" t="inlineStr">
        <is>
          <t>Billing &amp; Collection Fees</t>
        </is>
      </c>
    </row>
    <row r="4360">
      <c r="B4360" s="39" t="n">
        <v>46322</v>
      </c>
      <c r="C4360" s="3" t="inlineStr">
        <is>
          <t>Bill</t>
        </is>
      </c>
      <c r="D4360" s="3" t="inlineStr"/>
      <c r="E4360" s="3" t="inlineStr">
        <is>
          <t>Ledgerquill Billing SaaS</t>
        </is>
      </c>
      <c r="F4360" s="3" t="inlineStr">
        <is>
          <t>Billing Software as a Service – October</t>
        </is>
      </c>
      <c r="G4360" s="3" t="inlineStr">
        <is>
          <t>Accounts Payable</t>
        </is>
      </c>
      <c r="H4360" s="3" t="inlineStr">
        <is>
          <t>Billing Software as a Service</t>
        </is>
      </c>
      <c r="I4360" s="33" t="n">
        <v>21685.61</v>
      </c>
      <c r="J4360" s="13">
        <f>+J4359+I4360</f>
        <v>624227.89</v>
      </c>
      <c r="K4360" s="19">
        <f>+EOMONTH(B4360,0)</f>
        <v>46326</v>
      </c>
      <c r="L4360" s="3" t="inlineStr">
        <is>
          <t>Billing Software as a Service</t>
        </is>
      </c>
      <c r="M4360" s="3" t="inlineStr">
        <is>
          <t>Billing &amp; Collection Fees</t>
        </is>
      </c>
    </row>
    <row r="4361">
      <c r="B4361" s="39" t="n">
        <v>46336</v>
      </c>
      <c r="C4361" s="3" t="inlineStr">
        <is>
          <t>Bill</t>
        </is>
      </c>
      <c r="D4361" s="3" t="inlineStr"/>
      <c r="E4361" s="3" t="inlineStr">
        <is>
          <t>Ledgerquill Billing SaaS</t>
        </is>
      </c>
      <c r="F4361" s="3" t="inlineStr">
        <is>
          <t>Billing Software as a Service – November</t>
        </is>
      </c>
      <c r="G4361" s="3" t="inlineStr">
        <is>
          <t>Accounts Payable</t>
        </is>
      </c>
      <c r="H4361" s="3" t="inlineStr">
        <is>
          <t>Billing Software as a Service</t>
        </is>
      </c>
      <c r="I4361" s="33" t="n">
        <v>14713.76</v>
      </c>
      <c r="J4361" s="13">
        <f>+J4360+I4361</f>
        <v>638941.65</v>
      </c>
      <c r="K4361" s="19">
        <f>+EOMONTH(B4361,0)</f>
        <v>46356</v>
      </c>
      <c r="L4361" s="3" t="inlineStr">
        <is>
          <t>Billing Software as a Service</t>
        </is>
      </c>
      <c r="M4361" s="3" t="inlineStr">
        <is>
          <t>Billing &amp; Collection Fees</t>
        </is>
      </c>
    </row>
    <row r="4362">
      <c r="B4362" s="39" t="n">
        <v>46342</v>
      </c>
      <c r="C4362" s="3" t="inlineStr">
        <is>
          <t>Bill</t>
        </is>
      </c>
      <c r="D4362" s="3" t="inlineStr"/>
      <c r="E4362" s="3" t="inlineStr">
        <is>
          <t>Ledgerquill Billing SaaS</t>
        </is>
      </c>
      <c r="F4362" s="3" t="inlineStr">
        <is>
          <t>Billing Software as a Service – November</t>
        </is>
      </c>
      <c r="G4362" s="3" t="inlineStr">
        <is>
          <t>Accounts Payable</t>
        </is>
      </c>
      <c r="H4362" s="3" t="inlineStr">
        <is>
          <t>Billing Software as a Service</t>
        </is>
      </c>
      <c r="I4362" s="33" t="n">
        <v>7542.39</v>
      </c>
      <c r="J4362" s="13">
        <f>+J4361+I4362</f>
        <v>646484.04</v>
      </c>
      <c r="K4362" s="19">
        <f>+EOMONTH(B4362,0)</f>
        <v>46356</v>
      </c>
      <c r="L4362" s="3" t="inlineStr">
        <is>
          <t>Billing Software as a Service</t>
        </is>
      </c>
      <c r="M4362" s="3" t="inlineStr">
        <is>
          <t>Billing &amp; Collection Fees</t>
        </is>
      </c>
    </row>
    <row r="4363">
      <c r="B4363" s="39" t="n">
        <v>46342</v>
      </c>
      <c r="C4363" s="3" t="inlineStr">
        <is>
          <t>Bill</t>
        </is>
      </c>
      <c r="D4363" s="3" t="inlineStr"/>
      <c r="E4363" s="3" t="inlineStr">
        <is>
          <t>Ledgerquill Billing SaaS</t>
        </is>
      </c>
      <c r="F4363" s="3" t="inlineStr">
        <is>
          <t>Billing Software as a Service – November</t>
        </is>
      </c>
      <c r="G4363" s="3" t="inlineStr">
        <is>
          <t>Accounts Payable</t>
        </is>
      </c>
      <c r="H4363" s="3" t="inlineStr">
        <is>
          <t>Billing Software as a Service</t>
        </is>
      </c>
      <c r="I4363" s="33" t="n">
        <v>10544.22</v>
      </c>
      <c r="J4363" s="13">
        <f>+J4362+I4363</f>
        <v>657028.26</v>
      </c>
      <c r="K4363" s="19">
        <f>+EOMONTH(B4363,0)</f>
        <v>46356</v>
      </c>
      <c r="L4363" s="3" t="inlineStr">
        <is>
          <t>Billing Software as a Service</t>
        </is>
      </c>
      <c r="M4363" s="3" t="inlineStr">
        <is>
          <t>Billing &amp; Collection Fees</t>
        </is>
      </c>
    </row>
    <row r="4364">
      <c r="B4364" s="39" t="n">
        <v>46345</v>
      </c>
      <c r="C4364" s="3" t="inlineStr">
        <is>
          <t>Bill</t>
        </is>
      </c>
      <c r="D4364" s="3" t="inlineStr"/>
      <c r="E4364" s="3" t="inlineStr">
        <is>
          <t>Ledgerquill Billing SaaS</t>
        </is>
      </c>
      <c r="F4364" s="3" t="inlineStr">
        <is>
          <t>Billing Software as a Service – November</t>
        </is>
      </c>
      <c r="G4364" s="3" t="inlineStr">
        <is>
          <t>Accounts Payable</t>
        </is>
      </c>
      <c r="H4364" s="3" t="inlineStr">
        <is>
          <t>Billing Software as a Service</t>
        </is>
      </c>
      <c r="I4364" s="33" t="n">
        <v>14167.59</v>
      </c>
      <c r="J4364" s="13">
        <f>+J4363+I4364</f>
        <v>671195.85</v>
      </c>
      <c r="K4364" s="19">
        <f>+EOMONTH(B4364,0)</f>
        <v>46356</v>
      </c>
      <c r="L4364" s="3" t="inlineStr">
        <is>
          <t>Billing Software as a Service</t>
        </is>
      </c>
      <c r="M4364" s="3" t="inlineStr">
        <is>
          <t>Billing &amp; Collection Fees</t>
        </is>
      </c>
    </row>
    <row r="4365">
      <c r="B4365" s="39" t="n">
        <v>46351</v>
      </c>
      <c r="C4365" s="3" t="inlineStr">
        <is>
          <t>Bill</t>
        </is>
      </c>
      <c r="D4365" s="3" t="inlineStr"/>
      <c r="E4365" s="3" t="inlineStr">
        <is>
          <t>Ledgerquill Billing SaaS</t>
        </is>
      </c>
      <c r="F4365" s="3" t="inlineStr">
        <is>
          <t>Billing Software as a Service – November</t>
        </is>
      </c>
      <c r="G4365" s="3" t="inlineStr">
        <is>
          <t>Accounts Payable</t>
        </is>
      </c>
      <c r="H4365" s="3" t="inlineStr">
        <is>
          <t>Billing Software as a Service</t>
        </is>
      </c>
      <c r="I4365" s="33" t="n">
        <v>13705.41</v>
      </c>
      <c r="J4365" s="13">
        <f>+J4364+I4365</f>
        <v>684901.26</v>
      </c>
      <c r="K4365" s="19">
        <f>+EOMONTH(B4365,0)</f>
        <v>46356</v>
      </c>
      <c r="L4365" s="3" t="inlineStr">
        <is>
          <t>Billing Software as a Service</t>
        </is>
      </c>
      <c r="M4365" s="3" t="inlineStr">
        <is>
          <t>Billing &amp; Collection Fees</t>
        </is>
      </c>
    </row>
    <row r="4366">
      <c r="A4366" s="2" t="inlineStr">
        <is>
          <t>Total for Billing Software as a Service</t>
        </is>
      </c>
      <c r="I4366" s="35">
        <f>SUM(I4321:I4365)</f>
        <v>684901.26</v>
      </c>
    </row>
    <row r="4368">
      <c r="A4368" s="2" t="inlineStr">
        <is>
          <t>Lab EMR Service</t>
        </is>
      </c>
    </row>
    <row r="4369">
      <c r="B4369" s="39" t="n">
        <v>46026</v>
      </c>
      <c r="C4369" s="3" t="inlineStr">
        <is>
          <t>Expense</t>
        </is>
      </c>
      <c r="D4369" s="3" t="inlineStr">
        <is>
          <t>11259</t>
        </is>
      </c>
      <c r="E4369" s="3" t="inlineStr">
        <is>
          <t>Ledgerquill Billing SaaS</t>
        </is>
      </c>
      <c r="F4369" s="3" t="inlineStr">
        <is>
          <t>Lab EMR Service – January</t>
        </is>
      </c>
      <c r="G4369" s="3" t="inlineStr">
        <is>
          <t>Checking – Operating</t>
        </is>
      </c>
      <c r="H4369" s="3" t="inlineStr">
        <is>
          <t>Lab EMR Service</t>
        </is>
      </c>
      <c r="I4369" s="33" t="n">
        <v>3162.35</v>
      </c>
      <c r="J4369" s="13">
        <f>+I4369</f>
        <v>3162.35</v>
      </c>
      <c r="K4369" s="19">
        <f>+EOMONTH(B4369,0)</f>
        <v>46053</v>
      </c>
      <c r="L4369" s="3" t="inlineStr">
        <is>
          <t>Lab EMR Service</t>
        </is>
      </c>
      <c r="M4369" s="3" t="inlineStr">
        <is>
          <t>Information Technology Expense</t>
        </is>
      </c>
    </row>
    <row r="4370">
      <c r="B4370" s="39" t="n">
        <v>46032</v>
      </c>
      <c r="C4370" s="3" t="inlineStr">
        <is>
          <t>Expense</t>
        </is>
      </c>
      <c r="D4370" s="3" t="inlineStr">
        <is>
          <t>11258</t>
        </is>
      </c>
      <c r="E4370" s="3" t="inlineStr">
        <is>
          <t>Ledgerquill Billing SaaS</t>
        </is>
      </c>
      <c r="F4370" s="3" t="inlineStr">
        <is>
          <t>Lab EMR Service – January</t>
        </is>
      </c>
      <c r="G4370" s="3" t="inlineStr">
        <is>
          <t>Checking – Operating</t>
        </is>
      </c>
      <c r="H4370" s="3" t="inlineStr">
        <is>
          <t>Lab EMR Service</t>
        </is>
      </c>
      <c r="I4370" s="33" t="n">
        <v>3917.65</v>
      </c>
      <c r="J4370" s="13">
        <f>+J4369+I4370</f>
        <v>7080</v>
      </c>
      <c r="K4370" s="19">
        <f>+EOMONTH(B4370,0)</f>
        <v>46053</v>
      </c>
      <c r="L4370" s="3" t="inlineStr">
        <is>
          <t>Lab EMR Service</t>
        </is>
      </c>
      <c r="M4370" s="3" t="inlineStr">
        <is>
          <t>Information Technology Expense</t>
        </is>
      </c>
    </row>
    <row r="4371">
      <c r="B4371" s="39" t="n">
        <v>46070</v>
      </c>
      <c r="C4371" s="3" t="inlineStr">
        <is>
          <t>Expense</t>
        </is>
      </c>
      <c r="D4371" s="3" t="inlineStr">
        <is>
          <t>11260</t>
        </is>
      </c>
      <c r="E4371" s="3" t="inlineStr">
        <is>
          <t>Ledgerquill Billing SaaS</t>
        </is>
      </c>
      <c r="F4371" s="3" t="inlineStr">
        <is>
          <t>Lab EMR Service – February</t>
        </is>
      </c>
      <c r="G4371" s="3" t="inlineStr">
        <is>
          <t>Checking – Operating</t>
        </is>
      </c>
      <c r="H4371" s="3" t="inlineStr">
        <is>
          <t>Lab EMR Service</t>
        </is>
      </c>
      <c r="I4371" s="33" t="n">
        <v>4057.06</v>
      </c>
      <c r="J4371" s="13">
        <f>+J4370+I4371</f>
        <v>11137.06</v>
      </c>
      <c r="K4371" s="19">
        <f>+EOMONTH(B4371,0)</f>
        <v>46081</v>
      </c>
      <c r="L4371" s="3" t="inlineStr">
        <is>
          <t>Lab EMR Service</t>
        </is>
      </c>
      <c r="M4371" s="3" t="inlineStr">
        <is>
          <t>Information Technology Expense</t>
        </is>
      </c>
    </row>
    <row r="4372">
      <c r="B4372" s="39" t="n">
        <v>46073</v>
      </c>
      <c r="C4372" s="3" t="inlineStr">
        <is>
          <t>Credit Card Expense</t>
        </is>
      </c>
      <c r="D4372" s="3" t="inlineStr"/>
      <c r="E4372" s="3" t="inlineStr">
        <is>
          <t>Ledgerquill Billing SaaS</t>
        </is>
      </c>
      <c r="F4372" s="3" t="inlineStr">
        <is>
          <t>Lab EMR Service – February</t>
        </is>
      </c>
      <c r="G4372" s="3" t="inlineStr">
        <is>
          <t>Checking – Operating</t>
        </is>
      </c>
      <c r="H4372" s="3" t="inlineStr">
        <is>
          <t>Lab EMR Service</t>
        </is>
      </c>
      <c r="I4372" s="33" t="n">
        <v>2822.94</v>
      </c>
      <c r="J4372" s="13">
        <f>+J4371+I4372</f>
        <v>13960</v>
      </c>
      <c r="K4372" s="19">
        <f>+EOMONTH(B4372,0)</f>
        <v>46081</v>
      </c>
      <c r="L4372" s="3" t="inlineStr">
        <is>
          <t>Lab EMR Service</t>
        </is>
      </c>
      <c r="M4372" s="3" t="inlineStr">
        <is>
          <t>Information Technology Expense</t>
        </is>
      </c>
    </row>
    <row r="4373">
      <c r="B4373" s="39" t="n">
        <v>46088</v>
      </c>
      <c r="C4373" s="3" t="inlineStr">
        <is>
          <t>Credit Card Expense</t>
        </is>
      </c>
      <c r="D4373" s="3" t="inlineStr"/>
      <c r="E4373" s="3" t="inlineStr">
        <is>
          <t>Ledgerquill Billing SaaS</t>
        </is>
      </c>
      <c r="F4373" s="3" t="inlineStr">
        <is>
          <t>Lab EMR Service – March</t>
        </is>
      </c>
      <c r="G4373" s="3" t="inlineStr">
        <is>
          <t>Checking – Operating</t>
        </is>
      </c>
      <c r="H4373" s="3" t="inlineStr">
        <is>
          <t>Lab EMR Service</t>
        </is>
      </c>
      <c r="I4373" s="33" t="n">
        <v>3346.33</v>
      </c>
      <c r="J4373" s="13">
        <f>+J4372+I4373</f>
        <v>17306.33</v>
      </c>
      <c r="K4373" s="19">
        <f>+EOMONTH(B4373,0)</f>
        <v>46112</v>
      </c>
      <c r="L4373" s="3" t="inlineStr">
        <is>
          <t>Lab EMR Service</t>
        </is>
      </c>
      <c r="M4373" s="3" t="inlineStr">
        <is>
          <t>Information Technology Expense</t>
        </is>
      </c>
    </row>
    <row r="4374">
      <c r="B4374" s="39" t="n">
        <v>46111</v>
      </c>
      <c r="C4374" s="3" t="inlineStr">
        <is>
          <t>Credit Card Expense</t>
        </is>
      </c>
      <c r="D4374" s="3" t="inlineStr"/>
      <c r="E4374" s="3" t="inlineStr">
        <is>
          <t>Ledgerquill Billing SaaS</t>
        </is>
      </c>
      <c r="F4374" s="3" t="inlineStr">
        <is>
          <t>Lab EMR Service – March</t>
        </is>
      </c>
      <c r="G4374" s="3" t="inlineStr">
        <is>
          <t>Checking – Operating</t>
        </is>
      </c>
      <c r="H4374" s="3" t="inlineStr">
        <is>
          <t>Lab EMR Service</t>
        </is>
      </c>
      <c r="I4374" s="33" t="n">
        <v>4293.67</v>
      </c>
      <c r="J4374" s="13">
        <f>+J4373+I4374</f>
        <v>21600</v>
      </c>
      <c r="K4374" s="19">
        <f>+EOMONTH(B4374,0)</f>
        <v>46112</v>
      </c>
      <c r="L4374" s="3" t="inlineStr">
        <is>
          <t>Lab EMR Service</t>
        </is>
      </c>
      <c r="M4374" s="3" t="inlineStr">
        <is>
          <t>Information Technology Expense</t>
        </is>
      </c>
    </row>
    <row r="4375">
      <c r="B4375" s="39" t="n">
        <v>46118</v>
      </c>
      <c r="C4375" s="3" t="inlineStr">
        <is>
          <t>Expense</t>
        </is>
      </c>
      <c r="D4375" s="3" t="inlineStr">
        <is>
          <t>11261</t>
        </is>
      </c>
      <c r="E4375" s="3" t="inlineStr">
        <is>
          <t>Ledgerquill Billing SaaS</t>
        </is>
      </c>
      <c r="F4375" s="3" t="inlineStr">
        <is>
          <t>Lab EMR Service – April</t>
        </is>
      </c>
      <c r="G4375" s="3" t="inlineStr">
        <is>
          <t>Checking – Operating</t>
        </is>
      </c>
      <c r="H4375" s="3" t="inlineStr">
        <is>
          <t>Lab EMR Service</t>
        </is>
      </c>
      <c r="I4375" s="33" t="n">
        <v>3478.8</v>
      </c>
      <c r="J4375" s="13">
        <f>+J4374+I4375</f>
        <v>25078.8</v>
      </c>
      <c r="K4375" s="19">
        <f>+EOMONTH(B4375,0)</f>
        <v>46142</v>
      </c>
      <c r="L4375" s="3" t="inlineStr">
        <is>
          <t>Lab EMR Service</t>
        </is>
      </c>
      <c r="M4375" s="3" t="inlineStr">
        <is>
          <t>Information Technology Expense</t>
        </is>
      </c>
    </row>
    <row r="4376">
      <c r="B4376" s="39" t="n">
        <v>46142</v>
      </c>
      <c r="C4376" s="3" t="inlineStr">
        <is>
          <t>Credit Card Expense</t>
        </is>
      </c>
      <c r="D4376" s="3" t="inlineStr"/>
      <c r="E4376" s="3" t="inlineStr">
        <is>
          <t>Ledgerquill Billing SaaS</t>
        </is>
      </c>
      <c r="F4376" s="3" t="inlineStr">
        <is>
          <t>Lab EMR Service – April</t>
        </is>
      </c>
      <c r="G4376" s="3" t="inlineStr">
        <is>
          <t>Checking – Operating</t>
        </is>
      </c>
      <c r="H4376" s="3" t="inlineStr">
        <is>
          <t>Lab EMR Service</t>
        </is>
      </c>
      <c r="I4376" s="33" t="n">
        <v>4321.2</v>
      </c>
      <c r="J4376" s="13">
        <f>+J4375+I4376</f>
        <v>29400</v>
      </c>
      <c r="K4376" s="19">
        <f>+EOMONTH(B4376,0)</f>
        <v>46142</v>
      </c>
      <c r="L4376" s="3" t="inlineStr">
        <is>
          <t>Lab EMR Service</t>
        </is>
      </c>
      <c r="M4376" s="3" t="inlineStr">
        <is>
          <t>Information Technology Expense</t>
        </is>
      </c>
    </row>
    <row r="4377">
      <c r="B4377" s="39" t="n">
        <v>46146</v>
      </c>
      <c r="C4377" s="3" t="inlineStr">
        <is>
          <t>Journal Entry</t>
        </is>
      </c>
      <c r="D4377" s="3" t="inlineStr">
        <is>
          <t>JE-2774</t>
        </is>
      </c>
      <c r="E4377" s="3" t="inlineStr">
        <is>
          <t>Ledgerquill Billing SaaS</t>
        </is>
      </c>
      <c r="F4377" s="3" t="inlineStr">
        <is>
          <t>Lab EMR Service – May</t>
        </is>
      </c>
      <c r="G4377" s="3" t="inlineStr">
        <is>
          <t>Checking – Operating</t>
        </is>
      </c>
      <c r="H4377" s="3" t="inlineStr">
        <is>
          <t>Lab EMR Service</t>
        </is>
      </c>
      <c r="I4377" s="33" t="n">
        <v>2451.87</v>
      </c>
      <c r="J4377" s="13">
        <f>+J4376+I4377</f>
        <v>31851.87</v>
      </c>
      <c r="K4377" s="19">
        <f>+EOMONTH(B4377,0)</f>
        <v>46173</v>
      </c>
      <c r="L4377" s="3" t="inlineStr">
        <is>
          <t>Lab EMR Service</t>
        </is>
      </c>
      <c r="M4377" s="3" t="inlineStr">
        <is>
          <t>Information Technology Expense</t>
        </is>
      </c>
    </row>
    <row r="4378">
      <c r="B4378" s="39" t="n">
        <v>46171</v>
      </c>
      <c r="C4378" s="3" t="inlineStr">
        <is>
          <t>Expense</t>
        </is>
      </c>
      <c r="D4378" s="3" t="inlineStr">
        <is>
          <t>11262</t>
        </is>
      </c>
      <c r="E4378" s="3" t="inlineStr">
        <is>
          <t>Ledgerquill Billing SaaS</t>
        </is>
      </c>
      <c r="F4378" s="3" t="inlineStr">
        <is>
          <t>Lab EMR Service – May</t>
        </is>
      </c>
      <c r="G4378" s="3" t="inlineStr">
        <is>
          <t>Checking – Operating</t>
        </is>
      </c>
      <c r="H4378" s="3" t="inlineStr">
        <is>
          <t>Lab EMR Service</t>
        </is>
      </c>
      <c r="I4378" s="33" t="n">
        <v>5028.13</v>
      </c>
      <c r="J4378" s="13">
        <f>+J4377+I4378</f>
        <v>36880</v>
      </c>
      <c r="K4378" s="19">
        <f>+EOMONTH(B4378,0)</f>
        <v>46173</v>
      </c>
      <c r="L4378" s="3" t="inlineStr">
        <is>
          <t>Lab EMR Service</t>
        </is>
      </c>
      <c r="M4378" s="3" t="inlineStr">
        <is>
          <t>Information Technology Expense</t>
        </is>
      </c>
    </row>
    <row r="4379">
      <c r="B4379" s="39" t="n">
        <v>46188</v>
      </c>
      <c r="C4379" s="3" t="inlineStr">
        <is>
          <t>Expense</t>
        </is>
      </c>
      <c r="D4379" s="3" t="inlineStr">
        <is>
          <t>11263</t>
        </is>
      </c>
      <c r="E4379" s="3" t="inlineStr">
        <is>
          <t>Ledgerquill Billing SaaS</t>
        </is>
      </c>
      <c r="F4379" s="3" t="inlineStr">
        <is>
          <t>Lab EMR Service – June</t>
        </is>
      </c>
      <c r="G4379" s="3" t="inlineStr">
        <is>
          <t>Checking – Operating</t>
        </is>
      </c>
      <c r="H4379" s="3" t="inlineStr">
        <is>
          <t>Lab EMR Service</t>
        </is>
      </c>
      <c r="I4379" s="33" t="n">
        <v>3584.46</v>
      </c>
      <c r="J4379" s="13">
        <f>+J4378+I4379</f>
        <v>40464.46</v>
      </c>
      <c r="K4379" s="19">
        <f>+EOMONTH(B4379,0)</f>
        <v>46203</v>
      </c>
      <c r="L4379" s="3" t="inlineStr">
        <is>
          <t>Lab EMR Service</t>
        </is>
      </c>
      <c r="M4379" s="3" t="inlineStr">
        <is>
          <t>Information Technology Expense</t>
        </is>
      </c>
    </row>
    <row r="4380">
      <c r="B4380" s="39" t="n">
        <v>46198</v>
      </c>
      <c r="C4380" s="3" t="inlineStr">
        <is>
          <t>Expense</t>
        </is>
      </c>
      <c r="D4380" s="3" t="inlineStr">
        <is>
          <t>11264</t>
        </is>
      </c>
      <c r="E4380" s="3" t="inlineStr">
        <is>
          <t>Ledgerquill Billing SaaS</t>
        </is>
      </c>
      <c r="F4380" s="3" t="inlineStr">
        <is>
          <t>Lab EMR Service – June</t>
        </is>
      </c>
      <c r="G4380" s="3" t="inlineStr">
        <is>
          <t>Checking – Operating</t>
        </is>
      </c>
      <c r="H4380" s="3" t="inlineStr">
        <is>
          <t>Lab EMR Service</t>
        </is>
      </c>
      <c r="I4380" s="33" t="n">
        <v>3695.54</v>
      </c>
      <c r="J4380" s="13">
        <f>+J4379+I4380</f>
        <v>44160</v>
      </c>
      <c r="K4380" s="19">
        <f>+EOMONTH(B4380,0)</f>
        <v>46203</v>
      </c>
      <c r="L4380" s="3" t="inlineStr">
        <is>
          <t>Lab EMR Service</t>
        </is>
      </c>
      <c r="M4380" s="3" t="inlineStr">
        <is>
          <t>Information Technology Expense</t>
        </is>
      </c>
    </row>
    <row r="4381">
      <c r="B4381" s="39" t="n">
        <v>46209</v>
      </c>
      <c r="C4381" s="3" t="inlineStr">
        <is>
          <t>Expense</t>
        </is>
      </c>
      <c r="D4381" s="3" t="inlineStr">
        <is>
          <t>11265</t>
        </is>
      </c>
      <c r="E4381" s="3" t="inlineStr">
        <is>
          <t>Ledgerquill Billing SaaS</t>
        </is>
      </c>
      <c r="F4381" s="3" t="inlineStr">
        <is>
          <t>Lab EMR Service – July</t>
        </is>
      </c>
      <c r="G4381" s="3" t="inlineStr">
        <is>
          <t>Checking – Operating</t>
        </is>
      </c>
      <c r="H4381" s="3" t="inlineStr">
        <is>
          <t>Lab EMR Service</t>
        </is>
      </c>
      <c r="I4381" s="33" t="n">
        <v>3874.32</v>
      </c>
      <c r="J4381" s="13">
        <f>+J4380+I4381</f>
        <v>48034.32</v>
      </c>
      <c r="K4381" s="19">
        <f>+EOMONTH(B4381,0)</f>
        <v>46234</v>
      </c>
      <c r="L4381" s="3" t="inlineStr">
        <is>
          <t>Lab EMR Service</t>
        </is>
      </c>
      <c r="M4381" s="3" t="inlineStr">
        <is>
          <t>Information Technology Expense</t>
        </is>
      </c>
    </row>
    <row r="4382">
      <c r="B4382" s="39" t="n">
        <v>46222</v>
      </c>
      <c r="C4382" s="3" t="inlineStr">
        <is>
          <t>Journal Entry</t>
        </is>
      </c>
      <c r="D4382" s="3" t="inlineStr">
        <is>
          <t>JE-2775</t>
        </is>
      </c>
      <c r="E4382" s="3" t="inlineStr">
        <is>
          <t>Ledgerquill Billing SaaS</t>
        </is>
      </c>
      <c r="F4382" s="3" t="inlineStr">
        <is>
          <t>Lab EMR Service – July</t>
        </is>
      </c>
      <c r="G4382" s="3" t="inlineStr">
        <is>
          <t>Checking – Operating</t>
        </is>
      </c>
      <c r="H4382" s="3" t="inlineStr">
        <is>
          <t>Lab EMR Service</t>
        </is>
      </c>
      <c r="I4382" s="33" t="n">
        <v>3525.68</v>
      </c>
      <c r="J4382" s="13">
        <f>+J4381+I4382</f>
        <v>51560</v>
      </c>
      <c r="K4382" s="19">
        <f>+EOMONTH(B4382,0)</f>
        <v>46234</v>
      </c>
      <c r="L4382" s="3" t="inlineStr">
        <is>
          <t>Lab EMR Service</t>
        </is>
      </c>
      <c r="M4382" s="3" t="inlineStr">
        <is>
          <t>Information Technology Expense</t>
        </is>
      </c>
    </row>
    <row r="4383">
      <c r="B4383" s="39" t="n">
        <v>46244</v>
      </c>
      <c r="C4383" s="3" t="inlineStr">
        <is>
          <t>Expense</t>
        </is>
      </c>
      <c r="D4383" s="3" t="inlineStr">
        <is>
          <t>11267</t>
        </is>
      </c>
      <c r="E4383" s="3" t="inlineStr">
        <is>
          <t>Ledgerquill Billing SaaS</t>
        </is>
      </c>
      <c r="F4383" s="3" t="inlineStr">
        <is>
          <t>Lab EMR Service – August</t>
        </is>
      </c>
      <c r="G4383" s="3" t="inlineStr">
        <is>
          <t>Checking – Operating</t>
        </is>
      </c>
      <c r="H4383" s="3" t="inlineStr">
        <is>
          <t>Lab EMR Service</t>
        </is>
      </c>
      <c r="I4383" s="33" t="n">
        <v>3670.81</v>
      </c>
      <c r="J4383" s="13">
        <f>+J4382+I4383</f>
        <v>55230.81</v>
      </c>
      <c r="K4383" s="19">
        <f>+EOMONTH(B4383,0)</f>
        <v>46265</v>
      </c>
      <c r="L4383" s="3" t="inlineStr">
        <is>
          <t>Lab EMR Service</t>
        </is>
      </c>
      <c r="M4383" s="3" t="inlineStr">
        <is>
          <t>Information Technology Expense</t>
        </is>
      </c>
    </row>
    <row r="4384">
      <c r="B4384" s="39" t="n">
        <v>46257</v>
      </c>
      <c r="C4384" s="3" t="inlineStr">
        <is>
          <t>Expense</t>
        </is>
      </c>
      <c r="D4384" s="3" t="inlineStr">
        <is>
          <t>11266</t>
        </is>
      </c>
      <c r="E4384" s="3" t="inlineStr">
        <is>
          <t>Ledgerquill Billing SaaS</t>
        </is>
      </c>
      <c r="F4384" s="3" t="inlineStr">
        <is>
          <t>Lab EMR Service – August</t>
        </is>
      </c>
      <c r="G4384" s="3" t="inlineStr">
        <is>
          <t>Checking – Operating</t>
        </is>
      </c>
      <c r="H4384" s="3" t="inlineStr">
        <is>
          <t>Lab EMR Service</t>
        </is>
      </c>
      <c r="I4384" s="33" t="n">
        <v>4009.19</v>
      </c>
      <c r="J4384" s="13">
        <f>+J4383+I4384</f>
        <v>59240</v>
      </c>
      <c r="K4384" s="19">
        <f>+EOMONTH(B4384,0)</f>
        <v>46265</v>
      </c>
      <c r="L4384" s="3" t="inlineStr">
        <is>
          <t>Lab EMR Service</t>
        </is>
      </c>
      <c r="M4384" s="3" t="inlineStr">
        <is>
          <t>Information Technology Expense</t>
        </is>
      </c>
    </row>
    <row r="4385">
      <c r="B4385" s="39" t="n">
        <v>46270</v>
      </c>
      <c r="C4385" s="3" t="inlineStr">
        <is>
          <t>Expense</t>
        </is>
      </c>
      <c r="D4385" s="3" t="inlineStr">
        <is>
          <t>11268</t>
        </is>
      </c>
      <c r="E4385" s="3" t="inlineStr">
        <is>
          <t>Ledgerquill Billing SaaS</t>
        </is>
      </c>
      <c r="F4385" s="3" t="inlineStr">
        <is>
          <t>Lab EMR Service – September</t>
        </is>
      </c>
      <c r="G4385" s="3" t="inlineStr">
        <is>
          <t>Checking – Operating</t>
        </is>
      </c>
      <c r="H4385" s="3" t="inlineStr">
        <is>
          <t>Lab EMR Service</t>
        </is>
      </c>
      <c r="I4385" s="33" t="n">
        <v>3887.07</v>
      </c>
      <c r="J4385" s="13">
        <f>+J4384+I4385</f>
        <v>63127.07</v>
      </c>
      <c r="K4385" s="19">
        <f>+EOMONTH(B4385,0)</f>
        <v>46295</v>
      </c>
      <c r="L4385" s="3" t="inlineStr">
        <is>
          <t>Lab EMR Service</t>
        </is>
      </c>
      <c r="M4385" s="3" t="inlineStr">
        <is>
          <t>Information Technology Expense</t>
        </is>
      </c>
    </row>
    <row r="4386">
      <c r="B4386" s="39" t="n">
        <v>46288</v>
      </c>
      <c r="C4386" s="3" t="inlineStr">
        <is>
          <t>Credit Card Expense</t>
        </is>
      </c>
      <c r="D4386" s="3" t="inlineStr"/>
      <c r="E4386" s="3" t="inlineStr">
        <is>
          <t>Ledgerquill Billing SaaS</t>
        </is>
      </c>
      <c r="F4386" s="3" t="inlineStr">
        <is>
          <t>Lab EMR Service – September</t>
        </is>
      </c>
      <c r="G4386" s="3" t="inlineStr">
        <is>
          <t>Checking – Operating</t>
        </is>
      </c>
      <c r="H4386" s="3" t="inlineStr">
        <is>
          <t>Lab EMR Service</t>
        </is>
      </c>
      <c r="I4386" s="33" t="n">
        <v>3826.13</v>
      </c>
      <c r="J4386" s="13">
        <f>+J4385+I4386</f>
        <v>66953.2</v>
      </c>
      <c r="K4386" s="19">
        <f>+EOMONTH(B4386,0)</f>
        <v>46295</v>
      </c>
      <c r="L4386" s="3" t="inlineStr">
        <is>
          <t>Lab EMR Service</t>
        </is>
      </c>
      <c r="M4386" s="3" t="inlineStr">
        <is>
          <t>Information Technology Expense</t>
        </is>
      </c>
    </row>
    <row r="4387">
      <c r="B4387" s="39" t="n">
        <v>46305</v>
      </c>
      <c r="C4387" s="3" t="inlineStr">
        <is>
          <t>Expense</t>
        </is>
      </c>
      <c r="D4387" s="3" t="inlineStr">
        <is>
          <t>11269</t>
        </is>
      </c>
      <c r="E4387" s="3" t="inlineStr">
        <is>
          <t>Ledgerquill Billing SaaS</t>
        </is>
      </c>
      <c r="F4387" s="3" t="inlineStr">
        <is>
          <t>Lab EMR Service – October</t>
        </is>
      </c>
      <c r="G4387" s="3" t="inlineStr">
        <is>
          <t>Checking – Operating</t>
        </is>
      </c>
      <c r="H4387" s="3" t="inlineStr">
        <is>
          <t>Lab EMR Service</t>
        </is>
      </c>
      <c r="I4387" s="33" t="n">
        <v>4082.59</v>
      </c>
      <c r="J4387" s="13">
        <f>+J4386+I4387</f>
        <v>71035.79</v>
      </c>
      <c r="K4387" s="19">
        <f>+EOMONTH(B4387,0)</f>
        <v>46326</v>
      </c>
      <c r="L4387" s="3" t="inlineStr">
        <is>
          <t>Lab EMR Service</t>
        </is>
      </c>
      <c r="M4387" s="3" t="inlineStr">
        <is>
          <t>Information Technology Expense</t>
        </is>
      </c>
    </row>
    <row r="4388">
      <c r="B4388" s="39" t="n">
        <v>46317</v>
      </c>
      <c r="C4388" s="3" t="inlineStr">
        <is>
          <t>Credit Card Expense</t>
        </is>
      </c>
      <c r="D4388" s="3" t="inlineStr"/>
      <c r="E4388" s="3" t="inlineStr">
        <is>
          <t>Ledgerquill Billing SaaS</t>
        </is>
      </c>
      <c r="F4388" s="3" t="inlineStr">
        <is>
          <t>Lab EMR Service – October</t>
        </is>
      </c>
      <c r="G4388" s="3" t="inlineStr">
        <is>
          <t>Checking – Operating</t>
        </is>
      </c>
      <c r="H4388" s="3" t="inlineStr">
        <is>
          <t>Lab EMR Service</t>
        </is>
      </c>
      <c r="I4388" s="33" t="n">
        <v>2978.55</v>
      </c>
      <c r="J4388" s="13">
        <f>+J4387+I4388</f>
        <v>74014.34</v>
      </c>
      <c r="K4388" s="19">
        <f>+EOMONTH(B4388,0)</f>
        <v>46326</v>
      </c>
      <c r="L4388" s="3" t="inlineStr">
        <is>
          <t>Lab EMR Service</t>
        </is>
      </c>
      <c r="M4388" s="3" t="inlineStr">
        <is>
          <t>Information Technology Expense</t>
        </is>
      </c>
    </row>
    <row r="4389">
      <c r="B4389" s="39" t="n">
        <v>46342</v>
      </c>
      <c r="C4389" s="3" t="inlineStr">
        <is>
          <t>Credit Card Expense</t>
        </is>
      </c>
      <c r="D4389" s="3" t="inlineStr"/>
      <c r="E4389" s="3" t="inlineStr">
        <is>
          <t>Ledgerquill Billing SaaS</t>
        </is>
      </c>
      <c r="F4389" s="3" t="inlineStr">
        <is>
          <t>Lab EMR Service – November</t>
        </is>
      </c>
      <c r="G4389" s="3" t="inlineStr">
        <is>
          <t>Checking – Operating</t>
        </is>
      </c>
      <c r="H4389" s="3" t="inlineStr">
        <is>
          <t>Lab EMR Service</t>
        </is>
      </c>
      <c r="I4389" s="33" t="n">
        <v>7131.9</v>
      </c>
      <c r="J4389" s="13">
        <f>+J4388+I4389</f>
        <v>81146.24</v>
      </c>
      <c r="K4389" s="19">
        <f>+EOMONTH(B4389,0)</f>
        <v>46356</v>
      </c>
      <c r="L4389" s="3" t="inlineStr">
        <is>
          <t>Lab EMR Service</t>
        </is>
      </c>
      <c r="M4389" s="3" t="inlineStr">
        <is>
          <t>Information Technology Expense</t>
        </is>
      </c>
    </row>
    <row r="4390">
      <c r="A4390" s="2" t="inlineStr">
        <is>
          <t>Total for Lab EMR Service</t>
        </is>
      </c>
      <c r="I4390" s="35">
        <f>SUM(I4369:I4389)</f>
        <v>81146.24</v>
      </c>
    </row>
    <row r="4392">
      <c r="A4392" s="2" t="inlineStr">
        <is>
          <t>Interface Service</t>
        </is>
      </c>
    </row>
    <row r="4393">
      <c r="B4393" s="39" t="n">
        <v>46041</v>
      </c>
      <c r="C4393" s="3" t="inlineStr">
        <is>
          <t>Expense</t>
        </is>
      </c>
      <c r="D4393" s="3" t="inlineStr">
        <is>
          <t>11270</t>
        </is>
      </c>
      <c r="E4393" s="3" t="inlineStr">
        <is>
          <t>Ledgerquill Billing SaaS</t>
        </is>
      </c>
      <c r="F4393" s="3" t="inlineStr">
        <is>
          <t>Interface Service – January</t>
        </is>
      </c>
      <c r="G4393" s="3" t="inlineStr">
        <is>
          <t>Checking – Operating</t>
        </is>
      </c>
      <c r="H4393" s="3" t="inlineStr">
        <is>
          <t>Interface Service</t>
        </is>
      </c>
      <c r="I4393" s="33" t="n">
        <v>1351.66</v>
      </c>
      <c r="J4393" s="13">
        <f>+I4393</f>
        <v>1351.66</v>
      </c>
      <c r="K4393" s="19">
        <f>+EOMONTH(B4393,0)</f>
        <v>46053</v>
      </c>
      <c r="L4393" s="3" t="inlineStr">
        <is>
          <t>Interface Service</t>
        </is>
      </c>
      <c r="M4393" s="3" t="inlineStr">
        <is>
          <t>Information Technology Expense</t>
        </is>
      </c>
    </row>
    <row r="4394">
      <c r="B4394" s="39" t="n">
        <v>46043</v>
      </c>
      <c r="C4394" s="3" t="inlineStr">
        <is>
          <t>Credit Card Expense</t>
        </is>
      </c>
      <c r="D4394" s="3" t="inlineStr"/>
      <c r="E4394" s="3" t="inlineStr">
        <is>
          <t>Ledgerquill Billing SaaS</t>
        </is>
      </c>
      <c r="F4394" s="3" t="inlineStr">
        <is>
          <t>Interface Service – January</t>
        </is>
      </c>
      <c r="G4394" s="3" t="inlineStr">
        <is>
          <t>Checking – Operating</t>
        </is>
      </c>
      <c r="H4394" s="3" t="inlineStr">
        <is>
          <t>Interface Service</t>
        </is>
      </c>
      <c r="I4394" s="33" t="n">
        <v>2188.34</v>
      </c>
      <c r="J4394" s="13">
        <f>+J4393+I4394</f>
        <v>3540</v>
      </c>
      <c r="K4394" s="19">
        <f>+EOMONTH(B4394,0)</f>
        <v>46053</v>
      </c>
      <c r="L4394" s="3" t="inlineStr">
        <is>
          <t>Interface Service</t>
        </is>
      </c>
      <c r="M4394" s="3" t="inlineStr">
        <is>
          <t>Information Technology Expense</t>
        </is>
      </c>
    </row>
    <row r="4395">
      <c r="B4395" s="39" t="n">
        <v>46058</v>
      </c>
      <c r="C4395" s="3" t="inlineStr">
        <is>
          <t>Expense</t>
        </is>
      </c>
      <c r="D4395" s="3" t="inlineStr">
        <is>
          <t>11271</t>
        </is>
      </c>
      <c r="E4395" s="3" t="inlineStr">
        <is>
          <t>Ledgerquill Billing SaaS</t>
        </is>
      </c>
      <c r="F4395" s="3" t="inlineStr">
        <is>
          <t>Interface Service – February</t>
        </is>
      </c>
      <c r="G4395" s="3" t="inlineStr">
        <is>
          <t>Checking – Operating</t>
        </is>
      </c>
      <c r="H4395" s="3" t="inlineStr">
        <is>
          <t>Interface Service</t>
        </is>
      </c>
      <c r="I4395" s="33" t="n">
        <v>1656.42</v>
      </c>
      <c r="J4395" s="13">
        <f>+J4394+I4395</f>
        <v>5196.42</v>
      </c>
      <c r="K4395" s="19">
        <f>+EOMONTH(B4395,0)</f>
        <v>46081</v>
      </c>
      <c r="L4395" s="3" t="inlineStr">
        <is>
          <t>Interface Service</t>
        </is>
      </c>
      <c r="M4395" s="3" t="inlineStr">
        <is>
          <t>Information Technology Expense</t>
        </is>
      </c>
    </row>
    <row r="4396">
      <c r="B4396" s="39" t="n">
        <v>46069</v>
      </c>
      <c r="C4396" s="3" t="inlineStr">
        <is>
          <t>Journal Entry</t>
        </is>
      </c>
      <c r="D4396" s="3" t="inlineStr">
        <is>
          <t>JE-2776</t>
        </is>
      </c>
      <c r="E4396" s="3" t="inlineStr">
        <is>
          <t>Ledgerquill Billing SaaS</t>
        </is>
      </c>
      <c r="F4396" s="3" t="inlineStr">
        <is>
          <t>Interface Service – February</t>
        </is>
      </c>
      <c r="G4396" s="3" t="inlineStr">
        <is>
          <t>Checking – Operating</t>
        </is>
      </c>
      <c r="H4396" s="3" t="inlineStr">
        <is>
          <t>Interface Service</t>
        </is>
      </c>
      <c r="I4396" s="33" t="n">
        <v>1783.58</v>
      </c>
      <c r="J4396" s="13">
        <f>+J4395+I4396</f>
        <v>6980</v>
      </c>
      <c r="K4396" s="19">
        <f>+EOMONTH(B4396,0)</f>
        <v>46081</v>
      </c>
      <c r="L4396" s="3" t="inlineStr">
        <is>
          <t>Interface Service</t>
        </is>
      </c>
      <c r="M4396" s="3" t="inlineStr">
        <is>
          <t>Information Technology Expense</t>
        </is>
      </c>
    </row>
    <row r="4397">
      <c r="B4397" s="39" t="n">
        <v>46093</v>
      </c>
      <c r="C4397" s="3" t="inlineStr">
        <is>
          <t>Credit Card Expense</t>
        </is>
      </c>
      <c r="D4397" s="3" t="inlineStr"/>
      <c r="E4397" s="3" t="inlineStr">
        <is>
          <t>Ledgerquill Billing SaaS</t>
        </is>
      </c>
      <c r="F4397" s="3" t="inlineStr">
        <is>
          <t>Interface Service – March</t>
        </is>
      </c>
      <c r="G4397" s="3" t="inlineStr">
        <is>
          <t>Checking – Operating</t>
        </is>
      </c>
      <c r="H4397" s="3" t="inlineStr">
        <is>
          <t>Interface Service</t>
        </is>
      </c>
      <c r="I4397" s="33" t="n">
        <v>2104.36</v>
      </c>
      <c r="J4397" s="13">
        <f>+J4396+I4397</f>
        <v>9084.36</v>
      </c>
      <c r="K4397" s="19">
        <f>+EOMONTH(B4397,0)</f>
        <v>46112</v>
      </c>
      <c r="L4397" s="3" t="inlineStr">
        <is>
          <t>Interface Service</t>
        </is>
      </c>
      <c r="M4397" s="3" t="inlineStr">
        <is>
          <t>Information Technology Expense</t>
        </is>
      </c>
    </row>
    <row r="4398">
      <c r="B4398" s="39" t="n">
        <v>46097</v>
      </c>
      <c r="C4398" s="3" t="inlineStr">
        <is>
          <t>Expense</t>
        </is>
      </c>
      <c r="D4398" s="3" t="inlineStr">
        <is>
          <t>11272</t>
        </is>
      </c>
      <c r="E4398" s="3" t="inlineStr">
        <is>
          <t>Ledgerquill Billing SaaS</t>
        </is>
      </c>
      <c r="F4398" s="3" t="inlineStr">
        <is>
          <t>Interface Service – March</t>
        </is>
      </c>
      <c r="G4398" s="3" t="inlineStr">
        <is>
          <t>Checking – Operating</t>
        </is>
      </c>
      <c r="H4398" s="3" t="inlineStr">
        <is>
          <t>Interface Service</t>
        </is>
      </c>
      <c r="I4398" s="33" t="n">
        <v>1715.64</v>
      </c>
      <c r="J4398" s="13">
        <f>+J4397+I4398</f>
        <v>10800</v>
      </c>
      <c r="K4398" s="19">
        <f>+EOMONTH(B4398,0)</f>
        <v>46112</v>
      </c>
      <c r="L4398" s="3" t="inlineStr">
        <is>
          <t>Interface Service</t>
        </is>
      </c>
      <c r="M4398" s="3" t="inlineStr">
        <is>
          <t>Information Technology Expense</t>
        </is>
      </c>
    </row>
    <row r="4399">
      <c r="B4399" s="39" t="n">
        <v>46122</v>
      </c>
      <c r="C4399" s="3" t="inlineStr">
        <is>
          <t>Expense</t>
        </is>
      </c>
      <c r="D4399" s="3" t="inlineStr">
        <is>
          <t>11273</t>
        </is>
      </c>
      <c r="E4399" s="3" t="inlineStr">
        <is>
          <t>Ledgerquill Billing SaaS</t>
        </is>
      </c>
      <c r="F4399" s="3" t="inlineStr">
        <is>
          <t>Interface Service – April</t>
        </is>
      </c>
      <c r="G4399" s="3" t="inlineStr">
        <is>
          <t>Checking – Operating</t>
        </is>
      </c>
      <c r="H4399" s="3" t="inlineStr">
        <is>
          <t>Interface Service</t>
        </is>
      </c>
      <c r="I4399" s="33" t="n">
        <v>2083.34</v>
      </c>
      <c r="J4399" s="13">
        <f>+J4398+I4399</f>
        <v>12883.34</v>
      </c>
      <c r="K4399" s="19">
        <f>+EOMONTH(B4399,0)</f>
        <v>46142</v>
      </c>
      <c r="L4399" s="3" t="inlineStr">
        <is>
          <t>Interface Service</t>
        </is>
      </c>
      <c r="M4399" s="3" t="inlineStr">
        <is>
          <t>Information Technology Expense</t>
        </is>
      </c>
    </row>
    <row r="4400">
      <c r="B4400" s="39" t="n">
        <v>46127</v>
      </c>
      <c r="C4400" s="3" t="inlineStr">
        <is>
          <t>Credit Card Expense</t>
        </is>
      </c>
      <c r="D4400" s="3" t="inlineStr"/>
      <c r="E4400" s="3" t="inlineStr">
        <is>
          <t>Ledgerquill Billing SaaS</t>
        </is>
      </c>
      <c r="F4400" s="3" t="inlineStr">
        <is>
          <t>Interface Service – April</t>
        </is>
      </c>
      <c r="G4400" s="3" t="inlineStr">
        <is>
          <t>Checking – Operating</t>
        </is>
      </c>
      <c r="H4400" s="3" t="inlineStr">
        <is>
          <t>Interface Service</t>
        </is>
      </c>
      <c r="I4400" s="33" t="n">
        <v>1816.66</v>
      </c>
      <c r="J4400" s="13">
        <f>+J4399+I4400</f>
        <v>14700</v>
      </c>
      <c r="K4400" s="19">
        <f>+EOMONTH(B4400,0)</f>
        <v>46142</v>
      </c>
      <c r="L4400" s="3" t="inlineStr">
        <is>
          <t>Interface Service</t>
        </is>
      </c>
      <c r="M4400" s="3" t="inlineStr">
        <is>
          <t>Information Technology Expense</t>
        </is>
      </c>
    </row>
    <row r="4401">
      <c r="B4401" s="39" t="n">
        <v>46148</v>
      </c>
      <c r="C4401" s="3" t="inlineStr">
        <is>
          <t>Expense</t>
        </is>
      </c>
      <c r="D4401" s="3" t="inlineStr">
        <is>
          <t>11274</t>
        </is>
      </c>
      <c r="E4401" s="3" t="inlineStr">
        <is>
          <t>Ledgerquill Billing SaaS</t>
        </is>
      </c>
      <c r="F4401" s="3" t="inlineStr">
        <is>
          <t>Interface Service – May</t>
        </is>
      </c>
      <c r="G4401" s="3" t="inlineStr">
        <is>
          <t>Checking – Operating</t>
        </is>
      </c>
      <c r="H4401" s="3" t="inlineStr">
        <is>
          <t>Interface Service</t>
        </is>
      </c>
      <c r="I4401" s="33" t="n">
        <v>1702.48</v>
      </c>
      <c r="J4401" s="13">
        <f>+J4400+I4401</f>
        <v>16402.48</v>
      </c>
      <c r="K4401" s="19">
        <f>+EOMONTH(B4401,0)</f>
        <v>46173</v>
      </c>
      <c r="L4401" s="3" t="inlineStr">
        <is>
          <t>Interface Service</t>
        </is>
      </c>
      <c r="M4401" s="3" t="inlineStr">
        <is>
          <t>Information Technology Expense</t>
        </is>
      </c>
    </row>
    <row r="4402">
      <c r="B4402" s="39" t="n">
        <v>46163</v>
      </c>
      <c r="C4402" s="3" t="inlineStr">
        <is>
          <t>Expense</t>
        </is>
      </c>
      <c r="D4402" s="3" t="inlineStr">
        <is>
          <t>11275</t>
        </is>
      </c>
      <c r="E4402" s="3" t="inlineStr">
        <is>
          <t>Ledgerquill Billing SaaS</t>
        </is>
      </c>
      <c r="F4402" s="3" t="inlineStr">
        <is>
          <t>Interface Service – May</t>
        </is>
      </c>
      <c r="G4402" s="3" t="inlineStr">
        <is>
          <t>Checking – Operating</t>
        </is>
      </c>
      <c r="H4402" s="3" t="inlineStr">
        <is>
          <t>Interface Service</t>
        </is>
      </c>
      <c r="I4402" s="33" t="n">
        <v>2037.52</v>
      </c>
      <c r="J4402" s="13">
        <f>+J4401+I4402</f>
        <v>18440</v>
      </c>
      <c r="K4402" s="19">
        <f>+EOMONTH(B4402,0)</f>
        <v>46173</v>
      </c>
      <c r="L4402" s="3" t="inlineStr">
        <is>
          <t>Interface Service</t>
        </is>
      </c>
      <c r="M4402" s="3" t="inlineStr">
        <is>
          <t>Information Technology Expense</t>
        </is>
      </c>
    </row>
    <row r="4403">
      <c r="B4403" s="39" t="n">
        <v>46197</v>
      </c>
      <c r="C4403" s="3" t="inlineStr">
        <is>
          <t>Journal Entry</t>
        </is>
      </c>
      <c r="D4403" s="3" t="inlineStr">
        <is>
          <t>JE-2777</t>
        </is>
      </c>
      <c r="E4403" s="3" t="inlineStr">
        <is>
          <t>Ledgerquill Billing SaaS</t>
        </is>
      </c>
      <c r="F4403" s="3" t="inlineStr">
        <is>
          <t>Interface Service – June</t>
        </is>
      </c>
      <c r="G4403" s="3" t="inlineStr">
        <is>
          <t>Checking – Operating</t>
        </is>
      </c>
      <c r="H4403" s="3" t="inlineStr">
        <is>
          <t>Interface Service</t>
        </is>
      </c>
      <c r="I4403" s="33" t="n">
        <v>1815.64</v>
      </c>
      <c r="J4403" s="13">
        <f>+J4402+I4403</f>
        <v>20255.64</v>
      </c>
      <c r="K4403" s="19">
        <f>+EOMONTH(B4403,0)</f>
        <v>46203</v>
      </c>
      <c r="L4403" s="3" t="inlineStr">
        <is>
          <t>Interface Service</t>
        </is>
      </c>
      <c r="M4403" s="3" t="inlineStr">
        <is>
          <t>Information Technology Expense</t>
        </is>
      </c>
    </row>
    <row r="4404">
      <c r="B4404" s="39" t="n">
        <v>46199</v>
      </c>
      <c r="C4404" s="3" t="inlineStr">
        <is>
          <t>Credit Card Expense</t>
        </is>
      </c>
      <c r="D4404" s="3" t="inlineStr"/>
      <c r="E4404" s="3" t="inlineStr">
        <is>
          <t>Ledgerquill Billing SaaS</t>
        </is>
      </c>
      <c r="F4404" s="3" t="inlineStr">
        <is>
          <t>Interface Service – June</t>
        </is>
      </c>
      <c r="G4404" s="3" t="inlineStr">
        <is>
          <t>Checking – Operating</t>
        </is>
      </c>
      <c r="H4404" s="3" t="inlineStr">
        <is>
          <t>Interface Service</t>
        </is>
      </c>
      <c r="I4404" s="33" t="n">
        <v>1824.36</v>
      </c>
      <c r="J4404" s="13">
        <f>+J4403+I4404</f>
        <v>22080</v>
      </c>
      <c r="K4404" s="19">
        <f>+EOMONTH(B4404,0)</f>
        <v>46203</v>
      </c>
      <c r="L4404" s="3" t="inlineStr">
        <is>
          <t>Interface Service</t>
        </is>
      </c>
      <c r="M4404" s="3" t="inlineStr">
        <is>
          <t>Information Technology Expense</t>
        </is>
      </c>
    </row>
    <row r="4405">
      <c r="B4405" s="39" t="n">
        <v>46209</v>
      </c>
      <c r="C4405" s="3" t="inlineStr">
        <is>
          <t>Credit Card Expense</t>
        </is>
      </c>
      <c r="D4405" s="3" t="inlineStr"/>
      <c r="E4405" s="3" t="inlineStr">
        <is>
          <t>Ledgerquill Billing SaaS</t>
        </is>
      </c>
      <c r="F4405" s="3" t="inlineStr">
        <is>
          <t>Interface Service – July</t>
        </is>
      </c>
      <c r="G4405" s="3" t="inlineStr">
        <is>
          <t>Checking – Operating</t>
        </is>
      </c>
      <c r="H4405" s="3" t="inlineStr">
        <is>
          <t>Interface Service</t>
        </is>
      </c>
      <c r="I4405" s="33" t="n">
        <v>1529.78</v>
      </c>
      <c r="J4405" s="13">
        <f>+J4404+I4405</f>
        <v>23609.78</v>
      </c>
      <c r="K4405" s="19">
        <f>+EOMONTH(B4405,0)</f>
        <v>46234</v>
      </c>
      <c r="L4405" s="3" t="inlineStr">
        <is>
          <t>Interface Service</t>
        </is>
      </c>
      <c r="M4405" s="3" t="inlineStr">
        <is>
          <t>Information Technology Expense</t>
        </is>
      </c>
    </row>
    <row r="4406">
      <c r="B4406" s="39" t="n">
        <v>46220</v>
      </c>
      <c r="C4406" s="3" t="inlineStr">
        <is>
          <t>Credit Card Expense</t>
        </is>
      </c>
      <c r="D4406" s="3" t="inlineStr"/>
      <c r="E4406" s="3" t="inlineStr">
        <is>
          <t>Ledgerquill Billing SaaS</t>
        </is>
      </c>
      <c r="F4406" s="3" t="inlineStr">
        <is>
          <t>Interface Service – July</t>
        </is>
      </c>
      <c r="G4406" s="3" t="inlineStr">
        <is>
          <t>Checking – Operating</t>
        </is>
      </c>
      <c r="H4406" s="3" t="inlineStr">
        <is>
          <t>Interface Service</t>
        </is>
      </c>
      <c r="I4406" s="33" t="n">
        <v>2170.22</v>
      </c>
      <c r="J4406" s="13">
        <f>+J4405+I4406</f>
        <v>25780</v>
      </c>
      <c r="K4406" s="19">
        <f>+EOMONTH(B4406,0)</f>
        <v>46234</v>
      </c>
      <c r="L4406" s="3" t="inlineStr">
        <is>
          <t>Interface Service</t>
        </is>
      </c>
      <c r="M4406" s="3" t="inlineStr">
        <is>
          <t>Information Technology Expense</t>
        </is>
      </c>
    </row>
    <row r="4407">
      <c r="B4407" s="39" t="n">
        <v>46255</v>
      </c>
      <c r="C4407" s="3" t="inlineStr">
        <is>
          <t>Expense</t>
        </is>
      </c>
      <c r="D4407" s="3" t="inlineStr">
        <is>
          <t>11276</t>
        </is>
      </c>
      <c r="E4407" s="3" t="inlineStr">
        <is>
          <t>Ledgerquill Billing SaaS</t>
        </is>
      </c>
      <c r="F4407" s="3" t="inlineStr">
        <is>
          <t>Interface Service – August</t>
        </is>
      </c>
      <c r="G4407" s="3" t="inlineStr">
        <is>
          <t>Checking – Operating</t>
        </is>
      </c>
      <c r="H4407" s="3" t="inlineStr">
        <is>
          <t>Interface Service</t>
        </is>
      </c>
      <c r="I4407" s="33" t="n">
        <v>2595.74</v>
      </c>
      <c r="J4407" s="13">
        <f>+J4406+I4407</f>
        <v>28375.74</v>
      </c>
      <c r="K4407" s="19">
        <f>+EOMONTH(B4407,0)</f>
        <v>46265</v>
      </c>
      <c r="L4407" s="3" t="inlineStr">
        <is>
          <t>Interface Service</t>
        </is>
      </c>
      <c r="M4407" s="3" t="inlineStr">
        <is>
          <t>Information Technology Expense</t>
        </is>
      </c>
    </row>
    <row r="4408">
      <c r="B4408" s="39" t="n">
        <v>46264</v>
      </c>
      <c r="C4408" s="3" t="inlineStr">
        <is>
          <t>Credit Card Expense</t>
        </is>
      </c>
      <c r="D4408" s="3" t="inlineStr"/>
      <c r="E4408" s="3" t="inlineStr">
        <is>
          <t>Ledgerquill Billing SaaS</t>
        </is>
      </c>
      <c r="F4408" s="3" t="inlineStr">
        <is>
          <t>Interface Service – August</t>
        </is>
      </c>
      <c r="G4408" s="3" t="inlineStr">
        <is>
          <t>Checking – Operating</t>
        </is>
      </c>
      <c r="H4408" s="3" t="inlineStr">
        <is>
          <t>Interface Service</t>
        </is>
      </c>
      <c r="I4408" s="33" t="n">
        <v>1244.26</v>
      </c>
      <c r="J4408" s="13">
        <f>+J4407+I4408</f>
        <v>29620</v>
      </c>
      <c r="K4408" s="19">
        <f>+EOMONTH(B4408,0)</f>
        <v>46265</v>
      </c>
      <c r="L4408" s="3" t="inlineStr">
        <is>
          <t>Interface Service</t>
        </is>
      </c>
      <c r="M4408" s="3" t="inlineStr">
        <is>
          <t>Information Technology Expense</t>
        </is>
      </c>
    </row>
    <row r="4409">
      <c r="B4409" s="39" t="n">
        <v>46289</v>
      </c>
      <c r="C4409" s="3" t="inlineStr">
        <is>
          <t>Journal Entry</t>
        </is>
      </c>
      <c r="D4409" s="3" t="inlineStr">
        <is>
          <t>JE-2778</t>
        </is>
      </c>
      <c r="E4409" s="3" t="inlineStr">
        <is>
          <t>Ledgerquill Billing SaaS</t>
        </is>
      </c>
      <c r="F4409" s="3" t="inlineStr">
        <is>
          <t>Interface Service – September</t>
        </is>
      </c>
      <c r="G4409" s="3" t="inlineStr">
        <is>
          <t>Checking – Operating</t>
        </is>
      </c>
      <c r="H4409" s="3" t="inlineStr">
        <is>
          <t>Interface Service</t>
        </is>
      </c>
      <c r="I4409" s="33" t="n">
        <v>3856.6</v>
      </c>
      <c r="J4409" s="13">
        <f>+J4408+I4409</f>
        <v>33476.6</v>
      </c>
      <c r="K4409" s="19">
        <f>+EOMONTH(B4409,0)</f>
        <v>46295</v>
      </c>
      <c r="L4409" s="3" t="inlineStr">
        <is>
          <t>Interface Service</t>
        </is>
      </c>
      <c r="M4409" s="3" t="inlineStr">
        <is>
          <t>Information Technology Expense</t>
        </is>
      </c>
    </row>
    <row r="4410">
      <c r="B4410" s="39" t="n">
        <v>46299</v>
      </c>
      <c r="C4410" s="3" t="inlineStr">
        <is>
          <t>Expense</t>
        </is>
      </c>
      <c r="D4410" s="3" t="inlineStr">
        <is>
          <t>11278</t>
        </is>
      </c>
      <c r="E4410" s="3" t="inlineStr">
        <is>
          <t>Ledgerquill Billing SaaS</t>
        </is>
      </c>
      <c r="F4410" s="3" t="inlineStr">
        <is>
          <t>Interface Service – October</t>
        </is>
      </c>
      <c r="G4410" s="3" t="inlineStr">
        <is>
          <t>Checking – Operating</t>
        </is>
      </c>
      <c r="H4410" s="3" t="inlineStr">
        <is>
          <t>Interface Service</t>
        </is>
      </c>
      <c r="I4410" s="33" t="n">
        <v>1377.97</v>
      </c>
      <c r="J4410" s="13">
        <f>+J4409+I4410</f>
        <v>34854.57</v>
      </c>
      <c r="K4410" s="19">
        <f>+EOMONTH(B4410,0)</f>
        <v>46326</v>
      </c>
      <c r="L4410" s="3" t="inlineStr">
        <is>
          <t>Interface Service</t>
        </is>
      </c>
      <c r="M4410" s="3" t="inlineStr">
        <is>
          <t>Information Technology Expense</t>
        </is>
      </c>
    </row>
    <row r="4411">
      <c r="B4411" s="39" t="n">
        <v>46313</v>
      </c>
      <c r="C4411" s="3" t="inlineStr">
        <is>
          <t>Expense</t>
        </is>
      </c>
      <c r="D4411" s="3" t="inlineStr">
        <is>
          <t>11277</t>
        </is>
      </c>
      <c r="E4411" s="3" t="inlineStr">
        <is>
          <t>Ledgerquill Billing SaaS</t>
        </is>
      </c>
      <c r="F4411" s="3" t="inlineStr">
        <is>
          <t>Interface Service – October</t>
        </is>
      </c>
      <c r="G4411" s="3" t="inlineStr">
        <is>
          <t>Checking – Operating</t>
        </is>
      </c>
      <c r="H4411" s="3" t="inlineStr">
        <is>
          <t>Interface Service</t>
        </is>
      </c>
      <c r="I4411" s="33" t="n">
        <v>2152.6</v>
      </c>
      <c r="J4411" s="13">
        <f>+J4410+I4411</f>
        <v>37007.17</v>
      </c>
      <c r="K4411" s="19">
        <f>+EOMONTH(B4411,0)</f>
        <v>46326</v>
      </c>
      <c r="L4411" s="3" t="inlineStr">
        <is>
          <t>Interface Service</t>
        </is>
      </c>
      <c r="M4411" s="3" t="inlineStr">
        <is>
          <t>Information Technology Expense</t>
        </is>
      </c>
    </row>
    <row r="4412">
      <c r="B4412" s="39" t="n">
        <v>46336</v>
      </c>
      <c r="C4412" s="3" t="inlineStr">
        <is>
          <t>Expense</t>
        </is>
      </c>
      <c r="D4412" s="3" t="inlineStr">
        <is>
          <t>11279</t>
        </is>
      </c>
      <c r="E4412" s="3" t="inlineStr">
        <is>
          <t>Ledgerquill Billing SaaS</t>
        </is>
      </c>
      <c r="F4412" s="3" t="inlineStr">
        <is>
          <t>Interface Service – November</t>
        </is>
      </c>
      <c r="G4412" s="3" t="inlineStr">
        <is>
          <t>Checking – Operating</t>
        </is>
      </c>
      <c r="H4412" s="3" t="inlineStr">
        <is>
          <t>Interface Service</t>
        </is>
      </c>
      <c r="I4412" s="33" t="n">
        <v>2260.89</v>
      </c>
      <c r="J4412" s="13">
        <f>+J4411+I4412</f>
        <v>39268.06</v>
      </c>
      <c r="K4412" s="19">
        <f>+EOMONTH(B4412,0)</f>
        <v>46356</v>
      </c>
      <c r="L4412" s="3" t="inlineStr">
        <is>
          <t>Interface Service</t>
        </is>
      </c>
      <c r="M4412" s="3" t="inlineStr">
        <is>
          <t>Information Technology Expense</t>
        </is>
      </c>
    </row>
    <row r="4413">
      <c r="B4413" s="39" t="n">
        <v>46353</v>
      </c>
      <c r="C4413" s="3" t="inlineStr">
        <is>
          <t>Credit Card Expense</t>
        </is>
      </c>
      <c r="D4413" s="3" t="inlineStr"/>
      <c r="E4413" s="3" t="inlineStr">
        <is>
          <t>Ledgerquill Billing SaaS</t>
        </is>
      </c>
      <c r="F4413" s="3" t="inlineStr">
        <is>
          <t>Interface Service – November</t>
        </is>
      </c>
      <c r="G4413" s="3" t="inlineStr">
        <is>
          <t>Checking – Operating</t>
        </is>
      </c>
      <c r="H4413" s="3" t="inlineStr">
        <is>
          <t>Interface Service</t>
        </is>
      </c>
      <c r="I4413" s="33" t="n">
        <v>1305.06</v>
      </c>
      <c r="J4413" s="13">
        <f>+J4412+I4413</f>
        <v>40573.12</v>
      </c>
      <c r="K4413" s="19">
        <f>+EOMONTH(B4413,0)</f>
        <v>46356</v>
      </c>
      <c r="L4413" s="3" t="inlineStr">
        <is>
          <t>Interface Service</t>
        </is>
      </c>
      <c r="M4413" s="3" t="inlineStr">
        <is>
          <t>Information Technology Expense</t>
        </is>
      </c>
    </row>
    <row r="4414">
      <c r="A4414" s="2" t="inlineStr">
        <is>
          <t>Total for Interface Service</t>
        </is>
      </c>
      <c r="I4414" s="35">
        <f>SUM(I4393:I4413)</f>
        <v>40573.12</v>
      </c>
    </row>
    <row r="4416">
      <c r="A4416" s="2" t="inlineStr">
        <is>
          <t>Taxes and Licenses</t>
        </is>
      </c>
    </row>
    <row r="4417">
      <c r="B4417" s="39" t="n">
        <v>46053</v>
      </c>
      <c r="C4417" s="3" t="inlineStr">
        <is>
          <t>Journal Entry</t>
        </is>
      </c>
      <c r="D4417" s="3" t="inlineStr">
        <is>
          <t>JE-2779</t>
        </is>
      </c>
      <c r="E4417" s="3" t="inlineStr"/>
      <c r="F4417" s="3" t="inlineStr">
        <is>
          <t>Taxes and Licenses – January</t>
        </is>
      </c>
      <c r="G4417" s="3" t="inlineStr">
        <is>
          <t>Checking – Operating</t>
        </is>
      </c>
      <c r="H4417" s="3" t="inlineStr">
        <is>
          <t>Taxes and Licenses</t>
        </is>
      </c>
      <c r="I4417" s="33" t="n">
        <v>800</v>
      </c>
      <c r="J4417" s="13">
        <f>+I4417</f>
        <v>800</v>
      </c>
      <c r="K4417" s="19">
        <f>+EOMONTH(B4417,0)</f>
        <v>46053</v>
      </c>
      <c r="L4417" s="3" t="inlineStr">
        <is>
          <t>Taxes and Licenses</t>
        </is>
      </c>
      <c r="M4417" s="3" t="inlineStr">
        <is>
          <t>Taxes &amp; Licenses</t>
        </is>
      </c>
    </row>
    <row r="4418">
      <c r="B4418" s="39" t="n">
        <v>46077</v>
      </c>
      <c r="C4418" s="3" t="inlineStr">
        <is>
          <t>Credit Card Expense</t>
        </is>
      </c>
      <c r="D4418" s="3" t="inlineStr"/>
      <c r="E4418" s="3" t="inlineStr"/>
      <c r="F4418" s="3" t="inlineStr">
        <is>
          <t>Taxes and Licenses – February</t>
        </is>
      </c>
      <c r="G4418" s="3" t="inlineStr">
        <is>
          <t>Checking – Operating</t>
        </is>
      </c>
      <c r="H4418" s="3" t="inlineStr">
        <is>
          <t>Taxes and Licenses</t>
        </is>
      </c>
      <c r="I4418" s="33" t="n">
        <v>860</v>
      </c>
      <c r="J4418" s="13">
        <f>+J4417+I4418</f>
        <v>1660</v>
      </c>
      <c r="K4418" s="19">
        <f>+EOMONTH(B4418,0)</f>
        <v>46081</v>
      </c>
      <c r="L4418" s="3" t="inlineStr">
        <is>
          <t>Taxes and Licenses</t>
        </is>
      </c>
      <c r="M4418" s="3" t="inlineStr">
        <is>
          <t>Taxes &amp; Licenses</t>
        </is>
      </c>
    </row>
    <row r="4419">
      <c r="B4419" s="39" t="n">
        <v>46083</v>
      </c>
      <c r="C4419" s="3" t="inlineStr">
        <is>
          <t>Credit Card Expense</t>
        </is>
      </c>
      <c r="D4419" s="3" t="inlineStr"/>
      <c r="E4419" s="3" t="inlineStr"/>
      <c r="F4419" s="3" t="inlineStr">
        <is>
          <t>Taxes and Licenses – March</t>
        </is>
      </c>
      <c r="G4419" s="3" t="inlineStr">
        <is>
          <t>Checking – Operating</t>
        </is>
      </c>
      <c r="H4419" s="3" t="inlineStr">
        <is>
          <t>Taxes and Licenses</t>
        </is>
      </c>
      <c r="I4419" s="33" t="n">
        <v>499.95</v>
      </c>
      <c r="J4419" s="13">
        <f>+J4418+I4419</f>
        <v>2159.95</v>
      </c>
      <c r="K4419" s="19">
        <f>+EOMONTH(B4419,0)</f>
        <v>46112</v>
      </c>
      <c r="L4419" s="3" t="inlineStr">
        <is>
          <t>Taxes and Licenses</t>
        </is>
      </c>
      <c r="M4419" s="3" t="inlineStr">
        <is>
          <t>Taxes &amp; Licenses</t>
        </is>
      </c>
    </row>
    <row r="4420">
      <c r="B4420" s="39" t="n">
        <v>46101</v>
      </c>
      <c r="C4420" s="3" t="inlineStr">
        <is>
          <t>Expense</t>
        </is>
      </c>
      <c r="D4420" s="3" t="inlineStr">
        <is>
          <t>11280</t>
        </is>
      </c>
      <c r="E4420" s="3" t="inlineStr"/>
      <c r="F4420" s="3" t="inlineStr">
        <is>
          <t>Taxes and Licenses – March</t>
        </is>
      </c>
      <c r="G4420" s="3" t="inlineStr">
        <is>
          <t>Checking – Operating</t>
        </is>
      </c>
      <c r="H4420" s="3" t="inlineStr">
        <is>
          <t>Taxes and Licenses</t>
        </is>
      </c>
      <c r="I4420" s="33" t="n">
        <v>380.05</v>
      </c>
      <c r="J4420" s="13">
        <f>+J4419+I4420</f>
        <v>2540</v>
      </c>
      <c r="K4420" s="19">
        <f>+EOMONTH(B4420,0)</f>
        <v>46112</v>
      </c>
      <c r="L4420" s="3" t="inlineStr">
        <is>
          <t>Taxes and Licenses</t>
        </is>
      </c>
      <c r="M4420" s="3" t="inlineStr">
        <is>
          <t>Taxes &amp; Licenses</t>
        </is>
      </c>
    </row>
    <row r="4421">
      <c r="B4421" s="39" t="n">
        <v>46115</v>
      </c>
      <c r="C4421" s="3" t="inlineStr">
        <is>
          <t>Credit Card Expense</t>
        </is>
      </c>
      <c r="D4421" s="3" t="inlineStr"/>
      <c r="E4421" s="3" t="inlineStr"/>
      <c r="F4421" s="3" t="inlineStr">
        <is>
          <t>Taxes and Licenses – April</t>
        </is>
      </c>
      <c r="G4421" s="3" t="inlineStr">
        <is>
          <t>Checking – Operating</t>
        </is>
      </c>
      <c r="H4421" s="3" t="inlineStr">
        <is>
          <t>Taxes and Licenses</t>
        </is>
      </c>
      <c r="I4421" s="33" t="n">
        <v>900</v>
      </c>
      <c r="J4421" s="13">
        <f>+J4420+I4421</f>
        <v>3440</v>
      </c>
      <c r="K4421" s="19">
        <f>+EOMONTH(B4421,0)</f>
        <v>46142</v>
      </c>
      <c r="L4421" s="3" t="inlineStr">
        <is>
          <t>Taxes and Licenses</t>
        </is>
      </c>
      <c r="M4421" s="3" t="inlineStr">
        <is>
          <t>Taxes &amp; Licenses</t>
        </is>
      </c>
    </row>
    <row r="4422">
      <c r="B4422" s="39" t="n">
        <v>46166</v>
      </c>
      <c r="C4422" s="3" t="inlineStr">
        <is>
          <t>Credit Card Expense</t>
        </is>
      </c>
      <c r="D4422" s="3" t="inlineStr"/>
      <c r="E4422" s="3" t="inlineStr"/>
      <c r="F4422" s="3" t="inlineStr">
        <is>
          <t>Taxes and Licenses – May</t>
        </is>
      </c>
      <c r="G4422" s="3" t="inlineStr">
        <is>
          <t>Checking – Operating</t>
        </is>
      </c>
      <c r="H4422" s="3" t="inlineStr">
        <is>
          <t>Taxes and Licenses</t>
        </is>
      </c>
      <c r="I4422" s="33" t="n">
        <v>391.54</v>
      </c>
      <c r="J4422" s="13">
        <f>+J4421+I4422</f>
        <v>3831.54</v>
      </c>
      <c r="K4422" s="19">
        <f>+EOMONTH(B4422,0)</f>
        <v>46173</v>
      </c>
      <c r="L4422" s="3" t="inlineStr">
        <is>
          <t>Taxes and Licenses</t>
        </is>
      </c>
      <c r="M4422" s="3" t="inlineStr">
        <is>
          <t>Taxes &amp; Licenses</t>
        </is>
      </c>
    </row>
    <row r="4423">
      <c r="B4423" s="39" t="n">
        <v>46169</v>
      </c>
      <c r="C4423" s="3" t="inlineStr">
        <is>
          <t>Expense</t>
        </is>
      </c>
      <c r="D4423" s="3" t="inlineStr">
        <is>
          <t>11281</t>
        </is>
      </c>
      <c r="E4423" s="3" t="inlineStr"/>
      <c r="F4423" s="3" t="inlineStr">
        <is>
          <t>Taxes and Licenses – May</t>
        </is>
      </c>
      <c r="G4423" s="3" t="inlineStr">
        <is>
          <t>Checking – Operating</t>
        </is>
      </c>
      <c r="H4423" s="3" t="inlineStr">
        <is>
          <t>Taxes and Licenses</t>
        </is>
      </c>
      <c r="I4423" s="33" t="n">
        <v>508.46</v>
      </c>
      <c r="J4423" s="13">
        <f>+J4422+I4423</f>
        <v>4340</v>
      </c>
      <c r="K4423" s="19">
        <f>+EOMONTH(B4423,0)</f>
        <v>46173</v>
      </c>
      <c r="L4423" s="3" t="inlineStr">
        <is>
          <t>Taxes and Licenses</t>
        </is>
      </c>
      <c r="M4423" s="3" t="inlineStr">
        <is>
          <t>Taxes &amp; Licenses</t>
        </is>
      </c>
    </row>
    <row r="4424">
      <c r="B4424" s="39" t="n">
        <v>46202</v>
      </c>
      <c r="C4424" s="3" t="inlineStr">
        <is>
          <t>Expense</t>
        </is>
      </c>
      <c r="D4424" s="3" t="inlineStr">
        <is>
          <t>11282</t>
        </is>
      </c>
      <c r="E4424" s="3" t="inlineStr"/>
      <c r="F4424" s="3" t="inlineStr">
        <is>
          <t>Taxes and Licenses – June</t>
        </is>
      </c>
      <c r="G4424" s="3" t="inlineStr">
        <is>
          <t>Checking – Operating</t>
        </is>
      </c>
      <c r="H4424" s="3" t="inlineStr">
        <is>
          <t>Taxes and Licenses</t>
        </is>
      </c>
      <c r="I4424" s="33" t="n">
        <v>920</v>
      </c>
      <c r="J4424" s="13">
        <f>+J4423+I4424</f>
        <v>5260</v>
      </c>
      <c r="K4424" s="19">
        <f>+EOMONTH(B4424,0)</f>
        <v>46203</v>
      </c>
      <c r="L4424" s="3" t="inlineStr">
        <is>
          <t>Taxes and Licenses</t>
        </is>
      </c>
      <c r="M4424" s="3" t="inlineStr">
        <is>
          <t>Taxes &amp; Licenses</t>
        </is>
      </c>
    </row>
    <row r="4425">
      <c r="B4425" s="39" t="n">
        <v>46210</v>
      </c>
      <c r="C4425" s="3" t="inlineStr">
        <is>
          <t>Expense</t>
        </is>
      </c>
      <c r="D4425" s="3" t="inlineStr">
        <is>
          <t>11283</t>
        </is>
      </c>
      <c r="E4425" s="3" t="inlineStr"/>
      <c r="F4425" s="3" t="inlineStr">
        <is>
          <t>Taxes and Licenses – July</t>
        </is>
      </c>
      <c r="G4425" s="3" t="inlineStr">
        <is>
          <t>Checking – Operating</t>
        </is>
      </c>
      <c r="H4425" s="3" t="inlineStr">
        <is>
          <t>Taxes and Licenses</t>
        </is>
      </c>
      <c r="I4425" s="33" t="n">
        <v>840</v>
      </c>
      <c r="J4425" s="13">
        <f>+J4424+I4425</f>
        <v>6100</v>
      </c>
      <c r="K4425" s="19">
        <f>+EOMONTH(B4425,0)</f>
        <v>46234</v>
      </c>
      <c r="L4425" s="3" t="inlineStr">
        <is>
          <t>Taxes and Licenses</t>
        </is>
      </c>
      <c r="M4425" s="3" t="inlineStr">
        <is>
          <t>Taxes &amp; Licenses</t>
        </is>
      </c>
    </row>
    <row r="4426">
      <c r="B4426" s="39" t="n">
        <v>46245</v>
      </c>
      <c r="C4426" s="3" t="inlineStr">
        <is>
          <t>Credit Card Expense</t>
        </is>
      </c>
      <c r="D4426" s="3" t="inlineStr"/>
      <c r="E4426" s="3" t="inlineStr"/>
      <c r="F4426" s="3" t="inlineStr">
        <is>
          <t>Taxes and Licenses – August</t>
        </is>
      </c>
      <c r="G4426" s="3" t="inlineStr">
        <is>
          <t>Checking – Operating</t>
        </is>
      </c>
      <c r="H4426" s="3" t="inlineStr">
        <is>
          <t>Taxes and Licenses</t>
        </is>
      </c>
      <c r="I4426" s="33" t="n">
        <v>473.43</v>
      </c>
      <c r="J4426" s="13">
        <f>+J4425+I4426</f>
        <v>6573.43</v>
      </c>
      <c r="K4426" s="19">
        <f>+EOMONTH(B4426,0)</f>
        <v>46265</v>
      </c>
      <c r="L4426" s="3" t="inlineStr">
        <is>
          <t>Taxes and Licenses</t>
        </is>
      </c>
      <c r="M4426" s="3" t="inlineStr">
        <is>
          <t>Taxes &amp; Licenses</t>
        </is>
      </c>
    </row>
    <row r="4427">
      <c r="B4427" s="39" t="n">
        <v>46256</v>
      </c>
      <c r="C4427" s="3" t="inlineStr">
        <is>
          <t>Expense</t>
        </is>
      </c>
      <c r="D4427" s="3" t="inlineStr">
        <is>
          <t>11284</t>
        </is>
      </c>
      <c r="E4427" s="3" t="inlineStr"/>
      <c r="F4427" s="3" t="inlineStr">
        <is>
          <t>Taxes and Licenses – August</t>
        </is>
      </c>
      <c r="G4427" s="3" t="inlineStr">
        <is>
          <t>Checking – Operating</t>
        </is>
      </c>
      <c r="H4427" s="3" t="inlineStr">
        <is>
          <t>Taxes and Licenses</t>
        </is>
      </c>
      <c r="I4427" s="33" t="n">
        <v>406.57</v>
      </c>
      <c r="J4427" s="13">
        <f>+J4426+I4427</f>
        <v>6980</v>
      </c>
      <c r="K4427" s="19">
        <f>+EOMONTH(B4427,0)</f>
        <v>46265</v>
      </c>
      <c r="L4427" s="3" t="inlineStr">
        <is>
          <t>Taxes and Licenses</t>
        </is>
      </c>
      <c r="M4427" s="3" t="inlineStr">
        <is>
          <t>Taxes &amp; Licenses</t>
        </is>
      </c>
    </row>
    <row r="4428">
      <c r="B4428" s="39" t="n">
        <v>46274</v>
      </c>
      <c r="C4428" s="3" t="inlineStr">
        <is>
          <t>Journal Entry</t>
        </is>
      </c>
      <c r="D4428" s="3" t="inlineStr">
        <is>
          <t>JE-2780</t>
        </is>
      </c>
      <c r="E4428" s="3" t="inlineStr"/>
      <c r="F4428" s="3" t="inlineStr">
        <is>
          <t>Taxes and Licenses – September</t>
        </is>
      </c>
      <c r="G4428" s="3" t="inlineStr">
        <is>
          <t>Checking – Operating</t>
        </is>
      </c>
      <c r="H4428" s="3" t="inlineStr">
        <is>
          <t>Taxes and Licenses</t>
        </is>
      </c>
      <c r="I4428" s="33" t="n">
        <v>862.79</v>
      </c>
      <c r="J4428" s="13">
        <f>+J4427+I4428</f>
        <v>7842.79</v>
      </c>
      <c r="K4428" s="19">
        <f>+EOMONTH(B4428,0)</f>
        <v>46295</v>
      </c>
      <c r="L4428" s="3" t="inlineStr">
        <is>
          <t>Taxes and Licenses</t>
        </is>
      </c>
      <c r="M4428" s="3" t="inlineStr">
        <is>
          <t>Taxes &amp; Licenses</t>
        </is>
      </c>
    </row>
    <row r="4429">
      <c r="B4429" s="39" t="n">
        <v>46298</v>
      </c>
      <c r="C4429" s="3" t="inlineStr">
        <is>
          <t>Credit Card Expense</t>
        </is>
      </c>
      <c r="D4429" s="3" t="inlineStr"/>
      <c r="E4429" s="3" t="inlineStr"/>
      <c r="F4429" s="3" t="inlineStr">
        <is>
          <t>Taxes and Licenses – October</t>
        </is>
      </c>
      <c r="G4429" s="3" t="inlineStr">
        <is>
          <t>Checking – Operating</t>
        </is>
      </c>
      <c r="H4429" s="3" t="inlineStr">
        <is>
          <t>Taxes and Licenses</t>
        </is>
      </c>
      <c r="I4429" s="33" t="n">
        <v>427.13</v>
      </c>
      <c r="J4429" s="13">
        <f>+J4428+I4429</f>
        <v>8269.92</v>
      </c>
      <c r="K4429" s="19">
        <f>+EOMONTH(B4429,0)</f>
        <v>46326</v>
      </c>
      <c r="L4429" s="3" t="inlineStr">
        <is>
          <t>Taxes and Licenses</t>
        </is>
      </c>
      <c r="M4429" s="3" t="inlineStr">
        <is>
          <t>Taxes &amp; Licenses</t>
        </is>
      </c>
    </row>
    <row r="4430">
      <c r="B4430" s="39" t="n">
        <v>46317</v>
      </c>
      <c r="C4430" s="3" t="inlineStr">
        <is>
          <t>Expense</t>
        </is>
      </c>
      <c r="D4430" s="3" t="inlineStr">
        <is>
          <t>11285</t>
        </is>
      </c>
      <c r="E4430" s="3" t="inlineStr"/>
      <c r="F4430" s="3" t="inlineStr">
        <is>
          <t>Taxes and Licenses – October</t>
        </is>
      </c>
      <c r="G4430" s="3" t="inlineStr">
        <is>
          <t>Checking – Operating</t>
        </is>
      </c>
      <c r="H4430" s="3" t="inlineStr">
        <is>
          <t>Taxes and Licenses</t>
        </is>
      </c>
      <c r="I4430" s="33" t="n">
        <v>472.56</v>
      </c>
      <c r="J4430" s="13">
        <f>+J4429+I4430</f>
        <v>8742.48</v>
      </c>
      <c r="K4430" s="19">
        <f>+EOMONTH(B4430,0)</f>
        <v>46326</v>
      </c>
      <c r="L4430" s="3" t="inlineStr">
        <is>
          <t>Taxes and Licenses</t>
        </is>
      </c>
      <c r="M4430" s="3" t="inlineStr">
        <is>
          <t>Taxes &amp; Licenses</t>
        </is>
      </c>
    </row>
    <row r="4431">
      <c r="B4431" s="39" t="n">
        <v>46352</v>
      </c>
      <c r="C4431" s="3" t="inlineStr">
        <is>
          <t>Journal Entry</t>
        </is>
      </c>
      <c r="D4431" s="3" t="inlineStr">
        <is>
          <t>JE-2781</t>
        </is>
      </c>
      <c r="E4431" s="3" t="inlineStr"/>
      <c r="F4431" s="3" t="inlineStr">
        <is>
          <t>Taxes and Licenses – November</t>
        </is>
      </c>
      <c r="G4431" s="3" t="inlineStr">
        <is>
          <t>Checking – Operating</t>
        </is>
      </c>
      <c r="H4431" s="3" t="inlineStr">
        <is>
          <t>Taxes and Licenses</t>
        </is>
      </c>
      <c r="I4431" s="33" t="n">
        <v>870.14</v>
      </c>
      <c r="J4431" s="13">
        <f>+J4430+I4431</f>
        <v>9612.62</v>
      </c>
      <c r="K4431" s="19">
        <f>+EOMONTH(B4431,0)</f>
        <v>46356</v>
      </c>
      <c r="L4431" s="3" t="inlineStr">
        <is>
          <t>Taxes and Licenses</t>
        </is>
      </c>
      <c r="M4431" s="3" t="inlineStr">
        <is>
          <t>Taxes &amp; Licenses</t>
        </is>
      </c>
    </row>
    <row r="4432">
      <c r="A4432" s="2" t="inlineStr">
        <is>
          <t>Total for Taxes and Licenses</t>
        </is>
      </c>
      <c r="I4432" s="35">
        <f>SUM(I4417:I4431)</f>
        <v>9612.62</v>
      </c>
    </row>
    <row r="4434">
      <c r="A4434" s="2" t="inlineStr">
        <is>
          <t>Business Licenses and Permits</t>
        </is>
      </c>
    </row>
    <row r="4435">
      <c r="B4435" s="39" t="n">
        <v>46031</v>
      </c>
      <c r="C4435" s="3" t="inlineStr">
        <is>
          <t>Credit Card Expense</t>
        </is>
      </c>
      <c r="D4435" s="3" t="inlineStr"/>
      <c r="E4435" s="3" t="inlineStr"/>
      <c r="F4435" s="3" t="inlineStr">
        <is>
          <t>Business Licenses and Permits – January</t>
        </is>
      </c>
      <c r="G4435" s="3" t="inlineStr">
        <is>
          <t>Checking – Operating</t>
        </is>
      </c>
      <c r="H4435" s="3" t="inlineStr">
        <is>
          <t>Business Licenses and Permits</t>
        </is>
      </c>
      <c r="I4435" s="33" t="n">
        <v>447.94</v>
      </c>
      <c r="J4435" s="13">
        <f>+I4435</f>
        <v>447.94</v>
      </c>
      <c r="K4435" s="19">
        <f>+EOMONTH(B4435,0)</f>
        <v>46053</v>
      </c>
      <c r="L4435" s="3" t="inlineStr">
        <is>
          <t>Business Licenses and Permits</t>
        </is>
      </c>
      <c r="M4435" s="3" t="inlineStr">
        <is>
          <t>Taxes &amp; Licenses</t>
        </is>
      </c>
    </row>
    <row r="4436">
      <c r="B4436" s="39" t="n">
        <v>46034</v>
      </c>
      <c r="C4436" s="3" t="inlineStr">
        <is>
          <t>Expense</t>
        </is>
      </c>
      <c r="D4436" s="3" t="inlineStr">
        <is>
          <t>11286</t>
        </is>
      </c>
      <c r="E4436" s="3" t="inlineStr"/>
      <c r="F4436" s="3" t="inlineStr">
        <is>
          <t>Business Licenses and Permits – January</t>
        </is>
      </c>
      <c r="G4436" s="3" t="inlineStr">
        <is>
          <t>Checking – Operating</t>
        </is>
      </c>
      <c r="H4436" s="3" t="inlineStr">
        <is>
          <t>Business Licenses and Permits</t>
        </is>
      </c>
      <c r="I4436" s="33" t="n">
        <v>752.0599999999999</v>
      </c>
      <c r="J4436" s="13">
        <f>+J4435+I4436</f>
        <v>1200</v>
      </c>
      <c r="K4436" s="19">
        <f>+EOMONTH(B4436,0)</f>
        <v>46053</v>
      </c>
      <c r="L4436" s="3" t="inlineStr">
        <is>
          <t>Business Licenses and Permits</t>
        </is>
      </c>
      <c r="M4436" s="3" t="inlineStr">
        <is>
          <t>Taxes &amp; Licenses</t>
        </is>
      </c>
    </row>
    <row r="4437">
      <c r="B4437" s="39" t="n">
        <v>46066</v>
      </c>
      <c r="C4437" s="3" t="inlineStr">
        <is>
          <t>Expense</t>
        </is>
      </c>
      <c r="D4437" s="3" t="inlineStr">
        <is>
          <t>11287</t>
        </is>
      </c>
      <c r="E4437" s="3" t="inlineStr"/>
      <c r="F4437" s="3" t="inlineStr">
        <is>
          <t>Business Licenses and Permits – February</t>
        </is>
      </c>
      <c r="G4437" s="3" t="inlineStr">
        <is>
          <t>Checking – Operating</t>
        </is>
      </c>
      <c r="H4437" s="3" t="inlineStr">
        <is>
          <t>Business Licenses and Permits</t>
        </is>
      </c>
      <c r="I4437" s="33" t="n">
        <v>681.61</v>
      </c>
      <c r="J4437" s="13">
        <f>+J4436+I4437</f>
        <v>1881.61</v>
      </c>
      <c r="K4437" s="19">
        <f>+EOMONTH(B4437,0)</f>
        <v>46081</v>
      </c>
      <c r="L4437" s="3" t="inlineStr">
        <is>
          <t>Business Licenses and Permits</t>
        </is>
      </c>
      <c r="M4437" s="3" t="inlineStr">
        <is>
          <t>Taxes &amp; Licenses</t>
        </is>
      </c>
    </row>
    <row r="4438">
      <c r="B4438" s="39" t="n">
        <v>46068</v>
      </c>
      <c r="C4438" s="3" t="inlineStr">
        <is>
          <t>Journal Entry</t>
        </is>
      </c>
      <c r="D4438" s="3" t="inlineStr">
        <is>
          <t>JE-2782</t>
        </is>
      </c>
      <c r="E4438" s="3" t="inlineStr"/>
      <c r="F4438" s="3" t="inlineStr">
        <is>
          <t>Business Licenses and Permits – February</t>
        </is>
      </c>
      <c r="G4438" s="3" t="inlineStr">
        <is>
          <t>Checking – Operating</t>
        </is>
      </c>
      <c r="H4438" s="3" t="inlineStr">
        <is>
          <t>Business Licenses and Permits</t>
        </is>
      </c>
      <c r="I4438" s="33" t="n">
        <v>608.39</v>
      </c>
      <c r="J4438" s="13">
        <f>+J4437+I4438</f>
        <v>2490</v>
      </c>
      <c r="K4438" s="19">
        <f>+EOMONTH(B4438,0)</f>
        <v>46081</v>
      </c>
      <c r="L4438" s="3" t="inlineStr">
        <is>
          <t>Business Licenses and Permits</t>
        </is>
      </c>
      <c r="M4438" s="3" t="inlineStr">
        <is>
          <t>Taxes &amp; Licenses</t>
        </is>
      </c>
    </row>
    <row r="4439">
      <c r="B4439" s="39" t="n">
        <v>46084</v>
      </c>
      <c r="C4439" s="3" t="inlineStr">
        <is>
          <t>Credit Card Expense</t>
        </is>
      </c>
      <c r="D4439" s="3" t="inlineStr"/>
      <c r="E4439" s="3" t="inlineStr"/>
      <c r="F4439" s="3" t="inlineStr">
        <is>
          <t>Business Licenses and Permits – March</t>
        </is>
      </c>
      <c r="G4439" s="3" t="inlineStr">
        <is>
          <t>Checking – Operating</t>
        </is>
      </c>
      <c r="H4439" s="3" t="inlineStr">
        <is>
          <t>Business Licenses and Permits</t>
        </is>
      </c>
      <c r="I4439" s="33" t="n">
        <v>614.29</v>
      </c>
      <c r="J4439" s="13">
        <f>+J4438+I4439</f>
        <v>3104.29</v>
      </c>
      <c r="K4439" s="19">
        <f>+EOMONTH(B4439,0)</f>
        <v>46112</v>
      </c>
      <c r="L4439" s="3" t="inlineStr">
        <is>
          <t>Business Licenses and Permits</t>
        </is>
      </c>
      <c r="M4439" s="3" t="inlineStr">
        <is>
          <t>Taxes &amp; Licenses</t>
        </is>
      </c>
    </row>
    <row r="4440">
      <c r="B4440" s="39" t="n">
        <v>46106</v>
      </c>
      <c r="C4440" s="3" t="inlineStr">
        <is>
          <t>Journal Entry</t>
        </is>
      </c>
      <c r="D4440" s="3" t="inlineStr">
        <is>
          <t>JE-2783</t>
        </is>
      </c>
      <c r="E4440" s="3" t="inlineStr"/>
      <c r="F4440" s="3" t="inlineStr">
        <is>
          <t>Business Licenses and Permits – March</t>
        </is>
      </c>
      <c r="G4440" s="3" t="inlineStr">
        <is>
          <t>Checking – Operating</t>
        </is>
      </c>
      <c r="H4440" s="3" t="inlineStr">
        <is>
          <t>Business Licenses and Permits</t>
        </is>
      </c>
      <c r="I4440" s="33" t="n">
        <v>705.71</v>
      </c>
      <c r="J4440" s="13">
        <f>+J4439+I4440</f>
        <v>3810</v>
      </c>
      <c r="K4440" s="19">
        <f>+EOMONTH(B4440,0)</f>
        <v>46112</v>
      </c>
      <c r="L4440" s="3" t="inlineStr">
        <is>
          <t>Business Licenses and Permits</t>
        </is>
      </c>
      <c r="M4440" s="3" t="inlineStr">
        <is>
          <t>Taxes &amp; Licenses</t>
        </is>
      </c>
    </row>
    <row r="4441">
      <c r="B4441" s="39" t="n">
        <v>46117</v>
      </c>
      <c r="C4441" s="3" t="inlineStr">
        <is>
          <t>Journal Entry</t>
        </is>
      </c>
      <c r="D4441" s="3" t="inlineStr">
        <is>
          <t>JE-2785</t>
        </is>
      </c>
      <c r="E4441" s="3" t="inlineStr"/>
      <c r="F4441" s="3" t="inlineStr">
        <is>
          <t>Business Licenses and Permits – April</t>
        </is>
      </c>
      <c r="G4441" s="3" t="inlineStr">
        <is>
          <t>Checking – Operating</t>
        </is>
      </c>
      <c r="H4441" s="3" t="inlineStr">
        <is>
          <t>Business Licenses and Permits</t>
        </is>
      </c>
      <c r="I4441" s="33" t="n">
        <v>788.62</v>
      </c>
      <c r="J4441" s="13">
        <f>+J4440+I4441</f>
        <v>4598.62</v>
      </c>
      <c r="K4441" s="19">
        <f>+EOMONTH(B4441,0)</f>
        <v>46142</v>
      </c>
      <c r="L4441" s="3" t="inlineStr">
        <is>
          <t>Business Licenses and Permits</t>
        </is>
      </c>
      <c r="M4441" s="3" t="inlineStr">
        <is>
          <t>Taxes &amp; Licenses</t>
        </is>
      </c>
    </row>
    <row r="4442">
      <c r="B4442" s="39" t="n">
        <v>46134</v>
      </c>
      <c r="C4442" s="3" t="inlineStr">
        <is>
          <t>Journal Entry</t>
        </is>
      </c>
      <c r="D4442" s="3" t="inlineStr">
        <is>
          <t>JE-2784</t>
        </is>
      </c>
      <c r="E4442" s="3" t="inlineStr"/>
      <c r="F4442" s="3" t="inlineStr">
        <is>
          <t>Business Licenses and Permits – April</t>
        </is>
      </c>
      <c r="G4442" s="3" t="inlineStr">
        <is>
          <t>Checking – Operating</t>
        </is>
      </c>
      <c r="H4442" s="3" t="inlineStr">
        <is>
          <t>Business Licenses and Permits</t>
        </is>
      </c>
      <c r="I4442" s="33" t="n">
        <v>561.38</v>
      </c>
      <c r="J4442" s="13">
        <f>+J4441+I4442</f>
        <v>5160</v>
      </c>
      <c r="K4442" s="19">
        <f>+EOMONTH(B4442,0)</f>
        <v>46142</v>
      </c>
      <c r="L4442" s="3" t="inlineStr">
        <is>
          <t>Business Licenses and Permits</t>
        </is>
      </c>
      <c r="M4442" s="3" t="inlineStr">
        <is>
          <t>Taxes &amp; Licenses</t>
        </is>
      </c>
    </row>
    <row r="4443">
      <c r="B4443" s="39" t="n">
        <v>46143</v>
      </c>
      <c r="C4443" s="3" t="inlineStr">
        <is>
          <t>Expense</t>
        </is>
      </c>
      <c r="D4443" s="3" t="inlineStr">
        <is>
          <t>11289</t>
        </is>
      </c>
      <c r="E4443" s="3" t="inlineStr"/>
      <c r="F4443" s="3" t="inlineStr">
        <is>
          <t>Business Licenses and Permits – May</t>
        </is>
      </c>
      <c r="G4443" s="3" t="inlineStr">
        <is>
          <t>Checking – Operating</t>
        </is>
      </c>
      <c r="H4443" s="3" t="inlineStr">
        <is>
          <t>Business Licenses and Permits</t>
        </is>
      </c>
      <c r="I4443" s="33" t="n">
        <v>719.79</v>
      </c>
      <c r="J4443" s="13">
        <f>+J4442+I4443</f>
        <v>5879.79</v>
      </c>
      <c r="K4443" s="19">
        <f>+EOMONTH(B4443,0)</f>
        <v>46173</v>
      </c>
      <c r="L4443" s="3" t="inlineStr">
        <is>
          <t>Business Licenses and Permits</t>
        </is>
      </c>
      <c r="M4443" s="3" t="inlineStr">
        <is>
          <t>Taxes &amp; Licenses</t>
        </is>
      </c>
    </row>
    <row r="4444">
      <c r="B4444" s="39" t="n">
        <v>46152</v>
      </c>
      <c r="C4444" s="3" t="inlineStr">
        <is>
          <t>Expense</t>
        </is>
      </c>
      <c r="D4444" s="3" t="inlineStr">
        <is>
          <t>11288</t>
        </is>
      </c>
      <c r="E4444" s="3" t="inlineStr"/>
      <c r="F4444" s="3" t="inlineStr">
        <is>
          <t>Business Licenses and Permits – May</t>
        </is>
      </c>
      <c r="G4444" s="3" t="inlineStr">
        <is>
          <t>Checking – Operating</t>
        </is>
      </c>
      <c r="H4444" s="3" t="inlineStr">
        <is>
          <t>Business Licenses and Permits</t>
        </is>
      </c>
      <c r="I4444" s="33" t="n">
        <v>630.21</v>
      </c>
      <c r="J4444" s="13">
        <f>+J4443+I4444</f>
        <v>6510</v>
      </c>
      <c r="K4444" s="19">
        <f>+EOMONTH(B4444,0)</f>
        <v>46173</v>
      </c>
      <c r="L4444" s="3" t="inlineStr">
        <is>
          <t>Business Licenses and Permits</t>
        </is>
      </c>
      <c r="M4444" s="3" t="inlineStr">
        <is>
          <t>Taxes &amp; Licenses</t>
        </is>
      </c>
    </row>
    <row r="4445">
      <c r="B4445" s="39" t="n">
        <v>46185</v>
      </c>
      <c r="C4445" s="3" t="inlineStr">
        <is>
          <t>Credit Card Expense</t>
        </is>
      </c>
      <c r="D4445" s="3" t="inlineStr"/>
      <c r="E4445" s="3" t="inlineStr"/>
      <c r="F4445" s="3" t="inlineStr">
        <is>
          <t>Business Licenses and Permits – June</t>
        </is>
      </c>
      <c r="G4445" s="3" t="inlineStr">
        <is>
          <t>Checking – Operating</t>
        </is>
      </c>
      <c r="H4445" s="3" t="inlineStr">
        <is>
          <t>Business Licenses and Permits</t>
        </is>
      </c>
      <c r="I4445" s="33" t="n">
        <v>675.4400000000001</v>
      </c>
      <c r="J4445" s="13">
        <f>+J4444+I4445</f>
        <v>7185.44</v>
      </c>
      <c r="K4445" s="19">
        <f>+EOMONTH(B4445,0)</f>
        <v>46203</v>
      </c>
      <c r="L4445" s="3" t="inlineStr">
        <is>
          <t>Business Licenses and Permits</t>
        </is>
      </c>
      <c r="M4445" s="3" t="inlineStr">
        <is>
          <t>Taxes &amp; Licenses</t>
        </is>
      </c>
    </row>
    <row r="4446">
      <c r="B4446" s="39" t="n">
        <v>46185</v>
      </c>
      <c r="C4446" s="3" t="inlineStr">
        <is>
          <t>Expense</t>
        </is>
      </c>
      <c r="D4446" s="3" t="inlineStr">
        <is>
          <t>11290</t>
        </is>
      </c>
      <c r="E4446" s="3" t="inlineStr"/>
      <c r="F4446" s="3" t="inlineStr">
        <is>
          <t>Business Licenses and Permits – June</t>
        </is>
      </c>
      <c r="G4446" s="3" t="inlineStr">
        <is>
          <t>Checking – Operating</t>
        </is>
      </c>
      <c r="H4446" s="3" t="inlineStr">
        <is>
          <t>Business Licenses and Permits</t>
        </is>
      </c>
      <c r="I4446" s="33" t="n">
        <v>704.5599999999999</v>
      </c>
      <c r="J4446" s="13">
        <f>+J4445+I4446</f>
        <v>7890</v>
      </c>
      <c r="K4446" s="19">
        <f>+EOMONTH(B4446,0)</f>
        <v>46203</v>
      </c>
      <c r="L4446" s="3" t="inlineStr">
        <is>
          <t>Business Licenses and Permits</t>
        </is>
      </c>
      <c r="M4446" s="3" t="inlineStr">
        <is>
          <t>Taxes &amp; Licenses</t>
        </is>
      </c>
    </row>
    <row r="4447">
      <c r="B4447" s="39" t="n">
        <v>46218</v>
      </c>
      <c r="C4447" s="3" t="inlineStr">
        <is>
          <t>Credit Card Expense</t>
        </is>
      </c>
      <c r="D4447" s="3" t="inlineStr"/>
      <c r="E4447" s="3" t="inlineStr"/>
      <c r="F4447" s="3" t="inlineStr">
        <is>
          <t>Business Licenses and Permits – July</t>
        </is>
      </c>
      <c r="G4447" s="3" t="inlineStr">
        <is>
          <t>Checking – Operating</t>
        </is>
      </c>
      <c r="H4447" s="3" t="inlineStr">
        <is>
          <t>Business Licenses and Permits</t>
        </is>
      </c>
      <c r="I4447" s="33" t="n">
        <v>778.11</v>
      </c>
      <c r="J4447" s="13">
        <f>+J4446+I4447</f>
        <v>8668.11</v>
      </c>
      <c r="K4447" s="19">
        <f>+EOMONTH(B4447,0)</f>
        <v>46234</v>
      </c>
      <c r="L4447" s="3" t="inlineStr">
        <is>
          <t>Business Licenses and Permits</t>
        </is>
      </c>
      <c r="M4447" s="3" t="inlineStr">
        <is>
          <t>Taxes &amp; Licenses</t>
        </is>
      </c>
    </row>
    <row r="4448">
      <c r="B4448" s="39" t="n">
        <v>46219</v>
      </c>
      <c r="C4448" s="3" t="inlineStr">
        <is>
          <t>Expense</t>
        </is>
      </c>
      <c r="D4448" s="3" t="inlineStr">
        <is>
          <t>11291</t>
        </is>
      </c>
      <c r="E4448" s="3" t="inlineStr"/>
      <c r="F4448" s="3" t="inlineStr">
        <is>
          <t>Business Licenses and Permits – July</t>
        </is>
      </c>
      <c r="G4448" s="3" t="inlineStr">
        <is>
          <t>Checking – Operating</t>
        </is>
      </c>
      <c r="H4448" s="3" t="inlineStr">
        <is>
          <t>Business Licenses and Permits</t>
        </is>
      </c>
      <c r="I4448" s="33" t="n">
        <v>481.89</v>
      </c>
      <c r="J4448" s="13">
        <f>+J4447+I4448</f>
        <v>9150</v>
      </c>
      <c r="K4448" s="19">
        <f>+EOMONTH(B4448,0)</f>
        <v>46234</v>
      </c>
      <c r="L4448" s="3" t="inlineStr">
        <is>
          <t>Business Licenses and Permits</t>
        </is>
      </c>
      <c r="M4448" s="3" t="inlineStr">
        <is>
          <t>Taxes &amp; Licenses</t>
        </is>
      </c>
    </row>
    <row r="4449">
      <c r="B4449" s="39" t="n">
        <v>46239</v>
      </c>
      <c r="C4449" s="3" t="inlineStr">
        <is>
          <t>Journal Entry</t>
        </is>
      </c>
      <c r="D4449" s="3" t="inlineStr">
        <is>
          <t>JE-2786</t>
        </is>
      </c>
      <c r="E4449" s="3" t="inlineStr"/>
      <c r="F4449" s="3" t="inlineStr">
        <is>
          <t>Business Licenses and Permits – August</t>
        </is>
      </c>
      <c r="G4449" s="3" t="inlineStr">
        <is>
          <t>Checking – Operating</t>
        </is>
      </c>
      <c r="H4449" s="3" t="inlineStr">
        <is>
          <t>Business Licenses and Permits</t>
        </is>
      </c>
      <c r="I4449" s="33" t="n">
        <v>621.59</v>
      </c>
      <c r="J4449" s="13">
        <f>+J4448+I4449</f>
        <v>9771.59</v>
      </c>
      <c r="K4449" s="19">
        <f>+EOMONTH(B4449,0)</f>
        <v>46265</v>
      </c>
      <c r="L4449" s="3" t="inlineStr">
        <is>
          <t>Business Licenses and Permits</t>
        </is>
      </c>
      <c r="M4449" s="3" t="inlineStr">
        <is>
          <t>Taxes &amp; Licenses</t>
        </is>
      </c>
    </row>
    <row r="4450">
      <c r="B4450" s="39" t="n">
        <v>46257</v>
      </c>
      <c r="C4450" s="3" t="inlineStr">
        <is>
          <t>Journal Entry</t>
        </is>
      </c>
      <c r="D4450" s="3" t="inlineStr">
        <is>
          <t>JE-2787</t>
        </is>
      </c>
      <c r="E4450" s="3" t="inlineStr"/>
      <c r="F4450" s="3" t="inlineStr">
        <is>
          <t>Business Licenses and Permits – August</t>
        </is>
      </c>
      <c r="G4450" s="3" t="inlineStr">
        <is>
          <t>Checking – Operating</t>
        </is>
      </c>
      <c r="H4450" s="3" t="inlineStr">
        <is>
          <t>Business Licenses and Permits</t>
        </is>
      </c>
      <c r="I4450" s="33" t="n">
        <v>698.41</v>
      </c>
      <c r="J4450" s="13">
        <f>+J4449+I4450</f>
        <v>10470</v>
      </c>
      <c r="K4450" s="19">
        <f>+EOMONTH(B4450,0)</f>
        <v>46265</v>
      </c>
      <c r="L4450" s="3" t="inlineStr">
        <is>
          <t>Business Licenses and Permits</t>
        </is>
      </c>
      <c r="M4450" s="3" t="inlineStr">
        <is>
          <t>Taxes &amp; Licenses</t>
        </is>
      </c>
    </row>
    <row r="4451">
      <c r="B4451" s="39" t="n">
        <v>46285</v>
      </c>
      <c r="C4451" s="3" t="inlineStr">
        <is>
          <t>Expense</t>
        </is>
      </c>
      <c r="D4451" s="3" t="inlineStr">
        <is>
          <t>11292</t>
        </is>
      </c>
      <c r="E4451" s="3" t="inlineStr"/>
      <c r="F4451" s="3" t="inlineStr">
        <is>
          <t>Business Licenses and Permits – September</t>
        </is>
      </c>
      <c r="G4451" s="3" t="inlineStr">
        <is>
          <t>Checking – Operating</t>
        </is>
      </c>
      <c r="H4451" s="3" t="inlineStr">
        <is>
          <t>Business Licenses and Permits</t>
        </is>
      </c>
      <c r="I4451" s="33" t="n">
        <v>841.3200000000001</v>
      </c>
      <c r="J4451" s="13">
        <f>+J4450+I4451</f>
        <v>11311.32</v>
      </c>
      <c r="K4451" s="19">
        <f>+EOMONTH(B4451,0)</f>
        <v>46295</v>
      </c>
      <c r="L4451" s="3" t="inlineStr">
        <is>
          <t>Business Licenses and Permits</t>
        </is>
      </c>
      <c r="M4451" s="3" t="inlineStr">
        <is>
          <t>Taxes &amp; Licenses</t>
        </is>
      </c>
    </row>
    <row r="4452">
      <c r="B4452" s="39" t="n">
        <v>46286</v>
      </c>
      <c r="C4452" s="3" t="inlineStr">
        <is>
          <t>Expense</t>
        </is>
      </c>
      <c r="D4452" s="3" t="inlineStr">
        <is>
          <t>11293</t>
        </is>
      </c>
      <c r="E4452" s="3" t="inlineStr"/>
      <c r="F4452" s="3" t="inlineStr">
        <is>
          <t>Business Licenses and Permits – September</t>
        </is>
      </c>
      <c r="G4452" s="3" t="inlineStr">
        <is>
          <t>Checking – Operating</t>
        </is>
      </c>
      <c r="H4452" s="3" t="inlineStr">
        <is>
          <t>Business Licenses and Permits</t>
        </is>
      </c>
      <c r="I4452" s="33" t="n">
        <v>452.86</v>
      </c>
      <c r="J4452" s="13">
        <f>+J4451+I4452</f>
        <v>11764.18</v>
      </c>
      <c r="K4452" s="19">
        <f>+EOMONTH(B4452,0)</f>
        <v>46295</v>
      </c>
      <c r="L4452" s="3" t="inlineStr">
        <is>
          <t>Business Licenses and Permits</t>
        </is>
      </c>
      <c r="M4452" s="3" t="inlineStr">
        <is>
          <t>Taxes &amp; Licenses</t>
        </is>
      </c>
    </row>
    <row r="4453">
      <c r="B4453" s="39" t="n">
        <v>46310</v>
      </c>
      <c r="C4453" s="3" t="inlineStr">
        <is>
          <t>Credit Card Expense</t>
        </is>
      </c>
      <c r="D4453" s="3" t="inlineStr"/>
      <c r="E4453" s="3" t="inlineStr"/>
      <c r="F4453" s="3" t="inlineStr">
        <is>
          <t>Business Licenses and Permits – October</t>
        </is>
      </c>
      <c r="G4453" s="3" t="inlineStr">
        <is>
          <t>Checking – Operating</t>
        </is>
      </c>
      <c r="H4453" s="3" t="inlineStr">
        <is>
          <t>Business Licenses and Permits</t>
        </is>
      </c>
      <c r="I4453" s="33" t="n">
        <v>1349.54</v>
      </c>
      <c r="J4453" s="13">
        <f>+J4452+I4453</f>
        <v>13113.72</v>
      </c>
      <c r="K4453" s="19">
        <f>+EOMONTH(B4453,0)</f>
        <v>46326</v>
      </c>
      <c r="L4453" s="3" t="inlineStr">
        <is>
          <t>Business Licenses and Permits</t>
        </is>
      </c>
      <c r="M4453" s="3" t="inlineStr">
        <is>
          <t>Taxes &amp; Licenses</t>
        </is>
      </c>
    </row>
    <row r="4454">
      <c r="B4454" s="39" t="n">
        <v>46337</v>
      </c>
      <c r="C4454" s="3" t="inlineStr">
        <is>
          <t>Expense</t>
        </is>
      </c>
      <c r="D4454" s="3" t="inlineStr">
        <is>
          <t>11294</t>
        </is>
      </c>
      <c r="E4454" s="3" t="inlineStr"/>
      <c r="F4454" s="3" t="inlineStr">
        <is>
          <t>Business Licenses and Permits – November</t>
        </is>
      </c>
      <c r="G4454" s="3" t="inlineStr">
        <is>
          <t>Checking – Operating</t>
        </is>
      </c>
      <c r="H4454" s="3" t="inlineStr">
        <is>
          <t>Business Licenses and Permits</t>
        </is>
      </c>
      <c r="I4454" s="33" t="n">
        <v>1305.21</v>
      </c>
      <c r="J4454" s="13">
        <f>+J4453+I4454</f>
        <v>14418.93</v>
      </c>
      <c r="K4454" s="19">
        <f>+EOMONTH(B4454,0)</f>
        <v>46356</v>
      </c>
      <c r="L4454" s="3" t="inlineStr">
        <is>
          <t>Business Licenses and Permits</t>
        </is>
      </c>
      <c r="M4454" s="3" t="inlineStr">
        <is>
          <t>Taxes &amp; Licenses</t>
        </is>
      </c>
    </row>
    <row r="4455">
      <c r="A4455" s="2" t="inlineStr">
        <is>
          <t>Total for Business Licenses and Permits</t>
        </is>
      </c>
      <c r="I4455" s="35">
        <f>SUM(I4435:I4454)</f>
        <v>14418.93</v>
      </c>
    </row>
    <row r="4457">
      <c r="A4457" s="2" t="inlineStr">
        <is>
          <t>Telecom and Internet</t>
        </is>
      </c>
    </row>
    <row r="4458">
      <c r="B4458" s="39" t="n">
        <v>46041</v>
      </c>
      <c r="C4458" s="3" t="inlineStr">
        <is>
          <t>Journal Entry</t>
        </is>
      </c>
      <c r="D4458" s="3" t="inlineStr">
        <is>
          <t>JE-2788</t>
        </is>
      </c>
      <c r="E4458" s="3" t="inlineStr">
        <is>
          <t>Union Utilities</t>
        </is>
      </c>
      <c r="F4458" s="3" t="inlineStr">
        <is>
          <t>Telecom and Internet – January</t>
        </is>
      </c>
      <c r="G4458" s="3" t="inlineStr">
        <is>
          <t>Checking – Operating</t>
        </is>
      </c>
      <c r="H4458" s="3" t="inlineStr">
        <is>
          <t>Telecom and Internet</t>
        </is>
      </c>
      <c r="I4458" s="33" t="n">
        <v>3093.01</v>
      </c>
      <c r="J4458" s="13">
        <f>+I4458</f>
        <v>3093.01</v>
      </c>
      <c r="K4458" s="19">
        <f>+EOMONTH(B4458,0)</f>
        <v>46053</v>
      </c>
      <c r="L4458" s="3" t="inlineStr">
        <is>
          <t>Telecom and Internet</t>
        </is>
      </c>
      <c r="M4458" s="3" t="inlineStr">
        <is>
          <t>Information Technology Expense</t>
        </is>
      </c>
    </row>
    <row r="4459">
      <c r="B4459" s="39" t="n">
        <v>46048</v>
      </c>
      <c r="C4459" s="3" t="inlineStr">
        <is>
          <t>Credit Card Expense</t>
        </is>
      </c>
      <c r="D4459" s="3" t="inlineStr"/>
      <c r="E4459" s="3" t="inlineStr">
        <is>
          <t>Union Utilities</t>
        </is>
      </c>
      <c r="F4459" s="3" t="inlineStr">
        <is>
          <t>Telecom and Internet – January</t>
        </is>
      </c>
      <c r="G4459" s="3" t="inlineStr">
        <is>
          <t>Checking – Operating</t>
        </is>
      </c>
      <c r="H4459" s="3" t="inlineStr">
        <is>
          <t>Telecom and Internet</t>
        </is>
      </c>
      <c r="I4459" s="33" t="n">
        <v>2106.99</v>
      </c>
      <c r="J4459" s="13">
        <f>+J4458+I4459</f>
        <v>5200</v>
      </c>
      <c r="K4459" s="19">
        <f>+EOMONTH(B4459,0)</f>
        <v>46053</v>
      </c>
      <c r="L4459" s="3" t="inlineStr">
        <is>
          <t>Telecom and Internet</t>
        </is>
      </c>
      <c r="M4459" s="3" t="inlineStr">
        <is>
          <t>Information Technology Expense</t>
        </is>
      </c>
    </row>
    <row r="4460">
      <c r="B4460" s="39" t="n">
        <v>46059</v>
      </c>
      <c r="C4460" s="3" t="inlineStr">
        <is>
          <t>Expense</t>
        </is>
      </c>
      <c r="D4460" s="3" t="inlineStr">
        <is>
          <t>11295</t>
        </is>
      </c>
      <c r="E4460" s="3" t="inlineStr">
        <is>
          <t>Union Utilities</t>
        </is>
      </c>
      <c r="F4460" s="3" t="inlineStr">
        <is>
          <t>Telecom and Internet – February</t>
        </is>
      </c>
      <c r="G4460" s="3" t="inlineStr">
        <is>
          <t>Checking – Operating</t>
        </is>
      </c>
      <c r="H4460" s="3" t="inlineStr">
        <is>
          <t>Telecom and Internet</t>
        </is>
      </c>
      <c r="I4460" s="33" t="n">
        <v>3066.24</v>
      </c>
      <c r="J4460" s="13">
        <f>+J4459+I4460</f>
        <v>8266.24</v>
      </c>
      <c r="K4460" s="19">
        <f>+EOMONTH(B4460,0)</f>
        <v>46081</v>
      </c>
      <c r="L4460" s="3" t="inlineStr">
        <is>
          <t>Telecom and Internet</t>
        </is>
      </c>
      <c r="M4460" s="3" t="inlineStr">
        <is>
          <t>Information Technology Expense</t>
        </is>
      </c>
    </row>
    <row r="4461">
      <c r="B4461" s="39" t="n">
        <v>46066</v>
      </c>
      <c r="C4461" s="3" t="inlineStr">
        <is>
          <t>Journal Entry</t>
        </is>
      </c>
      <c r="D4461" s="3" t="inlineStr">
        <is>
          <t>JE-2789</t>
        </is>
      </c>
      <c r="E4461" s="3" t="inlineStr">
        <is>
          <t>Union Utilities</t>
        </is>
      </c>
      <c r="F4461" s="3" t="inlineStr">
        <is>
          <t>Telecom and Internet – February</t>
        </is>
      </c>
      <c r="G4461" s="3" t="inlineStr">
        <is>
          <t>Checking – Operating</t>
        </is>
      </c>
      <c r="H4461" s="3" t="inlineStr">
        <is>
          <t>Telecom and Internet</t>
        </is>
      </c>
      <c r="I4461" s="33" t="n">
        <v>2013.76</v>
      </c>
      <c r="J4461" s="13">
        <f>+J4460+I4461</f>
        <v>10280</v>
      </c>
      <c r="K4461" s="19">
        <f>+EOMONTH(B4461,0)</f>
        <v>46081</v>
      </c>
      <c r="L4461" s="3" t="inlineStr">
        <is>
          <t>Telecom and Internet</t>
        </is>
      </c>
      <c r="M4461" s="3" t="inlineStr">
        <is>
          <t>Information Technology Expense</t>
        </is>
      </c>
    </row>
    <row r="4462">
      <c r="B4462" s="39" t="n">
        <v>46099</v>
      </c>
      <c r="C4462" s="3" t="inlineStr">
        <is>
          <t>Expense</t>
        </is>
      </c>
      <c r="D4462" s="3" t="inlineStr">
        <is>
          <t>11296</t>
        </is>
      </c>
      <c r="E4462" s="3" t="inlineStr">
        <is>
          <t>Union Utilities</t>
        </is>
      </c>
      <c r="F4462" s="3" t="inlineStr">
        <is>
          <t>Telecom and Internet – March</t>
        </is>
      </c>
      <c r="G4462" s="3" t="inlineStr">
        <is>
          <t>Checking – Operating</t>
        </is>
      </c>
      <c r="H4462" s="3" t="inlineStr">
        <is>
          <t>Telecom and Internet</t>
        </is>
      </c>
      <c r="I4462" s="33" t="n">
        <v>2273.17</v>
      </c>
      <c r="J4462" s="13">
        <f>+J4461+I4462</f>
        <v>12553.17</v>
      </c>
      <c r="K4462" s="19">
        <f>+EOMONTH(B4462,0)</f>
        <v>46112</v>
      </c>
      <c r="L4462" s="3" t="inlineStr">
        <is>
          <t>Telecom and Internet</t>
        </is>
      </c>
      <c r="M4462" s="3" t="inlineStr">
        <is>
          <t>Information Technology Expense</t>
        </is>
      </c>
    </row>
    <row r="4463">
      <c r="B4463" s="39" t="n">
        <v>46110</v>
      </c>
      <c r="C4463" s="3" t="inlineStr">
        <is>
          <t>Credit Card Expense</t>
        </is>
      </c>
      <c r="D4463" s="3" t="inlineStr"/>
      <c r="E4463" s="3" t="inlineStr">
        <is>
          <t>Union Utilities</t>
        </is>
      </c>
      <c r="F4463" s="3" t="inlineStr">
        <is>
          <t>Telecom and Internet – March</t>
        </is>
      </c>
      <c r="G4463" s="3" t="inlineStr">
        <is>
          <t>Checking – Operating</t>
        </is>
      </c>
      <c r="H4463" s="3" t="inlineStr">
        <is>
          <t>Telecom and Internet</t>
        </is>
      </c>
      <c r="I4463" s="33" t="n">
        <v>2786.83</v>
      </c>
      <c r="J4463" s="13">
        <f>+J4462+I4463</f>
        <v>15340</v>
      </c>
      <c r="K4463" s="19">
        <f>+EOMONTH(B4463,0)</f>
        <v>46112</v>
      </c>
      <c r="L4463" s="3" t="inlineStr">
        <is>
          <t>Telecom and Internet</t>
        </is>
      </c>
      <c r="M4463" s="3" t="inlineStr">
        <is>
          <t>Information Technology Expense</t>
        </is>
      </c>
    </row>
    <row r="4464">
      <c r="B4464" s="39" t="n">
        <v>46115</v>
      </c>
      <c r="C4464" s="3" t="inlineStr">
        <is>
          <t>Expense</t>
        </is>
      </c>
      <c r="D4464" s="3" t="inlineStr">
        <is>
          <t>11297</t>
        </is>
      </c>
      <c r="E4464" s="3" t="inlineStr">
        <is>
          <t>Union Utilities</t>
        </is>
      </c>
      <c r="F4464" s="3" t="inlineStr">
        <is>
          <t>Telecom and Internet – April</t>
        </is>
      </c>
      <c r="G4464" s="3" t="inlineStr">
        <is>
          <t>Checking – Operating</t>
        </is>
      </c>
      <c r="H4464" s="3" t="inlineStr">
        <is>
          <t>Telecom and Internet</t>
        </is>
      </c>
      <c r="I4464" s="33" t="n">
        <v>1717.69</v>
      </c>
      <c r="J4464" s="13">
        <f>+J4463+I4464</f>
        <v>17057.69</v>
      </c>
      <c r="K4464" s="19">
        <f>+EOMONTH(B4464,0)</f>
        <v>46142</v>
      </c>
      <c r="L4464" s="3" t="inlineStr">
        <is>
          <t>Telecom and Internet</t>
        </is>
      </c>
      <c r="M4464" s="3" t="inlineStr">
        <is>
          <t>Information Technology Expense</t>
        </is>
      </c>
    </row>
    <row r="4465">
      <c r="B4465" s="39" t="n">
        <v>46121</v>
      </c>
      <c r="C4465" s="3" t="inlineStr">
        <is>
          <t>Expense</t>
        </is>
      </c>
      <c r="D4465" s="3" t="inlineStr">
        <is>
          <t>11298</t>
        </is>
      </c>
      <c r="E4465" s="3" t="inlineStr">
        <is>
          <t>Union Utilities</t>
        </is>
      </c>
      <c r="F4465" s="3" t="inlineStr">
        <is>
          <t>Telecom and Internet – April</t>
        </is>
      </c>
      <c r="G4465" s="3" t="inlineStr">
        <is>
          <t>Checking – Operating</t>
        </is>
      </c>
      <c r="H4465" s="3" t="inlineStr">
        <is>
          <t>Telecom and Internet</t>
        </is>
      </c>
      <c r="I4465" s="33" t="n">
        <v>3452.31</v>
      </c>
      <c r="J4465" s="13">
        <f>+J4464+I4465</f>
        <v>20510</v>
      </c>
      <c r="K4465" s="19">
        <f>+EOMONTH(B4465,0)</f>
        <v>46142</v>
      </c>
      <c r="L4465" s="3" t="inlineStr">
        <is>
          <t>Telecom and Internet</t>
        </is>
      </c>
      <c r="M4465" s="3" t="inlineStr">
        <is>
          <t>Information Technology Expense</t>
        </is>
      </c>
    </row>
    <row r="4466">
      <c r="B4466" s="39" t="n">
        <v>46148</v>
      </c>
      <c r="C4466" s="3" t="inlineStr">
        <is>
          <t>Journal Entry</t>
        </is>
      </c>
      <c r="D4466" s="3" t="inlineStr">
        <is>
          <t>JE-2791</t>
        </is>
      </c>
      <c r="E4466" s="3" t="inlineStr">
        <is>
          <t>Union Utilities</t>
        </is>
      </c>
      <c r="F4466" s="3" t="inlineStr">
        <is>
          <t>Telecom and Internet – May</t>
        </is>
      </c>
      <c r="G4466" s="3" t="inlineStr">
        <is>
          <t>Checking – Operating</t>
        </is>
      </c>
      <c r="H4466" s="3" t="inlineStr">
        <is>
          <t>Telecom and Internet</t>
        </is>
      </c>
      <c r="I4466" s="33" t="n">
        <v>2603.59</v>
      </c>
      <c r="J4466" s="13">
        <f>+J4465+I4466</f>
        <v>23113.59</v>
      </c>
      <c r="K4466" s="19">
        <f>+EOMONTH(B4466,0)</f>
        <v>46173</v>
      </c>
      <c r="L4466" s="3" t="inlineStr">
        <is>
          <t>Telecom and Internet</t>
        </is>
      </c>
      <c r="M4466" s="3" t="inlineStr">
        <is>
          <t>Information Technology Expense</t>
        </is>
      </c>
    </row>
    <row r="4467">
      <c r="B4467" s="39" t="n">
        <v>46155</v>
      </c>
      <c r="C4467" s="3" t="inlineStr">
        <is>
          <t>Journal Entry</t>
        </is>
      </c>
      <c r="D4467" s="3" t="inlineStr">
        <is>
          <t>JE-2790</t>
        </is>
      </c>
      <c r="E4467" s="3" t="inlineStr">
        <is>
          <t>Union Utilities</t>
        </is>
      </c>
      <c r="F4467" s="3" t="inlineStr">
        <is>
          <t>Telecom and Internet – May</t>
        </is>
      </c>
      <c r="G4467" s="3" t="inlineStr">
        <is>
          <t>Checking – Operating</t>
        </is>
      </c>
      <c r="H4467" s="3" t="inlineStr">
        <is>
          <t>Telecom and Internet</t>
        </is>
      </c>
      <c r="I4467" s="33" t="n">
        <v>2766.41</v>
      </c>
      <c r="J4467" s="13">
        <f>+J4466+I4467</f>
        <v>25880</v>
      </c>
      <c r="K4467" s="19">
        <f>+EOMONTH(B4467,0)</f>
        <v>46173</v>
      </c>
      <c r="L4467" s="3" t="inlineStr">
        <is>
          <t>Telecom and Internet</t>
        </is>
      </c>
      <c r="M4467" s="3" t="inlineStr">
        <is>
          <t>Information Technology Expense</t>
        </is>
      </c>
    </row>
    <row r="4468">
      <c r="B4468" s="39" t="n">
        <v>46184</v>
      </c>
      <c r="C4468" s="3" t="inlineStr">
        <is>
          <t>Expense</t>
        </is>
      </c>
      <c r="D4468" s="3" t="inlineStr">
        <is>
          <t>11299</t>
        </is>
      </c>
      <c r="E4468" s="3" t="inlineStr">
        <is>
          <t>Union Utilities</t>
        </is>
      </c>
      <c r="F4468" s="3" t="inlineStr">
        <is>
          <t>Telecom and Internet – June</t>
        </is>
      </c>
      <c r="G4468" s="3" t="inlineStr">
        <is>
          <t>Checking – Operating</t>
        </is>
      </c>
      <c r="H4468" s="3" t="inlineStr">
        <is>
          <t>Telecom and Internet</t>
        </is>
      </c>
      <c r="I4468" s="33" t="n">
        <v>3281.86</v>
      </c>
      <c r="J4468" s="13">
        <f>+J4467+I4468</f>
        <v>29161.86</v>
      </c>
      <c r="K4468" s="19">
        <f>+EOMONTH(B4468,0)</f>
        <v>46203</v>
      </c>
      <c r="L4468" s="3" t="inlineStr">
        <is>
          <t>Telecom and Internet</t>
        </is>
      </c>
      <c r="M4468" s="3" t="inlineStr">
        <is>
          <t>Information Technology Expense</t>
        </is>
      </c>
    </row>
    <row r="4469">
      <c r="B4469" s="39" t="n">
        <v>46192</v>
      </c>
      <c r="C4469" s="3" t="inlineStr">
        <is>
          <t>Journal Entry</t>
        </is>
      </c>
      <c r="D4469" s="3" t="inlineStr">
        <is>
          <t>JE-2792</t>
        </is>
      </c>
      <c r="E4469" s="3" t="inlineStr">
        <is>
          <t>Union Utilities</t>
        </is>
      </c>
      <c r="F4469" s="3" t="inlineStr">
        <is>
          <t>Telecom and Internet – June</t>
        </is>
      </c>
      <c r="G4469" s="3" t="inlineStr">
        <is>
          <t>Checking – Operating</t>
        </is>
      </c>
      <c r="H4469" s="3" t="inlineStr">
        <is>
          <t>Telecom and Internet</t>
        </is>
      </c>
      <c r="I4469" s="33" t="n">
        <v>2108.14</v>
      </c>
      <c r="J4469" s="13">
        <f>+J4468+I4469</f>
        <v>31270</v>
      </c>
      <c r="K4469" s="19">
        <f>+EOMONTH(B4469,0)</f>
        <v>46203</v>
      </c>
      <c r="L4469" s="3" t="inlineStr">
        <is>
          <t>Telecom and Internet</t>
        </is>
      </c>
      <c r="M4469" s="3" t="inlineStr">
        <is>
          <t>Information Technology Expense</t>
        </is>
      </c>
    </row>
    <row r="4470">
      <c r="B4470" s="39" t="n">
        <v>46221</v>
      </c>
      <c r="C4470" s="3" t="inlineStr">
        <is>
          <t>Expense</t>
        </is>
      </c>
      <c r="D4470" s="3" t="inlineStr">
        <is>
          <t>11300</t>
        </is>
      </c>
      <c r="E4470" s="3" t="inlineStr">
        <is>
          <t>Union Utilities</t>
        </is>
      </c>
      <c r="F4470" s="3" t="inlineStr">
        <is>
          <t>Telecom and Internet – July</t>
        </is>
      </c>
      <c r="G4470" s="3" t="inlineStr">
        <is>
          <t>Checking – Operating</t>
        </is>
      </c>
      <c r="H4470" s="3" t="inlineStr">
        <is>
          <t>Telecom and Internet</t>
        </is>
      </c>
      <c r="I4470" s="33" t="n">
        <v>3343.79</v>
      </c>
      <c r="J4470" s="13">
        <f>+J4469+I4470</f>
        <v>34613.79</v>
      </c>
      <c r="K4470" s="19">
        <f>+EOMONTH(B4470,0)</f>
        <v>46234</v>
      </c>
      <c r="L4470" s="3" t="inlineStr">
        <is>
          <t>Telecom and Internet</t>
        </is>
      </c>
      <c r="M4470" s="3" t="inlineStr">
        <is>
          <t>Information Technology Expense</t>
        </is>
      </c>
    </row>
    <row r="4471">
      <c r="B4471" s="39" t="n">
        <v>46227</v>
      </c>
      <c r="C4471" s="3" t="inlineStr">
        <is>
          <t>Journal Entry</t>
        </is>
      </c>
      <c r="D4471" s="3" t="inlineStr">
        <is>
          <t>JE-2793</t>
        </is>
      </c>
      <c r="E4471" s="3" t="inlineStr">
        <is>
          <t>Union Utilities</t>
        </is>
      </c>
      <c r="F4471" s="3" t="inlineStr">
        <is>
          <t>Telecom and Internet – July</t>
        </is>
      </c>
      <c r="G4471" s="3" t="inlineStr">
        <is>
          <t>Checking – Operating</t>
        </is>
      </c>
      <c r="H4471" s="3" t="inlineStr">
        <is>
          <t>Telecom and Internet</t>
        </is>
      </c>
      <c r="I4471" s="33" t="n">
        <v>1936.21</v>
      </c>
      <c r="J4471" s="13">
        <f>+J4470+I4471</f>
        <v>36550</v>
      </c>
      <c r="K4471" s="19">
        <f>+EOMONTH(B4471,0)</f>
        <v>46234</v>
      </c>
      <c r="L4471" s="3" t="inlineStr">
        <is>
          <t>Telecom and Internet</t>
        </is>
      </c>
      <c r="M4471" s="3" t="inlineStr">
        <is>
          <t>Information Technology Expense</t>
        </is>
      </c>
    </row>
    <row r="4472">
      <c r="B4472" s="39" t="n">
        <v>46243</v>
      </c>
      <c r="C4472" s="3" t="inlineStr">
        <is>
          <t>Expense</t>
        </is>
      </c>
      <c r="D4472" s="3" t="inlineStr">
        <is>
          <t>11301</t>
        </is>
      </c>
      <c r="E4472" s="3" t="inlineStr">
        <is>
          <t>Union Utilities</t>
        </is>
      </c>
      <c r="F4472" s="3" t="inlineStr">
        <is>
          <t>Telecom and Internet – August</t>
        </is>
      </c>
      <c r="G4472" s="3" t="inlineStr">
        <is>
          <t>Checking – Operating</t>
        </is>
      </c>
      <c r="H4472" s="3" t="inlineStr">
        <is>
          <t>Telecom and Internet</t>
        </is>
      </c>
      <c r="I4472" s="33" t="n">
        <v>2161.05</v>
      </c>
      <c r="J4472" s="13">
        <f>+J4471+I4472</f>
        <v>38711.05</v>
      </c>
      <c r="K4472" s="19">
        <f>+EOMONTH(B4472,0)</f>
        <v>46265</v>
      </c>
      <c r="L4472" s="3" t="inlineStr">
        <is>
          <t>Telecom and Internet</t>
        </is>
      </c>
      <c r="M4472" s="3" t="inlineStr">
        <is>
          <t>Information Technology Expense</t>
        </is>
      </c>
    </row>
    <row r="4473">
      <c r="B4473" s="39" t="n">
        <v>46248</v>
      </c>
      <c r="C4473" s="3" t="inlineStr">
        <is>
          <t>Journal Entry</t>
        </is>
      </c>
      <c r="D4473" s="3" t="inlineStr">
        <is>
          <t>JE-2794</t>
        </is>
      </c>
      <c r="E4473" s="3" t="inlineStr">
        <is>
          <t>Union Utilities</t>
        </is>
      </c>
      <c r="F4473" s="3" t="inlineStr">
        <is>
          <t>Telecom and Internet – August</t>
        </is>
      </c>
      <c r="G4473" s="3" t="inlineStr">
        <is>
          <t>Checking – Operating</t>
        </is>
      </c>
      <c r="H4473" s="3" t="inlineStr">
        <is>
          <t>Telecom and Internet</t>
        </is>
      </c>
      <c r="I4473" s="33" t="n">
        <v>3328.95</v>
      </c>
      <c r="J4473" s="13">
        <f>+J4472+I4473</f>
        <v>42040</v>
      </c>
      <c r="K4473" s="19">
        <f>+EOMONTH(B4473,0)</f>
        <v>46265</v>
      </c>
      <c r="L4473" s="3" t="inlineStr">
        <is>
          <t>Telecom and Internet</t>
        </is>
      </c>
      <c r="M4473" s="3" t="inlineStr">
        <is>
          <t>Information Technology Expense</t>
        </is>
      </c>
    </row>
    <row r="4474">
      <c r="B4474" s="39" t="n">
        <v>46283</v>
      </c>
      <c r="C4474" s="3" t="inlineStr">
        <is>
          <t>Expense</t>
        </is>
      </c>
      <c r="D4474" s="3" t="inlineStr">
        <is>
          <t>11302</t>
        </is>
      </c>
      <c r="E4474" s="3" t="inlineStr">
        <is>
          <t>Union Utilities</t>
        </is>
      </c>
      <c r="F4474" s="3" t="inlineStr">
        <is>
          <t>Telecom and Internet – September</t>
        </is>
      </c>
      <c r="G4474" s="3" t="inlineStr">
        <is>
          <t>Checking – Operating</t>
        </is>
      </c>
      <c r="H4474" s="3" t="inlineStr">
        <is>
          <t>Telecom and Internet</t>
        </is>
      </c>
      <c r="I4474" s="33" t="n">
        <v>5610.32</v>
      </c>
      <c r="J4474" s="13">
        <f>+J4473+I4474</f>
        <v>47650.32</v>
      </c>
      <c r="K4474" s="19">
        <f>+EOMONTH(B4474,0)</f>
        <v>46295</v>
      </c>
      <c r="L4474" s="3" t="inlineStr">
        <is>
          <t>Telecom and Internet</t>
        </is>
      </c>
      <c r="M4474" s="3" t="inlineStr">
        <is>
          <t>Information Technology Expense</t>
        </is>
      </c>
    </row>
    <row r="4475">
      <c r="B4475" s="39" t="n">
        <v>46314</v>
      </c>
      <c r="C4475" s="3" t="inlineStr">
        <is>
          <t>Expense</t>
        </is>
      </c>
      <c r="D4475" s="3" t="inlineStr">
        <is>
          <t>11304</t>
        </is>
      </c>
      <c r="E4475" s="3" t="inlineStr">
        <is>
          <t>Union Utilities</t>
        </is>
      </c>
      <c r="F4475" s="3" t="inlineStr">
        <is>
          <t>Telecom and Internet – October</t>
        </is>
      </c>
      <c r="G4475" s="3" t="inlineStr">
        <is>
          <t>Checking – Operating</t>
        </is>
      </c>
      <c r="H4475" s="3" t="inlineStr">
        <is>
          <t>Telecom and Internet</t>
        </is>
      </c>
      <c r="I4475" s="33" t="n">
        <v>3106.24</v>
      </c>
      <c r="J4475" s="13">
        <f>+J4474+I4475</f>
        <v>50756.56</v>
      </c>
      <c r="K4475" s="19">
        <f>+EOMONTH(B4475,0)</f>
        <v>46326</v>
      </c>
      <c r="L4475" s="3" t="inlineStr">
        <is>
          <t>Telecom and Internet</t>
        </is>
      </c>
      <c r="M4475" s="3" t="inlineStr">
        <is>
          <t>Information Technology Expense</t>
        </is>
      </c>
    </row>
    <row r="4476">
      <c r="B4476" s="39" t="n">
        <v>46318</v>
      </c>
      <c r="C4476" s="3" t="inlineStr">
        <is>
          <t>Expense</t>
        </is>
      </c>
      <c r="D4476" s="3" t="inlineStr">
        <is>
          <t>11303</t>
        </is>
      </c>
      <c r="E4476" s="3" t="inlineStr">
        <is>
          <t>Union Utilities</t>
        </is>
      </c>
      <c r="F4476" s="3" t="inlineStr">
        <is>
          <t>Telecom and Internet – October</t>
        </is>
      </c>
      <c r="G4476" s="3" t="inlineStr">
        <is>
          <t>Checking – Operating</t>
        </is>
      </c>
      <c r="H4476" s="3" t="inlineStr">
        <is>
          <t>Telecom and Internet</t>
        </is>
      </c>
      <c r="I4476" s="33" t="n">
        <v>2300.05</v>
      </c>
      <c r="J4476" s="13">
        <f>+J4475+I4476</f>
        <v>53056.61</v>
      </c>
      <c r="K4476" s="19">
        <f>+EOMONTH(B4476,0)</f>
        <v>46326</v>
      </c>
      <c r="L4476" s="3" t="inlineStr">
        <is>
          <t>Telecom and Internet</t>
        </is>
      </c>
      <c r="M4476" s="3" t="inlineStr">
        <is>
          <t>Information Technology Expense</t>
        </is>
      </c>
    </row>
    <row r="4477">
      <c r="B4477" s="39" t="n">
        <v>46333</v>
      </c>
      <c r="C4477" s="3" t="inlineStr">
        <is>
          <t>Journal Entry</t>
        </is>
      </c>
      <c r="D4477" s="3" t="inlineStr">
        <is>
          <t>JE-2795</t>
        </is>
      </c>
      <c r="E4477" s="3" t="inlineStr">
        <is>
          <t>Union Utilities</t>
        </is>
      </c>
      <c r="F4477" s="3" t="inlineStr">
        <is>
          <t>Telecom and Internet – November</t>
        </is>
      </c>
      <c r="G4477" s="3" t="inlineStr">
        <is>
          <t>Checking – Operating</t>
        </is>
      </c>
      <c r="H4477" s="3" t="inlineStr">
        <is>
          <t>Telecom and Internet</t>
        </is>
      </c>
      <c r="I4477" s="33" t="n">
        <v>2889.57</v>
      </c>
      <c r="J4477" s="13">
        <f>+J4476+I4477</f>
        <v>55946.18</v>
      </c>
      <c r="K4477" s="19">
        <f>+EOMONTH(B4477,0)</f>
        <v>46356</v>
      </c>
      <c r="L4477" s="3" t="inlineStr">
        <is>
          <t>Telecom and Internet</t>
        </is>
      </c>
      <c r="M4477" s="3" t="inlineStr">
        <is>
          <t>Information Technology Expense</t>
        </is>
      </c>
    </row>
    <row r="4478">
      <c r="B4478" s="39" t="n">
        <v>46347</v>
      </c>
      <c r="C4478" s="3" t="inlineStr">
        <is>
          <t>Expense</t>
        </is>
      </c>
      <c r="D4478" s="3" t="inlineStr">
        <is>
          <t>11305</t>
        </is>
      </c>
      <c r="E4478" s="3" t="inlineStr">
        <is>
          <t>Union Utilities</t>
        </is>
      </c>
      <c r="F4478" s="3" t="inlineStr">
        <is>
          <t>Telecom and Internet – November</t>
        </is>
      </c>
      <c r="G4478" s="3" t="inlineStr">
        <is>
          <t>Checking – Operating</t>
        </is>
      </c>
      <c r="H4478" s="3" t="inlineStr">
        <is>
          <t>Telecom and Internet</t>
        </is>
      </c>
      <c r="I4478" s="33" t="n">
        <v>2356.36</v>
      </c>
      <c r="J4478" s="13">
        <f>+J4477+I4478</f>
        <v>58302.54</v>
      </c>
      <c r="K4478" s="19">
        <f>+EOMONTH(B4478,0)</f>
        <v>46356</v>
      </c>
      <c r="L4478" s="3" t="inlineStr">
        <is>
          <t>Telecom and Internet</t>
        </is>
      </c>
      <c r="M4478" s="3" t="inlineStr">
        <is>
          <t>Information Technology Expense</t>
        </is>
      </c>
    </row>
    <row r="4479">
      <c r="A4479" s="2" t="inlineStr">
        <is>
          <t>Total for Telecom and Internet</t>
        </is>
      </c>
      <c r="I4479" s="35">
        <f>SUM(I4458:I4478)</f>
        <v>58302.54</v>
      </c>
    </row>
    <row r="4481">
      <c r="A4481" s="2" t="inlineStr">
        <is>
          <t>Fax Service</t>
        </is>
      </c>
    </row>
    <row r="4482">
      <c r="B4482" s="39" t="n">
        <v>46048</v>
      </c>
      <c r="C4482" s="3" t="inlineStr">
        <is>
          <t>Expense</t>
        </is>
      </c>
      <c r="D4482" s="3" t="inlineStr">
        <is>
          <t>11306</t>
        </is>
      </c>
      <c r="E4482" s="3" t="inlineStr">
        <is>
          <t>Union Utilities</t>
        </is>
      </c>
      <c r="F4482" s="3" t="inlineStr">
        <is>
          <t>Fax Service – January</t>
        </is>
      </c>
      <c r="G4482" s="3" t="inlineStr">
        <is>
          <t>Checking – Operating</t>
        </is>
      </c>
      <c r="H4482" s="3" t="inlineStr">
        <is>
          <t>Fax Service</t>
        </is>
      </c>
      <c r="I4482" s="33" t="n">
        <v>456.99</v>
      </c>
      <c r="J4482" s="13">
        <f>+I4482</f>
        <v>456.99</v>
      </c>
      <c r="K4482" s="19">
        <f>+EOMONTH(B4482,0)</f>
        <v>46053</v>
      </c>
      <c r="L4482" s="3" t="inlineStr">
        <is>
          <t>Fax Service</t>
        </is>
      </c>
      <c r="M4482" s="3" t="inlineStr">
        <is>
          <t>Information Technology Expense</t>
        </is>
      </c>
    </row>
    <row r="4483">
      <c r="B4483" s="39" t="n">
        <v>46053</v>
      </c>
      <c r="C4483" s="3" t="inlineStr">
        <is>
          <t>Expense</t>
        </is>
      </c>
      <c r="D4483" s="3" t="inlineStr">
        <is>
          <t>11307</t>
        </is>
      </c>
      <c r="E4483" s="3" t="inlineStr">
        <is>
          <t>Union Utilities</t>
        </is>
      </c>
      <c r="F4483" s="3" t="inlineStr">
        <is>
          <t>Fax Service – January</t>
        </is>
      </c>
      <c r="G4483" s="3" t="inlineStr">
        <is>
          <t>Checking – Operating</t>
        </is>
      </c>
      <c r="H4483" s="3" t="inlineStr">
        <is>
          <t>Fax Service</t>
        </is>
      </c>
      <c r="I4483" s="33" t="n">
        <v>1013.01</v>
      </c>
      <c r="J4483" s="13">
        <f>+J4482+I4483</f>
        <v>1470</v>
      </c>
      <c r="K4483" s="19">
        <f>+EOMONTH(B4483,0)</f>
        <v>46053</v>
      </c>
      <c r="L4483" s="3" t="inlineStr">
        <is>
          <t>Fax Service</t>
        </is>
      </c>
      <c r="M4483" s="3" t="inlineStr">
        <is>
          <t>Information Technology Expense</t>
        </is>
      </c>
    </row>
    <row r="4484">
      <c r="B4484" s="39" t="n">
        <v>46061</v>
      </c>
      <c r="C4484" s="3" t="inlineStr">
        <is>
          <t>Expense</t>
        </is>
      </c>
      <c r="D4484" s="3" t="inlineStr">
        <is>
          <t>11308</t>
        </is>
      </c>
      <c r="E4484" s="3" t="inlineStr">
        <is>
          <t>Union Utilities</t>
        </is>
      </c>
      <c r="F4484" s="3" t="inlineStr">
        <is>
          <t>Fax Service – February</t>
        </is>
      </c>
      <c r="G4484" s="3" t="inlineStr">
        <is>
          <t>Checking – Operating</t>
        </is>
      </c>
      <c r="H4484" s="3" t="inlineStr">
        <is>
          <t>Fax Service</t>
        </is>
      </c>
      <c r="I4484" s="33" t="n">
        <v>658.48</v>
      </c>
      <c r="J4484" s="13">
        <f>+J4483+I4484</f>
        <v>2128.48</v>
      </c>
      <c r="K4484" s="19">
        <f>+EOMONTH(B4484,0)</f>
        <v>46081</v>
      </c>
      <c r="L4484" s="3" t="inlineStr">
        <is>
          <t>Fax Service</t>
        </is>
      </c>
      <c r="M4484" s="3" t="inlineStr">
        <is>
          <t>Information Technology Expense</t>
        </is>
      </c>
    </row>
    <row r="4485">
      <c r="B4485" s="39" t="n">
        <v>46070</v>
      </c>
      <c r="C4485" s="3" t="inlineStr">
        <is>
          <t>Expense</t>
        </is>
      </c>
      <c r="D4485" s="3" t="inlineStr">
        <is>
          <t>11309</t>
        </is>
      </c>
      <c r="E4485" s="3" t="inlineStr">
        <is>
          <t>Union Utilities</t>
        </is>
      </c>
      <c r="F4485" s="3" t="inlineStr">
        <is>
          <t>Fax Service – February</t>
        </is>
      </c>
      <c r="G4485" s="3" t="inlineStr">
        <is>
          <t>Checking – Operating</t>
        </is>
      </c>
      <c r="H4485" s="3" t="inlineStr">
        <is>
          <t>Fax Service</t>
        </is>
      </c>
      <c r="I4485" s="33" t="n">
        <v>781.52</v>
      </c>
      <c r="J4485" s="13">
        <f>+J4484+I4485</f>
        <v>2910</v>
      </c>
      <c r="K4485" s="19">
        <f>+EOMONTH(B4485,0)</f>
        <v>46081</v>
      </c>
      <c r="L4485" s="3" t="inlineStr">
        <is>
          <t>Fax Service</t>
        </is>
      </c>
      <c r="M4485" s="3" t="inlineStr">
        <is>
          <t>Information Technology Expense</t>
        </is>
      </c>
    </row>
    <row r="4486">
      <c r="B4486" s="39" t="n">
        <v>46093</v>
      </c>
      <c r="C4486" s="3" t="inlineStr">
        <is>
          <t>Credit Card Expense</t>
        </is>
      </c>
      <c r="D4486" s="3" t="inlineStr"/>
      <c r="E4486" s="3" t="inlineStr">
        <is>
          <t>Union Utilities</t>
        </is>
      </c>
      <c r="F4486" s="3" t="inlineStr">
        <is>
          <t>Fax Service – March</t>
        </is>
      </c>
      <c r="G4486" s="3" t="inlineStr">
        <is>
          <t>Checking – Operating</t>
        </is>
      </c>
      <c r="H4486" s="3" t="inlineStr">
        <is>
          <t>Fax Service</t>
        </is>
      </c>
      <c r="I4486" s="33" t="n">
        <v>568.42</v>
      </c>
      <c r="J4486" s="13">
        <f>+J4485+I4486</f>
        <v>3478.42</v>
      </c>
      <c r="K4486" s="19">
        <f>+EOMONTH(B4486,0)</f>
        <v>46112</v>
      </c>
      <c r="L4486" s="3" t="inlineStr">
        <is>
          <t>Fax Service</t>
        </is>
      </c>
      <c r="M4486" s="3" t="inlineStr">
        <is>
          <t>Information Technology Expense</t>
        </is>
      </c>
    </row>
    <row r="4487">
      <c r="B4487" s="39" t="n">
        <v>46111</v>
      </c>
      <c r="C4487" s="3" t="inlineStr">
        <is>
          <t>Credit Card Expense</t>
        </is>
      </c>
      <c r="D4487" s="3" t="inlineStr"/>
      <c r="E4487" s="3" t="inlineStr">
        <is>
          <t>Union Utilities</t>
        </is>
      </c>
      <c r="F4487" s="3" t="inlineStr">
        <is>
          <t>Fax Service – March</t>
        </is>
      </c>
      <c r="G4487" s="3" t="inlineStr">
        <is>
          <t>Checking – Operating</t>
        </is>
      </c>
      <c r="H4487" s="3" t="inlineStr">
        <is>
          <t>Fax Service</t>
        </is>
      </c>
      <c r="I4487" s="33" t="n">
        <v>781.58</v>
      </c>
      <c r="J4487" s="13">
        <f>+J4486+I4487</f>
        <v>4260</v>
      </c>
      <c r="K4487" s="19">
        <f>+EOMONTH(B4487,0)</f>
        <v>46112</v>
      </c>
      <c r="L4487" s="3" t="inlineStr">
        <is>
          <t>Fax Service</t>
        </is>
      </c>
      <c r="M4487" s="3" t="inlineStr">
        <is>
          <t>Information Technology Expense</t>
        </is>
      </c>
    </row>
    <row r="4488">
      <c r="B4488" s="39" t="n">
        <v>46141</v>
      </c>
      <c r="C4488" s="3" t="inlineStr">
        <is>
          <t>Expense</t>
        </is>
      </c>
      <c r="D4488" s="3" t="inlineStr">
        <is>
          <t>11311</t>
        </is>
      </c>
      <c r="E4488" s="3" t="inlineStr">
        <is>
          <t>Union Utilities</t>
        </is>
      </c>
      <c r="F4488" s="3" t="inlineStr">
        <is>
          <t>Fax Service – April</t>
        </is>
      </c>
      <c r="G4488" s="3" t="inlineStr">
        <is>
          <t>Checking – Operating</t>
        </is>
      </c>
      <c r="H4488" s="3" t="inlineStr">
        <is>
          <t>Fax Service</t>
        </is>
      </c>
      <c r="I4488" s="33" t="n">
        <v>730.97</v>
      </c>
      <c r="J4488" s="13">
        <f>+J4487+I4488</f>
        <v>4990.97</v>
      </c>
      <c r="K4488" s="19">
        <f>+EOMONTH(B4488,0)</f>
        <v>46142</v>
      </c>
      <c r="L4488" s="3" t="inlineStr">
        <is>
          <t>Fax Service</t>
        </is>
      </c>
      <c r="M4488" s="3" t="inlineStr">
        <is>
          <t>Information Technology Expense</t>
        </is>
      </c>
    </row>
    <row r="4489">
      <c r="B4489" s="39" t="n">
        <v>46142</v>
      </c>
      <c r="C4489" s="3" t="inlineStr">
        <is>
          <t>Expense</t>
        </is>
      </c>
      <c r="D4489" s="3" t="inlineStr">
        <is>
          <t>11310</t>
        </is>
      </c>
      <c r="E4489" s="3" t="inlineStr">
        <is>
          <t>Union Utilities</t>
        </is>
      </c>
      <c r="F4489" s="3" t="inlineStr">
        <is>
          <t>Fax Service – April</t>
        </is>
      </c>
      <c r="G4489" s="3" t="inlineStr">
        <is>
          <t>Checking – Operating</t>
        </is>
      </c>
      <c r="H4489" s="3" t="inlineStr">
        <is>
          <t>Fax Service</t>
        </is>
      </c>
      <c r="I4489" s="33" t="n">
        <v>649.03</v>
      </c>
      <c r="J4489" s="13">
        <f>+J4488+I4489</f>
        <v>5640</v>
      </c>
      <c r="K4489" s="19">
        <f>+EOMONTH(B4489,0)</f>
        <v>46142</v>
      </c>
      <c r="L4489" s="3" t="inlineStr">
        <is>
          <t>Fax Service</t>
        </is>
      </c>
      <c r="M4489" s="3" t="inlineStr">
        <is>
          <t>Information Technology Expense</t>
        </is>
      </c>
    </row>
    <row r="4490">
      <c r="B4490" s="39" t="n">
        <v>46152</v>
      </c>
      <c r="C4490" s="3" t="inlineStr">
        <is>
          <t>Credit Card Expense</t>
        </is>
      </c>
      <c r="D4490" s="3" t="inlineStr"/>
      <c r="E4490" s="3" t="inlineStr">
        <is>
          <t>Union Utilities</t>
        </is>
      </c>
      <c r="F4490" s="3" t="inlineStr">
        <is>
          <t>Fax Service – May</t>
        </is>
      </c>
      <c r="G4490" s="3" t="inlineStr">
        <is>
          <t>Checking – Operating</t>
        </is>
      </c>
      <c r="H4490" s="3" t="inlineStr">
        <is>
          <t>Fax Service</t>
        </is>
      </c>
      <c r="I4490" s="33" t="n">
        <v>790.99</v>
      </c>
      <c r="J4490" s="13">
        <f>+J4489+I4490</f>
        <v>6430.99</v>
      </c>
      <c r="K4490" s="19">
        <f>+EOMONTH(B4490,0)</f>
        <v>46173</v>
      </c>
      <c r="L4490" s="3" t="inlineStr">
        <is>
          <t>Fax Service</t>
        </is>
      </c>
      <c r="M4490" s="3" t="inlineStr">
        <is>
          <t>Information Technology Expense</t>
        </is>
      </c>
    </row>
    <row r="4491">
      <c r="B4491" s="39" t="n">
        <v>46163</v>
      </c>
      <c r="C4491" s="3" t="inlineStr">
        <is>
          <t>Credit Card Expense</t>
        </is>
      </c>
      <c r="D4491" s="3" t="inlineStr"/>
      <c r="E4491" s="3" t="inlineStr">
        <is>
          <t>Union Utilities</t>
        </is>
      </c>
      <c r="F4491" s="3" t="inlineStr">
        <is>
          <t>Fax Service – May</t>
        </is>
      </c>
      <c r="G4491" s="3" t="inlineStr">
        <is>
          <t>Checking – Operating</t>
        </is>
      </c>
      <c r="H4491" s="3" t="inlineStr">
        <is>
          <t>Fax Service</t>
        </is>
      </c>
      <c r="I4491" s="33" t="n">
        <v>709.01</v>
      </c>
      <c r="J4491" s="13">
        <f>+J4490+I4491</f>
        <v>7140</v>
      </c>
      <c r="K4491" s="19">
        <f>+EOMONTH(B4491,0)</f>
        <v>46173</v>
      </c>
      <c r="L4491" s="3" t="inlineStr">
        <is>
          <t>Fax Service</t>
        </is>
      </c>
      <c r="M4491" s="3" t="inlineStr">
        <is>
          <t>Information Technology Expense</t>
        </is>
      </c>
    </row>
    <row r="4492">
      <c r="B4492" s="39" t="n">
        <v>46175</v>
      </c>
      <c r="C4492" s="3" t="inlineStr">
        <is>
          <t>Expense</t>
        </is>
      </c>
      <c r="D4492" s="3" t="inlineStr">
        <is>
          <t>11312</t>
        </is>
      </c>
      <c r="E4492" s="3" t="inlineStr">
        <is>
          <t>Union Utilities</t>
        </is>
      </c>
      <c r="F4492" s="3" t="inlineStr">
        <is>
          <t>Fax Service – June</t>
        </is>
      </c>
      <c r="G4492" s="3" t="inlineStr">
        <is>
          <t>Checking – Operating</t>
        </is>
      </c>
      <c r="H4492" s="3" t="inlineStr">
        <is>
          <t>Fax Service</t>
        </is>
      </c>
      <c r="I4492" s="33" t="n">
        <v>805.61</v>
      </c>
      <c r="J4492" s="13">
        <f>+J4491+I4492</f>
        <v>7945.61</v>
      </c>
      <c r="K4492" s="19">
        <f>+EOMONTH(B4492,0)</f>
        <v>46203</v>
      </c>
      <c r="L4492" s="3" t="inlineStr">
        <is>
          <t>Fax Service</t>
        </is>
      </c>
      <c r="M4492" s="3" t="inlineStr">
        <is>
          <t>Information Technology Expense</t>
        </is>
      </c>
    </row>
    <row r="4493">
      <c r="B4493" s="39" t="n">
        <v>46191</v>
      </c>
      <c r="C4493" s="3" t="inlineStr">
        <is>
          <t>Expense</t>
        </is>
      </c>
      <c r="D4493" s="3" t="inlineStr">
        <is>
          <t>11313</t>
        </is>
      </c>
      <c r="E4493" s="3" t="inlineStr">
        <is>
          <t>Union Utilities</t>
        </is>
      </c>
      <c r="F4493" s="3" t="inlineStr">
        <is>
          <t>Fax Service – June</t>
        </is>
      </c>
      <c r="G4493" s="3" t="inlineStr">
        <is>
          <t>Checking – Operating</t>
        </is>
      </c>
      <c r="H4493" s="3" t="inlineStr">
        <is>
          <t>Fax Service</t>
        </is>
      </c>
      <c r="I4493" s="33" t="n">
        <v>724.39</v>
      </c>
      <c r="J4493" s="13">
        <f>+J4492+I4493</f>
        <v>8670</v>
      </c>
      <c r="K4493" s="19">
        <f>+EOMONTH(B4493,0)</f>
        <v>46203</v>
      </c>
      <c r="L4493" s="3" t="inlineStr">
        <is>
          <t>Fax Service</t>
        </is>
      </c>
      <c r="M4493" s="3" t="inlineStr">
        <is>
          <t>Information Technology Expense</t>
        </is>
      </c>
    </row>
    <row r="4494">
      <c r="B4494" s="39" t="n">
        <v>46210</v>
      </c>
      <c r="C4494" s="3" t="inlineStr">
        <is>
          <t>Journal Entry</t>
        </is>
      </c>
      <c r="D4494" s="3" t="inlineStr">
        <is>
          <t>JE-2796</t>
        </is>
      </c>
      <c r="E4494" s="3" t="inlineStr">
        <is>
          <t>Union Utilities</t>
        </is>
      </c>
      <c r="F4494" s="3" t="inlineStr">
        <is>
          <t>Fax Service – July</t>
        </is>
      </c>
      <c r="G4494" s="3" t="inlineStr">
        <is>
          <t>Checking – Operating</t>
        </is>
      </c>
      <c r="H4494" s="3" t="inlineStr">
        <is>
          <t>Fax Service</t>
        </is>
      </c>
      <c r="I4494" s="33" t="n">
        <v>551.25</v>
      </c>
      <c r="J4494" s="13">
        <f>+J4493+I4494</f>
        <v>9221.25</v>
      </c>
      <c r="K4494" s="19">
        <f>+EOMONTH(B4494,0)</f>
        <v>46234</v>
      </c>
      <c r="L4494" s="3" t="inlineStr">
        <is>
          <t>Fax Service</t>
        </is>
      </c>
      <c r="M4494" s="3" t="inlineStr">
        <is>
          <t>Information Technology Expense</t>
        </is>
      </c>
    </row>
    <row r="4495">
      <c r="B4495" s="39" t="n">
        <v>46211</v>
      </c>
      <c r="C4495" s="3" t="inlineStr">
        <is>
          <t>Credit Card Expense</t>
        </is>
      </c>
      <c r="D4495" s="3" t="inlineStr"/>
      <c r="E4495" s="3" t="inlineStr">
        <is>
          <t>Union Utilities</t>
        </is>
      </c>
      <c r="F4495" s="3" t="inlineStr">
        <is>
          <t>Fax Service – July</t>
        </is>
      </c>
      <c r="G4495" s="3" t="inlineStr">
        <is>
          <t>Checking – Operating</t>
        </is>
      </c>
      <c r="H4495" s="3" t="inlineStr">
        <is>
          <t>Fax Service</t>
        </is>
      </c>
      <c r="I4495" s="33" t="n">
        <v>918.75</v>
      </c>
      <c r="J4495" s="13">
        <f>+J4494+I4495</f>
        <v>10140</v>
      </c>
      <c r="K4495" s="19">
        <f>+EOMONTH(B4495,0)</f>
        <v>46234</v>
      </c>
      <c r="L4495" s="3" t="inlineStr">
        <is>
          <t>Fax Service</t>
        </is>
      </c>
      <c r="M4495" s="3" t="inlineStr">
        <is>
          <t>Information Technology Expense</t>
        </is>
      </c>
    </row>
    <row r="4496">
      <c r="B4496" s="39" t="n">
        <v>46240</v>
      </c>
      <c r="C4496" s="3" t="inlineStr">
        <is>
          <t>Expense</t>
        </is>
      </c>
      <c r="D4496" s="3" t="inlineStr">
        <is>
          <t>11314</t>
        </is>
      </c>
      <c r="E4496" s="3" t="inlineStr">
        <is>
          <t>Union Utilities</t>
        </is>
      </c>
      <c r="F4496" s="3" t="inlineStr">
        <is>
          <t>Fax Service – August</t>
        </is>
      </c>
      <c r="G4496" s="3" t="inlineStr">
        <is>
          <t>Checking – Operating</t>
        </is>
      </c>
      <c r="H4496" s="3" t="inlineStr">
        <is>
          <t>Fax Service</t>
        </is>
      </c>
      <c r="I4496" s="33" t="n">
        <v>995.1</v>
      </c>
      <c r="J4496" s="13">
        <f>+J4495+I4496</f>
        <v>11135.1</v>
      </c>
      <c r="K4496" s="19">
        <f>+EOMONTH(B4496,0)</f>
        <v>46265</v>
      </c>
      <c r="L4496" s="3" t="inlineStr">
        <is>
          <t>Fax Service</t>
        </is>
      </c>
      <c r="M4496" s="3" t="inlineStr">
        <is>
          <t>Information Technology Expense</t>
        </is>
      </c>
    </row>
    <row r="4497">
      <c r="B4497" s="39" t="n">
        <v>46265</v>
      </c>
      <c r="C4497" s="3" t="inlineStr">
        <is>
          <t>Expense</t>
        </is>
      </c>
      <c r="D4497" s="3" t="inlineStr">
        <is>
          <t>11315</t>
        </is>
      </c>
      <c r="E4497" s="3" t="inlineStr">
        <is>
          <t>Union Utilities</t>
        </is>
      </c>
      <c r="F4497" s="3" t="inlineStr">
        <is>
          <t>Fax Service – August</t>
        </is>
      </c>
      <c r="G4497" s="3" t="inlineStr">
        <is>
          <t>Checking – Operating</t>
        </is>
      </c>
      <c r="H4497" s="3" t="inlineStr">
        <is>
          <t>Fax Service</t>
        </is>
      </c>
      <c r="I4497" s="33" t="n">
        <v>534.9</v>
      </c>
      <c r="J4497" s="13">
        <f>+J4496+I4497</f>
        <v>11670</v>
      </c>
      <c r="K4497" s="19">
        <f>+EOMONTH(B4497,0)</f>
        <v>46265</v>
      </c>
      <c r="L4497" s="3" t="inlineStr">
        <is>
          <t>Fax Service</t>
        </is>
      </c>
      <c r="M4497" s="3" t="inlineStr">
        <is>
          <t>Information Technology Expense</t>
        </is>
      </c>
    </row>
    <row r="4498">
      <c r="B4498" s="39" t="n">
        <v>46268</v>
      </c>
      <c r="C4498" s="3" t="inlineStr">
        <is>
          <t>Credit Card Expense</t>
        </is>
      </c>
      <c r="D4498" s="3" t="inlineStr"/>
      <c r="E4498" s="3" t="inlineStr">
        <is>
          <t>Union Utilities</t>
        </is>
      </c>
      <c r="F4498" s="3" t="inlineStr">
        <is>
          <t>Fax Service – September</t>
        </is>
      </c>
      <c r="G4498" s="3" t="inlineStr">
        <is>
          <t>Checking – Operating</t>
        </is>
      </c>
      <c r="H4498" s="3" t="inlineStr">
        <is>
          <t>Fax Service</t>
        </is>
      </c>
      <c r="I4498" s="33" t="n">
        <v>1578.01</v>
      </c>
      <c r="J4498" s="13">
        <f>+J4497+I4498</f>
        <v>13248.01</v>
      </c>
      <c r="K4498" s="19">
        <f>+EOMONTH(B4498,0)</f>
        <v>46295</v>
      </c>
      <c r="L4498" s="3" t="inlineStr">
        <is>
          <t>Fax Service</t>
        </is>
      </c>
      <c r="M4498" s="3" t="inlineStr">
        <is>
          <t>Information Technology Expense</t>
        </is>
      </c>
    </row>
    <row r="4499">
      <c r="B4499" s="39" t="n">
        <v>46324</v>
      </c>
      <c r="C4499" s="3" t="inlineStr">
        <is>
          <t>Journal Entry</t>
        </is>
      </c>
      <c r="D4499" s="3" t="inlineStr">
        <is>
          <t>JE-2797</t>
        </is>
      </c>
      <c r="E4499" s="3" t="inlineStr">
        <is>
          <t>Union Utilities</t>
        </is>
      </c>
      <c r="F4499" s="3" t="inlineStr">
        <is>
          <t>Fax Service – October</t>
        </is>
      </c>
      <c r="G4499" s="3" t="inlineStr">
        <is>
          <t>Checking – Operating</t>
        </is>
      </c>
      <c r="H4499" s="3" t="inlineStr">
        <is>
          <t>Fax Service</t>
        </is>
      </c>
      <c r="I4499" s="33" t="n">
        <v>1560.43</v>
      </c>
      <c r="J4499" s="13">
        <f>+J4498+I4499</f>
        <v>14808.44</v>
      </c>
      <c r="K4499" s="19">
        <f>+EOMONTH(B4499,0)</f>
        <v>46326</v>
      </c>
      <c r="L4499" s="3" t="inlineStr">
        <is>
          <t>Fax Service</t>
        </is>
      </c>
      <c r="M4499" s="3" t="inlineStr">
        <is>
          <t>Information Technology Expense</t>
        </is>
      </c>
    </row>
    <row r="4500">
      <c r="B4500" s="39" t="n">
        <v>46341</v>
      </c>
      <c r="C4500" s="3" t="inlineStr">
        <is>
          <t>Expense</t>
        </is>
      </c>
      <c r="D4500" s="3" t="inlineStr">
        <is>
          <t>11316</t>
        </is>
      </c>
      <c r="E4500" s="3" t="inlineStr">
        <is>
          <t>Union Utilities</t>
        </is>
      </c>
      <c r="F4500" s="3" t="inlineStr">
        <is>
          <t>Fax Service – November</t>
        </is>
      </c>
      <c r="G4500" s="3" t="inlineStr">
        <is>
          <t>Checking – Operating</t>
        </is>
      </c>
      <c r="H4500" s="3" t="inlineStr">
        <is>
          <t>Fax Service</t>
        </is>
      </c>
      <c r="I4500" s="33" t="n">
        <v>1484.13</v>
      </c>
      <c r="J4500" s="13">
        <f>+J4499+I4500</f>
        <v>16292.57</v>
      </c>
      <c r="K4500" s="19">
        <f>+EOMONTH(B4500,0)</f>
        <v>46356</v>
      </c>
      <c r="L4500" s="3" t="inlineStr">
        <is>
          <t>Fax Service</t>
        </is>
      </c>
      <c r="M4500" s="3" t="inlineStr">
        <is>
          <t>Information Technology Expense</t>
        </is>
      </c>
    </row>
    <row r="4501">
      <c r="A4501" s="2" t="inlineStr">
        <is>
          <t>Total for Fax Service</t>
        </is>
      </c>
      <c r="I4501" s="35">
        <f>SUM(I4482:I4500)</f>
        <v>16292.57</v>
      </c>
    </row>
    <row r="4503">
      <c r="A4503" s="2" t="inlineStr">
        <is>
          <t>Travel Expense</t>
        </is>
      </c>
    </row>
    <row r="4504">
      <c r="B4504" s="39" t="n">
        <v>46024</v>
      </c>
      <c r="C4504" s="3" t="inlineStr">
        <is>
          <t>Journal Entry</t>
        </is>
      </c>
      <c r="D4504" s="3" t="inlineStr">
        <is>
          <t>JE-2798</t>
        </is>
      </c>
      <c r="E4504" s="3" t="inlineStr"/>
      <c r="F4504" s="3" t="inlineStr">
        <is>
          <t>Travel Expense – January</t>
        </is>
      </c>
      <c r="G4504" s="3" t="inlineStr">
        <is>
          <t>Checking – Operating</t>
        </is>
      </c>
      <c r="H4504" s="3" t="inlineStr">
        <is>
          <t>Travel Expense</t>
        </is>
      </c>
      <c r="I4504" s="33" t="n">
        <v>1335.58</v>
      </c>
      <c r="J4504" s="13">
        <f>+I4504</f>
        <v>1335.58</v>
      </c>
      <c r="K4504" s="19">
        <f>+EOMONTH(B4504,0)</f>
        <v>46053</v>
      </c>
      <c r="L4504" s="3" t="inlineStr">
        <is>
          <t>Travel Expense</t>
        </is>
      </c>
      <c r="M4504" s="3" t="inlineStr">
        <is>
          <t>Travel, Meals &amp; Entertainment</t>
        </is>
      </c>
    </row>
    <row r="4505">
      <c r="B4505" s="39" t="n">
        <v>46049</v>
      </c>
      <c r="C4505" s="3" t="inlineStr">
        <is>
          <t>Credit Card Expense</t>
        </is>
      </c>
      <c r="D4505" s="3" t="inlineStr"/>
      <c r="E4505" s="3" t="inlineStr"/>
      <c r="F4505" s="3" t="inlineStr">
        <is>
          <t>Travel Expense – January</t>
        </is>
      </c>
      <c r="G4505" s="3" t="inlineStr">
        <is>
          <t>Checking – Operating</t>
        </is>
      </c>
      <c r="H4505" s="3" t="inlineStr">
        <is>
          <t>Travel Expense</t>
        </is>
      </c>
      <c r="I4505" s="33" t="n">
        <v>944.42</v>
      </c>
      <c r="J4505" s="13">
        <f>+J4504+I4505</f>
        <v>2280</v>
      </c>
      <c r="K4505" s="19">
        <f>+EOMONTH(B4505,0)</f>
        <v>46053</v>
      </c>
      <c r="L4505" s="3" t="inlineStr">
        <is>
          <t>Travel Expense</t>
        </is>
      </c>
      <c r="M4505" s="3" t="inlineStr">
        <is>
          <t>Travel, Meals &amp; Entertainment</t>
        </is>
      </c>
    </row>
    <row r="4506">
      <c r="B4506" s="39" t="n">
        <v>46064</v>
      </c>
      <c r="C4506" s="3" t="inlineStr">
        <is>
          <t>Journal Entry</t>
        </is>
      </c>
      <c r="D4506" s="3" t="inlineStr">
        <is>
          <t>JE-2800</t>
        </is>
      </c>
      <c r="E4506" s="3" t="inlineStr"/>
      <c r="F4506" s="3" t="inlineStr">
        <is>
          <t>Travel Expense – February</t>
        </is>
      </c>
      <c r="G4506" s="3" t="inlineStr">
        <is>
          <t>Checking – Operating</t>
        </is>
      </c>
      <c r="H4506" s="3" t="inlineStr">
        <is>
          <t>Travel Expense</t>
        </is>
      </c>
      <c r="I4506" s="33" t="n">
        <v>924.92</v>
      </c>
      <c r="J4506" s="13">
        <f>+J4505+I4506</f>
        <v>3204.92</v>
      </c>
      <c r="K4506" s="19">
        <f>+EOMONTH(B4506,0)</f>
        <v>46081</v>
      </c>
      <c r="L4506" s="3" t="inlineStr">
        <is>
          <t>Travel Expense</t>
        </is>
      </c>
      <c r="M4506" s="3" t="inlineStr">
        <is>
          <t>Travel, Meals &amp; Entertainment</t>
        </is>
      </c>
    </row>
    <row r="4507">
      <c r="B4507" s="39" t="n">
        <v>46081</v>
      </c>
      <c r="C4507" s="3" t="inlineStr">
        <is>
          <t>Journal Entry</t>
        </is>
      </c>
      <c r="D4507" s="3" t="inlineStr">
        <is>
          <t>JE-2799</t>
        </is>
      </c>
      <c r="E4507" s="3" t="inlineStr"/>
      <c r="F4507" s="3" t="inlineStr">
        <is>
          <t>Travel Expense – February</t>
        </is>
      </c>
      <c r="G4507" s="3" t="inlineStr">
        <is>
          <t>Checking – Operating</t>
        </is>
      </c>
      <c r="H4507" s="3" t="inlineStr">
        <is>
          <t>Travel Expense</t>
        </is>
      </c>
      <c r="I4507" s="33" t="n">
        <v>1235.08</v>
      </c>
      <c r="J4507" s="13">
        <f>+J4506+I4507</f>
        <v>4440</v>
      </c>
      <c r="K4507" s="19">
        <f>+EOMONTH(B4507,0)</f>
        <v>46081</v>
      </c>
      <c r="L4507" s="3" t="inlineStr">
        <is>
          <t>Travel Expense</t>
        </is>
      </c>
      <c r="M4507" s="3" t="inlineStr">
        <is>
          <t>Travel, Meals &amp; Entertainment</t>
        </is>
      </c>
    </row>
    <row r="4508">
      <c r="B4508" s="39" t="n">
        <v>46082</v>
      </c>
      <c r="C4508" s="3" t="inlineStr">
        <is>
          <t>Expense</t>
        </is>
      </c>
      <c r="D4508" s="3" t="inlineStr">
        <is>
          <t>11317</t>
        </is>
      </c>
      <c r="E4508" s="3" t="inlineStr"/>
      <c r="F4508" s="3" t="inlineStr">
        <is>
          <t>Travel Expense – March</t>
        </is>
      </c>
      <c r="G4508" s="3" t="inlineStr">
        <is>
          <t>Checking – Operating</t>
        </is>
      </c>
      <c r="H4508" s="3" t="inlineStr">
        <is>
          <t>Travel Expense</t>
        </is>
      </c>
      <c r="I4508" s="33" t="n">
        <v>806.42</v>
      </c>
      <c r="J4508" s="13">
        <f>+J4507+I4508</f>
        <v>5246.42</v>
      </c>
      <c r="K4508" s="19">
        <f>+EOMONTH(B4508,0)</f>
        <v>46112</v>
      </c>
      <c r="L4508" s="3" t="inlineStr">
        <is>
          <t>Travel Expense</t>
        </is>
      </c>
      <c r="M4508" s="3" t="inlineStr">
        <is>
          <t>Travel, Meals &amp; Entertainment</t>
        </is>
      </c>
    </row>
    <row r="4509">
      <c r="B4509" s="39" t="n">
        <v>46089</v>
      </c>
      <c r="C4509" s="3" t="inlineStr">
        <is>
          <t>Expense</t>
        </is>
      </c>
      <c r="D4509" s="3" t="inlineStr">
        <is>
          <t>11318</t>
        </is>
      </c>
      <c r="E4509" s="3" t="inlineStr"/>
      <c r="F4509" s="3" t="inlineStr">
        <is>
          <t>Travel Expense – March</t>
        </is>
      </c>
      <c r="G4509" s="3" t="inlineStr">
        <is>
          <t>Checking – Operating</t>
        </is>
      </c>
      <c r="H4509" s="3" t="inlineStr">
        <is>
          <t>Travel Expense</t>
        </is>
      </c>
      <c r="I4509" s="33" t="n">
        <v>1413.58</v>
      </c>
      <c r="J4509" s="13">
        <f>+J4508+I4509</f>
        <v>6660</v>
      </c>
      <c r="K4509" s="19">
        <f>+EOMONTH(B4509,0)</f>
        <v>46112</v>
      </c>
      <c r="L4509" s="3" t="inlineStr">
        <is>
          <t>Travel Expense</t>
        </is>
      </c>
      <c r="M4509" s="3" t="inlineStr">
        <is>
          <t>Travel, Meals &amp; Entertainment</t>
        </is>
      </c>
    </row>
    <row r="4510">
      <c r="B4510" s="39" t="n">
        <v>46134</v>
      </c>
      <c r="C4510" s="3" t="inlineStr">
        <is>
          <t>Journal Entry</t>
        </is>
      </c>
      <c r="D4510" s="3" t="inlineStr">
        <is>
          <t>JE-2801</t>
        </is>
      </c>
      <c r="E4510" s="3" t="inlineStr"/>
      <c r="F4510" s="3" t="inlineStr">
        <is>
          <t>Travel Expense – April</t>
        </is>
      </c>
      <c r="G4510" s="3" t="inlineStr">
        <is>
          <t>Checking – Operating</t>
        </is>
      </c>
      <c r="H4510" s="3" t="inlineStr">
        <is>
          <t>Travel Expense</t>
        </is>
      </c>
      <c r="I4510" s="33" t="n">
        <v>1120.41</v>
      </c>
      <c r="J4510" s="13">
        <f>+J4509+I4510</f>
        <v>7780.41</v>
      </c>
      <c r="K4510" s="19">
        <f>+EOMONTH(B4510,0)</f>
        <v>46142</v>
      </c>
      <c r="L4510" s="3" t="inlineStr">
        <is>
          <t>Travel Expense</t>
        </is>
      </c>
      <c r="M4510" s="3" t="inlineStr">
        <is>
          <t>Travel, Meals &amp; Entertainment</t>
        </is>
      </c>
    </row>
    <row r="4511">
      <c r="B4511" s="39" t="n">
        <v>46139</v>
      </c>
      <c r="C4511" s="3" t="inlineStr">
        <is>
          <t>Expense</t>
        </is>
      </c>
      <c r="D4511" s="3" t="inlineStr">
        <is>
          <t>11319</t>
        </is>
      </c>
      <c r="E4511" s="3" t="inlineStr"/>
      <c r="F4511" s="3" t="inlineStr">
        <is>
          <t>Travel Expense – April</t>
        </is>
      </c>
      <c r="G4511" s="3" t="inlineStr">
        <is>
          <t>Checking – Operating</t>
        </is>
      </c>
      <c r="H4511" s="3" t="inlineStr">
        <is>
          <t>Travel Expense</t>
        </is>
      </c>
      <c r="I4511" s="33" t="n">
        <v>1099.59</v>
      </c>
      <c r="J4511" s="13">
        <f>+J4510+I4511</f>
        <v>8880</v>
      </c>
      <c r="K4511" s="19">
        <f>+EOMONTH(B4511,0)</f>
        <v>46142</v>
      </c>
      <c r="L4511" s="3" t="inlineStr">
        <is>
          <t>Travel Expense</t>
        </is>
      </c>
      <c r="M4511" s="3" t="inlineStr">
        <is>
          <t>Travel, Meals &amp; Entertainment</t>
        </is>
      </c>
    </row>
    <row r="4512">
      <c r="B4512" s="39" t="n">
        <v>46167</v>
      </c>
      <c r="C4512" s="3" t="inlineStr">
        <is>
          <t>Expense</t>
        </is>
      </c>
      <c r="D4512" s="3" t="inlineStr">
        <is>
          <t>11320</t>
        </is>
      </c>
      <c r="E4512" s="3" t="inlineStr"/>
      <c r="F4512" s="3" t="inlineStr">
        <is>
          <t>Travel Expense – May</t>
        </is>
      </c>
      <c r="G4512" s="3" t="inlineStr">
        <is>
          <t>Checking – Operating</t>
        </is>
      </c>
      <c r="H4512" s="3" t="inlineStr">
        <is>
          <t>Travel Expense</t>
        </is>
      </c>
      <c r="I4512" s="33" t="n">
        <v>1044.27</v>
      </c>
      <c r="J4512" s="13">
        <f>+J4511+I4512</f>
        <v>9924.27</v>
      </c>
      <c r="K4512" s="19">
        <f>+EOMONTH(B4512,0)</f>
        <v>46173</v>
      </c>
      <c r="L4512" s="3" t="inlineStr">
        <is>
          <t>Travel Expense</t>
        </is>
      </c>
      <c r="M4512" s="3" t="inlineStr">
        <is>
          <t>Travel, Meals &amp; Entertainment</t>
        </is>
      </c>
    </row>
    <row r="4513">
      <c r="B4513" s="39" t="n">
        <v>46172</v>
      </c>
      <c r="C4513" s="3" t="inlineStr">
        <is>
          <t>Journal Entry</t>
        </is>
      </c>
      <c r="D4513" s="3" t="inlineStr">
        <is>
          <t>JE-2802</t>
        </is>
      </c>
      <c r="E4513" s="3" t="inlineStr"/>
      <c r="F4513" s="3" t="inlineStr">
        <is>
          <t>Travel Expense – May</t>
        </is>
      </c>
      <c r="G4513" s="3" t="inlineStr">
        <is>
          <t>Checking – Operating</t>
        </is>
      </c>
      <c r="H4513" s="3" t="inlineStr">
        <is>
          <t>Travel Expense</t>
        </is>
      </c>
      <c r="I4513" s="33" t="n">
        <v>995.73</v>
      </c>
      <c r="J4513" s="13">
        <f>+J4512+I4513</f>
        <v>10920</v>
      </c>
      <c r="K4513" s="19">
        <f>+EOMONTH(B4513,0)</f>
        <v>46173</v>
      </c>
      <c r="L4513" s="3" t="inlineStr">
        <is>
          <t>Travel Expense</t>
        </is>
      </c>
      <c r="M4513" s="3" t="inlineStr">
        <is>
          <t>Travel, Meals &amp; Entertainment</t>
        </is>
      </c>
    </row>
    <row r="4514">
      <c r="B4514" s="39" t="n">
        <v>46179</v>
      </c>
      <c r="C4514" s="3" t="inlineStr">
        <is>
          <t>Expense</t>
        </is>
      </c>
      <c r="D4514" s="3" t="inlineStr">
        <is>
          <t>11321</t>
        </is>
      </c>
      <c r="E4514" s="3" t="inlineStr"/>
      <c r="F4514" s="3" t="inlineStr">
        <is>
          <t>Travel Expense – June</t>
        </is>
      </c>
      <c r="G4514" s="3" t="inlineStr">
        <is>
          <t>Checking – Operating</t>
        </is>
      </c>
      <c r="H4514" s="3" t="inlineStr">
        <is>
          <t>Travel Expense</t>
        </is>
      </c>
      <c r="I4514" s="33" t="n">
        <v>994.62</v>
      </c>
      <c r="J4514" s="13">
        <f>+J4513+I4514</f>
        <v>11914.62</v>
      </c>
      <c r="K4514" s="19">
        <f>+EOMONTH(B4514,0)</f>
        <v>46203</v>
      </c>
      <c r="L4514" s="3" t="inlineStr">
        <is>
          <t>Travel Expense</t>
        </is>
      </c>
      <c r="M4514" s="3" t="inlineStr">
        <is>
          <t>Travel, Meals &amp; Entertainment</t>
        </is>
      </c>
    </row>
    <row r="4515">
      <c r="B4515" s="39" t="n">
        <v>46188</v>
      </c>
      <c r="C4515" s="3" t="inlineStr">
        <is>
          <t>Expense</t>
        </is>
      </c>
      <c r="D4515" s="3" t="inlineStr">
        <is>
          <t>11322</t>
        </is>
      </c>
      <c r="E4515" s="3" t="inlineStr"/>
      <c r="F4515" s="3" t="inlineStr">
        <is>
          <t>Travel Expense – June</t>
        </is>
      </c>
      <c r="G4515" s="3" t="inlineStr">
        <is>
          <t>Checking – Operating</t>
        </is>
      </c>
      <c r="H4515" s="3" t="inlineStr">
        <is>
          <t>Travel Expense</t>
        </is>
      </c>
      <c r="I4515" s="33" t="n">
        <v>1225.38</v>
      </c>
      <c r="J4515" s="13">
        <f>+J4514+I4515</f>
        <v>13140</v>
      </c>
      <c r="K4515" s="19">
        <f>+EOMONTH(B4515,0)</f>
        <v>46203</v>
      </c>
      <c r="L4515" s="3" t="inlineStr">
        <is>
          <t>Travel Expense</t>
        </is>
      </c>
      <c r="M4515" s="3" t="inlineStr">
        <is>
          <t>Travel, Meals &amp; Entertainment</t>
        </is>
      </c>
    </row>
    <row r="4516">
      <c r="B4516" s="39" t="n">
        <v>46206</v>
      </c>
      <c r="C4516" s="3" t="inlineStr">
        <is>
          <t>Expense</t>
        </is>
      </c>
      <c r="D4516" s="3" t="inlineStr">
        <is>
          <t>11323</t>
        </is>
      </c>
      <c r="E4516" s="3" t="inlineStr"/>
      <c r="F4516" s="3" t="inlineStr">
        <is>
          <t>Travel Expense – July</t>
        </is>
      </c>
      <c r="G4516" s="3" t="inlineStr">
        <is>
          <t>Checking – Operating</t>
        </is>
      </c>
      <c r="H4516" s="3" t="inlineStr">
        <is>
          <t>Travel Expense</t>
        </is>
      </c>
      <c r="I4516" s="33" t="n">
        <v>1059.91</v>
      </c>
      <c r="J4516" s="13">
        <f>+J4515+I4516</f>
        <v>14199.91</v>
      </c>
      <c r="K4516" s="19">
        <f>+EOMONTH(B4516,0)</f>
        <v>46234</v>
      </c>
      <c r="L4516" s="3" t="inlineStr">
        <is>
          <t>Travel Expense</t>
        </is>
      </c>
      <c r="M4516" s="3" t="inlineStr">
        <is>
          <t>Travel, Meals &amp; Entertainment</t>
        </is>
      </c>
    </row>
    <row r="4517">
      <c r="B4517" s="39" t="n">
        <v>46229</v>
      </c>
      <c r="C4517" s="3" t="inlineStr">
        <is>
          <t>Journal Entry</t>
        </is>
      </c>
      <c r="D4517" s="3" t="inlineStr">
        <is>
          <t>JE-2803</t>
        </is>
      </c>
      <c r="E4517" s="3" t="inlineStr"/>
      <c r="F4517" s="3" t="inlineStr">
        <is>
          <t>Travel Expense – July</t>
        </is>
      </c>
      <c r="G4517" s="3" t="inlineStr">
        <is>
          <t>Checking – Operating</t>
        </is>
      </c>
      <c r="H4517" s="3" t="inlineStr">
        <is>
          <t>Travel Expense</t>
        </is>
      </c>
      <c r="I4517" s="33" t="n">
        <v>1220.09</v>
      </c>
      <c r="J4517" s="13">
        <f>+J4516+I4517</f>
        <v>15420</v>
      </c>
      <c r="K4517" s="19">
        <f>+EOMONTH(B4517,0)</f>
        <v>46234</v>
      </c>
      <c r="L4517" s="3" t="inlineStr">
        <is>
          <t>Travel Expense</t>
        </is>
      </c>
      <c r="M4517" s="3" t="inlineStr">
        <is>
          <t>Travel, Meals &amp; Entertainment</t>
        </is>
      </c>
    </row>
    <row r="4518">
      <c r="B4518" s="39" t="n">
        <v>46238</v>
      </c>
      <c r="C4518" s="3" t="inlineStr">
        <is>
          <t>Expense</t>
        </is>
      </c>
      <c r="D4518" s="3" t="inlineStr">
        <is>
          <t>11324</t>
        </is>
      </c>
      <c r="E4518" s="3" t="inlineStr"/>
      <c r="F4518" s="3" t="inlineStr">
        <is>
          <t>Travel Expense – August</t>
        </is>
      </c>
      <c r="G4518" s="3" t="inlineStr">
        <is>
          <t>Checking – Operating</t>
        </is>
      </c>
      <c r="H4518" s="3" t="inlineStr">
        <is>
          <t>Travel Expense</t>
        </is>
      </c>
      <c r="I4518" s="33" t="n">
        <v>811.54</v>
      </c>
      <c r="J4518" s="13">
        <f>+J4517+I4518</f>
        <v>16231.54</v>
      </c>
      <c r="K4518" s="19">
        <f>+EOMONTH(B4518,0)</f>
        <v>46265</v>
      </c>
      <c r="L4518" s="3" t="inlineStr">
        <is>
          <t>Travel Expense</t>
        </is>
      </c>
      <c r="M4518" s="3" t="inlineStr">
        <is>
          <t>Travel, Meals &amp; Entertainment</t>
        </is>
      </c>
    </row>
    <row r="4519">
      <c r="B4519" s="39" t="n">
        <v>46250</v>
      </c>
      <c r="C4519" s="3" t="inlineStr">
        <is>
          <t>Expense</t>
        </is>
      </c>
      <c r="D4519" s="3" t="inlineStr">
        <is>
          <t>11325</t>
        </is>
      </c>
      <c r="E4519" s="3" t="inlineStr"/>
      <c r="F4519" s="3" t="inlineStr">
        <is>
          <t>Travel Expense – August</t>
        </is>
      </c>
      <c r="G4519" s="3" t="inlineStr">
        <is>
          <t>Checking – Operating</t>
        </is>
      </c>
      <c r="H4519" s="3" t="inlineStr">
        <is>
          <t>Travel Expense</t>
        </is>
      </c>
      <c r="I4519" s="33" t="n">
        <v>1288.46</v>
      </c>
      <c r="J4519" s="13">
        <f>+J4518+I4519</f>
        <v>17520</v>
      </c>
      <c r="K4519" s="19">
        <f>+EOMONTH(B4519,0)</f>
        <v>46265</v>
      </c>
      <c r="L4519" s="3" t="inlineStr">
        <is>
          <t>Travel Expense</t>
        </is>
      </c>
      <c r="M4519" s="3" t="inlineStr">
        <is>
          <t>Travel, Meals &amp; Entertainment</t>
        </is>
      </c>
    </row>
    <row r="4520">
      <c r="B4520" s="39" t="n">
        <v>46281</v>
      </c>
      <c r="C4520" s="3" t="inlineStr">
        <is>
          <t>Expense</t>
        </is>
      </c>
      <c r="D4520" s="3" t="inlineStr">
        <is>
          <t>11326</t>
        </is>
      </c>
      <c r="E4520" s="3" t="inlineStr"/>
      <c r="F4520" s="3" t="inlineStr">
        <is>
          <t>Travel Expense – September</t>
        </is>
      </c>
      <c r="G4520" s="3" t="inlineStr">
        <is>
          <t>Checking – Operating</t>
        </is>
      </c>
      <c r="H4520" s="3" t="inlineStr">
        <is>
          <t>Travel Expense</t>
        </is>
      </c>
      <c r="I4520" s="33" t="n">
        <v>1040.77</v>
      </c>
      <c r="J4520" s="13">
        <f>+J4519+I4520</f>
        <v>18560.77</v>
      </c>
      <c r="K4520" s="19">
        <f>+EOMONTH(B4520,0)</f>
        <v>46295</v>
      </c>
      <c r="L4520" s="3" t="inlineStr">
        <is>
          <t>Travel Expense</t>
        </is>
      </c>
      <c r="M4520" s="3" t="inlineStr">
        <is>
          <t>Travel, Meals &amp; Entertainment</t>
        </is>
      </c>
    </row>
    <row r="4521">
      <c r="B4521" s="39" t="n">
        <v>46293</v>
      </c>
      <c r="C4521" s="3" t="inlineStr">
        <is>
          <t>Expense</t>
        </is>
      </c>
      <c r="D4521" s="3" t="inlineStr">
        <is>
          <t>11327</t>
        </is>
      </c>
      <c r="E4521" s="3" t="inlineStr"/>
      <c r="F4521" s="3" t="inlineStr">
        <is>
          <t>Travel Expense – September</t>
        </is>
      </c>
      <c r="G4521" s="3" t="inlineStr">
        <is>
          <t>Checking – Operating</t>
        </is>
      </c>
      <c r="H4521" s="3" t="inlineStr">
        <is>
          <t>Travel Expense</t>
        </is>
      </c>
      <c r="I4521" s="33" t="n">
        <v>1297.46</v>
      </c>
      <c r="J4521" s="13">
        <f>+J4520+I4521</f>
        <v>19858.23</v>
      </c>
      <c r="K4521" s="19">
        <f>+EOMONTH(B4521,0)</f>
        <v>46295</v>
      </c>
      <c r="L4521" s="3" t="inlineStr">
        <is>
          <t>Travel Expense</t>
        </is>
      </c>
      <c r="M4521" s="3" t="inlineStr">
        <is>
          <t>Travel, Meals &amp; Entertainment</t>
        </is>
      </c>
    </row>
    <row r="4522">
      <c r="B4522" s="39" t="n">
        <v>46309</v>
      </c>
      <c r="C4522" s="3" t="inlineStr">
        <is>
          <t>Journal Entry</t>
        </is>
      </c>
      <c r="D4522" s="3" t="inlineStr">
        <is>
          <t>JE-2804</t>
        </is>
      </c>
      <c r="E4522" s="3" t="inlineStr"/>
      <c r="F4522" s="3" t="inlineStr">
        <is>
          <t>Travel Expense – October</t>
        </is>
      </c>
      <c r="G4522" s="3" t="inlineStr">
        <is>
          <t>Checking – Operating</t>
        </is>
      </c>
      <c r="H4522" s="3" t="inlineStr">
        <is>
          <t>Travel Expense</t>
        </is>
      </c>
      <c r="I4522" s="33" t="n">
        <v>2360.25</v>
      </c>
      <c r="J4522" s="13">
        <f>+J4521+I4522</f>
        <v>22218.48</v>
      </c>
      <c r="K4522" s="19">
        <f>+EOMONTH(B4522,0)</f>
        <v>46326</v>
      </c>
      <c r="L4522" s="3" t="inlineStr">
        <is>
          <t>Travel Expense</t>
        </is>
      </c>
      <c r="M4522" s="3" t="inlineStr">
        <is>
          <t>Travel, Meals &amp; Entertainment</t>
        </is>
      </c>
    </row>
    <row r="4523">
      <c r="B4523" s="39" t="n">
        <v>46351</v>
      </c>
      <c r="C4523" s="3" t="inlineStr">
        <is>
          <t>Expense</t>
        </is>
      </c>
      <c r="D4523" s="3" t="inlineStr">
        <is>
          <t>11328</t>
        </is>
      </c>
      <c r="E4523" s="3" t="inlineStr"/>
      <c r="F4523" s="3" t="inlineStr">
        <is>
          <t>Travel Expense – November</t>
        </is>
      </c>
      <c r="G4523" s="3" t="inlineStr">
        <is>
          <t>Checking – Operating</t>
        </is>
      </c>
      <c r="H4523" s="3" t="inlineStr">
        <is>
          <t>Travel Expense</t>
        </is>
      </c>
      <c r="I4523" s="33" t="n">
        <v>2270.55</v>
      </c>
      <c r="J4523" s="13">
        <f>+J4522+I4523</f>
        <v>24489.03</v>
      </c>
      <c r="K4523" s="19">
        <f>+EOMONTH(B4523,0)</f>
        <v>46356</v>
      </c>
      <c r="L4523" s="3" t="inlineStr">
        <is>
          <t>Travel Expense</t>
        </is>
      </c>
      <c r="M4523" s="3" t="inlineStr">
        <is>
          <t>Travel, Meals &amp; Entertainment</t>
        </is>
      </c>
    </row>
    <row r="4524">
      <c r="A4524" s="2" t="inlineStr">
        <is>
          <t>Total for Travel Expense</t>
        </is>
      </c>
      <c r="I4524" s="35">
        <f>SUM(I4504:I4523)</f>
        <v>24489.03</v>
      </c>
    </row>
    <row r="4526">
      <c r="A4526" s="2" t="inlineStr">
        <is>
          <t>Utilities</t>
        </is>
      </c>
    </row>
    <row r="4527">
      <c r="B4527" s="39" t="n">
        <v>46044</v>
      </c>
      <c r="C4527" s="3" t="inlineStr">
        <is>
          <t>Bill</t>
        </is>
      </c>
      <c r="D4527" s="3" t="inlineStr"/>
      <c r="E4527" s="3" t="inlineStr">
        <is>
          <t>Union Utilities</t>
        </is>
      </c>
      <c r="F4527" s="3" t="inlineStr">
        <is>
          <t>Utilities – January</t>
        </is>
      </c>
      <c r="G4527" s="3" t="inlineStr">
        <is>
          <t>Accounts Payable</t>
        </is>
      </c>
      <c r="H4527" s="3" t="inlineStr">
        <is>
          <t>Utilities</t>
        </is>
      </c>
      <c r="I4527" s="33" t="n">
        <v>3410.39</v>
      </c>
      <c r="J4527" s="13">
        <f>+I4527</f>
        <v>3410.39</v>
      </c>
      <c r="K4527" s="19">
        <f>+EOMONTH(B4527,0)</f>
        <v>46053</v>
      </c>
      <c r="L4527" s="3" t="inlineStr">
        <is>
          <t>Utilities</t>
        </is>
      </c>
      <c r="M4527" s="3" t="inlineStr">
        <is>
          <t>Utilities</t>
        </is>
      </c>
    </row>
    <row r="4528">
      <c r="B4528" s="39" t="n">
        <v>46050</v>
      </c>
      <c r="C4528" s="3" t="inlineStr">
        <is>
          <t>Bill</t>
        </is>
      </c>
      <c r="D4528" s="3" t="inlineStr"/>
      <c r="E4528" s="3" t="inlineStr">
        <is>
          <t>Union Utilities</t>
        </is>
      </c>
      <c r="F4528" s="3" t="inlineStr">
        <is>
          <t>Utilities – January</t>
        </is>
      </c>
      <c r="G4528" s="3" t="inlineStr">
        <is>
          <t>Accounts Payable</t>
        </is>
      </c>
      <c r="H4528" s="3" t="inlineStr">
        <is>
          <t>Utilities</t>
        </is>
      </c>
      <c r="I4528" s="33" t="n">
        <v>3689.61</v>
      </c>
      <c r="J4528" s="13">
        <f>+J4527+I4528</f>
        <v>7100</v>
      </c>
      <c r="K4528" s="19">
        <f>+EOMONTH(B4528,0)</f>
        <v>46053</v>
      </c>
      <c r="L4528" s="3" t="inlineStr">
        <is>
          <t>Utilities</t>
        </is>
      </c>
      <c r="M4528" s="3" t="inlineStr">
        <is>
          <t>Utilities</t>
        </is>
      </c>
    </row>
    <row r="4529">
      <c r="B4529" s="39" t="n">
        <v>46054</v>
      </c>
      <c r="C4529" s="3" t="inlineStr">
        <is>
          <t>Bill</t>
        </is>
      </c>
      <c r="D4529" s="3" t="inlineStr"/>
      <c r="E4529" s="3" t="inlineStr">
        <is>
          <t>Union Utilities</t>
        </is>
      </c>
      <c r="F4529" s="3" t="inlineStr">
        <is>
          <t>Utilities – February</t>
        </is>
      </c>
      <c r="G4529" s="3" t="inlineStr">
        <is>
          <t>Accounts Payable</t>
        </is>
      </c>
      <c r="H4529" s="3" t="inlineStr">
        <is>
          <t>Utilities</t>
        </is>
      </c>
      <c r="I4529" s="33" t="n">
        <v>3560.43</v>
      </c>
      <c r="J4529" s="13">
        <f>+J4528+I4529</f>
        <v>10660.43</v>
      </c>
      <c r="K4529" s="19">
        <f>+EOMONTH(B4529,0)</f>
        <v>46081</v>
      </c>
      <c r="L4529" s="3" t="inlineStr">
        <is>
          <t>Utilities</t>
        </is>
      </c>
      <c r="M4529" s="3" t="inlineStr">
        <is>
          <t>Utilities</t>
        </is>
      </c>
    </row>
    <row r="4530">
      <c r="B4530" s="39" t="n">
        <v>46080</v>
      </c>
      <c r="C4530" s="3" t="inlineStr">
        <is>
          <t>Bill</t>
        </is>
      </c>
      <c r="D4530" s="3" t="inlineStr"/>
      <c r="E4530" s="3" t="inlineStr">
        <is>
          <t>Union Utilities</t>
        </is>
      </c>
      <c r="F4530" s="3" t="inlineStr">
        <is>
          <t>Utilities – February</t>
        </is>
      </c>
      <c r="G4530" s="3" t="inlineStr">
        <is>
          <t>Accounts Payable</t>
        </is>
      </c>
      <c r="H4530" s="3" t="inlineStr">
        <is>
          <t>Utilities</t>
        </is>
      </c>
      <c r="I4530" s="33" t="n">
        <v>4039.57</v>
      </c>
      <c r="J4530" s="13">
        <f>+J4529+I4530</f>
        <v>14700</v>
      </c>
      <c r="K4530" s="19">
        <f>+EOMONTH(B4530,0)</f>
        <v>46081</v>
      </c>
      <c r="L4530" s="3" t="inlineStr">
        <is>
          <t>Utilities</t>
        </is>
      </c>
      <c r="M4530" s="3" t="inlineStr">
        <is>
          <t>Utilities</t>
        </is>
      </c>
    </row>
    <row r="4531">
      <c r="B4531" s="39" t="n">
        <v>46092</v>
      </c>
      <c r="C4531" s="3" t="inlineStr">
        <is>
          <t>Bill</t>
        </is>
      </c>
      <c r="D4531" s="3" t="inlineStr"/>
      <c r="E4531" s="3" t="inlineStr">
        <is>
          <t>Union Utilities</t>
        </is>
      </c>
      <c r="F4531" s="3" t="inlineStr">
        <is>
          <t>Utilities – March</t>
        </is>
      </c>
      <c r="G4531" s="3" t="inlineStr">
        <is>
          <t>Accounts Payable</t>
        </is>
      </c>
      <c r="H4531" s="3" t="inlineStr">
        <is>
          <t>Utilities</t>
        </is>
      </c>
      <c r="I4531" s="33" t="n">
        <v>3642.13</v>
      </c>
      <c r="J4531" s="13">
        <f>+J4530+I4531</f>
        <v>18342.13</v>
      </c>
      <c r="K4531" s="19">
        <f>+EOMONTH(B4531,0)</f>
        <v>46112</v>
      </c>
      <c r="L4531" s="3" t="inlineStr">
        <is>
          <t>Utilities</t>
        </is>
      </c>
      <c r="M4531" s="3" t="inlineStr">
        <is>
          <t>Utilities</t>
        </is>
      </c>
    </row>
    <row r="4532">
      <c r="B4532" s="39" t="n">
        <v>46097</v>
      </c>
      <c r="C4532" s="3" t="inlineStr">
        <is>
          <t>Bill</t>
        </is>
      </c>
      <c r="D4532" s="3" t="inlineStr"/>
      <c r="E4532" s="3" t="inlineStr">
        <is>
          <t>Union Utilities</t>
        </is>
      </c>
      <c r="F4532" s="3" t="inlineStr">
        <is>
          <t>Utilities – March</t>
        </is>
      </c>
      <c r="G4532" s="3" t="inlineStr">
        <is>
          <t>Accounts Payable</t>
        </is>
      </c>
      <c r="H4532" s="3" t="inlineStr">
        <is>
          <t>Utilities</t>
        </is>
      </c>
      <c r="I4532" s="33" t="n">
        <v>3157.87</v>
      </c>
      <c r="J4532" s="13">
        <f>+J4531+I4532</f>
        <v>21500</v>
      </c>
      <c r="K4532" s="19">
        <f>+EOMONTH(B4532,0)</f>
        <v>46112</v>
      </c>
      <c r="L4532" s="3" t="inlineStr">
        <is>
          <t>Utilities</t>
        </is>
      </c>
      <c r="M4532" s="3" t="inlineStr">
        <is>
          <t>Utilities</t>
        </is>
      </c>
    </row>
    <row r="4533">
      <c r="B4533" s="39" t="n">
        <v>46136</v>
      </c>
      <c r="C4533" s="3" t="inlineStr">
        <is>
          <t>Bill</t>
        </is>
      </c>
      <c r="D4533" s="3" t="inlineStr"/>
      <c r="E4533" s="3" t="inlineStr">
        <is>
          <t>Union Utilities</t>
        </is>
      </c>
      <c r="F4533" s="3" t="inlineStr">
        <is>
          <t>Utilities – April</t>
        </is>
      </c>
      <c r="G4533" s="3" t="inlineStr">
        <is>
          <t>Accounts Payable</t>
        </is>
      </c>
      <c r="H4533" s="3" t="inlineStr">
        <is>
          <t>Utilities</t>
        </is>
      </c>
      <c r="I4533" s="33" t="n">
        <v>4783.63</v>
      </c>
      <c r="J4533" s="13">
        <f>+J4532+I4533</f>
        <v>26283.63</v>
      </c>
      <c r="K4533" s="19">
        <f>+EOMONTH(B4533,0)</f>
        <v>46142</v>
      </c>
      <c r="L4533" s="3" t="inlineStr">
        <is>
          <t>Utilities</t>
        </is>
      </c>
      <c r="M4533" s="3" t="inlineStr">
        <is>
          <t>Utilities</t>
        </is>
      </c>
    </row>
    <row r="4534">
      <c r="B4534" s="39" t="n">
        <v>46142</v>
      </c>
      <c r="C4534" s="3" t="inlineStr">
        <is>
          <t>Bill</t>
        </is>
      </c>
      <c r="D4534" s="3" t="inlineStr"/>
      <c r="E4534" s="3" t="inlineStr">
        <is>
          <t>Union Utilities</t>
        </is>
      </c>
      <c r="F4534" s="3" t="inlineStr">
        <is>
          <t>Utilities – April</t>
        </is>
      </c>
      <c r="G4534" s="3" t="inlineStr">
        <is>
          <t>Accounts Payable</t>
        </is>
      </c>
      <c r="H4534" s="3" t="inlineStr">
        <is>
          <t>Utilities</t>
        </is>
      </c>
      <c r="I4534" s="33" t="n">
        <v>2416.37</v>
      </c>
      <c r="J4534" s="13">
        <f>+J4533+I4534</f>
        <v>28700</v>
      </c>
      <c r="K4534" s="19">
        <f>+EOMONTH(B4534,0)</f>
        <v>46142</v>
      </c>
      <c r="L4534" s="3" t="inlineStr">
        <is>
          <t>Utilities</t>
        </is>
      </c>
      <c r="M4534" s="3" t="inlineStr">
        <is>
          <t>Utilities</t>
        </is>
      </c>
    </row>
    <row r="4535">
      <c r="B4535" s="39" t="n">
        <v>46153</v>
      </c>
      <c r="C4535" s="3" t="inlineStr">
        <is>
          <t>Bill</t>
        </is>
      </c>
      <c r="D4535" s="3" t="inlineStr"/>
      <c r="E4535" s="3" t="inlineStr">
        <is>
          <t>Union Utilities</t>
        </is>
      </c>
      <c r="F4535" s="3" t="inlineStr">
        <is>
          <t>Utilities – May</t>
        </is>
      </c>
      <c r="G4535" s="3" t="inlineStr">
        <is>
          <t>Accounts Payable</t>
        </is>
      </c>
      <c r="H4535" s="3" t="inlineStr">
        <is>
          <t>Utilities</t>
        </is>
      </c>
      <c r="I4535" s="33" t="n">
        <v>3018.32</v>
      </c>
      <c r="J4535" s="13">
        <f>+J4534+I4535</f>
        <v>31718.32</v>
      </c>
      <c r="K4535" s="19">
        <f>+EOMONTH(B4535,0)</f>
        <v>46173</v>
      </c>
      <c r="L4535" s="3" t="inlineStr">
        <is>
          <t>Utilities</t>
        </is>
      </c>
      <c r="M4535" s="3" t="inlineStr">
        <is>
          <t>Utilities</t>
        </is>
      </c>
    </row>
    <row r="4536">
      <c r="B4536" s="39" t="n">
        <v>46158</v>
      </c>
      <c r="C4536" s="3" t="inlineStr">
        <is>
          <t>Bill</t>
        </is>
      </c>
      <c r="D4536" s="3" t="inlineStr"/>
      <c r="E4536" s="3" t="inlineStr">
        <is>
          <t>Union Utilities</t>
        </is>
      </c>
      <c r="F4536" s="3" t="inlineStr">
        <is>
          <t>Utilities – May</t>
        </is>
      </c>
      <c r="G4536" s="3" t="inlineStr">
        <is>
          <t>Accounts Payable</t>
        </is>
      </c>
      <c r="H4536" s="3" t="inlineStr">
        <is>
          <t>Utilities</t>
        </is>
      </c>
      <c r="I4536" s="33" t="n">
        <v>4581.68</v>
      </c>
      <c r="J4536" s="13">
        <f>+J4535+I4536</f>
        <v>36300</v>
      </c>
      <c r="K4536" s="19">
        <f>+EOMONTH(B4536,0)</f>
        <v>46173</v>
      </c>
      <c r="L4536" s="3" t="inlineStr">
        <is>
          <t>Utilities</t>
        </is>
      </c>
      <c r="M4536" s="3" t="inlineStr">
        <is>
          <t>Utilities</t>
        </is>
      </c>
    </row>
    <row r="4537">
      <c r="B4537" s="39" t="n">
        <v>46178</v>
      </c>
      <c r="C4537" s="3" t="inlineStr">
        <is>
          <t>Bill</t>
        </is>
      </c>
      <c r="D4537" s="3" t="inlineStr"/>
      <c r="E4537" s="3" t="inlineStr">
        <is>
          <t>Union Utilities</t>
        </is>
      </c>
      <c r="F4537" s="3" t="inlineStr">
        <is>
          <t>Utilities – June</t>
        </is>
      </c>
      <c r="G4537" s="3" t="inlineStr">
        <is>
          <t>Accounts Payable</t>
        </is>
      </c>
      <c r="H4537" s="3" t="inlineStr">
        <is>
          <t>Utilities</t>
        </is>
      </c>
      <c r="I4537" s="33" t="n">
        <v>2943.27</v>
      </c>
      <c r="J4537" s="13">
        <f>+J4536+I4537</f>
        <v>39243.27</v>
      </c>
      <c r="K4537" s="19">
        <f>+EOMONTH(B4537,0)</f>
        <v>46203</v>
      </c>
      <c r="L4537" s="3" t="inlineStr">
        <is>
          <t>Utilities</t>
        </is>
      </c>
      <c r="M4537" s="3" t="inlineStr">
        <is>
          <t>Utilities</t>
        </is>
      </c>
    </row>
    <row r="4538">
      <c r="B4538" s="39" t="n">
        <v>46187</v>
      </c>
      <c r="C4538" s="3" t="inlineStr">
        <is>
          <t>Bill</t>
        </is>
      </c>
      <c r="D4538" s="3" t="inlineStr"/>
      <c r="E4538" s="3" t="inlineStr">
        <is>
          <t>Union Utilities</t>
        </is>
      </c>
      <c r="F4538" s="3" t="inlineStr">
        <is>
          <t>Utilities – June</t>
        </is>
      </c>
      <c r="G4538" s="3" t="inlineStr">
        <is>
          <t>Accounts Payable</t>
        </is>
      </c>
      <c r="H4538" s="3" t="inlineStr">
        <is>
          <t>Utilities</t>
        </is>
      </c>
      <c r="I4538" s="33" t="n">
        <v>4056.73</v>
      </c>
      <c r="J4538" s="13">
        <f>+J4537+I4538</f>
        <v>43300</v>
      </c>
      <c r="K4538" s="19">
        <f>+EOMONTH(B4538,0)</f>
        <v>46203</v>
      </c>
      <c r="L4538" s="3" t="inlineStr">
        <is>
          <t>Utilities</t>
        </is>
      </c>
      <c r="M4538" s="3" t="inlineStr">
        <is>
          <t>Utilities</t>
        </is>
      </c>
    </row>
    <row r="4539">
      <c r="B4539" s="39" t="n">
        <v>46226</v>
      </c>
      <c r="C4539" s="3" t="inlineStr">
        <is>
          <t>Bill</t>
        </is>
      </c>
      <c r="D4539" s="3" t="inlineStr"/>
      <c r="E4539" s="3" t="inlineStr">
        <is>
          <t>Union Utilities</t>
        </is>
      </c>
      <c r="F4539" s="3" t="inlineStr">
        <is>
          <t>Utilities – July</t>
        </is>
      </c>
      <c r="G4539" s="3" t="inlineStr">
        <is>
          <t>Accounts Payable</t>
        </is>
      </c>
      <c r="H4539" s="3" t="inlineStr">
        <is>
          <t>Utilities</t>
        </is>
      </c>
      <c r="I4539" s="33" t="n">
        <v>3763.05</v>
      </c>
      <c r="J4539" s="13">
        <f>+J4538+I4539</f>
        <v>47063.05</v>
      </c>
      <c r="K4539" s="19">
        <f>+EOMONTH(B4539,0)</f>
        <v>46234</v>
      </c>
      <c r="L4539" s="3" t="inlineStr">
        <is>
          <t>Utilities</t>
        </is>
      </c>
      <c r="M4539" s="3" t="inlineStr">
        <is>
          <t>Utilities</t>
        </is>
      </c>
    </row>
    <row r="4540">
      <c r="B4540" s="39" t="n">
        <v>46234</v>
      </c>
      <c r="C4540" s="3" t="inlineStr">
        <is>
          <t>Bill</t>
        </is>
      </c>
      <c r="D4540" s="3" t="inlineStr"/>
      <c r="E4540" s="3" t="inlineStr">
        <is>
          <t>Union Utilities</t>
        </is>
      </c>
      <c r="F4540" s="3" t="inlineStr">
        <is>
          <t>Utilities – July</t>
        </is>
      </c>
      <c r="G4540" s="3" t="inlineStr">
        <is>
          <t>Accounts Payable</t>
        </is>
      </c>
      <c r="H4540" s="3" t="inlineStr">
        <is>
          <t>Utilities</t>
        </is>
      </c>
      <c r="I4540" s="33" t="n">
        <v>3436.95</v>
      </c>
      <c r="J4540" s="13">
        <f>+J4539+I4540</f>
        <v>50500</v>
      </c>
      <c r="K4540" s="19">
        <f>+EOMONTH(B4540,0)</f>
        <v>46234</v>
      </c>
      <c r="L4540" s="3" t="inlineStr">
        <is>
          <t>Utilities</t>
        </is>
      </c>
      <c r="M4540" s="3" t="inlineStr">
        <is>
          <t>Utilities</t>
        </is>
      </c>
    </row>
    <row r="4541">
      <c r="B4541" s="39" t="n">
        <v>46252</v>
      </c>
      <c r="C4541" s="3" t="inlineStr">
        <is>
          <t>Bill</t>
        </is>
      </c>
      <c r="D4541" s="3" t="inlineStr"/>
      <c r="E4541" s="3" t="inlineStr">
        <is>
          <t>Union Utilities</t>
        </is>
      </c>
      <c r="F4541" s="3" t="inlineStr">
        <is>
          <t>Utilities – August</t>
        </is>
      </c>
      <c r="G4541" s="3" t="inlineStr">
        <is>
          <t>Accounts Payable</t>
        </is>
      </c>
      <c r="H4541" s="3" t="inlineStr">
        <is>
          <t>Utilities</t>
        </is>
      </c>
      <c r="I4541" s="33" t="n">
        <v>3666.43</v>
      </c>
      <c r="J4541" s="13">
        <f>+J4540+I4541</f>
        <v>54166.43</v>
      </c>
      <c r="K4541" s="19">
        <f>+EOMONTH(B4541,0)</f>
        <v>46265</v>
      </c>
      <c r="L4541" s="3" t="inlineStr">
        <is>
          <t>Utilities</t>
        </is>
      </c>
      <c r="M4541" s="3" t="inlineStr">
        <is>
          <t>Utilities</t>
        </is>
      </c>
    </row>
    <row r="4542">
      <c r="B4542" s="39" t="n">
        <v>46264</v>
      </c>
      <c r="C4542" s="3" t="inlineStr">
        <is>
          <t>Bill</t>
        </is>
      </c>
      <c r="D4542" s="3" t="inlineStr"/>
      <c r="E4542" s="3" t="inlineStr">
        <is>
          <t>Union Utilities</t>
        </is>
      </c>
      <c r="F4542" s="3" t="inlineStr">
        <is>
          <t>Utilities – August</t>
        </is>
      </c>
      <c r="G4542" s="3" t="inlineStr">
        <is>
          <t>Accounts Payable</t>
        </is>
      </c>
      <c r="H4542" s="3" t="inlineStr">
        <is>
          <t>Utilities</t>
        </is>
      </c>
      <c r="I4542" s="33" t="n">
        <v>3633.57</v>
      </c>
      <c r="J4542" s="13">
        <f>+J4541+I4542</f>
        <v>57800</v>
      </c>
      <c r="K4542" s="19">
        <f>+EOMONTH(B4542,0)</f>
        <v>46265</v>
      </c>
      <c r="L4542" s="3" t="inlineStr">
        <is>
          <t>Utilities</t>
        </is>
      </c>
      <c r="M4542" s="3" t="inlineStr">
        <is>
          <t>Utilities</t>
        </is>
      </c>
    </row>
    <row r="4543">
      <c r="B4543" s="39" t="n">
        <v>46288</v>
      </c>
      <c r="C4543" s="3" t="inlineStr">
        <is>
          <t>Bill</t>
        </is>
      </c>
      <c r="D4543" s="3" t="inlineStr"/>
      <c r="E4543" s="3" t="inlineStr">
        <is>
          <t>Union Utilities</t>
        </is>
      </c>
      <c r="F4543" s="3" t="inlineStr">
        <is>
          <t>Utilities – September</t>
        </is>
      </c>
      <c r="G4543" s="3" t="inlineStr">
        <is>
          <t>Accounts Payable</t>
        </is>
      </c>
      <c r="H4543" s="3" t="inlineStr">
        <is>
          <t>Utilities</t>
        </is>
      </c>
      <c r="I4543" s="33" t="n">
        <v>7569.46</v>
      </c>
      <c r="J4543" s="13">
        <f>+J4542+I4543</f>
        <v>65369.46</v>
      </c>
      <c r="K4543" s="19">
        <f>+EOMONTH(B4543,0)</f>
        <v>46295</v>
      </c>
      <c r="L4543" s="3" t="inlineStr">
        <is>
          <t>Utilities</t>
        </is>
      </c>
      <c r="M4543" s="3" t="inlineStr">
        <is>
          <t>Utilities</t>
        </is>
      </c>
    </row>
    <row r="4544">
      <c r="B4544" s="39" t="n">
        <v>46301</v>
      </c>
      <c r="C4544" s="3" t="inlineStr">
        <is>
          <t>Bill</t>
        </is>
      </c>
      <c r="D4544" s="3" t="inlineStr"/>
      <c r="E4544" s="3" t="inlineStr">
        <is>
          <t>Union Utilities</t>
        </is>
      </c>
      <c r="F4544" s="3" t="inlineStr">
        <is>
          <t>Utilities – October</t>
        </is>
      </c>
      <c r="G4544" s="3" t="inlineStr">
        <is>
          <t>Accounts Payable</t>
        </is>
      </c>
      <c r="H4544" s="3" t="inlineStr">
        <is>
          <t>Utilities</t>
        </is>
      </c>
      <c r="I4544" s="33" t="n">
        <v>7723.55</v>
      </c>
      <c r="J4544" s="13">
        <f>+J4543+I4544</f>
        <v>73093.01</v>
      </c>
      <c r="K4544" s="19">
        <f>+EOMONTH(B4544,0)</f>
        <v>46326</v>
      </c>
      <c r="L4544" s="3" t="inlineStr">
        <is>
          <t>Utilities</t>
        </is>
      </c>
      <c r="M4544" s="3" t="inlineStr">
        <is>
          <t>Utilities</t>
        </is>
      </c>
    </row>
    <row r="4545">
      <c r="B4545" s="39" t="n">
        <v>46341</v>
      </c>
      <c r="C4545" s="3" t="inlineStr">
        <is>
          <t>Bill</t>
        </is>
      </c>
      <c r="D4545" s="3" t="inlineStr"/>
      <c r="E4545" s="3" t="inlineStr">
        <is>
          <t>Union Utilities</t>
        </is>
      </c>
      <c r="F4545" s="3" t="inlineStr">
        <is>
          <t>Utilities – November</t>
        </is>
      </c>
      <c r="G4545" s="3" t="inlineStr">
        <is>
          <t>Accounts Payable</t>
        </is>
      </c>
      <c r="H4545" s="3" t="inlineStr">
        <is>
          <t>Utilities</t>
        </is>
      </c>
      <c r="I4545" s="33" t="n">
        <v>7138.56</v>
      </c>
      <c r="J4545" s="13">
        <f>+J4544+I4545</f>
        <v>80231.57</v>
      </c>
      <c r="K4545" s="19">
        <f>+EOMONTH(B4545,0)</f>
        <v>46356</v>
      </c>
      <c r="L4545" s="3" t="inlineStr">
        <is>
          <t>Utilities</t>
        </is>
      </c>
      <c r="M4545" s="3" t="inlineStr">
        <is>
          <t>Utilities</t>
        </is>
      </c>
    </row>
    <row r="4546">
      <c r="A4546" s="2" t="inlineStr">
        <is>
          <t>Total for Utilities</t>
        </is>
      </c>
      <c r="I4546" s="35">
        <f>SUM(I4527:I4545)</f>
        <v>80231.57</v>
      </c>
    </row>
    <row r="4548">
      <c r="B4548" s="40" t="n"/>
      <c r="I4548" s="38" t="n"/>
      <c r="J4548" s="38" t="n"/>
    </row>
    <row r="4549">
      <c r="B4549" s="40" t="n"/>
      <c r="I4549" s="38" t="n"/>
      <c r="J4549" s="38" t="n"/>
    </row>
    <row r="4550">
      <c r="B4550" s="40" t="n"/>
      <c r="I4550" s="38" t="n"/>
      <c r="J4550" s="38" t="n"/>
    </row>
    <row r="4551">
      <c r="B4551" s="40" t="n"/>
      <c r="I4551" s="38" t="n"/>
      <c r="J4551" s="38" t="n"/>
    </row>
    <row r="4552">
      <c r="B4552" s="40" t="n"/>
      <c r="I4552" s="38" t="n"/>
      <c r="J4552" s="38" t="n"/>
    </row>
    <row r="4553">
      <c r="B4553" s="40" t="n"/>
      <c r="I4553" s="38" t="n"/>
      <c r="J4553" s="38" t="n"/>
    </row>
    <row r="4554">
      <c r="B4554" s="40" t="n"/>
      <c r="I4554" s="38" t="n"/>
      <c r="J4554" s="38" t="n"/>
    </row>
    <row r="4555">
      <c r="B4555" s="40" t="n"/>
      <c r="I4555" s="38" t="n"/>
      <c r="J4555" s="38" t="n"/>
    </row>
    <row r="4556">
      <c r="B4556" s="40" t="n"/>
      <c r="I4556" s="38" t="n"/>
      <c r="J4556" s="38" t="n"/>
    </row>
    <row r="4557">
      <c r="B4557" s="40" t="n"/>
      <c r="I4557" s="38" t="n"/>
      <c r="J4557" s="38" t="n"/>
    </row>
    <row r="4558">
      <c r="B4558" s="40" t="n"/>
      <c r="I4558" s="38" t="n"/>
      <c r="J4558" s="38" t="n"/>
    </row>
    <row r="4559">
      <c r="B4559" s="40" t="n"/>
      <c r="I4559" s="38" t="n"/>
      <c r="J4559" s="38" t="n"/>
    </row>
    <row r="4560">
      <c r="B4560" s="40" t="n"/>
      <c r="I4560" s="38" t="n"/>
      <c r="J4560" s="38" t="n"/>
    </row>
    <row r="4561">
      <c r="B4561" s="40" t="n"/>
      <c r="I4561" s="38" t="n"/>
      <c r="J4561" s="38" t="n"/>
    </row>
    <row r="4562">
      <c r="B4562" s="40" t="n"/>
      <c r="I4562" s="38" t="n"/>
      <c r="J4562" s="38" t="n"/>
    </row>
    <row r="4563">
      <c r="B4563" s="40" t="n"/>
      <c r="I4563" s="38" t="n"/>
      <c r="J4563" s="38" t="n"/>
    </row>
    <row r="4564">
      <c r="B4564" s="40" t="n"/>
      <c r="I4564" s="38" t="n"/>
      <c r="J4564" s="38" t="n"/>
    </row>
    <row r="4565">
      <c r="B4565" s="40" t="n"/>
      <c r="I4565" s="38" t="n"/>
      <c r="J4565" s="38" t="n"/>
    </row>
    <row r="4566">
      <c r="B4566" s="40" t="n"/>
      <c r="I4566" s="38" t="n"/>
      <c r="J4566" s="38" t="n"/>
    </row>
    <row r="4567">
      <c r="B4567" s="40" t="n"/>
      <c r="I4567" s="38" t="n"/>
      <c r="J4567" s="38" t="n"/>
    </row>
    <row r="4568">
      <c r="B4568" s="40" t="n"/>
      <c r="I4568" s="38" t="n"/>
      <c r="J4568" s="38" t="n"/>
    </row>
    <row r="4569">
      <c r="B4569" s="40" t="n"/>
      <c r="I4569" s="38" t="n"/>
      <c r="J4569" s="38" t="n"/>
    </row>
    <row r="4570">
      <c r="B4570" s="40" t="n"/>
      <c r="I4570" s="38" t="n"/>
      <c r="J4570" s="38" t="n"/>
    </row>
    <row r="4571">
      <c r="B4571" s="40" t="n"/>
      <c r="I4571" s="38" t="n"/>
      <c r="J4571" s="38" t="n"/>
    </row>
    <row r="4572">
      <c r="B4572" s="40" t="n"/>
      <c r="I4572" s="38" t="n"/>
      <c r="J4572" s="38" t="n"/>
    </row>
    <row r="4573">
      <c r="B4573" s="40" t="n"/>
      <c r="I4573" s="38" t="n"/>
      <c r="J4573" s="38" t="n"/>
    </row>
    <row r="4574">
      <c r="B4574" s="40" t="n"/>
      <c r="I4574" s="38" t="n"/>
      <c r="J4574" s="38" t="n"/>
    </row>
    <row r="4575">
      <c r="B4575" s="40" t="n"/>
      <c r="I4575" s="38" t="n"/>
      <c r="J4575" s="38" t="n"/>
    </row>
    <row r="4576">
      <c r="B4576" s="40" t="n"/>
      <c r="I4576" s="38" t="n"/>
      <c r="J4576" s="38" t="n"/>
    </row>
    <row r="4577">
      <c r="B4577" s="40" t="n"/>
      <c r="I4577" s="38" t="n"/>
      <c r="J4577" s="38" t="n"/>
    </row>
    <row r="4578">
      <c r="B4578" s="40" t="n"/>
      <c r="I4578" s="38" t="n"/>
      <c r="J4578" s="38" t="n"/>
    </row>
    <row r="4579">
      <c r="B4579" s="40" t="n"/>
      <c r="I4579" s="38" t="n"/>
      <c r="J4579" s="38" t="n"/>
    </row>
    <row r="4580">
      <c r="B4580" s="40" t="n"/>
      <c r="I4580" s="38" t="n"/>
      <c r="J4580" s="38" t="n"/>
    </row>
    <row r="4581">
      <c r="B4581" s="40" t="n"/>
      <c r="I4581" s="38" t="n"/>
      <c r="J4581" s="38" t="n"/>
    </row>
    <row r="4582">
      <c r="B4582" s="40" t="n"/>
      <c r="I4582" s="38" t="n"/>
      <c r="J4582" s="38" t="n"/>
    </row>
    <row r="4583">
      <c r="B4583" s="40" t="n"/>
      <c r="I4583" s="38" t="n"/>
      <c r="J4583" s="38" t="n"/>
    </row>
    <row r="4584">
      <c r="B4584" s="40" t="n"/>
      <c r="I4584" s="38" t="n"/>
      <c r="J4584" s="38" t="n"/>
    </row>
    <row r="4585">
      <c r="B4585" s="40" t="n"/>
      <c r="I4585" s="38" t="n"/>
      <c r="J4585" s="38" t="n"/>
    </row>
    <row r="4586">
      <c r="B4586" s="40" t="n"/>
      <c r="I4586" s="38" t="n"/>
      <c r="J4586" s="38" t="n"/>
    </row>
    <row r="4587">
      <c r="B4587" s="40" t="n"/>
      <c r="I4587" s="38" t="n"/>
      <c r="J4587" s="38" t="n"/>
    </row>
    <row r="4588">
      <c r="B4588" s="40" t="n"/>
      <c r="I4588" s="38" t="n"/>
      <c r="J4588" s="38" t="n"/>
    </row>
    <row r="4589">
      <c r="B4589" s="40" t="n"/>
      <c r="I4589" s="38" t="n"/>
      <c r="J4589" s="38" t="n"/>
    </row>
    <row r="4590">
      <c r="B4590" s="40" t="n"/>
      <c r="I4590" s="38" t="n"/>
      <c r="J4590" s="38" t="n"/>
    </row>
    <row r="4591">
      <c r="B4591" s="40" t="n"/>
      <c r="I4591" s="38" t="n"/>
      <c r="J4591" s="38" t="n"/>
    </row>
    <row r="4592">
      <c r="B4592" s="40" t="n"/>
      <c r="I4592" s="38" t="n"/>
      <c r="J4592" s="38" t="n"/>
    </row>
    <row r="4593">
      <c r="B4593" s="40" t="n"/>
      <c r="I4593" s="38" t="n"/>
      <c r="J4593" s="38" t="n"/>
    </row>
    <row r="4594">
      <c r="B4594" s="40" t="n"/>
      <c r="I4594" s="38" t="n"/>
      <c r="J4594" s="38" t="n"/>
    </row>
    <row r="4595">
      <c r="B4595" s="40" t="n"/>
      <c r="I4595" s="38" t="n"/>
      <c r="J4595" s="38" t="n"/>
    </row>
    <row r="4596">
      <c r="B4596" s="40" t="n"/>
      <c r="I4596" s="38" t="n"/>
      <c r="J4596" s="38" t="n"/>
    </row>
    <row r="4597">
      <c r="B4597" s="40" t="n"/>
      <c r="I4597" s="38" t="n"/>
      <c r="J4597" s="38" t="n"/>
    </row>
    <row r="4598">
      <c r="B4598" s="40" t="n"/>
      <c r="I4598" s="38" t="n"/>
      <c r="J4598" s="38" t="n"/>
    </row>
    <row r="4599">
      <c r="B4599" s="40" t="n"/>
      <c r="I4599" s="38" t="n"/>
      <c r="J4599" s="38" t="n"/>
    </row>
    <row r="4600">
      <c r="B4600" s="40" t="n"/>
      <c r="I4600" s="38" t="n"/>
      <c r="J4600" s="38" t="n"/>
    </row>
    <row r="4601">
      <c r="B4601" s="40" t="n"/>
      <c r="I4601" s="38" t="n"/>
      <c r="J4601" s="38" t="n"/>
    </row>
    <row r="4602">
      <c r="B4602" s="40" t="n"/>
      <c r="I4602" s="38" t="n"/>
      <c r="J4602" s="38" t="n"/>
    </row>
    <row r="4603">
      <c r="B4603" s="40" t="n"/>
      <c r="I4603" s="38" t="n"/>
      <c r="J4603" s="38" t="n"/>
    </row>
    <row r="4604">
      <c r="B4604" s="40" t="n"/>
      <c r="I4604" s="38" t="n"/>
      <c r="J4604" s="38" t="n"/>
    </row>
    <row r="4605">
      <c r="B4605" s="40" t="n"/>
      <c r="I4605" s="38" t="n"/>
      <c r="J4605" s="38" t="n"/>
    </row>
    <row r="4606">
      <c r="B4606" s="40" t="n"/>
      <c r="I4606" s="38" t="n"/>
      <c r="J4606" s="38" t="n"/>
    </row>
    <row r="4607">
      <c r="B4607" s="40" t="n"/>
      <c r="I4607" s="38" t="n"/>
      <c r="J4607" s="38" t="n"/>
    </row>
    <row r="4608">
      <c r="B4608" s="40" t="n"/>
      <c r="I4608" s="38" t="n"/>
      <c r="J4608" s="38" t="n"/>
    </row>
    <row r="4609">
      <c r="B4609" s="40" t="n"/>
      <c r="I4609" s="38" t="n"/>
      <c r="J4609" s="38" t="n"/>
    </row>
    <row r="4610">
      <c r="B4610" s="40" t="n"/>
      <c r="I4610" s="38" t="n"/>
      <c r="J4610" s="38" t="n"/>
    </row>
    <row r="4611">
      <c r="B4611" s="40" t="n"/>
      <c r="I4611" s="38" t="n"/>
      <c r="J4611" s="38" t="n"/>
    </row>
    <row r="4612">
      <c r="B4612" s="40" t="n"/>
      <c r="I4612" s="38" t="n"/>
      <c r="J4612" s="38" t="n"/>
    </row>
    <row r="4613">
      <c r="B4613" s="40" t="n"/>
      <c r="I4613" s="38" t="n"/>
      <c r="J4613" s="38" t="n"/>
    </row>
    <row r="4614">
      <c r="B4614" s="40" t="n"/>
      <c r="I4614" s="38" t="n"/>
      <c r="J4614" s="38" t="n"/>
    </row>
    <row r="4615">
      <c r="B4615" s="40" t="n"/>
      <c r="I4615" s="38" t="n"/>
      <c r="J4615" s="38" t="n"/>
    </row>
    <row r="4616">
      <c r="B4616" s="40" t="n"/>
      <c r="I4616" s="38" t="n"/>
      <c r="J4616" s="38" t="n"/>
    </row>
    <row r="4617">
      <c r="B4617" s="40" t="n"/>
      <c r="I4617" s="38" t="n"/>
      <c r="J4617" s="38" t="n"/>
    </row>
    <row r="4618">
      <c r="B4618" s="40" t="n"/>
      <c r="I4618" s="38" t="n"/>
      <c r="J4618" s="38" t="n"/>
    </row>
    <row r="4619">
      <c r="B4619" s="40" t="n"/>
      <c r="I4619" s="38" t="n"/>
      <c r="J4619" s="38" t="n"/>
    </row>
    <row r="4620">
      <c r="B4620" s="40" t="n"/>
      <c r="I4620" s="38" t="n"/>
      <c r="J4620" s="38" t="n"/>
    </row>
    <row r="4621">
      <c r="B4621" s="40" t="n"/>
      <c r="I4621" s="38" t="n"/>
      <c r="J4621" s="38" t="n"/>
    </row>
    <row r="4622">
      <c r="B4622" s="40" t="n"/>
      <c r="I4622" s="38" t="n"/>
      <c r="J4622" s="38" t="n"/>
    </row>
    <row r="4623">
      <c r="B4623" s="40" t="n"/>
      <c r="I4623" s="38" t="n"/>
      <c r="J4623" s="38" t="n"/>
    </row>
    <row r="4624">
      <c r="B4624" s="40" t="n"/>
      <c r="I4624" s="38" t="n"/>
      <c r="J4624" s="38" t="n"/>
    </row>
    <row r="4625">
      <c r="B4625" s="40" t="n"/>
      <c r="I4625" s="38" t="n"/>
      <c r="J4625" s="38" t="n"/>
    </row>
    <row r="4626">
      <c r="B4626" s="40" t="n"/>
      <c r="I4626" s="38" t="n"/>
      <c r="J4626" s="38" t="n"/>
    </row>
    <row r="4627">
      <c r="B4627" s="40" t="n"/>
      <c r="I4627" s="38" t="n"/>
      <c r="J4627" s="38" t="n"/>
    </row>
    <row r="4628">
      <c r="B4628" s="40" t="n"/>
      <c r="I4628" s="38" t="n"/>
      <c r="J4628" s="38" t="n"/>
    </row>
    <row r="4629">
      <c r="B4629" s="40" t="n"/>
      <c r="I4629" s="38" t="n"/>
      <c r="J4629" s="38" t="n"/>
    </row>
    <row r="4630">
      <c r="B4630" s="40" t="n"/>
      <c r="I4630" s="38" t="n"/>
      <c r="J4630" s="38" t="n"/>
    </row>
    <row r="4631">
      <c r="B4631" s="40" t="n"/>
      <c r="I4631" s="38" t="n"/>
      <c r="J4631" s="38" t="n"/>
    </row>
    <row r="4632">
      <c r="B4632" s="40" t="n"/>
      <c r="I4632" s="38" t="n"/>
      <c r="J4632" s="38" t="n"/>
    </row>
    <row r="4633">
      <c r="B4633" s="40" t="n"/>
      <c r="I4633" s="38" t="n"/>
      <c r="J4633" s="38" t="n"/>
    </row>
    <row r="4634">
      <c r="B4634" s="40" t="n"/>
      <c r="I4634" s="38" t="n"/>
      <c r="J4634" s="38" t="n"/>
    </row>
    <row r="4635">
      <c r="B4635" s="40" t="n"/>
      <c r="I4635" s="38" t="n"/>
      <c r="J4635" s="38" t="n"/>
    </row>
    <row r="4636">
      <c r="B4636" s="40" t="n"/>
      <c r="I4636" s="38" t="n"/>
      <c r="J4636" s="38" t="n"/>
    </row>
    <row r="4637">
      <c r="B4637" s="40" t="n"/>
      <c r="I4637" s="38" t="n"/>
      <c r="J4637" s="38" t="n"/>
    </row>
    <row r="4638">
      <c r="B4638" s="40" t="n"/>
      <c r="I4638" s="38" t="n"/>
      <c r="J4638" s="38" t="n"/>
    </row>
    <row r="4639">
      <c r="B4639" s="40" t="n"/>
      <c r="I4639" s="38" t="n"/>
      <c r="J4639" s="38" t="n"/>
    </row>
    <row r="4640">
      <c r="B4640" s="40" t="n"/>
      <c r="I4640" s="38" t="n"/>
      <c r="J4640" s="38" t="n"/>
    </row>
    <row r="4641">
      <c r="B4641" s="40" t="n"/>
      <c r="I4641" s="38" t="n"/>
      <c r="J4641" s="38" t="n"/>
    </row>
    <row r="4642">
      <c r="B4642" s="40" t="n"/>
      <c r="I4642" s="38" t="n"/>
      <c r="J4642" s="38" t="n"/>
    </row>
    <row r="4643">
      <c r="B4643" s="40" t="n"/>
      <c r="I4643" s="38" t="n"/>
      <c r="J4643" s="38" t="n"/>
    </row>
    <row r="4644">
      <c r="B4644" s="40" t="n"/>
      <c r="I4644" s="38" t="n"/>
      <c r="J4644" s="38" t="n"/>
    </row>
    <row r="4645">
      <c r="B4645" s="40" t="n"/>
      <c r="I4645" s="38" t="n"/>
      <c r="J4645" s="38" t="n"/>
    </row>
    <row r="4646">
      <c r="B4646" s="40" t="n"/>
      <c r="I4646" s="38" t="n"/>
      <c r="J4646" s="38" t="n"/>
    </row>
    <row r="4647">
      <c r="B4647" s="40" t="n"/>
      <c r="I4647" s="38" t="n"/>
      <c r="J4647" s="38" t="n"/>
    </row>
    <row r="4648">
      <c r="B4648" s="40" t="n"/>
      <c r="I4648" s="38" t="n"/>
      <c r="J4648" s="38" t="n"/>
    </row>
    <row r="4649">
      <c r="B4649" s="40" t="n"/>
      <c r="I4649" s="38" t="n"/>
      <c r="J4649" s="38" t="n"/>
    </row>
    <row r="4650">
      <c r="B4650" s="40" t="n"/>
      <c r="I4650" s="38" t="n"/>
      <c r="J4650" s="38" t="n"/>
    </row>
    <row r="4651">
      <c r="B4651" s="40" t="n"/>
      <c r="I4651" s="38" t="n"/>
      <c r="J4651" s="38" t="n"/>
    </row>
    <row r="4652">
      <c r="B4652" s="40" t="n"/>
      <c r="I4652" s="38" t="n"/>
      <c r="J4652" s="38" t="n"/>
    </row>
    <row r="4653">
      <c r="B4653" s="40" t="n"/>
      <c r="I4653" s="38" t="n"/>
      <c r="J4653" s="38" t="n"/>
    </row>
    <row r="4654">
      <c r="B4654" s="40" t="n"/>
      <c r="I4654" s="38" t="n"/>
      <c r="J4654" s="38" t="n"/>
    </row>
    <row r="4655">
      <c r="B4655" s="40" t="n"/>
      <c r="I4655" s="38" t="n"/>
      <c r="J4655" s="38" t="n"/>
    </row>
    <row r="4656">
      <c r="B4656" s="40" t="n"/>
      <c r="I4656" s="38" t="n"/>
      <c r="J4656" s="38" t="n"/>
    </row>
    <row r="4657">
      <c r="B4657" s="40" t="n"/>
      <c r="I4657" s="38" t="n"/>
      <c r="J4657" s="38" t="n"/>
    </row>
    <row r="4658">
      <c r="B4658" s="40" t="n"/>
      <c r="I4658" s="38" t="n"/>
      <c r="J4658" s="38" t="n"/>
    </row>
    <row r="4659">
      <c r="B4659" s="40" t="n"/>
      <c r="I4659" s="38" t="n"/>
      <c r="J4659" s="38" t="n"/>
    </row>
    <row r="4660">
      <c r="B4660" s="40" t="n"/>
      <c r="I4660" s="38" t="n"/>
      <c r="J4660" s="38" t="n"/>
    </row>
    <row r="4661">
      <c r="B4661" s="40" t="n"/>
      <c r="I4661" s="38" t="n"/>
      <c r="J4661" s="38" t="n"/>
    </row>
    <row r="4662">
      <c r="B4662" s="40" t="n"/>
      <c r="I4662" s="38" t="n"/>
      <c r="J4662" s="38" t="n"/>
    </row>
    <row r="4663">
      <c r="B4663" s="40" t="n"/>
      <c r="I4663" s="38" t="n"/>
      <c r="J4663" s="38" t="n"/>
    </row>
    <row r="4664">
      <c r="B4664" s="40" t="n"/>
      <c r="I4664" s="38" t="n"/>
      <c r="J4664" s="38" t="n"/>
    </row>
    <row r="4665">
      <c r="B4665" s="40" t="n"/>
      <c r="I4665" s="38" t="n"/>
      <c r="J4665" s="38" t="n"/>
    </row>
    <row r="4666">
      <c r="B4666" s="40" t="n"/>
      <c r="I4666" s="38" t="n"/>
      <c r="J4666" s="38" t="n"/>
    </row>
    <row r="4667">
      <c r="B4667" s="40" t="n"/>
      <c r="I4667" s="38" t="n"/>
      <c r="J4667" s="38" t="n"/>
    </row>
    <row r="4668">
      <c r="B4668" s="40" t="n"/>
      <c r="I4668" s="38" t="n"/>
      <c r="J4668" s="38" t="n"/>
    </row>
    <row r="4669">
      <c r="B4669" s="40" t="n"/>
      <c r="I4669" s="38" t="n"/>
      <c r="J4669" s="38" t="n"/>
    </row>
    <row r="4670">
      <c r="B4670" s="40" t="n"/>
      <c r="I4670" s="38" t="n"/>
      <c r="J4670" s="38" t="n"/>
    </row>
    <row r="4671">
      <c r="B4671" s="40" t="n"/>
      <c r="I4671" s="38" t="n"/>
      <c r="J4671" s="38" t="n"/>
    </row>
    <row r="4672">
      <c r="B4672" s="40" t="n"/>
      <c r="I4672" s="38" t="n"/>
      <c r="J4672" s="38" t="n"/>
    </row>
    <row r="4673">
      <c r="B4673" s="40" t="n"/>
      <c r="I4673" s="38" t="n"/>
      <c r="J4673" s="38" t="n"/>
    </row>
    <row r="4674">
      <c r="B4674" s="40" t="n"/>
      <c r="I4674" s="38" t="n"/>
      <c r="J4674" s="38" t="n"/>
    </row>
    <row r="4675">
      <c r="B4675" s="40" t="n"/>
      <c r="I4675" s="38" t="n"/>
      <c r="J4675" s="38" t="n"/>
    </row>
    <row r="4676">
      <c r="B4676" s="40" t="n"/>
      <c r="I4676" s="38" t="n"/>
      <c r="J4676" s="38" t="n"/>
    </row>
    <row r="4677">
      <c r="B4677" s="40" t="n"/>
      <c r="I4677" s="38" t="n"/>
      <c r="J4677" s="38" t="n"/>
    </row>
    <row r="4678">
      <c r="B4678" s="40" t="n"/>
      <c r="I4678" s="38" t="n"/>
      <c r="J4678" s="38" t="n"/>
    </row>
    <row r="4679">
      <c r="B4679" s="40" t="n"/>
      <c r="I4679" s="38" t="n"/>
      <c r="J4679" s="38" t="n"/>
    </row>
    <row r="4680">
      <c r="B4680" s="40" t="n"/>
      <c r="I4680" s="38" t="n"/>
      <c r="J4680" s="38" t="n"/>
    </row>
    <row r="4681">
      <c r="B4681" s="40" t="n"/>
      <c r="I4681" s="38" t="n"/>
      <c r="J4681" s="38" t="n"/>
    </row>
    <row r="4682">
      <c r="B4682" s="40" t="n"/>
      <c r="I4682" s="38" t="n"/>
      <c r="J4682" s="38" t="n"/>
    </row>
    <row r="4683">
      <c r="B4683" s="40" t="n"/>
      <c r="I4683" s="38" t="n"/>
      <c r="J4683" s="38" t="n"/>
    </row>
    <row r="4684">
      <c r="B4684" s="40" t="n"/>
      <c r="I4684" s="38" t="n"/>
      <c r="J4684" s="38" t="n"/>
    </row>
    <row r="4685">
      <c r="B4685" s="40" t="n"/>
      <c r="I4685" s="38" t="n"/>
      <c r="J4685" s="38" t="n"/>
    </row>
    <row r="4686">
      <c r="B4686" s="40" t="n"/>
      <c r="I4686" s="38" t="n"/>
      <c r="J4686" s="38" t="n"/>
    </row>
    <row r="4687">
      <c r="B4687" s="40" t="n"/>
      <c r="I4687" s="38" t="n"/>
      <c r="J4687" s="38" t="n"/>
    </row>
    <row r="4688">
      <c r="B4688" s="40" t="n"/>
      <c r="I4688" s="38" t="n"/>
      <c r="J4688" s="38" t="n"/>
    </row>
    <row r="4689">
      <c r="B4689" s="40" t="n"/>
      <c r="I4689" s="38" t="n"/>
      <c r="J4689" s="38" t="n"/>
    </row>
    <row r="4690">
      <c r="B4690" s="40" t="n"/>
      <c r="I4690" s="38" t="n"/>
      <c r="J4690" s="38" t="n"/>
    </row>
    <row r="4691">
      <c r="B4691" s="40" t="n"/>
      <c r="I4691" s="38" t="n"/>
      <c r="J4691" s="38" t="n"/>
    </row>
    <row r="4692">
      <c r="B4692" s="40" t="n"/>
      <c r="I4692" s="38" t="n"/>
      <c r="J4692" s="38" t="n"/>
    </row>
    <row r="4693">
      <c r="B4693" s="40" t="n"/>
      <c r="I4693" s="38" t="n"/>
      <c r="J4693" s="38" t="n"/>
    </row>
    <row r="4694">
      <c r="B4694" s="40" t="n"/>
      <c r="I4694" s="38" t="n"/>
      <c r="J4694" s="38" t="n"/>
    </row>
    <row r="4695">
      <c r="B4695" s="40" t="n"/>
      <c r="I4695" s="38" t="n"/>
      <c r="J4695" s="38" t="n"/>
    </row>
    <row r="4696">
      <c r="B4696" s="40" t="n"/>
      <c r="I4696" s="38" t="n"/>
      <c r="J4696" s="38" t="n"/>
    </row>
    <row r="4697">
      <c r="B4697" s="40" t="n"/>
      <c r="I4697" s="38" t="n"/>
      <c r="J4697" s="38" t="n"/>
    </row>
    <row r="4698">
      <c r="B4698" s="40" t="n"/>
      <c r="I4698" s="38" t="n"/>
      <c r="J4698" s="38" t="n"/>
    </row>
    <row r="4699">
      <c r="B4699" s="40" t="n"/>
      <c r="I4699" s="38" t="n"/>
      <c r="J4699" s="38" t="n"/>
    </row>
    <row r="4700">
      <c r="B4700" s="40" t="n"/>
      <c r="I4700" s="38" t="n"/>
      <c r="J4700" s="38" t="n"/>
    </row>
    <row r="4701">
      <c r="B4701" s="40" t="n"/>
      <c r="I4701" s="38" t="n"/>
      <c r="J4701" s="38" t="n"/>
    </row>
    <row r="4702">
      <c r="B4702" s="40" t="n"/>
      <c r="I4702" s="38" t="n"/>
      <c r="J4702" s="38" t="n"/>
    </row>
    <row r="4703">
      <c r="B4703" s="40" t="n"/>
      <c r="I4703" s="38" t="n"/>
      <c r="J4703" s="38" t="n"/>
    </row>
    <row r="4704">
      <c r="B4704" s="40" t="n"/>
      <c r="I4704" s="38" t="n"/>
      <c r="J4704" s="38" t="n"/>
    </row>
    <row r="4705">
      <c r="B4705" s="40" t="n"/>
      <c r="I4705" s="38" t="n"/>
      <c r="J4705" s="38" t="n"/>
    </row>
    <row r="4706">
      <c r="B4706" s="40" t="n"/>
      <c r="I4706" s="38" t="n"/>
      <c r="J4706" s="38" t="n"/>
    </row>
    <row r="4707">
      <c r="B4707" s="40" t="n"/>
      <c r="I4707" s="38" t="n"/>
      <c r="J4707" s="38" t="n"/>
    </row>
    <row r="4708">
      <c r="B4708" s="40" t="n"/>
      <c r="I4708" s="38" t="n"/>
      <c r="J4708" s="38" t="n"/>
    </row>
    <row r="4709">
      <c r="B4709" s="40" t="n"/>
      <c r="I4709" s="38" t="n"/>
      <c r="J4709" s="38" t="n"/>
    </row>
    <row r="4710">
      <c r="B4710" s="40" t="n"/>
      <c r="I4710" s="38" t="n"/>
      <c r="J4710" s="38" t="n"/>
    </row>
    <row r="4711">
      <c r="B4711" s="40" t="n"/>
      <c r="I4711" s="38" t="n"/>
      <c r="J4711" s="38" t="n"/>
    </row>
    <row r="4712">
      <c r="B4712" s="40" t="n"/>
      <c r="I4712" s="38" t="n"/>
      <c r="J4712" s="38" t="n"/>
    </row>
    <row r="4713">
      <c r="B4713" s="40" t="n"/>
      <c r="I4713" s="38" t="n"/>
      <c r="J4713" s="38" t="n"/>
    </row>
    <row r="4714">
      <c r="B4714" s="40" t="n"/>
      <c r="I4714" s="38" t="n"/>
      <c r="J4714" s="38" t="n"/>
    </row>
    <row r="4715">
      <c r="B4715" s="40" t="n"/>
      <c r="I4715" s="38" t="n"/>
      <c r="J4715" s="38" t="n"/>
    </row>
    <row r="4716">
      <c r="B4716" s="40" t="n"/>
      <c r="I4716" s="38" t="n"/>
      <c r="J4716" s="38" t="n"/>
    </row>
    <row r="4717">
      <c r="B4717" s="40" t="n"/>
      <c r="I4717" s="38" t="n"/>
      <c r="J4717" s="38" t="n"/>
    </row>
    <row r="4718">
      <c r="B4718" s="40" t="n"/>
      <c r="I4718" s="38" t="n"/>
      <c r="J4718" s="38" t="n"/>
    </row>
    <row r="4719">
      <c r="B4719" s="40" t="n"/>
      <c r="I4719" s="38" t="n"/>
      <c r="J4719" s="38" t="n"/>
    </row>
    <row r="4720">
      <c r="B4720" s="40" t="n"/>
      <c r="I4720" s="38" t="n"/>
      <c r="J4720" s="38" t="n"/>
    </row>
    <row r="4721">
      <c r="B4721" s="40" t="n"/>
      <c r="I4721" s="38" t="n"/>
      <c r="J4721" s="38" t="n"/>
    </row>
    <row r="4722">
      <c r="B4722" s="40" t="n"/>
      <c r="I4722" s="38" t="n"/>
      <c r="J4722" s="38" t="n"/>
    </row>
    <row r="4723">
      <c r="B4723" s="40" t="n"/>
      <c r="I4723" s="38" t="n"/>
      <c r="J4723" s="38" t="n"/>
    </row>
    <row r="4724">
      <c r="B4724" s="40" t="n"/>
      <c r="I4724" s="38" t="n"/>
      <c r="J4724" s="38" t="n"/>
    </row>
    <row r="4725">
      <c r="B4725" s="40" t="n"/>
      <c r="I4725" s="38" t="n"/>
      <c r="J4725" s="38" t="n"/>
    </row>
    <row r="4726">
      <c r="B4726" s="40" t="n"/>
      <c r="I4726" s="38" t="n"/>
      <c r="J4726" s="38" t="n"/>
    </row>
    <row r="4727">
      <c r="B4727" s="40" t="n"/>
      <c r="I4727" s="38" t="n"/>
      <c r="J4727" s="38" t="n"/>
    </row>
    <row r="4728">
      <c r="B4728" s="40" t="n"/>
      <c r="I4728" s="38" t="n"/>
      <c r="J4728" s="38" t="n"/>
    </row>
    <row r="4729">
      <c r="B4729" s="40" t="n"/>
      <c r="I4729" s="38" t="n"/>
      <c r="J4729" s="38" t="n"/>
    </row>
    <row r="4730">
      <c r="B4730" s="40" t="n"/>
      <c r="I4730" s="38" t="n"/>
      <c r="J4730" s="38" t="n"/>
    </row>
    <row r="4731">
      <c r="B4731" s="40" t="n"/>
      <c r="I4731" s="38" t="n"/>
      <c r="J4731" s="38" t="n"/>
    </row>
    <row r="4732">
      <c r="B4732" s="40" t="n"/>
      <c r="I4732" s="38" t="n"/>
      <c r="J4732" s="38" t="n"/>
    </row>
    <row r="4733">
      <c r="B4733" s="40" t="n"/>
      <c r="I4733" s="38" t="n"/>
      <c r="J4733" s="38" t="n"/>
    </row>
    <row r="4734">
      <c r="B4734" s="40" t="n"/>
      <c r="I4734" s="38" t="n"/>
      <c r="J4734" s="38" t="n"/>
    </row>
    <row r="4735">
      <c r="B4735" s="40" t="n"/>
      <c r="I4735" s="38" t="n"/>
      <c r="J4735" s="38" t="n"/>
    </row>
    <row r="4736">
      <c r="B4736" s="40" t="n"/>
      <c r="I4736" s="38" t="n"/>
      <c r="J4736" s="38" t="n"/>
    </row>
    <row r="4737">
      <c r="B4737" s="40" t="n"/>
      <c r="I4737" s="38" t="n"/>
      <c r="J4737" s="38" t="n"/>
    </row>
    <row r="4738">
      <c r="B4738" s="40" t="n"/>
      <c r="I4738" s="38" t="n"/>
      <c r="J4738" s="38" t="n"/>
    </row>
    <row r="4739">
      <c r="B4739" s="40" t="n"/>
      <c r="I4739" s="38" t="n"/>
      <c r="J4739" s="38" t="n"/>
    </row>
    <row r="4740">
      <c r="B4740" s="40" t="n"/>
      <c r="I4740" s="38" t="n"/>
      <c r="J4740" s="38" t="n"/>
    </row>
    <row r="4741">
      <c r="B4741" s="40" t="n"/>
      <c r="I4741" s="38" t="n"/>
      <c r="J4741" s="38" t="n"/>
    </row>
    <row r="4742">
      <c r="B4742" s="40" t="n"/>
      <c r="I4742" s="38" t="n"/>
      <c r="J4742" s="38" t="n"/>
    </row>
    <row r="4743">
      <c r="B4743" s="40" t="n"/>
      <c r="I4743" s="38" t="n"/>
      <c r="J4743" s="38" t="n"/>
    </row>
    <row r="4744">
      <c r="B4744" s="40" t="n"/>
      <c r="I4744" s="38" t="n"/>
      <c r="J4744" s="38" t="n"/>
    </row>
    <row r="4745">
      <c r="B4745" s="40" t="n"/>
      <c r="I4745" s="38" t="n"/>
      <c r="J4745" s="38" t="n"/>
    </row>
    <row r="4746">
      <c r="B4746" s="40" t="n"/>
      <c r="I4746" s="38" t="n"/>
      <c r="J4746" s="38" t="n"/>
    </row>
    <row r="4747">
      <c r="B4747" s="40" t="n"/>
      <c r="I4747" s="38" t="n"/>
      <c r="J4747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Falkmere Advisory</dc:creator>
  <dc:title xmlns:dc="http://purl.org/dc/elements/1.1/">Project Larkspur</dc:title>
  <dcterms:created xmlns:dcterms="http://purl.org/dc/terms/" xmlns:xsi="http://www.w3.org/2001/XMLSchema-instance" xsi:type="dcterms:W3CDTF">2026-09-10T23:49:01Z</dcterms:created>
  <dcterms:modified xmlns:dcterms="http://purl.org/dc/terms/" xmlns:xsi="http://www.w3.org/2001/XMLSchema-instance" xsi:type="dcterms:W3CDTF">2026-09-10T23:49:02Z</dcterms:modified>
  <cp:lastModifiedBy>Falkmere Advisory</cp:lastModifiedBy>
</cp:coreProperties>
</file>