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claimer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1. AHG Central" sheetId="4" state="visible" r:id="rId4"/>
    <sheet xmlns:r="http://schemas.openxmlformats.org/officeDocument/2006/relationships" name="2. AHG Coast" sheetId="5" state="visible" r:id="rId5"/>
    <sheet xmlns:r="http://schemas.openxmlformats.org/officeDocument/2006/relationships" name="3. AHG North" sheetId="6" state="visible" r:id="rId6"/>
    <sheet xmlns:r="http://schemas.openxmlformats.org/officeDocument/2006/relationships" name="4. AHG Park" sheetId="7" state="visible" r:id="rId7"/>
    <sheet xmlns:r="http://schemas.openxmlformats.org/officeDocument/2006/relationships" name="5. AHG Diagnostics" sheetId="8" state="visible" r:id="rId8"/>
    <sheet xmlns:r="http://schemas.openxmlformats.org/officeDocument/2006/relationships" name="6. AHG (Combined Entity)" sheetId="9" state="visible" r:id="rId9"/>
    <sheet xmlns:r="http://schemas.openxmlformats.org/officeDocument/2006/relationships" name="7. Entry &amp; Exit" sheetId="10" state="visible" r:id="rId10"/>
    <sheet xmlns:r="http://schemas.openxmlformats.org/officeDocument/2006/relationships" name="1. Tallowick" sheetId="11" state="visible" r:id="rId11"/>
    <sheet xmlns:r="http://schemas.openxmlformats.org/officeDocument/2006/relationships" name="2. Tallowick (Combined Entity)" sheetId="12" state="visible" r:id="rId12"/>
    <sheet xmlns:r="http://schemas.openxmlformats.org/officeDocument/2006/relationships" name="3. Entry &amp; Exit" sheetId="13" state="visible" r:id="rId13"/>
    <sheet xmlns:r="http://schemas.openxmlformats.org/officeDocument/2006/relationships" name="Transaction Summary" sheetId="14" state="visible" r:id="rId14"/>
    <sheet xmlns:r="http://schemas.openxmlformats.org/officeDocument/2006/relationships" name="SPV Waterfall" sheetId="15" state="visible" r:id="rId15"/>
  </sheets>
  <definedNames>
    <definedName name="\a">Cover!$C$3</definedName>
    <definedName name="\b">Control!$E$5</definedName>
    <definedName name="\p">Control!$E$11</definedName>
    <definedName name="\z">Control!$E$12</definedName>
    <definedName name="_Key1">'6. AHG (Combined Entity)'!$G$7</definedName>
    <definedName name="_Key2">'2. Tallowick (Combined Entity)'!$G$7</definedName>
    <definedName name="_Order1">Control!$E$10</definedName>
    <definedName name="_Sort">Control!$E$9</definedName>
    <definedName name="wrn.Summary.">'Transaction Summary'!$C$3</definedName>
    <definedName name="wrn.Waterfall.">'SPV Waterfall'!$C$3</definedName>
    <definedName name="wrn.AHG.">'6. AHG (Combined Entity)'!$C$3</definedName>
    <definedName name="FX_LCA">Control!$E$17</definedName>
    <definedName name="FX_LCB">Control!$E$22</definedName>
    <definedName name="RefDate">Control!$E$11</definedName>
    <definedName name="TxDate">Control!$E$12</definedName>
    <definedName name="MgmtFee">Control!$E$27</definedName>
    <definedName name="GP_Commit">Control!$E$33</definedName>
    <definedName name="Hurdle_T2">Control!$E$39</definedName>
    <definedName name="Hurdle_T4">Control!$E$51</definedName>
    <definedName name="Hurdle_T5">Control!$E$57</definedName>
    <definedName name="Carry_T3">Control!$E$44</definedName>
    <definedName name="Carry_T4">Control!$E$50</definedName>
    <definedName name="Carry_T5">Control!$E$56</definedName>
    <definedName name="CircuitBreaker">Control!$E$5</definedName>
    <definedName name="MHG_Rev">'6. AHG (Combined Entity)'!$G$202:$R$202</definedName>
    <definedName name="MHG_EBITDA">'6. AHG (Combined Entity)'!$G$211:$R$211</definedName>
    <definedName name="MHG_NI">'6. AHG (Combined Entity)'!$G$224:$R$224</definedName>
    <definedName name="MHG_Cash">'6. AHG (Combined Entity)'!$G$250:$R$250</definedName>
    <definedName name="MHG_NetDebt">'6. AHG (Combined Entity)'!$G$304:$R$304</definedName>
    <definedName name="MHG_BSCheck">'6. AHG (Combined Entity)'!$G$273:$R$273</definedName>
    <definedName name="MHG_TaxRate">'6. AHG (Combined Entity)'!$N$12</definedName>
    <definedName name="MHG_Toggle2027">'6. AHG (Combined Entity)'!$E$47</definedName>
    <definedName name="MHG_Toggle2031">'6. AHG (Combined Entity)'!$E$95</definedName>
    <definedName name="MHG_FollowOn">'6. AHG (Combined Entity)'!$G$195:$R$195</definedName>
    <definedName name="MHG_Div">'6. AHG (Combined Entity)'!$G$312:$R$312</definedName>
    <definedName name="Tall_Rev">'2. Tallowick (Combined Entity)'!$G$199:$R$199</definedName>
    <definedName name="Tall_EBITDA">'2. Tallowick (Combined Entity)'!$G$208:$R$208</definedName>
    <definedName name="Tall_NI">'2. Tallowick (Combined Entity)'!$G$217:$R$217</definedName>
    <definedName name="Tall_Cash">'2. Tallowick (Combined Entity)'!$G$227:$R$227</definedName>
    <definedName name="Tall_NetDebt">'2. Tallowick (Combined Entity)'!$G$271:$R$271</definedName>
    <definedName name="Tall_BSCheck">'2. Tallowick (Combined Entity)'!$G$241:$R$241</definedName>
    <definedName name="Tall_Toggle2027">'2. Tallowick (Combined Entity)'!$E$53</definedName>
    <definedName name="Tall_FollowOn">'2. Tallowick (Combined Entity)'!$G$192:$R$192</definedName>
    <definedName name="AHG_EntryMult">'7. Entry &amp; Exit'!$E$19</definedName>
    <definedName name="AHG_ExitMult">'7. Entry &amp; Exit'!$E$63</definedName>
    <definedName name="AHG_NAVPricing">'7. Entry &amp; Exit'!$E$13</definedName>
    <definedName name="AHG_EqV">'7. Entry &amp; Exit'!$E$25</definedName>
    <definedName name="AHG_Price">'7. Entry &amp; Exit'!$E$28</definedName>
    <definedName name="AHG_CF_IRR">'7. Entry &amp; Exit'!$E$96</definedName>
    <definedName name="AHG_CF_MoIC">'7. Entry &amp; Exit'!$E$95</definedName>
    <definedName name="AHG_CF_Flows">'7. Entry &amp; Exit'!$G$94:$S$94</definedName>
    <definedName name="Tall_EntryMult">'3. Entry &amp; Exit'!$E$19</definedName>
    <definedName name="Tall_ExitMult">'3. Entry &amp; Exit'!$E$61</definedName>
    <definedName name="Tall_NAVPricing">'3. Entry &amp; Exit'!$E$13</definedName>
    <definedName name="Tall_EqV">'3. Entry &amp; Exit'!$E$25</definedName>
    <definedName name="Tall_Price">'3. Entry &amp; Exit'!$E$28</definedName>
    <definedName name="Tall_CF_IRR">'3. Entry &amp; Exit'!$E$91</definedName>
    <definedName name="Tall_CF_MoIC">'3. Entry &amp; Exit'!$E$90</definedName>
    <definedName name="Tall_CF_Flows">'3. Entry &amp; Exit'!$G$89:$S$89</definedName>
    <definedName name="TS_Sources">'Transaction Summary'!$E$32</definedName>
    <definedName name="TS_Uses">'Transaction Summary'!$E$43</definedName>
    <definedName name="TS_Check">'Transaction Summary'!$E$44</definedName>
    <definedName name="TS_MoIC">'Transaction Summary'!$E$76</definedName>
    <definedName name="TS_IRR">'Transaction Summary'!$E$77</definedName>
    <definedName name="TS_CF">'Transaction Summary'!$G$74:$L$74</definedName>
    <definedName name="TS_BuySideFee">'Transaction Summary'!$E$42</definedName>
    <definedName name="WF_Dates">'SPV Waterfall'!$G$6:$AA$6</definedName>
    <definedName name="WF_Dist">'SPV Waterfall'!$G$32:$AA$32</definedName>
    <definedName name="WF_LP_CF">'SPV Waterfall'!$G$285:$AA$285</definedName>
    <definedName name="WF_GP_CF">'SPV Waterfall'!$G$284:$AA$284</definedName>
    <definedName name="WF_Check">'SPV Waterfall'!$G$288:$AA$288</definedName>
    <definedName name="WF_LP_IRR">'SPV Waterfall'!$E$291</definedName>
    <definedName name="WF_LP_MoIC">'SPV Waterfall'!$E$292</definedName>
    <definedName name="WF_Carry">'SPV Waterfall'!$E$293</definedName>
    <definedName name="WF_Fee">'SPV Waterfall'!$G$53:$AA$53</definedName>
    <definedName name="_xlnm.Print_Area" localSheetId="2">'Control'!$C$3:$E$58</definedName>
    <definedName name="_xlnm.Print_Area" localSheetId="13">'Transaction Summary'!$C$3:$L$82</definedName>
    <definedName name="_xlnm.Print_Area" localSheetId="14">'SPV Waterfall'!$C$3:$AB$302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_);(#,##0);&quot;-&quot;_)"/>
    <numFmt numFmtId="165" formatCode="yyyy-mm-dd h:mm:ss"/>
    <numFmt numFmtId="166" formatCode="dd-mmm-yy"/>
    <numFmt numFmtId="167" formatCode="0.0000"/>
    <numFmt numFmtId="168" formatCode="#,##0.0_);(#,##0.0);&quot;-&quot;_)"/>
    <numFmt numFmtId="169" formatCode="0.0%_);(0.0%);&quot;-&quot;_)"/>
    <numFmt numFmtId="170" formatCode="0.0x"/>
    <numFmt numFmtId="171" formatCode="0.00x"/>
    <numFmt numFmtId="172" formatCode="0.000%"/>
  </numFmts>
  <fonts count="1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9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color rgb="00000000"/>
      <sz val="9"/>
    </font>
    <font>
      <name val="Arial"/>
      <b val="1"/>
      <color rgb="00008000"/>
      <sz val="9"/>
    </font>
    <font>
      <name val="Arial"/>
      <i val="1"/>
      <color rgb="007F7F7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8000"/>
      <sz val="9"/>
    </font>
    <font>
      <name val="Arial"/>
      <color rgb="00C00000"/>
      <sz val="9"/>
    </font>
    <font>
      <name val="Arial"/>
      <b val="1"/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B5C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3" borderId="0" pivotButton="0" quotePrefix="0" xfId="0"/>
    <xf numFmtId="1" fontId="5" fillId="0" borderId="0" pivotButton="0" quotePrefix="0" xfId="0"/>
    <xf numFmtId="0" fontId="4" fillId="0" borderId="0" applyAlignment="1" pivotButton="0" quotePrefix="0" xfId="0">
      <alignment indent="1"/>
    </xf>
    <xf numFmtId="166" fontId="6" fillId="0" borderId="0" pivotButton="0" quotePrefix="0" xfId="0"/>
    <xf numFmtId="167" fontId="5" fillId="0" borderId="0" pivotButton="0" quotePrefix="0" xfId="0"/>
    <xf numFmtId="10" fontId="5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70" fontId="5" fillId="0" borderId="0" pivotButton="0" quotePrefix="0" xfId="0"/>
    <xf numFmtId="166" fontId="10" fillId="0" borderId="0" pivotButton="0" quotePrefix="0" xfId="0"/>
    <xf numFmtId="1" fontId="10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3" fillId="4" borderId="0" pivotButton="0" quotePrefix="0" xfId="0"/>
    <xf numFmtId="164" fontId="5" fillId="0" borderId="0" pivotButton="0" quotePrefix="0" xfId="0"/>
    <xf numFmtId="0" fontId="2" fillId="0" borderId="0" applyAlignment="1" pivotButton="0" quotePrefix="0" xfId="0">
      <alignment indent="2"/>
    </xf>
    <xf numFmtId="169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indent="1"/>
    </xf>
    <xf numFmtId="164" fontId="10" fillId="0" borderId="2" pivotButton="0" quotePrefix="0" xfId="0"/>
    <xf numFmtId="164" fontId="10" fillId="0" borderId="3" pivotButton="0" quotePrefix="0" xfId="0"/>
    <xf numFmtId="164" fontId="11" fillId="0" borderId="0" pivotButton="0" quotePrefix="0" xfId="0"/>
    <xf numFmtId="0" fontId="2" fillId="0" borderId="0" applyAlignment="1" pivotButton="0" quotePrefix="0" xfId="0">
      <alignment indent="1"/>
    </xf>
    <xf numFmtId="168" fontId="6" fillId="0" borderId="0" pivotButton="0" quotePrefix="0" xfId="0"/>
    <xf numFmtId="164" fontId="7" fillId="0" borderId="0" pivotButton="0" quotePrefix="0" xfId="0"/>
    <xf numFmtId="1" fontId="5" fillId="2" borderId="0" pivotButton="0" quotePrefix="0" xfId="0"/>
    <xf numFmtId="164" fontId="6" fillId="0" borderId="3" pivotButton="0" quotePrefix="0" xfId="0"/>
    <xf numFmtId="164" fontId="12" fillId="0" borderId="0" pivotButton="0" quotePrefix="0" xfId="0"/>
    <xf numFmtId="164" fontId="10" fillId="0" borderId="0" pivotButton="0" quotePrefix="0" xfId="0"/>
    <xf numFmtId="170" fontId="6" fillId="0" borderId="0" pivotButton="0" quotePrefix="0" xfId="0"/>
    <xf numFmtId="164" fontId="13" fillId="0" borderId="2" pivotButton="0" quotePrefix="0" xfId="0"/>
    <xf numFmtId="166" fontId="7" fillId="0" borderId="0" pivotButton="0" quotePrefix="0" xfId="0"/>
    <xf numFmtId="0" fontId="4" fillId="0" borderId="0" applyAlignment="1" pivotButton="0" quotePrefix="0" xfId="0">
      <alignment indent="2"/>
    </xf>
    <xf numFmtId="0" fontId="3" fillId="0" borderId="0" applyAlignment="1" pivotButton="0" quotePrefix="0" xfId="0">
      <alignment indent="2"/>
    </xf>
    <xf numFmtId="171" fontId="10" fillId="0" borderId="0" pivotButton="0" quotePrefix="0" xfId="0"/>
    <xf numFmtId="169" fontId="10" fillId="0" borderId="0" pivotButton="0" quotePrefix="0" xfId="0"/>
    <xf numFmtId="169" fontId="11" fillId="0" borderId="0" pivotButton="0" quotePrefix="0" xfId="0"/>
    <xf numFmtId="169" fontId="11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" fontId="10" fillId="0" borderId="1" applyAlignment="1" pivotButton="0" quotePrefix="0" xfId="0">
      <alignment horizontal="right"/>
    </xf>
    <xf numFmtId="0" fontId="3" fillId="0" borderId="1" pivotButton="0" quotePrefix="0" xfId="0"/>
    <xf numFmtId="166" fontId="11" fillId="0" borderId="0" pivotButton="0" quotePrefix="0" xfId="0"/>
    <xf numFmtId="0" fontId="11" fillId="0" borderId="0" applyAlignment="1" pivotButton="0" quotePrefix="0" xfId="0">
      <alignment horizontal="right"/>
    </xf>
    <xf numFmtId="169" fontId="10" fillId="0" borderId="2" pivotButton="0" quotePrefix="0" xfId="0"/>
    <xf numFmtId="0" fontId="4" fillId="0" borderId="0" applyAlignment="1" pivotButton="0" quotePrefix="0" xfId="0">
      <alignment indent="3"/>
    </xf>
    <xf numFmtId="1" fontId="1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0" fontId="0" fillId="0" borderId="1" pivotButton="0" quotePrefix="0" xfId="0"/>
    <xf numFmtId="171" fontId="6" fillId="0" borderId="0" pivotButton="0" quotePrefix="0" xfId="0"/>
    <xf numFmtId="172" fontId="11" fillId="0" borderId="0" pivotButton="0" quotePrefix="0" xfId="0"/>
    <xf numFmtId="170" fontId="11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Deal Team</author>
  </authors>
  <commentList>
    <comment ref="E17" authorId="0" shapeId="0">
      <text>
        <t>Central-bank reference rate at reference date, rounded</t>
      </text>
    </comment>
  </commentList>
</comments>
</file>

<file path=xl/comments/comment2.xml><?xml version="1.0" encoding="utf-8"?>
<comments xmlns="http://schemas.openxmlformats.org/spreadsheetml/2006/main">
  <authors>
    <author>Deal Team</author>
  </authors>
  <commentList>
    <comment ref="E47" authorId="0" shapeId="0">
      <text>
        <t>hardcoded input – 1 = on, 0 = off</t>
      </text>
    </comment>
    <comment ref="E59" authorId="0" shapeId="0">
      <text>
        <t>hardcoded input – 1 = on, 0 = off</t>
      </text>
    </comment>
    <comment ref="E71" authorId="0" shapeId="0">
      <text>
        <t>hardcoded input – 1 = on, 0 = off</t>
      </text>
    </comment>
    <comment ref="E83" authorId="0" shapeId="0">
      <text>
        <t>hardcoded input – 1 = on, 0 = off</t>
      </text>
    </comment>
    <comment ref="E95" authorId="0" shapeId="0">
      <text>
        <t>hardcoded input – 1 = on, 0 = off</t>
      </text>
    </comment>
    <comment ref="M267" authorId="0" shapeId="0">
      <text>
        <t>hardcoded input – reserves per audited balance sheet</t>
      </text>
    </comment>
  </commentList>
</comments>
</file>

<file path=xl/comments/comment3.xml><?xml version="1.0" encoding="utf-8"?>
<comments xmlns="http://schemas.openxmlformats.org/spreadsheetml/2006/main">
  <authors>
    <author>Deal Team</author>
  </authors>
  <commentList>
    <comment ref="E53" authorId="0" shapeId="0">
      <text>
        <t>hardcoded input – 1 = on, 0 = off</t>
      </text>
    </comment>
    <comment ref="E65" authorId="0" shapeId="0">
      <text>
        <t>hardcoded input – 1 = on, 0 = off</t>
      </text>
    </comment>
    <comment ref="E77" authorId="0" shapeId="0">
      <text>
        <t>hardcoded input – 1 = on, 0 = off</t>
      </text>
    </comment>
    <comment ref="E89" authorId="0" shapeId="0">
      <text>
        <t>hardcoded input – 1 = on, 0 = off</t>
      </text>
    </comment>
    <comment ref="E101" authorId="0" shapeId="0">
      <text>
        <t>hardcoded input – 1 = on, 0 = off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20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48" customWidth="1" min="3" max="3"/>
    <col width="14" customWidth="1" min="4" max="4"/>
  </cols>
  <sheetData>
    <row r="3">
      <c r="C3" s="1" t="inlineStr">
        <is>
          <t>Project Dunecrest</t>
        </is>
      </c>
    </row>
    <row r="4">
      <c r="C4" s="2" t="inlineStr">
        <is>
          <t>Continuation-fund transaction model – Kessport Frontier Managers Limited</t>
        </is>
      </c>
    </row>
    <row r="5">
      <c r="C5" s="3" t="inlineStr">
        <is>
          <t>Tabs:</t>
        </is>
      </c>
    </row>
    <row r="7">
      <c r="C7" s="4" t="inlineStr">
        <is>
          <t>Cover / Disclaimer / Control</t>
        </is>
      </c>
    </row>
    <row r="9">
      <c r="C9" s="4" t="inlineStr">
        <is>
          <t>AHG Company Section (tabs 1–7): entity builds, combined entity, entry &amp; exit</t>
        </is>
      </c>
    </row>
    <row r="11">
      <c r="C11" s="4" t="inlineStr">
        <is>
          <t>Tallowick Company Section (tabs 1–3): build, combined entity, entry &amp; exit</t>
        </is>
      </c>
    </row>
    <row r="13">
      <c r="C13" s="4" t="inlineStr">
        <is>
          <t>Transaction Summary</t>
        </is>
      </c>
    </row>
    <row r="15">
      <c r="C15" s="4" t="inlineStr">
        <is>
          <t>SPV Waterfall</t>
        </is>
      </c>
    </row>
    <row r="17">
      <c r="C17" s="3" t="inlineStr">
        <is>
          <t>Instructions</t>
        </is>
      </c>
    </row>
    <row r="19">
      <c r="C19" s="5" t="inlineStr">
        <is>
          <t>Inputs (can be amended by user)</t>
        </is>
      </c>
      <c r="D19" s="6" t="n">
        <v>12345</v>
      </c>
    </row>
    <row r="20">
      <c r="C20" s="7" t="inlineStr">
        <is>
          <t>Outputs (cannot be amended by user)</t>
        </is>
      </c>
      <c r="D20" s="8">
        <f>D19*2</f>
        <v>24690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D6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10" customWidth="1" min="3" max="3"/>
    <col width="14" customWidth="1" min="4" max="4"/>
  </cols>
  <sheetData>
    <row r="3">
      <c r="C3" s="9" t="str">
        <f>Cover!$C$3</f>
        <v>Project Dunecrest</v>
      </c>
      <c r="D3" s="10" t="inlineStr">
        <is>
          <t>Confidential</t>
        </is>
      </c>
    </row>
    <row r="5" ht="120" customHeight="1">
      <c r="C5" s="11" t="inlineStr">
        <is>
          <t>This document is not a marketing communication. It has been prepared by Kessport Frontier Managers Limited solely for discussion with existing limited partners of Kessport Frontier Fund II in connection with a proposed continuation-fund transaction (Project Dunecrest) under which interests in Arvenna Health Group and Tallowick Consumer Products would be transferred to the Dunecrest Continuation Fund. It does not constitute an offer or a solicitation to acquire or subscribe for any interest in any fund or company. Figures are illustrative and unaudited; projections are based on assumptions that may not be realised and actual results may differ materially. Interest on debt is computed on opening balances; the model contains no circular references. Nothing in this document should be relied upon as investment, legal or tax advice.</t>
        </is>
      </c>
    </row>
    <row r="6"/>
  </sheetData>
  <mergeCells count="1">
    <mergeCell ref="C5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E58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48" customWidth="1" min="3" max="3"/>
    <col width="4" customWidth="1" min="4" max="4"/>
    <col width="30" customWidth="1" min="5" max="5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12" t="inlineStr">
        <is>
          <t>Circuit Breaker</t>
        </is>
      </c>
      <c r="D4" s="12" t="n"/>
      <c r="E4" s="12" t="n"/>
    </row>
    <row r="5">
      <c r="C5" s="4" t="inlineStr">
        <is>
          <t>Circuit Breaker (1 = on)</t>
        </is>
      </c>
      <c r="E5" s="13" t="n">
        <v>1</v>
      </c>
    </row>
    <row r="7">
      <c r="C7" s="12" t="inlineStr">
        <is>
          <t>Transaction Assumptions:</t>
        </is>
      </c>
      <c r="D7" s="12" t="n"/>
      <c r="E7" s="12" t="n"/>
    </row>
    <row r="9">
      <c r="C9" s="14" t="inlineStr">
        <is>
          <t>Sponsor</t>
        </is>
      </c>
      <c r="E9" s="5" t="inlineStr">
        <is>
          <t>Kessport Frontier Managers Limited</t>
        </is>
      </c>
    </row>
    <row r="10">
      <c r="C10" s="14" t="inlineStr">
        <is>
          <t>Funds</t>
        </is>
      </c>
      <c r="E10" s="5" t="inlineStr">
        <is>
          <t>Fund II</t>
        </is>
      </c>
    </row>
    <row r="11">
      <c r="C11" s="14" t="inlineStr">
        <is>
          <t>Reference Date</t>
        </is>
      </c>
      <c r="E11" s="15" t="n">
        <v>46203</v>
      </c>
    </row>
    <row r="12">
      <c r="C12" s="14" t="inlineStr">
        <is>
          <t>Transaction Date</t>
        </is>
      </c>
      <c r="E12" s="15" t="n">
        <v>46387</v>
      </c>
    </row>
    <row r="14">
      <c r="C14" s="12" t="inlineStr">
        <is>
          <t>Portfolio Company Assumptions:</t>
        </is>
      </c>
      <c r="D14" s="12" t="n"/>
      <c r="E14" s="12" t="n"/>
    </row>
    <row r="15">
      <c r="C15" s="3" t="inlineStr">
        <is>
          <t>Arvenna Health Group:</t>
        </is>
      </c>
    </row>
    <row r="16">
      <c r="C16" s="14" t="inlineStr">
        <is>
          <t>Currency</t>
        </is>
      </c>
      <c r="E16" s="5" t="inlineStr">
        <is>
          <t>LCA</t>
        </is>
      </c>
    </row>
    <row r="17">
      <c r="C17" s="14" t="inlineStr">
        <is>
          <t>Currency Conversion to USD</t>
        </is>
      </c>
      <c r="E17" s="16" t="n">
        <v>0.235</v>
      </c>
    </row>
    <row r="18">
      <c r="C18" s="14" t="inlineStr">
        <is>
          <t>Converted Currency</t>
        </is>
      </c>
      <c r="E18" s="5" t="inlineStr">
        <is>
          <t>USD</t>
        </is>
      </c>
    </row>
    <row r="20">
      <c r="C20" s="3" t="inlineStr">
        <is>
          <t>Tallowick:</t>
        </is>
      </c>
    </row>
    <row r="21">
      <c r="C21" s="14" t="inlineStr">
        <is>
          <t>Currency</t>
        </is>
      </c>
      <c r="E21" s="5" t="inlineStr">
        <is>
          <t>LCB</t>
        </is>
      </c>
    </row>
    <row r="22">
      <c r="C22" s="14" t="inlineStr">
        <is>
          <t>Currency Conversion to USD</t>
        </is>
      </c>
      <c r="E22" s="16" t="n">
        <v>0.0125</v>
      </c>
    </row>
    <row r="23">
      <c r="C23" s="14" t="inlineStr">
        <is>
          <t>Converted Currency</t>
        </is>
      </c>
      <c r="E23" s="5" t="inlineStr">
        <is>
          <t>USD</t>
        </is>
      </c>
    </row>
    <row r="25">
      <c r="C25" s="12" t="inlineStr">
        <is>
          <t>New SPV Economics:</t>
        </is>
      </c>
      <c r="D25" s="12" t="n"/>
      <c r="E25" s="12" t="n"/>
    </row>
    <row r="26">
      <c r="C26" s="14" t="inlineStr">
        <is>
          <t>Management Fee</t>
        </is>
      </c>
      <c r="E26" s="5" t="inlineStr">
        <is>
          <t>On net invested capital</t>
        </is>
      </c>
    </row>
    <row r="27">
      <c r="C27" s="14" t="inlineStr">
        <is>
          <t>Management Fee p.a (%)</t>
        </is>
      </c>
      <c r="E27" s="17" t="n">
        <v>0.0175</v>
      </c>
    </row>
    <row r="29">
      <c r="C29" s="14" t="inlineStr">
        <is>
          <t>Reinvested GP Economics ($M)</t>
        </is>
      </c>
      <c r="E29" s="18" t="n">
        <v>5.2</v>
      </c>
    </row>
    <row r="30">
      <c r="C30" s="14" t="inlineStr">
        <is>
          <t>Rolling LPs (% of Continuation Fund)</t>
        </is>
      </c>
      <c r="E30" s="19" t="n">
        <v>0.41</v>
      </c>
    </row>
    <row r="32">
      <c r="C32" s="3" t="inlineStr">
        <is>
          <t>Tier 1: Return of Capital</t>
        </is>
      </c>
    </row>
    <row r="33">
      <c r="C33" s="14" t="inlineStr">
        <is>
          <t>GP Proceeds Allocation (GP commitment %)</t>
        </is>
      </c>
      <c r="E33" s="19" t="n">
        <v>0.02</v>
      </c>
    </row>
    <row r="34">
      <c r="C34" s="14" t="inlineStr">
        <is>
          <t>LP Proceeds Allocation</t>
        </is>
      </c>
      <c r="E34" s="20">
        <f>1-E33</f>
        <v>0.98</v>
      </c>
    </row>
    <row r="36">
      <c r="C36" s="3" t="inlineStr">
        <is>
          <t>Tier 2: Preferred Return to LPs</t>
        </is>
      </c>
    </row>
    <row r="37">
      <c r="C37" s="14" t="inlineStr">
        <is>
          <t>GP Proceeds Allocation</t>
        </is>
      </c>
      <c r="E37" s="19" t="n">
        <v>0</v>
      </c>
    </row>
    <row r="38">
      <c r="C38" s="14" t="inlineStr">
        <is>
          <t>LP Proceeds Allocation</t>
        </is>
      </c>
      <c r="E38" s="20">
        <f>1-E37</f>
        <v>1</v>
      </c>
    </row>
    <row r="39">
      <c r="C39" s="14" t="inlineStr">
        <is>
          <t>IRR Threshold</t>
        </is>
      </c>
      <c r="E39" s="19" t="n">
        <v>0.08</v>
      </c>
    </row>
    <row r="40">
      <c r="C40" s="14" t="inlineStr">
        <is>
          <t>MOIC Threshold</t>
        </is>
      </c>
      <c r="E40" s="21" t="n">
        <v>1</v>
      </c>
    </row>
    <row r="42">
      <c r="C42" s="3" t="inlineStr">
        <is>
          <t>Tier 3: Catch-Up &amp; Carried Interest</t>
        </is>
      </c>
    </row>
    <row r="43">
      <c r="C43" s="14" t="inlineStr">
        <is>
          <t>GP Catch-Up</t>
        </is>
      </c>
      <c r="E43" s="19" t="n">
        <v>1</v>
      </c>
    </row>
    <row r="44">
      <c r="C44" s="14" t="inlineStr">
        <is>
          <t>GP Carried Interest</t>
        </is>
      </c>
      <c r="E44" s="19" t="n">
        <v>0.1</v>
      </c>
    </row>
    <row r="45">
      <c r="C45" s="14" t="inlineStr">
        <is>
          <t>IRR Threshold</t>
        </is>
      </c>
      <c r="E45" s="19" t="n">
        <v>0.08</v>
      </c>
    </row>
    <row r="46">
      <c r="C46" s="14" t="inlineStr">
        <is>
          <t>MOIC Threshold</t>
        </is>
      </c>
      <c r="E46" s="21" t="n">
        <v>1.5</v>
      </c>
    </row>
    <row r="48">
      <c r="C48" s="3" t="inlineStr">
        <is>
          <t>Tier 4: Catch-Up &amp; Carried Interest</t>
        </is>
      </c>
    </row>
    <row r="49">
      <c r="C49" s="14" t="inlineStr">
        <is>
          <t>GP Catch-Up</t>
        </is>
      </c>
      <c r="E49" s="19" t="n">
        <v>1</v>
      </c>
    </row>
    <row r="50">
      <c r="C50" s="14" t="inlineStr">
        <is>
          <t>GP Carried Interest</t>
        </is>
      </c>
      <c r="E50" s="19" t="n">
        <v>0.15</v>
      </c>
    </row>
    <row r="51">
      <c r="C51" s="14" t="inlineStr">
        <is>
          <t>IRR Threshold</t>
        </is>
      </c>
      <c r="E51" s="19" t="n">
        <v>0.15</v>
      </c>
    </row>
    <row r="52">
      <c r="C52" s="14" t="inlineStr">
        <is>
          <t>MOIC Threshold</t>
        </is>
      </c>
      <c r="E52" s="21" t="n">
        <v>2</v>
      </c>
    </row>
    <row r="54">
      <c r="C54" s="3" t="inlineStr">
        <is>
          <t>Tier 5: Catch-Up &amp; Carried Interest</t>
        </is>
      </c>
    </row>
    <row r="55">
      <c r="C55" s="14" t="inlineStr">
        <is>
          <t>GP Catch-Up</t>
        </is>
      </c>
      <c r="E55" s="19" t="n">
        <v>1</v>
      </c>
    </row>
    <row r="56">
      <c r="C56" s="14" t="inlineStr">
        <is>
          <t>GP Carried Interest</t>
        </is>
      </c>
      <c r="E56" s="19" t="n">
        <v>0.2</v>
      </c>
    </row>
    <row r="57">
      <c r="C57" s="14" t="inlineStr">
        <is>
          <t>IRR Threshold</t>
        </is>
      </c>
      <c r="E57" s="19" t="n">
        <v>0.2</v>
      </c>
    </row>
    <row r="58">
      <c r="C58" s="14" t="inlineStr">
        <is>
          <t>MOIC Threshold</t>
        </is>
      </c>
      <c r="E58" s="21" t="n">
        <v>2.5</v>
      </c>
    </row>
  </sheetData>
  <dataValidations count="1">
    <dataValidation sqref="E10" showDropDown="0" showInputMessage="0" showErrorMessage="0" allowBlank="0" type="list">
      <formula1>"Fund II,Fund III"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R160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AHG Central – Operating Build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Build</t>
        </is>
      </c>
      <c r="E11" s="25" t="str">
        <f>"("&amp;Control!$E$16&amp;" in Actual)"</f>
        <v>(LCA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Laboratory:</t>
        </is>
      </c>
    </row>
    <row r="13">
      <c r="C13" s="14" t="inlineStr">
        <is>
          <t># of Tests</t>
        </is>
      </c>
      <c r="G13" s="26" t="n">
        <v>104371</v>
      </c>
      <c r="H13" s="26" t="n">
        <v>95978</v>
      </c>
      <c r="I13" s="26" t="n">
        <v>103537</v>
      </c>
      <c r="J13" s="26" t="n">
        <v>110725</v>
      </c>
      <c r="K13" s="26" t="n">
        <v>121389</v>
      </c>
      <c r="L13" s="26" t="n">
        <v>128622</v>
      </c>
      <c r="M13" s="26" t="n">
        <v>136349</v>
      </c>
      <c r="N13" s="8">
        <f>M13*(1+N14)</f>
        <v>142484.705</v>
      </c>
      <c r="O13" s="8">
        <f>N13*(1+O14)</f>
        <v>149039.00143</v>
      </c>
      <c r="P13" s="8">
        <f>O13*(1+P14)</f>
        <v>160962.1215444</v>
      </c>
      <c r="Q13" s="8">
        <f>P13*(1+Q14)</f>
        <v>175126.788240307</v>
      </c>
      <c r="R13" s="8">
        <f>Q13*(1+R14)</f>
        <v>188261.29735833</v>
      </c>
    </row>
    <row r="14">
      <c r="C14" s="27" t="inlineStr">
        <is>
          <t>Growth (%)</t>
        </is>
      </c>
      <c r="G14" s="28" t="str">
        <f>IFERROR(G13/F13-1,"N/A")</f>
        <v>N/A</v>
      </c>
      <c r="H14" s="28">
        <f>IFERROR(H13/G13-1,"N/A")</f>
        <v>-0.0804150578225752</v>
      </c>
      <c r="I14" s="28">
        <f>IFERROR(I13/H13-1,"N/A")</f>
        <v>0.0787576319573236</v>
      </c>
      <c r="J14" s="28">
        <f>IFERROR(J13/I13-1,"N/A")</f>
        <v>0.0694244569574163</v>
      </c>
      <c r="K14" s="28">
        <f>IFERROR(K13/J13-1,"N/A")</f>
        <v>0.0963106796116504</v>
      </c>
      <c r="L14" s="28">
        <f>IFERROR(L13/K13-1,"N/A")</f>
        <v>0.0595853001507549</v>
      </c>
      <c r="M14" s="28">
        <f>IFERROR(M13/L13-1,"N/A")</f>
        <v>0.0600752592869027</v>
      </c>
      <c r="N14" s="19" t="n">
        <v>0.045</v>
      </c>
      <c r="O14" s="19" t="n">
        <v>0.046</v>
      </c>
      <c r="P14" s="19" t="n">
        <v>0.08</v>
      </c>
      <c r="Q14" s="19" t="n">
        <v>0.08799999999999999</v>
      </c>
      <c r="R14" s="19" t="n">
        <v>0.075</v>
      </c>
    </row>
    <row r="15">
      <c r="C15" s="14" t="inlineStr">
        <is>
          <t>Gross Revenue [per Test] (LCA)</t>
        </is>
      </c>
      <c r="G15" s="26" t="n">
        <v>37</v>
      </c>
      <c r="H15" s="26" t="n">
        <v>38</v>
      </c>
      <c r="I15" s="26" t="n">
        <v>41</v>
      </c>
      <c r="J15" s="26" t="n">
        <v>43</v>
      </c>
      <c r="K15" s="26" t="n">
        <v>45</v>
      </c>
      <c r="L15" s="26" t="n">
        <v>47</v>
      </c>
      <c r="M15" s="26" t="n">
        <v>50</v>
      </c>
      <c r="N15" s="8">
        <f>M15*(1+N16)</f>
        <v>52.9</v>
      </c>
      <c r="O15" s="8">
        <f>N15*(1+O16)</f>
        <v>55.9682</v>
      </c>
      <c r="P15" s="8">
        <f>O15*(1+P16)</f>
        <v>58.9904828</v>
      </c>
      <c r="Q15" s="8">
        <f>P15*(1+Q16)</f>
        <v>62.2939498368</v>
      </c>
      <c r="R15" s="8">
        <f>Q15*(1+R16)</f>
        <v>66.4053505260288</v>
      </c>
    </row>
    <row r="16">
      <c r="C16" s="27" t="inlineStr">
        <is>
          <t>Growth (%)</t>
        </is>
      </c>
      <c r="G16" s="28" t="str">
        <f>IFERROR(G15/F15-1,"N/A")</f>
        <v>N/A</v>
      </c>
      <c r="H16" s="28">
        <f>IFERROR(H15/G15-1,"N/A")</f>
        <v>0.027027027027027</v>
      </c>
      <c r="I16" s="28">
        <f>IFERROR(I15/H15-1,"N/A")</f>
        <v>0.0789473684210527</v>
      </c>
      <c r="J16" s="28">
        <f>IFERROR(J15/I15-1,"N/A")</f>
        <v>0.0487804878048781</v>
      </c>
      <c r="K16" s="28">
        <f>IFERROR(K15/J15-1,"N/A")</f>
        <v>0.0465116279069768</v>
      </c>
      <c r="L16" s="28">
        <f>IFERROR(L15/K15-1,"N/A")</f>
        <v>0.0444444444444445</v>
      </c>
      <c r="M16" s="28">
        <f>IFERROR(M15/L15-1,"N/A")</f>
        <v>0.0638297872340425</v>
      </c>
      <c r="N16" s="19" t="n">
        <v>0.058</v>
      </c>
      <c r="O16" s="19" t="n">
        <v>0.058</v>
      </c>
      <c r="P16" s="19" t="n">
        <v>0.054</v>
      </c>
      <c r="Q16" s="19" t="n">
        <v>0.056</v>
      </c>
      <c r="R16" s="19" t="n">
        <v>0.066</v>
      </c>
    </row>
    <row r="17">
      <c r="C17" s="29" t="inlineStr">
        <is>
          <t>Revenue</t>
        </is>
      </c>
      <c r="G17" s="30">
        <f>G13*G15</f>
        <v>3861727</v>
      </c>
      <c r="H17" s="30">
        <f>H13*H15</f>
        <v>3647164</v>
      </c>
      <c r="I17" s="30">
        <f>I13*I15</f>
        <v>4245017</v>
      </c>
      <c r="J17" s="30">
        <f>J13*J15</f>
        <v>4761175</v>
      </c>
      <c r="K17" s="30">
        <f>K13*K15</f>
        <v>5462505</v>
      </c>
      <c r="L17" s="30">
        <f>L13*L15</f>
        <v>6045234</v>
      </c>
      <c r="M17" s="30">
        <f>M13*M15</f>
        <v>6817450</v>
      </c>
      <c r="N17" s="30">
        <f>N13*N15</f>
        <v>7537440.8945</v>
      </c>
      <c r="O17" s="30">
        <f>O13*O15</f>
        <v>8341444.63983453</v>
      </c>
      <c r="P17" s="30">
        <f>P13*P15</f>
        <v>9495233.26241644</v>
      </c>
      <c r="Q17" s="30">
        <f>Q13*Q15</f>
        <v>10909339.3617216</v>
      </c>
      <c r="R17" s="30">
        <f>R13*R15</f>
        <v>12501557.4415649</v>
      </c>
    </row>
    <row r="19">
      <c r="C19" s="3" t="inlineStr">
        <is>
          <t>Radiology:</t>
        </is>
      </c>
    </row>
    <row r="20">
      <c r="C20" s="14" t="inlineStr">
        <is>
          <t># of Tests</t>
        </is>
      </c>
      <c r="G20" s="26" t="n">
        <v>26516</v>
      </c>
      <c r="H20" s="26" t="n">
        <v>25439</v>
      </c>
      <c r="I20" s="26" t="n">
        <v>27841</v>
      </c>
      <c r="J20" s="26" t="n">
        <v>30119</v>
      </c>
      <c r="K20" s="26" t="n">
        <v>31770</v>
      </c>
      <c r="L20" s="26" t="n">
        <v>33965</v>
      </c>
      <c r="M20" s="26" t="n">
        <v>36270</v>
      </c>
      <c r="N20" s="8">
        <f>M20*(1+N21)</f>
        <v>38518.74</v>
      </c>
      <c r="O20" s="8">
        <f>N20*(1+O21)</f>
        <v>40329.12078</v>
      </c>
      <c r="P20" s="8">
        <f>O20*(1+P21)</f>
        <v>42910.18450992</v>
      </c>
      <c r="Q20" s="8">
        <f>P20*(1+Q21)</f>
        <v>45913.8974256144</v>
      </c>
      <c r="R20" s="8">
        <f>Q20*(1+R21)</f>
        <v>49770.664809366</v>
      </c>
    </row>
    <row r="21">
      <c r="C21" s="27" t="inlineStr">
        <is>
          <t>Growth (%)</t>
        </is>
      </c>
      <c r="G21" s="28" t="str">
        <f>IFERROR(G20/F20-1,"N/A")</f>
        <v>N/A</v>
      </c>
      <c r="H21" s="28">
        <f>IFERROR(H20/G20-1,"N/A")</f>
        <v>-0.0406169859707346</v>
      </c>
      <c r="I21" s="28">
        <f>IFERROR(I20/H20-1,"N/A")</f>
        <v>0.0944219505483706</v>
      </c>
      <c r="J21" s="28">
        <f>IFERROR(J20/I20-1,"N/A")</f>
        <v>0.0818217736431881</v>
      </c>
      <c r="K21" s="28">
        <f>IFERROR(K20/J20-1,"N/A")</f>
        <v>0.0548158969421295</v>
      </c>
      <c r="L21" s="28">
        <f>IFERROR(L20/K20-1,"N/A")</f>
        <v>0.0690903367957192</v>
      </c>
      <c r="M21" s="28">
        <f>IFERROR(M20/L20-1,"N/A")</f>
        <v>0.0678639776240246</v>
      </c>
      <c r="N21" s="19" t="n">
        <v>0.062</v>
      </c>
      <c r="O21" s="19" t="n">
        <v>0.047</v>
      </c>
      <c r="P21" s="19" t="n">
        <v>0.064</v>
      </c>
      <c r="Q21" s="19" t="n">
        <v>0.07000000000000001</v>
      </c>
      <c r="R21" s="19" t="n">
        <v>0.08400000000000001</v>
      </c>
    </row>
    <row r="22">
      <c r="C22" s="14" t="inlineStr">
        <is>
          <t>Gross Revenue [per Test] (LCA)</t>
        </is>
      </c>
      <c r="G22" s="26" t="n">
        <v>120</v>
      </c>
      <c r="H22" s="26" t="n">
        <v>121</v>
      </c>
      <c r="I22" s="26" t="n">
        <v>127</v>
      </c>
      <c r="J22" s="26" t="n">
        <v>136</v>
      </c>
      <c r="K22" s="26" t="n">
        <v>147</v>
      </c>
      <c r="L22" s="26" t="n">
        <v>155</v>
      </c>
      <c r="M22" s="26" t="n">
        <v>170</v>
      </c>
      <c r="N22" s="8">
        <f>M22*(1+N23)</f>
        <v>177.14</v>
      </c>
      <c r="O22" s="8">
        <f>N22*(1+O23)</f>
        <v>187.94554</v>
      </c>
      <c r="P22" s="8">
        <f>O22*(1+P23)</f>
        <v>196.96692592</v>
      </c>
      <c r="Q22" s="8">
        <f>P22*(1+Q23)</f>
        <v>205.63347066048</v>
      </c>
      <c r="R22" s="8">
        <f>Q22*(1+R23)</f>
        <v>220.027813606714</v>
      </c>
    </row>
    <row r="23">
      <c r="C23" s="27" t="inlineStr">
        <is>
          <t>Growth (%)</t>
        </is>
      </c>
      <c r="G23" s="28" t="str">
        <f>IFERROR(G22/F22-1,"N/A")</f>
        <v>N/A</v>
      </c>
      <c r="H23" s="28">
        <f>IFERROR(H22/G22-1,"N/A")</f>
        <v>0.0083333333333333</v>
      </c>
      <c r="I23" s="28">
        <f>IFERROR(I22/H22-1,"N/A")</f>
        <v>0.0495867768595042</v>
      </c>
      <c r="J23" s="28">
        <f>IFERROR(J22/I22-1,"N/A")</f>
        <v>0.0708661417322836</v>
      </c>
      <c r="K23" s="28">
        <f>IFERROR(K22/J22-1,"N/A")</f>
        <v>0.0808823529411764</v>
      </c>
      <c r="L23" s="28">
        <f>IFERROR(L22/K22-1,"N/A")</f>
        <v>0.0544217687074831</v>
      </c>
      <c r="M23" s="28">
        <f>IFERROR(M22/L22-1,"N/A")</f>
        <v>0.096774193548387</v>
      </c>
      <c r="N23" s="19" t="n">
        <v>0.042</v>
      </c>
      <c r="O23" s="19" t="n">
        <v>0.061</v>
      </c>
      <c r="P23" s="19" t="n">
        <v>0.048</v>
      </c>
      <c r="Q23" s="19" t="n">
        <v>0.044</v>
      </c>
      <c r="R23" s="19" t="n">
        <v>0.07000000000000001</v>
      </c>
    </row>
    <row r="24">
      <c r="C24" s="29" t="inlineStr">
        <is>
          <t>Revenue</t>
        </is>
      </c>
      <c r="G24" s="30">
        <f>G20*G22</f>
        <v>3181920</v>
      </c>
      <c r="H24" s="30">
        <f>H20*H22</f>
        <v>3078119</v>
      </c>
      <c r="I24" s="30">
        <f>I20*I22</f>
        <v>3535807</v>
      </c>
      <c r="J24" s="30">
        <f>J20*J22</f>
        <v>4096184</v>
      </c>
      <c r="K24" s="30">
        <f>K20*K22</f>
        <v>4670190</v>
      </c>
      <c r="L24" s="30">
        <f>L20*L22</f>
        <v>5264575</v>
      </c>
      <c r="M24" s="30">
        <f>M20*M22</f>
        <v>6165900</v>
      </c>
      <c r="N24" s="30">
        <f>N20*N22</f>
        <v>6823209.6036</v>
      </c>
      <c r="O24" s="30">
        <f>O20*O22</f>
        <v>7579678.38272232</v>
      </c>
      <c r="P24" s="30">
        <f>P20*P22</f>
        <v>8451887.13357895</v>
      </c>
      <c r="Q24" s="30">
        <f>Q20*Q22</f>
        <v>9441434.07917837</v>
      </c>
      <c r="R24" s="30">
        <f>R20*R22</f>
        <v>10950930.5597574</v>
      </c>
    </row>
    <row r="26">
      <c r="C26" s="3" t="inlineStr">
        <is>
          <t>Endoscopy:</t>
        </is>
      </c>
    </row>
    <row r="27">
      <c r="C27" s="14" t="inlineStr">
        <is>
          <t># of Visits</t>
        </is>
      </c>
      <c r="G27" s="26" t="n">
        <v>1831</v>
      </c>
      <c r="H27" s="26" t="n">
        <v>1709</v>
      </c>
      <c r="I27" s="26" t="n">
        <v>1814</v>
      </c>
      <c r="J27" s="26" t="n">
        <v>1969</v>
      </c>
      <c r="K27" s="26" t="n">
        <v>2062</v>
      </c>
      <c r="L27" s="26" t="n">
        <v>2203</v>
      </c>
      <c r="M27" s="26" t="n">
        <v>2347</v>
      </c>
      <c r="N27" s="8">
        <f>M27*(1+N28)</f>
        <v>2504.249</v>
      </c>
      <c r="O27" s="8">
        <f>N27*(1+O28)</f>
        <v>2702.084671</v>
      </c>
      <c r="P27" s="8">
        <f>O27*(1+P28)</f>
        <v>2858.805581918</v>
      </c>
      <c r="Q27" s="8">
        <f>P27*(1+Q28)</f>
        <v>3027.47511125116</v>
      </c>
      <c r="R27" s="8">
        <f>Q27*(1+R28)</f>
        <v>3175.82139170247</v>
      </c>
    </row>
    <row r="28">
      <c r="C28" s="27" t="inlineStr">
        <is>
          <t>Growth (%)</t>
        </is>
      </c>
      <c r="G28" s="28" t="str">
        <f>IFERROR(G27/F27-1,"N/A")</f>
        <v>N/A</v>
      </c>
      <c r="H28" s="28">
        <f>IFERROR(H27/G27-1,"N/A")</f>
        <v>-0.0666302566903332</v>
      </c>
      <c r="I28" s="28">
        <f>IFERROR(I27/H27-1,"N/A")</f>
        <v>0.061439438267993</v>
      </c>
      <c r="J28" s="28">
        <f>IFERROR(J27/I27-1,"N/A")</f>
        <v>0.0854465270121279</v>
      </c>
      <c r="K28" s="28">
        <f>IFERROR(K27/J27-1,"N/A")</f>
        <v>0.0472320975114271</v>
      </c>
      <c r="L28" s="28">
        <f>IFERROR(L27/K27-1,"N/A")</f>
        <v>0.0683802133850631</v>
      </c>
      <c r="M28" s="28">
        <f>IFERROR(M27/L27-1,"N/A")</f>
        <v>0.0653654108034498</v>
      </c>
      <c r="N28" s="19" t="n">
        <v>0.067</v>
      </c>
      <c r="O28" s="19" t="n">
        <v>0.079</v>
      </c>
      <c r="P28" s="19" t="n">
        <v>0.058</v>
      </c>
      <c r="Q28" s="19" t="n">
        <v>0.059</v>
      </c>
      <c r="R28" s="19" t="n">
        <v>0.049</v>
      </c>
    </row>
    <row r="29">
      <c r="C29" s="14" t="inlineStr">
        <is>
          <t>Gross Revenue [per Visit] (LCA)</t>
        </is>
      </c>
      <c r="G29" s="26" t="n">
        <v>740</v>
      </c>
      <c r="H29" s="26" t="n">
        <v>769</v>
      </c>
      <c r="I29" s="26" t="n">
        <v>808</v>
      </c>
      <c r="J29" s="26" t="n">
        <v>888</v>
      </c>
      <c r="K29" s="26" t="n">
        <v>934</v>
      </c>
      <c r="L29" s="26" t="n">
        <v>1013</v>
      </c>
      <c r="M29" s="26" t="n">
        <v>1105</v>
      </c>
      <c r="N29" s="8">
        <f>M29*(1+N30)</f>
        <v>1164.67</v>
      </c>
      <c r="O29" s="8">
        <f>N29*(1+O30)</f>
        <v>1233.38553</v>
      </c>
      <c r="P29" s="8">
        <f>O29*(1+P30)</f>
        <v>1319.7225171</v>
      </c>
      <c r="Q29" s="8">
        <f>P29*(1+Q30)</f>
        <v>1410.7833707799</v>
      </c>
      <c r="R29" s="8">
        <f>Q29*(1+R30)</f>
        <v>1495.43037302669</v>
      </c>
    </row>
    <row r="30">
      <c r="C30" s="27" t="inlineStr">
        <is>
          <t>Growth (%)</t>
        </is>
      </c>
      <c r="G30" s="28" t="str">
        <f>IFERROR(G29/F29-1,"N/A")</f>
        <v>N/A</v>
      </c>
      <c r="H30" s="28">
        <f>IFERROR(H29/G29-1,"N/A")</f>
        <v>0.0391891891891891</v>
      </c>
      <c r="I30" s="28">
        <f>IFERROR(I29/H29-1,"N/A")</f>
        <v>0.0507152145643692</v>
      </c>
      <c r="J30" s="28">
        <f>IFERROR(J29/I29-1,"N/A")</f>
        <v>0.0990099009900991</v>
      </c>
      <c r="K30" s="28">
        <f>IFERROR(K29/J29-1,"N/A")</f>
        <v>0.0518018018018018</v>
      </c>
      <c r="L30" s="28">
        <f>IFERROR(L29/K29-1,"N/A")</f>
        <v>0.0845824411134903</v>
      </c>
      <c r="M30" s="28">
        <f>IFERROR(M29/L29-1,"N/A")</f>
        <v>0.0908193484698914</v>
      </c>
      <c r="N30" s="19" t="n">
        <v>0.054</v>
      </c>
      <c r="O30" s="19" t="n">
        <v>0.059</v>
      </c>
      <c r="P30" s="19" t="n">
        <v>0.07000000000000001</v>
      </c>
      <c r="Q30" s="19" t="n">
        <v>0.06900000000000001</v>
      </c>
      <c r="R30" s="19" t="n">
        <v>0.06</v>
      </c>
    </row>
    <row r="31">
      <c r="C31" s="29" t="inlineStr">
        <is>
          <t>Revenue</t>
        </is>
      </c>
      <c r="G31" s="30">
        <f>G27*G29</f>
        <v>1354940</v>
      </c>
      <c r="H31" s="30">
        <f>H27*H29</f>
        <v>1314221</v>
      </c>
      <c r="I31" s="30">
        <f>I27*I29</f>
        <v>1465712</v>
      </c>
      <c r="J31" s="30">
        <f>J27*J29</f>
        <v>1748472</v>
      </c>
      <c r="K31" s="30">
        <f>K27*K29</f>
        <v>1925908</v>
      </c>
      <c r="L31" s="30">
        <f>L27*L29</f>
        <v>2231639</v>
      </c>
      <c r="M31" s="30">
        <f>M27*M29</f>
        <v>2593435</v>
      </c>
      <c r="N31" s="30">
        <f>N27*N29</f>
        <v>2916623.68283</v>
      </c>
      <c r="O31" s="30">
        <f>O27*O29</f>
        <v>3332712.13404621</v>
      </c>
      <c r="P31" s="30">
        <f>P27*P29</f>
        <v>3772830.09846835</v>
      </c>
      <c r="Q31" s="30">
        <f>Q27*Q29</f>
        <v>4271111.54240317</v>
      </c>
      <c r="R31" s="30">
        <f>R27*R29</f>
        <v>4749219.76845978</v>
      </c>
    </row>
    <row r="33">
      <c r="C33" s="3" t="inlineStr">
        <is>
          <t>Physiotherapy:</t>
        </is>
      </c>
    </row>
    <row r="34">
      <c r="C34" s="14" t="inlineStr">
        <is>
          <t># of Patients</t>
        </is>
      </c>
      <c r="G34" s="26" t="n">
        <v>5603</v>
      </c>
      <c r="H34" s="26" t="n">
        <v>5184</v>
      </c>
      <c r="I34" s="26" t="n">
        <v>5596</v>
      </c>
      <c r="J34" s="26" t="n">
        <v>5788</v>
      </c>
      <c r="K34" s="26" t="n">
        <v>6353</v>
      </c>
      <c r="L34" s="26" t="n">
        <v>6895</v>
      </c>
      <c r="M34" s="26" t="n">
        <v>7535</v>
      </c>
      <c r="N34" s="8">
        <f>M34*(1+N35)</f>
        <v>7919.285</v>
      </c>
      <c r="O34" s="8">
        <f>N34*(1+O35)</f>
        <v>8323.168535</v>
      </c>
      <c r="P34" s="8">
        <f>O34*(1+P35)</f>
        <v>8672.74161347</v>
      </c>
      <c r="Q34" s="8">
        <f>P34*(1+Q35)</f>
        <v>9175.76062705126</v>
      </c>
      <c r="R34" s="8">
        <f>Q34*(1+R35)</f>
        <v>9735.48202530139</v>
      </c>
    </row>
    <row r="35">
      <c r="C35" s="27" t="inlineStr">
        <is>
          <t>Growth (%)</t>
        </is>
      </c>
      <c r="G35" s="28" t="str">
        <f>IFERROR(G34/F34-1,"N/A")</f>
        <v>N/A</v>
      </c>
      <c r="H35" s="28">
        <f>IFERROR(H34/G34-1,"N/A")</f>
        <v>-0.0747813671247546</v>
      </c>
      <c r="I35" s="28">
        <f>IFERROR(I34/H34-1,"N/A")</f>
        <v>0.0794753086419753</v>
      </c>
      <c r="J35" s="28">
        <f>IFERROR(J34/I34-1,"N/A")</f>
        <v>0.0343102215868478</v>
      </c>
      <c r="K35" s="28">
        <f>IFERROR(K34/J34-1,"N/A")</f>
        <v>0.0976157567380789</v>
      </c>
      <c r="L35" s="28">
        <f>IFERROR(L34/K34-1,"N/A")</f>
        <v>0.0853140248701401</v>
      </c>
      <c r="M35" s="28">
        <f>IFERROR(M34/L34-1,"N/A")</f>
        <v>0.0928208846990573</v>
      </c>
      <c r="N35" s="19" t="n">
        <v>0.051</v>
      </c>
      <c r="O35" s="19" t="n">
        <v>0.051</v>
      </c>
      <c r="P35" s="19" t="n">
        <v>0.042</v>
      </c>
      <c r="Q35" s="19" t="n">
        <v>0.058</v>
      </c>
      <c r="R35" s="19" t="n">
        <v>0.061</v>
      </c>
    </row>
    <row r="36">
      <c r="C36" s="14" t="inlineStr">
        <is>
          <t>Gross Revenue [per Patient] (LCA)</t>
        </is>
      </c>
      <c r="G36" s="26" t="n">
        <v>104</v>
      </c>
      <c r="H36" s="26" t="n">
        <v>107</v>
      </c>
      <c r="I36" s="26" t="n">
        <v>111</v>
      </c>
      <c r="J36" s="26" t="n">
        <v>120</v>
      </c>
      <c r="K36" s="26" t="n">
        <v>134</v>
      </c>
      <c r="L36" s="26" t="n">
        <v>144</v>
      </c>
      <c r="M36" s="26" t="n">
        <v>156</v>
      </c>
      <c r="N36" s="8">
        <f>M36*(1+N37)</f>
        <v>163.8</v>
      </c>
      <c r="O36" s="8">
        <f>N36*(1+O37)</f>
        <v>175.1022</v>
      </c>
      <c r="P36" s="8">
        <f>O36*(1+P37)</f>
        <v>185.4332298</v>
      </c>
      <c r="Q36" s="8">
        <f>P36*(1+Q37)</f>
        <v>195.0757577496</v>
      </c>
      <c r="R36" s="8">
        <f>Q36*(1+R37)</f>
        <v>206.585227456826</v>
      </c>
    </row>
    <row r="37">
      <c r="C37" s="27" t="inlineStr">
        <is>
          <t>Growth (%)</t>
        </is>
      </c>
      <c r="G37" s="28" t="str">
        <f>IFERROR(G36/F36-1,"N/A")</f>
        <v>N/A</v>
      </c>
      <c r="H37" s="28">
        <f>IFERROR(H36/G36-1,"N/A")</f>
        <v>0.0288461538461537</v>
      </c>
      <c r="I37" s="28">
        <f>IFERROR(I36/H36-1,"N/A")</f>
        <v>0.0373831775700935</v>
      </c>
      <c r="J37" s="28">
        <f>IFERROR(J36/I36-1,"N/A")</f>
        <v>0.0810810810810811</v>
      </c>
      <c r="K37" s="28">
        <f>IFERROR(K36/J36-1,"N/A")</f>
        <v>0.116666666666667</v>
      </c>
      <c r="L37" s="28">
        <f>IFERROR(L36/K36-1,"N/A")</f>
        <v>0.0746268656716418</v>
      </c>
      <c r="M37" s="28">
        <f>IFERROR(M36/L36-1,"N/A")</f>
        <v>0.0833333333333333</v>
      </c>
      <c r="N37" s="19" t="n">
        <v>0.05</v>
      </c>
      <c r="O37" s="19" t="n">
        <v>0.06900000000000001</v>
      </c>
      <c r="P37" s="19" t="n">
        <v>0.059</v>
      </c>
      <c r="Q37" s="19" t="n">
        <v>0.052</v>
      </c>
      <c r="R37" s="19" t="n">
        <v>0.059</v>
      </c>
    </row>
    <row r="38">
      <c r="C38" s="29" t="inlineStr">
        <is>
          <t>Revenue</t>
        </is>
      </c>
      <c r="G38" s="30">
        <f>G34*G36</f>
        <v>582712</v>
      </c>
      <c r="H38" s="30">
        <f>H34*H36</f>
        <v>554688</v>
      </c>
      <c r="I38" s="30">
        <f>I34*I36</f>
        <v>621156</v>
      </c>
      <c r="J38" s="30">
        <f>J34*J36</f>
        <v>694560</v>
      </c>
      <c r="K38" s="30">
        <f>K34*K36</f>
        <v>851302</v>
      </c>
      <c r="L38" s="30">
        <f>L34*L36</f>
        <v>992880</v>
      </c>
      <c r="M38" s="30">
        <f>M34*M36</f>
        <v>1175460</v>
      </c>
      <c r="N38" s="30">
        <f>N34*N36</f>
        <v>1297178.883</v>
      </c>
      <c r="O38" s="30">
        <f>O34*O36</f>
        <v>1457405.12144928</v>
      </c>
      <c r="P38" s="30">
        <f>P34*P36</f>
        <v>1608214.48860661</v>
      </c>
      <c r="Q38" s="30">
        <f>Q34*Q36</f>
        <v>1789968.45725097</v>
      </c>
      <c r="R38" s="30">
        <f>R34*R36</f>
        <v>2011206.76859873</v>
      </c>
    </row>
    <row r="40">
      <c r="C40" s="3" t="inlineStr">
        <is>
          <t>IVF:</t>
        </is>
      </c>
    </row>
    <row r="41">
      <c r="C41" s="14" t="inlineStr">
        <is>
          <t># of Patients</t>
        </is>
      </c>
      <c r="G41" s="26" t="n">
        <v>240</v>
      </c>
      <c r="H41" s="26" t="n">
        <v>218</v>
      </c>
      <c r="I41" s="26" t="n">
        <v>238</v>
      </c>
      <c r="J41" s="26" t="n">
        <v>259</v>
      </c>
      <c r="K41" s="26" t="n">
        <v>282</v>
      </c>
      <c r="L41" s="26" t="n">
        <v>308</v>
      </c>
      <c r="M41" s="26" t="n">
        <v>335</v>
      </c>
      <c r="N41" s="8">
        <f>M41*(1+N42)</f>
        <v>349.74</v>
      </c>
      <c r="O41" s="8">
        <f>N41*(1+O42)</f>
        <v>369.67518</v>
      </c>
      <c r="P41" s="8">
        <f>O41*(1+P42)</f>
        <v>390.0073149</v>
      </c>
      <c r="Q41" s="8">
        <f>P41*(1+Q42)</f>
        <v>416.9178196281</v>
      </c>
      <c r="R41" s="8">
        <f>Q41*(1+R42)</f>
        <v>448.186656100207</v>
      </c>
    </row>
    <row r="42">
      <c r="C42" s="27" t="inlineStr">
        <is>
          <t>Growth (%)</t>
        </is>
      </c>
      <c r="G42" s="28" t="str">
        <f>IFERROR(G41/F41-1,"N/A")</f>
        <v>N/A</v>
      </c>
      <c r="H42" s="28">
        <f>IFERROR(H41/G41-1,"N/A")</f>
        <v>-0.0916666666666667</v>
      </c>
      <c r="I42" s="28">
        <f>IFERROR(I41/H41-1,"N/A")</f>
        <v>0.0917431192660549</v>
      </c>
      <c r="J42" s="28">
        <f>IFERROR(J41/I41-1,"N/A")</f>
        <v>0.088235294117647</v>
      </c>
      <c r="K42" s="28">
        <f>IFERROR(K41/J41-1,"N/A")</f>
        <v>0.0888030888030889</v>
      </c>
      <c r="L42" s="28">
        <f>IFERROR(L41/K41-1,"N/A")</f>
        <v>0.0921985815602837</v>
      </c>
      <c r="M42" s="28">
        <f>IFERROR(M41/L41-1,"N/A")</f>
        <v>0.0876623376623376</v>
      </c>
      <c r="N42" s="19" t="n">
        <v>0.044</v>
      </c>
      <c r="O42" s="19" t="n">
        <v>0.057</v>
      </c>
      <c r="P42" s="19" t="n">
        <v>0.055</v>
      </c>
      <c r="Q42" s="19" t="n">
        <v>0.06900000000000001</v>
      </c>
      <c r="R42" s="19" t="n">
        <v>0.075</v>
      </c>
    </row>
    <row r="43">
      <c r="C43" s="14" t="inlineStr">
        <is>
          <t>Gross Revenue [per Patient] (LCA)</t>
        </is>
      </c>
      <c r="G43" s="26" t="n">
        <v>3968</v>
      </c>
      <c r="H43" s="26" t="n">
        <v>4025</v>
      </c>
      <c r="I43" s="26" t="n">
        <v>4222</v>
      </c>
      <c r="J43" s="26" t="n">
        <v>4423</v>
      </c>
      <c r="K43" s="26" t="n">
        <v>4706</v>
      </c>
      <c r="L43" s="26" t="n">
        <v>5167</v>
      </c>
      <c r="M43" s="26" t="n">
        <v>5518</v>
      </c>
      <c r="N43" s="8">
        <f>M43*(1+N44)</f>
        <v>5815.972</v>
      </c>
      <c r="O43" s="8">
        <f>N43*(1+O44)</f>
        <v>6159.114348</v>
      </c>
      <c r="P43" s="8">
        <f>O43*(1+P44)</f>
        <v>6473.229179748</v>
      </c>
      <c r="Q43" s="8">
        <f>P43*(1+Q44)</f>
        <v>6777.47095119616</v>
      </c>
      <c r="R43" s="8">
        <f>Q43*(1+R44)</f>
        <v>7218.0065630239</v>
      </c>
    </row>
    <row r="44">
      <c r="C44" s="27" t="inlineStr">
        <is>
          <t>Growth (%)</t>
        </is>
      </c>
      <c r="G44" s="28" t="str">
        <f>IFERROR(G43/F43-1,"N/A")</f>
        <v>N/A</v>
      </c>
      <c r="H44" s="28">
        <f>IFERROR(H43/G43-1,"N/A")</f>
        <v>0.0143649193548387</v>
      </c>
      <c r="I44" s="28">
        <f>IFERROR(I43/H43-1,"N/A")</f>
        <v>0.0489440993788819</v>
      </c>
      <c r="J44" s="28">
        <f>IFERROR(J43/I43-1,"N/A")</f>
        <v>0.0476077688299383</v>
      </c>
      <c r="K44" s="28">
        <f>IFERROR(K43/J43-1,"N/A")</f>
        <v>0.0639837214560253</v>
      </c>
      <c r="L44" s="28">
        <f>IFERROR(L43/K43-1,"N/A")</f>
        <v>0.0979600509987251</v>
      </c>
      <c r="M44" s="28">
        <f>IFERROR(M43/L43-1,"N/A")</f>
        <v>0.0679311012192763</v>
      </c>
      <c r="N44" s="19" t="n">
        <v>0.054</v>
      </c>
      <c r="O44" s="19" t="n">
        <v>0.059</v>
      </c>
      <c r="P44" s="19" t="n">
        <v>0.051</v>
      </c>
      <c r="Q44" s="19" t="n">
        <v>0.047</v>
      </c>
      <c r="R44" s="19" t="n">
        <v>0.065</v>
      </c>
    </row>
    <row r="45">
      <c r="C45" s="29" t="inlineStr">
        <is>
          <t>Revenue</t>
        </is>
      </c>
      <c r="G45" s="30">
        <f>G41*G43</f>
        <v>952320</v>
      </c>
      <c r="H45" s="30">
        <f>H41*H43</f>
        <v>877450</v>
      </c>
      <c r="I45" s="30">
        <f>I41*I43</f>
        <v>1004836</v>
      </c>
      <c r="J45" s="30">
        <f>J41*J43</f>
        <v>1145557</v>
      </c>
      <c r="K45" s="30">
        <f>K41*K43</f>
        <v>1327092</v>
      </c>
      <c r="L45" s="30">
        <f>L41*L43</f>
        <v>1591436</v>
      </c>
      <c r="M45" s="30">
        <f>M41*M43</f>
        <v>1848530</v>
      </c>
      <c r="N45" s="30">
        <f>N41*N43</f>
        <v>2034078.04728</v>
      </c>
      <c r="O45" s="30">
        <f>O41*O43</f>
        <v>2276871.70523748</v>
      </c>
      <c r="P45" s="30">
        <f>P41*P43</f>
        <v>2524606.73112585</v>
      </c>
      <c r="Q45" s="30">
        <f>Q41*Q43</f>
        <v>2825648.41156549</v>
      </c>
      <c r="R45" s="30">
        <f>R41*R43</f>
        <v>3235014.22519104</v>
      </c>
    </row>
    <row r="47">
      <c r="C47" s="3" t="inlineStr">
        <is>
          <t>Anapath:</t>
        </is>
      </c>
    </row>
    <row r="48">
      <c r="C48" s="14" t="inlineStr">
        <is>
          <t># of Patients</t>
        </is>
      </c>
      <c r="G48" s="26" t="n">
        <v>7417</v>
      </c>
      <c r="H48" s="26" t="n">
        <v>6961</v>
      </c>
      <c r="I48" s="26" t="n">
        <v>7592</v>
      </c>
      <c r="J48" s="26" t="n">
        <v>8178</v>
      </c>
      <c r="K48" s="26" t="n">
        <v>9185</v>
      </c>
      <c r="L48" s="26" t="n">
        <v>10117</v>
      </c>
      <c r="M48" s="26" t="n">
        <v>11179</v>
      </c>
      <c r="N48" s="8">
        <f>M48*(1+N49)</f>
        <v>12017.425</v>
      </c>
      <c r="O48" s="8">
        <f>N48*(1+O49)</f>
        <v>12954.78415</v>
      </c>
      <c r="P48" s="8">
        <f>O48*(1+P49)</f>
        <v>13615.47814165</v>
      </c>
      <c r="Q48" s="8">
        <f>P48*(1+Q49)</f>
        <v>14486.8687427156</v>
      </c>
      <c r="R48" s="8">
        <f>Q48*(1+R49)</f>
        <v>15515.4364234484</v>
      </c>
    </row>
    <row r="49">
      <c r="C49" s="27" t="inlineStr">
        <is>
          <t>Growth (%)</t>
        </is>
      </c>
      <c r="G49" s="28" t="str">
        <f>IFERROR(G48/F48-1,"N/A")</f>
        <v>N/A</v>
      </c>
      <c r="H49" s="28">
        <f>IFERROR(H48/G48-1,"N/A")</f>
        <v>-0.0614803829041392</v>
      </c>
      <c r="I49" s="28">
        <f>IFERROR(I48/H48-1,"N/A")</f>
        <v>0.0906478954173251</v>
      </c>
      <c r="J49" s="28">
        <f>IFERROR(J48/I48-1,"N/A")</f>
        <v>0.0771865121180189</v>
      </c>
      <c r="K49" s="28">
        <f>IFERROR(K48/J48-1,"N/A")</f>
        <v>0.123135240890193</v>
      </c>
      <c r="L49" s="28">
        <f>IFERROR(L48/K48-1,"N/A")</f>
        <v>0.101469787697333</v>
      </c>
      <c r="M49" s="28">
        <f>IFERROR(M48/L48-1,"N/A")</f>
        <v>0.104971829593753</v>
      </c>
      <c r="N49" s="19" t="n">
        <v>0.075</v>
      </c>
      <c r="O49" s="19" t="n">
        <v>0.078</v>
      </c>
      <c r="P49" s="19" t="n">
        <v>0.051</v>
      </c>
      <c r="Q49" s="19" t="n">
        <v>0.064</v>
      </c>
      <c r="R49" s="19" t="n">
        <v>0.07099999999999999</v>
      </c>
    </row>
    <row r="50">
      <c r="C50" s="14" t="inlineStr">
        <is>
          <t>Gross Revenue [per Patient] (LCA)</t>
        </is>
      </c>
      <c r="G50" s="26" t="n">
        <v>128</v>
      </c>
      <c r="H50" s="26" t="n">
        <v>125</v>
      </c>
      <c r="I50" s="26" t="n">
        <v>129</v>
      </c>
      <c r="J50" s="26" t="n">
        <v>135</v>
      </c>
      <c r="K50" s="26" t="n">
        <v>144</v>
      </c>
      <c r="L50" s="26" t="n">
        <v>156</v>
      </c>
      <c r="M50" s="26" t="n">
        <v>169</v>
      </c>
      <c r="N50" s="8">
        <f>M50*(1+N51)</f>
        <v>177.281</v>
      </c>
      <c r="O50" s="8">
        <f>N50*(1+O51)</f>
        <v>186.676893</v>
      </c>
      <c r="P50" s="8">
        <f>O50*(1+P51)</f>
        <v>194.14396872</v>
      </c>
      <c r="Q50" s="8">
        <f>P50*(1+Q51)</f>
        <v>202.8804473124</v>
      </c>
      <c r="R50" s="8">
        <f>Q50*(1+R51)</f>
        <v>214.647513256519</v>
      </c>
    </row>
    <row r="51">
      <c r="C51" s="27" t="inlineStr">
        <is>
          <t>Growth (%)</t>
        </is>
      </c>
      <c r="G51" s="28" t="str">
        <f>IFERROR(G50/F50-1,"N/A")</f>
        <v>N/A</v>
      </c>
      <c r="H51" s="28">
        <f>IFERROR(H50/G50-1,"N/A")</f>
        <v>-0.0234375</v>
      </c>
      <c r="I51" s="28">
        <f>IFERROR(I50/H50-1,"N/A")</f>
        <v>0.032</v>
      </c>
      <c r="J51" s="28">
        <f>IFERROR(J50/I50-1,"N/A")</f>
        <v>0.0465116279069768</v>
      </c>
      <c r="K51" s="28">
        <f>IFERROR(K50/J50-1,"N/A")</f>
        <v>0.0666666666666667</v>
      </c>
      <c r="L51" s="28">
        <f>IFERROR(L50/K50-1,"N/A")</f>
        <v>0.0833333333333333</v>
      </c>
      <c r="M51" s="28">
        <f>IFERROR(M50/L50-1,"N/A")</f>
        <v>0.0833333333333333</v>
      </c>
      <c r="N51" s="19" t="n">
        <v>0.049</v>
      </c>
      <c r="O51" s="19" t="n">
        <v>0.053</v>
      </c>
      <c r="P51" s="19" t="n">
        <v>0.04</v>
      </c>
      <c r="Q51" s="19" t="n">
        <v>0.045</v>
      </c>
      <c r="R51" s="19" t="n">
        <v>0.058</v>
      </c>
    </row>
    <row r="52">
      <c r="C52" s="29" t="inlineStr">
        <is>
          <t>Revenue</t>
        </is>
      </c>
      <c r="G52" s="30">
        <f>G48*G50</f>
        <v>949376</v>
      </c>
      <c r="H52" s="30">
        <f>H48*H50</f>
        <v>870125</v>
      </c>
      <c r="I52" s="30">
        <f>I48*I50</f>
        <v>979368</v>
      </c>
      <c r="J52" s="30">
        <f>J48*J50</f>
        <v>1104030</v>
      </c>
      <c r="K52" s="30">
        <f>K48*K50</f>
        <v>1322640</v>
      </c>
      <c r="L52" s="30">
        <f>L48*L50</f>
        <v>1578252</v>
      </c>
      <c r="M52" s="30">
        <f>M48*M50</f>
        <v>1889251</v>
      </c>
      <c r="N52" s="30">
        <f>N48*N50</f>
        <v>2130461.121425</v>
      </c>
      <c r="O52" s="30">
        <f>O48*O50</f>
        <v>2418358.85460765</v>
      </c>
      <c r="P52" s="30">
        <f>P48*P50</f>
        <v>2643362.96244034</v>
      </c>
      <c r="Q52" s="30">
        <f>Q48*Q50</f>
        <v>2939102.41067817</v>
      </c>
      <c r="R52" s="30">
        <f>R48*R50</f>
        <v>3330349.84538282</v>
      </c>
    </row>
    <row r="54">
      <c r="C54" s="3" t="inlineStr">
        <is>
          <t>Surgery:</t>
        </is>
      </c>
    </row>
    <row r="55">
      <c r="C55" s="14" t="inlineStr">
        <is>
          <t># of Surgeries</t>
        </is>
      </c>
      <c r="G55" s="26" t="n">
        <v>3926</v>
      </c>
      <c r="H55" s="26" t="n">
        <v>3671</v>
      </c>
      <c r="I55" s="26" t="n">
        <v>3956</v>
      </c>
      <c r="J55" s="26" t="n">
        <v>4304</v>
      </c>
      <c r="K55" s="26" t="n">
        <v>4734</v>
      </c>
      <c r="L55" s="26" t="n">
        <v>5063</v>
      </c>
      <c r="M55" s="26" t="n">
        <v>5382</v>
      </c>
      <c r="N55" s="8">
        <f>M55*(1+N56)</f>
        <v>5613.426</v>
      </c>
      <c r="O55" s="8">
        <f>N55*(1+O56)</f>
        <v>6068.113506</v>
      </c>
      <c r="P55" s="8">
        <f>O55*(1+P56)</f>
        <v>6377.587294806</v>
      </c>
      <c r="Q55" s="8">
        <f>P55*(1+Q56)</f>
        <v>6760.24253249436</v>
      </c>
      <c r="R55" s="8">
        <f>Q55*(1+R56)</f>
        <v>7145.57635684654</v>
      </c>
    </row>
    <row r="56">
      <c r="C56" s="27" t="inlineStr">
        <is>
          <t>Growth (%)</t>
        </is>
      </c>
      <c r="G56" s="28" t="str">
        <f>IFERROR(G55/F55-1,"N/A")</f>
        <v>N/A</v>
      </c>
      <c r="H56" s="28">
        <f>IFERROR(H55/G55-1,"N/A")</f>
        <v>-0.064951604686704</v>
      </c>
      <c r="I56" s="28">
        <f>IFERROR(I55/H55-1,"N/A")</f>
        <v>0.0776355216562246</v>
      </c>
      <c r="J56" s="28">
        <f>IFERROR(J55/I55-1,"N/A")</f>
        <v>0.0879676440849342</v>
      </c>
      <c r="K56" s="28">
        <f>IFERROR(K55/J55-1,"N/A")</f>
        <v>0.099907063197026</v>
      </c>
      <c r="L56" s="28">
        <f>IFERROR(L55/K55-1,"N/A")</f>
        <v>0.0694972539079004</v>
      </c>
      <c r="M56" s="28">
        <f>IFERROR(M55/L55-1,"N/A")</f>
        <v>0.063006122852064</v>
      </c>
      <c r="N56" s="19" t="n">
        <v>0.043</v>
      </c>
      <c r="O56" s="19" t="n">
        <v>0.081</v>
      </c>
      <c r="P56" s="19" t="n">
        <v>0.051</v>
      </c>
      <c r="Q56" s="19" t="n">
        <v>0.06</v>
      </c>
      <c r="R56" s="19" t="n">
        <v>0.057</v>
      </c>
    </row>
    <row r="57">
      <c r="C57" s="14" t="inlineStr">
        <is>
          <t>Gross Revenue [per Surgery] (LCA)</t>
        </is>
      </c>
      <c r="G57" s="26" t="n">
        <v>2107</v>
      </c>
      <c r="H57" s="26" t="n">
        <v>2173</v>
      </c>
      <c r="I57" s="26" t="n">
        <v>2403</v>
      </c>
      <c r="J57" s="26" t="n">
        <v>2514</v>
      </c>
      <c r="K57" s="26" t="n">
        <v>2642</v>
      </c>
      <c r="L57" s="26" t="n">
        <v>2781</v>
      </c>
      <c r="M57" s="26" t="n">
        <v>2943</v>
      </c>
      <c r="N57" s="8">
        <f>M57*(1+N58)</f>
        <v>3107.808</v>
      </c>
      <c r="O57" s="8">
        <f>N57*(1+O58)</f>
        <v>3312.923328</v>
      </c>
      <c r="P57" s="8">
        <f>O57*(1+P58)</f>
        <v>3501.759957696</v>
      </c>
      <c r="Q57" s="8">
        <f>P57*(1+Q58)</f>
        <v>3690.85499541158</v>
      </c>
      <c r="R57" s="8">
        <f>Q57*(1+R58)</f>
        <v>3890.16116516381</v>
      </c>
    </row>
    <row r="58">
      <c r="C58" s="27" t="inlineStr">
        <is>
          <t>Growth (%)</t>
        </is>
      </c>
      <c r="G58" s="28" t="str">
        <f>IFERROR(G57/F57-1,"N/A")</f>
        <v>N/A</v>
      </c>
      <c r="H58" s="28">
        <f>IFERROR(H57/G57-1,"N/A")</f>
        <v>0.0313241575700047</v>
      </c>
      <c r="I58" s="28">
        <f>IFERROR(I57/H57-1,"N/A")</f>
        <v>0.105844454670962</v>
      </c>
      <c r="J58" s="28">
        <f>IFERROR(J57/I57-1,"N/A")</f>
        <v>0.0461922596754056</v>
      </c>
      <c r="K58" s="28">
        <f>IFERROR(K57/J57-1,"N/A")</f>
        <v>0.050914876690533</v>
      </c>
      <c r="L58" s="28">
        <f>IFERROR(L57/K57-1,"N/A")</f>
        <v>0.0526116578349736</v>
      </c>
      <c r="M58" s="28">
        <f>IFERROR(M57/L57-1,"N/A")</f>
        <v>0.058252427184466</v>
      </c>
      <c r="N58" s="19" t="n">
        <v>0.056</v>
      </c>
      <c r="O58" s="19" t="n">
        <v>0.066</v>
      </c>
      <c r="P58" s="19" t="n">
        <v>0.057</v>
      </c>
      <c r="Q58" s="19" t="n">
        <v>0.054</v>
      </c>
      <c r="R58" s="19" t="n">
        <v>0.054</v>
      </c>
    </row>
    <row r="59">
      <c r="C59" s="29" t="inlineStr">
        <is>
          <t>Revenue</t>
        </is>
      </c>
      <c r="G59" s="30">
        <f>G55*G57</f>
        <v>8272082</v>
      </c>
      <c r="H59" s="30">
        <f>H55*H57</f>
        <v>7977083</v>
      </c>
      <c r="I59" s="30">
        <f>I55*I57</f>
        <v>9506268</v>
      </c>
      <c r="J59" s="30">
        <f>J55*J57</f>
        <v>10820256</v>
      </c>
      <c r="K59" s="30">
        <f>K55*K57</f>
        <v>12507228</v>
      </c>
      <c r="L59" s="30">
        <f>L55*L57</f>
        <v>14080203</v>
      </c>
      <c r="M59" s="30">
        <f>M55*M57</f>
        <v>15839226</v>
      </c>
      <c r="N59" s="30">
        <f>N55*N57</f>
        <v>17445450.230208</v>
      </c>
      <c r="O59" s="30">
        <f>O55*O57</f>
        <v>20103194.7909793</v>
      </c>
      <c r="P59" s="30">
        <f>P55*P57</f>
        <v>22332779.8156624</v>
      </c>
      <c r="Q59" s="30">
        <f>Q55*Q57</f>
        <v>24951074.9212507</v>
      </c>
      <c r="R59" s="30">
        <f>R55*R57</f>
        <v>27797443.6461171</v>
      </c>
    </row>
    <row r="61">
      <c r="C61" s="3" t="inlineStr">
        <is>
          <t>Cardiac Cath:</t>
        </is>
      </c>
    </row>
    <row r="62">
      <c r="C62" s="14" t="inlineStr">
        <is>
          <t># of Surgeries</t>
        </is>
      </c>
      <c r="G62" s="26" t="n">
        <v>375</v>
      </c>
      <c r="H62" s="26" t="n">
        <v>355</v>
      </c>
      <c r="I62" s="26" t="n">
        <v>371</v>
      </c>
      <c r="J62" s="26" t="n">
        <v>412</v>
      </c>
      <c r="K62" s="26" t="n">
        <v>443</v>
      </c>
      <c r="L62" s="26" t="n">
        <v>492</v>
      </c>
      <c r="M62" s="26" t="n">
        <v>556</v>
      </c>
      <c r="N62" s="8">
        <f>M62*(1+N63)</f>
        <v>582.132</v>
      </c>
      <c r="O62" s="8">
        <f>N62*(1+O63)</f>
        <v>621.716976</v>
      </c>
      <c r="P62" s="8">
        <f>O62*(1+P63)</f>
        <v>649.072522944</v>
      </c>
      <c r="Q62" s="8">
        <f>P62*(1+Q63)</f>
        <v>702.296469825408</v>
      </c>
      <c r="R62" s="8">
        <f>Q62*(1+R63)</f>
        <v>743.029665075282</v>
      </c>
    </row>
    <row r="63">
      <c r="C63" s="27" t="inlineStr">
        <is>
          <t>Growth (%)</t>
        </is>
      </c>
      <c r="G63" s="28" t="str">
        <f>IFERROR(G62/F62-1,"N/A")</f>
        <v>N/A</v>
      </c>
      <c r="H63" s="28">
        <f>IFERROR(H62/G62-1,"N/A")</f>
        <v>-0.0533333333333333</v>
      </c>
      <c r="I63" s="28">
        <f>IFERROR(I62/H62-1,"N/A")</f>
        <v>0.0450704225352112</v>
      </c>
      <c r="J63" s="28">
        <f>IFERROR(J62/I62-1,"N/A")</f>
        <v>0.110512129380054</v>
      </c>
      <c r="K63" s="28">
        <f>IFERROR(K62/J62-1,"N/A")</f>
        <v>0.075242718446602</v>
      </c>
      <c r="L63" s="28">
        <f>IFERROR(L62/K62-1,"N/A")</f>
        <v>0.110609480812641</v>
      </c>
      <c r="M63" s="28">
        <f>IFERROR(M62/L62-1,"N/A")</f>
        <v>0.130081300813008</v>
      </c>
      <c r="N63" s="19" t="n">
        <v>0.047</v>
      </c>
      <c r="O63" s="19" t="n">
        <v>0.068</v>
      </c>
      <c r="P63" s="19" t="n">
        <v>0.044</v>
      </c>
      <c r="Q63" s="19" t="n">
        <v>0.082</v>
      </c>
      <c r="R63" s="19" t="n">
        <v>0.058</v>
      </c>
    </row>
    <row r="64">
      <c r="C64" s="14" t="inlineStr">
        <is>
          <t>Gross Revenue [per Surgery] (LCA)</t>
        </is>
      </c>
      <c r="G64" s="26" t="n">
        <v>4308</v>
      </c>
      <c r="H64" s="26" t="n">
        <v>4400</v>
      </c>
      <c r="I64" s="26" t="n">
        <v>4789</v>
      </c>
      <c r="J64" s="26" t="n">
        <v>4898</v>
      </c>
      <c r="K64" s="26" t="n">
        <v>5339</v>
      </c>
      <c r="L64" s="26" t="n">
        <v>5902</v>
      </c>
      <c r="M64" s="26" t="n">
        <v>6194</v>
      </c>
      <c r="N64" s="8">
        <f>M64*(1+N65)</f>
        <v>6571.834</v>
      </c>
      <c r="O64" s="8">
        <f>N64*(1+O65)</f>
        <v>6847.851028</v>
      </c>
      <c r="P64" s="8">
        <f>O64*(1+P65)</f>
        <v>7231.330685568</v>
      </c>
      <c r="Q64" s="8">
        <f>P64*(1+Q65)</f>
        <v>7585.66588916083</v>
      </c>
      <c r="R64" s="8">
        <f>Q64*(1+R65)</f>
        <v>8010.46317895384</v>
      </c>
    </row>
    <row r="65">
      <c r="C65" s="27" t="inlineStr">
        <is>
          <t>Growth (%)</t>
        </is>
      </c>
      <c r="G65" s="28" t="str">
        <f>IFERROR(G64/F64-1,"N/A")</f>
        <v>N/A</v>
      </c>
      <c r="H65" s="28">
        <f>IFERROR(H64/G64-1,"N/A")</f>
        <v>0.021355617455896</v>
      </c>
      <c r="I65" s="28">
        <f>IFERROR(I64/H64-1,"N/A")</f>
        <v>0.0884090909090909</v>
      </c>
      <c r="J65" s="28">
        <f>IFERROR(J64/I64-1,"N/A")</f>
        <v>0.0227604927959908</v>
      </c>
      <c r="K65" s="28">
        <f>IFERROR(K64/J64-1,"N/A")</f>
        <v>0.0900367496937526</v>
      </c>
      <c r="L65" s="28">
        <f>IFERROR(L64/K64-1,"N/A")</f>
        <v>0.105450458887432</v>
      </c>
      <c r="M65" s="28">
        <f>IFERROR(M64/L64-1,"N/A")</f>
        <v>0.0494747543205694</v>
      </c>
      <c r="N65" s="19" t="n">
        <v>0.061</v>
      </c>
      <c r="O65" s="19" t="n">
        <v>0.042</v>
      </c>
      <c r="P65" s="19" t="n">
        <v>0.056</v>
      </c>
      <c r="Q65" s="19" t="n">
        <v>0.049</v>
      </c>
      <c r="R65" s="19" t="n">
        <v>0.056</v>
      </c>
    </row>
    <row r="66">
      <c r="C66" s="29" t="inlineStr">
        <is>
          <t>Revenue</t>
        </is>
      </c>
      <c r="G66" s="30">
        <f>G62*G64</f>
        <v>1615500</v>
      </c>
      <c r="H66" s="30">
        <f>H62*H64</f>
        <v>1562000</v>
      </c>
      <c r="I66" s="30">
        <f>I62*I64</f>
        <v>1776719</v>
      </c>
      <c r="J66" s="30">
        <f>J62*J64</f>
        <v>2017976</v>
      </c>
      <c r="K66" s="30">
        <f>K62*K64</f>
        <v>2365177</v>
      </c>
      <c r="L66" s="30">
        <f>L62*L64</f>
        <v>2903784</v>
      </c>
      <c r="M66" s="30">
        <f>M62*M64</f>
        <v>3443864</v>
      </c>
      <c r="N66" s="30">
        <f>N62*N64</f>
        <v>3825674.870088</v>
      </c>
      <c r="O66" s="30">
        <f>O62*O64</f>
        <v>4257425.23322665</v>
      </c>
      <c r="P66" s="30">
        <f>P62*P64</f>
        <v>4693658.05232399</v>
      </c>
      <c r="Q66" s="30">
        <f>Q62*Q64</f>
        <v>5327386.37523267</v>
      </c>
      <c r="R66" s="30">
        <f>R62*R64</f>
        <v>5952011.77295595</v>
      </c>
    </row>
    <row r="68">
      <c r="C68" s="3" t="inlineStr">
        <is>
          <t>Heart Test:</t>
        </is>
      </c>
    </row>
    <row r="69">
      <c r="C69" s="14" t="inlineStr">
        <is>
          <t># of Tests</t>
        </is>
      </c>
      <c r="G69" s="26" t="n">
        <v>4988</v>
      </c>
      <c r="H69" s="26" t="n">
        <v>4726</v>
      </c>
      <c r="I69" s="26" t="n">
        <v>5191</v>
      </c>
      <c r="J69" s="26" t="n">
        <v>5688</v>
      </c>
      <c r="K69" s="26" t="n">
        <v>6158</v>
      </c>
      <c r="L69" s="26" t="n">
        <v>6695</v>
      </c>
      <c r="M69" s="26" t="n">
        <v>7380</v>
      </c>
      <c r="N69" s="8">
        <f>M69*(1+N70)</f>
        <v>7844.94</v>
      </c>
      <c r="O69" s="8">
        <f>N69*(1+O70)</f>
        <v>8292.10158</v>
      </c>
      <c r="P69" s="8">
        <f>O69*(1+P70)</f>
        <v>8880.84079218</v>
      </c>
      <c r="Q69" s="8">
        <f>P69*(1+Q70)</f>
        <v>9440.33376208734</v>
      </c>
      <c r="R69" s="8">
        <f>Q69*(1+R70)</f>
        <v>10242.7621318648</v>
      </c>
    </row>
    <row r="70">
      <c r="C70" s="27" t="inlineStr">
        <is>
          <t>Growth (%)</t>
        </is>
      </c>
      <c r="G70" s="28" t="str">
        <f>IFERROR(G69/F69-1,"N/A")</f>
        <v>N/A</v>
      </c>
      <c r="H70" s="28">
        <f>IFERROR(H69/G69-1,"N/A")</f>
        <v>-0.0525260625501203</v>
      </c>
      <c r="I70" s="28">
        <f>IFERROR(I69/H69-1,"N/A")</f>
        <v>0.0983918747355057</v>
      </c>
      <c r="J70" s="28">
        <f>IFERROR(J69/I69-1,"N/A")</f>
        <v>0.0957426314775574</v>
      </c>
      <c r="K70" s="28">
        <f>IFERROR(K69/J69-1,"N/A")</f>
        <v>0.0826300984528832</v>
      </c>
      <c r="L70" s="28">
        <f>IFERROR(L69/K69-1,"N/A")</f>
        <v>0.0872036375446574</v>
      </c>
      <c r="M70" s="28">
        <f>IFERROR(M69/L69-1,"N/A")</f>
        <v>0.102315160567588</v>
      </c>
      <c r="N70" s="19" t="n">
        <v>0.063</v>
      </c>
      <c r="O70" s="19" t="n">
        <v>0.057</v>
      </c>
      <c r="P70" s="19" t="n">
        <v>0.07099999999999999</v>
      </c>
      <c r="Q70" s="19" t="n">
        <v>0.063</v>
      </c>
      <c r="R70" s="19" t="n">
        <v>0.08500000000000001</v>
      </c>
    </row>
    <row r="71">
      <c r="C71" s="14" t="inlineStr">
        <is>
          <t>Gross Revenue [per Test] (LCA)</t>
        </is>
      </c>
      <c r="G71" s="26" t="n">
        <v>211</v>
      </c>
      <c r="H71" s="26" t="n">
        <v>219</v>
      </c>
      <c r="I71" s="26" t="n">
        <v>228</v>
      </c>
      <c r="J71" s="26" t="n">
        <v>241</v>
      </c>
      <c r="K71" s="26" t="n">
        <v>259</v>
      </c>
      <c r="L71" s="26" t="n">
        <v>265</v>
      </c>
      <c r="M71" s="26" t="n">
        <v>277</v>
      </c>
      <c r="N71" s="8">
        <f>M71*(1+N72)</f>
        <v>295.559</v>
      </c>
      <c r="O71" s="8">
        <f>N71*(1+O72)</f>
        <v>309.450273</v>
      </c>
      <c r="P71" s="8">
        <f>O71*(1+P72)</f>
        <v>326.470038015</v>
      </c>
      <c r="Q71" s="8">
        <f>P71*(1+Q72)</f>
        <v>343.44647999178</v>
      </c>
      <c r="R71" s="8">
        <f>Q71*(1+R72)</f>
        <v>360.962250471361</v>
      </c>
    </row>
    <row r="72">
      <c r="C72" s="27" t="inlineStr">
        <is>
          <t>Growth (%)</t>
        </is>
      </c>
      <c r="G72" s="28" t="str">
        <f>IFERROR(G71/F71-1,"N/A")</f>
        <v>N/A</v>
      </c>
      <c r="H72" s="28">
        <f>IFERROR(H71/G71-1,"N/A")</f>
        <v>0.0379146919431279</v>
      </c>
      <c r="I72" s="28">
        <f>IFERROR(I71/H71-1,"N/A")</f>
        <v>0.0410958904109588</v>
      </c>
      <c r="J72" s="28">
        <f>IFERROR(J71/I71-1,"N/A")</f>
        <v>0.0570175438596492</v>
      </c>
      <c r="K72" s="28">
        <f>IFERROR(K71/J71-1,"N/A")</f>
        <v>0.0746887966804979</v>
      </c>
      <c r="L72" s="28">
        <f>IFERROR(L71/K71-1,"N/A")</f>
        <v>0.0231660231660231</v>
      </c>
      <c r="M72" s="28">
        <f>IFERROR(M71/L71-1,"N/A")</f>
        <v>0.0452830188679245</v>
      </c>
      <c r="N72" s="19" t="n">
        <v>0.067</v>
      </c>
      <c r="O72" s="19" t="n">
        <v>0.047</v>
      </c>
      <c r="P72" s="19" t="n">
        <v>0.055</v>
      </c>
      <c r="Q72" s="19" t="n">
        <v>0.052</v>
      </c>
      <c r="R72" s="19" t="n">
        <v>0.051</v>
      </c>
    </row>
    <row r="73">
      <c r="C73" s="29" t="inlineStr">
        <is>
          <t>Revenue</t>
        </is>
      </c>
      <c r="G73" s="30">
        <f>G69*G71</f>
        <v>1052468</v>
      </c>
      <c r="H73" s="30">
        <f>H69*H71</f>
        <v>1034994</v>
      </c>
      <c r="I73" s="30">
        <f>I69*I71</f>
        <v>1183548</v>
      </c>
      <c r="J73" s="30">
        <f>J69*J71</f>
        <v>1370808</v>
      </c>
      <c r="K73" s="30">
        <f>K69*K71</f>
        <v>1594922</v>
      </c>
      <c r="L73" s="30">
        <f>L69*L71</f>
        <v>1774175</v>
      </c>
      <c r="M73" s="30">
        <f>M69*M71</f>
        <v>2044260</v>
      </c>
      <c r="N73" s="30">
        <f>N69*N71</f>
        <v>2318642.62146</v>
      </c>
      <c r="O73" s="30">
        <f>O69*O71</f>
        <v>2565993.09767473</v>
      </c>
      <c r="P73" s="30">
        <f>P69*P71</f>
        <v>2899328.43102817</v>
      </c>
      <c r="Q73" s="30">
        <f>Q69*Q71</f>
        <v>3242249.40053645</v>
      </c>
      <c r="R73" s="30">
        <f>R69*R71</f>
        <v>3697250.47016074</v>
      </c>
    </row>
    <row r="75">
      <c r="C75" s="3" t="inlineStr">
        <is>
          <t>Emergency:</t>
        </is>
      </c>
    </row>
    <row r="76">
      <c r="C76" s="14" t="inlineStr">
        <is>
          <t># of Visits</t>
        </is>
      </c>
      <c r="G76" s="26" t="n">
        <v>16679</v>
      </c>
      <c r="H76" s="26" t="n">
        <v>15800</v>
      </c>
      <c r="I76" s="26" t="n">
        <v>16691</v>
      </c>
      <c r="J76" s="26" t="n">
        <v>18341</v>
      </c>
      <c r="K76" s="26" t="n">
        <v>19896</v>
      </c>
      <c r="L76" s="26" t="n">
        <v>21576</v>
      </c>
      <c r="M76" s="26" t="n">
        <v>22982</v>
      </c>
      <c r="N76" s="8">
        <f>M76*(1+N77)</f>
        <v>24246.01</v>
      </c>
      <c r="O76" s="8">
        <f>N76*(1+O77)</f>
        <v>25846.24666</v>
      </c>
      <c r="P76" s="8">
        <f>O76*(1+P77)</f>
        <v>27086.86649968</v>
      </c>
      <c r="Q76" s="8">
        <f>P76*(1+Q77)</f>
        <v>28278.6886256659</v>
      </c>
      <c r="R76" s="8">
        <f>Q76*(1+R77)</f>
        <v>30145.0820749599</v>
      </c>
    </row>
    <row r="77">
      <c r="C77" s="27" t="inlineStr">
        <is>
          <t>Growth (%)</t>
        </is>
      </c>
      <c r="G77" s="28" t="str">
        <f>IFERROR(G76/F76-1,"N/A")</f>
        <v>N/A</v>
      </c>
      <c r="H77" s="28">
        <f>IFERROR(H76/G76-1,"N/A")</f>
        <v>-0.0527010012590683</v>
      </c>
      <c r="I77" s="28">
        <f>IFERROR(I76/H76-1,"N/A")</f>
        <v>0.0563924050632911</v>
      </c>
      <c r="J77" s="28">
        <f>IFERROR(J76/I76-1,"N/A")</f>
        <v>0.0988556707207478</v>
      </c>
      <c r="K77" s="28">
        <f>IFERROR(K76/J76-1,"N/A")</f>
        <v>0.0847827272231612</v>
      </c>
      <c r="L77" s="28">
        <f>IFERROR(L76/K76-1,"N/A")</f>
        <v>0.0844390832328106</v>
      </c>
      <c r="M77" s="28">
        <f>IFERROR(M76/L76-1,"N/A")</f>
        <v>0.0651649981460882</v>
      </c>
      <c r="N77" s="19" t="n">
        <v>0.055</v>
      </c>
      <c r="O77" s="19" t="n">
        <v>0.066</v>
      </c>
      <c r="P77" s="19" t="n">
        <v>0.048</v>
      </c>
      <c r="Q77" s="19" t="n">
        <v>0.044</v>
      </c>
      <c r="R77" s="19" t="n">
        <v>0.066</v>
      </c>
    </row>
    <row r="78">
      <c r="C78" s="14" t="inlineStr">
        <is>
          <t>Gross Revenue [per Visit] (LCA)</t>
        </is>
      </c>
      <c r="G78" s="26" t="n">
        <v>152</v>
      </c>
      <c r="H78" s="26" t="n">
        <v>158</v>
      </c>
      <c r="I78" s="26" t="n">
        <v>161</v>
      </c>
      <c r="J78" s="26" t="n">
        <v>171</v>
      </c>
      <c r="K78" s="26" t="n">
        <v>177</v>
      </c>
      <c r="L78" s="26" t="n">
        <v>186</v>
      </c>
      <c r="M78" s="26" t="n">
        <v>197</v>
      </c>
      <c r="N78" s="8">
        <f>M78*(1+N79)</f>
        <v>210.396</v>
      </c>
      <c r="O78" s="8">
        <f>N78*(1+O79)</f>
        <v>220.9158</v>
      </c>
      <c r="P78" s="8">
        <f>O78*(1+P79)</f>
        <v>229.752432</v>
      </c>
      <c r="Q78" s="8">
        <f>P78*(1+Q79)</f>
        <v>245.145844944</v>
      </c>
      <c r="R78" s="8">
        <f>Q78*(1+R79)</f>
        <v>258.138574726032</v>
      </c>
    </row>
    <row r="79">
      <c r="C79" s="27" t="inlineStr">
        <is>
          <t>Growth (%)</t>
        </is>
      </c>
      <c r="G79" s="28" t="str">
        <f>IFERROR(G78/F78-1,"N/A")</f>
        <v>N/A</v>
      </c>
      <c r="H79" s="28">
        <f>IFERROR(H78/G78-1,"N/A")</f>
        <v>0.0394736842105263</v>
      </c>
      <c r="I79" s="28">
        <f>IFERROR(I78/H78-1,"N/A")</f>
        <v>0.018987341772152</v>
      </c>
      <c r="J79" s="28">
        <f>IFERROR(J78/I78-1,"N/A")</f>
        <v>0.0621118012422359</v>
      </c>
      <c r="K79" s="28">
        <f>IFERROR(K78/J78-1,"N/A")</f>
        <v>0.0350877192982457</v>
      </c>
      <c r="L79" s="28">
        <f>IFERROR(L78/K78-1,"N/A")</f>
        <v>0.0508474576271187</v>
      </c>
      <c r="M79" s="28">
        <f>IFERROR(M78/L78-1,"N/A")</f>
        <v>0.0591397849462365</v>
      </c>
      <c r="N79" s="19" t="n">
        <v>0.068</v>
      </c>
      <c r="O79" s="19" t="n">
        <v>0.05</v>
      </c>
      <c r="P79" s="19" t="n">
        <v>0.04</v>
      </c>
      <c r="Q79" s="19" t="n">
        <v>0.067</v>
      </c>
      <c r="R79" s="19" t="n">
        <v>0.053</v>
      </c>
    </row>
    <row r="80">
      <c r="C80" s="29" t="inlineStr">
        <is>
          <t>Revenue</t>
        </is>
      </c>
      <c r="G80" s="30">
        <f>G76*G78</f>
        <v>2535208</v>
      </c>
      <c r="H80" s="30">
        <f>H76*H78</f>
        <v>2496400</v>
      </c>
      <c r="I80" s="30">
        <f>I76*I78</f>
        <v>2687251</v>
      </c>
      <c r="J80" s="30">
        <f>J76*J78</f>
        <v>3136311</v>
      </c>
      <c r="K80" s="30">
        <f>K76*K78</f>
        <v>3521592</v>
      </c>
      <c r="L80" s="30">
        <f>L76*L78</f>
        <v>4013136</v>
      </c>
      <c r="M80" s="30">
        <f>M76*M78</f>
        <v>4527454</v>
      </c>
      <c r="N80" s="30">
        <f>N76*N78</f>
        <v>5101263.51996</v>
      </c>
      <c r="O80" s="30">
        <f>O76*O78</f>
        <v>5709844.25789123</v>
      </c>
      <c r="P80" s="30">
        <f>P76*P78</f>
        <v>6223273.45356081</v>
      </c>
      <c r="Q80" s="30">
        <f>Q76*Q78</f>
        <v>6932403.01704716</v>
      </c>
      <c r="R80" s="30">
        <f>R76*R78</f>
        <v>7781608.5218294</v>
      </c>
    </row>
    <row r="82">
      <c r="C82" s="3" t="inlineStr">
        <is>
          <t>Accommodation:</t>
        </is>
      </c>
    </row>
    <row r="83">
      <c r="C83" s="14" t="inlineStr">
        <is>
          <t># of Beds</t>
        </is>
      </c>
      <c r="G83" s="26" t="n">
        <v>168</v>
      </c>
      <c r="H83" s="26" t="n">
        <v>168</v>
      </c>
      <c r="I83" s="26" t="n">
        <v>168</v>
      </c>
      <c r="J83" s="26" t="n">
        <v>168</v>
      </c>
      <c r="K83" s="26" t="n">
        <v>176</v>
      </c>
      <c r="L83" s="26" t="n">
        <v>176</v>
      </c>
      <c r="M83" s="26" t="n">
        <v>176</v>
      </c>
      <c r="N83" s="8">
        <f>M83</f>
        <v>176</v>
      </c>
      <c r="O83" s="8">
        <f>N83</f>
        <v>176</v>
      </c>
      <c r="P83" s="8">
        <f>O83</f>
        <v>176</v>
      </c>
      <c r="Q83" s="8">
        <f>P83</f>
        <v>176</v>
      </c>
      <c r="R83" s="8">
        <f>Q83</f>
        <v>176</v>
      </c>
    </row>
    <row r="84">
      <c r="C84" s="14" t="inlineStr">
        <is>
          <t>Available Beds a Night</t>
        </is>
      </c>
      <c r="G84" s="8">
        <f>G83*360</f>
        <v>60480</v>
      </c>
      <c r="H84" s="8">
        <f>H83*360</f>
        <v>60480</v>
      </c>
      <c r="I84" s="8">
        <f>I83*360</f>
        <v>60480</v>
      </c>
      <c r="J84" s="8">
        <f>J83*360</f>
        <v>60480</v>
      </c>
      <c r="K84" s="8">
        <f>K83*360</f>
        <v>63360</v>
      </c>
      <c r="L84" s="8">
        <f>L83*360</f>
        <v>63360</v>
      </c>
      <c r="M84" s="8">
        <f>M83*360</f>
        <v>63360</v>
      </c>
      <c r="N84" s="8">
        <f>N83*360</f>
        <v>63360</v>
      </c>
      <c r="O84" s="8">
        <f>O83*360</f>
        <v>63360</v>
      </c>
      <c r="P84" s="8">
        <f>P83*360</f>
        <v>63360</v>
      </c>
      <c r="Q84" s="8">
        <f>Q83*360</f>
        <v>63360</v>
      </c>
      <c r="R84" s="8">
        <f>R83*360</f>
        <v>63360</v>
      </c>
    </row>
    <row r="85">
      <c r="C85" s="14" t="inlineStr">
        <is>
          <t># of Occupied bed nights</t>
        </is>
      </c>
      <c r="G85" s="26" t="n">
        <v>45282</v>
      </c>
      <c r="H85" s="26" t="n">
        <v>39881</v>
      </c>
      <c r="I85" s="26" t="n">
        <v>43843</v>
      </c>
      <c r="J85" s="26" t="n">
        <v>41924</v>
      </c>
      <c r="K85" s="26" t="n">
        <v>48487</v>
      </c>
      <c r="L85" s="26" t="n">
        <v>45538</v>
      </c>
      <c r="M85" s="26" t="n">
        <v>47982</v>
      </c>
      <c r="N85" s="8">
        <f>N84*N86</f>
        <v>48723.84</v>
      </c>
      <c r="O85" s="8">
        <f>O84*O86</f>
        <v>49484.16</v>
      </c>
      <c r="P85" s="8">
        <f>P84*P86</f>
        <v>50244.48</v>
      </c>
      <c r="Q85" s="8">
        <f>Q84*Q86</f>
        <v>50688</v>
      </c>
      <c r="R85" s="8">
        <f>R84*R86</f>
        <v>50688</v>
      </c>
    </row>
    <row r="86">
      <c r="C86" s="27" t="inlineStr">
        <is>
          <t>Occupancy Ratio (%)</t>
        </is>
      </c>
      <c r="G86" s="20">
        <f>IFERROR(G85/G84,"N/A")</f>
        <v>0.748710317460318</v>
      </c>
      <c r="H86" s="20">
        <f>IFERROR(H85/H84,"N/A")</f>
        <v>0.659408068783069</v>
      </c>
      <c r="I86" s="20">
        <f>IFERROR(I85/I84,"N/A")</f>
        <v>0.724917328042328</v>
      </c>
      <c r="J86" s="20">
        <f>IFERROR(J85/J84,"N/A")</f>
        <v>0.693187830687831</v>
      </c>
      <c r="K86" s="20">
        <f>IFERROR(K85/K84,"N/A")</f>
        <v>0.765261994949495</v>
      </c>
      <c r="L86" s="20">
        <f>IFERROR(L85/L84,"N/A")</f>
        <v>0.718718434343434</v>
      </c>
      <c r="M86" s="20">
        <f>IFERROR(M85/M84,"N/A")</f>
        <v>0.757291666666667</v>
      </c>
      <c r="N86" s="19" t="n">
        <v>0.769</v>
      </c>
      <c r="O86" s="19" t="n">
        <v>0.781</v>
      </c>
      <c r="P86" s="19" t="n">
        <v>0.793</v>
      </c>
      <c r="Q86" s="19" t="n">
        <v>0.8</v>
      </c>
      <c r="R86" s="19" t="n">
        <v>0.8</v>
      </c>
    </row>
    <row r="87">
      <c r="C87" s="14" t="inlineStr">
        <is>
          <t>Gross Revenue [per bed night] (LCA)</t>
        </is>
      </c>
      <c r="G87" s="26" t="n">
        <v>322</v>
      </c>
      <c r="H87" s="26" t="n">
        <v>327</v>
      </c>
      <c r="I87" s="26" t="n">
        <v>345</v>
      </c>
      <c r="J87" s="26" t="n">
        <v>369</v>
      </c>
      <c r="K87" s="26" t="n">
        <v>405</v>
      </c>
      <c r="L87" s="26" t="n">
        <v>438</v>
      </c>
      <c r="M87" s="26" t="n">
        <v>474</v>
      </c>
      <c r="N87" s="8">
        <f>M87*(1+N88)</f>
        <v>499.122</v>
      </c>
      <c r="O87" s="8">
        <f>N87*(1+O88)</f>
        <v>523.578978</v>
      </c>
      <c r="P87" s="8">
        <f>O87*(1+P88)</f>
        <v>550.281505878</v>
      </c>
      <c r="Q87" s="8">
        <f>P87*(1+Q88)</f>
        <v>576.144736654266</v>
      </c>
      <c r="R87" s="8">
        <f>Q87*(1+R88)</f>
        <v>603.223539277016</v>
      </c>
    </row>
    <row r="88">
      <c r="C88" s="27" t="inlineStr">
        <is>
          <t>Growth (%)</t>
        </is>
      </c>
      <c r="G88" s="28" t="str">
        <f>IFERROR(G87/F87-1,"N/A")</f>
        <v>N/A</v>
      </c>
      <c r="H88" s="28">
        <f>IFERROR(H87/G87-1,"N/A")</f>
        <v>0.015527950310559</v>
      </c>
      <c r="I88" s="28">
        <f>IFERROR(I87/H87-1,"N/A")</f>
        <v>0.0550458715596329</v>
      </c>
      <c r="J88" s="28">
        <f>IFERROR(J87/I87-1,"N/A")</f>
        <v>0.0695652173913044</v>
      </c>
      <c r="K88" s="28">
        <f>IFERROR(K87/J87-1,"N/A")</f>
        <v>0.0975609756097562</v>
      </c>
      <c r="L88" s="28">
        <f>IFERROR(L87/K87-1,"N/A")</f>
        <v>0.0814814814814815</v>
      </c>
      <c r="M88" s="28">
        <f>IFERROR(M87/L87-1,"N/A")</f>
        <v>0.0821917808219179</v>
      </c>
      <c r="N88" s="19" t="n">
        <v>0.053</v>
      </c>
      <c r="O88" s="19" t="n">
        <v>0.049</v>
      </c>
      <c r="P88" s="19" t="n">
        <v>0.051</v>
      </c>
      <c r="Q88" s="19" t="n">
        <v>0.047</v>
      </c>
      <c r="R88" s="19" t="n">
        <v>0.047</v>
      </c>
    </row>
    <row r="89">
      <c r="C89" s="29" t="inlineStr">
        <is>
          <t>Revenue</t>
        </is>
      </c>
      <c r="G89" s="30">
        <f>G85*G87</f>
        <v>14580804</v>
      </c>
      <c r="H89" s="30">
        <f>H85*H87</f>
        <v>13041087</v>
      </c>
      <c r="I89" s="30">
        <f>I85*I87</f>
        <v>15125835</v>
      </c>
      <c r="J89" s="30">
        <f>J85*J87</f>
        <v>15469956</v>
      </c>
      <c r="K89" s="30">
        <f>K85*K87</f>
        <v>19637235</v>
      </c>
      <c r="L89" s="30">
        <f>L85*L87</f>
        <v>19945644</v>
      </c>
      <c r="M89" s="30">
        <f>M85*M87</f>
        <v>22743468</v>
      </c>
      <c r="N89" s="30">
        <f>N85*N87</f>
        <v>24319140.46848</v>
      </c>
      <c r="O89" s="30">
        <f>O85*O87</f>
        <v>25908865.9199885</v>
      </c>
      <c r="P89" s="30">
        <f>P85*P87</f>
        <v>27648608.1164571</v>
      </c>
      <c r="Q89" s="30">
        <f>Q85*Q87</f>
        <v>29203624.4115314</v>
      </c>
      <c r="R89" s="30">
        <f>R85*R87</f>
        <v>30576194.7588734</v>
      </c>
    </row>
    <row r="91">
      <c r="C91" s="3" t="inlineStr">
        <is>
          <t>Radiotherapy:</t>
        </is>
      </c>
    </row>
    <row r="92">
      <c r="C92" s="14" t="inlineStr">
        <is>
          <t># of Sessions</t>
        </is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8">
        <f>M92*(1+N93)</f>
        <v>0</v>
      </c>
      <c r="O92" s="8">
        <f>N92*(1+O93)</f>
        <v>0</v>
      </c>
      <c r="P92" s="8">
        <f>O92*(1+P93)</f>
        <v>0</v>
      </c>
      <c r="Q92" s="8">
        <f>P92*(1+Q93)</f>
        <v>0</v>
      </c>
      <c r="R92" s="8">
        <f>Q92*(1+R93)</f>
        <v>0</v>
      </c>
    </row>
    <row r="93">
      <c r="C93" s="27" t="inlineStr">
        <is>
          <t>Growth (%)</t>
        </is>
      </c>
      <c r="G93" s="28" t="str">
        <f>IFERROR(G92/F92-1,"N/A")</f>
        <v>N/A</v>
      </c>
      <c r="H93" s="28" t="str">
        <f>IFERROR(H92/G92-1,"N/A")</f>
        <v>N/A</v>
      </c>
      <c r="I93" s="28" t="str">
        <f>IFERROR(I92/H92-1,"N/A")</f>
        <v>N/A</v>
      </c>
      <c r="J93" s="28" t="str">
        <f>IFERROR(J92/I92-1,"N/A")</f>
        <v>N/A</v>
      </c>
      <c r="K93" s="28" t="str">
        <f>IFERROR(K92/J92-1,"N/A")</f>
        <v>N/A</v>
      </c>
      <c r="L93" s="28" t="str">
        <f>IFERROR(L92/K92-1,"N/A")</f>
        <v>N/A</v>
      </c>
      <c r="M93" s="28" t="str">
        <f>IFERROR(M92/L92-1,"N/A")</f>
        <v>N/A</v>
      </c>
      <c r="N93" s="19" t="n">
        <v>0</v>
      </c>
      <c r="O93" s="19" t="n">
        <v>0</v>
      </c>
      <c r="P93" s="19" t="n">
        <v>0</v>
      </c>
      <c r="Q93" s="19" t="n">
        <v>0</v>
      </c>
      <c r="R93" s="19" t="n">
        <v>0</v>
      </c>
    </row>
    <row r="94">
      <c r="C94" s="14" t="inlineStr">
        <is>
          <t>Gross Revenue [per Session] (LCA)</t>
        </is>
      </c>
      <c r="G94" s="26" t="n">
        <v>881</v>
      </c>
      <c r="H94" s="26" t="n">
        <v>884</v>
      </c>
      <c r="I94" s="26" t="n">
        <v>941</v>
      </c>
      <c r="J94" s="26" t="n">
        <v>1013</v>
      </c>
      <c r="K94" s="26" t="n">
        <v>1109</v>
      </c>
      <c r="L94" s="26" t="n">
        <v>1148</v>
      </c>
      <c r="M94" s="26" t="n">
        <v>1280</v>
      </c>
      <c r="N94" s="8">
        <f>M94*(1+N95)</f>
        <v>1367.04</v>
      </c>
      <c r="O94" s="8">
        <f>N94*(1+O95)</f>
        <v>1424.45568</v>
      </c>
      <c r="P94" s="8">
        <f>O94*(1+P95)</f>
        <v>1504.22519808</v>
      </c>
      <c r="Q94" s="8">
        <f>P94*(1+Q95)</f>
        <v>1567.40265639936</v>
      </c>
      <c r="R94" s="8">
        <f>Q94*(1+R95)</f>
        <v>1633.23356796813</v>
      </c>
    </row>
    <row r="95">
      <c r="C95" s="27" t="inlineStr">
        <is>
          <t>Growth (%)</t>
        </is>
      </c>
      <c r="G95" s="28" t="str">
        <f>IFERROR(G94/F94-1,"N/A")</f>
        <v>N/A</v>
      </c>
      <c r="H95" s="28">
        <f>IFERROR(H94/G94-1,"N/A")</f>
        <v>0.00340522133938714</v>
      </c>
      <c r="I95" s="28">
        <f>IFERROR(I94/H94-1,"N/A")</f>
        <v>0.0644796380090498</v>
      </c>
      <c r="J95" s="28">
        <f>IFERROR(J94/I94-1,"N/A")</f>
        <v>0.0765143464399576</v>
      </c>
      <c r="K95" s="28">
        <f>IFERROR(K94/J94-1,"N/A")</f>
        <v>0.0947680157946693</v>
      </c>
      <c r="L95" s="28">
        <f>IFERROR(L94/K94-1,"N/A")</f>
        <v>0.0351668169522092</v>
      </c>
      <c r="M95" s="28">
        <f>IFERROR(M94/L94-1,"N/A")</f>
        <v>0.114982578397212</v>
      </c>
      <c r="N95" s="19" t="n">
        <v>0.068</v>
      </c>
      <c r="O95" s="19" t="n">
        <v>0.042</v>
      </c>
      <c r="P95" s="19" t="n">
        <v>0.056</v>
      </c>
      <c r="Q95" s="19" t="n">
        <v>0.042</v>
      </c>
      <c r="R95" s="19" t="n">
        <v>0.042</v>
      </c>
    </row>
    <row r="96">
      <c r="C96" s="29" t="inlineStr">
        <is>
          <t>Revenue</t>
        </is>
      </c>
      <c r="G96" s="30">
        <f>G92*G94</f>
        <v>0</v>
      </c>
      <c r="H96" s="30">
        <f>H92*H94</f>
        <v>0</v>
      </c>
      <c r="I96" s="30">
        <f>I92*I94</f>
        <v>0</v>
      </c>
      <c r="J96" s="30">
        <f>J92*J94</f>
        <v>0</v>
      </c>
      <c r="K96" s="30">
        <f>K92*K94</f>
        <v>0</v>
      </c>
      <c r="L96" s="30">
        <f>L92*L94</f>
        <v>0</v>
      </c>
      <c r="M96" s="30">
        <f>M92*M94</f>
        <v>0</v>
      </c>
      <c r="N96" s="30">
        <f>N92*N94</f>
        <v>0</v>
      </c>
      <c r="O96" s="30">
        <f>O92*O94</f>
        <v>0</v>
      </c>
      <c r="P96" s="30">
        <f>P92*P94</f>
        <v>0</v>
      </c>
      <c r="Q96" s="30">
        <f>Q92*Q94</f>
        <v>0</v>
      </c>
      <c r="R96" s="30">
        <f>R92*R94</f>
        <v>0</v>
      </c>
    </row>
    <row r="98">
      <c r="C98" s="3" t="inlineStr">
        <is>
          <t>Nursing Fees:</t>
        </is>
      </c>
    </row>
    <row r="99">
      <c r="C99" s="14" t="inlineStr">
        <is>
          <t># of Visits</t>
        </is>
      </c>
      <c r="G99" s="26" t="n">
        <v>9059</v>
      </c>
      <c r="H99" s="26" t="n">
        <v>8456</v>
      </c>
      <c r="I99" s="26" t="n">
        <v>9185</v>
      </c>
      <c r="J99" s="26" t="n">
        <v>9995</v>
      </c>
      <c r="K99" s="26" t="n">
        <v>11164</v>
      </c>
      <c r="L99" s="26" t="n">
        <v>11596</v>
      </c>
      <c r="M99" s="26" t="n">
        <v>12385</v>
      </c>
      <c r="N99" s="8">
        <f>M99*(1+N100)</f>
        <v>13338.645</v>
      </c>
      <c r="O99" s="8">
        <f>N99*(1+O100)</f>
        <v>14218.99557</v>
      </c>
      <c r="P99" s="8">
        <f>O99*(1+P100)</f>
        <v>14858.85037065</v>
      </c>
      <c r="Q99" s="8">
        <f>P99*(1+Q100)</f>
        <v>15958.4052980781</v>
      </c>
      <c r="R99" s="8">
        <f>Q99*(1+R100)</f>
        <v>16596.7415100012</v>
      </c>
    </row>
    <row r="100">
      <c r="C100" s="27" t="inlineStr">
        <is>
          <t>Growth (%)</t>
        </is>
      </c>
      <c r="G100" s="28" t="str">
        <f>IFERROR(G99/F99-1,"N/A")</f>
        <v>N/A</v>
      </c>
      <c r="H100" s="28">
        <f>IFERROR(H99/G99-1,"N/A")</f>
        <v>-0.0665636383706811</v>
      </c>
      <c r="I100" s="28">
        <f>IFERROR(I99/H99-1,"N/A")</f>
        <v>0.0862109744560076</v>
      </c>
      <c r="J100" s="28">
        <f>IFERROR(J99/I99-1,"N/A")</f>
        <v>0.0881872618399564</v>
      </c>
      <c r="K100" s="28">
        <f>IFERROR(K99/J99-1,"N/A")</f>
        <v>0.11695847923962</v>
      </c>
      <c r="L100" s="28">
        <f>IFERROR(L99/K99-1,"N/A")</f>
        <v>0.0386958079541384</v>
      </c>
      <c r="M100" s="28">
        <f>IFERROR(M99/L99-1,"N/A")</f>
        <v>0.0680407036909279</v>
      </c>
      <c r="N100" s="19" t="n">
        <v>0.077</v>
      </c>
      <c r="O100" s="19" t="n">
        <v>0.066</v>
      </c>
      <c r="P100" s="19" t="n">
        <v>0.045</v>
      </c>
      <c r="Q100" s="19" t="n">
        <v>0.074</v>
      </c>
      <c r="R100" s="19" t="n">
        <v>0.04</v>
      </c>
    </row>
    <row r="101">
      <c r="C101" s="14" t="inlineStr">
        <is>
          <t>Gross Revenue [per Visit] (LCA)</t>
        </is>
      </c>
      <c r="G101" s="26" t="n">
        <v>79</v>
      </c>
      <c r="H101" s="26" t="n">
        <v>82</v>
      </c>
      <c r="I101" s="26" t="n">
        <v>91</v>
      </c>
      <c r="J101" s="26" t="n">
        <v>99</v>
      </c>
      <c r="K101" s="26" t="n">
        <v>108</v>
      </c>
      <c r="L101" s="26" t="n">
        <v>117</v>
      </c>
      <c r="M101" s="26" t="n">
        <v>125</v>
      </c>
      <c r="N101" s="8">
        <f>M101*(1+N102)</f>
        <v>131</v>
      </c>
      <c r="O101" s="8">
        <f>N101*(1+O102)</f>
        <v>139.122</v>
      </c>
      <c r="P101" s="8">
        <f>O101*(1+P102)</f>
        <v>148.721418</v>
      </c>
      <c r="Q101" s="8">
        <f>P101*(1+Q102)</f>
        <v>159.13191726</v>
      </c>
      <c r="R101" s="8">
        <f>Q101*(1+R102)</f>
        <v>166.77024928848</v>
      </c>
    </row>
    <row r="102">
      <c r="C102" s="27" t="inlineStr">
        <is>
          <t>Growth (%)</t>
        </is>
      </c>
      <c r="G102" s="28" t="str">
        <f>IFERROR(G101/F101-1,"N/A")</f>
        <v>N/A</v>
      </c>
      <c r="H102" s="28">
        <f>IFERROR(H101/G101-1,"N/A")</f>
        <v>0.0379746835443038</v>
      </c>
      <c r="I102" s="28">
        <f>IFERROR(I101/H101-1,"N/A")</f>
        <v>0.109756097560976</v>
      </c>
      <c r="J102" s="28">
        <f>IFERROR(J101/I101-1,"N/A")</f>
        <v>0.0879120879120878</v>
      </c>
      <c r="K102" s="28">
        <f>IFERROR(K101/J101-1,"N/A")</f>
        <v>0.0909090909090908</v>
      </c>
      <c r="L102" s="28">
        <f>IFERROR(L101/K101-1,"N/A")</f>
        <v>0.0833333333333333</v>
      </c>
      <c r="M102" s="28">
        <f>IFERROR(M101/L101-1,"N/A")</f>
        <v>0.0683760683760684</v>
      </c>
      <c r="N102" s="19" t="n">
        <v>0.048</v>
      </c>
      <c r="O102" s="19" t="n">
        <v>0.062</v>
      </c>
      <c r="P102" s="19" t="n">
        <v>0.06900000000000001</v>
      </c>
      <c r="Q102" s="19" t="n">
        <v>0.07000000000000001</v>
      </c>
      <c r="R102" s="19" t="n">
        <v>0.048</v>
      </c>
    </row>
    <row r="103">
      <c r="C103" s="29" t="inlineStr">
        <is>
          <t>Revenue</t>
        </is>
      </c>
      <c r="G103" s="30">
        <f>G99*G101</f>
        <v>715661</v>
      </c>
      <c r="H103" s="30">
        <f>H99*H101</f>
        <v>693392</v>
      </c>
      <c r="I103" s="30">
        <f>I99*I101</f>
        <v>835835</v>
      </c>
      <c r="J103" s="30">
        <f>J99*J101</f>
        <v>989505</v>
      </c>
      <c r="K103" s="30">
        <f>K99*K101</f>
        <v>1205712</v>
      </c>
      <c r="L103" s="30">
        <f>L99*L101</f>
        <v>1356732</v>
      </c>
      <c r="M103" s="30">
        <f>M99*M101</f>
        <v>1548125</v>
      </c>
      <c r="N103" s="30">
        <f>N99*N101</f>
        <v>1747362.495</v>
      </c>
      <c r="O103" s="30">
        <f>O99*O101</f>
        <v>1978175.10168954</v>
      </c>
      <c r="P103" s="30">
        <f>P99*P101</f>
        <v>2209829.29697289</v>
      </c>
      <c r="Q103" s="30">
        <f>Q99*Q101</f>
        <v>2539491.63149531</v>
      </c>
      <c r="R103" s="30">
        <f>R99*R101</f>
        <v>2767842.71899937</v>
      </c>
    </row>
    <row r="105">
      <c r="C105" s="3" t="inlineStr">
        <is>
          <t>Pharmacy:</t>
        </is>
      </c>
    </row>
    <row r="106">
      <c r="C106" s="14" t="inlineStr">
        <is>
          <t>Gross Revenue (LCA)</t>
        </is>
      </c>
      <c r="G106" s="26" t="n">
        <v>2196000</v>
      </c>
      <c r="H106" s="26" t="n">
        <v>2127000</v>
      </c>
      <c r="I106" s="26" t="n">
        <v>2419000</v>
      </c>
      <c r="J106" s="26" t="n">
        <v>2724000</v>
      </c>
      <c r="K106" s="26" t="n">
        <v>3035000</v>
      </c>
      <c r="L106" s="26" t="n">
        <v>3531000</v>
      </c>
      <c r="M106" s="26" t="n">
        <v>3805000</v>
      </c>
      <c r="N106" s="8">
        <f>N108*(N17+N24+N31+N38+N45+N52+N59+N66+N73+N80+N89+N96+N103)</f>
        <v>6509708.2207778</v>
      </c>
      <c r="O106" s="8">
        <f>O108*(O17+O24+O31+O38+O45+O52+O59+O66+O73+O80+O89+O96+O103)</f>
        <v>6960327.50838714</v>
      </c>
      <c r="P106" s="8">
        <f>P108*(P17+P24+P31+P38+P45+P52+P59+P66+P73+P80+P89+P96+P103)</f>
        <v>8505325.06583777</v>
      </c>
      <c r="Q106" s="8">
        <f>Q108*(Q17+Q24+Q31+Q38+Q45+Q52+Q59+Q66+Q73+Q80+Q89+Q96+Q103)</f>
        <v>9393555.06179023</v>
      </c>
      <c r="R106" s="8">
        <f>R108*(R17+R24+R31+R38+R45+R52+R59+R66+R73+R80+R89+R96+R103)</f>
        <v>10266206.1143123</v>
      </c>
    </row>
    <row r="107">
      <c r="C107" s="27" t="inlineStr">
        <is>
          <t>Growth (%)</t>
        </is>
      </c>
      <c r="G107" s="28" t="str">
        <f>IFERROR(G106/F106-1,"N/A")</f>
        <v>N/A</v>
      </c>
      <c r="H107" s="28">
        <f>IFERROR(H106/G106-1,"N/A")</f>
        <v>-0.0314207650273224</v>
      </c>
      <c r="I107" s="28">
        <f>IFERROR(I106/H106-1,"N/A")</f>
        <v>0.137282557592854</v>
      </c>
      <c r="J107" s="28">
        <f>IFERROR(J106/I106-1,"N/A")</f>
        <v>0.126085159156676</v>
      </c>
      <c r="K107" s="28">
        <f>IFERROR(K106/J106-1,"N/A")</f>
        <v>0.11417033773862</v>
      </c>
      <c r="L107" s="28">
        <f>IFERROR(L106/K106-1,"N/A")</f>
        <v>0.163426688632619</v>
      </c>
      <c r="M107" s="28">
        <f>IFERROR(M106/L106-1,"N/A")</f>
        <v>0.0775984140470123</v>
      </c>
      <c r="N107" s="28">
        <f>IFERROR(N106/M106-1,"N/A")</f>
        <v>0.710830018601263</v>
      </c>
      <c r="O107" s="28">
        <f>IFERROR(O106/N106-1,"N/A")</f>
        <v>0.0692226551984372</v>
      </c>
      <c r="P107" s="28">
        <f>IFERROR(P106/O106-1,"N/A")</f>
        <v>0.221971962610799</v>
      </c>
      <c r="Q107" s="28">
        <f>IFERROR(Q106/P106-1,"N/A")</f>
        <v>0.104432222058167</v>
      </c>
      <c r="R107" s="28">
        <f>IFERROR(R106/Q106-1,"N/A")</f>
        <v>0.0928989127951867</v>
      </c>
    </row>
    <row r="108">
      <c r="C108" s="27" t="inlineStr">
        <is>
          <t>% of Other Hospital Revenue</t>
        </is>
      </c>
      <c r="G108" s="20">
        <f>IFERROR(G106/(G17+G24+G31+G38+G45+G52+G59+G66+G73+G80+G89+G96+G103),"N/A")</f>
        <v>0.0553780258883697</v>
      </c>
      <c r="H108" s="20">
        <f>IFERROR(H106/(H17+H24+H31+H38+H45+H52+H59+H66+H73+H80+H89+H96+H103),"N/A")</f>
        <v>0.0572594250103838</v>
      </c>
      <c r="I108" s="20">
        <f>IFERROR(I106/(I17+I24+I31+I38+I45+I52+I59+I66+I73+I80+I89+I96+I103),"N/A")</f>
        <v>0.0562985589616972</v>
      </c>
      <c r="J108" s="20">
        <f>IFERROR(J106/(J17+J24+J31+J38+J45+J52+J59+J66+J73+J80+J89+J96+J103),"N/A")</f>
        <v>0.0575232199319224</v>
      </c>
      <c r="K108" s="20">
        <f>IFERROR(K106/(K17+K24+K31+K38+K45+K52+K59+K66+K73+K80+K89+K96+K103),"N/A")</f>
        <v>0.0538201650699042</v>
      </c>
      <c r="L108" s="20">
        <f>IFERROR(L106/(L17+L24+L31+L38+L45+L52+L59+L66+L73+L80+L89+L96+L103),"N/A")</f>
        <v>0.0571565560317972</v>
      </c>
      <c r="M108" s="20">
        <f>IFERROR(M106/(M17+M24+M31+M38+M45+M52+M59+M66+M73+M80+M89+M96+M103),"N/A")</f>
        <v>0.0538673935966435</v>
      </c>
      <c r="N108" s="19" t="n">
        <v>0.08400000000000001</v>
      </c>
      <c r="O108" s="19" t="n">
        <v>0.081</v>
      </c>
      <c r="P108" s="19" t="n">
        <v>0.09</v>
      </c>
      <c r="Q108" s="19" t="n">
        <v>0.09</v>
      </c>
      <c r="R108" s="19" t="n">
        <v>0.089</v>
      </c>
    </row>
    <row r="109">
      <c r="C109" s="29" t="inlineStr">
        <is>
          <t>Revenue</t>
        </is>
      </c>
      <c r="G109" s="30">
        <f>G106</f>
        <v>2196000</v>
      </c>
      <c r="H109" s="30">
        <f>H106</f>
        <v>2127000</v>
      </c>
      <c r="I109" s="30">
        <f>I106</f>
        <v>2419000</v>
      </c>
      <c r="J109" s="30">
        <f>J106</f>
        <v>2724000</v>
      </c>
      <c r="K109" s="30">
        <f>K106</f>
        <v>3035000</v>
      </c>
      <c r="L109" s="30">
        <f>L106</f>
        <v>3531000</v>
      </c>
      <c r="M109" s="30">
        <f>M106</f>
        <v>3805000</v>
      </c>
      <c r="N109" s="30">
        <f>N106</f>
        <v>6509708.2207778</v>
      </c>
      <c r="O109" s="30">
        <f>O106</f>
        <v>6960327.50838714</v>
      </c>
      <c r="P109" s="30">
        <f>P106</f>
        <v>8505325.06583777</v>
      </c>
      <c r="Q109" s="30">
        <f>Q106</f>
        <v>9393555.06179023</v>
      </c>
      <c r="R109" s="30">
        <f>R106</f>
        <v>10266206.1143123</v>
      </c>
    </row>
    <row r="111">
      <c r="C111" s="3" t="inlineStr">
        <is>
          <t>Total Hospital Revenue (LCA)</t>
        </is>
      </c>
      <c r="G111" s="31">
        <f>G17+G24+G31+G38+G45+G52+G59+G66+G73+G80+G89+G96+G103+G109</f>
        <v>41850718</v>
      </c>
      <c r="H111" s="31">
        <f>H17+H24+H31+H38+H45+H52+H59+H66+H73+H80+H89+H96+H103+H109</f>
        <v>39273723</v>
      </c>
      <c r="I111" s="31">
        <f>I17+I24+I31+I38+I45+I52+I59+I66+I73+I80+I89+I96+I103+I109</f>
        <v>45386352</v>
      </c>
      <c r="J111" s="31">
        <f>J17+J24+J31+J38+J45+J52+J59+J66+J73+J80+J89+J96+J103+J109</f>
        <v>50078790</v>
      </c>
      <c r="K111" s="31">
        <f>K17+K24+K31+K38+K45+K52+K59+K66+K73+K80+K89+K96+K103+K109</f>
        <v>59426503</v>
      </c>
      <c r="L111" s="31">
        <f>L17+L24+L31+L38+L45+L52+L59+L66+L73+L80+L89+L96+L103+L109</f>
        <v>65308690</v>
      </c>
      <c r="M111" s="31">
        <f>M17+M24+M31+M38+M45+M52+M59+M66+M73+M80+M89+M96+M103+M109</f>
        <v>74441423</v>
      </c>
      <c r="N111" s="31">
        <f>N17+N24+N31+N38+N45+N52+N59+N66+N73+N80+N89+N96+N103+N109</f>
        <v>84006234.6586088</v>
      </c>
      <c r="O111" s="31">
        <f>O17+O24+O31+O38+O45+O52+O59+O66+O73+O80+O89+O96+O103+O109</f>
        <v>92890296.7477345</v>
      </c>
      <c r="P111" s="31">
        <f>P17+P24+P31+P38+P45+P52+P59+P66+P73+P80+P89+P96+P103+P109</f>
        <v>103008936.90848</v>
      </c>
      <c r="Q111" s="31">
        <f>Q17+Q24+Q31+Q38+Q45+Q52+Q59+Q66+Q73+Q80+Q89+Q96+Q103+Q109</f>
        <v>113766389.081682</v>
      </c>
      <c r="R111" s="31">
        <f>R17+R24+R31+R38+R45+R52+R59+R66+R73+R80+R89+R96+R103+R109</f>
        <v>125616836.612203</v>
      </c>
    </row>
    <row r="113">
      <c r="C113" s="25" t="inlineStr">
        <is>
          <t>B</t>
        </is>
      </c>
      <c r="D113" s="25" t="inlineStr">
        <is>
          <t>Cost Assumptions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C114" s="3" t="inlineStr">
        <is>
          <t>Expenses:</t>
        </is>
      </c>
    </row>
    <row r="115">
      <c r="C115" s="27" t="inlineStr">
        <is>
          <t>COGS – % of Sales (%)</t>
        </is>
      </c>
      <c r="G115" s="20">
        <f>IFERROR(G116/G111,"N/A")</f>
        <v>0.287235215414942</v>
      </c>
      <c r="H115" s="20">
        <f>IFERROR(H116/H111,"N/A")</f>
        <v>0.304554778267393</v>
      </c>
      <c r="I115" s="20">
        <f>IFERROR(I116/I111,"N/A")</f>
        <v>0.282265470465659</v>
      </c>
      <c r="J115" s="20">
        <f>IFERROR(J116/J111,"N/A")</f>
        <v>0.316381446117209</v>
      </c>
      <c r="K115" s="20">
        <f>IFERROR(K116/K111,"N/A")</f>
        <v>0.290510111288224</v>
      </c>
      <c r="L115" s="20">
        <f>IFERROR(L116/L111,"N/A")</f>
        <v>0.305763291225103</v>
      </c>
      <c r="M115" s="20">
        <f>IFERROR(M116/M111,"N/A")</f>
        <v>0.304789982319387</v>
      </c>
      <c r="N115" s="19" t="n">
        <v>0.2959</v>
      </c>
      <c r="O115" s="19" t="n">
        <v>0.3005</v>
      </c>
      <c r="P115" s="19" t="n">
        <v>0.287</v>
      </c>
      <c r="Q115" s="19" t="n">
        <v>0.2909</v>
      </c>
      <c r="R115" s="19" t="n">
        <v>0.2888</v>
      </c>
    </row>
    <row r="116">
      <c r="C116" s="14" t="inlineStr">
        <is>
          <t>COGS (LCA)</t>
        </is>
      </c>
      <c r="G116" s="26" t="n">
        <v>12021000</v>
      </c>
      <c r="H116" s="26" t="n">
        <v>11961000</v>
      </c>
      <c r="I116" s="26" t="n">
        <v>12811000</v>
      </c>
      <c r="J116" s="26" t="n">
        <v>15844000</v>
      </c>
      <c r="K116" s="26" t="n">
        <v>17264000</v>
      </c>
      <c r="L116" s="26" t="n">
        <v>19969000</v>
      </c>
      <c r="M116" s="26" t="n">
        <v>22689000</v>
      </c>
      <c r="N116" s="8">
        <f>N115*N111</f>
        <v>24857444.8354823</v>
      </c>
      <c r="O116" s="8">
        <f>O115*O111</f>
        <v>27913534.1726942</v>
      </c>
      <c r="P116" s="8">
        <f>P115*P111</f>
        <v>29563564.8927336</v>
      </c>
      <c r="Q116" s="8">
        <f>Q115*Q111</f>
        <v>33094642.5838612</v>
      </c>
      <c r="R116" s="8">
        <f>R115*R111</f>
        <v>36278142.4136042</v>
      </c>
    </row>
    <row r="117">
      <c r="C117" s="27" t="inlineStr">
        <is>
          <t>Payroll – % of Sales (%)</t>
        </is>
      </c>
      <c r="G117" s="20">
        <f>IFERROR(G118/G111,"N/A")</f>
        <v>0.335908215481512</v>
      </c>
      <c r="H117" s="20">
        <f>IFERROR(H118/H111,"N/A")</f>
        <v>0.32051965126912</v>
      </c>
      <c r="I117" s="20">
        <f>IFERROR(I118/I111,"N/A")</f>
        <v>0.314191367484216</v>
      </c>
      <c r="J117" s="20">
        <f>IFERROR(J118/J111,"N/A")</f>
        <v>0.314125001822129</v>
      </c>
      <c r="K117" s="20">
        <f>IFERROR(K118/K111,"N/A")</f>
        <v>0.33015572193437</v>
      </c>
      <c r="L117" s="20">
        <f>IFERROR(L118/L111,"N/A")</f>
        <v>0.342649653514716</v>
      </c>
      <c r="M117" s="20">
        <f>IFERROR(M118/M111,"N/A")</f>
        <v>0.324348985107391</v>
      </c>
      <c r="N117" s="19" t="n">
        <v>0.336</v>
      </c>
      <c r="O117" s="19" t="n">
        <v>0.3206</v>
      </c>
      <c r="P117" s="19" t="n">
        <v>0.3264</v>
      </c>
      <c r="Q117" s="19" t="n">
        <v>0.3238</v>
      </c>
      <c r="R117" s="19" t="n">
        <v>0.3305</v>
      </c>
    </row>
    <row r="118">
      <c r="C118" s="14" t="inlineStr">
        <is>
          <t>Payroll (LCA)</t>
        </is>
      </c>
      <c r="G118" s="26" t="n">
        <v>14058000</v>
      </c>
      <c r="H118" s="26" t="n">
        <v>12588000</v>
      </c>
      <c r="I118" s="26" t="n">
        <v>14260000</v>
      </c>
      <c r="J118" s="26" t="n">
        <v>15731000</v>
      </c>
      <c r="K118" s="26" t="n">
        <v>19620000</v>
      </c>
      <c r="L118" s="26" t="n">
        <v>22378000</v>
      </c>
      <c r="M118" s="26" t="n">
        <v>24145000</v>
      </c>
      <c r="N118" s="8">
        <f>N117*N111</f>
        <v>28226094.8452926</v>
      </c>
      <c r="O118" s="8">
        <f>O117*O111</f>
        <v>29780629.1373237</v>
      </c>
      <c r="P118" s="8">
        <f>P117*P111</f>
        <v>33622117.0069277</v>
      </c>
      <c r="Q118" s="8">
        <f>Q117*Q111</f>
        <v>36837556.7846485</v>
      </c>
      <c r="R118" s="8">
        <f>R117*R111</f>
        <v>41516364.5003331</v>
      </c>
    </row>
    <row r="119">
      <c r="C119" s="27" t="inlineStr">
        <is>
          <t>OPEX – % of Sales (%)</t>
        </is>
      </c>
      <c r="G119" s="20">
        <f>IFERROR(G120/G111,"N/A")</f>
        <v>0.145469427788551</v>
      </c>
      <c r="H119" s="20">
        <f>IFERROR(H120/H111,"N/A")</f>
        <v>0.139788122455312</v>
      </c>
      <c r="I119" s="20">
        <f>IFERROR(I120/I111,"N/A")</f>
        <v>0.146960478339392</v>
      </c>
      <c r="J119" s="20">
        <f>IFERROR(J120/J111,"N/A")</f>
        <v>0.145710389568119</v>
      </c>
      <c r="K119" s="20">
        <f>IFERROR(K120/K111,"N/A")</f>
        <v>0.140728455786806</v>
      </c>
      <c r="L119" s="20">
        <f>IFERROR(L120/L111,"N/A")</f>
        <v>0.148433539242634</v>
      </c>
      <c r="M119" s="20">
        <f>IFERROR(M120/M111,"N/A")</f>
        <v>0.13327257325535</v>
      </c>
      <c r="N119" s="19" t="n">
        <v>0.1445</v>
      </c>
      <c r="O119" s="19" t="n">
        <v>0.14</v>
      </c>
      <c r="P119" s="19" t="n">
        <v>0.1369</v>
      </c>
      <c r="Q119" s="19" t="n">
        <v>0.1447</v>
      </c>
      <c r="R119" s="19" t="n">
        <v>0.1448</v>
      </c>
    </row>
    <row r="120">
      <c r="C120" s="14" t="inlineStr">
        <is>
          <t>OPEX (LCA)</t>
        </is>
      </c>
      <c r="G120" s="26" t="n">
        <v>6088000</v>
      </c>
      <c r="H120" s="26" t="n">
        <v>5490000</v>
      </c>
      <c r="I120" s="26" t="n">
        <v>6670000</v>
      </c>
      <c r="J120" s="26" t="n">
        <v>7297000</v>
      </c>
      <c r="K120" s="26" t="n">
        <v>8363000</v>
      </c>
      <c r="L120" s="26" t="n">
        <v>9694000</v>
      </c>
      <c r="M120" s="26" t="n">
        <v>9921000</v>
      </c>
      <c r="N120" s="8">
        <f>N119*N111</f>
        <v>12138900.908169</v>
      </c>
      <c r="O120" s="8">
        <f>O119*O111</f>
        <v>13004641.5446828</v>
      </c>
      <c r="P120" s="8">
        <f>P119*P111</f>
        <v>14101923.4627709</v>
      </c>
      <c r="Q120" s="8">
        <f>Q119*Q111</f>
        <v>16461996.5001193</v>
      </c>
      <c r="R120" s="8">
        <f>R119*R111</f>
        <v>18189317.941447</v>
      </c>
    </row>
    <row r="121">
      <c r="C121" s="27" t="inlineStr">
        <is>
          <t>Provision – % of Sales (%)</t>
        </is>
      </c>
      <c r="G121" s="20">
        <f>IFERROR(G122/G111,"N/A")</f>
        <v>0.013285315678455</v>
      </c>
      <c r="H121" s="20">
        <f>IFERROR(H122/H111,"N/A")</f>
        <v>0.0144116716411123</v>
      </c>
      <c r="I121" s="20">
        <f>IFERROR(I122/I111,"N/A")</f>
        <v>0.0140130231220169</v>
      </c>
      <c r="J121" s="20">
        <f>IFERROR(J122/J111,"N/A")</f>
        <v>0.0139979420429288</v>
      </c>
      <c r="K121" s="20">
        <f>IFERROR(K122/K111,"N/A")</f>
        <v>0.0142865549399735</v>
      </c>
      <c r="L121" s="20">
        <f>IFERROR(L122/L111,"N/A")</f>
        <v>0.0139185152848725</v>
      </c>
      <c r="M121" s="20">
        <f>IFERROR(M122/M111,"N/A")</f>
        <v>0.0146423853289317</v>
      </c>
      <c r="N121" s="19" t="n">
        <v>0.0137</v>
      </c>
      <c r="O121" s="19" t="n">
        <v>0.0137</v>
      </c>
      <c r="P121" s="19" t="n">
        <v>0.0139</v>
      </c>
      <c r="Q121" s="19" t="n">
        <v>0.0142</v>
      </c>
      <c r="R121" s="19" t="n">
        <v>0.014</v>
      </c>
    </row>
    <row r="122">
      <c r="C122" s="14" t="inlineStr">
        <is>
          <t>Provision (LCA)</t>
        </is>
      </c>
      <c r="G122" s="26" t="n">
        <v>556000</v>
      </c>
      <c r="H122" s="26" t="n">
        <v>566000</v>
      </c>
      <c r="I122" s="26" t="n">
        <v>636000</v>
      </c>
      <c r="J122" s="26" t="n">
        <v>701000</v>
      </c>
      <c r="K122" s="26" t="n">
        <v>849000</v>
      </c>
      <c r="L122" s="26" t="n">
        <v>909000</v>
      </c>
      <c r="M122" s="26" t="n">
        <v>1090000</v>
      </c>
      <c r="N122" s="8">
        <f>N121*N111</f>
        <v>1150885.41482294</v>
      </c>
      <c r="O122" s="8">
        <f>O121*O111</f>
        <v>1272597.06544396</v>
      </c>
      <c r="P122" s="8">
        <f>P121*P111</f>
        <v>1431824.22302787</v>
      </c>
      <c r="Q122" s="8">
        <f>Q121*Q111</f>
        <v>1615482.72495988</v>
      </c>
      <c r="R122" s="8">
        <f>R121*R111</f>
        <v>1758635.71257084</v>
      </c>
    </row>
    <row r="123">
      <c r="C123" s="27" t="inlineStr">
        <is>
          <t>Depreciation &amp; Amortization – % of Sales (%)</t>
        </is>
      </c>
      <c r="G123" s="20">
        <f>IFERROR(G124/G111,"N/A")</f>
        <v>0.0457100879368426</v>
      </c>
      <c r="H123" s="20">
        <f>IFERROR(H124/H111,"N/A")</f>
        <v>0.0452210756795326</v>
      </c>
      <c r="I123" s="20">
        <f>IFERROR(I124/I111,"N/A")</f>
        <v>0.0434932510107884</v>
      </c>
      <c r="J123" s="20">
        <f>IFERROR(J124/J111,"N/A")</f>
        <v>0.0450490117672572</v>
      </c>
      <c r="K123" s="20">
        <f>IFERROR(K124/K111,"N/A")</f>
        <v>0.0448284833452172</v>
      </c>
      <c r="L123" s="20">
        <f>IFERROR(L124/L111,"N/A")</f>
        <v>0.0445116874951863</v>
      </c>
      <c r="M123" s="20">
        <f>IFERROR(M124/M111,"N/A")</f>
        <v>0.0456331953783312</v>
      </c>
      <c r="N123" s="19" t="n">
        <v>0.0461</v>
      </c>
      <c r="O123" s="19" t="n">
        <v>0.0466</v>
      </c>
      <c r="P123" s="19" t="n">
        <v>0.0452</v>
      </c>
      <c r="Q123" s="19" t="n">
        <v>0.0461</v>
      </c>
      <c r="R123" s="19" t="n">
        <v>0.0459</v>
      </c>
    </row>
    <row r="124">
      <c r="C124" s="14" t="inlineStr">
        <is>
          <t>Depreciation &amp; Amortization (LCA)</t>
        </is>
      </c>
      <c r="G124" s="26" t="n">
        <v>1913000</v>
      </c>
      <c r="H124" s="26" t="n">
        <v>1776000</v>
      </c>
      <c r="I124" s="26" t="n">
        <v>1974000</v>
      </c>
      <c r="J124" s="26" t="n">
        <v>2256000</v>
      </c>
      <c r="K124" s="26" t="n">
        <v>2664000</v>
      </c>
      <c r="L124" s="26" t="n">
        <v>2907000</v>
      </c>
      <c r="M124" s="26" t="n">
        <v>3397000</v>
      </c>
      <c r="N124" s="8">
        <f>N123*N111</f>
        <v>3872687.41776187</v>
      </c>
      <c r="O124" s="8">
        <f>O123*O111</f>
        <v>4328687.82844443</v>
      </c>
      <c r="P124" s="8">
        <f>P123*P111</f>
        <v>4656003.94826328</v>
      </c>
      <c r="Q124" s="8">
        <f>Q123*Q111</f>
        <v>5244630.53666552</v>
      </c>
      <c r="R124" s="8">
        <f>R123*R111</f>
        <v>5765812.80050011</v>
      </c>
    </row>
    <row r="125">
      <c r="C125" s="27" t="inlineStr">
        <is>
          <t>Goodwill, Trademark &amp; PPA Amortization – % of Sales (%)</t>
        </is>
      </c>
      <c r="G125" s="20">
        <f>IFERROR(G126/G111,"N/A")</f>
        <v>0.00876926412588668</v>
      </c>
      <c r="H125" s="20">
        <f>IFERROR(H126/H111,"N/A")</f>
        <v>0.00911550962459047</v>
      </c>
      <c r="I125" s="20">
        <f>IFERROR(I126/I111,"N/A")</f>
        <v>0.0090776187519984</v>
      </c>
      <c r="J125" s="20">
        <f>IFERROR(J126/J111,"N/A")</f>
        <v>0.00906571424748881</v>
      </c>
      <c r="K125" s="20">
        <f>IFERROR(K126/K111,"N/A")</f>
        <v>0.00880078708316389</v>
      </c>
      <c r="L125" s="20">
        <f>IFERROR(L126/L111,"N/A")</f>
        <v>0.00871246996379808</v>
      </c>
      <c r="M125" s="20">
        <f>IFERROR(M126/M111,"N/A")</f>
        <v>0.00904066543703766</v>
      </c>
      <c r="N125" s="19" t="n">
        <v>0.008699999999999999</v>
      </c>
      <c r="O125" s="19" t="n">
        <v>0.008800000000000001</v>
      </c>
      <c r="P125" s="19" t="n">
        <v>0.008800000000000001</v>
      </c>
      <c r="Q125" s="19" t="n">
        <v>0.008999999999999999</v>
      </c>
      <c r="R125" s="19" t="n">
        <v>0.008699999999999999</v>
      </c>
    </row>
    <row r="126">
      <c r="C126" s="14" t="inlineStr">
        <is>
          <t>Goodwill, Trademark &amp; PPA Amortization (LCA)</t>
        </is>
      </c>
      <c r="G126" s="26" t="n">
        <v>367000</v>
      </c>
      <c r="H126" s="26" t="n">
        <v>358000</v>
      </c>
      <c r="I126" s="26" t="n">
        <v>412000</v>
      </c>
      <c r="J126" s="26" t="n">
        <v>454000</v>
      </c>
      <c r="K126" s="26" t="n">
        <v>523000</v>
      </c>
      <c r="L126" s="26" t="n">
        <v>569000</v>
      </c>
      <c r="M126" s="26" t="n">
        <v>673000</v>
      </c>
      <c r="N126" s="8">
        <f>N125*N111</f>
        <v>730854.241529897</v>
      </c>
      <c r="O126" s="8">
        <f>O125*O111</f>
        <v>817434.611380064</v>
      </c>
      <c r="P126" s="8">
        <f>P125*P111</f>
        <v>906478.644794621</v>
      </c>
      <c r="Q126" s="8">
        <f>Q125*Q111</f>
        <v>1023897.50173513</v>
      </c>
      <c r="R126" s="8">
        <f>R125*R111</f>
        <v>1092866.47852616</v>
      </c>
    </row>
    <row r="128">
      <c r="C128" s="12" t="inlineStr">
        <is>
          <t>Financial Statements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>
      <c r="C129" s="25" t="inlineStr">
        <is>
          <t>A</t>
        </is>
      </c>
      <c r="D129" s="25" t="inlineStr">
        <is>
          <t>Income Statement</t>
        </is>
      </c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</row>
    <row r="130">
      <c r="E130" s="10" t="str">
        <f>"("&amp;Control!$E$18&amp;" in Actual)"</f>
        <v>(USD in Actual)</v>
      </c>
    </row>
    <row r="131">
      <c r="C131" s="3" t="inlineStr">
        <is>
          <t>Revenue:</t>
        </is>
      </c>
    </row>
    <row r="132">
      <c r="C132" s="14" t="inlineStr">
        <is>
          <t>Laboratory</t>
        </is>
      </c>
      <c r="G132" s="32">
        <f>G17*Control!$E$17</f>
        <v>907505.845</v>
      </c>
      <c r="H132" s="32">
        <f>H17*Control!$E$17</f>
        <v>857083.54</v>
      </c>
      <c r="I132" s="32">
        <f>I17*Control!$E$17</f>
        <v>997578.995</v>
      </c>
      <c r="J132" s="32">
        <f>J17*Control!$E$17</f>
        <v>1118876.125</v>
      </c>
      <c r="K132" s="32">
        <f>K17*Control!$E$17</f>
        <v>1283688.675</v>
      </c>
      <c r="L132" s="32">
        <f>L17*Control!$E$17</f>
        <v>1420629.99</v>
      </c>
      <c r="M132" s="32">
        <f>M17*Control!$E$17</f>
        <v>1602100.75</v>
      </c>
      <c r="N132" s="32">
        <f>N17*Control!$E$17</f>
        <v>1771298.6102075</v>
      </c>
      <c r="O132" s="32">
        <f>O17*Control!$E$17</f>
        <v>1960239.49036111</v>
      </c>
      <c r="P132" s="32">
        <f>P17*Control!$E$17</f>
        <v>2231379.81666786</v>
      </c>
      <c r="Q132" s="32">
        <f>Q17*Control!$E$17</f>
        <v>2563694.75000458</v>
      </c>
      <c r="R132" s="32">
        <f>R17*Control!$E$17</f>
        <v>2937865.99876774</v>
      </c>
    </row>
    <row r="133">
      <c r="C133" s="14" t="inlineStr">
        <is>
          <t>Radiology</t>
        </is>
      </c>
      <c r="G133" s="32">
        <f>G24*Control!$E$17</f>
        <v>747751.2</v>
      </c>
      <c r="H133" s="32">
        <f>H24*Control!$E$17</f>
        <v>723357.965</v>
      </c>
      <c r="I133" s="32">
        <f>I24*Control!$E$17</f>
        <v>830914.645</v>
      </c>
      <c r="J133" s="32">
        <f>J24*Control!$E$17</f>
        <v>962603.24</v>
      </c>
      <c r="K133" s="32">
        <f>K24*Control!$E$17</f>
        <v>1097494.65</v>
      </c>
      <c r="L133" s="32">
        <f>L24*Control!$E$17</f>
        <v>1237175.125</v>
      </c>
      <c r="M133" s="32">
        <f>M24*Control!$E$17</f>
        <v>1448986.5</v>
      </c>
      <c r="N133" s="32">
        <f>N24*Control!$E$17</f>
        <v>1603454.256846</v>
      </c>
      <c r="O133" s="32">
        <f>O24*Control!$E$17</f>
        <v>1781224.41993975</v>
      </c>
      <c r="P133" s="32">
        <f>P24*Control!$E$17</f>
        <v>1986193.47639105</v>
      </c>
      <c r="Q133" s="32">
        <f>Q24*Control!$E$17</f>
        <v>2218737.00860692</v>
      </c>
      <c r="R133" s="32">
        <f>R24*Control!$E$17</f>
        <v>2573468.68154299</v>
      </c>
    </row>
    <row r="134">
      <c r="C134" s="14" t="inlineStr">
        <is>
          <t>Endoscopy</t>
        </is>
      </c>
      <c r="G134" s="32">
        <f>G31*Control!$E$17</f>
        <v>318410.9</v>
      </c>
      <c r="H134" s="32">
        <f>H31*Control!$E$17</f>
        <v>308841.935</v>
      </c>
      <c r="I134" s="32">
        <f>I31*Control!$E$17</f>
        <v>344442.32</v>
      </c>
      <c r="J134" s="32">
        <f>J31*Control!$E$17</f>
        <v>410890.92</v>
      </c>
      <c r="K134" s="32">
        <f>K31*Control!$E$17</f>
        <v>452588.38</v>
      </c>
      <c r="L134" s="32">
        <f>L31*Control!$E$17</f>
        <v>524435.165</v>
      </c>
      <c r="M134" s="32">
        <f>M31*Control!$E$17</f>
        <v>609457.225</v>
      </c>
      <c r="N134" s="32">
        <f>N31*Control!$E$17</f>
        <v>685406.56546505</v>
      </c>
      <c r="O134" s="32">
        <f>O31*Control!$E$17</f>
        <v>783187.351500859</v>
      </c>
      <c r="P134" s="32">
        <f>P31*Control!$E$17</f>
        <v>886615.073140063</v>
      </c>
      <c r="Q134" s="32">
        <f>Q31*Control!$E$17</f>
        <v>1003711.21246474</v>
      </c>
      <c r="R134" s="32">
        <f>R31*Control!$E$17</f>
        <v>1116066.64558805</v>
      </c>
    </row>
    <row r="135">
      <c r="C135" s="14" t="inlineStr">
        <is>
          <t>Physiotherapy</t>
        </is>
      </c>
      <c r="G135" s="32">
        <f>G38*Control!$E$17</f>
        <v>136937.32</v>
      </c>
      <c r="H135" s="32">
        <f>H38*Control!$E$17</f>
        <v>130351.68</v>
      </c>
      <c r="I135" s="32">
        <f>I38*Control!$E$17</f>
        <v>145971.66</v>
      </c>
      <c r="J135" s="32">
        <f>J38*Control!$E$17</f>
        <v>163221.6</v>
      </c>
      <c r="K135" s="32">
        <f>K38*Control!$E$17</f>
        <v>200055.97</v>
      </c>
      <c r="L135" s="32">
        <f>L38*Control!$E$17</f>
        <v>233326.8</v>
      </c>
      <c r="M135" s="32">
        <f>M38*Control!$E$17</f>
        <v>276233.1</v>
      </c>
      <c r="N135" s="32">
        <f>N38*Control!$E$17</f>
        <v>304837.037505</v>
      </c>
      <c r="O135" s="32">
        <f>O38*Control!$E$17</f>
        <v>342490.20354058</v>
      </c>
      <c r="P135" s="32">
        <f>P38*Control!$E$17</f>
        <v>377930.404822552</v>
      </c>
      <c r="Q135" s="32">
        <f>Q38*Control!$E$17</f>
        <v>420642.587453978</v>
      </c>
      <c r="R135" s="32">
        <f>R38*Control!$E$17</f>
        <v>472633.590620702</v>
      </c>
    </row>
    <row r="136">
      <c r="C136" s="14" t="inlineStr">
        <is>
          <t>IVF</t>
        </is>
      </c>
      <c r="G136" s="32">
        <f>G45*Control!$E$17</f>
        <v>223795.2</v>
      </c>
      <c r="H136" s="32">
        <f>H45*Control!$E$17</f>
        <v>206200.75</v>
      </c>
      <c r="I136" s="32">
        <f>I45*Control!$E$17</f>
        <v>236136.46</v>
      </c>
      <c r="J136" s="32">
        <f>J45*Control!$E$17</f>
        <v>269205.895</v>
      </c>
      <c r="K136" s="32">
        <f>K45*Control!$E$17</f>
        <v>311866.62</v>
      </c>
      <c r="L136" s="32">
        <f>L45*Control!$E$17</f>
        <v>373987.46</v>
      </c>
      <c r="M136" s="32">
        <f>M45*Control!$E$17</f>
        <v>434404.55</v>
      </c>
      <c r="N136" s="32">
        <f>N45*Control!$E$17</f>
        <v>478008.3411108</v>
      </c>
      <c r="O136" s="32">
        <f>O45*Control!$E$17</f>
        <v>535064.850730809</v>
      </c>
      <c r="P136" s="32">
        <f>P45*Control!$E$17</f>
        <v>593282.581814574</v>
      </c>
      <c r="Q136" s="32">
        <f>Q45*Control!$E$17</f>
        <v>664027.376717889</v>
      </c>
      <c r="R136" s="32">
        <f>R45*Control!$E$17</f>
        <v>760228.342919893</v>
      </c>
    </row>
    <row r="137">
      <c r="C137" s="14" t="inlineStr">
        <is>
          <t>Anapath</t>
        </is>
      </c>
      <c r="G137" s="32">
        <f>G52*Control!$E$17</f>
        <v>223103.36</v>
      </c>
      <c r="H137" s="32">
        <f>H52*Control!$E$17</f>
        <v>204479.375</v>
      </c>
      <c r="I137" s="32">
        <f>I52*Control!$E$17</f>
        <v>230151.48</v>
      </c>
      <c r="J137" s="32">
        <f>J52*Control!$E$17</f>
        <v>259447.05</v>
      </c>
      <c r="K137" s="32">
        <f>K52*Control!$E$17</f>
        <v>310820.4</v>
      </c>
      <c r="L137" s="32">
        <f>L52*Control!$E$17</f>
        <v>370889.22</v>
      </c>
      <c r="M137" s="32">
        <f>M52*Control!$E$17</f>
        <v>443973.985</v>
      </c>
      <c r="N137" s="32">
        <f>N52*Control!$E$17</f>
        <v>500658.363534875</v>
      </c>
      <c r="O137" s="32">
        <f>O52*Control!$E$17</f>
        <v>568314.330832797</v>
      </c>
      <c r="P137" s="32">
        <f>P52*Control!$E$17</f>
        <v>621190.29617348</v>
      </c>
      <c r="Q137" s="32">
        <f>Q52*Control!$E$17</f>
        <v>690689.066509369</v>
      </c>
      <c r="R137" s="32">
        <f>R52*Control!$E$17</f>
        <v>782632.213664963</v>
      </c>
    </row>
    <row r="138">
      <c r="C138" s="14" t="inlineStr">
        <is>
          <t>Surgery</t>
        </is>
      </c>
      <c r="G138" s="32">
        <f>G59*Control!$E$17</f>
        <v>1943939.27</v>
      </c>
      <c r="H138" s="32">
        <f>H59*Control!$E$17</f>
        <v>1874614.505</v>
      </c>
      <c r="I138" s="32">
        <f>I59*Control!$E$17</f>
        <v>2233972.98</v>
      </c>
      <c r="J138" s="32">
        <f>J59*Control!$E$17</f>
        <v>2542760.16</v>
      </c>
      <c r="K138" s="32">
        <f>K59*Control!$E$17</f>
        <v>2939198.58</v>
      </c>
      <c r="L138" s="32">
        <f>L59*Control!$E$17</f>
        <v>3308847.705</v>
      </c>
      <c r="M138" s="32">
        <f>M59*Control!$E$17</f>
        <v>3722218.11</v>
      </c>
      <c r="N138" s="32">
        <f>N59*Control!$E$17</f>
        <v>4099680.80409888</v>
      </c>
      <c r="O138" s="32">
        <f>O59*Control!$E$17</f>
        <v>4724250.77588013</v>
      </c>
      <c r="P138" s="32">
        <f>P59*Control!$E$17</f>
        <v>5248203.25668067</v>
      </c>
      <c r="Q138" s="32">
        <f>Q59*Control!$E$17</f>
        <v>5863502.60649391</v>
      </c>
      <c r="R138" s="32">
        <f>R59*Control!$E$17</f>
        <v>6532399.25683752</v>
      </c>
    </row>
    <row r="139">
      <c r="C139" s="14" t="inlineStr">
        <is>
          <t>Cardiac Cath</t>
        </is>
      </c>
      <c r="G139" s="32">
        <f>G66*Control!$E$17</f>
        <v>379642.5</v>
      </c>
      <c r="H139" s="32">
        <f>H66*Control!$E$17</f>
        <v>367070</v>
      </c>
      <c r="I139" s="32">
        <f>I66*Control!$E$17</f>
        <v>417528.965</v>
      </c>
      <c r="J139" s="32">
        <f>J66*Control!$E$17</f>
        <v>474224.36</v>
      </c>
      <c r="K139" s="32">
        <f>K66*Control!$E$17</f>
        <v>555816.595</v>
      </c>
      <c r="L139" s="32">
        <f>L66*Control!$E$17</f>
        <v>682389.24</v>
      </c>
      <c r="M139" s="32">
        <f>M66*Control!$E$17</f>
        <v>809308.04</v>
      </c>
      <c r="N139" s="32">
        <f>N66*Control!$E$17</f>
        <v>899033.59447068</v>
      </c>
      <c r="O139" s="32">
        <f>O66*Control!$E$17</f>
        <v>1000494.92980826</v>
      </c>
      <c r="P139" s="32">
        <f>P66*Control!$E$17</f>
        <v>1103009.64229614</v>
      </c>
      <c r="Q139" s="32">
        <f>Q66*Control!$E$17</f>
        <v>1251935.79817968</v>
      </c>
      <c r="R139" s="32">
        <f>R66*Control!$E$17</f>
        <v>1398722.76664465</v>
      </c>
    </row>
    <row r="140">
      <c r="C140" s="14" t="inlineStr">
        <is>
          <t>Heart Test</t>
        </is>
      </c>
      <c r="G140" s="32">
        <f>G73*Control!$E$17</f>
        <v>247329.98</v>
      </c>
      <c r="H140" s="32">
        <f>H73*Control!$E$17</f>
        <v>243223.59</v>
      </c>
      <c r="I140" s="32">
        <f>I73*Control!$E$17</f>
        <v>278133.78</v>
      </c>
      <c r="J140" s="32">
        <f>J73*Control!$E$17</f>
        <v>322139.88</v>
      </c>
      <c r="K140" s="32">
        <f>K73*Control!$E$17</f>
        <v>374806.67</v>
      </c>
      <c r="L140" s="32">
        <f>L73*Control!$E$17</f>
        <v>416931.125</v>
      </c>
      <c r="M140" s="32">
        <f>M73*Control!$E$17</f>
        <v>480401.1</v>
      </c>
      <c r="N140" s="32">
        <f>N73*Control!$E$17</f>
        <v>544881.0160431</v>
      </c>
      <c r="O140" s="32">
        <f>O73*Control!$E$17</f>
        <v>603008.377953562</v>
      </c>
      <c r="P140" s="32">
        <f>P73*Control!$E$17</f>
        <v>681342.181291619</v>
      </c>
      <c r="Q140" s="32">
        <f>Q73*Control!$E$17</f>
        <v>761928.609126066</v>
      </c>
      <c r="R140" s="32">
        <f>R73*Control!$E$17</f>
        <v>868853.860487773</v>
      </c>
    </row>
    <row r="141">
      <c r="C141" s="14" t="inlineStr">
        <is>
          <t>Emergency</t>
        </is>
      </c>
      <c r="G141" s="32">
        <f>G80*Control!$E$17</f>
        <v>595773.88</v>
      </c>
      <c r="H141" s="32">
        <f>H80*Control!$E$17</f>
        <v>586654</v>
      </c>
      <c r="I141" s="32">
        <f>I80*Control!$E$17</f>
        <v>631503.985</v>
      </c>
      <c r="J141" s="32">
        <f>J80*Control!$E$17</f>
        <v>737033.085</v>
      </c>
      <c r="K141" s="32">
        <f>K80*Control!$E$17</f>
        <v>827574.12</v>
      </c>
      <c r="L141" s="32">
        <f>L80*Control!$E$17</f>
        <v>943086.96</v>
      </c>
      <c r="M141" s="32">
        <f>M80*Control!$E$17</f>
        <v>1063951.69</v>
      </c>
      <c r="N141" s="32">
        <f>N80*Control!$E$17</f>
        <v>1198796.9271906</v>
      </c>
      <c r="O141" s="32">
        <f>O80*Control!$E$17</f>
        <v>1341813.40060444</v>
      </c>
      <c r="P141" s="32">
        <f>P80*Control!$E$17</f>
        <v>1462469.26158679</v>
      </c>
      <c r="Q141" s="32">
        <f>Q80*Control!$E$17</f>
        <v>1629114.70900608</v>
      </c>
      <c r="R141" s="32">
        <f>R80*Control!$E$17</f>
        <v>1828678.00262991</v>
      </c>
    </row>
    <row r="142">
      <c r="C142" s="14" t="inlineStr">
        <is>
          <t>Accommodation</t>
        </is>
      </c>
      <c r="G142" s="32">
        <f>G89*Control!$E$17</f>
        <v>3426488.94</v>
      </c>
      <c r="H142" s="32">
        <f>H89*Control!$E$17</f>
        <v>3064655.445</v>
      </c>
      <c r="I142" s="32">
        <f>I89*Control!$E$17</f>
        <v>3554571.225</v>
      </c>
      <c r="J142" s="32">
        <f>J89*Control!$E$17</f>
        <v>3635439.66</v>
      </c>
      <c r="K142" s="32">
        <f>K89*Control!$E$17</f>
        <v>4614750.225</v>
      </c>
      <c r="L142" s="32">
        <f>L89*Control!$E$17</f>
        <v>4687226.34</v>
      </c>
      <c r="M142" s="32">
        <f>M89*Control!$E$17</f>
        <v>5344714.98</v>
      </c>
      <c r="N142" s="32">
        <f>N89*Control!$E$17</f>
        <v>5714998.0100928</v>
      </c>
      <c r="O142" s="32">
        <f>O89*Control!$E$17</f>
        <v>6088583.49119729</v>
      </c>
      <c r="P142" s="32">
        <f>P89*Control!$E$17</f>
        <v>6497422.90736741</v>
      </c>
      <c r="Q142" s="32">
        <f>Q89*Control!$E$17</f>
        <v>6862851.73670988</v>
      </c>
      <c r="R142" s="32">
        <f>R89*Control!$E$17</f>
        <v>7185405.76833525</v>
      </c>
    </row>
    <row r="143">
      <c r="C143" s="14" t="inlineStr">
        <is>
          <t>Radiotherapy</t>
        </is>
      </c>
      <c r="G143" s="32">
        <f>G96*Control!$E$17</f>
        <v>0</v>
      </c>
      <c r="H143" s="32">
        <f>H96*Control!$E$17</f>
        <v>0</v>
      </c>
      <c r="I143" s="32">
        <f>I96*Control!$E$17</f>
        <v>0</v>
      </c>
      <c r="J143" s="32">
        <f>J96*Control!$E$17</f>
        <v>0</v>
      </c>
      <c r="K143" s="32">
        <f>K96*Control!$E$17</f>
        <v>0</v>
      </c>
      <c r="L143" s="32">
        <f>L96*Control!$E$17</f>
        <v>0</v>
      </c>
      <c r="M143" s="32">
        <f>M96*Control!$E$17</f>
        <v>0</v>
      </c>
      <c r="N143" s="32">
        <f>N96*Control!$E$17</f>
        <v>0</v>
      </c>
      <c r="O143" s="32">
        <f>O96*Control!$E$17</f>
        <v>0</v>
      </c>
      <c r="P143" s="32">
        <f>P96*Control!$E$17</f>
        <v>0</v>
      </c>
      <c r="Q143" s="32">
        <f>Q96*Control!$E$17</f>
        <v>0</v>
      </c>
      <c r="R143" s="32">
        <f>R96*Control!$E$17</f>
        <v>0</v>
      </c>
    </row>
    <row r="144">
      <c r="C144" s="14" t="inlineStr">
        <is>
          <t>Nursing Fees</t>
        </is>
      </c>
      <c r="G144" s="32">
        <f>G103*Control!$E$17</f>
        <v>168180.335</v>
      </c>
      <c r="H144" s="32">
        <f>H103*Control!$E$17</f>
        <v>162947.12</v>
      </c>
      <c r="I144" s="32">
        <f>I103*Control!$E$17</f>
        <v>196421.225</v>
      </c>
      <c r="J144" s="32">
        <f>J103*Control!$E$17</f>
        <v>232533.675</v>
      </c>
      <c r="K144" s="32">
        <f>K103*Control!$E$17</f>
        <v>283342.32</v>
      </c>
      <c r="L144" s="32">
        <f>L103*Control!$E$17</f>
        <v>318832.02</v>
      </c>
      <c r="M144" s="32">
        <f>M103*Control!$E$17</f>
        <v>363809.375</v>
      </c>
      <c r="N144" s="32">
        <f>N103*Control!$E$17</f>
        <v>410630.186325</v>
      </c>
      <c r="O144" s="32">
        <f>O103*Control!$E$17</f>
        <v>464871.148897042</v>
      </c>
      <c r="P144" s="32">
        <f>P103*Control!$E$17</f>
        <v>519309.88478863</v>
      </c>
      <c r="Q144" s="32">
        <f>Q103*Control!$E$17</f>
        <v>596780.533401398</v>
      </c>
      <c r="R144" s="32">
        <f>R103*Control!$E$17</f>
        <v>650443.038964852</v>
      </c>
    </row>
    <row r="145">
      <c r="C145" s="14" t="inlineStr">
        <is>
          <t>Pharmacy</t>
        </is>
      </c>
      <c r="G145" s="32">
        <f>G109*Control!$E$17</f>
        <v>516060</v>
      </c>
      <c r="H145" s="32">
        <f>H109*Control!$E$17</f>
        <v>499845</v>
      </c>
      <c r="I145" s="32">
        <f>I109*Control!$E$17</f>
        <v>568465</v>
      </c>
      <c r="J145" s="32">
        <f>J109*Control!$E$17</f>
        <v>640140</v>
      </c>
      <c r="K145" s="32">
        <f>K109*Control!$E$17</f>
        <v>713225</v>
      </c>
      <c r="L145" s="32">
        <f>L109*Control!$E$17</f>
        <v>829785</v>
      </c>
      <c r="M145" s="32">
        <f>M109*Control!$E$17</f>
        <v>894175</v>
      </c>
      <c r="N145" s="32">
        <f>N109*Control!$E$17</f>
        <v>1529781.43188278</v>
      </c>
      <c r="O145" s="32">
        <f>O109*Control!$E$17</f>
        <v>1635676.96447098</v>
      </c>
      <c r="P145" s="32">
        <f>P109*Control!$E$17</f>
        <v>1998751.39047187</v>
      </c>
      <c r="Q145" s="32">
        <f>Q109*Control!$E$17</f>
        <v>2207485.4395207</v>
      </c>
      <c r="R145" s="32">
        <f>R109*Control!$E$17</f>
        <v>2412558.43686338</v>
      </c>
    </row>
    <row r="146">
      <c r="C146" s="3" t="inlineStr">
        <is>
          <t>Revenue</t>
        </is>
      </c>
      <c r="G146" s="30">
        <f>SUM(G132:G145)</f>
        <v>9834918.73</v>
      </c>
      <c r="H146" s="30">
        <f>SUM(H132:H145)</f>
        <v>9229324.905</v>
      </c>
      <c r="I146" s="30">
        <f>SUM(I132:I145)</f>
        <v>10665792.72</v>
      </c>
      <c r="J146" s="30">
        <f>SUM(J132:J145)</f>
        <v>11768515.65</v>
      </c>
      <c r="K146" s="30">
        <f>SUM(K132:K145)</f>
        <v>13965228.205</v>
      </c>
      <c r="L146" s="30">
        <f>SUM(L132:L145)</f>
        <v>15347542.15</v>
      </c>
      <c r="M146" s="30">
        <f>SUM(M132:M145)</f>
        <v>17493734.405</v>
      </c>
      <c r="N146" s="30">
        <f>SUM(N132:N145)</f>
        <v>19741465.1447731</v>
      </c>
      <c r="O146" s="30">
        <f>SUM(O132:O145)</f>
        <v>21829219.7357176</v>
      </c>
      <c r="P146" s="30">
        <f>SUM(P132:P145)</f>
        <v>24207100.1734927</v>
      </c>
      <c r="Q146" s="30">
        <f>SUM(Q132:Q145)</f>
        <v>26735101.4341952</v>
      </c>
      <c r="R146" s="30">
        <f>SUM(R132:R145)</f>
        <v>29519956.6038677</v>
      </c>
    </row>
    <row r="147">
      <c r="C147" s="33" t="inlineStr">
        <is>
          <t>Growth (%)</t>
        </is>
      </c>
      <c r="G147" s="20" t="str">
        <f>IFERROR(G146/F146-1,"N/A")</f>
        <v>N/A</v>
      </c>
      <c r="H147" s="20">
        <f>IFERROR(H146/G146-1,"N/A")</f>
        <v>-0.0615758850302162</v>
      </c>
      <c r="I147" s="20">
        <f>IFERROR(I146/H146-1,"N/A")</f>
        <v>0.15564169966774</v>
      </c>
      <c r="J147" s="20">
        <f>IFERROR(J146/I146-1,"N/A")</f>
        <v>0.103388745585898</v>
      </c>
      <c r="K147" s="20">
        <f>IFERROR(K146/J146-1,"N/A")</f>
        <v>0.186660120981358</v>
      </c>
      <c r="L147" s="20">
        <f>IFERROR(L146/K146-1,"N/A")</f>
        <v>0.0989825532893969</v>
      </c>
      <c r="M147" s="20">
        <f>IFERROR(M146/L146-1,"N/A")</f>
        <v>0.139839476186094</v>
      </c>
      <c r="N147" s="20">
        <f>IFERROR(N146/M146-1,"N/A")</f>
        <v>0.128487759544962</v>
      </c>
      <c r="O147" s="20">
        <f>IFERROR(O146/N146-1,"N/A")</f>
        <v>0.105754794572444</v>
      </c>
      <c r="P147" s="20">
        <f>IFERROR(P146/O146-1,"N/A")</f>
        <v>0.108931078002955</v>
      </c>
      <c r="Q147" s="20">
        <f>IFERROR(Q146/P146-1,"N/A")</f>
        <v>0.104432222058167</v>
      </c>
      <c r="R147" s="20">
        <f>IFERROR(R146/Q146-1,"N/A")</f>
        <v>0.104164750469604</v>
      </c>
    </row>
    <row r="149">
      <c r="C149" s="14" t="inlineStr">
        <is>
          <t>(-) COGS</t>
        </is>
      </c>
      <c r="G149" s="32">
        <f>-G116*Control!$E$17</f>
        <v>-2824935</v>
      </c>
      <c r="H149" s="32">
        <f>-H116*Control!$E$17</f>
        <v>-2810835</v>
      </c>
      <c r="I149" s="32">
        <f>-I116*Control!$E$17</f>
        <v>-3010585</v>
      </c>
      <c r="J149" s="32">
        <f>-J116*Control!$E$17</f>
        <v>-3723340</v>
      </c>
      <c r="K149" s="32">
        <f>-K116*Control!$E$17</f>
        <v>-4057040</v>
      </c>
      <c r="L149" s="32">
        <f>-L116*Control!$E$17</f>
        <v>-4692715</v>
      </c>
      <c r="M149" s="32">
        <f>-M116*Control!$E$17</f>
        <v>-5331915</v>
      </c>
      <c r="N149" s="32">
        <f>-N116*Control!$E$17</f>
        <v>-5841499.53633835</v>
      </c>
      <c r="O149" s="32">
        <f>-O116*Control!$E$17</f>
        <v>-6559680.53058314</v>
      </c>
      <c r="P149" s="32">
        <f>-P116*Control!$E$17</f>
        <v>-6947437.74979241</v>
      </c>
      <c r="Q149" s="32">
        <f>-Q116*Control!$E$17</f>
        <v>-7777241.00720738</v>
      </c>
      <c r="R149" s="32">
        <f>-R116*Control!$E$17</f>
        <v>-8525363.46719698</v>
      </c>
    </row>
    <row r="150">
      <c r="C150" s="3" t="inlineStr">
        <is>
          <t>Gross Margin</t>
        </is>
      </c>
      <c r="G150" s="30">
        <f>G146+G149</f>
        <v>7009983.73</v>
      </c>
      <c r="H150" s="30">
        <f>H146+H149</f>
        <v>6418489.905</v>
      </c>
      <c r="I150" s="30">
        <f>I146+I149</f>
        <v>7655207.72</v>
      </c>
      <c r="J150" s="30">
        <f>J146+J149</f>
        <v>8045175.65</v>
      </c>
      <c r="K150" s="30">
        <f>K146+K149</f>
        <v>9908188.205</v>
      </c>
      <c r="L150" s="30">
        <f>L146+L149</f>
        <v>10654827.15</v>
      </c>
      <c r="M150" s="30">
        <f>M146+M149</f>
        <v>12161819.405</v>
      </c>
      <c r="N150" s="30">
        <f>N146+N149</f>
        <v>13899965.6084347</v>
      </c>
      <c r="O150" s="30">
        <f>O146+O149</f>
        <v>15269539.2051345</v>
      </c>
      <c r="P150" s="30">
        <f>P146+P149</f>
        <v>17259662.4237003</v>
      </c>
      <c r="Q150" s="30">
        <f>Q146+Q149</f>
        <v>18957860.4269878</v>
      </c>
      <c r="R150" s="30">
        <f>R146+R149</f>
        <v>20994593.1366707</v>
      </c>
    </row>
    <row r="151">
      <c r="C151" s="33" t="inlineStr">
        <is>
          <t>Margin (%)</t>
        </is>
      </c>
      <c r="G151" s="20">
        <f>IFERROR(G150/G$146,"N/A")</f>
        <v>0.712764784585058</v>
      </c>
      <c r="H151" s="20">
        <f>IFERROR(H150/H$146,"N/A")</f>
        <v>0.695445221732607</v>
      </c>
      <c r="I151" s="20">
        <f>IFERROR(I150/I$146,"N/A")</f>
        <v>0.717734529534341</v>
      </c>
      <c r="J151" s="20">
        <f>IFERROR(J150/J$146,"N/A")</f>
        <v>0.683618553882792</v>
      </c>
      <c r="K151" s="20">
        <f>IFERROR(K150/K$146,"N/A")</f>
        <v>0.709489888711776</v>
      </c>
      <c r="L151" s="20">
        <f>IFERROR(L150/L$146,"N/A")</f>
        <v>0.694236708774897</v>
      </c>
      <c r="M151" s="20">
        <f>IFERROR(M150/M$146,"N/A")</f>
        <v>0.695210017680613</v>
      </c>
      <c r="N151" s="20">
        <f>IFERROR(N150/N$146,"N/A")</f>
        <v>0.7041</v>
      </c>
      <c r="O151" s="20">
        <f>IFERROR(O150/O$146,"N/A")</f>
        <v>0.6995</v>
      </c>
      <c r="P151" s="20">
        <f>IFERROR(P150/P$146,"N/A")</f>
        <v>0.713</v>
      </c>
      <c r="Q151" s="20">
        <f>IFERROR(Q150/Q$146,"N/A")</f>
        <v>0.7091</v>
      </c>
      <c r="R151" s="20">
        <f>IFERROR(R150/R$146,"N/A")</f>
        <v>0.7112</v>
      </c>
    </row>
    <row r="152">
      <c r="C152" s="14" t="inlineStr">
        <is>
          <t>(-) Payroll</t>
        </is>
      </c>
      <c r="G152" s="32">
        <f>-G118*Control!$E$17</f>
        <v>-3303630</v>
      </c>
      <c r="H152" s="32">
        <f>-H118*Control!$E$17</f>
        <v>-2958180</v>
      </c>
      <c r="I152" s="32">
        <f>-I118*Control!$E$17</f>
        <v>-3351100</v>
      </c>
      <c r="J152" s="32">
        <f>-J118*Control!$E$17</f>
        <v>-3696785</v>
      </c>
      <c r="K152" s="32">
        <f>-K118*Control!$E$17</f>
        <v>-4610700</v>
      </c>
      <c r="L152" s="32">
        <f>-L118*Control!$E$17</f>
        <v>-5258830</v>
      </c>
      <c r="M152" s="32">
        <f>-M118*Control!$E$17</f>
        <v>-5674075</v>
      </c>
      <c r="N152" s="32">
        <f>-N118*Control!$E$17</f>
        <v>-6633132.28864375</v>
      </c>
      <c r="O152" s="32">
        <f>-O118*Control!$E$17</f>
        <v>-6998447.84727106</v>
      </c>
      <c r="P152" s="32">
        <f>-P118*Control!$E$17</f>
        <v>-7901197.49662802</v>
      </c>
      <c r="Q152" s="32">
        <f>-Q118*Control!$E$17</f>
        <v>-8656825.8443924</v>
      </c>
      <c r="R152" s="32">
        <f>-R118*Control!$E$17</f>
        <v>-9756345.65757827</v>
      </c>
    </row>
    <row r="153">
      <c r="C153" s="14" t="inlineStr">
        <is>
          <t>(-) OPEX</t>
        </is>
      </c>
      <c r="G153" s="32">
        <f>-G120*Control!$E$17</f>
        <v>-1430680</v>
      </c>
      <c r="H153" s="32">
        <f>-H120*Control!$E$17</f>
        <v>-1290150</v>
      </c>
      <c r="I153" s="32">
        <f>-I120*Control!$E$17</f>
        <v>-1567450</v>
      </c>
      <c r="J153" s="32">
        <f>-J120*Control!$E$17</f>
        <v>-1714795</v>
      </c>
      <c r="K153" s="32">
        <f>-K120*Control!$E$17</f>
        <v>-1965305</v>
      </c>
      <c r="L153" s="32">
        <f>-L120*Control!$E$17</f>
        <v>-2278090</v>
      </c>
      <c r="M153" s="32">
        <f>-M120*Control!$E$17</f>
        <v>-2331435</v>
      </c>
      <c r="N153" s="32">
        <f>-N120*Control!$E$17</f>
        <v>-2852641.71341971</v>
      </c>
      <c r="O153" s="32">
        <f>-O120*Control!$E$17</f>
        <v>-3056090.76300047</v>
      </c>
      <c r="P153" s="32">
        <f>-P120*Control!$E$17</f>
        <v>-3313952.01375115</v>
      </c>
      <c r="Q153" s="32">
        <f>-Q120*Control!$E$17</f>
        <v>-3868569.17752804</v>
      </c>
      <c r="R153" s="32">
        <f>-R120*Control!$E$17</f>
        <v>-4274489.71624004</v>
      </c>
    </row>
    <row r="154">
      <c r="C154" s="14" t="inlineStr">
        <is>
          <t>(-) Provision</t>
        </is>
      </c>
      <c r="G154" s="32">
        <f>-G122*Control!$E$17</f>
        <v>-130660</v>
      </c>
      <c r="H154" s="32">
        <f>-H122*Control!$E$17</f>
        <v>-133010</v>
      </c>
      <c r="I154" s="32">
        <f>-I122*Control!$E$17</f>
        <v>-149460</v>
      </c>
      <c r="J154" s="32">
        <f>-J122*Control!$E$17</f>
        <v>-164735</v>
      </c>
      <c r="K154" s="32">
        <f>-K122*Control!$E$17</f>
        <v>-199515</v>
      </c>
      <c r="L154" s="32">
        <f>-L122*Control!$E$17</f>
        <v>-213615</v>
      </c>
      <c r="M154" s="32">
        <f>-M122*Control!$E$17</f>
        <v>-256150</v>
      </c>
      <c r="N154" s="32">
        <f>-N122*Control!$E$17</f>
        <v>-270458.072483391</v>
      </c>
      <c r="O154" s="32">
        <f>-O122*Control!$E$17</f>
        <v>-299060.310379331</v>
      </c>
      <c r="P154" s="32">
        <f>-P122*Control!$E$17</f>
        <v>-336478.692411549</v>
      </c>
      <c r="Q154" s="32">
        <f>-Q122*Control!$E$17</f>
        <v>-379638.440365572</v>
      </c>
      <c r="R154" s="32">
        <f>-R122*Control!$E$17</f>
        <v>-413279.392454147</v>
      </c>
    </row>
    <row r="155">
      <c r="C155" s="3" t="inlineStr">
        <is>
          <t>EBITDA</t>
        </is>
      </c>
      <c r="G155" s="30">
        <f>G150+G152+G153+G154</f>
        <v>2145013.73</v>
      </c>
      <c r="H155" s="30">
        <f>H150+H152+H153+H154</f>
        <v>2037149.905</v>
      </c>
      <c r="I155" s="30">
        <f>I150+I152+I153+I154</f>
        <v>2587197.72</v>
      </c>
      <c r="J155" s="30">
        <f>J150+J152+J153+J154</f>
        <v>2468860.65</v>
      </c>
      <c r="K155" s="30">
        <f>K150+K152+K153+K154</f>
        <v>3132668.205</v>
      </c>
      <c r="L155" s="30">
        <f>L150+L152+L153+L154</f>
        <v>2904292.15</v>
      </c>
      <c r="M155" s="30">
        <f>M150+M152+M153+M154</f>
        <v>3900159.405</v>
      </c>
      <c r="N155" s="30">
        <f>N150+N152+N153+N154</f>
        <v>4143733.53388786</v>
      </c>
      <c r="O155" s="30">
        <f>O150+O152+O153+O154</f>
        <v>4915940.28448361</v>
      </c>
      <c r="P155" s="30">
        <f>P150+P152+P153+P154</f>
        <v>5708034.22090958</v>
      </c>
      <c r="Q155" s="30">
        <f>Q150+Q152+Q153+Q154</f>
        <v>6052826.96470179</v>
      </c>
      <c r="R155" s="30">
        <f>R150+R152+R153+R154</f>
        <v>6550478.37039823</v>
      </c>
    </row>
    <row r="156">
      <c r="C156" s="33" t="inlineStr">
        <is>
          <t>Margin (%)</t>
        </is>
      </c>
      <c r="G156" s="20">
        <f>IFERROR(G155/G$146,"N/A")</f>
        <v>0.21810182563654</v>
      </c>
      <c r="H156" s="20">
        <f>IFERROR(H155/H$146,"N/A")</f>
        <v>0.220725776367063</v>
      </c>
      <c r="I156" s="20">
        <f>IFERROR(I155/I$146,"N/A")</f>
        <v>0.242569660588716</v>
      </c>
      <c r="J156" s="20">
        <f>IFERROR(J155/J$146,"N/A")</f>
        <v>0.209785220449615</v>
      </c>
      <c r="K156" s="20">
        <f>IFERROR(K155/K$146,"N/A")</f>
        <v>0.224319156050626</v>
      </c>
      <c r="L156" s="20">
        <f>IFERROR(L155/L$146,"N/A")</f>
        <v>0.189235000732674</v>
      </c>
      <c r="M156" s="20">
        <f>IFERROR(M155/M$146,"N/A")</f>
        <v>0.22294607398894</v>
      </c>
      <c r="N156" s="20">
        <f>IFERROR(N155/N$146,"N/A")</f>
        <v>0.2099</v>
      </c>
      <c r="O156" s="20">
        <f>IFERROR(O155/O$146,"N/A")</f>
        <v>0.2252</v>
      </c>
      <c r="P156" s="20">
        <f>IFERROR(P155/P$146,"N/A")</f>
        <v>0.2358</v>
      </c>
      <c r="Q156" s="20">
        <f>IFERROR(Q155/Q$146,"N/A")</f>
        <v>0.2264</v>
      </c>
      <c r="R156" s="20">
        <f>IFERROR(R155/R$146,"N/A")</f>
        <v>0.2219</v>
      </c>
    </row>
    <row r="157">
      <c r="C157" s="14" t="inlineStr">
        <is>
          <t>(-) D&amp;A</t>
        </is>
      </c>
      <c r="G157" s="32">
        <f>-G124*Control!$E$17</f>
        <v>-449555</v>
      </c>
      <c r="H157" s="32">
        <f>-H124*Control!$E$17</f>
        <v>-417360</v>
      </c>
      <c r="I157" s="32">
        <f>-I124*Control!$E$17</f>
        <v>-463890</v>
      </c>
      <c r="J157" s="32">
        <f>-J124*Control!$E$17</f>
        <v>-530160</v>
      </c>
      <c r="K157" s="32">
        <f>-K124*Control!$E$17</f>
        <v>-626040</v>
      </c>
      <c r="L157" s="32">
        <f>-L124*Control!$E$17</f>
        <v>-683145</v>
      </c>
      <c r="M157" s="32">
        <f>-M124*Control!$E$17</f>
        <v>-798295</v>
      </c>
      <c r="N157" s="32">
        <f>-N124*Control!$E$17</f>
        <v>-910081.543174039</v>
      </c>
      <c r="O157" s="32">
        <f>-O124*Control!$E$17</f>
        <v>-1017241.63968444</v>
      </c>
      <c r="P157" s="32">
        <f>-P124*Control!$E$17</f>
        <v>-1094160.92784187</v>
      </c>
      <c r="Q157" s="32">
        <f>-Q124*Control!$E$17</f>
        <v>-1232488.1761164</v>
      </c>
      <c r="R157" s="32">
        <f>-R124*Control!$E$17</f>
        <v>-1354966.00811753</v>
      </c>
    </row>
    <row r="158">
      <c r="C158" s="14" t="inlineStr">
        <is>
          <t>(-) Goodwill, Trademark &amp; PPA Amortization</t>
        </is>
      </c>
      <c r="G158" s="32">
        <f>-G126*Control!$E$17</f>
        <v>-86245</v>
      </c>
      <c r="H158" s="32">
        <f>-H126*Control!$E$17</f>
        <v>-84130</v>
      </c>
      <c r="I158" s="32">
        <f>-I126*Control!$E$17</f>
        <v>-96820</v>
      </c>
      <c r="J158" s="32">
        <f>-J126*Control!$E$17</f>
        <v>-106690</v>
      </c>
      <c r="K158" s="32">
        <f>-K126*Control!$E$17</f>
        <v>-122905</v>
      </c>
      <c r="L158" s="32">
        <f>-L126*Control!$E$17</f>
        <v>-133715</v>
      </c>
      <c r="M158" s="32">
        <f>-M126*Control!$E$17</f>
        <v>-158155</v>
      </c>
      <c r="N158" s="32">
        <f>-N126*Control!$E$17</f>
        <v>-171750.746759526</v>
      </c>
      <c r="O158" s="32">
        <f>-O126*Control!$E$17</f>
        <v>-192097.133674315</v>
      </c>
      <c r="P158" s="32">
        <f>-P126*Control!$E$17</f>
        <v>-213022.481526736</v>
      </c>
      <c r="Q158" s="32">
        <f>-Q126*Control!$E$17</f>
        <v>-240615.912907757</v>
      </c>
      <c r="R158" s="32">
        <f>-R126*Control!$E$17</f>
        <v>-256823.622453649</v>
      </c>
    </row>
    <row r="159">
      <c r="C159" s="3" t="inlineStr">
        <is>
          <t>EBIT</t>
        </is>
      </c>
      <c r="G159" s="31">
        <f>G155+G157+G158</f>
        <v>1609213.73</v>
      </c>
      <c r="H159" s="31">
        <f>H155+H157+H158</f>
        <v>1535659.905</v>
      </c>
      <c r="I159" s="31">
        <f>I155+I157+I158</f>
        <v>2026487.72</v>
      </c>
      <c r="J159" s="31">
        <f>J155+J157+J158</f>
        <v>1832010.65</v>
      </c>
      <c r="K159" s="31">
        <f>K155+K157+K158</f>
        <v>2383723.205</v>
      </c>
      <c r="L159" s="31">
        <f>L155+L157+L158</f>
        <v>2087432.15</v>
      </c>
      <c r="M159" s="31">
        <f>M155+M157+M158</f>
        <v>2943709.405</v>
      </c>
      <c r="N159" s="31">
        <f>N155+N157+N158</f>
        <v>3061901.2439543</v>
      </c>
      <c r="O159" s="31">
        <f>O155+O157+O158</f>
        <v>3706601.51112485</v>
      </c>
      <c r="P159" s="31">
        <f>P155+P157+P158</f>
        <v>4400850.81154098</v>
      </c>
      <c r="Q159" s="31">
        <f>Q155+Q157+Q158</f>
        <v>4579722.87567764</v>
      </c>
      <c r="R159" s="31">
        <f>R155+R157+R158</f>
        <v>4938688.73982706</v>
      </c>
    </row>
    <row r="160">
      <c r="C160" s="33" t="inlineStr">
        <is>
          <t>Margin (%)</t>
        </is>
      </c>
      <c r="G160" s="20">
        <f>IFERROR(G159/G$146,"N/A")</f>
        <v>0.163622473573811</v>
      </c>
      <c r="H160" s="20">
        <f>IFERROR(H159/H$146,"N/A")</f>
        <v>0.16638919106294</v>
      </c>
      <c r="I160" s="20">
        <f>IFERROR(I159/I$146,"N/A")</f>
        <v>0.189998790825929</v>
      </c>
      <c r="J160" s="20">
        <f>IFERROR(J159/J$146,"N/A")</f>
        <v>0.155670494434869</v>
      </c>
      <c r="K160" s="20">
        <f>IFERROR(K159/K$146,"N/A")</f>
        <v>0.170689885622245</v>
      </c>
      <c r="L160" s="20">
        <f>IFERROR(L159/L$146,"N/A")</f>
        <v>0.13601084327369</v>
      </c>
      <c r="M160" s="20">
        <f>IFERROR(M159/M$146,"N/A")</f>
        <v>0.168272213173571</v>
      </c>
      <c r="N160" s="20">
        <f>IFERROR(N159/N$146,"N/A")</f>
        <v>0.1551</v>
      </c>
      <c r="O160" s="20">
        <f>IFERROR(O159/O$146,"N/A")</f>
        <v>0.1698</v>
      </c>
      <c r="P160" s="20">
        <f>IFERROR(P159/P$146,"N/A")</f>
        <v>0.1818</v>
      </c>
      <c r="Q160" s="20">
        <f>IFERROR(Q159/Q$146,"N/A")</f>
        <v>0.1713</v>
      </c>
      <c r="R160" s="20">
        <f>IFERROR(R159/R$146,"N/A")</f>
        <v>0.1673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R160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AHG Coast – Operating Build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Build</t>
        </is>
      </c>
      <c r="E11" s="25" t="str">
        <f>"("&amp;Control!$E$16&amp;" in Actual)"</f>
        <v>(LCA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Laboratory:</t>
        </is>
      </c>
    </row>
    <row r="13">
      <c r="C13" s="14" t="inlineStr">
        <is>
          <t># of Tests</t>
        </is>
      </c>
      <c r="G13" s="26" t="n">
        <v>71942</v>
      </c>
      <c r="H13" s="26" t="n">
        <v>66041</v>
      </c>
      <c r="I13" s="26" t="n">
        <v>73822</v>
      </c>
      <c r="J13" s="26" t="n">
        <v>82138</v>
      </c>
      <c r="K13" s="26" t="n">
        <v>89179</v>
      </c>
      <c r="L13" s="26" t="n">
        <v>100453</v>
      </c>
      <c r="M13" s="26" t="n">
        <v>111021</v>
      </c>
      <c r="N13" s="8">
        <f>M13*(1+N14)</f>
        <v>116905.113</v>
      </c>
      <c r="O13" s="8">
        <f>N13*(1+O14)</f>
        <v>125322.281136</v>
      </c>
      <c r="P13" s="8">
        <f>O13*(1+P14)</f>
        <v>135724.030470288</v>
      </c>
      <c r="Q13" s="8">
        <f>P13*(1+Q14)</f>
        <v>141152.9916891</v>
      </c>
      <c r="R13" s="8">
        <f>Q13*(1+R14)</f>
        <v>153574.45495774</v>
      </c>
    </row>
    <row r="14">
      <c r="C14" s="27" t="inlineStr">
        <is>
          <t>Growth (%)</t>
        </is>
      </c>
      <c r="G14" s="28" t="str">
        <f>IFERROR(G13/F13-1,"N/A")</f>
        <v>N/A</v>
      </c>
      <c r="H14" s="28">
        <f>IFERROR(H13/G13-1,"N/A")</f>
        <v>-0.082024408551333</v>
      </c>
      <c r="I14" s="28">
        <f>IFERROR(I13/H13-1,"N/A")</f>
        <v>0.117820747717327</v>
      </c>
      <c r="J14" s="28">
        <f>IFERROR(J13/I13-1,"N/A")</f>
        <v>0.112649345723497</v>
      </c>
      <c r="K14" s="28">
        <f>IFERROR(K13/J13-1,"N/A")</f>
        <v>0.0857215904940467</v>
      </c>
      <c r="L14" s="28">
        <f>IFERROR(L13/K13-1,"N/A")</f>
        <v>0.126419897060967</v>
      </c>
      <c r="M14" s="28">
        <f>IFERROR(M13/L13-1,"N/A")</f>
        <v>0.105203428469035</v>
      </c>
      <c r="N14" s="19" t="n">
        <v>0.053</v>
      </c>
      <c r="O14" s="19" t="n">
        <v>0.07199999999999999</v>
      </c>
      <c r="P14" s="19" t="n">
        <v>0.083</v>
      </c>
      <c r="Q14" s="19" t="n">
        <v>0.04</v>
      </c>
      <c r="R14" s="19" t="n">
        <v>0.08799999999999999</v>
      </c>
    </row>
    <row r="15">
      <c r="C15" s="14" t="inlineStr">
        <is>
          <t>Gross Revenue [per Test] (LCA)</t>
        </is>
      </c>
      <c r="G15" s="26" t="n">
        <v>36</v>
      </c>
      <c r="H15" s="26" t="n">
        <v>38</v>
      </c>
      <c r="I15" s="26" t="n">
        <v>41</v>
      </c>
      <c r="J15" s="26" t="n">
        <v>45</v>
      </c>
      <c r="K15" s="26" t="n">
        <v>47</v>
      </c>
      <c r="L15" s="26" t="n">
        <v>52</v>
      </c>
      <c r="M15" s="26" t="n">
        <v>57</v>
      </c>
      <c r="N15" s="8">
        <f>M15*(1+N16)</f>
        <v>60.192</v>
      </c>
      <c r="O15" s="8">
        <f>N15*(1+O16)</f>
        <v>63.081216</v>
      </c>
      <c r="P15" s="8">
        <f>O15*(1+P16)</f>
        <v>65.982951936</v>
      </c>
      <c r="Q15" s="8">
        <f>P15*(1+Q16)</f>
        <v>69.414065436672</v>
      </c>
      <c r="R15" s="8">
        <f>Q15*(1+R16)</f>
        <v>73.440081231999</v>
      </c>
    </row>
    <row r="16">
      <c r="C16" s="27" t="inlineStr">
        <is>
          <t>Growth (%)</t>
        </is>
      </c>
      <c r="G16" s="28" t="str">
        <f>IFERROR(G15/F15-1,"N/A")</f>
        <v>N/A</v>
      </c>
      <c r="H16" s="28">
        <f>IFERROR(H15/G15-1,"N/A")</f>
        <v>0.0555555555555556</v>
      </c>
      <c r="I16" s="28">
        <f>IFERROR(I15/H15-1,"N/A")</f>
        <v>0.0789473684210527</v>
      </c>
      <c r="J16" s="28">
        <f>IFERROR(J15/I15-1,"N/A")</f>
        <v>0.0975609756097562</v>
      </c>
      <c r="K16" s="28">
        <f>IFERROR(K15/J15-1,"N/A")</f>
        <v>0.0444444444444445</v>
      </c>
      <c r="L16" s="28">
        <f>IFERROR(L15/K15-1,"N/A")</f>
        <v>0.106382978723404</v>
      </c>
      <c r="M16" s="28">
        <f>IFERROR(M15/L15-1,"N/A")</f>
        <v>0.0961538461538463</v>
      </c>
      <c r="N16" s="19" t="n">
        <v>0.056</v>
      </c>
      <c r="O16" s="19" t="n">
        <v>0.048</v>
      </c>
      <c r="P16" s="19" t="n">
        <v>0.046</v>
      </c>
      <c r="Q16" s="19" t="n">
        <v>0.052</v>
      </c>
      <c r="R16" s="19" t="n">
        <v>0.058</v>
      </c>
    </row>
    <row r="17">
      <c r="C17" s="29" t="inlineStr">
        <is>
          <t>Revenue</t>
        </is>
      </c>
      <c r="G17" s="30">
        <f>G13*G15</f>
        <v>2589912</v>
      </c>
      <c r="H17" s="30">
        <f>H13*H15</f>
        <v>2509558</v>
      </c>
      <c r="I17" s="30">
        <f>I13*I15</f>
        <v>3026702</v>
      </c>
      <c r="J17" s="30">
        <f>J13*J15</f>
        <v>3696210</v>
      </c>
      <c r="K17" s="30">
        <f>K13*K15</f>
        <v>4191413</v>
      </c>
      <c r="L17" s="30">
        <f>L13*L15</f>
        <v>5223556</v>
      </c>
      <c r="M17" s="30">
        <f>M13*M15</f>
        <v>6328197</v>
      </c>
      <c r="N17" s="30">
        <f>N13*N15</f>
        <v>7036752.561696</v>
      </c>
      <c r="O17" s="30">
        <f>O13*O15</f>
        <v>7905481.88595274</v>
      </c>
      <c r="P17" s="30">
        <f>P13*P15</f>
        <v>8955472.17908122</v>
      </c>
      <c r="Q17" s="30">
        <f>Q13*Q15</f>
        <v>9798003.00168917</v>
      </c>
      <c r="R17" s="30">
        <f>R13*R15</f>
        <v>11278520.4472564</v>
      </c>
    </row>
    <row r="19">
      <c r="C19" s="3" t="inlineStr">
        <is>
          <t>Radiology:</t>
        </is>
      </c>
    </row>
    <row r="20">
      <c r="C20" s="14" t="inlineStr">
        <is>
          <t># of Tests</t>
        </is>
      </c>
      <c r="G20" s="26" t="n">
        <v>18306</v>
      </c>
      <c r="H20" s="26" t="n">
        <v>16987</v>
      </c>
      <c r="I20" s="26" t="n">
        <v>18274</v>
      </c>
      <c r="J20" s="26" t="n">
        <v>19518</v>
      </c>
      <c r="K20" s="26" t="n">
        <v>21243</v>
      </c>
      <c r="L20" s="26" t="n">
        <v>22998</v>
      </c>
      <c r="M20" s="26" t="n">
        <v>24489</v>
      </c>
      <c r="N20" s="8">
        <f>M20*(1+N21)</f>
        <v>26056.296</v>
      </c>
      <c r="O20" s="8">
        <f>N20*(1+O21)</f>
        <v>27463.335984</v>
      </c>
      <c r="P20" s="8">
        <f>O20*(1+P21)</f>
        <v>28809.039447216</v>
      </c>
      <c r="Q20" s="8">
        <f>P20*(1+Q21)</f>
        <v>30739.2450901795</v>
      </c>
      <c r="R20" s="8">
        <f>Q20*(1+R21)</f>
        <v>32214.7288545081</v>
      </c>
    </row>
    <row r="21">
      <c r="C21" s="27" t="inlineStr">
        <is>
          <t>Growth (%)</t>
        </is>
      </c>
      <c r="G21" s="28" t="str">
        <f>IFERROR(G20/F20-1,"N/A")</f>
        <v>N/A</v>
      </c>
      <c r="H21" s="28">
        <f>IFERROR(H20/G20-1,"N/A")</f>
        <v>-0.0720528788375396</v>
      </c>
      <c r="I21" s="28">
        <f>IFERROR(I20/H20-1,"N/A")</f>
        <v>0.0757638193912993</v>
      </c>
      <c r="J21" s="28">
        <f>IFERROR(J20/I20-1,"N/A")</f>
        <v>0.0680748604574806</v>
      </c>
      <c r="K21" s="28">
        <f>IFERROR(K20/J20-1,"N/A")</f>
        <v>0.0883799569628037</v>
      </c>
      <c r="L21" s="28">
        <f>IFERROR(L20/K20-1,"N/A")</f>
        <v>0.0826154497952267</v>
      </c>
      <c r="M21" s="28">
        <f>IFERROR(M20/L20-1,"N/A")</f>
        <v>0.0648317244977825</v>
      </c>
      <c r="N21" s="19" t="n">
        <v>0.064</v>
      </c>
      <c r="O21" s="19" t="n">
        <v>0.054</v>
      </c>
      <c r="P21" s="19" t="n">
        <v>0.049</v>
      </c>
      <c r="Q21" s="19" t="n">
        <v>0.067</v>
      </c>
      <c r="R21" s="19" t="n">
        <v>0.048</v>
      </c>
    </row>
    <row r="22">
      <c r="C22" s="14" t="inlineStr">
        <is>
          <t>Gross Revenue [per Test] (LCA)</t>
        </is>
      </c>
      <c r="G22" s="26" t="n">
        <v>115</v>
      </c>
      <c r="H22" s="26" t="n">
        <v>117</v>
      </c>
      <c r="I22" s="26" t="n">
        <v>123</v>
      </c>
      <c r="J22" s="26" t="n">
        <v>126</v>
      </c>
      <c r="K22" s="26" t="n">
        <v>130</v>
      </c>
      <c r="L22" s="26" t="n">
        <v>140</v>
      </c>
      <c r="M22" s="26" t="n">
        <v>145</v>
      </c>
      <c r="N22" s="8">
        <f>M22*(1+N23)</f>
        <v>150.8</v>
      </c>
      <c r="O22" s="8">
        <f>N22*(1+O23)</f>
        <v>157.2844</v>
      </c>
      <c r="P22" s="8">
        <f>O22*(1+P23)</f>
        <v>164.0476292</v>
      </c>
      <c r="Q22" s="8">
        <f>P22*(1+Q23)</f>
        <v>171.5938201432</v>
      </c>
      <c r="R22" s="8">
        <f>Q22*(1+R23)</f>
        <v>183.262199912938</v>
      </c>
    </row>
    <row r="23">
      <c r="C23" s="27" t="inlineStr">
        <is>
          <t>Growth (%)</t>
        </is>
      </c>
      <c r="G23" s="28" t="str">
        <f>IFERROR(G22/F22-1,"N/A")</f>
        <v>N/A</v>
      </c>
      <c r="H23" s="28">
        <f>IFERROR(H22/G22-1,"N/A")</f>
        <v>0.017391304347826</v>
      </c>
      <c r="I23" s="28">
        <f>IFERROR(I22/H22-1,"N/A")</f>
        <v>0.0512820512820513</v>
      </c>
      <c r="J23" s="28">
        <f>IFERROR(J22/I22-1,"N/A")</f>
        <v>0.024390243902439</v>
      </c>
      <c r="K23" s="28">
        <f>IFERROR(K22/J22-1,"N/A")</f>
        <v>0.0317460317460319</v>
      </c>
      <c r="L23" s="28">
        <f>IFERROR(L22/K22-1,"N/A")</f>
        <v>0.0769230769230769</v>
      </c>
      <c r="M23" s="28">
        <f>IFERROR(M22/L22-1,"N/A")</f>
        <v>0.0357142857142858</v>
      </c>
      <c r="N23" s="19" t="n">
        <v>0.04</v>
      </c>
      <c r="O23" s="19" t="n">
        <v>0.043</v>
      </c>
      <c r="P23" s="19" t="n">
        <v>0.043</v>
      </c>
      <c r="Q23" s="19" t="n">
        <v>0.046</v>
      </c>
      <c r="R23" s="19" t="n">
        <v>0.068</v>
      </c>
    </row>
    <row r="24">
      <c r="C24" s="29" t="inlineStr">
        <is>
          <t>Revenue</t>
        </is>
      </c>
      <c r="G24" s="30">
        <f>G20*G22</f>
        <v>2105190</v>
      </c>
      <c r="H24" s="30">
        <f>H20*H22</f>
        <v>1987479</v>
      </c>
      <c r="I24" s="30">
        <f>I20*I22</f>
        <v>2247702</v>
      </c>
      <c r="J24" s="30">
        <f>J20*J22</f>
        <v>2459268</v>
      </c>
      <c r="K24" s="30">
        <f>K20*K22</f>
        <v>2761590</v>
      </c>
      <c r="L24" s="30">
        <f>L20*L22</f>
        <v>3219720</v>
      </c>
      <c r="M24" s="30">
        <f>M20*M22</f>
        <v>3550905</v>
      </c>
      <c r="N24" s="30">
        <f>N20*N22</f>
        <v>3929289.4368</v>
      </c>
      <c r="O24" s="30">
        <f>O20*O22</f>
        <v>4319554.32224185</v>
      </c>
      <c r="P24" s="30">
        <f>P20*P22</f>
        <v>4726054.62084506</v>
      </c>
      <c r="Q24" s="30">
        <f>Q20*Q22</f>
        <v>5274664.493342</v>
      </c>
      <c r="R24" s="30">
        <f>R20*R22</f>
        <v>5903742.07947594</v>
      </c>
    </row>
    <row r="26">
      <c r="C26" s="3" t="inlineStr">
        <is>
          <t>Endoscopy:</t>
        </is>
      </c>
    </row>
    <row r="27">
      <c r="C27" s="14" t="inlineStr">
        <is>
          <t># of Visits</t>
        </is>
      </c>
      <c r="G27" s="26" t="n">
        <v>1241</v>
      </c>
      <c r="H27" s="26" t="n">
        <v>1153</v>
      </c>
      <c r="I27" s="26" t="n">
        <v>1230</v>
      </c>
      <c r="J27" s="26" t="n">
        <v>1330</v>
      </c>
      <c r="K27" s="26" t="n">
        <v>1444</v>
      </c>
      <c r="L27" s="26" t="n">
        <v>1545</v>
      </c>
      <c r="M27" s="26" t="n">
        <v>1720</v>
      </c>
      <c r="N27" s="8">
        <f>M27*(1+N28)</f>
        <v>1823.2</v>
      </c>
      <c r="O27" s="8">
        <f>N27*(1+O28)</f>
        <v>1919.8296</v>
      </c>
      <c r="P27" s="8">
        <f>O27*(1+P28)</f>
        <v>2040.7788648</v>
      </c>
      <c r="Q27" s="8">
        <f>P27*(1+Q28)</f>
        <v>2144.8585869048</v>
      </c>
      <c r="R27" s="8">
        <f>Q27*(1+R28)</f>
        <v>2320.73699103099</v>
      </c>
    </row>
    <row r="28">
      <c r="C28" s="27" t="inlineStr">
        <is>
          <t>Growth (%)</t>
        </is>
      </c>
      <c r="G28" s="28" t="str">
        <f>IFERROR(G27/F27-1,"N/A")</f>
        <v>N/A</v>
      </c>
      <c r="H28" s="28">
        <f>IFERROR(H27/G27-1,"N/A")</f>
        <v>-0.0709105560032232</v>
      </c>
      <c r="I28" s="28">
        <f>IFERROR(I27/H27-1,"N/A")</f>
        <v>0.0667823070251519</v>
      </c>
      <c r="J28" s="28">
        <f>IFERROR(J27/I27-1,"N/A")</f>
        <v>0.0813008130081301</v>
      </c>
      <c r="K28" s="28">
        <f>IFERROR(K27/J27-1,"N/A")</f>
        <v>0.0857142857142856</v>
      </c>
      <c r="L28" s="28">
        <f>IFERROR(L27/K27-1,"N/A")</f>
        <v>0.0699445983379501</v>
      </c>
      <c r="M28" s="28">
        <f>IFERROR(M27/L27-1,"N/A")</f>
        <v>0.11326860841424</v>
      </c>
      <c r="N28" s="19" t="n">
        <v>0.06</v>
      </c>
      <c r="O28" s="19" t="n">
        <v>0.053</v>
      </c>
      <c r="P28" s="19" t="n">
        <v>0.063</v>
      </c>
      <c r="Q28" s="19" t="n">
        <v>0.051</v>
      </c>
      <c r="R28" s="19" t="n">
        <v>0.082</v>
      </c>
    </row>
    <row r="29">
      <c r="C29" s="14" t="inlineStr">
        <is>
          <t>Gross Revenue [per Visit] (LCA)</t>
        </is>
      </c>
      <c r="G29" s="26" t="n">
        <v>774</v>
      </c>
      <c r="H29" s="26" t="n">
        <v>802</v>
      </c>
      <c r="I29" s="26" t="n">
        <v>869</v>
      </c>
      <c r="J29" s="26" t="n">
        <v>897</v>
      </c>
      <c r="K29" s="26" t="n">
        <v>948</v>
      </c>
      <c r="L29" s="26" t="n">
        <v>985</v>
      </c>
      <c r="M29" s="26" t="n">
        <v>1073</v>
      </c>
      <c r="N29" s="8">
        <f>M29*(1+N30)</f>
        <v>1123.431</v>
      </c>
      <c r="O29" s="8">
        <f>N29*(1+O30)</f>
        <v>1175.108826</v>
      </c>
      <c r="P29" s="8">
        <f>O29*(1+P30)</f>
        <v>1239.73981143</v>
      </c>
      <c r="Q29" s="8">
        <f>P29*(1+Q30)</f>
        <v>1289.3294038872</v>
      </c>
      <c r="R29" s="8">
        <f>Q29*(1+R30)</f>
        <v>1377.00380335153</v>
      </c>
    </row>
    <row r="30">
      <c r="C30" s="27" t="inlineStr">
        <is>
          <t>Growth (%)</t>
        </is>
      </c>
      <c r="G30" s="28" t="str">
        <f>IFERROR(G29/F29-1,"N/A")</f>
        <v>N/A</v>
      </c>
      <c r="H30" s="28">
        <f>IFERROR(H29/G29-1,"N/A")</f>
        <v>0.0361757105943152</v>
      </c>
      <c r="I30" s="28">
        <f>IFERROR(I29/H29-1,"N/A")</f>
        <v>0.0835411471321697</v>
      </c>
      <c r="J30" s="28">
        <f>IFERROR(J29/I29-1,"N/A")</f>
        <v>0.0322209436133487</v>
      </c>
      <c r="K30" s="28">
        <f>IFERROR(K29/J29-1,"N/A")</f>
        <v>0.0568561872909699</v>
      </c>
      <c r="L30" s="28">
        <f>IFERROR(L29/K29-1,"N/A")</f>
        <v>0.0390295358649788</v>
      </c>
      <c r="M30" s="28">
        <f>IFERROR(M29/L29-1,"N/A")</f>
        <v>0.0893401015228426</v>
      </c>
      <c r="N30" s="19" t="n">
        <v>0.047</v>
      </c>
      <c r="O30" s="19" t="n">
        <v>0.046</v>
      </c>
      <c r="P30" s="19" t="n">
        <v>0.055</v>
      </c>
      <c r="Q30" s="19" t="n">
        <v>0.04</v>
      </c>
      <c r="R30" s="19" t="n">
        <v>0.068</v>
      </c>
    </row>
    <row r="31">
      <c r="C31" s="29" t="inlineStr">
        <is>
          <t>Revenue</t>
        </is>
      </c>
      <c r="G31" s="30">
        <f>G27*G29</f>
        <v>960534</v>
      </c>
      <c r="H31" s="30">
        <f>H27*H29</f>
        <v>924706</v>
      </c>
      <c r="I31" s="30">
        <f>I27*I29</f>
        <v>1068870</v>
      </c>
      <c r="J31" s="30">
        <f>J27*J29</f>
        <v>1193010</v>
      </c>
      <c r="K31" s="30">
        <f>K27*K29</f>
        <v>1368912</v>
      </c>
      <c r="L31" s="30">
        <f>L27*L29</f>
        <v>1521825</v>
      </c>
      <c r="M31" s="30">
        <f>M27*M29</f>
        <v>1845560</v>
      </c>
      <c r="N31" s="30">
        <f>N27*N29</f>
        <v>2048239.3992</v>
      </c>
      <c r="O31" s="30">
        <f>O27*O29</f>
        <v>2256008.70737605</v>
      </c>
      <c r="P31" s="30">
        <f>P27*P29</f>
        <v>2530034.80501748</v>
      </c>
      <c r="Q31" s="30">
        <f>Q27*Q29</f>
        <v>2765429.24327631</v>
      </c>
      <c r="R31" s="30">
        <f>R27*R29</f>
        <v>3195663.66322826</v>
      </c>
    </row>
    <row r="33">
      <c r="C33" s="3" t="inlineStr">
        <is>
          <t>Physiotherapy:</t>
        </is>
      </c>
    </row>
    <row r="34">
      <c r="C34" s="14" t="inlineStr">
        <is>
          <t># of Patients</t>
        </is>
      </c>
      <c r="G34" s="26" t="n">
        <v>3784</v>
      </c>
      <c r="H34" s="26" t="n">
        <v>3468</v>
      </c>
      <c r="I34" s="26" t="n">
        <v>3841</v>
      </c>
      <c r="J34" s="26" t="n">
        <v>4183</v>
      </c>
      <c r="K34" s="26" t="n">
        <v>4642</v>
      </c>
      <c r="L34" s="26" t="n">
        <v>4960</v>
      </c>
      <c r="M34" s="26" t="n">
        <v>5529</v>
      </c>
      <c r="N34" s="8">
        <f>M34*(1+N35)</f>
        <v>5910.501</v>
      </c>
      <c r="O34" s="8">
        <f>N34*(1+O35)</f>
        <v>6430.625088</v>
      </c>
      <c r="P34" s="8">
        <f>O34*(1+P35)</f>
        <v>6932.213844864</v>
      </c>
      <c r="Q34" s="8">
        <f>P34*(1+Q35)</f>
        <v>7459.06209707366</v>
      </c>
      <c r="R34" s="8">
        <f>Q34*(1+R35)</f>
        <v>8055.78706483956</v>
      </c>
    </row>
    <row r="35">
      <c r="C35" s="27" t="inlineStr">
        <is>
          <t>Growth (%)</t>
        </is>
      </c>
      <c r="G35" s="28" t="str">
        <f>IFERROR(G34/F34-1,"N/A")</f>
        <v>N/A</v>
      </c>
      <c r="H35" s="28">
        <f>IFERROR(H34/G34-1,"N/A")</f>
        <v>-0.0835095137420718</v>
      </c>
      <c r="I35" s="28">
        <f>IFERROR(I34/H34-1,"N/A")</f>
        <v>0.107554786620531</v>
      </c>
      <c r="J35" s="28">
        <f>IFERROR(J34/I34-1,"N/A")</f>
        <v>0.0890393126789899</v>
      </c>
      <c r="K35" s="28">
        <f>IFERROR(K34/J34-1,"N/A")</f>
        <v>0.109729858952905</v>
      </c>
      <c r="L35" s="28">
        <f>IFERROR(L34/K34-1,"N/A")</f>
        <v>0.0685049547608789</v>
      </c>
      <c r="M35" s="28">
        <f>IFERROR(M34/L34-1,"N/A")</f>
        <v>0.114717741935484</v>
      </c>
      <c r="N35" s="19" t="n">
        <v>0.06900000000000001</v>
      </c>
      <c r="O35" s="19" t="n">
        <v>0.08799999999999999</v>
      </c>
      <c r="P35" s="19" t="n">
        <v>0.078</v>
      </c>
      <c r="Q35" s="19" t="n">
        <v>0.076</v>
      </c>
      <c r="R35" s="19" t="n">
        <v>0.08</v>
      </c>
    </row>
    <row r="36">
      <c r="C36" s="14" t="inlineStr">
        <is>
          <t>Gross Revenue [per Patient] (LCA)</t>
        </is>
      </c>
      <c r="G36" s="26" t="n">
        <v>104</v>
      </c>
      <c r="H36" s="26" t="n">
        <v>106</v>
      </c>
      <c r="I36" s="26" t="n">
        <v>111</v>
      </c>
      <c r="J36" s="26" t="n">
        <v>118</v>
      </c>
      <c r="K36" s="26" t="n">
        <v>124</v>
      </c>
      <c r="L36" s="26" t="n">
        <v>128</v>
      </c>
      <c r="M36" s="26" t="n">
        <v>142</v>
      </c>
      <c r="N36" s="8">
        <f>M36*(1+N37)</f>
        <v>151.372</v>
      </c>
      <c r="O36" s="8">
        <f>N36*(1+O37)</f>
        <v>159.394716</v>
      </c>
      <c r="P36" s="8">
        <f>O36*(1+P37)</f>
        <v>166.408083504</v>
      </c>
      <c r="Q36" s="8">
        <f>P36*(1+Q37)</f>
        <v>174.562079595696</v>
      </c>
      <c r="R36" s="8">
        <f>Q36*(1+R37)</f>
        <v>185.559490610225</v>
      </c>
    </row>
    <row r="37">
      <c r="C37" s="27" t="inlineStr">
        <is>
          <t>Growth (%)</t>
        </is>
      </c>
      <c r="G37" s="28" t="str">
        <f>IFERROR(G36/F36-1,"N/A")</f>
        <v>N/A</v>
      </c>
      <c r="H37" s="28">
        <f>IFERROR(H36/G36-1,"N/A")</f>
        <v>0.0192307692307692</v>
      </c>
      <c r="I37" s="28">
        <f>IFERROR(I36/H36-1,"N/A")</f>
        <v>0.0471698113207548</v>
      </c>
      <c r="J37" s="28">
        <f>IFERROR(J36/I36-1,"N/A")</f>
        <v>0.0630630630630631</v>
      </c>
      <c r="K37" s="28">
        <f>IFERROR(K36/J36-1,"N/A")</f>
        <v>0.0508474576271187</v>
      </c>
      <c r="L37" s="28">
        <f>IFERROR(L36/K36-1,"N/A")</f>
        <v>0.032258064516129</v>
      </c>
      <c r="M37" s="28">
        <f>IFERROR(M36/L36-1,"N/A")</f>
        <v>0.109375</v>
      </c>
      <c r="N37" s="19" t="n">
        <v>0.066</v>
      </c>
      <c r="O37" s="19" t="n">
        <v>0.053</v>
      </c>
      <c r="P37" s="19" t="n">
        <v>0.044</v>
      </c>
      <c r="Q37" s="19" t="n">
        <v>0.049</v>
      </c>
      <c r="R37" s="19" t="n">
        <v>0.063</v>
      </c>
    </row>
    <row r="38">
      <c r="C38" s="29" t="inlineStr">
        <is>
          <t>Revenue</t>
        </is>
      </c>
      <c r="G38" s="30">
        <f>G34*G36</f>
        <v>393536</v>
      </c>
      <c r="H38" s="30">
        <f>H34*H36</f>
        <v>367608</v>
      </c>
      <c r="I38" s="30">
        <f>I34*I36</f>
        <v>426351</v>
      </c>
      <c r="J38" s="30">
        <f>J34*J36</f>
        <v>493594</v>
      </c>
      <c r="K38" s="30">
        <f>K34*K36</f>
        <v>575608</v>
      </c>
      <c r="L38" s="30">
        <f>L34*L36</f>
        <v>634880</v>
      </c>
      <c r="M38" s="30">
        <f>M34*M36</f>
        <v>785118</v>
      </c>
      <c r="N38" s="30">
        <f>N34*N36</f>
        <v>894684.357372</v>
      </c>
      <c r="O38" s="30">
        <f>O34*O36</f>
        <v>1025007.65960424</v>
      </c>
      <c r="P38" s="30">
        <f>P34*P36</f>
        <v>1153576.42036371</v>
      </c>
      <c r="Q38" s="30">
        <f>Q34*Q36</f>
        <v>1302069.39149861</v>
      </c>
      <c r="R38" s="30">
        <f>R34*R36</f>
        <v>1494827.74421607</v>
      </c>
    </row>
    <row r="40">
      <c r="C40" s="3" t="inlineStr">
        <is>
          <t>IVF:</t>
        </is>
      </c>
    </row>
    <row r="41">
      <c r="C41" s="14" t="inlineStr">
        <is>
          <t># of Patients</t>
        </is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8">
        <f>M41*(1+N42)</f>
        <v>0</v>
      </c>
      <c r="O41" s="8">
        <f>N41*(1+O42)</f>
        <v>0</v>
      </c>
      <c r="P41" s="8">
        <f>O41*(1+P42)</f>
        <v>0</v>
      </c>
      <c r="Q41" s="8">
        <f>P41*(1+Q42)</f>
        <v>0</v>
      </c>
      <c r="R41" s="8">
        <f>Q41*(1+R42)</f>
        <v>0</v>
      </c>
    </row>
    <row r="42">
      <c r="C42" s="27" t="inlineStr">
        <is>
          <t>Growth (%)</t>
        </is>
      </c>
      <c r="G42" s="28" t="str">
        <f>IFERROR(G41/F41-1,"N/A")</f>
        <v>N/A</v>
      </c>
      <c r="H42" s="28" t="str">
        <f>IFERROR(H41/G41-1,"N/A")</f>
        <v>N/A</v>
      </c>
      <c r="I42" s="28" t="str">
        <f>IFERROR(I41/H41-1,"N/A")</f>
        <v>N/A</v>
      </c>
      <c r="J42" s="28" t="str">
        <f>IFERROR(J41/I41-1,"N/A")</f>
        <v>N/A</v>
      </c>
      <c r="K42" s="28" t="str">
        <f>IFERROR(K41/J41-1,"N/A")</f>
        <v>N/A</v>
      </c>
      <c r="L42" s="28" t="str">
        <f>IFERROR(L41/K41-1,"N/A")</f>
        <v>N/A</v>
      </c>
      <c r="M42" s="28" t="str">
        <f>IFERROR(M41/L41-1,"N/A")</f>
        <v>N/A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0</v>
      </c>
    </row>
    <row r="43">
      <c r="C43" s="14" t="inlineStr">
        <is>
          <t>Gross Revenue [per Patient] (LCA)</t>
        </is>
      </c>
      <c r="G43" s="26" t="n">
        <v>3860</v>
      </c>
      <c r="H43" s="26" t="n">
        <v>3854</v>
      </c>
      <c r="I43" s="26" t="n">
        <v>4006</v>
      </c>
      <c r="J43" s="26" t="n">
        <v>4154</v>
      </c>
      <c r="K43" s="26" t="n">
        <v>4389</v>
      </c>
      <c r="L43" s="26" t="n">
        <v>4698</v>
      </c>
      <c r="M43" s="26" t="n">
        <v>5086</v>
      </c>
      <c r="N43" s="8">
        <f>M43*(1+N44)</f>
        <v>5304.698</v>
      </c>
      <c r="O43" s="8">
        <f>N43*(1+O44)</f>
        <v>5548.714108</v>
      </c>
      <c r="P43" s="8">
        <f>O43*(1+P44)</f>
        <v>5815.052385184</v>
      </c>
      <c r="Q43" s="8">
        <f>P43*(1+Q44)</f>
        <v>6210.47594737651</v>
      </c>
      <c r="R43" s="8">
        <f>Q43*(1+R44)</f>
        <v>6514.78926879796</v>
      </c>
    </row>
    <row r="44">
      <c r="C44" s="27" t="inlineStr">
        <is>
          <t>Growth (%)</t>
        </is>
      </c>
      <c r="G44" s="28" t="str">
        <f>IFERROR(G43/F43-1,"N/A")</f>
        <v>N/A</v>
      </c>
      <c r="H44" s="28">
        <f>IFERROR(H43/G43-1,"N/A")</f>
        <v>-0.00155440414507768</v>
      </c>
      <c r="I44" s="28">
        <f>IFERROR(I43/H43-1,"N/A")</f>
        <v>0.0394395433316035</v>
      </c>
      <c r="J44" s="28">
        <f>IFERROR(J43/I43-1,"N/A")</f>
        <v>0.0369445831253121</v>
      </c>
      <c r="K44" s="28">
        <f>IFERROR(K43/J43-1,"N/A")</f>
        <v>0.0565719788155994</v>
      </c>
      <c r="L44" s="28">
        <f>IFERROR(L43/K43-1,"N/A")</f>
        <v>0.0704032809295967</v>
      </c>
      <c r="M44" s="28">
        <f>IFERROR(M43/L43-1,"N/A")</f>
        <v>0.0825883354618986</v>
      </c>
      <c r="N44" s="19" t="n">
        <v>0.043</v>
      </c>
      <c r="O44" s="19" t="n">
        <v>0.046</v>
      </c>
      <c r="P44" s="19" t="n">
        <v>0.048</v>
      </c>
      <c r="Q44" s="19" t="n">
        <v>0.068</v>
      </c>
      <c r="R44" s="19" t="n">
        <v>0.049</v>
      </c>
    </row>
    <row r="45">
      <c r="C45" s="29" t="inlineStr">
        <is>
          <t>Revenue</t>
        </is>
      </c>
      <c r="G45" s="30">
        <f>G41*G43</f>
        <v>0</v>
      </c>
      <c r="H45" s="30">
        <f>H41*H43</f>
        <v>0</v>
      </c>
      <c r="I45" s="30">
        <f>I41*I43</f>
        <v>0</v>
      </c>
      <c r="J45" s="30">
        <f>J41*J43</f>
        <v>0</v>
      </c>
      <c r="K45" s="30">
        <f>K41*K43</f>
        <v>0</v>
      </c>
      <c r="L45" s="30">
        <f>L41*L43</f>
        <v>0</v>
      </c>
      <c r="M45" s="30">
        <f>M41*M43</f>
        <v>0</v>
      </c>
      <c r="N45" s="30">
        <f>N41*N43</f>
        <v>0</v>
      </c>
      <c r="O45" s="30">
        <f>O41*O43</f>
        <v>0</v>
      </c>
      <c r="P45" s="30">
        <f>P41*P43</f>
        <v>0</v>
      </c>
      <c r="Q45" s="30">
        <f>Q41*Q43</f>
        <v>0</v>
      </c>
      <c r="R45" s="30">
        <f>R41*R43</f>
        <v>0</v>
      </c>
    </row>
    <row r="47">
      <c r="C47" s="3" t="inlineStr">
        <is>
          <t>Anapath:</t>
        </is>
      </c>
    </row>
    <row r="48">
      <c r="C48" s="14" t="inlineStr">
        <is>
          <t># of Patients</t>
        </is>
      </c>
      <c r="G48" s="26" t="n">
        <v>5286</v>
      </c>
      <c r="H48" s="26" t="n">
        <v>4911</v>
      </c>
      <c r="I48" s="26" t="n">
        <v>5362</v>
      </c>
      <c r="J48" s="26" t="n">
        <v>5881</v>
      </c>
      <c r="K48" s="26" t="n">
        <v>6277</v>
      </c>
      <c r="L48" s="26" t="n">
        <v>6722</v>
      </c>
      <c r="M48" s="26" t="n">
        <v>7105</v>
      </c>
      <c r="N48" s="8">
        <f>M48*(1+N49)</f>
        <v>7424.725</v>
      </c>
      <c r="O48" s="8">
        <f>N48*(1+O49)</f>
        <v>8033.55245</v>
      </c>
      <c r="P48" s="8">
        <f>O48*(1+P49)</f>
        <v>8395.06231025</v>
      </c>
      <c r="Q48" s="8">
        <f>P48*(1+Q49)</f>
        <v>8974.32160965725</v>
      </c>
      <c r="R48" s="8">
        <f>Q48*(1+R49)</f>
        <v>9432.01201174977</v>
      </c>
    </row>
    <row r="49">
      <c r="C49" s="27" t="inlineStr">
        <is>
          <t>Growth (%)</t>
        </is>
      </c>
      <c r="G49" s="28" t="str">
        <f>IFERROR(G48/F48-1,"N/A")</f>
        <v>N/A</v>
      </c>
      <c r="H49" s="28">
        <f>IFERROR(H48/G48-1,"N/A")</f>
        <v>-0.0709421112372304</v>
      </c>
      <c r="I49" s="28">
        <f>IFERROR(I48/H48-1,"N/A")</f>
        <v>0.0918346568926898</v>
      </c>
      <c r="J49" s="28">
        <f>IFERROR(J48/I48-1,"N/A")</f>
        <v>0.096792241700858</v>
      </c>
      <c r="K49" s="28">
        <f>IFERROR(K48/J48-1,"N/A")</f>
        <v>0.0673354871620473</v>
      </c>
      <c r="L49" s="28">
        <f>IFERROR(L48/K48-1,"N/A")</f>
        <v>0.0708937390473157</v>
      </c>
      <c r="M49" s="28">
        <f>IFERROR(M48/L48-1,"N/A")</f>
        <v>0.0569770901517406</v>
      </c>
      <c r="N49" s="19" t="n">
        <v>0.045</v>
      </c>
      <c r="O49" s="19" t="n">
        <v>0.082</v>
      </c>
      <c r="P49" s="19" t="n">
        <v>0.045</v>
      </c>
      <c r="Q49" s="19" t="n">
        <v>0.06900000000000001</v>
      </c>
      <c r="R49" s="19" t="n">
        <v>0.051</v>
      </c>
    </row>
    <row r="50">
      <c r="C50" s="14" t="inlineStr">
        <is>
          <t>Gross Revenue [per Patient] (LCA)</t>
        </is>
      </c>
      <c r="G50" s="26" t="n">
        <v>131</v>
      </c>
      <c r="H50" s="26" t="n">
        <v>138</v>
      </c>
      <c r="I50" s="26" t="n">
        <v>151</v>
      </c>
      <c r="J50" s="26" t="n">
        <v>163</v>
      </c>
      <c r="K50" s="26" t="n">
        <v>177</v>
      </c>
      <c r="L50" s="26" t="n">
        <v>192</v>
      </c>
      <c r="M50" s="26" t="n">
        <v>204</v>
      </c>
      <c r="N50" s="8">
        <f>M50*(1+N51)</f>
        <v>217.056</v>
      </c>
      <c r="O50" s="8">
        <f>N50*(1+O51)</f>
        <v>228.559968</v>
      </c>
      <c r="P50" s="8">
        <f>O50*(1+P51)</f>
        <v>243.187805952</v>
      </c>
      <c r="Q50" s="8">
        <f>P50*(1+Q51)</f>
        <v>258.265449921024</v>
      </c>
      <c r="R50" s="8">
        <f>Q50*(1+R51)</f>
        <v>272.47004966668</v>
      </c>
    </row>
    <row r="51">
      <c r="C51" s="27" t="inlineStr">
        <is>
          <t>Growth (%)</t>
        </is>
      </c>
      <c r="G51" s="28" t="str">
        <f>IFERROR(G50/F50-1,"N/A")</f>
        <v>N/A</v>
      </c>
      <c r="H51" s="28">
        <f>IFERROR(H50/G50-1,"N/A")</f>
        <v>0.0534351145038168</v>
      </c>
      <c r="I51" s="28">
        <f>IFERROR(I50/H50-1,"N/A")</f>
        <v>0.0942028985507246</v>
      </c>
      <c r="J51" s="28">
        <f>IFERROR(J50/I50-1,"N/A")</f>
        <v>0.0794701986754967</v>
      </c>
      <c r="K51" s="28">
        <f>IFERROR(K50/J50-1,"N/A")</f>
        <v>0.0858895705521472</v>
      </c>
      <c r="L51" s="28">
        <f>IFERROR(L50/K50-1,"N/A")</f>
        <v>0.0847457627118644</v>
      </c>
      <c r="M51" s="28">
        <f>IFERROR(M50/L50-1,"N/A")</f>
        <v>0.0625</v>
      </c>
      <c r="N51" s="19" t="n">
        <v>0.064</v>
      </c>
      <c r="O51" s="19" t="n">
        <v>0.053</v>
      </c>
      <c r="P51" s="19" t="n">
        <v>0.064</v>
      </c>
      <c r="Q51" s="19" t="n">
        <v>0.062</v>
      </c>
      <c r="R51" s="19" t="n">
        <v>0.055</v>
      </c>
    </row>
    <row r="52">
      <c r="C52" s="29" t="inlineStr">
        <is>
          <t>Revenue</t>
        </is>
      </c>
      <c r="G52" s="30">
        <f>G48*G50</f>
        <v>692466</v>
      </c>
      <c r="H52" s="30">
        <f>H48*H50</f>
        <v>677718</v>
      </c>
      <c r="I52" s="30">
        <f>I48*I50</f>
        <v>809662</v>
      </c>
      <c r="J52" s="30">
        <f>J48*J50</f>
        <v>958603</v>
      </c>
      <c r="K52" s="30">
        <f>K48*K50</f>
        <v>1111029</v>
      </c>
      <c r="L52" s="30">
        <f>L48*L50</f>
        <v>1290624</v>
      </c>
      <c r="M52" s="30">
        <f>M48*M50</f>
        <v>1449420</v>
      </c>
      <c r="N52" s="30">
        <f>N48*N50</f>
        <v>1611581.1096</v>
      </c>
      <c r="O52" s="30">
        <f>O48*O50</f>
        <v>1836148.49089832</v>
      </c>
      <c r="P52" s="30">
        <f>P48*P50</f>
        <v>2041576.78406003</v>
      </c>
      <c r="Q52" s="30">
        <f>Q48*Q50</f>
        <v>2317757.2082541</v>
      </c>
      <c r="R52" s="30">
        <f>R48*R50</f>
        <v>2569940.78129819</v>
      </c>
    </row>
    <row r="54">
      <c r="C54" s="3" t="inlineStr">
        <is>
          <t>Surgery:</t>
        </is>
      </c>
    </row>
    <row r="55">
      <c r="C55" s="14" t="inlineStr">
        <is>
          <t># of Surgeries</t>
        </is>
      </c>
      <c r="G55" s="26" t="n">
        <v>2806</v>
      </c>
      <c r="H55" s="26" t="n">
        <v>2560</v>
      </c>
      <c r="I55" s="26" t="n">
        <v>2814</v>
      </c>
      <c r="J55" s="26" t="n">
        <v>3094</v>
      </c>
      <c r="K55" s="26" t="n">
        <v>3237</v>
      </c>
      <c r="L55" s="26" t="n">
        <v>3526</v>
      </c>
      <c r="M55" s="26" t="n">
        <v>3875</v>
      </c>
      <c r="N55" s="8">
        <f>M55*(1+N56)</f>
        <v>4041.625</v>
      </c>
      <c r="O55" s="8">
        <f>N55*(1+O56)</f>
        <v>4312.413875</v>
      </c>
      <c r="P55" s="8">
        <f>O55*(1+P56)</f>
        <v>4502.1600855</v>
      </c>
      <c r="Q55" s="8">
        <f>P55*(1+Q56)</f>
        <v>4790.298330972</v>
      </c>
      <c r="R55" s="8">
        <f>Q55*(1+R56)</f>
        <v>5025.02294918963</v>
      </c>
    </row>
    <row r="56">
      <c r="C56" s="27" t="inlineStr">
        <is>
          <t>Growth (%)</t>
        </is>
      </c>
      <c r="G56" s="28" t="str">
        <f>IFERROR(G55/F55-1,"N/A")</f>
        <v>N/A</v>
      </c>
      <c r="H56" s="28">
        <f>IFERROR(H55/G55-1,"N/A")</f>
        <v>-0.0876692801140413</v>
      </c>
      <c r="I56" s="28">
        <f>IFERROR(I55/H55-1,"N/A")</f>
        <v>0.0992187499999999</v>
      </c>
      <c r="J56" s="28">
        <f>IFERROR(J55/I55-1,"N/A")</f>
        <v>0.0995024875621891</v>
      </c>
      <c r="K56" s="28">
        <f>IFERROR(K55/J55-1,"N/A")</f>
        <v>0.046218487394958</v>
      </c>
      <c r="L56" s="28">
        <f>IFERROR(L55/K55-1,"N/A")</f>
        <v>0.0892801977139326</v>
      </c>
      <c r="M56" s="28">
        <f>IFERROR(M55/L55-1,"N/A")</f>
        <v>0.0989790130459445</v>
      </c>
      <c r="N56" s="19" t="n">
        <v>0.043</v>
      </c>
      <c r="O56" s="19" t="n">
        <v>0.067</v>
      </c>
      <c r="P56" s="19" t="n">
        <v>0.044</v>
      </c>
      <c r="Q56" s="19" t="n">
        <v>0.064</v>
      </c>
      <c r="R56" s="19" t="n">
        <v>0.049</v>
      </c>
    </row>
    <row r="57">
      <c r="C57" s="14" t="inlineStr">
        <is>
          <t>Gross Revenue [per Surgery] (LCA)</t>
        </is>
      </c>
      <c r="G57" s="26" t="n">
        <v>2007</v>
      </c>
      <c r="H57" s="26" t="n">
        <v>2066</v>
      </c>
      <c r="I57" s="26" t="n">
        <v>2212</v>
      </c>
      <c r="J57" s="26" t="n">
        <v>2429</v>
      </c>
      <c r="K57" s="26" t="n">
        <v>2557</v>
      </c>
      <c r="L57" s="26" t="n">
        <v>2738</v>
      </c>
      <c r="M57" s="26" t="n">
        <v>2981</v>
      </c>
      <c r="N57" s="8">
        <f>M57*(1+N58)</f>
        <v>3159.86</v>
      </c>
      <c r="O57" s="8">
        <f>N57*(1+O58)</f>
        <v>3358.93118</v>
      </c>
      <c r="P57" s="8">
        <f>O57*(1+P58)</f>
        <v>3563.82598198</v>
      </c>
      <c r="Q57" s="8">
        <f>P57*(1+Q58)</f>
        <v>3763.40023697088</v>
      </c>
      <c r="R57" s="8">
        <f>Q57*(1+R58)</f>
        <v>4008.02125237399</v>
      </c>
    </row>
    <row r="58">
      <c r="C58" s="27" t="inlineStr">
        <is>
          <t>Growth (%)</t>
        </is>
      </c>
      <c r="G58" s="28" t="str">
        <f>IFERROR(G57/F57-1,"N/A")</f>
        <v>N/A</v>
      </c>
      <c r="H58" s="28">
        <f>IFERROR(H57/G57-1,"N/A")</f>
        <v>0.0293971101145989</v>
      </c>
      <c r="I58" s="28">
        <f>IFERROR(I57/H57-1,"N/A")</f>
        <v>0.0706679574056148</v>
      </c>
      <c r="J58" s="28">
        <f>IFERROR(J57/I57-1,"N/A")</f>
        <v>0.0981012658227849</v>
      </c>
      <c r="K58" s="28">
        <f>IFERROR(K57/J57-1,"N/A")</f>
        <v>0.0526965829559489</v>
      </c>
      <c r="L58" s="28">
        <f>IFERROR(L57/K57-1,"N/A")</f>
        <v>0.0707860774344935</v>
      </c>
      <c r="M58" s="28">
        <f>IFERROR(M57/L57-1,"N/A")</f>
        <v>0.0887509130752373</v>
      </c>
      <c r="N58" s="19" t="n">
        <v>0.06</v>
      </c>
      <c r="O58" s="19" t="n">
        <v>0.063</v>
      </c>
      <c r="P58" s="19" t="n">
        <v>0.061</v>
      </c>
      <c r="Q58" s="19" t="n">
        <v>0.056</v>
      </c>
      <c r="R58" s="19" t="n">
        <v>0.065</v>
      </c>
    </row>
    <row r="59">
      <c r="C59" s="29" t="inlineStr">
        <is>
          <t>Revenue</t>
        </is>
      </c>
      <c r="G59" s="30">
        <f>G55*G57</f>
        <v>5631642</v>
      </c>
      <c r="H59" s="30">
        <f>H55*H57</f>
        <v>5288960</v>
      </c>
      <c r="I59" s="30">
        <f>I55*I57</f>
        <v>6224568</v>
      </c>
      <c r="J59" s="30">
        <f>J55*J57</f>
        <v>7515326</v>
      </c>
      <c r="K59" s="30">
        <f>K55*K57</f>
        <v>8277009</v>
      </c>
      <c r="L59" s="30">
        <f>L55*L57</f>
        <v>9654188</v>
      </c>
      <c r="M59" s="30">
        <f>M55*M57</f>
        <v>11551375</v>
      </c>
      <c r="N59" s="30">
        <f>N55*N57</f>
        <v>12770969.1725</v>
      </c>
      <c r="O59" s="30">
        <f>O55*O57</f>
        <v>14485101.4258021</v>
      </c>
      <c r="P59" s="30">
        <f>P55*P57</f>
        <v>16044915.0877382</v>
      </c>
      <c r="Q59" s="30">
        <f>Q55*Q57</f>
        <v>18027809.8739412</v>
      </c>
      <c r="R59" s="30">
        <f>R55*R57</f>
        <v>20140398.774019</v>
      </c>
    </row>
    <row r="61">
      <c r="C61" s="3" t="inlineStr">
        <is>
          <t>Cardiac Cath:</t>
        </is>
      </c>
    </row>
    <row r="62">
      <c r="C62" s="14" t="inlineStr">
        <is>
          <t># of Surgeries</t>
        </is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8">
        <f>M62*(1+N63)</f>
        <v>0</v>
      </c>
      <c r="O62" s="8">
        <f>N62*(1+O63)</f>
        <v>0</v>
      </c>
      <c r="P62" s="8">
        <f>O62*(1+P63)</f>
        <v>0</v>
      </c>
      <c r="Q62" s="8">
        <f>P62*(1+Q63)</f>
        <v>0</v>
      </c>
      <c r="R62" s="8">
        <f>Q62*(1+R63)</f>
        <v>0</v>
      </c>
    </row>
    <row r="63">
      <c r="C63" s="27" t="inlineStr">
        <is>
          <t>Growth (%)</t>
        </is>
      </c>
      <c r="G63" s="28" t="str">
        <f>IFERROR(G62/F62-1,"N/A")</f>
        <v>N/A</v>
      </c>
      <c r="H63" s="28" t="str">
        <f>IFERROR(H62/G62-1,"N/A")</f>
        <v>N/A</v>
      </c>
      <c r="I63" s="28" t="str">
        <f>IFERROR(I62/H62-1,"N/A")</f>
        <v>N/A</v>
      </c>
      <c r="J63" s="28" t="str">
        <f>IFERROR(J62/I62-1,"N/A")</f>
        <v>N/A</v>
      </c>
      <c r="K63" s="28" t="str">
        <f>IFERROR(K62/J62-1,"N/A")</f>
        <v>N/A</v>
      </c>
      <c r="L63" s="28" t="str">
        <f>IFERROR(L62/K62-1,"N/A")</f>
        <v>N/A</v>
      </c>
      <c r="M63" s="28" t="str">
        <f>IFERROR(M62/L62-1,"N/A")</f>
        <v>N/A</v>
      </c>
      <c r="N63" s="19" t="n">
        <v>0</v>
      </c>
      <c r="O63" s="19" t="n">
        <v>0</v>
      </c>
      <c r="P63" s="19" t="n">
        <v>0</v>
      </c>
      <c r="Q63" s="19" t="n">
        <v>0</v>
      </c>
      <c r="R63" s="19" t="n">
        <v>0</v>
      </c>
    </row>
    <row r="64">
      <c r="C64" s="14" t="inlineStr">
        <is>
          <t>Gross Revenue [per Surgery] (LCA)</t>
        </is>
      </c>
      <c r="G64" s="26" t="n">
        <v>4395</v>
      </c>
      <c r="H64" s="26" t="n">
        <v>4540</v>
      </c>
      <c r="I64" s="26" t="n">
        <v>4898</v>
      </c>
      <c r="J64" s="26" t="n">
        <v>5108</v>
      </c>
      <c r="K64" s="26" t="n">
        <v>5443</v>
      </c>
      <c r="L64" s="26" t="n">
        <v>5659</v>
      </c>
      <c r="M64" s="26" t="n">
        <v>6116</v>
      </c>
      <c r="N64" s="8">
        <f>M64*(1+N65)</f>
        <v>6464.612</v>
      </c>
      <c r="O64" s="8">
        <f>N64*(1+O65)</f>
        <v>6839.559496</v>
      </c>
      <c r="P64" s="8">
        <f>O64*(1+P65)</f>
        <v>7154.179232816</v>
      </c>
      <c r="Q64" s="8">
        <f>P64*(1+Q65)</f>
        <v>7590.58416601778</v>
      </c>
      <c r="R64" s="8">
        <f>Q64*(1+R65)</f>
        <v>8076.38155264291</v>
      </c>
    </row>
    <row r="65">
      <c r="C65" s="27" t="inlineStr">
        <is>
          <t>Growth (%)</t>
        </is>
      </c>
      <c r="G65" s="28" t="str">
        <f>IFERROR(G64/F64-1,"N/A")</f>
        <v>N/A</v>
      </c>
      <c r="H65" s="28">
        <f>IFERROR(H64/G64-1,"N/A")</f>
        <v>0.0329920364050056</v>
      </c>
      <c r="I65" s="28">
        <f>IFERROR(I64/H64-1,"N/A")</f>
        <v>0.0788546255506608</v>
      </c>
      <c r="J65" s="28">
        <f>IFERROR(J64/I64-1,"N/A")</f>
        <v>0.0428746427113107</v>
      </c>
      <c r="K65" s="28">
        <f>IFERROR(K64/J64-1,"N/A")</f>
        <v>0.0655833985904464</v>
      </c>
      <c r="L65" s="28">
        <f>IFERROR(L64/K64-1,"N/A")</f>
        <v>0.0396839977953334</v>
      </c>
      <c r="M65" s="28">
        <f>IFERROR(M64/L64-1,"N/A")</f>
        <v>0.0807563173705601</v>
      </c>
      <c r="N65" s="19" t="n">
        <v>0.057</v>
      </c>
      <c r="O65" s="19" t="n">
        <v>0.058</v>
      </c>
      <c r="P65" s="19" t="n">
        <v>0.046</v>
      </c>
      <c r="Q65" s="19" t="n">
        <v>0.061</v>
      </c>
      <c r="R65" s="19" t="n">
        <v>0.064</v>
      </c>
    </row>
    <row r="66">
      <c r="C66" s="29" t="inlineStr">
        <is>
          <t>Revenue</t>
        </is>
      </c>
      <c r="G66" s="30">
        <f>G62*G64</f>
        <v>0</v>
      </c>
      <c r="H66" s="30">
        <f>H62*H64</f>
        <v>0</v>
      </c>
      <c r="I66" s="30">
        <f>I62*I64</f>
        <v>0</v>
      </c>
      <c r="J66" s="30">
        <f>J62*J64</f>
        <v>0</v>
      </c>
      <c r="K66" s="30">
        <f>K62*K64</f>
        <v>0</v>
      </c>
      <c r="L66" s="30">
        <f>L62*L64</f>
        <v>0</v>
      </c>
      <c r="M66" s="30">
        <f>M62*M64</f>
        <v>0</v>
      </c>
      <c r="N66" s="30">
        <f>N62*N64</f>
        <v>0</v>
      </c>
      <c r="O66" s="30">
        <f>O62*O64</f>
        <v>0</v>
      </c>
      <c r="P66" s="30">
        <f>P62*P64</f>
        <v>0</v>
      </c>
      <c r="Q66" s="30">
        <f>Q62*Q64</f>
        <v>0</v>
      </c>
      <c r="R66" s="30">
        <f>R62*R64</f>
        <v>0</v>
      </c>
    </row>
    <row r="68">
      <c r="C68" s="3" t="inlineStr">
        <is>
          <t>Heart Test:</t>
        </is>
      </c>
    </row>
    <row r="69">
      <c r="C69" s="14" t="inlineStr">
        <is>
          <t># of Tests</t>
        </is>
      </c>
      <c r="G69" s="26" t="n">
        <v>3395</v>
      </c>
      <c r="H69" s="26" t="n">
        <v>3186</v>
      </c>
      <c r="I69" s="26" t="n">
        <v>3487</v>
      </c>
      <c r="J69" s="26" t="n">
        <v>3871</v>
      </c>
      <c r="K69" s="26" t="n">
        <v>4258</v>
      </c>
      <c r="L69" s="26" t="n">
        <v>4548</v>
      </c>
      <c r="M69" s="26" t="n">
        <v>4886</v>
      </c>
      <c r="N69" s="8">
        <f>M69*(1+N70)</f>
        <v>5257.336</v>
      </c>
      <c r="O69" s="8">
        <f>N69*(1+O70)</f>
        <v>5614.834848</v>
      </c>
      <c r="P69" s="8">
        <f>O69*(1+P70)</f>
        <v>5946.110104032</v>
      </c>
      <c r="Q69" s="8">
        <f>P69*(1+Q70)</f>
        <v>6267.20004964973</v>
      </c>
      <c r="R69" s="8">
        <f>Q69*(1+R70)</f>
        <v>6712.17125317486</v>
      </c>
    </row>
    <row r="70">
      <c r="C70" s="27" t="inlineStr">
        <is>
          <t>Growth (%)</t>
        </is>
      </c>
      <c r="G70" s="28" t="str">
        <f>IFERROR(G69/F69-1,"N/A")</f>
        <v>N/A</v>
      </c>
      <c r="H70" s="28">
        <f>IFERROR(H69/G69-1,"N/A")</f>
        <v>-0.0615611192930781</v>
      </c>
      <c r="I70" s="28">
        <f>IFERROR(I69/H69-1,"N/A")</f>
        <v>0.0944758317639673</v>
      </c>
      <c r="J70" s="28">
        <f>IFERROR(J69/I69-1,"N/A")</f>
        <v>0.110123315170634</v>
      </c>
      <c r="K70" s="28">
        <f>IFERROR(K69/J69-1,"N/A")</f>
        <v>0.0999741668819427</v>
      </c>
      <c r="L70" s="28">
        <f>IFERROR(L69/K69-1,"N/A")</f>
        <v>0.0681070925317051</v>
      </c>
      <c r="M70" s="28">
        <f>IFERROR(M69/L69-1,"N/A")</f>
        <v>0.0743183817062445</v>
      </c>
      <c r="N70" s="19" t="n">
        <v>0.076</v>
      </c>
      <c r="O70" s="19" t="n">
        <v>0.068</v>
      </c>
      <c r="P70" s="19" t="n">
        <v>0.059</v>
      </c>
      <c r="Q70" s="19" t="n">
        <v>0.054</v>
      </c>
      <c r="R70" s="19" t="n">
        <v>0.07099999999999999</v>
      </c>
    </row>
    <row r="71">
      <c r="C71" s="14" t="inlineStr">
        <is>
          <t>Gross Revenue [per Test] (LCA)</t>
        </is>
      </c>
      <c r="G71" s="26" t="n">
        <v>213</v>
      </c>
      <c r="H71" s="26" t="n">
        <v>212</v>
      </c>
      <c r="I71" s="26" t="n">
        <v>225</v>
      </c>
      <c r="J71" s="26" t="n">
        <v>239</v>
      </c>
      <c r="K71" s="26" t="n">
        <v>257</v>
      </c>
      <c r="L71" s="26" t="n">
        <v>277</v>
      </c>
      <c r="M71" s="26" t="n">
        <v>302</v>
      </c>
      <c r="N71" s="8">
        <f>M71*(1+N72)</f>
        <v>320.422</v>
      </c>
      <c r="O71" s="8">
        <f>N71*(1+O72)</f>
        <v>340.608586</v>
      </c>
      <c r="P71" s="8">
        <f>O71*(1+P72)</f>
        <v>355.254755198</v>
      </c>
      <c r="Q71" s="8">
        <f>P71*(1+Q72)</f>
        <v>376.57004050988</v>
      </c>
      <c r="R71" s="8">
        <f>Q71*(1+R72)</f>
        <v>395.398542535374</v>
      </c>
    </row>
    <row r="72">
      <c r="C72" s="27" t="inlineStr">
        <is>
          <t>Growth (%)</t>
        </is>
      </c>
      <c r="G72" s="28" t="str">
        <f>IFERROR(G71/F71-1,"N/A")</f>
        <v>N/A</v>
      </c>
      <c r="H72" s="28">
        <f>IFERROR(H71/G71-1,"N/A")</f>
        <v>-0.00469483568075113</v>
      </c>
      <c r="I72" s="28">
        <f>IFERROR(I71/H71-1,"N/A")</f>
        <v>0.0613207547169812</v>
      </c>
      <c r="J72" s="28">
        <f>IFERROR(J71/I71-1,"N/A")</f>
        <v>0.0622222222222222</v>
      </c>
      <c r="K72" s="28">
        <f>IFERROR(K71/J71-1,"N/A")</f>
        <v>0.0753138075313808</v>
      </c>
      <c r="L72" s="28">
        <f>IFERROR(L71/K71-1,"N/A")</f>
        <v>0.0778210116731517</v>
      </c>
      <c r="M72" s="28">
        <f>IFERROR(M71/L71-1,"N/A")</f>
        <v>0.0902527075812274</v>
      </c>
      <c r="N72" s="19" t="n">
        <v>0.061</v>
      </c>
      <c r="O72" s="19" t="n">
        <v>0.063</v>
      </c>
      <c r="P72" s="19" t="n">
        <v>0.043</v>
      </c>
      <c r="Q72" s="19" t="n">
        <v>0.06</v>
      </c>
      <c r="R72" s="19" t="n">
        <v>0.05</v>
      </c>
    </row>
    <row r="73">
      <c r="C73" s="29" t="inlineStr">
        <is>
          <t>Revenue</t>
        </is>
      </c>
      <c r="G73" s="30">
        <f>G69*G71</f>
        <v>723135</v>
      </c>
      <c r="H73" s="30">
        <f>H69*H71</f>
        <v>675432</v>
      </c>
      <c r="I73" s="30">
        <f>I69*I71</f>
        <v>784575</v>
      </c>
      <c r="J73" s="30">
        <f>J69*J71</f>
        <v>925169</v>
      </c>
      <c r="K73" s="30">
        <f>K69*K71</f>
        <v>1094306</v>
      </c>
      <c r="L73" s="30">
        <f>L69*L71</f>
        <v>1259796</v>
      </c>
      <c r="M73" s="30">
        <f>M69*M71</f>
        <v>1475572</v>
      </c>
      <c r="N73" s="30">
        <f>N69*N71</f>
        <v>1684566.115792</v>
      </c>
      <c r="O73" s="30">
        <f>O69*O71</f>
        <v>1912460.9582008</v>
      </c>
      <c r="P73" s="30">
        <f>P69*P71</f>
        <v>2112383.88938824</v>
      </c>
      <c r="Q73" s="30">
        <f>Q69*Q71</f>
        <v>2360039.77658012</v>
      </c>
      <c r="R73" s="30">
        <f>R69*R71</f>
        <v>2653982.73075317</v>
      </c>
    </row>
    <row r="75">
      <c r="C75" s="3" t="inlineStr">
        <is>
          <t>Emergency:</t>
        </is>
      </c>
    </row>
    <row r="76">
      <c r="C76" s="14" t="inlineStr">
        <is>
          <t># of Visits</t>
        </is>
      </c>
      <c r="G76" s="26" t="n">
        <v>11588</v>
      </c>
      <c r="H76" s="26" t="n">
        <v>10538</v>
      </c>
      <c r="I76" s="26" t="n">
        <v>11134</v>
      </c>
      <c r="J76" s="26" t="n">
        <v>11546</v>
      </c>
      <c r="K76" s="26" t="n">
        <v>12384</v>
      </c>
      <c r="L76" s="26" t="n">
        <v>13731</v>
      </c>
      <c r="M76" s="26" t="n">
        <v>15234</v>
      </c>
      <c r="N76" s="8">
        <f>M76*(1+N77)</f>
        <v>16269.912</v>
      </c>
      <c r="O76" s="8">
        <f>N76*(1+O77)</f>
        <v>17115.947424</v>
      </c>
      <c r="P76" s="8">
        <f>O76*(1+P77)</f>
        <v>18314.06374368</v>
      </c>
      <c r="Q76" s="8">
        <f>P76*(1+Q77)</f>
        <v>19907.3872893802</v>
      </c>
      <c r="R76" s="8">
        <f>Q76*(1+R77)</f>
        <v>21320.8117869262</v>
      </c>
    </row>
    <row r="77">
      <c r="C77" s="27" t="inlineStr">
        <is>
          <t>Growth (%)</t>
        </is>
      </c>
      <c r="G77" s="28" t="str">
        <f>IFERROR(G76/F76-1,"N/A")</f>
        <v>N/A</v>
      </c>
      <c r="H77" s="28">
        <f>IFERROR(H76/G76-1,"N/A")</f>
        <v>-0.0906109768726269</v>
      </c>
      <c r="I77" s="28">
        <f>IFERROR(I76/H76-1,"N/A")</f>
        <v>0.0565572214841525</v>
      </c>
      <c r="J77" s="28">
        <f>IFERROR(J76/I76-1,"N/A")</f>
        <v>0.0370037722292078</v>
      </c>
      <c r="K77" s="28">
        <f>IFERROR(K76/J76-1,"N/A")</f>
        <v>0.0725792482244934</v>
      </c>
      <c r="L77" s="28">
        <f>IFERROR(L76/K76-1,"N/A")</f>
        <v>0.108769379844961</v>
      </c>
      <c r="M77" s="28">
        <f>IFERROR(M76/L76-1,"N/A")</f>
        <v>0.109460345204282</v>
      </c>
      <c r="N77" s="19" t="n">
        <v>0.068</v>
      </c>
      <c r="O77" s="19" t="n">
        <v>0.052</v>
      </c>
      <c r="P77" s="19" t="n">
        <v>0.07000000000000001</v>
      </c>
      <c r="Q77" s="19" t="n">
        <v>0.08699999999999999</v>
      </c>
      <c r="R77" s="19" t="n">
        <v>0.07099999999999999</v>
      </c>
    </row>
    <row r="78">
      <c r="C78" s="14" t="inlineStr">
        <is>
          <t>Gross Revenue [per Visit] (LCA)</t>
        </is>
      </c>
      <c r="G78" s="26" t="n">
        <v>151</v>
      </c>
      <c r="H78" s="26" t="n">
        <v>155</v>
      </c>
      <c r="I78" s="26" t="n">
        <v>172</v>
      </c>
      <c r="J78" s="26" t="n">
        <v>193</v>
      </c>
      <c r="K78" s="26" t="n">
        <v>205</v>
      </c>
      <c r="L78" s="26" t="n">
        <v>217</v>
      </c>
      <c r="M78" s="26" t="n">
        <v>240</v>
      </c>
      <c r="N78" s="8">
        <f>M78*(1+N79)</f>
        <v>255.36</v>
      </c>
      <c r="O78" s="8">
        <f>N78*(1+O79)</f>
        <v>268.38336</v>
      </c>
      <c r="P78" s="8">
        <f>O78*(1+P79)</f>
        <v>279.92384448</v>
      </c>
      <c r="Q78" s="8">
        <f>P78*(1+Q79)</f>
        <v>296.7192751488</v>
      </c>
      <c r="R78" s="8">
        <f>Q78*(1+R79)</f>
        <v>316.006028033472</v>
      </c>
    </row>
    <row r="79">
      <c r="C79" s="27" t="inlineStr">
        <is>
          <t>Growth (%)</t>
        </is>
      </c>
      <c r="G79" s="28" t="str">
        <f>IFERROR(G78/F78-1,"N/A")</f>
        <v>N/A</v>
      </c>
      <c r="H79" s="28">
        <f>IFERROR(H78/G78-1,"N/A")</f>
        <v>0.0264900662251655</v>
      </c>
      <c r="I79" s="28">
        <f>IFERROR(I78/H78-1,"N/A")</f>
        <v>0.109677419354839</v>
      </c>
      <c r="J79" s="28">
        <f>IFERROR(J78/I78-1,"N/A")</f>
        <v>0.122093023255814</v>
      </c>
      <c r="K79" s="28">
        <f>IFERROR(K78/J78-1,"N/A")</f>
        <v>0.0621761658031088</v>
      </c>
      <c r="L79" s="28">
        <f>IFERROR(L78/K78-1,"N/A")</f>
        <v>0.0585365853658537</v>
      </c>
      <c r="M79" s="28">
        <f>IFERROR(M78/L78-1,"N/A")</f>
        <v>0.105990783410138</v>
      </c>
      <c r="N79" s="19" t="n">
        <v>0.064</v>
      </c>
      <c r="O79" s="19" t="n">
        <v>0.051</v>
      </c>
      <c r="P79" s="19" t="n">
        <v>0.043</v>
      </c>
      <c r="Q79" s="19" t="n">
        <v>0.06</v>
      </c>
      <c r="R79" s="19" t="n">
        <v>0.065</v>
      </c>
    </row>
    <row r="80">
      <c r="C80" s="29" t="inlineStr">
        <is>
          <t>Revenue</t>
        </is>
      </c>
      <c r="G80" s="30">
        <f>G76*G78</f>
        <v>1749788</v>
      </c>
      <c r="H80" s="30">
        <f>H76*H78</f>
        <v>1633390</v>
      </c>
      <c r="I80" s="30">
        <f>I76*I78</f>
        <v>1915048</v>
      </c>
      <c r="J80" s="30">
        <f>J76*J78</f>
        <v>2228378</v>
      </c>
      <c r="K80" s="30">
        <f>K76*K78</f>
        <v>2538720</v>
      </c>
      <c r="L80" s="30">
        <f>L76*L78</f>
        <v>2979627</v>
      </c>
      <c r="M80" s="30">
        <f>M76*M78</f>
        <v>3656160</v>
      </c>
      <c r="N80" s="30">
        <f>N76*N78</f>
        <v>4154684.72832</v>
      </c>
      <c r="O80" s="30">
        <f>O76*O78</f>
        <v>4593635.47923647</v>
      </c>
      <c r="P80" s="30">
        <f>P76*P78</f>
        <v>5126543.13118269</v>
      </c>
      <c r="Q80" s="30">
        <f>Q76*Q78</f>
        <v>5906905.52661132</v>
      </c>
      <c r="R80" s="30">
        <f>R76*R78</f>
        <v>6737505.04723577</v>
      </c>
    </row>
    <row r="82">
      <c r="C82" s="3" t="inlineStr">
        <is>
          <t>Accommodation:</t>
        </is>
      </c>
    </row>
    <row r="83">
      <c r="C83" s="14" t="inlineStr">
        <is>
          <t># of Beds</t>
        </is>
      </c>
      <c r="G83" s="26" t="n">
        <v>112</v>
      </c>
      <c r="H83" s="26" t="n">
        <v>112</v>
      </c>
      <c r="I83" s="26" t="n">
        <v>112</v>
      </c>
      <c r="J83" s="26" t="n">
        <v>112</v>
      </c>
      <c r="K83" s="26" t="n">
        <v>120</v>
      </c>
      <c r="L83" s="26" t="n">
        <v>120</v>
      </c>
      <c r="M83" s="26" t="n">
        <v>120</v>
      </c>
      <c r="N83" s="8">
        <f>M83</f>
        <v>120</v>
      </c>
      <c r="O83" s="8">
        <f>N83</f>
        <v>120</v>
      </c>
      <c r="P83" s="8">
        <f>O83</f>
        <v>120</v>
      </c>
      <c r="Q83" s="8">
        <f>P83</f>
        <v>120</v>
      </c>
      <c r="R83" s="8">
        <f>Q83</f>
        <v>120</v>
      </c>
    </row>
    <row r="84">
      <c r="C84" s="14" t="inlineStr">
        <is>
          <t>Available Beds a Night</t>
        </is>
      </c>
      <c r="G84" s="8">
        <f>G83*360</f>
        <v>40320</v>
      </c>
      <c r="H84" s="8">
        <f>H83*360</f>
        <v>40320</v>
      </c>
      <c r="I84" s="8">
        <f>I83*360</f>
        <v>40320</v>
      </c>
      <c r="J84" s="8">
        <f>J83*360</f>
        <v>40320</v>
      </c>
      <c r="K84" s="8">
        <f>K83*360</f>
        <v>43200</v>
      </c>
      <c r="L84" s="8">
        <f>L83*360</f>
        <v>43200</v>
      </c>
      <c r="M84" s="8">
        <f>M83*360</f>
        <v>43200</v>
      </c>
      <c r="N84" s="8">
        <f>N83*360</f>
        <v>43200</v>
      </c>
      <c r="O84" s="8">
        <f>O83*360</f>
        <v>43200</v>
      </c>
      <c r="P84" s="8">
        <f>P83*360</f>
        <v>43200</v>
      </c>
      <c r="Q84" s="8">
        <f>Q83*360</f>
        <v>43200</v>
      </c>
      <c r="R84" s="8">
        <f>R83*360</f>
        <v>43200</v>
      </c>
    </row>
    <row r="85">
      <c r="C85" s="14" t="inlineStr">
        <is>
          <t># of Occupied bed nights</t>
        </is>
      </c>
      <c r="G85" s="26" t="n">
        <v>27539</v>
      </c>
      <c r="H85" s="26" t="n">
        <v>25204</v>
      </c>
      <c r="I85" s="26" t="n">
        <v>27138</v>
      </c>
      <c r="J85" s="26" t="n">
        <v>27068</v>
      </c>
      <c r="K85" s="26" t="n">
        <v>30584</v>
      </c>
      <c r="L85" s="26" t="n">
        <v>28672</v>
      </c>
      <c r="M85" s="26" t="n">
        <v>28489</v>
      </c>
      <c r="N85" s="8">
        <f>N84*N86</f>
        <v>28987.2</v>
      </c>
      <c r="O85" s="8">
        <f>O84*O86</f>
        <v>29505.6</v>
      </c>
      <c r="P85" s="8">
        <f>P84*P86</f>
        <v>30024</v>
      </c>
      <c r="Q85" s="8">
        <f>Q84*Q86</f>
        <v>30542.4</v>
      </c>
      <c r="R85" s="8">
        <f>R84*R86</f>
        <v>31060.8</v>
      </c>
    </row>
    <row r="86">
      <c r="C86" s="27" t="inlineStr">
        <is>
          <t>Occupancy Ratio (%)</t>
        </is>
      </c>
      <c r="G86" s="20">
        <f>IFERROR(G85/G84,"N/A")</f>
        <v>0.683010912698413</v>
      </c>
      <c r="H86" s="20">
        <f>IFERROR(H85/H84,"N/A")</f>
        <v>0.625099206349206</v>
      </c>
      <c r="I86" s="20">
        <f>IFERROR(I85/I84,"N/A")</f>
        <v>0.673065476190476</v>
      </c>
      <c r="J86" s="20">
        <f>IFERROR(J85/J84,"N/A")</f>
        <v>0.671329365079365</v>
      </c>
      <c r="K86" s="20">
        <f>IFERROR(K85/K84,"N/A")</f>
        <v>0.707962962962963</v>
      </c>
      <c r="L86" s="20">
        <f>IFERROR(L85/L84,"N/A")</f>
        <v>0.663703703703704</v>
      </c>
      <c r="M86" s="20">
        <f>IFERROR(M85/M84,"N/A")</f>
        <v>0.659467592592593</v>
      </c>
      <c r="N86" s="19" t="n">
        <v>0.671</v>
      </c>
      <c r="O86" s="19" t="n">
        <v>0.6830000000000001</v>
      </c>
      <c r="P86" s="19" t="n">
        <v>0.695</v>
      </c>
      <c r="Q86" s="19" t="n">
        <v>0.707</v>
      </c>
      <c r="R86" s="19" t="n">
        <v>0.719</v>
      </c>
    </row>
    <row r="87">
      <c r="C87" s="14" t="inlineStr">
        <is>
          <t>Gross Revenue [per bed night] (LCA)</t>
        </is>
      </c>
      <c r="G87" s="26" t="n">
        <v>335</v>
      </c>
      <c r="H87" s="26" t="n">
        <v>334</v>
      </c>
      <c r="I87" s="26" t="n">
        <v>359</v>
      </c>
      <c r="J87" s="26" t="n">
        <v>383</v>
      </c>
      <c r="K87" s="26" t="n">
        <v>420</v>
      </c>
      <c r="L87" s="26" t="n">
        <v>447</v>
      </c>
      <c r="M87" s="26" t="n">
        <v>483</v>
      </c>
      <c r="N87" s="8">
        <f>M87*(1+N88)</f>
        <v>510.531</v>
      </c>
      <c r="O87" s="8">
        <f>N87*(1+O88)</f>
        <v>536.568081</v>
      </c>
      <c r="P87" s="8">
        <f>O87*(1+P88)</f>
        <v>561.250212726</v>
      </c>
      <c r="Q87" s="8">
        <f>P87*(1+Q88)</f>
        <v>594.92522548956</v>
      </c>
      <c r="R87" s="8">
        <f>Q87*(1+R88)</f>
        <v>634.190290371871</v>
      </c>
    </row>
    <row r="88">
      <c r="C88" s="27" t="inlineStr">
        <is>
          <t>Growth (%)</t>
        </is>
      </c>
      <c r="G88" s="28" t="str">
        <f>IFERROR(G87/F87-1,"N/A")</f>
        <v>N/A</v>
      </c>
      <c r="H88" s="28">
        <f>IFERROR(H87/G87-1,"N/A")</f>
        <v>-0.0029850746268657</v>
      </c>
      <c r="I88" s="28">
        <f>IFERROR(I87/H87-1,"N/A")</f>
        <v>0.0748502994011977</v>
      </c>
      <c r="J88" s="28">
        <f>IFERROR(J87/I87-1,"N/A")</f>
        <v>0.0668523676880224</v>
      </c>
      <c r="K88" s="28">
        <f>IFERROR(K87/J87-1,"N/A")</f>
        <v>0.0966057441253263</v>
      </c>
      <c r="L88" s="28">
        <f>IFERROR(L87/K87-1,"N/A")</f>
        <v>0.0642857142857143</v>
      </c>
      <c r="M88" s="28">
        <f>IFERROR(M87/L87-1,"N/A")</f>
        <v>0.080536912751678</v>
      </c>
      <c r="N88" s="19" t="n">
        <v>0.057</v>
      </c>
      <c r="O88" s="19" t="n">
        <v>0.051</v>
      </c>
      <c r="P88" s="19" t="n">
        <v>0.046</v>
      </c>
      <c r="Q88" s="19" t="n">
        <v>0.06</v>
      </c>
      <c r="R88" s="19" t="n">
        <v>0.066</v>
      </c>
    </row>
    <row r="89">
      <c r="C89" s="29" t="inlineStr">
        <is>
          <t>Revenue</t>
        </is>
      </c>
      <c r="G89" s="30">
        <f>G85*G87</f>
        <v>9225565</v>
      </c>
      <c r="H89" s="30">
        <f>H85*H87</f>
        <v>8418136</v>
      </c>
      <c r="I89" s="30">
        <f>I85*I87</f>
        <v>9742542</v>
      </c>
      <c r="J89" s="30">
        <f>J85*J87</f>
        <v>10367044</v>
      </c>
      <c r="K89" s="30">
        <f>K85*K87</f>
        <v>12845280</v>
      </c>
      <c r="L89" s="30">
        <f>L85*L87</f>
        <v>12816384</v>
      </c>
      <c r="M89" s="30">
        <f>M85*M87</f>
        <v>13760187</v>
      </c>
      <c r="N89" s="30">
        <f>N85*N87</f>
        <v>14798864.2032</v>
      </c>
      <c r="O89" s="30">
        <f>O85*O87</f>
        <v>15831763.1707536</v>
      </c>
      <c r="P89" s="30">
        <f>P85*P87</f>
        <v>16850976.3868854</v>
      </c>
      <c r="Q89" s="30">
        <f>Q85*Q87</f>
        <v>18170444.2069923</v>
      </c>
      <c r="R89" s="30">
        <f>R85*R87</f>
        <v>19698457.7711826</v>
      </c>
    </row>
    <row r="91">
      <c r="C91" s="3" t="inlineStr">
        <is>
          <t>Radiotherapy:</t>
        </is>
      </c>
    </row>
    <row r="92">
      <c r="C92" s="14" t="inlineStr">
        <is>
          <t># of Sessions</t>
        </is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8">
        <f>M92*(1+N93)</f>
        <v>0</v>
      </c>
      <c r="O92" s="8">
        <f>N92*(1+O93)</f>
        <v>0</v>
      </c>
      <c r="P92" s="8">
        <f>O92*(1+P93)</f>
        <v>0</v>
      </c>
      <c r="Q92" s="8">
        <f>P92*(1+Q93)</f>
        <v>0</v>
      </c>
      <c r="R92" s="8">
        <f>Q92*(1+R93)</f>
        <v>0</v>
      </c>
    </row>
    <row r="93">
      <c r="C93" s="27" t="inlineStr">
        <is>
          <t>Growth (%)</t>
        </is>
      </c>
      <c r="G93" s="28" t="str">
        <f>IFERROR(G92/F92-1,"N/A")</f>
        <v>N/A</v>
      </c>
      <c r="H93" s="28" t="str">
        <f>IFERROR(H92/G92-1,"N/A")</f>
        <v>N/A</v>
      </c>
      <c r="I93" s="28" t="str">
        <f>IFERROR(I92/H92-1,"N/A")</f>
        <v>N/A</v>
      </c>
      <c r="J93" s="28" t="str">
        <f>IFERROR(J92/I92-1,"N/A")</f>
        <v>N/A</v>
      </c>
      <c r="K93" s="28" t="str">
        <f>IFERROR(K92/J92-1,"N/A")</f>
        <v>N/A</v>
      </c>
      <c r="L93" s="28" t="str">
        <f>IFERROR(L92/K92-1,"N/A")</f>
        <v>N/A</v>
      </c>
      <c r="M93" s="28" t="str">
        <f>IFERROR(M92/L92-1,"N/A")</f>
        <v>N/A</v>
      </c>
      <c r="N93" s="19" t="n">
        <v>0</v>
      </c>
      <c r="O93" s="19" t="n">
        <v>0</v>
      </c>
      <c r="P93" s="19" t="n">
        <v>0</v>
      </c>
      <c r="Q93" s="19" t="n">
        <v>0</v>
      </c>
      <c r="R93" s="19" t="n">
        <v>0</v>
      </c>
    </row>
    <row r="94">
      <c r="C94" s="14" t="inlineStr">
        <is>
          <t>Gross Revenue [per Session] (LCA)</t>
        </is>
      </c>
      <c r="G94" s="26" t="n">
        <v>923</v>
      </c>
      <c r="H94" s="26" t="n">
        <v>937</v>
      </c>
      <c r="I94" s="26" t="n">
        <v>1033</v>
      </c>
      <c r="J94" s="26" t="n">
        <v>1089</v>
      </c>
      <c r="K94" s="26" t="n">
        <v>1169</v>
      </c>
      <c r="L94" s="26" t="n">
        <v>1202</v>
      </c>
      <c r="M94" s="26" t="n">
        <v>1249</v>
      </c>
      <c r="N94" s="8">
        <f>M94*(1+N95)</f>
        <v>1311.45</v>
      </c>
      <c r="O94" s="8">
        <f>N94*(1+O95)</f>
        <v>1375.71105</v>
      </c>
      <c r="P94" s="8">
        <f>O94*(1+P95)</f>
        <v>1443.12089145</v>
      </c>
      <c r="Q94" s="8">
        <f>P94*(1+Q95)</f>
        <v>1535.4806285028</v>
      </c>
      <c r="R94" s="8">
        <f>Q94*(1+R95)</f>
        <v>1613.79014055644</v>
      </c>
    </row>
    <row r="95">
      <c r="C95" s="27" t="inlineStr">
        <is>
          <t>Growth (%)</t>
        </is>
      </c>
      <c r="G95" s="28" t="str">
        <f>IFERROR(G94/F94-1,"N/A")</f>
        <v>N/A</v>
      </c>
      <c r="H95" s="28">
        <f>IFERROR(H94/G94-1,"N/A")</f>
        <v>0.0151679306608885</v>
      </c>
      <c r="I95" s="28">
        <f>IFERROR(I94/H94-1,"N/A")</f>
        <v>0.102454642475987</v>
      </c>
      <c r="J95" s="28">
        <f>IFERROR(J94/I94-1,"N/A")</f>
        <v>0.0542110358180059</v>
      </c>
      <c r="K95" s="28">
        <f>IFERROR(K94/J94-1,"N/A")</f>
        <v>0.0734618916437098</v>
      </c>
      <c r="L95" s="28">
        <f>IFERROR(L94/K94-1,"N/A")</f>
        <v>0.0282292557741659</v>
      </c>
      <c r="M95" s="28">
        <f>IFERROR(M94/L94-1,"N/A")</f>
        <v>0.0391014975041597</v>
      </c>
      <c r="N95" s="19" t="n">
        <v>0.05</v>
      </c>
      <c r="O95" s="19" t="n">
        <v>0.049</v>
      </c>
      <c r="P95" s="19" t="n">
        <v>0.049</v>
      </c>
      <c r="Q95" s="19" t="n">
        <v>0.064</v>
      </c>
      <c r="R95" s="19" t="n">
        <v>0.051</v>
      </c>
    </row>
    <row r="96">
      <c r="C96" s="29" t="inlineStr">
        <is>
          <t>Revenue</t>
        </is>
      </c>
      <c r="G96" s="30">
        <f>G92*G94</f>
        <v>0</v>
      </c>
      <c r="H96" s="30">
        <f>H92*H94</f>
        <v>0</v>
      </c>
      <c r="I96" s="30">
        <f>I92*I94</f>
        <v>0</v>
      </c>
      <c r="J96" s="30">
        <f>J92*J94</f>
        <v>0</v>
      </c>
      <c r="K96" s="30">
        <f>K92*K94</f>
        <v>0</v>
      </c>
      <c r="L96" s="30">
        <f>L92*L94</f>
        <v>0</v>
      </c>
      <c r="M96" s="30">
        <f>M92*M94</f>
        <v>0</v>
      </c>
      <c r="N96" s="30">
        <f>N92*N94</f>
        <v>0</v>
      </c>
      <c r="O96" s="30">
        <f>O92*O94</f>
        <v>0</v>
      </c>
      <c r="P96" s="30">
        <f>P92*P94</f>
        <v>0</v>
      </c>
      <c r="Q96" s="30">
        <f>Q92*Q94</f>
        <v>0</v>
      </c>
      <c r="R96" s="30">
        <f>R92*R94</f>
        <v>0</v>
      </c>
    </row>
    <row r="98">
      <c r="C98" s="3" t="inlineStr">
        <is>
          <t>Nursing Fees:</t>
        </is>
      </c>
    </row>
    <row r="99">
      <c r="C99" s="14" t="inlineStr">
        <is>
          <t># of Visits</t>
        </is>
      </c>
      <c r="G99" s="26" t="n">
        <v>6241</v>
      </c>
      <c r="H99" s="26" t="n">
        <v>6014</v>
      </c>
      <c r="I99" s="26" t="n">
        <v>6570</v>
      </c>
      <c r="J99" s="26" t="n">
        <v>7093</v>
      </c>
      <c r="K99" s="26" t="n">
        <v>7678</v>
      </c>
      <c r="L99" s="26" t="n">
        <v>8532</v>
      </c>
      <c r="M99" s="26" t="n">
        <v>9362</v>
      </c>
      <c r="N99" s="8">
        <f>M99*(1+N100)</f>
        <v>9979.892</v>
      </c>
      <c r="O99" s="8">
        <f>N99*(1+O100)</f>
        <v>10768.303468</v>
      </c>
      <c r="P99" s="8">
        <f>O99*(1+P100)</f>
        <v>11694.377566248</v>
      </c>
      <c r="Q99" s="8">
        <f>P99*(1+Q100)</f>
        <v>12700.0940369453</v>
      </c>
      <c r="R99" s="8">
        <f>Q99*(1+R100)</f>
        <v>13830.4024062335</v>
      </c>
    </row>
    <row r="100">
      <c r="C100" s="27" t="inlineStr">
        <is>
          <t>Growth (%)</t>
        </is>
      </c>
      <c r="G100" s="28" t="str">
        <f>IFERROR(G99/F99-1,"N/A")</f>
        <v>N/A</v>
      </c>
      <c r="H100" s="28">
        <f>IFERROR(H99/G99-1,"N/A")</f>
        <v>-0.0363723762217594</v>
      </c>
      <c r="I100" s="28">
        <f>IFERROR(I99/H99-1,"N/A")</f>
        <v>0.0924509477884936</v>
      </c>
      <c r="J100" s="28">
        <f>IFERROR(J99/I99-1,"N/A")</f>
        <v>0.0796042617960426</v>
      </c>
      <c r="K100" s="28">
        <f>IFERROR(K99/J99-1,"N/A")</f>
        <v>0.0824756802481319</v>
      </c>
      <c r="L100" s="28">
        <f>IFERROR(L99/K99-1,"N/A")</f>
        <v>0.111226882000521</v>
      </c>
      <c r="M100" s="28">
        <f>IFERROR(M99/L99-1,"N/A")</f>
        <v>0.0972808251289263</v>
      </c>
      <c r="N100" s="19" t="n">
        <v>0.066</v>
      </c>
      <c r="O100" s="19" t="n">
        <v>0.079</v>
      </c>
      <c r="P100" s="19" t="n">
        <v>0.08599999999999999</v>
      </c>
      <c r="Q100" s="19" t="n">
        <v>0.08599999999999999</v>
      </c>
      <c r="R100" s="19" t="n">
        <v>0.089</v>
      </c>
    </row>
    <row r="101">
      <c r="C101" s="14" t="inlineStr">
        <is>
          <t>Gross Revenue [per Visit] (LCA)</t>
        </is>
      </c>
      <c r="G101" s="26" t="n">
        <v>78</v>
      </c>
      <c r="H101" s="26" t="n">
        <v>79</v>
      </c>
      <c r="I101" s="26" t="n">
        <v>87</v>
      </c>
      <c r="J101" s="26" t="n">
        <v>97</v>
      </c>
      <c r="K101" s="26" t="n">
        <v>104</v>
      </c>
      <c r="L101" s="26" t="n">
        <v>110</v>
      </c>
      <c r="M101" s="26" t="n">
        <v>118</v>
      </c>
      <c r="N101" s="8">
        <f>M101*(1+N102)</f>
        <v>125.67</v>
      </c>
      <c r="O101" s="8">
        <f>N101*(1+O102)</f>
        <v>131.32515</v>
      </c>
      <c r="P101" s="8">
        <f>O101*(1+P102)</f>
        <v>139.07333385</v>
      </c>
      <c r="Q101" s="8">
        <f>P101*(1+Q102)</f>
        <v>148.39124721795</v>
      </c>
      <c r="R101" s="8">
        <f>Q101*(1+R102)</f>
        <v>156.255983320501</v>
      </c>
    </row>
    <row r="102">
      <c r="C102" s="27" t="inlineStr">
        <is>
          <t>Growth (%)</t>
        </is>
      </c>
      <c r="G102" s="28" t="str">
        <f>IFERROR(G101/F101-1,"N/A")</f>
        <v>N/A</v>
      </c>
      <c r="H102" s="28">
        <f>IFERROR(H101/G101-1,"N/A")</f>
        <v>0.0128205128205128</v>
      </c>
      <c r="I102" s="28">
        <f>IFERROR(I101/H101-1,"N/A")</f>
        <v>0.10126582278481</v>
      </c>
      <c r="J102" s="28">
        <f>IFERROR(J101/I101-1,"N/A")</f>
        <v>0.114942528735632</v>
      </c>
      <c r="K102" s="28">
        <f>IFERROR(K101/J101-1,"N/A")</f>
        <v>0.0721649484536082</v>
      </c>
      <c r="L102" s="28">
        <f>IFERROR(L101/K101-1,"N/A")</f>
        <v>0.0576923076923077</v>
      </c>
      <c r="M102" s="28">
        <f>IFERROR(M101/L101-1,"N/A")</f>
        <v>0.0727272727272728</v>
      </c>
      <c r="N102" s="19" t="n">
        <v>0.065</v>
      </c>
      <c r="O102" s="19" t="n">
        <v>0.045</v>
      </c>
      <c r="P102" s="19" t="n">
        <v>0.059</v>
      </c>
      <c r="Q102" s="19" t="n">
        <v>0.067</v>
      </c>
      <c r="R102" s="19" t="n">
        <v>0.053</v>
      </c>
    </row>
    <row r="103">
      <c r="C103" s="29" t="inlineStr">
        <is>
          <t>Revenue</t>
        </is>
      </c>
      <c r="G103" s="30">
        <f>G99*G101</f>
        <v>486798</v>
      </c>
      <c r="H103" s="30">
        <f>H99*H101</f>
        <v>475106</v>
      </c>
      <c r="I103" s="30">
        <f>I99*I101</f>
        <v>571590</v>
      </c>
      <c r="J103" s="30">
        <f>J99*J101</f>
        <v>688021</v>
      </c>
      <c r="K103" s="30">
        <f>K99*K101</f>
        <v>798512</v>
      </c>
      <c r="L103" s="30">
        <f>L99*L101</f>
        <v>938520</v>
      </c>
      <c r="M103" s="30">
        <f>M99*M101</f>
        <v>1104716</v>
      </c>
      <c r="N103" s="30">
        <f>N99*N101</f>
        <v>1254173.02764</v>
      </c>
      <c r="O103" s="30">
        <f>O99*O101</f>
        <v>1414149.06818062</v>
      </c>
      <c r="P103" s="30">
        <f>P99*P101</f>
        <v>1626376.07543876</v>
      </c>
      <c r="Q103" s="30">
        <f>Q99*Q101</f>
        <v>1884582.79392757</v>
      </c>
      <c r="R103" s="30">
        <f>R99*R101</f>
        <v>2161083.12770424</v>
      </c>
    </row>
    <row r="105">
      <c r="C105" s="3" t="inlineStr">
        <is>
          <t>Pharmacy:</t>
        </is>
      </c>
    </row>
    <row r="106">
      <c r="C106" s="14" t="inlineStr">
        <is>
          <t>Gross Revenue (LCA)</t>
        </is>
      </c>
      <c r="G106" s="26" t="n">
        <v>1565000</v>
      </c>
      <c r="H106" s="26" t="n">
        <v>1528000</v>
      </c>
      <c r="I106" s="26" t="n">
        <v>1743000</v>
      </c>
      <c r="J106" s="26" t="n">
        <v>2060000</v>
      </c>
      <c r="K106" s="26" t="n">
        <v>2219000</v>
      </c>
      <c r="L106" s="26" t="n">
        <v>2549000</v>
      </c>
      <c r="M106" s="26" t="n">
        <v>2951000</v>
      </c>
      <c r="N106" s="8">
        <f>N108*(N17+N24+N31+N38+N45+N52+N59+N66+N73+N80+N89+N96+N103)</f>
        <v>3964520.52485748</v>
      </c>
      <c r="O106" s="8">
        <f>O108*(O17+O24+O31+O38+O45+O52+O59+O66+O73+O80+O89+O96+O103)</f>
        <v>4724241.44930098</v>
      </c>
      <c r="P106" s="8">
        <f>P108*(P17+P24+P31+P38+P45+P52+P59+P66+P73+P80+P89+P96+P103)</f>
        <v>4954600.65978007</v>
      </c>
      <c r="Q106" s="8">
        <f>Q108*(Q17+Q24+Q31+Q38+Q45+Q52+Q59+Q66+Q73+Q80+Q89+Q96+Q103)</f>
        <v>5695847.26335347</v>
      </c>
      <c r="R106" s="8">
        <f>R108*(R17+R24+R31+R38+R45+R52+R59+R66+R73+R80+R89+R96+R103)</f>
        <v>6142563.89547595</v>
      </c>
    </row>
    <row r="107">
      <c r="C107" s="27" t="inlineStr">
        <is>
          <t>Growth (%)</t>
        </is>
      </c>
      <c r="G107" s="28" t="str">
        <f>IFERROR(G106/F106-1,"N/A")</f>
        <v>N/A</v>
      </c>
      <c r="H107" s="28">
        <f>IFERROR(H106/G106-1,"N/A")</f>
        <v>-0.0236421725239616</v>
      </c>
      <c r="I107" s="28">
        <f>IFERROR(I106/H106-1,"N/A")</f>
        <v>0.140706806282723</v>
      </c>
      <c r="J107" s="28">
        <f>IFERROR(J106/I106-1,"N/A")</f>
        <v>0.181870338496845</v>
      </c>
      <c r="K107" s="28">
        <f>IFERROR(K106/J106-1,"N/A")</f>
        <v>0.0771844660194174</v>
      </c>
      <c r="L107" s="28">
        <f>IFERROR(L106/K106-1,"N/A")</f>
        <v>0.148715637674628</v>
      </c>
      <c r="M107" s="28">
        <f>IFERROR(M106/L106-1,"N/A")</f>
        <v>0.157708905453119</v>
      </c>
      <c r="N107" s="28">
        <f>IFERROR(N106/M106-1,"N/A")</f>
        <v>0.343449855932728</v>
      </c>
      <c r="O107" s="28">
        <f>IFERROR(O106/N106-1,"N/A")</f>
        <v>0.191629963744685</v>
      </c>
      <c r="P107" s="28">
        <f>IFERROR(P106/O106-1,"N/A")</f>
        <v>0.048761100157819</v>
      </c>
      <c r="Q107" s="28">
        <f>IFERROR(Q106/P106-1,"N/A")</f>
        <v>0.149607739245389</v>
      </c>
      <c r="R107" s="28">
        <f>IFERROR(R106/Q106-1,"N/A")</f>
        <v>0.0784284780592002</v>
      </c>
    </row>
    <row r="108">
      <c r="C108" s="27" t="inlineStr">
        <is>
          <t>% of Other Hospital Revenue</t>
        </is>
      </c>
      <c r="G108" s="20">
        <f>IFERROR(G106/(G17+G24+G31+G38+G45+G52+G59+G66+G73+G80+G89+G96+G103),"N/A")</f>
        <v>0.0637252191353518</v>
      </c>
      <c r="H108" s="20">
        <f>IFERROR(H106/(H17+H24+H31+H38+H45+H52+H59+H66+H73+H80+H89+H96+H103),"N/A")</f>
        <v>0.0665560506266788</v>
      </c>
      <c r="I108" s="20">
        <f>IFERROR(I106/(I17+I24+I31+I38+I45+I52+I59+I66+I73+I80+I89+I96+I103),"N/A")</f>
        <v>0.0649946061561787</v>
      </c>
      <c r="J108" s="20">
        <f>IFERROR(J106/(J17+J24+J31+J38+J45+J52+J59+J66+J73+J80+J89+J96+J103),"N/A")</f>
        <v>0.0674865009798811</v>
      </c>
      <c r="K108" s="20">
        <f>IFERROR(K106/(K17+K24+K31+K38+K45+K52+K59+K66+K73+K80+K89+K96+K103),"N/A")</f>
        <v>0.0623974003538965</v>
      </c>
      <c r="L108" s="20">
        <f>IFERROR(L106/(L17+L24+L31+L38+L45+L52+L59+L66+L73+L80+L89+L96+L103),"N/A")</f>
        <v>0.0644677979681895</v>
      </c>
      <c r="M108" s="20">
        <f>IFERROR(M106/(M17+M24+M31+M38+M45+M52+M59+M66+M73+M80+M89+M96+M103),"N/A")</f>
        <v>0.0648468671228142</v>
      </c>
      <c r="N108" s="19" t="n">
        <v>0.079</v>
      </c>
      <c r="O108" s="19" t="n">
        <v>0.08500000000000001</v>
      </c>
      <c r="P108" s="19" t="n">
        <v>0.081</v>
      </c>
      <c r="Q108" s="19" t="n">
        <v>0.08400000000000001</v>
      </c>
      <c r="R108" s="19" t="n">
        <v>0.081</v>
      </c>
    </row>
    <row r="109">
      <c r="C109" s="29" t="inlineStr">
        <is>
          <t>Revenue</t>
        </is>
      </c>
      <c r="G109" s="30">
        <f>G106</f>
        <v>1565000</v>
      </c>
      <c r="H109" s="30">
        <f>H106</f>
        <v>1528000</v>
      </c>
      <c r="I109" s="30">
        <f>I106</f>
        <v>1743000</v>
      </c>
      <c r="J109" s="30">
        <f>J106</f>
        <v>2060000</v>
      </c>
      <c r="K109" s="30">
        <f>K106</f>
        <v>2219000</v>
      </c>
      <c r="L109" s="30">
        <f>L106</f>
        <v>2549000</v>
      </c>
      <c r="M109" s="30">
        <f>M106</f>
        <v>2951000</v>
      </c>
      <c r="N109" s="30">
        <f>N106</f>
        <v>3964520.52485748</v>
      </c>
      <c r="O109" s="30">
        <f>O106</f>
        <v>4724241.44930098</v>
      </c>
      <c r="P109" s="30">
        <f>P106</f>
        <v>4954600.65978007</v>
      </c>
      <c r="Q109" s="30">
        <f>Q106</f>
        <v>5695847.26335347</v>
      </c>
      <c r="R109" s="30">
        <f>R106</f>
        <v>6142563.89547595</v>
      </c>
    </row>
    <row r="111">
      <c r="C111" s="3" t="inlineStr">
        <is>
          <t>Total Hospital Revenue (LCA)</t>
        </is>
      </c>
      <c r="G111" s="31">
        <f>G17+G24+G31+G38+G45+G52+G59+G66+G73+G80+G89+G96+G103+G109</f>
        <v>26123566</v>
      </c>
      <c r="H111" s="31">
        <f>H17+H24+H31+H38+H45+H52+H59+H66+H73+H80+H89+H96+H103+H109</f>
        <v>24486093</v>
      </c>
      <c r="I111" s="31">
        <f>I17+I24+I31+I38+I45+I52+I59+I66+I73+I80+I89+I96+I103+I109</f>
        <v>28560610</v>
      </c>
      <c r="J111" s="31">
        <f>J17+J24+J31+J38+J45+J52+J59+J66+J73+J80+J89+J96+J103+J109</f>
        <v>32584623</v>
      </c>
      <c r="K111" s="31">
        <f>K17+K24+K31+K38+K45+K52+K59+K66+K73+K80+K89+K96+K103+K109</f>
        <v>37781379</v>
      </c>
      <c r="L111" s="31">
        <f>L17+L24+L31+L38+L45+L52+L59+L66+L73+L80+L89+L96+L103+L109</f>
        <v>42088120</v>
      </c>
      <c r="M111" s="31">
        <f>M17+M24+M31+M38+M45+M52+M59+M66+M73+M80+M89+M96+M103+M109</f>
        <v>48458210</v>
      </c>
      <c r="N111" s="31">
        <f>N17+N24+N31+N38+N45+N52+N59+N66+N73+N80+N89+N96+N103+N109</f>
        <v>54148324.6369775</v>
      </c>
      <c r="O111" s="31">
        <f>O17+O24+O31+O38+O45+O52+O59+O66+O73+O80+O89+O96+O103+O109</f>
        <v>60303552.6175478</v>
      </c>
      <c r="P111" s="31">
        <f>P17+P24+P31+P38+P45+P52+P59+P66+P73+P80+P89+P96+P103+P109</f>
        <v>66122510.0397809</v>
      </c>
      <c r="Q111" s="31">
        <f>Q17+Q24+Q31+Q38+Q45+Q52+Q59+Q66+Q73+Q80+Q89+Q96+Q103+Q109</f>
        <v>73503552.7794662</v>
      </c>
      <c r="R111" s="31">
        <f>R17+R24+R31+R38+R45+R52+R59+R66+R73+R80+R89+R96+R103+R109</f>
        <v>81976686.0618456</v>
      </c>
    </row>
    <row r="113">
      <c r="C113" s="25" t="inlineStr">
        <is>
          <t>B</t>
        </is>
      </c>
      <c r="D113" s="25" t="inlineStr">
        <is>
          <t>Cost Assumptions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C114" s="3" t="inlineStr">
        <is>
          <t>Expenses:</t>
        </is>
      </c>
    </row>
    <row r="115">
      <c r="C115" s="27" t="inlineStr">
        <is>
          <t>COGS – % of Sales (%)</t>
        </is>
      </c>
      <c r="G115" s="20">
        <f>IFERROR(G116/G111,"N/A")</f>
        <v>0.312820998480835</v>
      </c>
      <c r="H115" s="20">
        <f>IFERROR(H116/H111,"N/A")</f>
        <v>0.288204410560721</v>
      </c>
      <c r="I115" s="20">
        <f>IFERROR(I116/I111,"N/A")</f>
        <v>0.30146414940017</v>
      </c>
      <c r="J115" s="20">
        <f>IFERROR(J116/J111,"N/A")</f>
        <v>0.292100970448546</v>
      </c>
      <c r="K115" s="20">
        <f>IFERROR(K116/K111,"N/A")</f>
        <v>0.293769054856362</v>
      </c>
      <c r="L115" s="20">
        <f>IFERROR(L116/L111,"N/A")</f>
        <v>0.29644944939332</v>
      </c>
      <c r="M115" s="20">
        <f>IFERROR(M116/M111,"N/A")</f>
        <v>0.300506353825286</v>
      </c>
      <c r="N115" s="19" t="n">
        <v>0.2947</v>
      </c>
      <c r="O115" s="19" t="n">
        <v>0.3018</v>
      </c>
      <c r="P115" s="19" t="n">
        <v>0.2924</v>
      </c>
      <c r="Q115" s="19" t="n">
        <v>0.3004</v>
      </c>
      <c r="R115" s="19" t="n">
        <v>0.3037</v>
      </c>
    </row>
    <row r="116">
      <c r="C116" s="14" t="inlineStr">
        <is>
          <t>COGS (LCA)</t>
        </is>
      </c>
      <c r="G116" s="26" t="n">
        <v>8172000</v>
      </c>
      <c r="H116" s="26" t="n">
        <v>7057000</v>
      </c>
      <c r="I116" s="26" t="n">
        <v>8610000</v>
      </c>
      <c r="J116" s="26" t="n">
        <v>9518000</v>
      </c>
      <c r="K116" s="26" t="n">
        <v>11099000</v>
      </c>
      <c r="L116" s="26" t="n">
        <v>12477000</v>
      </c>
      <c r="M116" s="26" t="n">
        <v>14562000</v>
      </c>
      <c r="N116" s="8">
        <f>N115*N111</f>
        <v>15957511.2705173</v>
      </c>
      <c r="O116" s="8">
        <f>O115*O111</f>
        <v>18199612.1799759</v>
      </c>
      <c r="P116" s="8">
        <f>P115*P111</f>
        <v>19334221.9356319</v>
      </c>
      <c r="Q116" s="8">
        <f>Q115*Q111</f>
        <v>22080467.2549517</v>
      </c>
      <c r="R116" s="8">
        <f>R115*R111</f>
        <v>24896319.5569825</v>
      </c>
    </row>
    <row r="117">
      <c r="C117" s="27" t="inlineStr">
        <is>
          <t>Payroll – % of Sales (%)</t>
        </is>
      </c>
      <c r="G117" s="20">
        <f>IFERROR(G118/G111,"N/A")</f>
        <v>0.342143182136773</v>
      </c>
      <c r="H117" s="20">
        <f>IFERROR(H118/H111,"N/A")</f>
        <v>0.329533993030248</v>
      </c>
      <c r="I117" s="20">
        <f>IFERROR(I118/I111,"N/A")</f>
        <v>0.328319318109802</v>
      </c>
      <c r="J117" s="20">
        <f>IFERROR(J118/J111,"N/A")</f>
        <v>0.33966942014336</v>
      </c>
      <c r="K117" s="20">
        <f>IFERROR(K118/K111,"N/A")</f>
        <v>0.31769618573213</v>
      </c>
      <c r="L117" s="20">
        <f>IFERROR(L118/L111,"N/A")</f>
        <v>0.336627057706545</v>
      </c>
      <c r="M117" s="20">
        <f>IFERROR(M118/M111,"N/A")</f>
        <v>0.336186582211766</v>
      </c>
      <c r="N117" s="19" t="n">
        <v>0.3301</v>
      </c>
      <c r="O117" s="19" t="n">
        <v>0.3361</v>
      </c>
      <c r="P117" s="19" t="n">
        <v>0.321</v>
      </c>
      <c r="Q117" s="19" t="n">
        <v>0.3212</v>
      </c>
      <c r="R117" s="19" t="n">
        <v>0.3338</v>
      </c>
    </row>
    <row r="118">
      <c r="C118" s="14" t="inlineStr">
        <is>
          <t>Payroll (LCA)</t>
        </is>
      </c>
      <c r="G118" s="26" t="n">
        <v>8938000</v>
      </c>
      <c r="H118" s="26" t="n">
        <v>8069000</v>
      </c>
      <c r="I118" s="26" t="n">
        <v>9377000</v>
      </c>
      <c r="J118" s="26" t="n">
        <v>11068000</v>
      </c>
      <c r="K118" s="26" t="n">
        <v>12003000</v>
      </c>
      <c r="L118" s="26" t="n">
        <v>14168000</v>
      </c>
      <c r="M118" s="26" t="n">
        <v>16291000</v>
      </c>
      <c r="N118" s="8">
        <f>N117*N111</f>
        <v>17874361.9626663</v>
      </c>
      <c r="O118" s="8">
        <f>O117*O111</f>
        <v>20268024.0347578</v>
      </c>
      <c r="P118" s="8">
        <f>P117*P111</f>
        <v>21225325.7227697</v>
      </c>
      <c r="Q118" s="8">
        <f>Q117*Q111</f>
        <v>23609341.1527646</v>
      </c>
      <c r="R118" s="8">
        <f>R117*R111</f>
        <v>27363817.8074441</v>
      </c>
    </row>
    <row r="119">
      <c r="C119" s="27" t="inlineStr">
        <is>
          <t>OPEX – % of Sales (%)</t>
        </is>
      </c>
      <c r="G119" s="20">
        <f>IFERROR(G120/G111,"N/A")</f>
        <v>0.14083069669738</v>
      </c>
      <c r="H119" s="20">
        <f>IFERROR(H120/H111,"N/A")</f>
        <v>0.142162328632828</v>
      </c>
      <c r="I119" s="20">
        <f>IFERROR(I120/I111,"N/A")</f>
        <v>0.143904489434925</v>
      </c>
      <c r="J119" s="20">
        <f>IFERROR(J120/J111,"N/A")</f>
        <v>0.144117057914096</v>
      </c>
      <c r="K119" s="20">
        <f>IFERROR(K120/K111,"N/A")</f>
        <v>0.143112828147432</v>
      </c>
      <c r="L119" s="20">
        <f>IFERROR(L120/L111,"N/A")</f>
        <v>0.141132462081937</v>
      </c>
      <c r="M119" s="20">
        <f>IFERROR(M120/M111,"N/A")</f>
        <v>0.140616007070835</v>
      </c>
      <c r="N119" s="19" t="n">
        <v>0.1403</v>
      </c>
      <c r="O119" s="19" t="n">
        <v>0.1431</v>
      </c>
      <c r="P119" s="19" t="n">
        <v>0.1368</v>
      </c>
      <c r="Q119" s="19" t="n">
        <v>0.1444</v>
      </c>
      <c r="R119" s="19" t="n">
        <v>0.1379</v>
      </c>
    </row>
    <row r="120">
      <c r="C120" s="14" t="inlineStr">
        <is>
          <t>OPEX (LCA)</t>
        </is>
      </c>
      <c r="G120" s="26" t="n">
        <v>3679000</v>
      </c>
      <c r="H120" s="26" t="n">
        <v>3481000</v>
      </c>
      <c r="I120" s="26" t="n">
        <v>4110000</v>
      </c>
      <c r="J120" s="26" t="n">
        <v>4696000</v>
      </c>
      <c r="K120" s="26" t="n">
        <v>5407000</v>
      </c>
      <c r="L120" s="26" t="n">
        <v>5940000</v>
      </c>
      <c r="M120" s="26" t="n">
        <v>6814000</v>
      </c>
      <c r="N120" s="8">
        <f>N119*N111</f>
        <v>7597009.94656794</v>
      </c>
      <c r="O120" s="8">
        <f>O119*O111</f>
        <v>8629438.37957109</v>
      </c>
      <c r="P120" s="8">
        <f>P119*P111</f>
        <v>9045559.37344202</v>
      </c>
      <c r="Q120" s="8">
        <f>Q119*Q111</f>
        <v>10613913.0213549</v>
      </c>
      <c r="R120" s="8">
        <f>R119*R111</f>
        <v>11304585.0079285</v>
      </c>
    </row>
    <row r="121">
      <c r="C121" s="27" t="inlineStr">
        <is>
          <t>Provision – % of Sales (%)</t>
        </is>
      </c>
      <c r="G121" s="20">
        <f>IFERROR(G122/G111,"N/A")</f>
        <v>0.0135509830472609</v>
      </c>
      <c r="H121" s="20">
        <f>IFERROR(H122/H111,"N/A")</f>
        <v>0.0140487908789695</v>
      </c>
      <c r="I121" s="20">
        <f>IFERROR(I122/I111,"N/A")</f>
        <v>0.0144254622012625</v>
      </c>
      <c r="J121" s="20">
        <f>IFERROR(J122/J111,"N/A")</f>
        <v>0.0143626028755956</v>
      </c>
      <c r="K121" s="20">
        <f>IFERROR(K122/K111,"N/A")</f>
        <v>0.0142662871040255</v>
      </c>
      <c r="L121" s="20">
        <f>IFERROR(L122/L111,"N/A")</f>
        <v>0.0148973154419822</v>
      </c>
      <c r="M121" s="20">
        <f>IFERROR(M122/M111,"N/A")</f>
        <v>0.0141771641998332</v>
      </c>
      <c r="N121" s="19" t="n">
        <v>0.0139</v>
      </c>
      <c r="O121" s="19" t="n">
        <v>0.0141</v>
      </c>
      <c r="P121" s="19" t="n">
        <v>0.0139</v>
      </c>
      <c r="Q121" s="19" t="n">
        <v>0.0142</v>
      </c>
      <c r="R121" s="19" t="n">
        <v>0.0138</v>
      </c>
    </row>
    <row r="122">
      <c r="C122" s="14" t="inlineStr">
        <is>
          <t>Provision (LCA)</t>
        </is>
      </c>
      <c r="G122" s="26" t="n">
        <v>354000</v>
      </c>
      <c r="H122" s="26" t="n">
        <v>344000</v>
      </c>
      <c r="I122" s="26" t="n">
        <v>412000</v>
      </c>
      <c r="J122" s="26" t="n">
        <v>468000</v>
      </c>
      <c r="K122" s="26" t="n">
        <v>539000</v>
      </c>
      <c r="L122" s="26" t="n">
        <v>627000</v>
      </c>
      <c r="M122" s="26" t="n">
        <v>687000</v>
      </c>
      <c r="N122" s="8">
        <f>N121*N111</f>
        <v>752661.712453987</v>
      </c>
      <c r="O122" s="8">
        <f>O121*O111</f>
        <v>850280.091907424</v>
      </c>
      <c r="P122" s="8">
        <f>P121*P111</f>
        <v>919102.889552954</v>
      </c>
      <c r="Q122" s="8">
        <f>Q121*Q111</f>
        <v>1043750.44946842</v>
      </c>
      <c r="R122" s="8">
        <f>R121*R111</f>
        <v>1131278.26765347</v>
      </c>
    </row>
    <row r="123">
      <c r="C123" s="27" t="inlineStr">
        <is>
          <t>Depreciation &amp; Amortization – % of Sales (%)</t>
        </is>
      </c>
      <c r="G123" s="20">
        <f>IFERROR(G124/G111,"N/A")</f>
        <v>0.0470839241472623</v>
      </c>
      <c r="H123" s="20">
        <f>IFERROR(H124/H111,"N/A")</f>
        <v>0.0472104716746767</v>
      </c>
      <c r="I123" s="20">
        <f>IFERROR(I124/I111,"N/A")</f>
        <v>0.0484583487537556</v>
      </c>
      <c r="J123" s="20">
        <f>IFERROR(J124/J111,"N/A")</f>
        <v>0.0456043330622545</v>
      </c>
      <c r="K123" s="20">
        <f>IFERROR(K124/K111,"N/A")</f>
        <v>0.0464779223648772</v>
      </c>
      <c r="L123" s="20">
        <f>IFERROR(L124/L111,"N/A")</f>
        <v>0.0478757426086031</v>
      </c>
      <c r="M123" s="20">
        <f>IFERROR(M124/M111,"N/A")</f>
        <v>0.0450078531584225</v>
      </c>
      <c r="N123" s="19" t="n">
        <v>0.0451</v>
      </c>
      <c r="O123" s="19" t="n">
        <v>0.046</v>
      </c>
      <c r="P123" s="19" t="n">
        <v>0.045</v>
      </c>
      <c r="Q123" s="19" t="n">
        <v>0.0442</v>
      </c>
      <c r="R123" s="19" t="n">
        <v>0.0444</v>
      </c>
    </row>
    <row r="124">
      <c r="C124" s="14" t="inlineStr">
        <is>
          <t>Depreciation &amp; Amortization (LCA)</t>
        </is>
      </c>
      <c r="G124" s="26" t="n">
        <v>1230000</v>
      </c>
      <c r="H124" s="26" t="n">
        <v>1156000</v>
      </c>
      <c r="I124" s="26" t="n">
        <v>1384000</v>
      </c>
      <c r="J124" s="26" t="n">
        <v>1486000</v>
      </c>
      <c r="K124" s="26" t="n">
        <v>1756000</v>
      </c>
      <c r="L124" s="26" t="n">
        <v>2015000</v>
      </c>
      <c r="M124" s="26" t="n">
        <v>2181000</v>
      </c>
      <c r="N124" s="8">
        <f>N123*N111</f>
        <v>2442089.44112768</v>
      </c>
      <c r="O124" s="8">
        <f>O123*O111</f>
        <v>2773963.4204072</v>
      </c>
      <c r="P124" s="8">
        <f>P123*P111</f>
        <v>2975512.95179014</v>
      </c>
      <c r="Q124" s="8">
        <f>Q123*Q111</f>
        <v>3248857.03285241</v>
      </c>
      <c r="R124" s="8">
        <f>R123*R111</f>
        <v>3639764.86114595</v>
      </c>
    </row>
    <row r="125">
      <c r="C125" s="27" t="inlineStr">
        <is>
          <t>Goodwill, Trademark &amp; PPA Amortization – % of Sales (%)</t>
        </is>
      </c>
      <c r="G125" s="20">
        <f>IFERROR(G126/G111,"N/A")</f>
        <v>0</v>
      </c>
      <c r="H125" s="20">
        <f>IFERROR(H126/H111,"N/A")</f>
        <v>0</v>
      </c>
      <c r="I125" s="20">
        <f>IFERROR(I126/I111,"N/A")</f>
        <v>0</v>
      </c>
      <c r="J125" s="20">
        <f>IFERROR(J126/J111,"N/A")</f>
        <v>0</v>
      </c>
      <c r="K125" s="20">
        <f>IFERROR(K126/K111,"N/A")</f>
        <v>0</v>
      </c>
      <c r="L125" s="20">
        <f>IFERROR(L126/L111,"N/A")</f>
        <v>0</v>
      </c>
      <c r="M125" s="20">
        <f>IFERROR(M126/M111,"N/A")</f>
        <v>0</v>
      </c>
      <c r="N125" s="19" t="n">
        <v>0</v>
      </c>
      <c r="O125" s="19" t="n">
        <v>0</v>
      </c>
      <c r="P125" s="19" t="n">
        <v>0</v>
      </c>
      <c r="Q125" s="19" t="n">
        <v>0</v>
      </c>
      <c r="R125" s="19" t="n">
        <v>0</v>
      </c>
    </row>
    <row r="126">
      <c r="C126" s="14" t="inlineStr">
        <is>
          <t>Goodwill, Trademark &amp; PPA Amortization (LCA)</t>
        </is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8">
        <f>N125*N111</f>
        <v>0</v>
      </c>
      <c r="O126" s="8">
        <f>O125*O111</f>
        <v>0</v>
      </c>
      <c r="P126" s="8">
        <f>P125*P111</f>
        <v>0</v>
      </c>
      <c r="Q126" s="8">
        <f>Q125*Q111</f>
        <v>0</v>
      </c>
      <c r="R126" s="8">
        <f>R125*R111</f>
        <v>0</v>
      </c>
    </row>
    <row r="128">
      <c r="C128" s="12" t="inlineStr">
        <is>
          <t>Financial Statements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>
      <c r="C129" s="25" t="inlineStr">
        <is>
          <t>A</t>
        </is>
      </c>
      <c r="D129" s="25" t="inlineStr">
        <is>
          <t>Income Statement</t>
        </is>
      </c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</row>
    <row r="130">
      <c r="E130" s="10" t="str">
        <f>"("&amp;Control!$E$18&amp;" in Actual)"</f>
        <v>(USD in Actual)</v>
      </c>
    </row>
    <row r="131">
      <c r="C131" s="3" t="inlineStr">
        <is>
          <t>Revenue:</t>
        </is>
      </c>
    </row>
    <row r="132">
      <c r="C132" s="14" t="inlineStr">
        <is>
          <t>Laboratory</t>
        </is>
      </c>
      <c r="G132" s="32">
        <f>G17*Control!$E$17</f>
        <v>608629.32</v>
      </c>
      <c r="H132" s="32">
        <f>H17*Control!$E$17</f>
        <v>589746.13</v>
      </c>
      <c r="I132" s="32">
        <f>I17*Control!$E$17</f>
        <v>711274.97</v>
      </c>
      <c r="J132" s="32">
        <f>J17*Control!$E$17</f>
        <v>868609.35</v>
      </c>
      <c r="K132" s="32">
        <f>K17*Control!$E$17</f>
        <v>984982.055</v>
      </c>
      <c r="L132" s="32">
        <f>L17*Control!$E$17</f>
        <v>1227535.66</v>
      </c>
      <c r="M132" s="32">
        <f>M17*Control!$E$17</f>
        <v>1487126.295</v>
      </c>
      <c r="N132" s="32">
        <f>N17*Control!$E$17</f>
        <v>1653636.85199856</v>
      </c>
      <c r="O132" s="32">
        <f>O17*Control!$E$17</f>
        <v>1857788.24319889</v>
      </c>
      <c r="P132" s="32">
        <f>P17*Control!$E$17</f>
        <v>2104535.96208409</v>
      </c>
      <c r="Q132" s="32">
        <f>Q17*Control!$E$17</f>
        <v>2302530.70539696</v>
      </c>
      <c r="R132" s="32">
        <f>R17*Control!$E$17</f>
        <v>2650452.30510526</v>
      </c>
    </row>
    <row r="133">
      <c r="C133" s="14" t="inlineStr">
        <is>
          <t>Radiology</t>
        </is>
      </c>
      <c r="G133" s="32">
        <f>G24*Control!$E$17</f>
        <v>494719.65</v>
      </c>
      <c r="H133" s="32">
        <f>H24*Control!$E$17</f>
        <v>467057.565</v>
      </c>
      <c r="I133" s="32">
        <f>I24*Control!$E$17</f>
        <v>528209.97</v>
      </c>
      <c r="J133" s="32">
        <f>J24*Control!$E$17</f>
        <v>577927.98</v>
      </c>
      <c r="K133" s="32">
        <f>K24*Control!$E$17</f>
        <v>648973.65</v>
      </c>
      <c r="L133" s="32">
        <f>L24*Control!$E$17</f>
        <v>756634.2</v>
      </c>
      <c r="M133" s="32">
        <f>M24*Control!$E$17</f>
        <v>834462.675</v>
      </c>
      <c r="N133" s="32">
        <f>N24*Control!$E$17</f>
        <v>923383.017648</v>
      </c>
      <c r="O133" s="32">
        <f>O24*Control!$E$17</f>
        <v>1015095.26572683</v>
      </c>
      <c r="P133" s="32">
        <f>P24*Control!$E$17</f>
        <v>1110622.83589859</v>
      </c>
      <c r="Q133" s="32">
        <f>Q24*Control!$E$17</f>
        <v>1239546.15593537</v>
      </c>
      <c r="R133" s="32">
        <f>R24*Control!$E$17</f>
        <v>1387379.38867685</v>
      </c>
    </row>
    <row r="134">
      <c r="C134" s="14" t="inlineStr">
        <is>
          <t>Endoscopy</t>
        </is>
      </c>
      <c r="G134" s="32">
        <f>G31*Control!$E$17</f>
        <v>225725.49</v>
      </c>
      <c r="H134" s="32">
        <f>H31*Control!$E$17</f>
        <v>217305.91</v>
      </c>
      <c r="I134" s="32">
        <f>I31*Control!$E$17</f>
        <v>251184.45</v>
      </c>
      <c r="J134" s="32">
        <f>J31*Control!$E$17</f>
        <v>280357.35</v>
      </c>
      <c r="K134" s="32">
        <f>K31*Control!$E$17</f>
        <v>321694.32</v>
      </c>
      <c r="L134" s="32">
        <f>L31*Control!$E$17</f>
        <v>357628.875</v>
      </c>
      <c r="M134" s="32">
        <f>M31*Control!$E$17</f>
        <v>433706.6</v>
      </c>
      <c r="N134" s="32">
        <f>N31*Control!$E$17</f>
        <v>481336.258812</v>
      </c>
      <c r="O134" s="32">
        <f>O31*Control!$E$17</f>
        <v>530162.046233372</v>
      </c>
      <c r="P134" s="32">
        <f>P31*Control!$E$17</f>
        <v>594558.179179108</v>
      </c>
      <c r="Q134" s="32">
        <f>Q31*Control!$E$17</f>
        <v>649875.872169932</v>
      </c>
      <c r="R134" s="32">
        <f>R31*Control!$E$17</f>
        <v>750980.960858642</v>
      </c>
    </row>
    <row r="135">
      <c r="C135" s="14" t="inlineStr">
        <is>
          <t>Physiotherapy</t>
        </is>
      </c>
      <c r="G135" s="32">
        <f>G38*Control!$E$17</f>
        <v>92480.96</v>
      </c>
      <c r="H135" s="32">
        <f>H38*Control!$E$17</f>
        <v>86387.88</v>
      </c>
      <c r="I135" s="32">
        <f>I38*Control!$E$17</f>
        <v>100192.485</v>
      </c>
      <c r="J135" s="32">
        <f>J38*Control!$E$17</f>
        <v>115994.59</v>
      </c>
      <c r="K135" s="32">
        <f>K38*Control!$E$17</f>
        <v>135267.88</v>
      </c>
      <c r="L135" s="32">
        <f>L38*Control!$E$17</f>
        <v>149196.8</v>
      </c>
      <c r="M135" s="32">
        <f>M38*Control!$E$17</f>
        <v>184502.73</v>
      </c>
      <c r="N135" s="32">
        <f>N38*Control!$E$17</f>
        <v>210250.82398242</v>
      </c>
      <c r="O135" s="32">
        <f>O38*Control!$E$17</f>
        <v>240876.800006995</v>
      </c>
      <c r="P135" s="32">
        <f>P38*Control!$E$17</f>
        <v>271090.458785473</v>
      </c>
      <c r="Q135" s="32">
        <f>Q38*Control!$E$17</f>
        <v>305986.307002174</v>
      </c>
      <c r="R135" s="32">
        <f>R38*Control!$E$17</f>
        <v>351284.519890776</v>
      </c>
    </row>
    <row r="136">
      <c r="C136" s="14" t="inlineStr">
        <is>
          <t>IVF</t>
        </is>
      </c>
      <c r="G136" s="32">
        <f>G45*Control!$E$17</f>
        <v>0</v>
      </c>
      <c r="H136" s="32">
        <f>H45*Control!$E$17</f>
        <v>0</v>
      </c>
      <c r="I136" s="32">
        <f>I45*Control!$E$17</f>
        <v>0</v>
      </c>
      <c r="J136" s="32">
        <f>J45*Control!$E$17</f>
        <v>0</v>
      </c>
      <c r="K136" s="32">
        <f>K45*Control!$E$17</f>
        <v>0</v>
      </c>
      <c r="L136" s="32">
        <f>L45*Control!$E$17</f>
        <v>0</v>
      </c>
      <c r="M136" s="32">
        <f>M45*Control!$E$17</f>
        <v>0</v>
      </c>
      <c r="N136" s="32">
        <f>N45*Control!$E$17</f>
        <v>0</v>
      </c>
      <c r="O136" s="32">
        <f>O45*Control!$E$17</f>
        <v>0</v>
      </c>
      <c r="P136" s="32">
        <f>P45*Control!$E$17</f>
        <v>0</v>
      </c>
      <c r="Q136" s="32">
        <f>Q45*Control!$E$17</f>
        <v>0</v>
      </c>
      <c r="R136" s="32">
        <f>R45*Control!$E$17</f>
        <v>0</v>
      </c>
    </row>
    <row r="137">
      <c r="C137" s="14" t="inlineStr">
        <is>
          <t>Anapath</t>
        </is>
      </c>
      <c r="G137" s="32">
        <f>G52*Control!$E$17</f>
        <v>162729.51</v>
      </c>
      <c r="H137" s="32">
        <f>H52*Control!$E$17</f>
        <v>159263.73</v>
      </c>
      <c r="I137" s="32">
        <f>I52*Control!$E$17</f>
        <v>190270.57</v>
      </c>
      <c r="J137" s="32">
        <f>J52*Control!$E$17</f>
        <v>225271.705</v>
      </c>
      <c r="K137" s="32">
        <f>K52*Control!$E$17</f>
        <v>261091.815</v>
      </c>
      <c r="L137" s="32">
        <f>L52*Control!$E$17</f>
        <v>303296.64</v>
      </c>
      <c r="M137" s="32">
        <f>M52*Control!$E$17</f>
        <v>340613.7</v>
      </c>
      <c r="N137" s="32">
        <f>N52*Control!$E$17</f>
        <v>378721.560756</v>
      </c>
      <c r="O137" s="32">
        <f>O52*Control!$E$17</f>
        <v>431494.895361106</v>
      </c>
      <c r="P137" s="32">
        <f>P52*Control!$E$17</f>
        <v>479770.544254106</v>
      </c>
      <c r="Q137" s="32">
        <f>Q52*Control!$E$17</f>
        <v>544672.943939713</v>
      </c>
      <c r="R137" s="32">
        <f>R52*Control!$E$17</f>
        <v>603936.083605073</v>
      </c>
    </row>
    <row r="138">
      <c r="C138" s="14" t="inlineStr">
        <is>
          <t>Surgery</t>
        </is>
      </c>
      <c r="G138" s="32">
        <f>G59*Control!$E$17</f>
        <v>1323435.87</v>
      </c>
      <c r="H138" s="32">
        <f>H59*Control!$E$17</f>
        <v>1242905.6</v>
      </c>
      <c r="I138" s="32">
        <f>I59*Control!$E$17</f>
        <v>1462773.48</v>
      </c>
      <c r="J138" s="32">
        <f>J59*Control!$E$17</f>
        <v>1766101.61</v>
      </c>
      <c r="K138" s="32">
        <f>K59*Control!$E$17</f>
        <v>1945097.115</v>
      </c>
      <c r="L138" s="32">
        <f>L59*Control!$E$17</f>
        <v>2268734.18</v>
      </c>
      <c r="M138" s="32">
        <f>M59*Control!$E$17</f>
        <v>2714573.125</v>
      </c>
      <c r="N138" s="32">
        <f>N59*Control!$E$17</f>
        <v>3001177.7555375</v>
      </c>
      <c r="O138" s="32">
        <f>O59*Control!$E$17</f>
        <v>3403998.8350635</v>
      </c>
      <c r="P138" s="32">
        <f>P59*Control!$E$17</f>
        <v>3770555.04561848</v>
      </c>
      <c r="Q138" s="32">
        <f>Q59*Control!$E$17</f>
        <v>4236535.32037619</v>
      </c>
      <c r="R138" s="32">
        <f>R59*Control!$E$17</f>
        <v>4732993.71189447</v>
      </c>
    </row>
    <row r="139">
      <c r="C139" s="14" t="inlineStr">
        <is>
          <t>Cardiac Cath</t>
        </is>
      </c>
      <c r="G139" s="32">
        <f>G66*Control!$E$17</f>
        <v>0</v>
      </c>
      <c r="H139" s="32">
        <f>H66*Control!$E$17</f>
        <v>0</v>
      </c>
      <c r="I139" s="32">
        <f>I66*Control!$E$17</f>
        <v>0</v>
      </c>
      <c r="J139" s="32">
        <f>J66*Control!$E$17</f>
        <v>0</v>
      </c>
      <c r="K139" s="32">
        <f>K66*Control!$E$17</f>
        <v>0</v>
      </c>
      <c r="L139" s="32">
        <f>L66*Control!$E$17</f>
        <v>0</v>
      </c>
      <c r="M139" s="32">
        <f>M66*Control!$E$17</f>
        <v>0</v>
      </c>
      <c r="N139" s="32">
        <f>N66*Control!$E$17</f>
        <v>0</v>
      </c>
      <c r="O139" s="32">
        <f>O66*Control!$E$17</f>
        <v>0</v>
      </c>
      <c r="P139" s="32">
        <f>P66*Control!$E$17</f>
        <v>0</v>
      </c>
      <c r="Q139" s="32">
        <f>Q66*Control!$E$17</f>
        <v>0</v>
      </c>
      <c r="R139" s="32">
        <f>R66*Control!$E$17</f>
        <v>0</v>
      </c>
    </row>
    <row r="140">
      <c r="C140" s="14" t="inlineStr">
        <is>
          <t>Heart Test</t>
        </is>
      </c>
      <c r="G140" s="32">
        <f>G73*Control!$E$17</f>
        <v>169936.725</v>
      </c>
      <c r="H140" s="32">
        <f>H73*Control!$E$17</f>
        <v>158726.52</v>
      </c>
      <c r="I140" s="32">
        <f>I73*Control!$E$17</f>
        <v>184375.125</v>
      </c>
      <c r="J140" s="32">
        <f>J73*Control!$E$17</f>
        <v>217414.715</v>
      </c>
      <c r="K140" s="32">
        <f>K73*Control!$E$17</f>
        <v>257161.91</v>
      </c>
      <c r="L140" s="32">
        <f>L73*Control!$E$17</f>
        <v>296052.06</v>
      </c>
      <c r="M140" s="32">
        <f>M73*Control!$E$17</f>
        <v>346759.42</v>
      </c>
      <c r="N140" s="32">
        <f>N73*Control!$E$17</f>
        <v>395873.03721112</v>
      </c>
      <c r="O140" s="32">
        <f>O73*Control!$E$17</f>
        <v>449428.325177189</v>
      </c>
      <c r="P140" s="32">
        <f>P73*Control!$E$17</f>
        <v>496410.214006237</v>
      </c>
      <c r="Q140" s="32">
        <f>Q73*Control!$E$17</f>
        <v>554609.347496328</v>
      </c>
      <c r="R140" s="32">
        <f>R73*Control!$E$17</f>
        <v>623685.941726996</v>
      </c>
    </row>
    <row r="141">
      <c r="C141" s="14" t="inlineStr">
        <is>
          <t>Emergency</t>
        </is>
      </c>
      <c r="G141" s="32">
        <f>G80*Control!$E$17</f>
        <v>411200.18</v>
      </c>
      <c r="H141" s="32">
        <f>H80*Control!$E$17</f>
        <v>383846.65</v>
      </c>
      <c r="I141" s="32">
        <f>I80*Control!$E$17</f>
        <v>450036.28</v>
      </c>
      <c r="J141" s="32">
        <f>J80*Control!$E$17</f>
        <v>523668.83</v>
      </c>
      <c r="K141" s="32">
        <f>K80*Control!$E$17</f>
        <v>596599.2</v>
      </c>
      <c r="L141" s="32">
        <f>L80*Control!$E$17</f>
        <v>700212.345</v>
      </c>
      <c r="M141" s="32">
        <f>M80*Control!$E$17</f>
        <v>859197.6</v>
      </c>
      <c r="N141" s="32">
        <f>N80*Control!$E$17</f>
        <v>976350.9111552</v>
      </c>
      <c r="O141" s="32">
        <f>O80*Control!$E$17</f>
        <v>1079504.33762057</v>
      </c>
      <c r="P141" s="32">
        <f>P80*Control!$E$17</f>
        <v>1204737.63582793</v>
      </c>
      <c r="Q141" s="32">
        <f>Q80*Control!$E$17</f>
        <v>1388122.79875366</v>
      </c>
      <c r="R141" s="32">
        <f>R80*Control!$E$17</f>
        <v>1583313.6861004</v>
      </c>
    </row>
    <row r="142">
      <c r="C142" s="14" t="inlineStr">
        <is>
          <t>Accommodation</t>
        </is>
      </c>
      <c r="G142" s="32">
        <f>G89*Control!$E$17</f>
        <v>2168007.775</v>
      </c>
      <c r="H142" s="32">
        <f>H89*Control!$E$17</f>
        <v>1978261.96</v>
      </c>
      <c r="I142" s="32">
        <f>I89*Control!$E$17</f>
        <v>2289497.37</v>
      </c>
      <c r="J142" s="32">
        <f>J89*Control!$E$17</f>
        <v>2436255.34</v>
      </c>
      <c r="K142" s="32">
        <f>K89*Control!$E$17</f>
        <v>3018640.8</v>
      </c>
      <c r="L142" s="32">
        <f>L89*Control!$E$17</f>
        <v>3011850.24</v>
      </c>
      <c r="M142" s="32">
        <f>M89*Control!$E$17</f>
        <v>3233643.945</v>
      </c>
      <c r="N142" s="32">
        <f>N89*Control!$E$17</f>
        <v>3477733.087752</v>
      </c>
      <c r="O142" s="32">
        <f>O89*Control!$E$17</f>
        <v>3720464.3451271</v>
      </c>
      <c r="P142" s="32">
        <f>P89*Control!$E$17</f>
        <v>3959979.45091807</v>
      </c>
      <c r="Q142" s="32">
        <f>Q89*Control!$E$17</f>
        <v>4270054.3886432</v>
      </c>
      <c r="R142" s="32">
        <f>R89*Control!$E$17</f>
        <v>4629137.57622791</v>
      </c>
    </row>
    <row r="143">
      <c r="C143" s="14" t="inlineStr">
        <is>
          <t>Radiotherapy</t>
        </is>
      </c>
      <c r="G143" s="32">
        <f>G96*Control!$E$17</f>
        <v>0</v>
      </c>
      <c r="H143" s="32">
        <f>H96*Control!$E$17</f>
        <v>0</v>
      </c>
      <c r="I143" s="32">
        <f>I96*Control!$E$17</f>
        <v>0</v>
      </c>
      <c r="J143" s="32">
        <f>J96*Control!$E$17</f>
        <v>0</v>
      </c>
      <c r="K143" s="32">
        <f>K96*Control!$E$17</f>
        <v>0</v>
      </c>
      <c r="L143" s="32">
        <f>L96*Control!$E$17</f>
        <v>0</v>
      </c>
      <c r="M143" s="32">
        <f>M96*Control!$E$17</f>
        <v>0</v>
      </c>
      <c r="N143" s="32">
        <f>N96*Control!$E$17</f>
        <v>0</v>
      </c>
      <c r="O143" s="32">
        <f>O96*Control!$E$17</f>
        <v>0</v>
      </c>
      <c r="P143" s="32">
        <f>P96*Control!$E$17</f>
        <v>0</v>
      </c>
      <c r="Q143" s="32">
        <f>Q96*Control!$E$17</f>
        <v>0</v>
      </c>
      <c r="R143" s="32">
        <f>R96*Control!$E$17</f>
        <v>0</v>
      </c>
    </row>
    <row r="144">
      <c r="C144" s="14" t="inlineStr">
        <is>
          <t>Nursing Fees</t>
        </is>
      </c>
      <c r="G144" s="32">
        <f>G103*Control!$E$17</f>
        <v>114397.53</v>
      </c>
      <c r="H144" s="32">
        <f>H103*Control!$E$17</f>
        <v>111649.91</v>
      </c>
      <c r="I144" s="32">
        <f>I103*Control!$E$17</f>
        <v>134323.65</v>
      </c>
      <c r="J144" s="32">
        <f>J103*Control!$E$17</f>
        <v>161684.935</v>
      </c>
      <c r="K144" s="32">
        <f>K103*Control!$E$17</f>
        <v>187650.32</v>
      </c>
      <c r="L144" s="32">
        <f>L103*Control!$E$17</f>
        <v>220552.2</v>
      </c>
      <c r="M144" s="32">
        <f>M103*Control!$E$17</f>
        <v>259608.26</v>
      </c>
      <c r="N144" s="32">
        <f>N103*Control!$E$17</f>
        <v>294730.6614954</v>
      </c>
      <c r="O144" s="32">
        <f>O103*Control!$E$17</f>
        <v>332325.031022446</v>
      </c>
      <c r="P144" s="32">
        <f>P103*Control!$E$17</f>
        <v>382198.377728108</v>
      </c>
      <c r="Q144" s="32">
        <f>Q103*Control!$E$17</f>
        <v>442876.956572978</v>
      </c>
      <c r="R144" s="32">
        <f>R103*Control!$E$17</f>
        <v>507854.535010496</v>
      </c>
    </row>
    <row r="145">
      <c r="C145" s="14" t="inlineStr">
        <is>
          <t>Pharmacy</t>
        </is>
      </c>
      <c r="G145" s="32">
        <f>G109*Control!$E$17</f>
        <v>367775</v>
      </c>
      <c r="H145" s="32">
        <f>H109*Control!$E$17</f>
        <v>359080</v>
      </c>
      <c r="I145" s="32">
        <f>I109*Control!$E$17</f>
        <v>409605</v>
      </c>
      <c r="J145" s="32">
        <f>J109*Control!$E$17</f>
        <v>484100</v>
      </c>
      <c r="K145" s="32">
        <f>K109*Control!$E$17</f>
        <v>521465</v>
      </c>
      <c r="L145" s="32">
        <f>L109*Control!$E$17</f>
        <v>599015</v>
      </c>
      <c r="M145" s="32">
        <f>M109*Control!$E$17</f>
        <v>693485</v>
      </c>
      <c r="N145" s="32">
        <f>N109*Control!$E$17</f>
        <v>931662.323341508</v>
      </c>
      <c r="O145" s="32">
        <f>O109*Control!$E$17</f>
        <v>1110196.74058573</v>
      </c>
      <c r="P145" s="32">
        <f>P109*Control!$E$17</f>
        <v>1164331.15504832</v>
      </c>
      <c r="Q145" s="32">
        <f>Q109*Control!$E$17</f>
        <v>1338524.10688807</v>
      </c>
      <c r="R145" s="32">
        <f>R109*Control!$E$17</f>
        <v>1443502.51543685</v>
      </c>
    </row>
    <row r="146">
      <c r="C146" s="3" t="inlineStr">
        <is>
          <t>Revenue</t>
        </is>
      </c>
      <c r="G146" s="30">
        <f>SUM(G132:G145)</f>
        <v>6139038.01</v>
      </c>
      <c r="H146" s="30">
        <f>SUM(H132:H145)</f>
        <v>5754231.855</v>
      </c>
      <c r="I146" s="30">
        <f>SUM(I132:I145)</f>
        <v>6711743.35</v>
      </c>
      <c r="J146" s="30">
        <f>SUM(J132:J145)</f>
        <v>7657386.405</v>
      </c>
      <c r="K146" s="30">
        <f>SUM(K132:K145)</f>
        <v>8878624.065</v>
      </c>
      <c r="L146" s="30">
        <f>SUM(L132:L145)</f>
        <v>9890708.2</v>
      </c>
      <c r="M146" s="30">
        <f>SUM(M132:M145)</f>
        <v>11387679.35</v>
      </c>
      <c r="N146" s="30">
        <f>SUM(N132:N145)</f>
        <v>12724856.2896897</v>
      </c>
      <c r="O146" s="30">
        <f>SUM(O132:O145)</f>
        <v>14171334.8651237</v>
      </c>
      <c r="P146" s="30">
        <f>SUM(P132:P145)</f>
        <v>15538789.8593485</v>
      </c>
      <c r="Q146" s="30">
        <f>SUM(Q132:Q145)</f>
        <v>17273334.9031746</v>
      </c>
      <c r="R146" s="30">
        <f>SUM(R132:R145)</f>
        <v>19264521.2245337</v>
      </c>
    </row>
    <row r="147">
      <c r="C147" s="33" t="inlineStr">
        <is>
          <t>Growth (%)</t>
        </is>
      </c>
      <c r="G147" s="20" t="str">
        <f>IFERROR(G146/F146-1,"N/A")</f>
        <v>N/A</v>
      </c>
      <c r="H147" s="20">
        <f>IFERROR(H146/G146-1,"N/A")</f>
        <v>-0.062681832947309</v>
      </c>
      <c r="I147" s="20">
        <f>IFERROR(I146/H146-1,"N/A")</f>
        <v>0.16640127112153</v>
      </c>
      <c r="J147" s="20">
        <f>IFERROR(J146/I146-1,"N/A")</f>
        <v>0.140893804439051</v>
      </c>
      <c r="K147" s="20">
        <f>IFERROR(K146/J146-1,"N/A")</f>
        <v>0.159484920233694</v>
      </c>
      <c r="L147" s="20">
        <f>IFERROR(L146/K146-1,"N/A")</f>
        <v>0.113991101277696</v>
      </c>
      <c r="M147" s="20">
        <f>IFERROR(M146/L146-1,"N/A")</f>
        <v>0.151351260165576</v>
      </c>
      <c r="N147" s="20">
        <f>IFERROR(N146/M146-1,"N/A")</f>
        <v>0.117423128856338</v>
      </c>
      <c r="O147" s="20">
        <f>IFERROR(O146/N146-1,"N/A")</f>
        <v>0.113673470450588</v>
      </c>
      <c r="P147" s="20">
        <f>IFERROR(P146/O146-1,"N/A")</f>
        <v>0.0964944380497381</v>
      </c>
      <c r="Q147" s="20">
        <f>IFERROR(Q146/P146-1,"N/A")</f>
        <v>0.111626777858928</v>
      </c>
      <c r="R147" s="20">
        <f>IFERROR(R146/Q146-1,"N/A")</f>
        <v>0.115275152859638</v>
      </c>
    </row>
    <row r="149">
      <c r="C149" s="14" t="inlineStr">
        <is>
          <t>(-) COGS</t>
        </is>
      </c>
      <c r="G149" s="32">
        <f>-G116*Control!$E$17</f>
        <v>-1920420</v>
      </c>
      <c r="H149" s="32">
        <f>-H116*Control!$E$17</f>
        <v>-1658395</v>
      </c>
      <c r="I149" s="32">
        <f>-I116*Control!$E$17</f>
        <v>-2023350</v>
      </c>
      <c r="J149" s="32">
        <f>-J116*Control!$E$17</f>
        <v>-2236730</v>
      </c>
      <c r="K149" s="32">
        <f>-K116*Control!$E$17</f>
        <v>-2608265</v>
      </c>
      <c r="L149" s="32">
        <f>-L116*Control!$E$17</f>
        <v>-2932095</v>
      </c>
      <c r="M149" s="32">
        <f>-M116*Control!$E$17</f>
        <v>-3422070</v>
      </c>
      <c r="N149" s="32">
        <f>-N116*Control!$E$17</f>
        <v>-3750015.14857156</v>
      </c>
      <c r="O149" s="32">
        <f>-O116*Control!$E$17</f>
        <v>-4276908.86229434</v>
      </c>
      <c r="P149" s="32">
        <f>-P116*Control!$E$17</f>
        <v>-4543542.1548735</v>
      </c>
      <c r="Q149" s="32">
        <f>-Q116*Control!$E$17</f>
        <v>-5188909.80491364</v>
      </c>
      <c r="R149" s="32">
        <f>-R116*Control!$E$17</f>
        <v>-5850635.09589089</v>
      </c>
    </row>
    <row r="150">
      <c r="C150" s="3" t="inlineStr">
        <is>
          <t>Gross Margin</t>
        </is>
      </c>
      <c r="G150" s="30">
        <f>G146+G149</f>
        <v>4218618.01</v>
      </c>
      <c r="H150" s="30">
        <f>H146+H149</f>
        <v>4095836.855</v>
      </c>
      <c r="I150" s="30">
        <f>I146+I149</f>
        <v>4688393.35</v>
      </c>
      <c r="J150" s="30">
        <f>J146+J149</f>
        <v>5420656.405</v>
      </c>
      <c r="K150" s="30">
        <f>K146+K149</f>
        <v>6270359.065</v>
      </c>
      <c r="L150" s="30">
        <f>L146+L149</f>
        <v>6958613.2</v>
      </c>
      <c r="M150" s="30">
        <f>M146+M149</f>
        <v>7965609.35</v>
      </c>
      <c r="N150" s="30">
        <f>N146+N149</f>
        <v>8974841.14111815</v>
      </c>
      <c r="O150" s="30">
        <f>O146+O149</f>
        <v>9894426.00282939</v>
      </c>
      <c r="P150" s="30">
        <f>P146+P149</f>
        <v>10995247.704475</v>
      </c>
      <c r="Q150" s="30">
        <f>Q146+Q149</f>
        <v>12084425.0982609</v>
      </c>
      <c r="R150" s="30">
        <f>R146+R149</f>
        <v>13413886.1286428</v>
      </c>
    </row>
    <row r="151">
      <c r="C151" s="33" t="inlineStr">
        <is>
          <t>Margin (%)</t>
        </is>
      </c>
      <c r="G151" s="20">
        <f>IFERROR(G150/G$146,"N/A")</f>
        <v>0.687179001519165</v>
      </c>
      <c r="H151" s="20">
        <f>IFERROR(H150/H$146,"N/A")</f>
        <v>0.711795589439279</v>
      </c>
      <c r="I151" s="20">
        <f>IFERROR(I150/I$146,"N/A")</f>
        <v>0.69853585059983</v>
      </c>
      <c r="J151" s="20">
        <f>IFERROR(J150/J$146,"N/A")</f>
        <v>0.707899029551454</v>
      </c>
      <c r="K151" s="20">
        <f>IFERROR(K150/K$146,"N/A")</f>
        <v>0.706230945143638</v>
      </c>
      <c r="L151" s="20">
        <f>IFERROR(L150/L$146,"N/A")</f>
        <v>0.70355055060668</v>
      </c>
      <c r="M151" s="20">
        <f>IFERROR(M150/M$146,"N/A")</f>
        <v>0.699493646174714</v>
      </c>
      <c r="N151" s="20">
        <f>IFERROR(N150/N$146,"N/A")</f>
        <v>0.7053</v>
      </c>
      <c r="O151" s="20">
        <f>IFERROR(O150/O$146,"N/A")</f>
        <v>0.6982</v>
      </c>
      <c r="P151" s="20">
        <f>IFERROR(P150/P$146,"N/A")</f>
        <v>0.7076</v>
      </c>
      <c r="Q151" s="20">
        <f>IFERROR(Q150/Q$146,"N/A")</f>
        <v>0.6996</v>
      </c>
      <c r="R151" s="20">
        <f>IFERROR(R150/R$146,"N/A")</f>
        <v>0.6963</v>
      </c>
    </row>
    <row r="152">
      <c r="C152" s="14" t="inlineStr">
        <is>
          <t>(-) Payroll</t>
        </is>
      </c>
      <c r="G152" s="32">
        <f>-G118*Control!$E$17</f>
        <v>-2100430</v>
      </c>
      <c r="H152" s="32">
        <f>-H118*Control!$E$17</f>
        <v>-1896215</v>
      </c>
      <c r="I152" s="32">
        <f>-I118*Control!$E$17</f>
        <v>-2203595</v>
      </c>
      <c r="J152" s="32">
        <f>-J118*Control!$E$17</f>
        <v>-2600980</v>
      </c>
      <c r="K152" s="32">
        <f>-K118*Control!$E$17</f>
        <v>-2820705</v>
      </c>
      <c r="L152" s="32">
        <f>-L118*Control!$E$17</f>
        <v>-3329480</v>
      </c>
      <c r="M152" s="32">
        <f>-M118*Control!$E$17</f>
        <v>-3828385</v>
      </c>
      <c r="N152" s="32">
        <f>-N118*Control!$E$17</f>
        <v>-4200475.06122657</v>
      </c>
      <c r="O152" s="32">
        <f>-O118*Control!$E$17</f>
        <v>-4762985.64816809</v>
      </c>
      <c r="P152" s="32">
        <f>-P118*Control!$E$17</f>
        <v>-4987951.54485087</v>
      </c>
      <c r="Q152" s="32">
        <f>-Q118*Control!$E$17</f>
        <v>-5548195.17089967</v>
      </c>
      <c r="R152" s="32">
        <f>-R118*Control!$E$17</f>
        <v>-6430497.18474936</v>
      </c>
    </row>
    <row r="153">
      <c r="C153" s="14" t="inlineStr">
        <is>
          <t>(-) OPEX</t>
        </is>
      </c>
      <c r="G153" s="32">
        <f>-G120*Control!$E$17</f>
        <v>-864565</v>
      </c>
      <c r="H153" s="32">
        <f>-H120*Control!$E$17</f>
        <v>-818035</v>
      </c>
      <c r="I153" s="32">
        <f>-I120*Control!$E$17</f>
        <v>-965850</v>
      </c>
      <c r="J153" s="32">
        <f>-J120*Control!$E$17</f>
        <v>-1103560</v>
      </c>
      <c r="K153" s="32">
        <f>-K120*Control!$E$17</f>
        <v>-1270645</v>
      </c>
      <c r="L153" s="32">
        <f>-L120*Control!$E$17</f>
        <v>-1395900</v>
      </c>
      <c r="M153" s="32">
        <f>-M120*Control!$E$17</f>
        <v>-1601290</v>
      </c>
      <c r="N153" s="32">
        <f>-N120*Control!$E$17</f>
        <v>-1785297.33744347</v>
      </c>
      <c r="O153" s="32">
        <f>-O120*Control!$E$17</f>
        <v>-2027918.01919921</v>
      </c>
      <c r="P153" s="32">
        <f>-P120*Control!$E$17</f>
        <v>-2125706.45275888</v>
      </c>
      <c r="Q153" s="32">
        <f>-Q120*Control!$E$17</f>
        <v>-2494269.56001841</v>
      </c>
      <c r="R153" s="32">
        <f>-R120*Control!$E$17</f>
        <v>-2656577.4768632</v>
      </c>
    </row>
    <row r="154">
      <c r="C154" s="14" t="inlineStr">
        <is>
          <t>(-) Provision</t>
        </is>
      </c>
      <c r="G154" s="32">
        <f>-G122*Control!$E$17</f>
        <v>-83190</v>
      </c>
      <c r="H154" s="32">
        <f>-H122*Control!$E$17</f>
        <v>-80840</v>
      </c>
      <c r="I154" s="32">
        <f>-I122*Control!$E$17</f>
        <v>-96820</v>
      </c>
      <c r="J154" s="32">
        <f>-J122*Control!$E$17</f>
        <v>-109980</v>
      </c>
      <c r="K154" s="32">
        <f>-K122*Control!$E$17</f>
        <v>-126665</v>
      </c>
      <c r="L154" s="32">
        <f>-L122*Control!$E$17</f>
        <v>-147345</v>
      </c>
      <c r="M154" s="32">
        <f>-M122*Control!$E$17</f>
        <v>-161445</v>
      </c>
      <c r="N154" s="32">
        <f>-N122*Control!$E$17</f>
        <v>-176875.502426687</v>
      </c>
      <c r="O154" s="32">
        <f>-O122*Control!$E$17</f>
        <v>-199815.821598245</v>
      </c>
      <c r="P154" s="32">
        <f>-P122*Control!$E$17</f>
        <v>-215989.179044944</v>
      </c>
      <c r="Q154" s="32">
        <f>-Q122*Control!$E$17</f>
        <v>-245281.355625079</v>
      </c>
      <c r="R154" s="32">
        <f>-R122*Control!$E$17</f>
        <v>-265850.392898565</v>
      </c>
    </row>
    <row r="155">
      <c r="C155" s="3" t="inlineStr">
        <is>
          <t>EBITDA</t>
        </is>
      </c>
      <c r="G155" s="30">
        <f>G150+G152+G153+G154</f>
        <v>1170433.01</v>
      </c>
      <c r="H155" s="30">
        <f>H150+H152+H153+H154</f>
        <v>1300746.855</v>
      </c>
      <c r="I155" s="30">
        <f>I150+I152+I153+I154</f>
        <v>1422128.35</v>
      </c>
      <c r="J155" s="30">
        <f>J150+J152+J153+J154</f>
        <v>1606136.405</v>
      </c>
      <c r="K155" s="30">
        <f>K150+K152+K153+K154</f>
        <v>2052344.065</v>
      </c>
      <c r="L155" s="30">
        <f>L150+L152+L153+L154</f>
        <v>2085888.2</v>
      </c>
      <c r="M155" s="30">
        <f>M150+M152+M153+M154</f>
        <v>2374489.35</v>
      </c>
      <c r="N155" s="30">
        <f>N150+N152+N153+N154</f>
        <v>2812193.24002143</v>
      </c>
      <c r="O155" s="30">
        <f>O150+O152+O153+O154</f>
        <v>2903706.51386385</v>
      </c>
      <c r="P155" s="30">
        <f>P150+P152+P153+P154</f>
        <v>3665600.52782031</v>
      </c>
      <c r="Q155" s="30">
        <f>Q150+Q152+Q153+Q154</f>
        <v>3796679.01171777</v>
      </c>
      <c r="R155" s="30">
        <f>R150+R152+R153+R154</f>
        <v>4060961.07413171</v>
      </c>
    </row>
    <row r="156">
      <c r="C156" s="33" t="inlineStr">
        <is>
          <t>Margin (%)</t>
        </is>
      </c>
      <c r="G156" s="20">
        <f>IFERROR(G155/G$146,"N/A")</f>
        <v>0.190654139637751</v>
      </c>
      <c r="H156" s="20">
        <f>IFERROR(H155/H$146,"N/A")</f>
        <v>0.226050476897233</v>
      </c>
      <c r="I156" s="20">
        <f>IFERROR(I155/I$146,"N/A")</f>
        <v>0.21188658085384</v>
      </c>
      <c r="J156" s="20">
        <f>IFERROR(J155/J$146,"N/A")</f>
        <v>0.209749948618402</v>
      </c>
      <c r="K156" s="20">
        <f>IFERROR(K155/K$146,"N/A")</f>
        <v>0.23115564416005</v>
      </c>
      <c r="L156" s="20">
        <f>IFERROR(L155/L$146,"N/A")</f>
        <v>0.210893715376215</v>
      </c>
      <c r="M156" s="20">
        <f>IFERROR(M155/M$146,"N/A")</f>
        <v>0.208513892692281</v>
      </c>
      <c r="N156" s="20">
        <f>IFERROR(N155/N$146,"N/A")</f>
        <v>0.221</v>
      </c>
      <c r="O156" s="20">
        <f>IFERROR(O155/O$146,"N/A")</f>
        <v>0.2049</v>
      </c>
      <c r="P156" s="20">
        <f>IFERROR(P155/P$146,"N/A")</f>
        <v>0.2359</v>
      </c>
      <c r="Q156" s="20">
        <f>IFERROR(Q155/Q$146,"N/A")</f>
        <v>0.2198</v>
      </c>
      <c r="R156" s="20">
        <f>IFERROR(R155/R$146,"N/A")</f>
        <v>0.2108</v>
      </c>
    </row>
    <row r="157">
      <c r="C157" s="14" t="inlineStr">
        <is>
          <t>(-) D&amp;A</t>
        </is>
      </c>
      <c r="G157" s="32">
        <f>-G124*Control!$E$17</f>
        <v>-289050</v>
      </c>
      <c r="H157" s="32">
        <f>-H124*Control!$E$17</f>
        <v>-271660</v>
      </c>
      <c r="I157" s="32">
        <f>-I124*Control!$E$17</f>
        <v>-325240</v>
      </c>
      <c r="J157" s="32">
        <f>-J124*Control!$E$17</f>
        <v>-349210</v>
      </c>
      <c r="K157" s="32">
        <f>-K124*Control!$E$17</f>
        <v>-412660</v>
      </c>
      <c r="L157" s="32">
        <f>-L124*Control!$E$17</f>
        <v>-473525</v>
      </c>
      <c r="M157" s="32">
        <f>-M124*Control!$E$17</f>
        <v>-512535</v>
      </c>
      <c r="N157" s="32">
        <f>-N124*Control!$E$17</f>
        <v>-573891.018665006</v>
      </c>
      <c r="O157" s="32">
        <f>-O124*Control!$E$17</f>
        <v>-651881.403795692</v>
      </c>
      <c r="P157" s="32">
        <f>-P124*Control!$E$17</f>
        <v>-699245.543670683</v>
      </c>
      <c r="Q157" s="32">
        <f>-Q124*Control!$E$17</f>
        <v>-763481.402720316</v>
      </c>
      <c r="R157" s="32">
        <f>-R124*Control!$E$17</f>
        <v>-855344.742369297</v>
      </c>
    </row>
    <row r="158">
      <c r="C158" s="14" t="inlineStr">
        <is>
          <t>(-) Goodwill, Trademark &amp; PPA Amortization</t>
        </is>
      </c>
      <c r="G158" s="32">
        <f>-G126*Control!$E$17</f>
        <v>-0</v>
      </c>
      <c r="H158" s="32">
        <f>-H126*Control!$E$17</f>
        <v>-0</v>
      </c>
      <c r="I158" s="32">
        <f>-I126*Control!$E$17</f>
        <v>-0</v>
      </c>
      <c r="J158" s="32">
        <f>-J126*Control!$E$17</f>
        <v>-0</v>
      </c>
      <c r="K158" s="32">
        <f>-K126*Control!$E$17</f>
        <v>-0</v>
      </c>
      <c r="L158" s="32">
        <f>-L126*Control!$E$17</f>
        <v>-0</v>
      </c>
      <c r="M158" s="32">
        <f>-M126*Control!$E$17</f>
        <v>-0</v>
      </c>
      <c r="N158" s="32">
        <f>-N126*Control!$E$17</f>
        <v>-0</v>
      </c>
      <c r="O158" s="32">
        <f>-O126*Control!$E$17</f>
        <v>-0</v>
      </c>
      <c r="P158" s="32">
        <f>-P126*Control!$E$17</f>
        <v>-0</v>
      </c>
      <c r="Q158" s="32">
        <f>-Q126*Control!$E$17</f>
        <v>-0</v>
      </c>
      <c r="R158" s="32">
        <f>-R126*Control!$E$17</f>
        <v>-0</v>
      </c>
    </row>
    <row r="159">
      <c r="C159" s="3" t="inlineStr">
        <is>
          <t>EBIT</t>
        </is>
      </c>
      <c r="G159" s="31">
        <f>G155+G157+G158</f>
        <v>881383.01</v>
      </c>
      <c r="H159" s="31">
        <f>H155+H157+H158</f>
        <v>1029086.855</v>
      </c>
      <c r="I159" s="31">
        <f>I155+I157+I158</f>
        <v>1096888.35</v>
      </c>
      <c r="J159" s="31">
        <f>J155+J157+J158</f>
        <v>1256926.405</v>
      </c>
      <c r="K159" s="31">
        <f>K155+K157+K158</f>
        <v>1639684.065</v>
      </c>
      <c r="L159" s="31">
        <f>L155+L157+L158</f>
        <v>1612363.2</v>
      </c>
      <c r="M159" s="31">
        <f>M155+M157+M158</f>
        <v>1861954.35</v>
      </c>
      <c r="N159" s="31">
        <f>N155+N157+N158</f>
        <v>2238302.22135642</v>
      </c>
      <c r="O159" s="31">
        <f>O155+O157+O158</f>
        <v>2251825.11006816</v>
      </c>
      <c r="P159" s="31">
        <f>P155+P157+P158</f>
        <v>2966354.98414963</v>
      </c>
      <c r="Q159" s="31">
        <f>Q155+Q157+Q158</f>
        <v>3033197.60899745</v>
      </c>
      <c r="R159" s="31">
        <f>R155+R157+R158</f>
        <v>3205616.33176242</v>
      </c>
    </row>
    <row r="160">
      <c r="C160" s="33" t="inlineStr">
        <is>
          <t>Margin (%)</t>
        </is>
      </c>
      <c r="G160" s="20">
        <f>IFERROR(G159/G$146,"N/A")</f>
        <v>0.143570215490489</v>
      </c>
      <c r="H160" s="20">
        <f>IFERROR(H159/H$146,"N/A")</f>
        <v>0.178840005222556</v>
      </c>
      <c r="I160" s="20">
        <f>IFERROR(I159/I$146,"N/A")</f>
        <v>0.163428232100085</v>
      </c>
      <c r="J160" s="20">
        <f>IFERROR(J159/J$146,"N/A")</f>
        <v>0.164145615556147</v>
      </c>
      <c r="K160" s="20">
        <f>IFERROR(K159/K$146,"N/A")</f>
        <v>0.184677721795173</v>
      </c>
      <c r="L160" s="20">
        <f>IFERROR(L159/L$146,"N/A")</f>
        <v>0.163017972767612</v>
      </c>
      <c r="M160" s="20">
        <f>IFERROR(M159/M$146,"N/A")</f>
        <v>0.163506039533858</v>
      </c>
      <c r="N160" s="20">
        <f>IFERROR(N159/N$146,"N/A")</f>
        <v>0.1759</v>
      </c>
      <c r="O160" s="20">
        <f>IFERROR(O159/O$146,"N/A")</f>
        <v>0.1589</v>
      </c>
      <c r="P160" s="20">
        <f>IFERROR(P159/P$146,"N/A")</f>
        <v>0.1909</v>
      </c>
      <c r="Q160" s="20">
        <f>IFERROR(Q159/Q$146,"N/A")</f>
        <v>0.1756</v>
      </c>
      <c r="R160" s="20">
        <f>IFERROR(R159/R$146,"N/A")</f>
        <v>0.1664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3:R171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AHG North – Operating Build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Build</t>
        </is>
      </c>
      <c r="E11" s="25" t="str">
        <f>"("&amp;Control!$E$16&amp;" in Actual)"</f>
        <v>(LCA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Laboratory:</t>
        </is>
      </c>
    </row>
    <row r="13">
      <c r="C13" s="14" t="inlineStr">
        <is>
          <t># of Tests</t>
        </is>
      </c>
      <c r="G13" s="26" t="n">
        <v>86794</v>
      </c>
      <c r="H13" s="26" t="n">
        <v>81290</v>
      </c>
      <c r="I13" s="26" t="n">
        <v>89725</v>
      </c>
      <c r="J13" s="26" t="n">
        <v>96714</v>
      </c>
      <c r="K13" s="26" t="n">
        <v>100874</v>
      </c>
      <c r="L13" s="26" t="n">
        <v>108543</v>
      </c>
      <c r="M13" s="26" t="n">
        <v>116434</v>
      </c>
      <c r="N13" s="8">
        <f>M13*(1+N14)</f>
        <v>123070.738</v>
      </c>
      <c r="O13" s="8">
        <f>N13*(1+O14)</f>
        <v>129347.345638</v>
      </c>
      <c r="P13" s="8">
        <f>O13*(1+P14)</f>
        <v>135426.670882986</v>
      </c>
      <c r="Q13" s="8">
        <f>P13*(1+Q14)</f>
        <v>143687.697806848</v>
      </c>
      <c r="R13" s="8">
        <f>Q13*(1+R14)</f>
        <v>156332.215213851</v>
      </c>
    </row>
    <row r="14">
      <c r="C14" s="27" t="inlineStr">
        <is>
          <t>Growth (%)</t>
        </is>
      </c>
      <c r="G14" s="28" t="str">
        <f>IFERROR(G13/F13-1,"N/A")</f>
        <v>N/A</v>
      </c>
      <c r="H14" s="28">
        <f>IFERROR(H13/G13-1,"N/A")</f>
        <v>-0.0634145217411342</v>
      </c>
      <c r="I14" s="28">
        <f>IFERROR(I13/H13-1,"N/A")</f>
        <v>0.103764300651987</v>
      </c>
      <c r="J14" s="28">
        <f>IFERROR(J13/I13-1,"N/A")</f>
        <v>0.0778935636667595</v>
      </c>
      <c r="K14" s="28">
        <f>IFERROR(K13/J13-1,"N/A")</f>
        <v>0.0430134210145376</v>
      </c>
      <c r="L14" s="28">
        <f>IFERROR(L13/K13-1,"N/A")</f>
        <v>0.0760255368082956</v>
      </c>
      <c r="M14" s="28">
        <f>IFERROR(M13/L13-1,"N/A")</f>
        <v>0.0726992988953688</v>
      </c>
      <c r="N14" s="19" t="n">
        <v>0.057</v>
      </c>
      <c r="O14" s="19" t="n">
        <v>0.051</v>
      </c>
      <c r="P14" s="19" t="n">
        <v>0.047</v>
      </c>
      <c r="Q14" s="19" t="n">
        <v>0.061</v>
      </c>
      <c r="R14" s="19" t="n">
        <v>0.08799999999999999</v>
      </c>
    </row>
    <row r="15">
      <c r="C15" s="14" t="inlineStr">
        <is>
          <t>Gross Revenue [per Test] (LCA)</t>
        </is>
      </c>
      <c r="G15" s="26" t="n">
        <v>35</v>
      </c>
      <c r="H15" s="26" t="n">
        <v>36</v>
      </c>
      <c r="I15" s="26" t="n">
        <v>39</v>
      </c>
      <c r="J15" s="26" t="n">
        <v>42</v>
      </c>
      <c r="K15" s="26" t="n">
        <v>47</v>
      </c>
      <c r="L15" s="26" t="n">
        <v>50</v>
      </c>
      <c r="M15" s="26" t="n">
        <v>54</v>
      </c>
      <c r="N15" s="8">
        <f>M15*(1+N16)</f>
        <v>56.862</v>
      </c>
      <c r="O15" s="8">
        <f>N15*(1+O16)</f>
        <v>59.7051</v>
      </c>
      <c r="P15" s="8">
        <f>O15*(1+P16)</f>
        <v>63.7650468</v>
      </c>
      <c r="Q15" s="8">
        <f>P15*(1+Q16)</f>
        <v>66.8257690464</v>
      </c>
      <c r="R15" s="8">
        <f>Q15*(1+R16)</f>
        <v>71.4367471106016</v>
      </c>
    </row>
    <row r="16">
      <c r="C16" s="27" t="inlineStr">
        <is>
          <t>Growth (%)</t>
        </is>
      </c>
      <c r="G16" s="28" t="str">
        <f>IFERROR(G15/F15-1,"N/A")</f>
        <v>N/A</v>
      </c>
      <c r="H16" s="28">
        <f>IFERROR(H15/G15-1,"N/A")</f>
        <v>0.0285714285714285</v>
      </c>
      <c r="I16" s="28">
        <f>IFERROR(I15/H15-1,"N/A")</f>
        <v>0.0833333333333333</v>
      </c>
      <c r="J16" s="28">
        <f>IFERROR(J15/I15-1,"N/A")</f>
        <v>0.0769230769230769</v>
      </c>
      <c r="K16" s="28">
        <f>IFERROR(K15/J15-1,"N/A")</f>
        <v>0.119047619047619</v>
      </c>
      <c r="L16" s="28">
        <f>IFERROR(L15/K15-1,"N/A")</f>
        <v>0.0638297872340425</v>
      </c>
      <c r="M16" s="28">
        <f>IFERROR(M15/L15-1,"N/A")</f>
        <v>0.0800000000000001</v>
      </c>
      <c r="N16" s="19" t="n">
        <v>0.053</v>
      </c>
      <c r="O16" s="19" t="n">
        <v>0.05</v>
      </c>
      <c r="P16" s="19" t="n">
        <v>0.068</v>
      </c>
      <c r="Q16" s="19" t="n">
        <v>0.048</v>
      </c>
      <c r="R16" s="19" t="n">
        <v>0.06900000000000001</v>
      </c>
    </row>
    <row r="17">
      <c r="C17" s="29" t="inlineStr">
        <is>
          <t>Revenue</t>
        </is>
      </c>
      <c r="G17" s="30">
        <f>G13*G15</f>
        <v>3037790</v>
      </c>
      <c r="H17" s="30">
        <f>H13*H15</f>
        <v>2926440</v>
      </c>
      <c r="I17" s="30">
        <f>I13*I15</f>
        <v>3499275</v>
      </c>
      <c r="J17" s="30">
        <f>J13*J15</f>
        <v>4061988</v>
      </c>
      <c r="K17" s="30">
        <f>K13*K15</f>
        <v>4741078</v>
      </c>
      <c r="L17" s="30">
        <f>L13*L15</f>
        <v>5427150</v>
      </c>
      <c r="M17" s="30">
        <f>M13*M15</f>
        <v>6287436</v>
      </c>
      <c r="N17" s="30">
        <f>N13*N15</f>
        <v>6998048.304156</v>
      </c>
      <c r="O17" s="30">
        <f>O13*O15</f>
        <v>7722696.20605135</v>
      </c>
      <c r="P17" s="30">
        <f>P13*P15</f>
        <v>8635488.0068218</v>
      </c>
      <c r="Q17" s="30">
        <f>Q13*Q15</f>
        <v>9602040.90844935</v>
      </c>
      <c r="R17" s="30">
        <f>R13*R15</f>
        <v>11167864.923472</v>
      </c>
    </row>
    <row r="19">
      <c r="C19" s="3" t="inlineStr">
        <is>
          <t>Radiology:</t>
        </is>
      </c>
    </row>
    <row r="20">
      <c r="C20" s="14" t="inlineStr">
        <is>
          <t># of Tests</t>
        </is>
      </c>
      <c r="G20" s="26" t="n">
        <v>21800</v>
      </c>
      <c r="H20" s="26" t="n">
        <v>19729</v>
      </c>
      <c r="I20" s="26" t="n">
        <v>21601</v>
      </c>
      <c r="J20" s="26" t="n">
        <v>23313</v>
      </c>
      <c r="K20" s="26" t="n">
        <v>24821</v>
      </c>
      <c r="L20" s="26" t="n">
        <v>25868</v>
      </c>
      <c r="M20" s="26" t="n">
        <v>28657</v>
      </c>
      <c r="N20" s="8">
        <f>M20*(1+N21)</f>
        <v>30548.362</v>
      </c>
      <c r="O20" s="8">
        <f>N20*(1+O21)</f>
        <v>32503.457168</v>
      </c>
      <c r="P20" s="8">
        <f>O20*(1+P21)</f>
        <v>34161.133483568</v>
      </c>
      <c r="Q20" s="8">
        <f>P20*(1+Q21)</f>
        <v>36996.5075627041</v>
      </c>
      <c r="R20" s="8">
        <f>Q20*(1+R21)</f>
        <v>39623.2595996561</v>
      </c>
    </row>
    <row r="21">
      <c r="C21" s="27" t="inlineStr">
        <is>
          <t>Growth (%)</t>
        </is>
      </c>
      <c r="G21" s="28" t="str">
        <f>IFERROR(G20/F20-1,"N/A")</f>
        <v>N/A</v>
      </c>
      <c r="H21" s="28">
        <f>IFERROR(H20/G20-1,"N/A")</f>
        <v>-0.095</v>
      </c>
      <c r="I21" s="28">
        <f>IFERROR(I20/H20-1,"N/A")</f>
        <v>0.0948857012519642</v>
      </c>
      <c r="J21" s="28">
        <f>IFERROR(J20/I20-1,"N/A")</f>
        <v>0.0792555900189806</v>
      </c>
      <c r="K21" s="28">
        <f>IFERROR(K20/J20-1,"N/A")</f>
        <v>0.0646849397331961</v>
      </c>
      <c r="L21" s="28">
        <f>IFERROR(L20/K20-1,"N/A")</f>
        <v>0.0421820232867329</v>
      </c>
      <c r="M21" s="28">
        <f>IFERROR(M20/L20-1,"N/A")</f>
        <v>0.107816607391372</v>
      </c>
      <c r="N21" s="19" t="n">
        <v>0.066</v>
      </c>
      <c r="O21" s="19" t="n">
        <v>0.064</v>
      </c>
      <c r="P21" s="19" t="n">
        <v>0.051</v>
      </c>
      <c r="Q21" s="19" t="n">
        <v>0.083</v>
      </c>
      <c r="R21" s="19" t="n">
        <v>0.07099999999999999</v>
      </c>
    </row>
    <row r="22">
      <c r="C22" s="14" t="inlineStr">
        <is>
          <t>Gross Revenue [per Test] (LCA)</t>
        </is>
      </c>
      <c r="G22" s="26" t="n">
        <v>116</v>
      </c>
      <c r="H22" s="26" t="n">
        <v>114</v>
      </c>
      <c r="I22" s="26" t="n">
        <v>121</v>
      </c>
      <c r="J22" s="26" t="n">
        <v>131</v>
      </c>
      <c r="K22" s="26" t="n">
        <v>143</v>
      </c>
      <c r="L22" s="26" t="n">
        <v>153</v>
      </c>
      <c r="M22" s="26" t="n">
        <v>162</v>
      </c>
      <c r="N22" s="8">
        <f>M22*(1+N23)</f>
        <v>169.938</v>
      </c>
      <c r="O22" s="8">
        <f>N22*(1+O23)</f>
        <v>180.644094</v>
      </c>
      <c r="P22" s="8">
        <f>O22*(1+P23)</f>
        <v>188.592434136</v>
      </c>
      <c r="Q22" s="8">
        <f>P22*(1+Q23)</f>
        <v>196.701908803848</v>
      </c>
      <c r="R22" s="8">
        <f>Q22*(1+R23)</f>
        <v>207.913917605667</v>
      </c>
    </row>
    <row r="23">
      <c r="C23" s="27" t="inlineStr">
        <is>
          <t>Growth (%)</t>
        </is>
      </c>
      <c r="G23" s="28" t="str">
        <f>IFERROR(G22/F22-1,"N/A")</f>
        <v>N/A</v>
      </c>
      <c r="H23" s="28">
        <f>IFERROR(H22/G22-1,"N/A")</f>
        <v>-0.0172413793103449</v>
      </c>
      <c r="I23" s="28">
        <f>IFERROR(I22/H22-1,"N/A")</f>
        <v>0.0614035087719298</v>
      </c>
      <c r="J23" s="28">
        <f>IFERROR(J22/I22-1,"N/A")</f>
        <v>0.0826446280991735</v>
      </c>
      <c r="K23" s="28">
        <f>IFERROR(K22/J22-1,"N/A")</f>
        <v>0.0916030534351144</v>
      </c>
      <c r="L23" s="28">
        <f>IFERROR(L22/K22-1,"N/A")</f>
        <v>0.06993006993007</v>
      </c>
      <c r="M23" s="28">
        <f>IFERROR(M22/L22-1,"N/A")</f>
        <v>0.0588235294117647</v>
      </c>
      <c r="N23" s="19" t="n">
        <v>0.049</v>
      </c>
      <c r="O23" s="19" t="n">
        <v>0.063</v>
      </c>
      <c r="P23" s="19" t="n">
        <v>0.044</v>
      </c>
      <c r="Q23" s="19" t="n">
        <v>0.043</v>
      </c>
      <c r="R23" s="19" t="n">
        <v>0.057</v>
      </c>
    </row>
    <row r="24">
      <c r="C24" s="29" t="inlineStr">
        <is>
          <t>Revenue</t>
        </is>
      </c>
      <c r="G24" s="30">
        <f>G20*G22</f>
        <v>2528800</v>
      </c>
      <c r="H24" s="30">
        <f>H20*H22</f>
        <v>2249106</v>
      </c>
      <c r="I24" s="30">
        <f>I20*I22</f>
        <v>2613721</v>
      </c>
      <c r="J24" s="30">
        <f>J20*J22</f>
        <v>3054003</v>
      </c>
      <c r="K24" s="30">
        <f>K20*K22</f>
        <v>3549403</v>
      </c>
      <c r="L24" s="30">
        <f>L20*L22</f>
        <v>3957804</v>
      </c>
      <c r="M24" s="30">
        <f>M20*M22</f>
        <v>4642434</v>
      </c>
      <c r="N24" s="30">
        <f>N20*N22</f>
        <v>5191327.541556</v>
      </c>
      <c r="O24" s="30">
        <f>O20*O22</f>
        <v>5871557.57198117</v>
      </c>
      <c r="P24" s="30">
        <f>P20*P22</f>
        <v>6442531.3165109</v>
      </c>
      <c r="Q24" s="30">
        <f>Q20*Q22</f>
        <v>7277283.6566599</v>
      </c>
      <c r="R24" s="30">
        <f>R20*R22</f>
        <v>8238227.13167087</v>
      </c>
    </row>
    <row r="26">
      <c r="C26" s="3" t="inlineStr">
        <is>
          <t>Endoscopy:</t>
        </is>
      </c>
    </row>
    <row r="27">
      <c r="C27" s="14" t="inlineStr">
        <is>
          <t># of Visits</t>
        </is>
      </c>
      <c r="G27" s="26" t="n">
        <v>1542</v>
      </c>
      <c r="H27" s="26" t="n">
        <v>1451</v>
      </c>
      <c r="I27" s="26" t="n">
        <v>1582</v>
      </c>
      <c r="J27" s="26" t="n">
        <v>1670</v>
      </c>
      <c r="K27" s="26" t="n">
        <v>1843</v>
      </c>
      <c r="L27" s="26" t="n">
        <v>1952</v>
      </c>
      <c r="M27" s="26" t="n">
        <v>2089</v>
      </c>
      <c r="N27" s="8">
        <f>M27*(1+N28)</f>
        <v>2210.162</v>
      </c>
      <c r="O27" s="8">
        <f>N27*(1+O28)</f>
        <v>2364.87334</v>
      </c>
      <c r="P27" s="8">
        <f>O27*(1+P28)</f>
        <v>2572.98219392</v>
      </c>
      <c r="Q27" s="8">
        <f>P27*(1+Q28)</f>
        <v>2704.20428580992</v>
      </c>
      <c r="R27" s="8">
        <f>Q27*(1+R28)</f>
        <v>2820.48507009975</v>
      </c>
    </row>
    <row r="28">
      <c r="C28" s="27" t="inlineStr">
        <is>
          <t>Growth (%)</t>
        </is>
      </c>
      <c r="G28" s="28" t="str">
        <f>IFERROR(G27/F27-1,"N/A")</f>
        <v>N/A</v>
      </c>
      <c r="H28" s="28">
        <f>IFERROR(H27/G27-1,"N/A")</f>
        <v>-0.0590142671854734</v>
      </c>
      <c r="I28" s="28">
        <f>IFERROR(I27/H27-1,"N/A")</f>
        <v>0.0902825637491385</v>
      </c>
      <c r="J28" s="28">
        <f>IFERROR(J27/I27-1,"N/A")</f>
        <v>0.0556257901390644</v>
      </c>
      <c r="K28" s="28">
        <f>IFERROR(K27/J27-1,"N/A")</f>
        <v>0.103592814371257</v>
      </c>
      <c r="L28" s="28">
        <f>IFERROR(L27/K27-1,"N/A")</f>
        <v>0.0591427021161151</v>
      </c>
      <c r="M28" s="28">
        <f>IFERROR(M27/L27-1,"N/A")</f>
        <v>0.0701844262295082</v>
      </c>
      <c r="N28" s="19" t="n">
        <v>0.058</v>
      </c>
      <c r="O28" s="19" t="n">
        <v>0.07000000000000001</v>
      </c>
      <c r="P28" s="19" t="n">
        <v>0.08799999999999999</v>
      </c>
      <c r="Q28" s="19" t="n">
        <v>0.051</v>
      </c>
      <c r="R28" s="19" t="n">
        <v>0.043</v>
      </c>
    </row>
    <row r="29">
      <c r="C29" s="14" t="inlineStr">
        <is>
          <t>Gross Revenue [per Visit] (LCA)</t>
        </is>
      </c>
      <c r="G29" s="26" t="n">
        <v>777</v>
      </c>
      <c r="H29" s="26" t="n">
        <v>791</v>
      </c>
      <c r="I29" s="26" t="n">
        <v>839</v>
      </c>
      <c r="J29" s="26" t="n">
        <v>898</v>
      </c>
      <c r="K29" s="26" t="n">
        <v>942</v>
      </c>
      <c r="L29" s="26" t="n">
        <v>984</v>
      </c>
      <c r="M29" s="26" t="n">
        <v>1077</v>
      </c>
      <c r="N29" s="8">
        <f>M29*(1+N30)</f>
        <v>1139.466</v>
      </c>
      <c r="O29" s="8">
        <f>N29*(1+O30)</f>
        <v>1219.22862</v>
      </c>
      <c r="P29" s="8">
        <f>O29*(1+P30)</f>
        <v>1300.91693754</v>
      </c>
      <c r="Q29" s="8">
        <f>P29*(1+Q30)</f>
        <v>1368.56461829208</v>
      </c>
      <c r="R29" s="8">
        <f>Q29*(1+R30)</f>
        <v>1446.57280153473</v>
      </c>
    </row>
    <row r="30">
      <c r="C30" s="27" t="inlineStr">
        <is>
          <t>Growth (%)</t>
        </is>
      </c>
      <c r="G30" s="28" t="str">
        <f>IFERROR(G29/F29-1,"N/A")</f>
        <v>N/A</v>
      </c>
      <c r="H30" s="28">
        <f>IFERROR(H29/G29-1,"N/A")</f>
        <v>0.0180180180180181</v>
      </c>
      <c r="I30" s="28">
        <f>IFERROR(I29/H29-1,"N/A")</f>
        <v>0.0606826801517066</v>
      </c>
      <c r="J30" s="28">
        <f>IFERROR(J29/I29-1,"N/A")</f>
        <v>0.0703218116805722</v>
      </c>
      <c r="K30" s="28">
        <f>IFERROR(K29/J29-1,"N/A")</f>
        <v>0.0489977728285078</v>
      </c>
      <c r="L30" s="28">
        <f>IFERROR(L29/K29-1,"N/A")</f>
        <v>0.0445859872611465</v>
      </c>
      <c r="M30" s="28">
        <f>IFERROR(M29/L29-1,"N/A")</f>
        <v>0.0945121951219512</v>
      </c>
      <c r="N30" s="19" t="n">
        <v>0.058</v>
      </c>
      <c r="O30" s="19" t="n">
        <v>0.07000000000000001</v>
      </c>
      <c r="P30" s="19" t="n">
        <v>0.067</v>
      </c>
      <c r="Q30" s="19" t="n">
        <v>0.052</v>
      </c>
      <c r="R30" s="19" t="n">
        <v>0.057</v>
      </c>
    </row>
    <row r="31">
      <c r="C31" s="29" t="inlineStr">
        <is>
          <t>Revenue</t>
        </is>
      </c>
      <c r="G31" s="30">
        <f>G27*G29</f>
        <v>1198134</v>
      </c>
      <c r="H31" s="30">
        <f>H27*H29</f>
        <v>1147741</v>
      </c>
      <c r="I31" s="30">
        <f>I27*I29</f>
        <v>1327298</v>
      </c>
      <c r="J31" s="30">
        <f>J27*J29</f>
        <v>1499660</v>
      </c>
      <c r="K31" s="30">
        <f>K27*K29</f>
        <v>1736106</v>
      </c>
      <c r="L31" s="30">
        <f>L27*L29</f>
        <v>1920768</v>
      </c>
      <c r="M31" s="30">
        <f>M27*M29</f>
        <v>2249853</v>
      </c>
      <c r="N31" s="30">
        <f>N27*N29</f>
        <v>2518404.453492</v>
      </c>
      <c r="O31" s="30">
        <f>O27*O29</f>
        <v>2883321.25880299</v>
      </c>
      <c r="P31" s="30">
        <f>P27*P29</f>
        <v>3347236.11605936</v>
      </c>
      <c r="Q31" s="30">
        <f>Q27*Q29</f>
        <v>3700878.30619326</v>
      </c>
      <c r="R31" s="30">
        <f>R27*R29</f>
        <v>4080036.98954107</v>
      </c>
    </row>
    <row r="33">
      <c r="C33" s="3" t="inlineStr">
        <is>
          <t>Physiotherapy:</t>
        </is>
      </c>
    </row>
    <row r="34">
      <c r="C34" s="14" t="inlineStr">
        <is>
          <t># of Patients</t>
        </is>
      </c>
      <c r="G34" s="26" t="n">
        <v>4412</v>
      </c>
      <c r="H34" s="26" t="n">
        <v>4102</v>
      </c>
      <c r="I34" s="26" t="n">
        <v>4506</v>
      </c>
      <c r="J34" s="26" t="n">
        <v>4959</v>
      </c>
      <c r="K34" s="26" t="n">
        <v>5512</v>
      </c>
      <c r="L34" s="26" t="n">
        <v>5798</v>
      </c>
      <c r="M34" s="26" t="n">
        <v>6293</v>
      </c>
      <c r="N34" s="8">
        <f>M34*(1+N35)</f>
        <v>6582.478</v>
      </c>
      <c r="O34" s="8">
        <f>N34*(1+O35)</f>
        <v>7062.998894</v>
      </c>
      <c r="P34" s="8">
        <f>O34*(1+P35)</f>
        <v>7635.101804414</v>
      </c>
      <c r="Q34" s="8">
        <f>P34*(1+Q35)</f>
        <v>8177.19403252739</v>
      </c>
      <c r="R34" s="8">
        <f>Q34*(1+R35)</f>
        <v>8545.16776399113</v>
      </c>
    </row>
    <row r="35">
      <c r="C35" s="27" t="inlineStr">
        <is>
          <t>Growth (%)</t>
        </is>
      </c>
      <c r="G35" s="28" t="str">
        <f>IFERROR(G34/F34-1,"N/A")</f>
        <v>N/A</v>
      </c>
      <c r="H35" s="28">
        <f>IFERROR(H34/G34-1,"N/A")</f>
        <v>-0.0702629193109701</v>
      </c>
      <c r="I35" s="28">
        <f>IFERROR(I34/H34-1,"N/A")</f>
        <v>0.0984885421745489</v>
      </c>
      <c r="J35" s="28">
        <f>IFERROR(J34/I34-1,"N/A")</f>
        <v>0.100532623169108</v>
      </c>
      <c r="K35" s="28">
        <f>IFERROR(K34/J34-1,"N/A")</f>
        <v>0.111514418229482</v>
      </c>
      <c r="L35" s="28">
        <f>IFERROR(L34/K34-1,"N/A")</f>
        <v>0.0518867924528301</v>
      </c>
      <c r="M35" s="28">
        <f>IFERROR(M34/L34-1,"N/A")</f>
        <v>0.0853742669886168</v>
      </c>
      <c r="N35" s="19" t="n">
        <v>0.046</v>
      </c>
      <c r="O35" s="19" t="n">
        <v>0.073</v>
      </c>
      <c r="P35" s="19" t="n">
        <v>0.081</v>
      </c>
      <c r="Q35" s="19" t="n">
        <v>0.07099999999999999</v>
      </c>
      <c r="R35" s="19" t="n">
        <v>0.045</v>
      </c>
    </row>
    <row r="36">
      <c r="C36" s="14" t="inlineStr">
        <is>
          <t>Gross Revenue [per Patient] (LCA)</t>
        </is>
      </c>
      <c r="G36" s="26" t="n">
        <v>105</v>
      </c>
      <c r="H36" s="26" t="n">
        <v>106</v>
      </c>
      <c r="I36" s="26" t="n">
        <v>111</v>
      </c>
      <c r="J36" s="26" t="n">
        <v>118</v>
      </c>
      <c r="K36" s="26" t="n">
        <v>128</v>
      </c>
      <c r="L36" s="26" t="n">
        <v>131</v>
      </c>
      <c r="M36" s="26" t="n">
        <v>138</v>
      </c>
      <c r="N36" s="8">
        <f>M36*(1+N37)</f>
        <v>147.246</v>
      </c>
      <c r="O36" s="8">
        <f>N36*(1+O37)</f>
        <v>154.902792</v>
      </c>
      <c r="P36" s="8">
        <f>O36*(1+P37)</f>
        <v>164.97147348</v>
      </c>
      <c r="Q36" s="8">
        <f>P36*(1+Q37)</f>
        <v>173.38501862748</v>
      </c>
      <c r="R36" s="8">
        <f>Q36*(1+R37)</f>
        <v>180.667189409834</v>
      </c>
    </row>
    <row r="37">
      <c r="C37" s="27" t="inlineStr">
        <is>
          <t>Growth (%)</t>
        </is>
      </c>
      <c r="G37" s="28" t="str">
        <f>IFERROR(G36/F36-1,"N/A")</f>
        <v>N/A</v>
      </c>
      <c r="H37" s="28">
        <f>IFERROR(H36/G36-1,"N/A")</f>
        <v>0.00952380952380949</v>
      </c>
      <c r="I37" s="28">
        <f>IFERROR(I36/H36-1,"N/A")</f>
        <v>0.0471698113207548</v>
      </c>
      <c r="J37" s="28">
        <f>IFERROR(J36/I36-1,"N/A")</f>
        <v>0.0630630630630631</v>
      </c>
      <c r="K37" s="28">
        <f>IFERROR(K36/J36-1,"N/A")</f>
        <v>0.0847457627118644</v>
      </c>
      <c r="L37" s="28">
        <f>IFERROR(L36/K36-1,"N/A")</f>
        <v>0.0234375</v>
      </c>
      <c r="M37" s="28">
        <f>IFERROR(M36/L36-1,"N/A")</f>
        <v>0.0534351145038168</v>
      </c>
      <c r="N37" s="19" t="n">
        <v>0.067</v>
      </c>
      <c r="O37" s="19" t="n">
        <v>0.052</v>
      </c>
      <c r="P37" s="19" t="n">
        <v>0.065</v>
      </c>
      <c r="Q37" s="19" t="n">
        <v>0.051</v>
      </c>
      <c r="R37" s="19" t="n">
        <v>0.042</v>
      </c>
    </row>
    <row r="38">
      <c r="C38" s="29" t="inlineStr">
        <is>
          <t>Revenue</t>
        </is>
      </c>
      <c r="G38" s="30">
        <f>G34*G36</f>
        <v>463260</v>
      </c>
      <c r="H38" s="30">
        <f>H34*H36</f>
        <v>434812</v>
      </c>
      <c r="I38" s="30">
        <f>I34*I36</f>
        <v>500166</v>
      </c>
      <c r="J38" s="30">
        <f>J34*J36</f>
        <v>585162</v>
      </c>
      <c r="K38" s="30">
        <f>K34*K36</f>
        <v>705536</v>
      </c>
      <c r="L38" s="30">
        <f>L34*L36</f>
        <v>759538</v>
      </c>
      <c r="M38" s="30">
        <f>M34*M36</f>
        <v>868434</v>
      </c>
      <c r="N38" s="30">
        <f>N34*N36</f>
        <v>969243.555588</v>
      </c>
      <c r="O38" s="30">
        <f>O34*O36</f>
        <v>1094078.24857351</v>
      </c>
      <c r="P38" s="30">
        <f>P34*P36</f>
        <v>1259573.99484398</v>
      </c>
      <c r="Q38" s="30">
        <f>Q34*Q36</f>
        <v>1417802.93965028</v>
      </c>
      <c r="R38" s="30">
        <f>R34*R36</f>
        <v>1543831.44295579</v>
      </c>
    </row>
    <row r="40">
      <c r="C40" s="3" t="inlineStr">
        <is>
          <t>IVF:</t>
        </is>
      </c>
    </row>
    <row r="41">
      <c r="C41" s="14" t="inlineStr">
        <is>
          <t># of Patients</t>
        </is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8">
        <f>M41*(1+N42)</f>
        <v>0</v>
      </c>
      <c r="O41" s="8">
        <f>N41*(1+O42)</f>
        <v>0</v>
      </c>
      <c r="P41" s="8">
        <f>O41*(1+P42)</f>
        <v>0</v>
      </c>
      <c r="Q41" s="8">
        <f>P41*(1+Q42)</f>
        <v>0</v>
      </c>
      <c r="R41" s="8">
        <f>Q41*(1+R42)</f>
        <v>0</v>
      </c>
    </row>
    <row r="42">
      <c r="C42" s="27" t="inlineStr">
        <is>
          <t>Growth (%)</t>
        </is>
      </c>
      <c r="G42" s="28" t="str">
        <f>IFERROR(G41/F41-1,"N/A")</f>
        <v>N/A</v>
      </c>
      <c r="H42" s="28" t="str">
        <f>IFERROR(H41/G41-1,"N/A")</f>
        <v>N/A</v>
      </c>
      <c r="I42" s="28" t="str">
        <f>IFERROR(I41/H41-1,"N/A")</f>
        <v>N/A</v>
      </c>
      <c r="J42" s="28" t="str">
        <f>IFERROR(J41/I41-1,"N/A")</f>
        <v>N/A</v>
      </c>
      <c r="K42" s="28" t="str">
        <f>IFERROR(K41/J41-1,"N/A")</f>
        <v>N/A</v>
      </c>
      <c r="L42" s="28" t="str">
        <f>IFERROR(L41/K41-1,"N/A")</f>
        <v>N/A</v>
      </c>
      <c r="M42" s="28" t="str">
        <f>IFERROR(M41/L41-1,"N/A")</f>
        <v>N/A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0</v>
      </c>
    </row>
    <row r="43">
      <c r="C43" s="14" t="inlineStr">
        <is>
          <t>Gross Revenue [per Patient] (LCA)</t>
        </is>
      </c>
      <c r="G43" s="26" t="n">
        <v>3933</v>
      </c>
      <c r="H43" s="26" t="n">
        <v>3970</v>
      </c>
      <c r="I43" s="26" t="n">
        <v>4128</v>
      </c>
      <c r="J43" s="26" t="n">
        <v>4401</v>
      </c>
      <c r="K43" s="26" t="n">
        <v>4681</v>
      </c>
      <c r="L43" s="26" t="n">
        <v>4864</v>
      </c>
      <c r="M43" s="26" t="n">
        <v>5008</v>
      </c>
      <c r="N43" s="8">
        <f>M43*(1+N44)</f>
        <v>5308.48</v>
      </c>
      <c r="O43" s="8">
        <f>N43*(1+O44)</f>
        <v>5642.91424</v>
      </c>
      <c r="P43" s="8">
        <f>O43*(1+P44)</f>
        <v>5936.34578048</v>
      </c>
      <c r="Q43" s="8">
        <f>P43*(1+Q44)</f>
        <v>6298.46287308928</v>
      </c>
      <c r="R43" s="8">
        <f>Q43*(1+R44)</f>
        <v>6644.87833110919</v>
      </c>
    </row>
    <row r="44">
      <c r="C44" s="27" t="inlineStr">
        <is>
          <t>Growth (%)</t>
        </is>
      </c>
      <c r="G44" s="28" t="str">
        <f>IFERROR(G43/F43-1,"N/A")</f>
        <v>N/A</v>
      </c>
      <c r="H44" s="28">
        <f>IFERROR(H43/G43-1,"N/A")</f>
        <v>0.00940757691329774</v>
      </c>
      <c r="I44" s="28">
        <f>IFERROR(I43/H43-1,"N/A")</f>
        <v>0.0397984886649874</v>
      </c>
      <c r="J44" s="28">
        <f>IFERROR(J43/I43-1,"N/A")</f>
        <v>0.0661337209302326</v>
      </c>
      <c r="K44" s="28">
        <f>IFERROR(K43/J43-1,"N/A")</f>
        <v>0.0636219041127017</v>
      </c>
      <c r="L44" s="28">
        <f>IFERROR(L43/K43-1,"N/A")</f>
        <v>0.0390942106387524</v>
      </c>
      <c r="M44" s="28">
        <f>IFERROR(M43/L43-1,"N/A")</f>
        <v>0.0296052631578947</v>
      </c>
      <c r="N44" s="19" t="n">
        <v>0.06</v>
      </c>
      <c r="O44" s="19" t="n">
        <v>0.063</v>
      </c>
      <c r="P44" s="19" t="n">
        <v>0.052</v>
      </c>
      <c r="Q44" s="19" t="n">
        <v>0.061</v>
      </c>
      <c r="R44" s="19" t="n">
        <v>0.055</v>
      </c>
    </row>
    <row r="45">
      <c r="C45" s="29" t="inlineStr">
        <is>
          <t>Revenue</t>
        </is>
      </c>
      <c r="G45" s="30">
        <f>G41*G43</f>
        <v>0</v>
      </c>
      <c r="H45" s="30">
        <f>H41*H43</f>
        <v>0</v>
      </c>
      <c r="I45" s="30">
        <f>I41*I43</f>
        <v>0</v>
      </c>
      <c r="J45" s="30">
        <f>J41*J43</f>
        <v>0</v>
      </c>
      <c r="K45" s="30">
        <f>K41*K43</f>
        <v>0</v>
      </c>
      <c r="L45" s="30">
        <f>L41*L43</f>
        <v>0</v>
      </c>
      <c r="M45" s="30">
        <f>M41*M43</f>
        <v>0</v>
      </c>
      <c r="N45" s="30">
        <f>N41*N43</f>
        <v>0</v>
      </c>
      <c r="O45" s="30">
        <f>O41*O43</f>
        <v>0</v>
      </c>
      <c r="P45" s="30">
        <f>P41*P43</f>
        <v>0</v>
      </c>
      <c r="Q45" s="30">
        <f>Q41*Q43</f>
        <v>0</v>
      </c>
      <c r="R45" s="30">
        <f>R41*R43</f>
        <v>0</v>
      </c>
    </row>
    <row r="47">
      <c r="C47" s="3" t="inlineStr">
        <is>
          <t>Anapath:</t>
        </is>
      </c>
    </row>
    <row r="48">
      <c r="C48" s="14" t="inlineStr">
        <is>
          <t># of Patients</t>
        </is>
      </c>
      <c r="G48" s="26" t="n">
        <v>5969</v>
      </c>
      <c r="H48" s="26" t="n">
        <v>5421</v>
      </c>
      <c r="I48" s="26" t="n">
        <v>5896</v>
      </c>
      <c r="J48" s="26" t="n">
        <v>6412</v>
      </c>
      <c r="K48" s="26" t="n">
        <v>6919</v>
      </c>
      <c r="L48" s="26" t="n">
        <v>7639</v>
      </c>
      <c r="M48" s="26" t="n">
        <v>8207</v>
      </c>
      <c r="N48" s="8">
        <f>M48*(1+N49)</f>
        <v>8904.595</v>
      </c>
      <c r="O48" s="8">
        <f>N48*(1+O49)</f>
        <v>9563.53503</v>
      </c>
      <c r="P48" s="8">
        <f>O48*(1+P49)</f>
        <v>10051.27531653</v>
      </c>
      <c r="Q48" s="8">
        <f>P48*(1+Q49)</f>
        <v>10573.9416329896</v>
      </c>
      <c r="R48" s="8">
        <f>Q48*(1+R49)</f>
        <v>11155.508422804</v>
      </c>
    </row>
    <row r="49">
      <c r="C49" s="27" t="inlineStr">
        <is>
          <t>Growth (%)</t>
        </is>
      </c>
      <c r="G49" s="28" t="str">
        <f>IFERROR(G48/F48-1,"N/A")</f>
        <v>N/A</v>
      </c>
      <c r="H49" s="28">
        <f>IFERROR(H48/G48-1,"N/A")</f>
        <v>-0.0918076729770481</v>
      </c>
      <c r="I49" s="28">
        <f>IFERROR(I48/H48-1,"N/A")</f>
        <v>0.0876222099243682</v>
      </c>
      <c r="J49" s="28">
        <f>IFERROR(J48/I48-1,"N/A")</f>
        <v>0.0875169606512891</v>
      </c>
      <c r="K49" s="28">
        <f>IFERROR(K48/J48-1,"N/A")</f>
        <v>0.0790704928259514</v>
      </c>
      <c r="L49" s="28">
        <f>IFERROR(L48/K48-1,"N/A")</f>
        <v>0.104061280531869</v>
      </c>
      <c r="M49" s="28">
        <f>IFERROR(M48/L48-1,"N/A")</f>
        <v>0.0743552821049875</v>
      </c>
      <c r="N49" s="19" t="n">
        <v>0.08500000000000001</v>
      </c>
      <c r="O49" s="19" t="n">
        <v>0.074</v>
      </c>
      <c r="P49" s="19" t="n">
        <v>0.051</v>
      </c>
      <c r="Q49" s="19" t="n">
        <v>0.052</v>
      </c>
      <c r="R49" s="19" t="n">
        <v>0.055</v>
      </c>
    </row>
    <row r="50">
      <c r="C50" s="14" t="inlineStr">
        <is>
          <t>Gross Revenue [per Patient] (LCA)</t>
        </is>
      </c>
      <c r="G50" s="26" t="n">
        <v>131</v>
      </c>
      <c r="H50" s="26" t="n">
        <v>133</v>
      </c>
      <c r="I50" s="26" t="n">
        <v>138</v>
      </c>
      <c r="J50" s="26" t="n">
        <v>147</v>
      </c>
      <c r="K50" s="26" t="n">
        <v>152</v>
      </c>
      <c r="L50" s="26" t="n">
        <v>168</v>
      </c>
      <c r="M50" s="26" t="n">
        <v>177</v>
      </c>
      <c r="N50" s="8">
        <f>M50*(1+N51)</f>
        <v>187.443</v>
      </c>
      <c r="O50" s="8">
        <f>N50*(1+O51)</f>
        <v>195.503049</v>
      </c>
      <c r="P50" s="8">
        <f>O50*(1+P51)</f>
        <v>204.691692303</v>
      </c>
      <c r="Q50" s="8">
        <f>P50*(1+Q51)</f>
        <v>218.406035687301</v>
      </c>
      <c r="R50" s="8">
        <f>Q50*(1+R51)</f>
        <v>229.326337471666</v>
      </c>
    </row>
    <row r="51">
      <c r="C51" s="27" t="inlineStr">
        <is>
          <t>Growth (%)</t>
        </is>
      </c>
      <c r="G51" s="28" t="str">
        <f>IFERROR(G50/F50-1,"N/A")</f>
        <v>N/A</v>
      </c>
      <c r="H51" s="28">
        <f>IFERROR(H50/G50-1,"N/A")</f>
        <v>0.0152671755725191</v>
      </c>
      <c r="I51" s="28">
        <f>IFERROR(I50/H50-1,"N/A")</f>
        <v>0.0375939849624061</v>
      </c>
      <c r="J51" s="28">
        <f>IFERROR(J50/I50-1,"N/A")</f>
        <v>0.0652173913043479</v>
      </c>
      <c r="K51" s="28">
        <f>IFERROR(K50/J50-1,"N/A")</f>
        <v>0.0340136054421769</v>
      </c>
      <c r="L51" s="28">
        <f>IFERROR(L50/K50-1,"N/A")</f>
        <v>0.105263157894737</v>
      </c>
      <c r="M51" s="28">
        <f>IFERROR(M50/L50-1,"N/A")</f>
        <v>0.0535714285714286</v>
      </c>
      <c r="N51" s="19" t="n">
        <v>0.059</v>
      </c>
      <c r="O51" s="19" t="n">
        <v>0.043</v>
      </c>
      <c r="P51" s="19" t="n">
        <v>0.047</v>
      </c>
      <c r="Q51" s="19" t="n">
        <v>0.067</v>
      </c>
      <c r="R51" s="19" t="n">
        <v>0.05</v>
      </c>
    </row>
    <row r="52">
      <c r="C52" s="29" t="inlineStr">
        <is>
          <t>Revenue</t>
        </is>
      </c>
      <c r="G52" s="30">
        <f>G48*G50</f>
        <v>781939</v>
      </c>
      <c r="H52" s="30">
        <f>H48*H50</f>
        <v>720993</v>
      </c>
      <c r="I52" s="30">
        <f>I48*I50</f>
        <v>813648</v>
      </c>
      <c r="J52" s="30">
        <f>J48*J50</f>
        <v>942564</v>
      </c>
      <c r="K52" s="30">
        <f>K48*K50</f>
        <v>1051688</v>
      </c>
      <c r="L52" s="30">
        <f>L48*L50</f>
        <v>1283352</v>
      </c>
      <c r="M52" s="30">
        <f>M48*M50</f>
        <v>1452639</v>
      </c>
      <c r="N52" s="30">
        <f>N48*N50</f>
        <v>1669104.000585</v>
      </c>
      <c r="O52" s="30">
        <f>O48*O50</f>
        <v>1869700.25758331</v>
      </c>
      <c r="P52" s="30">
        <f>P48*P50</f>
        <v>2057412.5543439</v>
      </c>
      <c r="Q52" s="30">
        <f>Q48*Q50</f>
        <v>2309412.67365016</v>
      </c>
      <c r="R52" s="30">
        <f>R48*R50</f>
        <v>2558251.88923596</v>
      </c>
    </row>
    <row r="54">
      <c r="C54" s="3" t="inlineStr">
        <is>
          <t>Surgery:</t>
        </is>
      </c>
    </row>
    <row r="55">
      <c r="C55" s="14" t="inlineStr">
        <is>
          <t># of Surgeries</t>
        </is>
      </c>
      <c r="G55" s="26" t="n">
        <v>3200</v>
      </c>
      <c r="H55" s="26" t="n">
        <v>2973</v>
      </c>
      <c r="I55" s="26" t="n">
        <v>3266</v>
      </c>
      <c r="J55" s="26" t="n">
        <v>3588</v>
      </c>
      <c r="K55" s="26" t="n">
        <v>3786</v>
      </c>
      <c r="L55" s="26" t="n">
        <v>4010</v>
      </c>
      <c r="M55" s="26" t="n">
        <v>4221</v>
      </c>
      <c r="N55" s="8">
        <f>M55*(1+N56)</f>
        <v>4537.575</v>
      </c>
      <c r="O55" s="8">
        <f>N55*(1+O56)</f>
        <v>4896.043425</v>
      </c>
      <c r="P55" s="8">
        <f>O55*(1+P56)</f>
        <v>5175.117900225</v>
      </c>
      <c r="Q55" s="8">
        <f>P55*(1+Q56)</f>
        <v>5609.8278038439</v>
      </c>
      <c r="R55" s="8">
        <f>Q55*(1+R56)</f>
        <v>5884.70936623225</v>
      </c>
    </row>
    <row r="56">
      <c r="C56" s="27" t="inlineStr">
        <is>
          <t>Growth (%)</t>
        </is>
      </c>
      <c r="G56" s="28" t="str">
        <f>IFERROR(G55/F55-1,"N/A")</f>
        <v>N/A</v>
      </c>
      <c r="H56" s="28">
        <f>IFERROR(H55/G55-1,"N/A")</f>
        <v>-0.0709375</v>
      </c>
      <c r="I56" s="28">
        <f>IFERROR(I55/H55-1,"N/A")</f>
        <v>0.0985536495122772</v>
      </c>
      <c r="J56" s="28">
        <f>IFERROR(J55/I55-1,"N/A")</f>
        <v>0.0985915492957747</v>
      </c>
      <c r="K56" s="28">
        <f>IFERROR(K55/J55-1,"N/A")</f>
        <v>0.0551839464882944</v>
      </c>
      <c r="L56" s="28">
        <f>IFERROR(L55/K55-1,"N/A")</f>
        <v>0.0591653460116217</v>
      </c>
      <c r="M56" s="28">
        <f>IFERROR(M55/L55-1,"N/A")</f>
        <v>0.0526184538653367</v>
      </c>
      <c r="N56" s="19" t="n">
        <v>0.075</v>
      </c>
      <c r="O56" s="19" t="n">
        <v>0.079</v>
      </c>
      <c r="P56" s="19" t="n">
        <v>0.057</v>
      </c>
      <c r="Q56" s="19" t="n">
        <v>0.08400000000000001</v>
      </c>
      <c r="R56" s="19" t="n">
        <v>0.049</v>
      </c>
    </row>
    <row r="57">
      <c r="C57" s="14" t="inlineStr">
        <is>
          <t>Gross Revenue [per Surgery] (LCA)</t>
        </is>
      </c>
      <c r="G57" s="26" t="n">
        <v>2017</v>
      </c>
      <c r="H57" s="26" t="n">
        <v>2061</v>
      </c>
      <c r="I57" s="26" t="n">
        <v>2232</v>
      </c>
      <c r="J57" s="26" t="n">
        <v>2373</v>
      </c>
      <c r="K57" s="26" t="n">
        <v>2498</v>
      </c>
      <c r="L57" s="26" t="n">
        <v>2612</v>
      </c>
      <c r="M57" s="26" t="n">
        <v>2856</v>
      </c>
      <c r="N57" s="8">
        <f>M57*(1+N58)</f>
        <v>3010.224</v>
      </c>
      <c r="O57" s="8">
        <f>N57*(1+O58)</f>
        <v>3175.78632</v>
      </c>
      <c r="P57" s="8">
        <f>O57*(1+P58)</f>
        <v>3337.75142232</v>
      </c>
      <c r="Q57" s="8">
        <f>P57*(1+Q58)</f>
        <v>3521.3277505476</v>
      </c>
      <c r="R57" s="8">
        <f>Q57*(1+R58)</f>
        <v>3718.52210457827</v>
      </c>
    </row>
    <row r="58">
      <c r="C58" s="27" t="inlineStr">
        <is>
          <t>Growth (%)</t>
        </is>
      </c>
      <c r="G58" s="28" t="str">
        <f>IFERROR(G57/F57-1,"N/A")</f>
        <v>N/A</v>
      </c>
      <c r="H58" s="28">
        <f>IFERROR(H57/G57-1,"N/A")</f>
        <v>0.0218145761031234</v>
      </c>
      <c r="I58" s="28">
        <f>IFERROR(I57/H57-1,"N/A")</f>
        <v>0.0829694323144106</v>
      </c>
      <c r="J58" s="28">
        <f>IFERROR(J57/I57-1,"N/A")</f>
        <v>0.0631720430107527</v>
      </c>
      <c r="K58" s="28">
        <f>IFERROR(K57/J57-1,"N/A")</f>
        <v>0.0526759376316899</v>
      </c>
      <c r="L58" s="28">
        <f>IFERROR(L57/K57-1,"N/A")</f>
        <v>0.0456365092073658</v>
      </c>
      <c r="M58" s="28">
        <f>IFERROR(M57/L57-1,"N/A")</f>
        <v>0.0934150076569678</v>
      </c>
      <c r="N58" s="19" t="n">
        <v>0.054</v>
      </c>
      <c r="O58" s="19" t="n">
        <v>0.055</v>
      </c>
      <c r="P58" s="19" t="n">
        <v>0.051</v>
      </c>
      <c r="Q58" s="19" t="n">
        <v>0.055</v>
      </c>
      <c r="R58" s="19" t="n">
        <v>0.056</v>
      </c>
    </row>
    <row r="59">
      <c r="C59" s="29" t="inlineStr">
        <is>
          <t>Revenue</t>
        </is>
      </c>
      <c r="G59" s="30">
        <f>G55*G57</f>
        <v>6454400</v>
      </c>
      <c r="H59" s="30">
        <f>H55*H57</f>
        <v>6127353</v>
      </c>
      <c r="I59" s="30">
        <f>I55*I57</f>
        <v>7289712</v>
      </c>
      <c r="J59" s="30">
        <f>J55*J57</f>
        <v>8514324</v>
      </c>
      <c r="K59" s="30">
        <f>K55*K57</f>
        <v>9457428</v>
      </c>
      <c r="L59" s="30">
        <f>L55*L57</f>
        <v>10474120</v>
      </c>
      <c r="M59" s="30">
        <f>M55*M57</f>
        <v>12055176</v>
      </c>
      <c r="N59" s="30">
        <f>N55*N57</f>
        <v>13659117.1668</v>
      </c>
      <c r="O59" s="30">
        <f>O55*O57</f>
        <v>15548787.7312409</v>
      </c>
      <c r="P59" s="30">
        <f>P55*P57</f>
        <v>17273257.1321497</v>
      </c>
      <c r="Q59" s="30">
        <f>Q55*Q57</f>
        <v>19754042.321469</v>
      </c>
      <c r="R59" s="30">
        <f>R55*R57</f>
        <v>21882421.8573534</v>
      </c>
    </row>
    <row r="61">
      <c r="C61" s="3" t="inlineStr">
        <is>
          <t>Cardiac Cath:</t>
        </is>
      </c>
    </row>
    <row r="62">
      <c r="C62" s="14" t="inlineStr">
        <is>
          <t># of Surgeries</t>
        </is>
      </c>
      <c r="G62" s="26" t="n">
        <v>293</v>
      </c>
      <c r="H62" s="26" t="n">
        <v>273</v>
      </c>
      <c r="I62" s="26" t="n">
        <v>289</v>
      </c>
      <c r="J62" s="26" t="n">
        <v>314</v>
      </c>
      <c r="K62" s="26" t="n">
        <v>346</v>
      </c>
      <c r="L62" s="26" t="n">
        <v>372</v>
      </c>
      <c r="M62" s="26" t="n">
        <v>405</v>
      </c>
      <c r="N62" s="8">
        <f>M62*(1+N63)</f>
        <v>437.805</v>
      </c>
      <c r="O62" s="8">
        <f>N62*(1+O63)</f>
        <v>470.640375</v>
      </c>
      <c r="P62" s="8">
        <f>O62*(1+P63)</f>
        <v>508.291605</v>
      </c>
      <c r="Q62" s="8">
        <f>P62*(1+Q63)</f>
        <v>539.297392905</v>
      </c>
      <c r="R62" s="8">
        <f>Q62*(1+R63)</f>
        <v>580.823292158685</v>
      </c>
    </row>
    <row r="63">
      <c r="C63" s="27" t="inlineStr">
        <is>
          <t>Growth (%)</t>
        </is>
      </c>
      <c r="G63" s="28" t="str">
        <f>IFERROR(G62/F62-1,"N/A")</f>
        <v>N/A</v>
      </c>
      <c r="H63" s="28">
        <f>IFERROR(H62/G62-1,"N/A")</f>
        <v>-0.068259385665529</v>
      </c>
      <c r="I63" s="28">
        <f>IFERROR(I62/H62-1,"N/A")</f>
        <v>0.0586080586080586</v>
      </c>
      <c r="J63" s="28">
        <f>IFERROR(J62/I62-1,"N/A")</f>
        <v>0.0865051903114187</v>
      </c>
      <c r="K63" s="28">
        <f>IFERROR(K62/J62-1,"N/A")</f>
        <v>0.101910828025478</v>
      </c>
      <c r="L63" s="28">
        <f>IFERROR(L62/K62-1,"N/A")</f>
        <v>0.0751445086705203</v>
      </c>
      <c r="M63" s="28">
        <f>IFERROR(M62/L62-1,"N/A")</f>
        <v>0.0887096774193548</v>
      </c>
      <c r="N63" s="19" t="n">
        <v>0.081</v>
      </c>
      <c r="O63" s="19" t="n">
        <v>0.075</v>
      </c>
      <c r="P63" s="19" t="n">
        <v>0.08</v>
      </c>
      <c r="Q63" s="19" t="n">
        <v>0.061</v>
      </c>
      <c r="R63" s="19" t="n">
        <v>0.077</v>
      </c>
    </row>
    <row r="64">
      <c r="C64" s="14" t="inlineStr">
        <is>
          <t>Gross Revenue [per Surgery] (LCA)</t>
        </is>
      </c>
      <c r="G64" s="26" t="n">
        <v>4239</v>
      </c>
      <c r="H64" s="26" t="n">
        <v>4226</v>
      </c>
      <c r="I64" s="26" t="n">
        <v>4409</v>
      </c>
      <c r="J64" s="26" t="n">
        <v>4810</v>
      </c>
      <c r="K64" s="26" t="n">
        <v>5292</v>
      </c>
      <c r="L64" s="26" t="n">
        <v>5687</v>
      </c>
      <c r="M64" s="26" t="n">
        <v>5950</v>
      </c>
      <c r="N64" s="8">
        <f>M64*(1+N65)</f>
        <v>6211.8</v>
      </c>
      <c r="O64" s="8">
        <f>N64*(1+O65)</f>
        <v>6553.449</v>
      </c>
      <c r="P64" s="8">
        <f>O64*(1+P65)</f>
        <v>6874.568001</v>
      </c>
      <c r="Q64" s="8">
        <f>P64*(1+Q65)</f>
        <v>7293.916649061</v>
      </c>
      <c r="R64" s="8">
        <f>Q64*(1+R65)</f>
        <v>7607.55506497062</v>
      </c>
    </row>
    <row r="65">
      <c r="C65" s="27" t="inlineStr">
        <is>
          <t>Growth (%)</t>
        </is>
      </c>
      <c r="G65" s="28" t="str">
        <f>IFERROR(G64/F64-1,"N/A")</f>
        <v>N/A</v>
      </c>
      <c r="H65" s="28">
        <f>IFERROR(H64/G64-1,"N/A")</f>
        <v>-0.00306676102854442</v>
      </c>
      <c r="I65" s="28">
        <f>IFERROR(I64/H64-1,"N/A")</f>
        <v>0.0433033601514434</v>
      </c>
      <c r="J65" s="28">
        <f>IFERROR(J64/I64-1,"N/A")</f>
        <v>0.0909503288727602</v>
      </c>
      <c r="K65" s="28">
        <f>IFERROR(K64/J64-1,"N/A")</f>
        <v>0.1002079002079</v>
      </c>
      <c r="L65" s="28">
        <f>IFERROR(L64/K64-1,"N/A")</f>
        <v>0.0746409674981103</v>
      </c>
      <c r="M65" s="28">
        <f>IFERROR(M64/L64-1,"N/A")</f>
        <v>0.0462458238086865</v>
      </c>
      <c r="N65" s="19" t="n">
        <v>0.044</v>
      </c>
      <c r="O65" s="19" t="n">
        <v>0.055</v>
      </c>
      <c r="P65" s="19" t="n">
        <v>0.049</v>
      </c>
      <c r="Q65" s="19" t="n">
        <v>0.061</v>
      </c>
      <c r="R65" s="19" t="n">
        <v>0.043</v>
      </c>
    </row>
    <row r="66">
      <c r="C66" s="29" t="inlineStr">
        <is>
          <t>Revenue</t>
        </is>
      </c>
      <c r="G66" s="30">
        <f>G62*G64</f>
        <v>1242027</v>
      </c>
      <c r="H66" s="30">
        <f>H62*H64</f>
        <v>1153698</v>
      </c>
      <c r="I66" s="30">
        <f>I62*I64</f>
        <v>1274201</v>
      </c>
      <c r="J66" s="30">
        <f>J62*J64</f>
        <v>1510340</v>
      </c>
      <c r="K66" s="30">
        <f>K62*K64</f>
        <v>1831032</v>
      </c>
      <c r="L66" s="30">
        <f>L62*L64</f>
        <v>2115564</v>
      </c>
      <c r="M66" s="30">
        <f>M62*M64</f>
        <v>2409750</v>
      </c>
      <c r="N66" s="30">
        <f>N62*N64</f>
        <v>2719557.099</v>
      </c>
      <c r="O66" s="30">
        <f>O62*O64</f>
        <v>3084317.69490337</v>
      </c>
      <c r="P66" s="30">
        <f>P62*P64</f>
        <v>3494285.20290993</v>
      </c>
      <c r="Q66" s="30">
        <f>Q62*Q64</f>
        <v>3933590.23290497</v>
      </c>
      <c r="R66" s="30">
        <f>R62*R64</f>
        <v>4418645.17811472</v>
      </c>
    </row>
    <row r="68">
      <c r="C68" s="3" t="inlineStr">
        <is>
          <t>Heart Test:</t>
        </is>
      </c>
    </row>
    <row r="69">
      <c r="C69" s="14" t="inlineStr">
        <is>
          <t># of Tests</t>
        </is>
      </c>
      <c r="G69" s="26" t="n">
        <v>4083</v>
      </c>
      <c r="H69" s="26" t="n">
        <v>3796</v>
      </c>
      <c r="I69" s="26" t="n">
        <v>4117</v>
      </c>
      <c r="J69" s="26" t="n">
        <v>4349</v>
      </c>
      <c r="K69" s="26" t="n">
        <v>4661</v>
      </c>
      <c r="L69" s="26" t="n">
        <v>5047</v>
      </c>
      <c r="M69" s="26" t="n">
        <v>5608</v>
      </c>
      <c r="N69" s="8">
        <f>M69*(1+N70)</f>
        <v>5927.656</v>
      </c>
      <c r="O69" s="8">
        <f>N69*(1+O70)</f>
        <v>6224.0388</v>
      </c>
      <c r="P69" s="8">
        <f>O69*(1+P70)</f>
        <v>6684.6176712</v>
      </c>
      <c r="Q69" s="8">
        <f>P69*(1+Q70)</f>
        <v>6978.7408487328</v>
      </c>
      <c r="R69" s="8">
        <f>Q69*(1+R70)</f>
        <v>7467.2527081441</v>
      </c>
    </row>
    <row r="70">
      <c r="C70" s="27" t="inlineStr">
        <is>
          <t>Growth (%)</t>
        </is>
      </c>
      <c r="G70" s="28" t="str">
        <f>IFERROR(G69/F69-1,"N/A")</f>
        <v>N/A</v>
      </c>
      <c r="H70" s="28">
        <f>IFERROR(H69/G69-1,"N/A")</f>
        <v>-0.0702914523634582</v>
      </c>
      <c r="I70" s="28">
        <f>IFERROR(I69/H69-1,"N/A")</f>
        <v>0.0845626975763962</v>
      </c>
      <c r="J70" s="28">
        <f>IFERROR(J69/I69-1,"N/A")</f>
        <v>0.0563517124119504</v>
      </c>
      <c r="K70" s="28">
        <f>IFERROR(K69/J69-1,"N/A")</f>
        <v>0.071740630029892</v>
      </c>
      <c r="L70" s="28">
        <f>IFERROR(L69/K69-1,"N/A")</f>
        <v>0.0828148465994423</v>
      </c>
      <c r="M70" s="28">
        <f>IFERROR(M69/L69-1,"N/A")</f>
        <v>0.111155141668318</v>
      </c>
      <c r="N70" s="19" t="n">
        <v>0.057</v>
      </c>
      <c r="O70" s="19" t="n">
        <v>0.05</v>
      </c>
      <c r="P70" s="19" t="n">
        <v>0.074</v>
      </c>
      <c r="Q70" s="19" t="n">
        <v>0.044</v>
      </c>
      <c r="R70" s="19" t="n">
        <v>0.07000000000000001</v>
      </c>
    </row>
    <row r="71">
      <c r="C71" s="14" t="inlineStr">
        <is>
          <t>Gross Revenue [per Test] (LCA)</t>
        </is>
      </c>
      <c r="G71" s="26" t="n">
        <v>213</v>
      </c>
      <c r="H71" s="26" t="n">
        <v>214</v>
      </c>
      <c r="I71" s="26" t="n">
        <v>226</v>
      </c>
      <c r="J71" s="26" t="n">
        <v>233</v>
      </c>
      <c r="K71" s="26" t="n">
        <v>247</v>
      </c>
      <c r="L71" s="26" t="n">
        <v>261</v>
      </c>
      <c r="M71" s="26" t="n">
        <v>293</v>
      </c>
      <c r="N71" s="8">
        <f>M71*(1+N72)</f>
        <v>312.924</v>
      </c>
      <c r="O71" s="8">
        <f>N71*(1+O72)</f>
        <v>333.889908</v>
      </c>
      <c r="P71" s="8">
        <f>O71*(1+P72)</f>
        <v>349.916623584</v>
      </c>
      <c r="Q71" s="8">
        <f>P71*(1+Q72)</f>
        <v>366.012788268864</v>
      </c>
      <c r="R71" s="8">
        <f>Q71*(1+R72)</f>
        <v>381.751338164425</v>
      </c>
    </row>
    <row r="72">
      <c r="C72" s="27" t="inlineStr">
        <is>
          <t>Growth (%)</t>
        </is>
      </c>
      <c r="G72" s="28" t="str">
        <f>IFERROR(G71/F71-1,"N/A")</f>
        <v>N/A</v>
      </c>
      <c r="H72" s="28">
        <f>IFERROR(H71/G71-1,"N/A")</f>
        <v>0.00469483568075124</v>
      </c>
      <c r="I72" s="28">
        <f>IFERROR(I71/H71-1,"N/A")</f>
        <v>0.0560747663551402</v>
      </c>
      <c r="J72" s="28">
        <f>IFERROR(J71/I71-1,"N/A")</f>
        <v>0.0309734513274336</v>
      </c>
      <c r="K72" s="28">
        <f>IFERROR(K71/J71-1,"N/A")</f>
        <v>0.0600858369098714</v>
      </c>
      <c r="L72" s="28">
        <f>IFERROR(L71/K71-1,"N/A")</f>
        <v>0.0566801619433199</v>
      </c>
      <c r="M72" s="28">
        <f>IFERROR(M71/L71-1,"N/A")</f>
        <v>0.122605363984674</v>
      </c>
      <c r="N72" s="19" t="n">
        <v>0.068</v>
      </c>
      <c r="O72" s="19" t="n">
        <v>0.067</v>
      </c>
      <c r="P72" s="19" t="n">
        <v>0.048</v>
      </c>
      <c r="Q72" s="19" t="n">
        <v>0.046</v>
      </c>
      <c r="R72" s="19" t="n">
        <v>0.043</v>
      </c>
    </row>
    <row r="73">
      <c r="C73" s="29" t="inlineStr">
        <is>
          <t>Revenue</t>
        </is>
      </c>
      <c r="G73" s="30">
        <f>G69*G71</f>
        <v>869679</v>
      </c>
      <c r="H73" s="30">
        <f>H69*H71</f>
        <v>812344</v>
      </c>
      <c r="I73" s="30">
        <f>I69*I71</f>
        <v>930442</v>
      </c>
      <c r="J73" s="30">
        <f>J69*J71</f>
        <v>1013317</v>
      </c>
      <c r="K73" s="30">
        <f>K69*K71</f>
        <v>1151267</v>
      </c>
      <c r="L73" s="30">
        <f>L69*L71</f>
        <v>1317267</v>
      </c>
      <c r="M73" s="30">
        <f>M69*M71</f>
        <v>1643144</v>
      </c>
      <c r="N73" s="30">
        <f>N69*N71</f>
        <v>1854905.826144</v>
      </c>
      <c r="O73" s="30">
        <f>O69*O71</f>
        <v>2078143.74232043</v>
      </c>
      <c r="P73" s="30">
        <f>P69*P71</f>
        <v>2339058.84545625</v>
      </c>
      <c r="Q73" s="30">
        <f>Q69*Q71</f>
        <v>2554308.39665051</v>
      </c>
      <c r="R73" s="30">
        <f>R69*R71</f>
        <v>2850633.71374594</v>
      </c>
    </row>
    <row r="75">
      <c r="C75" s="3" t="inlineStr">
        <is>
          <t>Emergency:</t>
        </is>
      </c>
    </row>
    <row r="76">
      <c r="C76" s="14" t="inlineStr">
        <is>
          <t># of Visits</t>
        </is>
      </c>
      <c r="G76" s="26" t="n">
        <v>14069</v>
      </c>
      <c r="H76" s="26" t="n">
        <v>13115</v>
      </c>
      <c r="I76" s="26" t="n">
        <v>13986</v>
      </c>
      <c r="J76" s="26" t="n">
        <v>15535</v>
      </c>
      <c r="K76" s="26" t="n">
        <v>16371</v>
      </c>
      <c r="L76" s="26" t="n">
        <v>17413</v>
      </c>
      <c r="M76" s="26" t="n">
        <v>18984</v>
      </c>
      <c r="N76" s="8">
        <f>M76*(1+N77)</f>
        <v>19781.328</v>
      </c>
      <c r="O76" s="8">
        <f>N76*(1+O77)</f>
        <v>20790.175728</v>
      </c>
      <c r="P76" s="8">
        <f>O76*(1+P77)</f>
        <v>22287.068380416</v>
      </c>
      <c r="Q76" s="8">
        <f>P76*(1+Q77)</f>
        <v>23713.4407567626</v>
      </c>
      <c r="R76" s="8">
        <f>Q76*(1+R77)</f>
        <v>25515.6622542766</v>
      </c>
    </row>
    <row r="77">
      <c r="C77" s="27" t="inlineStr">
        <is>
          <t>Growth (%)</t>
        </is>
      </c>
      <c r="G77" s="28" t="str">
        <f>IFERROR(G76/F76-1,"N/A")</f>
        <v>N/A</v>
      </c>
      <c r="H77" s="28">
        <f>IFERROR(H76/G76-1,"N/A")</f>
        <v>-0.0678086573317223</v>
      </c>
      <c r="I77" s="28">
        <f>IFERROR(I76/H76-1,"N/A")</f>
        <v>0.0664125047655357</v>
      </c>
      <c r="J77" s="28">
        <f>IFERROR(J76/I76-1,"N/A")</f>
        <v>0.110753610753611</v>
      </c>
      <c r="K77" s="28">
        <f>IFERROR(K76/J76-1,"N/A")</f>
        <v>0.0538139684583199</v>
      </c>
      <c r="L77" s="28">
        <f>IFERROR(L76/K76-1,"N/A")</f>
        <v>0.0636491356667277</v>
      </c>
      <c r="M77" s="28">
        <f>IFERROR(M76/L76-1,"N/A")</f>
        <v>0.0902199506116119</v>
      </c>
      <c r="N77" s="19" t="n">
        <v>0.042</v>
      </c>
      <c r="O77" s="19" t="n">
        <v>0.051</v>
      </c>
      <c r="P77" s="19" t="n">
        <v>0.07199999999999999</v>
      </c>
      <c r="Q77" s="19" t="n">
        <v>0.064</v>
      </c>
      <c r="R77" s="19" t="n">
        <v>0.076</v>
      </c>
    </row>
    <row r="78">
      <c r="C78" s="14" t="inlineStr">
        <is>
          <t>Gross Revenue [per Visit] (LCA)</t>
        </is>
      </c>
      <c r="G78" s="26" t="n">
        <v>156</v>
      </c>
      <c r="H78" s="26" t="n">
        <v>162</v>
      </c>
      <c r="I78" s="26" t="n">
        <v>172</v>
      </c>
      <c r="J78" s="26" t="n">
        <v>181</v>
      </c>
      <c r="K78" s="26" t="n">
        <v>193</v>
      </c>
      <c r="L78" s="26" t="n">
        <v>204</v>
      </c>
      <c r="M78" s="26" t="n">
        <v>216</v>
      </c>
      <c r="N78" s="8">
        <f>M78*(1+N79)</f>
        <v>229.392</v>
      </c>
      <c r="O78" s="8">
        <f>N78*(1+O79)</f>
        <v>239.485248</v>
      </c>
      <c r="P78" s="8">
        <f>O78*(1+P79)</f>
        <v>252.177966144</v>
      </c>
      <c r="Q78" s="8">
        <f>P78*(1+Q79)</f>
        <v>263.52597462048</v>
      </c>
      <c r="R78" s="8">
        <f>Q78*(1+R79)</f>
        <v>281.709266869293</v>
      </c>
    </row>
    <row r="79">
      <c r="C79" s="27" t="inlineStr">
        <is>
          <t>Growth (%)</t>
        </is>
      </c>
      <c r="G79" s="28" t="str">
        <f>IFERROR(G78/F78-1,"N/A")</f>
        <v>N/A</v>
      </c>
      <c r="H79" s="28">
        <f>IFERROR(H78/G78-1,"N/A")</f>
        <v>0.0384615384615386</v>
      </c>
      <c r="I79" s="28">
        <f>IFERROR(I78/H78-1,"N/A")</f>
        <v>0.0617283950617285</v>
      </c>
      <c r="J79" s="28">
        <f>IFERROR(J78/I78-1,"N/A")</f>
        <v>0.0523255813953489</v>
      </c>
      <c r="K79" s="28">
        <f>IFERROR(K78/J78-1,"N/A")</f>
        <v>0.0662983425414365</v>
      </c>
      <c r="L79" s="28">
        <f>IFERROR(L78/K78-1,"N/A")</f>
        <v>0.0569948186528497</v>
      </c>
      <c r="M79" s="28">
        <f>IFERROR(M78/L78-1,"N/A")</f>
        <v>0.0588235294117647</v>
      </c>
      <c r="N79" s="19" t="n">
        <v>0.062</v>
      </c>
      <c r="O79" s="19" t="n">
        <v>0.044</v>
      </c>
      <c r="P79" s="19" t="n">
        <v>0.053</v>
      </c>
      <c r="Q79" s="19" t="n">
        <v>0.045</v>
      </c>
      <c r="R79" s="19" t="n">
        <v>0.06900000000000001</v>
      </c>
    </row>
    <row r="80">
      <c r="C80" s="29" t="inlineStr">
        <is>
          <t>Revenue</t>
        </is>
      </c>
      <c r="G80" s="30">
        <f>G76*G78</f>
        <v>2194764</v>
      </c>
      <c r="H80" s="30">
        <f>H76*H78</f>
        <v>2124630</v>
      </c>
      <c r="I80" s="30">
        <f>I76*I78</f>
        <v>2405592</v>
      </c>
      <c r="J80" s="30">
        <f>J76*J78</f>
        <v>2811835</v>
      </c>
      <c r="K80" s="30">
        <f>K76*K78</f>
        <v>3159603</v>
      </c>
      <c r="L80" s="30">
        <f>L76*L78</f>
        <v>3552252</v>
      </c>
      <c r="M80" s="30">
        <f>M76*M78</f>
        <v>4100544</v>
      </c>
      <c r="N80" s="30">
        <f>N76*N78</f>
        <v>4537678.392576</v>
      </c>
      <c r="O80" s="30">
        <f>O76*O78</f>
        <v>4978940.39018366</v>
      </c>
      <c r="P80" s="30">
        <f>P76*P78</f>
        <v>5620307.57548556</v>
      </c>
      <c r="Q80" s="30">
        <f>Q76*Q78</f>
        <v>6249107.58703089</v>
      </c>
      <c r="R80" s="30">
        <f>R76*R78</f>
        <v>7187998.50733675</v>
      </c>
    </row>
    <row r="82">
      <c r="C82" s="3" t="inlineStr">
        <is>
          <t>Accommodation:</t>
        </is>
      </c>
    </row>
    <row r="83">
      <c r="C83" s="14" t="inlineStr">
        <is>
          <t># of Beds</t>
        </is>
      </c>
      <c r="G83" s="26" t="n">
        <v>134</v>
      </c>
      <c r="H83" s="26" t="n">
        <v>134</v>
      </c>
      <c r="I83" s="26" t="n">
        <v>134</v>
      </c>
      <c r="J83" s="26" t="n">
        <v>134</v>
      </c>
      <c r="K83" s="26" t="n">
        <v>142</v>
      </c>
      <c r="L83" s="26" t="n">
        <v>142</v>
      </c>
      <c r="M83" s="26" t="n">
        <v>142</v>
      </c>
      <c r="N83" s="8">
        <f>M83</f>
        <v>142</v>
      </c>
      <c r="O83" s="8">
        <f>N83</f>
        <v>142</v>
      </c>
      <c r="P83" s="8">
        <f>O83</f>
        <v>142</v>
      </c>
      <c r="Q83" s="8">
        <f>P83</f>
        <v>142</v>
      </c>
      <c r="R83" s="8">
        <f>Q83</f>
        <v>142</v>
      </c>
    </row>
    <row r="84">
      <c r="C84" s="14" t="inlineStr">
        <is>
          <t>Available Beds a Night</t>
        </is>
      </c>
      <c r="G84" s="8">
        <f>G83*360</f>
        <v>48240</v>
      </c>
      <c r="H84" s="8">
        <f>H83*360</f>
        <v>48240</v>
      </c>
      <c r="I84" s="8">
        <f>I83*360</f>
        <v>48240</v>
      </c>
      <c r="J84" s="8">
        <f>J83*360</f>
        <v>48240</v>
      </c>
      <c r="K84" s="8">
        <f>K83*360</f>
        <v>51120</v>
      </c>
      <c r="L84" s="8">
        <f>L83*360</f>
        <v>51120</v>
      </c>
      <c r="M84" s="8">
        <f>M83*360</f>
        <v>51120</v>
      </c>
      <c r="N84" s="8">
        <f>N83*360</f>
        <v>51120</v>
      </c>
      <c r="O84" s="8">
        <f>O83*360</f>
        <v>51120</v>
      </c>
      <c r="P84" s="8">
        <f>P83*360</f>
        <v>51120</v>
      </c>
      <c r="Q84" s="8">
        <f>Q83*360</f>
        <v>51120</v>
      </c>
      <c r="R84" s="8">
        <f>R83*360</f>
        <v>51120</v>
      </c>
    </row>
    <row r="85">
      <c r="C85" s="14" t="inlineStr">
        <is>
          <t># of Occupied bed nights</t>
        </is>
      </c>
      <c r="G85" s="26" t="n">
        <v>34444</v>
      </c>
      <c r="H85" s="26" t="n">
        <v>29426</v>
      </c>
      <c r="I85" s="26" t="n">
        <v>32090</v>
      </c>
      <c r="J85" s="26" t="n">
        <v>34421</v>
      </c>
      <c r="K85" s="26" t="n">
        <v>35332</v>
      </c>
      <c r="L85" s="26" t="n">
        <v>36682</v>
      </c>
      <c r="M85" s="26" t="n">
        <v>36921</v>
      </c>
      <c r="N85" s="8">
        <f>N84*N86</f>
        <v>37522.08</v>
      </c>
      <c r="O85" s="8">
        <f>O84*O86</f>
        <v>38135.52</v>
      </c>
      <c r="P85" s="8">
        <f>P84*P86</f>
        <v>38748.96</v>
      </c>
      <c r="Q85" s="8">
        <f>Q84*Q86</f>
        <v>39362.4</v>
      </c>
      <c r="R85" s="8">
        <f>R84*R86</f>
        <v>39975.84</v>
      </c>
    </row>
    <row r="86">
      <c r="C86" s="27" t="inlineStr">
        <is>
          <t>Occupancy Ratio (%)</t>
        </is>
      </c>
      <c r="G86" s="20">
        <f>IFERROR(G85/G84,"N/A")</f>
        <v>0.714013266998342</v>
      </c>
      <c r="H86" s="20">
        <f>IFERROR(H85/H84,"N/A")</f>
        <v>0.609991708126037</v>
      </c>
      <c r="I86" s="20">
        <f>IFERROR(I85/I84,"N/A")</f>
        <v>0.665215588723051</v>
      </c>
      <c r="J86" s="20">
        <f>IFERROR(J85/J84,"N/A")</f>
        <v>0.71353648424544</v>
      </c>
      <c r="K86" s="20">
        <f>IFERROR(K85/K84,"N/A")</f>
        <v>0.691158059467919</v>
      </c>
      <c r="L86" s="20">
        <f>IFERROR(L85/L84,"N/A")</f>
        <v>0.717566510172144</v>
      </c>
      <c r="M86" s="20">
        <f>IFERROR(M85/M84,"N/A")</f>
        <v>0.722241784037559</v>
      </c>
      <c r="N86" s="19" t="n">
        <v>0.734</v>
      </c>
      <c r="O86" s="19" t="n">
        <v>0.746</v>
      </c>
      <c r="P86" s="19" t="n">
        <v>0.758</v>
      </c>
      <c r="Q86" s="19" t="n">
        <v>0.77</v>
      </c>
      <c r="R86" s="19" t="n">
        <v>0.782</v>
      </c>
    </row>
    <row r="87">
      <c r="C87" s="14" t="inlineStr">
        <is>
          <t>Gross Revenue [per bed night] (LCA)</t>
        </is>
      </c>
      <c r="G87" s="26" t="n">
        <v>332</v>
      </c>
      <c r="H87" s="26" t="n">
        <v>352</v>
      </c>
      <c r="I87" s="26" t="n">
        <v>366</v>
      </c>
      <c r="J87" s="26" t="n">
        <v>396</v>
      </c>
      <c r="K87" s="26" t="n">
        <v>441</v>
      </c>
      <c r="L87" s="26" t="n">
        <v>457</v>
      </c>
      <c r="M87" s="26" t="n">
        <v>472</v>
      </c>
      <c r="N87" s="8">
        <f>M87*(1+N88)</f>
        <v>505.04</v>
      </c>
      <c r="O87" s="8">
        <f>N87*(1+O88)</f>
        <v>531.80712</v>
      </c>
      <c r="P87" s="8">
        <f>O87*(1+P88)</f>
        <v>561.58831872</v>
      </c>
      <c r="Q87" s="8">
        <f>P87*(1+Q88)</f>
        <v>600.8995010304</v>
      </c>
      <c r="R87" s="8">
        <f>Q87*(1+R88)</f>
        <v>633.348074086042</v>
      </c>
    </row>
    <row r="88">
      <c r="C88" s="27" t="inlineStr">
        <is>
          <t>Growth (%)</t>
        </is>
      </c>
      <c r="G88" s="28" t="str">
        <f>IFERROR(G87/F87-1,"N/A")</f>
        <v>N/A</v>
      </c>
      <c r="H88" s="28">
        <f>IFERROR(H87/G87-1,"N/A")</f>
        <v>0.0602409638554218</v>
      </c>
      <c r="I88" s="28">
        <f>IFERROR(I87/H87-1,"N/A")</f>
        <v>0.0397727272727273</v>
      </c>
      <c r="J88" s="28">
        <f>IFERROR(J87/I87-1,"N/A")</f>
        <v>0.0819672131147542</v>
      </c>
      <c r="K88" s="28">
        <f>IFERROR(K87/J87-1,"N/A")</f>
        <v>0.113636363636364</v>
      </c>
      <c r="L88" s="28">
        <f>IFERROR(L87/K87-1,"N/A")</f>
        <v>0.036281179138322</v>
      </c>
      <c r="M88" s="28">
        <f>IFERROR(M87/L87-1,"N/A")</f>
        <v>0.0328227571115973</v>
      </c>
      <c r="N88" s="19" t="n">
        <v>0.07000000000000001</v>
      </c>
      <c r="O88" s="19" t="n">
        <v>0.053</v>
      </c>
      <c r="P88" s="19" t="n">
        <v>0.056</v>
      </c>
      <c r="Q88" s="19" t="n">
        <v>0.07000000000000001</v>
      </c>
      <c r="R88" s="19" t="n">
        <v>0.054</v>
      </c>
    </row>
    <row r="89">
      <c r="C89" s="29" t="inlineStr">
        <is>
          <t>Revenue</t>
        </is>
      </c>
      <c r="G89" s="30">
        <f>G85*G87</f>
        <v>11435408</v>
      </c>
      <c r="H89" s="30">
        <f>H85*H87</f>
        <v>10357952</v>
      </c>
      <c r="I89" s="30">
        <f>I85*I87</f>
        <v>11744940</v>
      </c>
      <c r="J89" s="30">
        <f>J85*J87</f>
        <v>13630716</v>
      </c>
      <c r="K89" s="30">
        <f>K85*K87</f>
        <v>15581412</v>
      </c>
      <c r="L89" s="30">
        <f>L85*L87</f>
        <v>16763674</v>
      </c>
      <c r="M89" s="30">
        <f>M85*M87</f>
        <v>17426712</v>
      </c>
      <c r="N89" s="30">
        <f>N85*N87</f>
        <v>18950151.2832</v>
      </c>
      <c r="O89" s="30">
        <f>O85*O87</f>
        <v>20280741.0609024</v>
      </c>
      <c r="P89" s="30">
        <f>P85*P87</f>
        <v>21760963.2985485</v>
      </c>
      <c r="Q89" s="30">
        <f>Q85*Q87</f>
        <v>23652846.519359</v>
      </c>
      <c r="R89" s="30">
        <f>R85*R87</f>
        <v>25318621.2739717</v>
      </c>
    </row>
    <row r="91">
      <c r="C91" s="3" t="inlineStr">
        <is>
          <t>Radiotherapy:</t>
        </is>
      </c>
    </row>
    <row r="92">
      <c r="C92" s="14" t="inlineStr">
        <is>
          <t># of Sessions</t>
        </is>
      </c>
      <c r="G92" s="8">
        <f>G117</f>
        <v>4063</v>
      </c>
      <c r="H92" s="8">
        <f>H117</f>
        <v>3465</v>
      </c>
      <c r="I92" s="8">
        <f>I117</f>
        <v>4598</v>
      </c>
      <c r="J92" s="8">
        <f>J117</f>
        <v>5368</v>
      </c>
      <c r="K92" s="8">
        <f>K117</f>
        <v>5832</v>
      </c>
      <c r="L92" s="8">
        <f>L117</f>
        <v>6396</v>
      </c>
      <c r="M92" s="8">
        <f>M117</f>
        <v>6588</v>
      </c>
      <c r="N92" s="8">
        <f>N117</f>
        <v>6917.4</v>
      </c>
      <c r="O92" s="8">
        <f>O117</f>
        <v>7263.27</v>
      </c>
      <c r="P92" s="8">
        <f>P117</f>
        <v>7626.4335</v>
      </c>
      <c r="Q92" s="8">
        <f>Q117</f>
        <v>8007.755175</v>
      </c>
      <c r="R92" s="8">
        <f>R117</f>
        <v>8408.14293375</v>
      </c>
    </row>
    <row r="93">
      <c r="C93" s="27" t="inlineStr">
        <is>
          <t>Growth (%)</t>
        </is>
      </c>
      <c r="G93" s="28" t="str">
        <f>IFERROR(G92/F92-1,"N/A")</f>
        <v>N/A</v>
      </c>
      <c r="H93" s="28">
        <f>IFERROR(H92/G92-1,"N/A")</f>
        <v>-0.147181885306424</v>
      </c>
      <c r="I93" s="28">
        <f>IFERROR(I92/H92-1,"N/A")</f>
        <v>0.326984126984127</v>
      </c>
      <c r="J93" s="28">
        <f>IFERROR(J92/I92-1,"N/A")</f>
        <v>0.167464114832536</v>
      </c>
      <c r="K93" s="28">
        <f>IFERROR(K92/J92-1,"N/A")</f>
        <v>0.0864381520119224</v>
      </c>
      <c r="L93" s="28">
        <f>IFERROR(L92/K92-1,"N/A")</f>
        <v>0.0967078189300412</v>
      </c>
      <c r="M93" s="28">
        <f>IFERROR(M92/L92-1,"N/A")</f>
        <v>0.0300187617260788</v>
      </c>
      <c r="N93" s="28">
        <f>IFERROR(N92/M92-1,"N/A")</f>
        <v>0.05</v>
      </c>
      <c r="O93" s="28">
        <f>IFERROR(O92/N92-1,"N/A")</f>
        <v>0.05</v>
      </c>
      <c r="P93" s="28">
        <f>IFERROR(P92/O92-1,"N/A")</f>
        <v>0.05</v>
      </c>
      <c r="Q93" s="28">
        <f>IFERROR(Q92/P92-1,"N/A")</f>
        <v>0.05</v>
      </c>
      <c r="R93" s="28">
        <f>IFERROR(R92/Q92-1,"N/A")</f>
        <v>0.05</v>
      </c>
    </row>
    <row r="94">
      <c r="C94" s="14" t="inlineStr">
        <is>
          <t>Gross Revenue [per Session] (LCA)</t>
        </is>
      </c>
      <c r="G94" s="8">
        <f>G118</f>
        <v>962</v>
      </c>
      <c r="H94" s="8">
        <f>H118</f>
        <v>1000</v>
      </c>
      <c r="I94" s="8">
        <f>I118</f>
        <v>1039</v>
      </c>
      <c r="J94" s="8">
        <f>J118</f>
        <v>1120</v>
      </c>
      <c r="K94" s="8">
        <f>K118</f>
        <v>1177</v>
      </c>
      <c r="L94" s="8">
        <f>L118</f>
        <v>1262</v>
      </c>
      <c r="M94" s="8">
        <f>M118</f>
        <v>1340</v>
      </c>
      <c r="N94" s="8">
        <f>N118</f>
        <v>1413.7</v>
      </c>
      <c r="O94" s="8">
        <f>O118</f>
        <v>1487.2124</v>
      </c>
      <c r="P94" s="8">
        <f>P118</f>
        <v>1582.3939936</v>
      </c>
      <c r="Q94" s="8">
        <f>Q118</f>
        <v>1655.1841173056</v>
      </c>
      <c r="R94" s="8">
        <f>R118</f>
        <v>1734.63295493627</v>
      </c>
    </row>
    <row r="95">
      <c r="C95" s="27" t="inlineStr">
        <is>
          <t>Growth (%)</t>
        </is>
      </c>
      <c r="G95" s="28" t="str">
        <f>IFERROR(G94/F94-1,"N/A")</f>
        <v>N/A</v>
      </c>
      <c r="H95" s="28">
        <f>IFERROR(H94/G94-1,"N/A")</f>
        <v>0.0395010395010396</v>
      </c>
      <c r="I95" s="28">
        <f>IFERROR(I94/H94-1,"N/A")</f>
        <v>0.0389999999999999</v>
      </c>
      <c r="J95" s="28">
        <f>IFERROR(J94/I94-1,"N/A")</f>
        <v>0.0779595765158807</v>
      </c>
      <c r="K95" s="28">
        <f>IFERROR(K94/J94-1,"N/A")</f>
        <v>0.0508928571428571</v>
      </c>
      <c r="L95" s="28">
        <f>IFERROR(L94/K94-1,"N/A")</f>
        <v>0.0722175021240441</v>
      </c>
      <c r="M95" s="28">
        <f>IFERROR(M94/L94-1,"N/A")</f>
        <v>0.0618066561014263</v>
      </c>
      <c r="N95" s="28">
        <f>IFERROR(N94/M94-1,"N/A")</f>
        <v>0.0549999999999999</v>
      </c>
      <c r="O95" s="28">
        <f>IFERROR(O94/N94-1,"N/A")</f>
        <v>0.052</v>
      </c>
      <c r="P95" s="28">
        <f>IFERROR(P94/O94-1,"N/A")</f>
        <v>0.0640000000000001</v>
      </c>
      <c r="Q95" s="28">
        <f>IFERROR(Q94/P94-1,"N/A")</f>
        <v>0.046</v>
      </c>
      <c r="R95" s="28">
        <f>IFERROR(R94/Q94-1,"N/A")</f>
        <v>0.048</v>
      </c>
    </row>
    <row r="96">
      <c r="C96" s="29" t="inlineStr">
        <is>
          <t>Revenue</t>
        </is>
      </c>
      <c r="G96" s="30">
        <f>G120</f>
        <v>3908606</v>
      </c>
      <c r="H96" s="30">
        <f>H120</f>
        <v>3465000</v>
      </c>
      <c r="I96" s="30">
        <f>I120</f>
        <v>4777322</v>
      </c>
      <c r="J96" s="30">
        <f>J120</f>
        <v>6012160</v>
      </c>
      <c r="K96" s="30">
        <f>K120</f>
        <v>6864264</v>
      </c>
      <c r="L96" s="30">
        <f>L120</f>
        <v>8071752</v>
      </c>
      <c r="M96" s="30">
        <f>M120</f>
        <v>8827920</v>
      </c>
      <c r="N96" s="30">
        <f>N120</f>
        <v>9779128.38</v>
      </c>
      <c r="O96" s="30">
        <f>O120</f>
        <v>10802025.208548</v>
      </c>
      <c r="P96" s="30">
        <f>P120</f>
        <v>12068022.5629898</v>
      </c>
      <c r="Q96" s="30">
        <f>Q120</f>
        <v>13254309.1809317</v>
      </c>
      <c r="R96" s="30">
        <f>R120</f>
        <v>14585041.8226973</v>
      </c>
    </row>
    <row r="98">
      <c r="C98" s="3" t="inlineStr">
        <is>
          <t>Nursing Fees:</t>
        </is>
      </c>
    </row>
    <row r="99">
      <c r="C99" s="14" t="inlineStr">
        <is>
          <t># of Visits</t>
        </is>
      </c>
      <c r="G99" s="26" t="n">
        <v>7369</v>
      </c>
      <c r="H99" s="26" t="n">
        <v>6610</v>
      </c>
      <c r="I99" s="26" t="n">
        <v>7003</v>
      </c>
      <c r="J99" s="26" t="n">
        <v>7387</v>
      </c>
      <c r="K99" s="26" t="n">
        <v>8132</v>
      </c>
      <c r="L99" s="26" t="n">
        <v>8746</v>
      </c>
      <c r="M99" s="26" t="n">
        <v>9660</v>
      </c>
      <c r="N99" s="8">
        <f>M99*(1+N100)</f>
        <v>10220.28</v>
      </c>
      <c r="O99" s="8">
        <f>N99*(1+O100)</f>
        <v>10659.75204</v>
      </c>
      <c r="P99" s="8">
        <f>O99*(1+P100)</f>
        <v>11150.10063384</v>
      </c>
      <c r="Q99" s="8">
        <f>P99*(1+Q100)</f>
        <v>11952.9078794765</v>
      </c>
      <c r="R99" s="8">
        <f>Q99*(1+R100)</f>
        <v>12933.0463255936</v>
      </c>
    </row>
    <row r="100">
      <c r="C100" s="27" t="inlineStr">
        <is>
          <t>Growth (%)</t>
        </is>
      </c>
      <c r="G100" s="28" t="str">
        <f>IFERROR(G99/F99-1,"N/A")</f>
        <v>N/A</v>
      </c>
      <c r="H100" s="28">
        <f>IFERROR(H99/G99-1,"N/A")</f>
        <v>-0.102999050074637</v>
      </c>
      <c r="I100" s="28">
        <f>IFERROR(I99/H99-1,"N/A")</f>
        <v>0.0594553706505294</v>
      </c>
      <c r="J100" s="28">
        <f>IFERROR(J99/I99-1,"N/A")</f>
        <v>0.0548336427245466</v>
      </c>
      <c r="K100" s="28">
        <f>IFERROR(K99/J99-1,"N/A")</f>
        <v>0.10085284960065</v>
      </c>
      <c r="L100" s="28">
        <f>IFERROR(L99/K99-1,"N/A")</f>
        <v>0.0755041810132808</v>
      </c>
      <c r="M100" s="28">
        <f>IFERROR(M99/L99-1,"N/A")</f>
        <v>0.104504916533272</v>
      </c>
      <c r="N100" s="19" t="n">
        <v>0.058</v>
      </c>
      <c r="O100" s="19" t="n">
        <v>0.043</v>
      </c>
      <c r="P100" s="19" t="n">
        <v>0.046</v>
      </c>
      <c r="Q100" s="19" t="n">
        <v>0.07199999999999999</v>
      </c>
      <c r="R100" s="19" t="n">
        <v>0.082</v>
      </c>
    </row>
    <row r="101">
      <c r="C101" s="14" t="inlineStr">
        <is>
          <t>Gross Revenue [per Visit] (LCA)</t>
        </is>
      </c>
      <c r="G101" s="26" t="n">
        <v>76</v>
      </c>
      <c r="H101" s="26" t="n">
        <v>75</v>
      </c>
      <c r="I101" s="26" t="n">
        <v>82</v>
      </c>
      <c r="J101" s="26" t="n">
        <v>90</v>
      </c>
      <c r="K101" s="26" t="n">
        <v>95</v>
      </c>
      <c r="L101" s="26" t="n">
        <v>97</v>
      </c>
      <c r="M101" s="26" t="n">
        <v>106</v>
      </c>
      <c r="N101" s="8">
        <f>M101*(1+N102)</f>
        <v>110.452</v>
      </c>
      <c r="O101" s="8">
        <f>N101*(1+O102)</f>
        <v>118.073188</v>
      </c>
      <c r="P101" s="8">
        <f>O101*(1+P102)</f>
        <v>124.449140152</v>
      </c>
      <c r="Q101" s="8">
        <f>P101*(1+Q102)</f>
        <v>129.676004038384</v>
      </c>
      <c r="R101" s="8">
        <f>Q101*(1+R102)</f>
        <v>137.845592292802</v>
      </c>
    </row>
    <row r="102">
      <c r="C102" s="27" t="inlineStr">
        <is>
          <t>Growth (%)</t>
        </is>
      </c>
      <c r="G102" s="28" t="str">
        <f>IFERROR(G101/F101-1,"N/A")</f>
        <v>N/A</v>
      </c>
      <c r="H102" s="28">
        <f>IFERROR(H101/G101-1,"N/A")</f>
        <v>-0.0131578947368421</v>
      </c>
      <c r="I102" s="28">
        <f>IFERROR(I101/H101-1,"N/A")</f>
        <v>0.0933333333333333</v>
      </c>
      <c r="J102" s="28">
        <f>IFERROR(J101/I101-1,"N/A")</f>
        <v>0.0975609756097562</v>
      </c>
      <c r="K102" s="28">
        <f>IFERROR(K101/J101-1,"N/A")</f>
        <v>0.0555555555555556</v>
      </c>
      <c r="L102" s="28">
        <f>IFERROR(L101/K101-1,"N/A")</f>
        <v>0.0210526315789474</v>
      </c>
      <c r="M102" s="28">
        <f>IFERROR(M101/L101-1,"N/A")</f>
        <v>0.0927835051546391</v>
      </c>
      <c r="N102" s="19" t="n">
        <v>0.042</v>
      </c>
      <c r="O102" s="19" t="n">
        <v>0.06900000000000001</v>
      </c>
      <c r="P102" s="19" t="n">
        <v>0.054</v>
      </c>
      <c r="Q102" s="19" t="n">
        <v>0.042</v>
      </c>
      <c r="R102" s="19" t="n">
        <v>0.063</v>
      </c>
    </row>
    <row r="103">
      <c r="C103" s="29" t="inlineStr">
        <is>
          <t>Revenue</t>
        </is>
      </c>
      <c r="G103" s="30">
        <f>G99*G101</f>
        <v>560044</v>
      </c>
      <c r="H103" s="30">
        <f>H99*H101</f>
        <v>495750</v>
      </c>
      <c r="I103" s="30">
        <f>I99*I101</f>
        <v>574246</v>
      </c>
      <c r="J103" s="30">
        <f>J99*J101</f>
        <v>664830</v>
      </c>
      <c r="K103" s="30">
        <f>K99*K101</f>
        <v>772540</v>
      </c>
      <c r="L103" s="30">
        <f>L99*L101</f>
        <v>848362</v>
      </c>
      <c r="M103" s="30">
        <f>M99*M101</f>
        <v>1023960</v>
      </c>
      <c r="N103" s="30">
        <f>N99*N101</f>
        <v>1128850.36656</v>
      </c>
      <c r="O103" s="30">
        <f>O99*O101</f>
        <v>1258630.9066523</v>
      </c>
      <c r="P103" s="30">
        <f>P99*P101</f>
        <v>1387620.43648966</v>
      </c>
      <c r="Q103" s="30">
        <f>Q99*Q101</f>
        <v>1550005.33044942</v>
      </c>
      <c r="R103" s="30">
        <f>R99*R101</f>
        <v>1782763.43090169</v>
      </c>
    </row>
    <row r="105">
      <c r="C105" s="3" t="inlineStr">
        <is>
          <t>Pharmacy:</t>
        </is>
      </c>
    </row>
    <row r="106">
      <c r="C106" s="14" t="inlineStr">
        <is>
          <t>Gross Revenue (LCA)</t>
        </is>
      </c>
      <c r="G106" s="26" t="n">
        <v>1818000</v>
      </c>
      <c r="H106" s="26" t="n">
        <v>1712000</v>
      </c>
      <c r="I106" s="26" t="n">
        <v>1887000</v>
      </c>
      <c r="J106" s="26" t="n">
        <v>2101000</v>
      </c>
      <c r="K106" s="26" t="n">
        <v>2457000</v>
      </c>
      <c r="L106" s="26" t="n">
        <v>2861000</v>
      </c>
      <c r="M106" s="26" t="n">
        <v>3195000</v>
      </c>
      <c r="N106" s="8">
        <f>N108*(N17+N24+N31+N38+N45+N52+N59+N66+N73+N80+N89+N96+N103)</f>
        <v>5947918.89142085</v>
      </c>
      <c r="O106" s="8">
        <f>O108*(O17+O24+O31+O38+O45+O52+O59+O66+O73+O80+O89+O96+O103)</f>
        <v>6507726.98333045</v>
      </c>
      <c r="P106" s="8">
        <f>P108*(P17+P24+P31+P38+P45+P52+P59+P66+P73+P80+P89+P96+P103)</f>
        <v>6854860.56340875</v>
      </c>
      <c r="Q106" s="8">
        <f>Q108*(Q17+Q24+Q31+Q38+Q45+Q52+Q59+Q66+Q73+Q80+Q89+Q96+Q103)</f>
        <v>7810961.50037868</v>
      </c>
      <c r="R106" s="8">
        <f>R108*(R17+R24+R31+R38+R45+R52+R59+R66+R73+R80+R89+R96+R103)</f>
        <v>8871604.40552377</v>
      </c>
    </row>
    <row r="107">
      <c r="C107" s="27" t="inlineStr">
        <is>
          <t>Growth (%)</t>
        </is>
      </c>
      <c r="G107" s="28" t="str">
        <f>IFERROR(G106/F106-1,"N/A")</f>
        <v>N/A</v>
      </c>
      <c r="H107" s="28">
        <f>IFERROR(H106/G106-1,"N/A")</f>
        <v>-0.0583058305830583</v>
      </c>
      <c r="I107" s="28">
        <f>IFERROR(I106/H106-1,"N/A")</f>
        <v>0.102219626168224</v>
      </c>
      <c r="J107" s="28">
        <f>IFERROR(J106/I106-1,"N/A")</f>
        <v>0.113407525172231</v>
      </c>
      <c r="K107" s="28">
        <f>IFERROR(K106/J106-1,"N/A")</f>
        <v>0.169443122322704</v>
      </c>
      <c r="L107" s="28">
        <f>IFERROR(L106/K106-1,"N/A")</f>
        <v>0.164428164428164</v>
      </c>
      <c r="M107" s="28">
        <f>IFERROR(M106/L106-1,"N/A")</f>
        <v>0.11674239776302</v>
      </c>
      <c r="N107" s="28">
        <f>IFERROR(N106/M106-1,"N/A")</f>
        <v>0.86163345584377</v>
      </c>
      <c r="O107" s="28">
        <f>IFERROR(O106/N106-1,"N/A")</f>
        <v>0.0941183129980234</v>
      </c>
      <c r="P107" s="28">
        <f>IFERROR(P106/O106-1,"N/A")</f>
        <v>0.053341755265315</v>
      </c>
      <c r="Q107" s="28">
        <f>IFERROR(Q106/P106-1,"N/A")</f>
        <v>0.139477809668893</v>
      </c>
      <c r="R107" s="28">
        <f>IFERROR(R106/Q106-1,"N/A")</f>
        <v>0.135789032514585</v>
      </c>
    </row>
    <row r="108">
      <c r="C108" s="27" t="inlineStr">
        <is>
          <t>% of Other Hospital Revenue</t>
        </is>
      </c>
      <c r="G108" s="20">
        <f>IFERROR(G106/(G17+G24+G31+G38+G45+G52+G59+G66+G73+G80+G89+G96+G103),"N/A")</f>
        <v>0.052429929691695</v>
      </c>
      <c r="H108" s="20">
        <f>IFERROR(H106/(H17+H24+H31+H38+H45+H52+H59+H66+H73+H80+H89+H96+H103),"N/A")</f>
        <v>0.0534735656770174</v>
      </c>
      <c r="I108" s="20">
        <f>IFERROR(I106/(I17+I24+I31+I38+I45+I52+I59+I66+I73+I80+I89+I96+I103),"N/A")</f>
        <v>0.0499860094801765</v>
      </c>
      <c r="J108" s="20">
        <f>IFERROR(J106/(J17+J24+J31+J38+J45+J52+J59+J66+J73+J80+J89+J96+J103),"N/A")</f>
        <v>0.0474256741381253</v>
      </c>
      <c r="K108" s="20">
        <f>IFERROR(K106/(K17+K24+K31+K38+K45+K52+K59+K66+K73+K80+K89+K96+K103),"N/A")</f>
        <v>0.048556010069058</v>
      </c>
      <c r="L108" s="20">
        <f>IFERROR(L106/(L17+L24+L31+L38+L45+L52+L59+L66+L73+L80+L89+L96+L103),"N/A")</f>
        <v>0.0506446949292623</v>
      </c>
      <c r="M108" s="20">
        <f>IFERROR(M106/(M17+M24+M31+M38+M45+M52+M59+M66+M73+M80+M89+M96+M103),"N/A")</f>
        <v>0.0507239458079651</v>
      </c>
      <c r="N108" s="19" t="n">
        <v>0.08500000000000001</v>
      </c>
      <c r="O108" s="19" t="n">
        <v>0.08400000000000001</v>
      </c>
      <c r="P108" s="19" t="n">
        <v>0.08</v>
      </c>
      <c r="Q108" s="19" t="n">
        <v>0.082</v>
      </c>
      <c r="R108" s="19" t="n">
        <v>0.08400000000000001</v>
      </c>
    </row>
    <row r="109">
      <c r="C109" s="29" t="inlineStr">
        <is>
          <t>Revenue</t>
        </is>
      </c>
      <c r="G109" s="30">
        <f>G106</f>
        <v>1818000</v>
      </c>
      <c r="H109" s="30">
        <f>H106</f>
        <v>1712000</v>
      </c>
      <c r="I109" s="30">
        <f>I106</f>
        <v>1887000</v>
      </c>
      <c r="J109" s="30">
        <f>J106</f>
        <v>2101000</v>
      </c>
      <c r="K109" s="30">
        <f>K106</f>
        <v>2457000</v>
      </c>
      <c r="L109" s="30">
        <f>L106</f>
        <v>2861000</v>
      </c>
      <c r="M109" s="30">
        <f>M106</f>
        <v>3195000</v>
      </c>
      <c r="N109" s="30">
        <f>N106</f>
        <v>5947918.89142085</v>
      </c>
      <c r="O109" s="30">
        <f>O106</f>
        <v>6507726.98333045</v>
      </c>
      <c r="P109" s="30">
        <f>P106</f>
        <v>6854860.56340875</v>
      </c>
      <c r="Q109" s="30">
        <f>Q106</f>
        <v>7810961.50037868</v>
      </c>
      <c r="R109" s="30">
        <f>R106</f>
        <v>8871604.40552377</v>
      </c>
    </row>
    <row r="111">
      <c r="C111" s="3" t="inlineStr">
        <is>
          <t>Operations:</t>
        </is>
      </c>
    </row>
    <row r="112">
      <c r="C112" s="14" t="inlineStr">
        <is>
          <t>Maximum Number of Patients per Day</t>
        </is>
      </c>
      <c r="G112" s="26" t="n">
        <v>36</v>
      </c>
      <c r="H112" s="26" t="n">
        <v>36</v>
      </c>
      <c r="I112" s="26" t="n">
        <v>36</v>
      </c>
      <c r="J112" s="26" t="n">
        <v>36</v>
      </c>
      <c r="K112" s="26" t="n">
        <v>36</v>
      </c>
      <c r="L112" s="26" t="n">
        <v>36</v>
      </c>
      <c r="M112" s="26" t="n">
        <v>36</v>
      </c>
      <c r="N112" s="8">
        <f>M112</f>
        <v>36</v>
      </c>
      <c r="O112" s="8">
        <f>N112</f>
        <v>36</v>
      </c>
      <c r="P112" s="8">
        <f>O112</f>
        <v>36</v>
      </c>
      <c r="Q112" s="8">
        <f>P112</f>
        <v>36</v>
      </c>
      <c r="R112" s="8">
        <f>Q112</f>
        <v>36</v>
      </c>
    </row>
    <row r="113">
      <c r="C113" s="14" t="inlineStr">
        <is>
          <t>Number of Patients on Machine per Day</t>
        </is>
      </c>
      <c r="G113" s="26" t="n">
        <v>17</v>
      </c>
      <c r="H113" s="26" t="n">
        <v>15</v>
      </c>
      <c r="I113" s="26" t="n">
        <v>19</v>
      </c>
      <c r="J113" s="26" t="n">
        <v>22</v>
      </c>
      <c r="K113" s="26" t="n">
        <v>24</v>
      </c>
      <c r="L113" s="26" t="n">
        <v>26</v>
      </c>
      <c r="M113" s="26" t="n">
        <v>27</v>
      </c>
      <c r="N113" s="34">
        <f>MIN(N112,M113*(1+N114))</f>
        <v>28.35</v>
      </c>
      <c r="O113" s="34">
        <f>MIN(O112,N113*(1+O114))</f>
        <v>29.7675</v>
      </c>
      <c r="P113" s="34">
        <f>MIN(P112,O113*(1+P114))</f>
        <v>31.255875</v>
      </c>
      <c r="Q113" s="34">
        <f>MIN(Q112,P113*(1+Q114))</f>
        <v>32.81866875</v>
      </c>
      <c r="R113" s="34">
        <f>MIN(R112,Q113*(1+R114))</f>
        <v>34.4596021875</v>
      </c>
    </row>
    <row r="114">
      <c r="C114" s="27" t="inlineStr">
        <is>
          <t>Growth (%)</t>
        </is>
      </c>
      <c r="G114" s="28" t="str">
        <f>IFERROR(G113/F113-1,"N/A")</f>
        <v>N/A</v>
      </c>
      <c r="H114" s="28">
        <f>IFERROR(H113/G113-1,"N/A")</f>
        <v>-0.117647058823529</v>
      </c>
      <c r="I114" s="28">
        <f>IFERROR(I113/H113-1,"N/A")</f>
        <v>0.266666666666667</v>
      </c>
      <c r="J114" s="28">
        <f>IFERROR(J113/I113-1,"N/A")</f>
        <v>0.157894736842105</v>
      </c>
      <c r="K114" s="28">
        <f>IFERROR(K113/J113-1,"N/A")</f>
        <v>0.0909090909090908</v>
      </c>
      <c r="L114" s="28">
        <f>IFERROR(L113/K113-1,"N/A")</f>
        <v>0.0833333333333333</v>
      </c>
      <c r="M114" s="28">
        <f>IFERROR(M113/L113-1,"N/A")</f>
        <v>0.0384615384615386</v>
      </c>
      <c r="N114" s="19" t="n">
        <v>0.05</v>
      </c>
      <c r="O114" s="19" t="n">
        <v>0.05</v>
      </c>
      <c r="P114" s="19" t="n">
        <v>0.05</v>
      </c>
      <c r="Q114" s="19" t="n">
        <v>0.05</v>
      </c>
      <c r="R114" s="19" t="n">
        <v>0.05</v>
      </c>
    </row>
    <row r="115">
      <c r="C115" s="14" t="inlineStr">
        <is>
          <t>Number of Theoretical Working Days per Year</t>
        </is>
      </c>
      <c r="G115" s="26" t="n">
        <v>261</v>
      </c>
      <c r="H115" s="26" t="n">
        <v>261</v>
      </c>
      <c r="I115" s="26" t="n">
        <v>261</v>
      </c>
      <c r="J115" s="26" t="n">
        <v>261</v>
      </c>
      <c r="K115" s="26" t="n">
        <v>261</v>
      </c>
      <c r="L115" s="26" t="n">
        <v>261</v>
      </c>
      <c r="M115" s="26" t="n">
        <v>261</v>
      </c>
      <c r="N115" s="8">
        <f>M115</f>
        <v>261</v>
      </c>
      <c r="O115" s="8">
        <f>N115</f>
        <v>261</v>
      </c>
      <c r="P115" s="8">
        <f>O115</f>
        <v>261</v>
      </c>
      <c r="Q115" s="8">
        <f>P115</f>
        <v>261</v>
      </c>
      <c r="R115" s="8">
        <f>Q115</f>
        <v>261</v>
      </c>
    </row>
    <row r="116">
      <c r="C116" s="14" t="inlineStr">
        <is>
          <t>Adjusted Number of Working Days per Year</t>
        </is>
      </c>
      <c r="G116" s="26" t="n">
        <v>239</v>
      </c>
      <c r="H116" s="26" t="n">
        <v>231</v>
      </c>
      <c r="I116" s="26" t="n">
        <v>242</v>
      </c>
      <c r="J116" s="26" t="n">
        <v>244</v>
      </c>
      <c r="K116" s="26" t="n">
        <v>243</v>
      </c>
      <c r="L116" s="26" t="n">
        <v>246</v>
      </c>
      <c r="M116" s="26" t="n">
        <v>244</v>
      </c>
      <c r="N116" s="8">
        <f>M116</f>
        <v>244</v>
      </c>
      <c r="O116" s="8">
        <f>N116</f>
        <v>244</v>
      </c>
      <c r="P116" s="8">
        <f>O116</f>
        <v>244</v>
      </c>
      <c r="Q116" s="8">
        <f>P116</f>
        <v>244</v>
      </c>
      <c r="R116" s="8">
        <f>Q116</f>
        <v>244</v>
      </c>
    </row>
    <row r="117">
      <c r="C117" s="14" t="inlineStr">
        <is>
          <t>Number of Annual Sessions</t>
        </is>
      </c>
      <c r="G117" s="8">
        <f>G113*G116</f>
        <v>4063</v>
      </c>
      <c r="H117" s="8">
        <f>H113*H116</f>
        <v>3465</v>
      </c>
      <c r="I117" s="8">
        <f>I113*I116</f>
        <v>4598</v>
      </c>
      <c r="J117" s="8">
        <f>J113*J116</f>
        <v>5368</v>
      </c>
      <c r="K117" s="8">
        <f>K113*K116</f>
        <v>5832</v>
      </c>
      <c r="L117" s="8">
        <f>L113*L116</f>
        <v>6396</v>
      </c>
      <c r="M117" s="8">
        <f>M113*M116</f>
        <v>6588</v>
      </c>
      <c r="N117" s="8">
        <f>N113*N116</f>
        <v>6917.4</v>
      </c>
      <c r="O117" s="8">
        <f>O113*O116</f>
        <v>7263.27</v>
      </c>
      <c r="P117" s="8">
        <f>P113*P116</f>
        <v>7626.4335</v>
      </c>
      <c r="Q117" s="8">
        <f>Q113*Q116</f>
        <v>8007.755175</v>
      </c>
      <c r="R117" s="8">
        <f>R113*R116</f>
        <v>8408.14293375</v>
      </c>
    </row>
    <row r="118">
      <c r="C118" s="14" t="inlineStr">
        <is>
          <t>Session Price (LCA)</t>
        </is>
      </c>
      <c r="G118" s="26" t="n">
        <v>962</v>
      </c>
      <c r="H118" s="26" t="n">
        <v>1000</v>
      </c>
      <c r="I118" s="26" t="n">
        <v>1039</v>
      </c>
      <c r="J118" s="26" t="n">
        <v>1120</v>
      </c>
      <c r="K118" s="26" t="n">
        <v>1177</v>
      </c>
      <c r="L118" s="26" t="n">
        <v>1262</v>
      </c>
      <c r="M118" s="26" t="n">
        <v>1340</v>
      </c>
      <c r="N118" s="8">
        <f>M118*(1+N119)</f>
        <v>1413.7</v>
      </c>
      <c r="O118" s="8">
        <f>N118*(1+O119)</f>
        <v>1487.2124</v>
      </c>
      <c r="P118" s="8">
        <f>O118*(1+P119)</f>
        <v>1582.3939936</v>
      </c>
      <c r="Q118" s="8">
        <f>P118*(1+Q119)</f>
        <v>1655.1841173056</v>
      </c>
      <c r="R118" s="8">
        <f>Q118*(1+R119)</f>
        <v>1734.63295493627</v>
      </c>
    </row>
    <row r="119">
      <c r="C119" s="27" t="inlineStr">
        <is>
          <t>Growth (%)</t>
        </is>
      </c>
      <c r="G119" s="28" t="str">
        <f>IFERROR(G118/F118-1,"N/A")</f>
        <v>N/A</v>
      </c>
      <c r="H119" s="28">
        <f>IFERROR(H118/G118-1,"N/A")</f>
        <v>0.0395010395010396</v>
      </c>
      <c r="I119" s="28">
        <f>IFERROR(I118/H118-1,"N/A")</f>
        <v>0.0389999999999999</v>
      </c>
      <c r="J119" s="28">
        <f>IFERROR(J118/I118-1,"N/A")</f>
        <v>0.0779595765158807</v>
      </c>
      <c r="K119" s="28">
        <f>IFERROR(K118/J118-1,"N/A")</f>
        <v>0.0508928571428571</v>
      </c>
      <c r="L119" s="28">
        <f>IFERROR(L118/K118-1,"N/A")</f>
        <v>0.0722175021240441</v>
      </c>
      <c r="M119" s="28">
        <f>IFERROR(M118/L118-1,"N/A")</f>
        <v>0.0618066561014263</v>
      </c>
      <c r="N119" s="19" t="n">
        <v>0.055</v>
      </c>
      <c r="O119" s="19" t="n">
        <v>0.052</v>
      </c>
      <c r="P119" s="19" t="n">
        <v>0.064</v>
      </c>
      <c r="Q119" s="19" t="n">
        <v>0.046</v>
      </c>
      <c r="R119" s="19" t="n">
        <v>0.048</v>
      </c>
    </row>
    <row r="120">
      <c r="C120" s="29" t="inlineStr">
        <is>
          <t>Revenue</t>
        </is>
      </c>
      <c r="G120" s="30">
        <f>G117*G118</f>
        <v>3908606</v>
      </c>
      <c r="H120" s="30">
        <f>H117*H118</f>
        <v>3465000</v>
      </c>
      <c r="I120" s="30">
        <f>I117*I118</f>
        <v>4777322</v>
      </c>
      <c r="J120" s="30">
        <f>J117*J118</f>
        <v>6012160</v>
      </c>
      <c r="K120" s="30">
        <f>K117*K118</f>
        <v>6864264</v>
      </c>
      <c r="L120" s="30">
        <f>L117*L118</f>
        <v>8071752</v>
      </c>
      <c r="M120" s="30">
        <f>M117*M118</f>
        <v>8827920</v>
      </c>
      <c r="N120" s="30">
        <f>N117*N118</f>
        <v>9779128.38</v>
      </c>
      <c r="O120" s="30">
        <f>O117*O118</f>
        <v>10802025.208548</v>
      </c>
      <c r="P120" s="30">
        <f>P117*P118</f>
        <v>12068022.5629898</v>
      </c>
      <c r="Q120" s="30">
        <f>Q117*Q118</f>
        <v>13254309.1809317</v>
      </c>
      <c r="R120" s="30">
        <f>R117*R118</f>
        <v>14585041.8226973</v>
      </c>
    </row>
    <row r="122">
      <c r="C122" s="3" t="inlineStr">
        <is>
          <t>Total Hospital Revenue (LCA)</t>
        </is>
      </c>
      <c r="G122" s="31">
        <f>G17+G24+G31+G38+G45+G52+G59+G66+G73+G80+G89+G96+G103+G109</f>
        <v>36492851</v>
      </c>
      <c r="H122" s="31">
        <f>H17+H24+H31+H38+H45+H52+H59+H66+H73+H80+H89+H96+H103+H109</f>
        <v>33727819</v>
      </c>
      <c r="I122" s="31">
        <f>I17+I24+I31+I38+I45+I52+I59+I66+I73+I80+I89+I96+I103+I109</f>
        <v>39637563</v>
      </c>
      <c r="J122" s="31">
        <f>J17+J24+J31+J38+J45+J52+J59+J66+J73+J80+J89+J96+J103+J109</f>
        <v>46401899</v>
      </c>
      <c r="K122" s="31">
        <f>K17+K24+K31+K38+K45+K52+K59+K66+K73+K80+K89+K96+K103+K109</f>
        <v>53058357</v>
      </c>
      <c r="L122" s="31">
        <f>L17+L24+L31+L38+L45+L52+L59+L66+L73+L80+L89+L96+L103+L109</f>
        <v>59352603</v>
      </c>
      <c r="M122" s="31">
        <f>M17+M24+M31+M38+M45+M52+M59+M66+M73+M80+M89+M96+M103+M109</f>
        <v>66183002</v>
      </c>
      <c r="N122" s="31">
        <f>N17+N24+N31+N38+N45+N52+N59+N66+N73+N80+N89+N96+N103+N109</f>
        <v>75923435.2610779</v>
      </c>
      <c r="O122" s="31">
        <f>O17+O24+O31+O38+O45+O52+O59+O66+O73+O80+O89+O96+O103+O109</f>
        <v>83980667.2610739</v>
      </c>
      <c r="P122" s="31">
        <f>P17+P24+P31+P38+P45+P52+P59+P66+P73+P80+P89+P96+P103+P109</f>
        <v>92540617.6060181</v>
      </c>
      <c r="Q122" s="31">
        <f>Q17+Q24+Q31+Q38+Q45+Q52+Q59+Q66+Q73+Q80+Q89+Q96+Q103+Q109</f>
        <v>103066589.553777</v>
      </c>
      <c r="R122" s="31">
        <f>R17+R24+R31+R38+R45+R52+R59+R66+R73+R80+R89+R96+R103+R109</f>
        <v>114485942.566521</v>
      </c>
    </row>
    <row r="124">
      <c r="C124" s="25" t="inlineStr">
        <is>
          <t>B</t>
        </is>
      </c>
      <c r="D124" s="25" t="inlineStr">
        <is>
          <t>Cost Assumptions</t>
        </is>
      </c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</row>
    <row r="125">
      <c r="C125" s="3" t="inlineStr">
        <is>
          <t>Expenses:</t>
        </is>
      </c>
    </row>
    <row r="126">
      <c r="C126" s="27" t="inlineStr">
        <is>
          <t>COGS – % of Sales (%)</t>
        </is>
      </c>
      <c r="G126" s="20">
        <f>IFERROR(G127/G122,"N/A")</f>
        <v>0.278821734152807</v>
      </c>
      <c r="H126" s="20">
        <f>IFERROR(H127/H122,"N/A")</f>
        <v>0.30476325789106</v>
      </c>
      <c r="I126" s="20">
        <f>IFERROR(I127/I122,"N/A")</f>
        <v>0.298075842856434</v>
      </c>
      <c r="J126" s="20">
        <f>IFERROR(J127/J122,"N/A")</f>
        <v>0.303500509752844</v>
      </c>
      <c r="K126" s="20">
        <f>IFERROR(K127/K122,"N/A")</f>
        <v>0.287212059732645</v>
      </c>
      <c r="L126" s="20">
        <f>IFERROR(L127/L122,"N/A")</f>
        <v>0.303289141337238</v>
      </c>
      <c r="M126" s="20">
        <f>IFERROR(M127/M122,"N/A")</f>
        <v>0.304927237963609</v>
      </c>
      <c r="N126" s="19" t="n">
        <v>0.2892</v>
      </c>
      <c r="O126" s="19" t="n">
        <v>0.2889</v>
      </c>
      <c r="P126" s="19" t="n">
        <v>0.3039</v>
      </c>
      <c r="Q126" s="19" t="n">
        <v>0.3033</v>
      </c>
      <c r="R126" s="19" t="n">
        <v>0.3036</v>
      </c>
    </row>
    <row r="127">
      <c r="C127" s="14" t="inlineStr">
        <is>
          <t>COGS (LCA)</t>
        </is>
      </c>
      <c r="G127" s="26" t="n">
        <v>10175000</v>
      </c>
      <c r="H127" s="26" t="n">
        <v>10279000</v>
      </c>
      <c r="I127" s="26" t="n">
        <v>11815000</v>
      </c>
      <c r="J127" s="26" t="n">
        <v>14083000</v>
      </c>
      <c r="K127" s="26" t="n">
        <v>15239000</v>
      </c>
      <c r="L127" s="26" t="n">
        <v>18001000</v>
      </c>
      <c r="M127" s="26" t="n">
        <v>20181000</v>
      </c>
      <c r="N127" s="8">
        <f>N126*N122</f>
        <v>21957057.4775037</v>
      </c>
      <c r="O127" s="8">
        <f>O126*O122</f>
        <v>24262014.7717242</v>
      </c>
      <c r="P127" s="8">
        <f>P126*P122</f>
        <v>28123093.6904689</v>
      </c>
      <c r="Q127" s="8">
        <f>Q126*Q122</f>
        <v>31260096.6116606</v>
      </c>
      <c r="R127" s="8">
        <f>R126*R122</f>
        <v>34757932.1631958</v>
      </c>
    </row>
    <row r="128">
      <c r="C128" s="27" t="inlineStr">
        <is>
          <t>Payroll – % of Sales (%)</t>
        </is>
      </c>
      <c r="G128" s="20">
        <f>IFERROR(G129/G122,"N/A")</f>
        <v>0.314773981347744</v>
      </c>
      <c r="H128" s="20">
        <f>IFERROR(H129/H122,"N/A")</f>
        <v>0.333256057855386</v>
      </c>
      <c r="I128" s="20">
        <f>IFERROR(I129/I122,"N/A")</f>
        <v>0.308823224071571</v>
      </c>
      <c r="J128" s="20">
        <f>IFERROR(J129/J122,"N/A")</f>
        <v>0.330460613260677</v>
      </c>
      <c r="K128" s="20">
        <f>IFERROR(K129/K122,"N/A")</f>
        <v>0.353026385645526</v>
      </c>
      <c r="L128" s="20">
        <f>IFERROR(L129/L122,"N/A")</f>
        <v>0.348139743761533</v>
      </c>
      <c r="M128" s="20">
        <f>IFERROR(M129/M122,"N/A")</f>
        <v>0.321804683323371</v>
      </c>
      <c r="N128" s="19" t="n">
        <v>0.3311</v>
      </c>
      <c r="O128" s="19" t="n">
        <v>0.3245</v>
      </c>
      <c r="P128" s="19" t="n">
        <v>0.3259</v>
      </c>
      <c r="Q128" s="19" t="n">
        <v>0.3188</v>
      </c>
      <c r="R128" s="19" t="n">
        <v>0.3366</v>
      </c>
    </row>
    <row r="129">
      <c r="C129" s="14" t="inlineStr">
        <is>
          <t>Payroll (LCA)</t>
        </is>
      </c>
      <c r="G129" s="26" t="n">
        <v>11487000</v>
      </c>
      <c r="H129" s="26" t="n">
        <v>11240000</v>
      </c>
      <c r="I129" s="26" t="n">
        <v>12241000</v>
      </c>
      <c r="J129" s="26" t="n">
        <v>15334000</v>
      </c>
      <c r="K129" s="26" t="n">
        <v>18731000</v>
      </c>
      <c r="L129" s="26" t="n">
        <v>20663000</v>
      </c>
      <c r="M129" s="26" t="n">
        <v>21298000</v>
      </c>
      <c r="N129" s="8">
        <f>N128*N122</f>
        <v>25138249.4149429</v>
      </c>
      <c r="O129" s="8">
        <f>O128*O122</f>
        <v>27251726.5262185</v>
      </c>
      <c r="P129" s="8">
        <f>P128*P122</f>
        <v>30158987.2778013</v>
      </c>
      <c r="Q129" s="8">
        <f>Q128*Q122</f>
        <v>32857628.7497442</v>
      </c>
      <c r="R129" s="8">
        <f>R128*R122</f>
        <v>38535968.267891</v>
      </c>
    </row>
    <row r="130">
      <c r="C130" s="27" t="inlineStr">
        <is>
          <t>OPEX – % of Sales (%)</t>
        </is>
      </c>
      <c r="G130" s="20">
        <f>IFERROR(G131/G122,"N/A")</f>
        <v>0.135368979529717</v>
      </c>
      <c r="H130" s="20">
        <f>IFERROR(H131/H122,"N/A")</f>
        <v>0.136415580266248</v>
      </c>
      <c r="I130" s="20">
        <f>IFERROR(I131/I122,"N/A")</f>
        <v>0.137445382300622</v>
      </c>
      <c r="J130" s="20">
        <f>IFERROR(J131/J122,"N/A")</f>
        <v>0.140382185651497</v>
      </c>
      <c r="K130" s="20">
        <f>IFERROR(K131/K122,"N/A")</f>
        <v>0.13543578064432</v>
      </c>
      <c r="L130" s="20">
        <f>IFERROR(L131/L122,"N/A")</f>
        <v>0.138578589383856</v>
      </c>
      <c r="M130" s="20">
        <f>IFERROR(M131/M122,"N/A")</f>
        <v>0.140459026020004</v>
      </c>
      <c r="N130" s="19" t="n">
        <v>0.1435</v>
      </c>
      <c r="O130" s="19" t="n">
        <v>0.1434</v>
      </c>
      <c r="P130" s="19" t="n">
        <v>0.1426</v>
      </c>
      <c r="Q130" s="19" t="n">
        <v>0.1443</v>
      </c>
      <c r="R130" s="19" t="n">
        <v>0.141</v>
      </c>
    </row>
    <row r="131">
      <c r="C131" s="14" t="inlineStr">
        <is>
          <t>OPEX (LCA)</t>
        </is>
      </c>
      <c r="G131" s="26" t="n">
        <v>4940000</v>
      </c>
      <c r="H131" s="26" t="n">
        <v>4601000</v>
      </c>
      <c r="I131" s="26" t="n">
        <v>5448000</v>
      </c>
      <c r="J131" s="26" t="n">
        <v>6514000</v>
      </c>
      <c r="K131" s="26" t="n">
        <v>7186000</v>
      </c>
      <c r="L131" s="26" t="n">
        <v>8225000</v>
      </c>
      <c r="M131" s="26" t="n">
        <v>9296000</v>
      </c>
      <c r="N131" s="8">
        <f>N130*N122</f>
        <v>10895012.9599647</v>
      </c>
      <c r="O131" s="8">
        <f>O130*O122</f>
        <v>12042827.685238</v>
      </c>
      <c r="P131" s="8">
        <f>P130*P122</f>
        <v>13196292.0706182</v>
      </c>
      <c r="Q131" s="8">
        <f>Q130*Q122</f>
        <v>14872508.87261</v>
      </c>
      <c r="R131" s="8">
        <f>R130*R122</f>
        <v>16142517.9018795</v>
      </c>
    </row>
    <row r="132">
      <c r="C132" s="27" t="inlineStr">
        <is>
          <t>Provision – % of Sales (%)</t>
        </is>
      </c>
      <c r="G132" s="20">
        <f>IFERROR(G133/G122,"N/A")</f>
        <v>0.0142767688937211</v>
      </c>
      <c r="H132" s="20">
        <f>IFERROR(H133/H122,"N/A")</f>
        <v>0.0137275404614808</v>
      </c>
      <c r="I132" s="20">
        <f>IFERROR(I133/I122,"N/A")</f>
        <v>0.0139261841097547</v>
      </c>
      <c r="J132" s="20">
        <f>IFERROR(J133/J122,"N/A")</f>
        <v>0.0135770305435129</v>
      </c>
      <c r="K132" s="20">
        <f>IFERROR(K133/K122,"N/A")</f>
        <v>0.0137961301741778</v>
      </c>
      <c r="L132" s="20">
        <f>IFERROR(L133/L122,"N/A")</f>
        <v>0.0140179193151815</v>
      </c>
      <c r="M132" s="20">
        <f>IFERROR(M133/M122,"N/A")</f>
        <v>0.0139763983507427</v>
      </c>
      <c r="N132" s="19" t="n">
        <v>0.0143</v>
      </c>
      <c r="O132" s="19" t="n">
        <v>0.0141</v>
      </c>
      <c r="P132" s="19" t="n">
        <v>0.0142</v>
      </c>
      <c r="Q132" s="19" t="n">
        <v>0.0139</v>
      </c>
      <c r="R132" s="19" t="n">
        <v>0.0142</v>
      </c>
    </row>
    <row r="133">
      <c r="C133" s="14" t="inlineStr">
        <is>
          <t>Provision (LCA)</t>
        </is>
      </c>
      <c r="G133" s="26" t="n">
        <v>521000</v>
      </c>
      <c r="H133" s="26" t="n">
        <v>463000</v>
      </c>
      <c r="I133" s="26" t="n">
        <v>552000</v>
      </c>
      <c r="J133" s="26" t="n">
        <v>630000</v>
      </c>
      <c r="K133" s="26" t="n">
        <v>732000</v>
      </c>
      <c r="L133" s="26" t="n">
        <v>832000</v>
      </c>
      <c r="M133" s="26" t="n">
        <v>925000</v>
      </c>
      <c r="N133" s="8">
        <f>N132*N122</f>
        <v>1085705.12423341</v>
      </c>
      <c r="O133" s="8">
        <f>O132*O122</f>
        <v>1184127.40838114</v>
      </c>
      <c r="P133" s="8">
        <f>P132*P122</f>
        <v>1314076.77000546</v>
      </c>
      <c r="Q133" s="8">
        <f>Q132*Q122</f>
        <v>1432625.5947975</v>
      </c>
      <c r="R133" s="8">
        <f>R132*R122</f>
        <v>1625700.3844446</v>
      </c>
    </row>
    <row r="134">
      <c r="C134" s="27" t="inlineStr">
        <is>
          <t>Depreciation &amp; Amortization – % of Sales (%)</t>
        </is>
      </c>
      <c r="G134" s="20">
        <f>IFERROR(G135/G122,"N/A")</f>
        <v>0.0444470616998381</v>
      </c>
      <c r="H134" s="20">
        <f>IFERROR(H135/H122,"N/A")</f>
        <v>0.0466677077459411</v>
      </c>
      <c r="I134" s="20">
        <f>IFERROR(I135/I122,"N/A")</f>
        <v>0.0462440135383702</v>
      </c>
      <c r="J134" s="20">
        <f>IFERROR(J135/J122,"N/A")</f>
        <v>0.0447179974250623</v>
      </c>
      <c r="K134" s="20">
        <f>IFERROR(K135/K122,"N/A")</f>
        <v>0.0447997287213398</v>
      </c>
      <c r="L134" s="20">
        <f>IFERROR(L135/L122,"N/A")</f>
        <v>0.0478327799709138</v>
      </c>
      <c r="M134" s="20">
        <f>IFERROR(M135/M122,"N/A")</f>
        <v>0.0444373919454424</v>
      </c>
      <c r="N134" s="19" t="n">
        <v>0.0456</v>
      </c>
      <c r="O134" s="19" t="n">
        <v>0.0463</v>
      </c>
      <c r="P134" s="19" t="n">
        <v>0.0459</v>
      </c>
      <c r="Q134" s="19" t="n">
        <v>0.0462</v>
      </c>
      <c r="R134" s="19" t="n">
        <v>0.045</v>
      </c>
    </row>
    <row r="135">
      <c r="C135" s="14" t="inlineStr">
        <is>
          <t>Depreciation &amp; Amortization (LCA)</t>
        </is>
      </c>
      <c r="G135" s="26" t="n">
        <v>1622000</v>
      </c>
      <c r="H135" s="26" t="n">
        <v>1574000</v>
      </c>
      <c r="I135" s="26" t="n">
        <v>1833000</v>
      </c>
      <c r="J135" s="26" t="n">
        <v>2075000</v>
      </c>
      <c r="K135" s="26" t="n">
        <v>2377000</v>
      </c>
      <c r="L135" s="26" t="n">
        <v>2839000</v>
      </c>
      <c r="M135" s="26" t="n">
        <v>2941000</v>
      </c>
      <c r="N135" s="8">
        <f>N134*N122</f>
        <v>3462108.64790515</v>
      </c>
      <c r="O135" s="8">
        <f>O134*O122</f>
        <v>3888304.89418772</v>
      </c>
      <c r="P135" s="8">
        <f>P134*P122</f>
        <v>4247614.34811623</v>
      </c>
      <c r="Q135" s="8">
        <f>Q134*Q122</f>
        <v>4761676.43738451</v>
      </c>
      <c r="R135" s="8">
        <f>R134*R122</f>
        <v>5151867.41549344</v>
      </c>
    </row>
    <row r="136">
      <c r="C136" s="27" t="inlineStr">
        <is>
          <t>Goodwill, Trademark &amp; PPA Amortization – % of Sales (%)</t>
        </is>
      </c>
      <c r="G136" s="20">
        <f>IFERROR(G137/G122,"N/A")</f>
        <v>0.00583675964369021</v>
      </c>
      <c r="H136" s="20">
        <f>IFERROR(H137/H122,"N/A")</f>
        <v>0.00604841955538246</v>
      </c>
      <c r="I136" s="20">
        <f>IFERROR(I137/I122,"N/A")</f>
        <v>0.00610531984521854</v>
      </c>
      <c r="J136" s="20">
        <f>IFERROR(J137/J122,"N/A")</f>
        <v>0.00586182906005636</v>
      </c>
      <c r="K136" s="20">
        <f>IFERROR(K137/K122,"N/A")</f>
        <v>0.00612533101995601</v>
      </c>
      <c r="L136" s="20">
        <f>IFERROR(L137/L122,"N/A")</f>
        <v>0.00588011278966147</v>
      </c>
      <c r="M136" s="20">
        <f>IFERROR(M137/M122,"N/A")</f>
        <v>0.00601362869577902</v>
      </c>
      <c r="N136" s="19" t="n">
        <v>0.0059</v>
      </c>
      <c r="O136" s="19" t="n">
        <v>0.006</v>
      </c>
      <c r="P136" s="19" t="n">
        <v>0.006</v>
      </c>
      <c r="Q136" s="19" t="n">
        <v>0.0061</v>
      </c>
      <c r="R136" s="19" t="n">
        <v>0.0061</v>
      </c>
    </row>
    <row r="137">
      <c r="C137" s="14" t="inlineStr">
        <is>
          <t>Goodwill, Trademark &amp; PPA Amortization (LCA)</t>
        </is>
      </c>
      <c r="G137" s="26" t="n">
        <v>213000</v>
      </c>
      <c r="H137" s="26" t="n">
        <v>204000</v>
      </c>
      <c r="I137" s="26" t="n">
        <v>242000</v>
      </c>
      <c r="J137" s="26" t="n">
        <v>272000</v>
      </c>
      <c r="K137" s="26" t="n">
        <v>325000</v>
      </c>
      <c r="L137" s="26" t="n">
        <v>349000</v>
      </c>
      <c r="M137" s="26" t="n">
        <v>398000</v>
      </c>
      <c r="N137" s="8">
        <f>N136*N122</f>
        <v>447948.268040359</v>
      </c>
      <c r="O137" s="8">
        <f>O136*O122</f>
        <v>503884.003566443</v>
      </c>
      <c r="P137" s="8">
        <f>P136*P122</f>
        <v>555243.705636109</v>
      </c>
      <c r="Q137" s="8">
        <f>Q136*Q122</f>
        <v>628706.196278041</v>
      </c>
      <c r="R137" s="8">
        <f>R136*R122</f>
        <v>698364.249655778</v>
      </c>
    </row>
    <row r="139">
      <c r="C139" s="12" t="inlineStr">
        <is>
          <t>Financial Statements</t>
        </is>
      </c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</row>
    <row r="140">
      <c r="C140" s="25" t="inlineStr">
        <is>
          <t>A</t>
        </is>
      </c>
      <c r="D140" s="25" t="inlineStr">
        <is>
          <t>Income Statement</t>
        </is>
      </c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</row>
    <row r="141">
      <c r="E141" s="10" t="str">
        <f>"("&amp;Control!$E$18&amp;" in Actual)"</f>
        <v>(USD in Actual)</v>
      </c>
    </row>
    <row r="142">
      <c r="C142" s="3" t="inlineStr">
        <is>
          <t>Revenue:</t>
        </is>
      </c>
    </row>
    <row r="143">
      <c r="C143" s="14" t="inlineStr">
        <is>
          <t>Laboratory</t>
        </is>
      </c>
      <c r="G143" s="32">
        <f>G17*Control!$E$17</f>
        <v>713880.65</v>
      </c>
      <c r="H143" s="32">
        <f>H17*Control!$E$17</f>
        <v>687713.4</v>
      </c>
      <c r="I143" s="32">
        <f>I17*Control!$E$17</f>
        <v>822329.625</v>
      </c>
      <c r="J143" s="32">
        <f>J17*Control!$E$17</f>
        <v>954567.18</v>
      </c>
      <c r="K143" s="32">
        <f>K17*Control!$E$17</f>
        <v>1114153.33</v>
      </c>
      <c r="L143" s="32">
        <f>L17*Control!$E$17</f>
        <v>1275380.25</v>
      </c>
      <c r="M143" s="32">
        <f>M17*Control!$E$17</f>
        <v>1477547.46</v>
      </c>
      <c r="N143" s="32">
        <f>N17*Control!$E$17</f>
        <v>1644541.35147666</v>
      </c>
      <c r="O143" s="32">
        <f>O17*Control!$E$17</f>
        <v>1814833.60842207</v>
      </c>
      <c r="P143" s="32">
        <f>P17*Control!$E$17</f>
        <v>2029339.68160312</v>
      </c>
      <c r="Q143" s="32">
        <f>Q17*Control!$E$17</f>
        <v>2256479.6134856</v>
      </c>
      <c r="R143" s="32">
        <f>R17*Control!$E$17</f>
        <v>2624448.25701592</v>
      </c>
    </row>
    <row r="144">
      <c r="C144" s="14" t="inlineStr">
        <is>
          <t>Radiology</t>
        </is>
      </c>
      <c r="G144" s="32">
        <f>G24*Control!$E$17</f>
        <v>594268</v>
      </c>
      <c r="H144" s="32">
        <f>H24*Control!$E$17</f>
        <v>528539.91</v>
      </c>
      <c r="I144" s="32">
        <f>I24*Control!$E$17</f>
        <v>614224.435</v>
      </c>
      <c r="J144" s="32">
        <f>J24*Control!$E$17</f>
        <v>717690.705</v>
      </c>
      <c r="K144" s="32">
        <f>K24*Control!$E$17</f>
        <v>834109.705</v>
      </c>
      <c r="L144" s="32">
        <f>L24*Control!$E$17</f>
        <v>930083.94</v>
      </c>
      <c r="M144" s="32">
        <f>M24*Control!$E$17</f>
        <v>1090971.99</v>
      </c>
      <c r="N144" s="32">
        <f>N24*Control!$E$17</f>
        <v>1219961.97226566</v>
      </c>
      <c r="O144" s="32">
        <f>O24*Control!$E$17</f>
        <v>1379816.02941557</v>
      </c>
      <c r="P144" s="32">
        <f>P24*Control!$E$17</f>
        <v>1513994.85938006</v>
      </c>
      <c r="Q144" s="32">
        <f>Q24*Control!$E$17</f>
        <v>1710161.65931508</v>
      </c>
      <c r="R144" s="32">
        <f>R24*Control!$E$17</f>
        <v>1935983.37594265</v>
      </c>
    </row>
    <row r="145">
      <c r="C145" s="14" t="inlineStr">
        <is>
          <t>Endoscopy</t>
        </is>
      </c>
      <c r="G145" s="32">
        <f>G31*Control!$E$17</f>
        <v>281561.49</v>
      </c>
      <c r="H145" s="32">
        <f>H31*Control!$E$17</f>
        <v>269719.135</v>
      </c>
      <c r="I145" s="32">
        <f>I31*Control!$E$17</f>
        <v>311915.03</v>
      </c>
      <c r="J145" s="32">
        <f>J31*Control!$E$17</f>
        <v>352420.1</v>
      </c>
      <c r="K145" s="32">
        <f>K31*Control!$E$17</f>
        <v>407984.91</v>
      </c>
      <c r="L145" s="32">
        <f>L31*Control!$E$17</f>
        <v>451380.48</v>
      </c>
      <c r="M145" s="32">
        <f>M31*Control!$E$17</f>
        <v>528715.455</v>
      </c>
      <c r="N145" s="32">
        <f>N31*Control!$E$17</f>
        <v>591825.04657062</v>
      </c>
      <c r="O145" s="32">
        <f>O31*Control!$E$17</f>
        <v>677580.495818703</v>
      </c>
      <c r="P145" s="32">
        <f>P31*Control!$E$17</f>
        <v>786600.487273949</v>
      </c>
      <c r="Q145" s="32">
        <f>Q31*Control!$E$17</f>
        <v>869706.401955416</v>
      </c>
      <c r="R145" s="32">
        <f>R31*Control!$E$17</f>
        <v>958808.692542151</v>
      </c>
    </row>
    <row r="146">
      <c r="C146" s="14" t="inlineStr">
        <is>
          <t>Physiotherapy</t>
        </is>
      </c>
      <c r="G146" s="32">
        <f>G38*Control!$E$17</f>
        <v>108866.1</v>
      </c>
      <c r="H146" s="32">
        <f>H38*Control!$E$17</f>
        <v>102180.82</v>
      </c>
      <c r="I146" s="32">
        <f>I38*Control!$E$17</f>
        <v>117539.01</v>
      </c>
      <c r="J146" s="32">
        <f>J38*Control!$E$17</f>
        <v>137513.07</v>
      </c>
      <c r="K146" s="32">
        <f>K38*Control!$E$17</f>
        <v>165800.96</v>
      </c>
      <c r="L146" s="32">
        <f>L38*Control!$E$17</f>
        <v>178491.43</v>
      </c>
      <c r="M146" s="32">
        <f>M38*Control!$E$17</f>
        <v>204081.99</v>
      </c>
      <c r="N146" s="32">
        <f>N38*Control!$E$17</f>
        <v>227772.23556318</v>
      </c>
      <c r="O146" s="32">
        <f>O38*Control!$E$17</f>
        <v>257108.388414775</v>
      </c>
      <c r="P146" s="32">
        <f>P38*Control!$E$17</f>
        <v>295999.888788336</v>
      </c>
      <c r="Q146" s="32">
        <f>Q38*Control!$E$17</f>
        <v>333183.690817816</v>
      </c>
      <c r="R146" s="32">
        <f>R38*Control!$E$17</f>
        <v>362800.389094611</v>
      </c>
    </row>
    <row r="147">
      <c r="C147" s="14" t="inlineStr">
        <is>
          <t>IVF</t>
        </is>
      </c>
      <c r="G147" s="32">
        <f>G45*Control!$E$17</f>
        <v>0</v>
      </c>
      <c r="H147" s="32">
        <f>H45*Control!$E$17</f>
        <v>0</v>
      </c>
      <c r="I147" s="32">
        <f>I45*Control!$E$17</f>
        <v>0</v>
      </c>
      <c r="J147" s="32">
        <f>J45*Control!$E$17</f>
        <v>0</v>
      </c>
      <c r="K147" s="32">
        <f>K45*Control!$E$17</f>
        <v>0</v>
      </c>
      <c r="L147" s="32">
        <f>L45*Control!$E$17</f>
        <v>0</v>
      </c>
      <c r="M147" s="32">
        <f>M45*Control!$E$17</f>
        <v>0</v>
      </c>
      <c r="N147" s="32">
        <f>N45*Control!$E$17</f>
        <v>0</v>
      </c>
      <c r="O147" s="32">
        <f>O45*Control!$E$17</f>
        <v>0</v>
      </c>
      <c r="P147" s="32">
        <f>P45*Control!$E$17</f>
        <v>0</v>
      </c>
      <c r="Q147" s="32">
        <f>Q45*Control!$E$17</f>
        <v>0</v>
      </c>
      <c r="R147" s="32">
        <f>R45*Control!$E$17</f>
        <v>0</v>
      </c>
    </row>
    <row r="148">
      <c r="C148" s="14" t="inlineStr">
        <is>
          <t>Anapath</t>
        </is>
      </c>
      <c r="G148" s="32">
        <f>G52*Control!$E$17</f>
        <v>183755.665</v>
      </c>
      <c r="H148" s="32">
        <f>H52*Control!$E$17</f>
        <v>169433.355</v>
      </c>
      <c r="I148" s="32">
        <f>I52*Control!$E$17</f>
        <v>191207.28</v>
      </c>
      <c r="J148" s="32">
        <f>J52*Control!$E$17</f>
        <v>221502.54</v>
      </c>
      <c r="K148" s="32">
        <f>K52*Control!$E$17</f>
        <v>247146.68</v>
      </c>
      <c r="L148" s="32">
        <f>L52*Control!$E$17</f>
        <v>301587.72</v>
      </c>
      <c r="M148" s="32">
        <f>M52*Control!$E$17</f>
        <v>341370.165</v>
      </c>
      <c r="N148" s="32">
        <f>N52*Control!$E$17</f>
        <v>392239.440137475</v>
      </c>
      <c r="O148" s="32">
        <f>O52*Control!$E$17</f>
        <v>439379.560532077</v>
      </c>
      <c r="P148" s="32">
        <f>P52*Control!$E$17</f>
        <v>483491.950270816</v>
      </c>
      <c r="Q148" s="32">
        <f>Q52*Control!$E$17</f>
        <v>542711.978307786</v>
      </c>
      <c r="R148" s="32">
        <f>R52*Control!$E$17</f>
        <v>601189.19397045</v>
      </c>
    </row>
    <row r="149">
      <c r="C149" s="14" t="inlineStr">
        <is>
          <t>Surgery</t>
        </is>
      </c>
      <c r="G149" s="32">
        <f>G59*Control!$E$17</f>
        <v>1516784</v>
      </c>
      <c r="H149" s="32">
        <f>H59*Control!$E$17</f>
        <v>1439927.955</v>
      </c>
      <c r="I149" s="32">
        <f>I59*Control!$E$17</f>
        <v>1713082.32</v>
      </c>
      <c r="J149" s="32">
        <f>J59*Control!$E$17</f>
        <v>2000866.14</v>
      </c>
      <c r="K149" s="32">
        <f>K59*Control!$E$17</f>
        <v>2222495.58</v>
      </c>
      <c r="L149" s="32">
        <f>L59*Control!$E$17</f>
        <v>2461418.2</v>
      </c>
      <c r="M149" s="32">
        <f>M59*Control!$E$17</f>
        <v>2832966.36</v>
      </c>
      <c r="N149" s="32">
        <f>N59*Control!$E$17</f>
        <v>3209892.534198</v>
      </c>
      <c r="O149" s="32">
        <f>O59*Control!$E$17</f>
        <v>3653965.11684162</v>
      </c>
      <c r="P149" s="32">
        <f>P59*Control!$E$17</f>
        <v>4059215.42605518</v>
      </c>
      <c r="Q149" s="32">
        <f>Q59*Control!$E$17</f>
        <v>4642199.94554522</v>
      </c>
      <c r="R149" s="32">
        <f>R59*Control!$E$17</f>
        <v>5142369.13647804</v>
      </c>
    </row>
    <row r="150">
      <c r="C150" s="14" t="inlineStr">
        <is>
          <t>Cardiac Cath</t>
        </is>
      </c>
      <c r="G150" s="32">
        <f>G66*Control!$E$17</f>
        <v>291876.345</v>
      </c>
      <c r="H150" s="32">
        <f>H66*Control!$E$17</f>
        <v>271119.03</v>
      </c>
      <c r="I150" s="32">
        <f>I66*Control!$E$17</f>
        <v>299437.235</v>
      </c>
      <c r="J150" s="32">
        <f>J66*Control!$E$17</f>
        <v>354929.9</v>
      </c>
      <c r="K150" s="32">
        <f>K66*Control!$E$17</f>
        <v>430292.52</v>
      </c>
      <c r="L150" s="32">
        <f>L66*Control!$E$17</f>
        <v>497157.54</v>
      </c>
      <c r="M150" s="32">
        <f>M66*Control!$E$17</f>
        <v>566291.25</v>
      </c>
      <c r="N150" s="32">
        <f>N66*Control!$E$17</f>
        <v>639095.918265</v>
      </c>
      <c r="O150" s="32">
        <f>O66*Control!$E$17</f>
        <v>724814.658302293</v>
      </c>
      <c r="P150" s="32">
        <f>P66*Control!$E$17</f>
        <v>821157.022683834</v>
      </c>
      <c r="Q150" s="32">
        <f>Q66*Control!$E$17</f>
        <v>924393.704732668</v>
      </c>
      <c r="R150" s="32">
        <f>R66*Control!$E$17</f>
        <v>1038381.61685696</v>
      </c>
    </row>
    <row r="151">
      <c r="C151" s="14" t="inlineStr">
        <is>
          <t>Heart Test</t>
        </is>
      </c>
      <c r="G151" s="32">
        <f>G73*Control!$E$17</f>
        <v>204374.565</v>
      </c>
      <c r="H151" s="32">
        <f>H73*Control!$E$17</f>
        <v>190900.84</v>
      </c>
      <c r="I151" s="32">
        <f>I73*Control!$E$17</f>
        <v>218653.87</v>
      </c>
      <c r="J151" s="32">
        <f>J73*Control!$E$17</f>
        <v>238129.495</v>
      </c>
      <c r="K151" s="32">
        <f>K73*Control!$E$17</f>
        <v>270547.745</v>
      </c>
      <c r="L151" s="32">
        <f>L73*Control!$E$17</f>
        <v>309557.745</v>
      </c>
      <c r="M151" s="32">
        <f>M73*Control!$E$17</f>
        <v>386138.84</v>
      </c>
      <c r="N151" s="32">
        <f>N73*Control!$E$17</f>
        <v>435902.86914384</v>
      </c>
      <c r="O151" s="32">
        <f>O73*Control!$E$17</f>
        <v>488363.779445301</v>
      </c>
      <c r="P151" s="32">
        <f>P73*Control!$E$17</f>
        <v>549678.828682218</v>
      </c>
      <c r="Q151" s="32">
        <f>Q73*Control!$E$17</f>
        <v>600262.47321287</v>
      </c>
      <c r="R151" s="32">
        <f>R73*Control!$E$17</f>
        <v>669898.922730295</v>
      </c>
    </row>
    <row r="152">
      <c r="C152" s="14" t="inlineStr">
        <is>
          <t>Emergency</t>
        </is>
      </c>
      <c r="G152" s="32">
        <f>G80*Control!$E$17</f>
        <v>515769.54</v>
      </c>
      <c r="H152" s="32">
        <f>H80*Control!$E$17</f>
        <v>499288.05</v>
      </c>
      <c r="I152" s="32">
        <f>I80*Control!$E$17</f>
        <v>565314.12</v>
      </c>
      <c r="J152" s="32">
        <f>J80*Control!$E$17</f>
        <v>660781.225</v>
      </c>
      <c r="K152" s="32">
        <f>K80*Control!$E$17</f>
        <v>742506.705</v>
      </c>
      <c r="L152" s="32">
        <f>L80*Control!$E$17</f>
        <v>834779.22</v>
      </c>
      <c r="M152" s="32">
        <f>M80*Control!$E$17</f>
        <v>963627.84</v>
      </c>
      <c r="N152" s="32">
        <f>N80*Control!$E$17</f>
        <v>1066354.42225536</v>
      </c>
      <c r="O152" s="32">
        <f>O80*Control!$E$17</f>
        <v>1170050.99169316</v>
      </c>
      <c r="P152" s="32">
        <f>P80*Control!$E$17</f>
        <v>1320772.28023911</v>
      </c>
      <c r="Q152" s="32">
        <f>Q80*Control!$E$17</f>
        <v>1468540.28295226</v>
      </c>
      <c r="R152" s="32">
        <f>R80*Control!$E$17</f>
        <v>1689179.64922414</v>
      </c>
    </row>
    <row r="153">
      <c r="C153" s="14" t="inlineStr">
        <is>
          <t>Accommodation</t>
        </is>
      </c>
      <c r="G153" s="32">
        <f>G89*Control!$E$17</f>
        <v>2687320.88</v>
      </c>
      <c r="H153" s="32">
        <f>H89*Control!$E$17</f>
        <v>2434118.72</v>
      </c>
      <c r="I153" s="32">
        <f>I89*Control!$E$17</f>
        <v>2760060.9</v>
      </c>
      <c r="J153" s="32">
        <f>J89*Control!$E$17</f>
        <v>3203218.26</v>
      </c>
      <c r="K153" s="32">
        <f>K89*Control!$E$17</f>
        <v>3661631.82</v>
      </c>
      <c r="L153" s="32">
        <f>L89*Control!$E$17</f>
        <v>3939463.39</v>
      </c>
      <c r="M153" s="32">
        <f>M89*Control!$E$17</f>
        <v>4095277.32</v>
      </c>
      <c r="N153" s="32">
        <f>N89*Control!$E$17</f>
        <v>4453285.551552</v>
      </c>
      <c r="O153" s="32">
        <f>O89*Control!$E$17</f>
        <v>4765974.14931206</v>
      </c>
      <c r="P153" s="32">
        <f>P89*Control!$E$17</f>
        <v>5113826.3751589</v>
      </c>
      <c r="Q153" s="32">
        <f>Q89*Control!$E$17</f>
        <v>5558418.93204937</v>
      </c>
      <c r="R153" s="32">
        <f>R89*Control!$E$17</f>
        <v>5949875.99938336</v>
      </c>
    </row>
    <row r="154">
      <c r="C154" s="14" t="inlineStr">
        <is>
          <t>Radiotherapy</t>
        </is>
      </c>
      <c r="G154" s="32">
        <f>G96*Control!$E$17</f>
        <v>918522.41</v>
      </c>
      <c r="H154" s="32">
        <f>H96*Control!$E$17</f>
        <v>814275</v>
      </c>
      <c r="I154" s="32">
        <f>I96*Control!$E$17</f>
        <v>1122670.67</v>
      </c>
      <c r="J154" s="32">
        <f>J96*Control!$E$17</f>
        <v>1412857.6</v>
      </c>
      <c r="K154" s="32">
        <f>K96*Control!$E$17</f>
        <v>1613102.04</v>
      </c>
      <c r="L154" s="32">
        <f>L96*Control!$E$17</f>
        <v>1896861.72</v>
      </c>
      <c r="M154" s="32">
        <f>M96*Control!$E$17</f>
        <v>2074561.2</v>
      </c>
      <c r="N154" s="32">
        <f>N96*Control!$E$17</f>
        <v>2298095.1693</v>
      </c>
      <c r="O154" s="32">
        <f>O96*Control!$E$17</f>
        <v>2538475.92400878</v>
      </c>
      <c r="P154" s="32">
        <f>P96*Control!$E$17</f>
        <v>2835985.30230261</v>
      </c>
      <c r="Q154" s="32">
        <f>Q96*Control!$E$17</f>
        <v>3114762.65751896</v>
      </c>
      <c r="R154" s="32">
        <f>R96*Control!$E$17</f>
        <v>3427484.82833386</v>
      </c>
    </row>
    <row r="155">
      <c r="C155" s="14" t="inlineStr">
        <is>
          <t>Nursing Fees</t>
        </is>
      </c>
      <c r="G155" s="32">
        <f>G103*Control!$E$17</f>
        <v>131610.34</v>
      </c>
      <c r="H155" s="32">
        <f>H103*Control!$E$17</f>
        <v>116501.25</v>
      </c>
      <c r="I155" s="32">
        <f>I103*Control!$E$17</f>
        <v>134947.81</v>
      </c>
      <c r="J155" s="32">
        <f>J103*Control!$E$17</f>
        <v>156235.05</v>
      </c>
      <c r="K155" s="32">
        <f>K103*Control!$E$17</f>
        <v>181546.9</v>
      </c>
      <c r="L155" s="32">
        <f>L103*Control!$E$17</f>
        <v>199365.07</v>
      </c>
      <c r="M155" s="32">
        <f>M103*Control!$E$17</f>
        <v>240630.6</v>
      </c>
      <c r="N155" s="32">
        <f>N103*Control!$E$17</f>
        <v>265279.8361416</v>
      </c>
      <c r="O155" s="32">
        <f>O103*Control!$E$17</f>
        <v>295778.263063291</v>
      </c>
      <c r="P155" s="32">
        <f>P103*Control!$E$17</f>
        <v>326090.80257507</v>
      </c>
      <c r="Q155" s="32">
        <f>Q103*Control!$E$17</f>
        <v>364251.252655615</v>
      </c>
      <c r="R155" s="32">
        <f>R103*Control!$E$17</f>
        <v>418949.406261898</v>
      </c>
    </row>
    <row r="156">
      <c r="C156" s="14" t="inlineStr">
        <is>
          <t>Pharmacy</t>
        </is>
      </c>
      <c r="G156" s="32">
        <f>G109*Control!$E$17</f>
        <v>427230</v>
      </c>
      <c r="H156" s="32">
        <f>H109*Control!$E$17</f>
        <v>402320</v>
      </c>
      <c r="I156" s="32">
        <f>I109*Control!$E$17</f>
        <v>443445</v>
      </c>
      <c r="J156" s="32">
        <f>J109*Control!$E$17</f>
        <v>493735</v>
      </c>
      <c r="K156" s="32">
        <f>K109*Control!$E$17</f>
        <v>577395</v>
      </c>
      <c r="L156" s="32">
        <f>L109*Control!$E$17</f>
        <v>672335</v>
      </c>
      <c r="M156" s="32">
        <f>M109*Control!$E$17</f>
        <v>750825</v>
      </c>
      <c r="N156" s="32">
        <f>N109*Control!$E$17</f>
        <v>1397760.9394839</v>
      </c>
      <c r="O156" s="32">
        <f>O109*Control!$E$17</f>
        <v>1529315.84108266</v>
      </c>
      <c r="P156" s="32">
        <f>P109*Control!$E$17</f>
        <v>1610892.23240106</v>
      </c>
      <c r="Q156" s="32">
        <f>Q109*Control!$E$17</f>
        <v>1835575.95258899</v>
      </c>
      <c r="R156" s="32">
        <f>R109*Control!$E$17</f>
        <v>2084827.03529808</v>
      </c>
    </row>
    <row r="157">
      <c r="C157" s="3" t="inlineStr">
        <is>
          <t>Revenue</t>
        </is>
      </c>
      <c r="G157" s="30">
        <f>SUM(G143:G156)</f>
        <v>8575819.985</v>
      </c>
      <c r="H157" s="30">
        <f>SUM(H143:H156)</f>
        <v>7926037.465</v>
      </c>
      <c r="I157" s="30">
        <f>SUM(I143:I156)</f>
        <v>9314827.305</v>
      </c>
      <c r="J157" s="30">
        <f>SUM(J143:J156)</f>
        <v>10904446.265</v>
      </c>
      <c r="K157" s="30">
        <f>SUM(K143:K156)</f>
        <v>12468713.895</v>
      </c>
      <c r="L157" s="30">
        <f>SUM(L143:L156)</f>
        <v>13947861.705</v>
      </c>
      <c r="M157" s="30">
        <f>SUM(M143:M156)</f>
        <v>15553005.47</v>
      </c>
      <c r="N157" s="30">
        <f>SUM(N143:N156)</f>
        <v>17842007.2863533</v>
      </c>
      <c r="O157" s="30">
        <f>SUM(O143:O156)</f>
        <v>19735456.8063524</v>
      </c>
      <c r="P157" s="30">
        <f>SUM(P143:P156)</f>
        <v>21747045.1374143</v>
      </c>
      <c r="Q157" s="30">
        <f>SUM(Q143:Q156)</f>
        <v>24220648.5451376</v>
      </c>
      <c r="R157" s="30">
        <f>SUM(R143:R156)</f>
        <v>26904196.5031324</v>
      </c>
    </row>
    <row r="158">
      <c r="C158" s="33" t="inlineStr">
        <is>
          <t>Growth (%)</t>
        </is>
      </c>
      <c r="G158" s="20" t="str">
        <f>IFERROR(G157/F157-1,"N/A")</f>
        <v>N/A</v>
      </c>
      <c r="H158" s="20">
        <f>IFERROR(H157/G157-1,"N/A")</f>
        <v>-0.0757691417423101</v>
      </c>
      <c r="I158" s="20">
        <f>IFERROR(I157/H157-1,"N/A")</f>
        <v>0.175218682239726</v>
      </c>
      <c r="J158" s="20">
        <f>IFERROR(J157/I157-1,"N/A")</f>
        <v>0.170654689341017</v>
      </c>
      <c r="K158" s="20">
        <f>IFERROR(K157/J157-1,"N/A")</f>
        <v>0.143452275520017</v>
      </c>
      <c r="L158" s="20">
        <f>IFERROR(L157/K157-1,"N/A")</f>
        <v>0.118628739295489</v>
      </c>
      <c r="M158" s="20">
        <f>IFERROR(M157/L157-1,"N/A")</f>
        <v>0.11508170922175</v>
      </c>
      <c r="N158" s="20">
        <f>IFERROR(N157/M157-1,"N/A")</f>
        <v>0.147174243638538</v>
      </c>
      <c r="O158" s="20">
        <f>IFERROR(O157/N157-1,"N/A")</f>
        <v>0.106123122225564</v>
      </c>
      <c r="P158" s="20">
        <f>IFERROR(P157/O157-1,"N/A")</f>
        <v>0.101927629585671</v>
      </c>
      <c r="Q158" s="20">
        <f>IFERROR(Q157/P157-1,"N/A")</f>
        <v>0.113744345132559</v>
      </c>
      <c r="R158" s="20">
        <f>IFERROR(R157/Q157-1,"N/A")</f>
        <v>0.11079587538681</v>
      </c>
    </row>
    <row r="160">
      <c r="C160" s="14" t="inlineStr">
        <is>
          <t>(-) COGS</t>
        </is>
      </c>
      <c r="G160" s="32">
        <f>-G127*Control!$E$17</f>
        <v>-2391125</v>
      </c>
      <c r="H160" s="32">
        <f>-H127*Control!$E$17</f>
        <v>-2415565</v>
      </c>
      <c r="I160" s="32">
        <f>-I127*Control!$E$17</f>
        <v>-2776525</v>
      </c>
      <c r="J160" s="32">
        <f>-J127*Control!$E$17</f>
        <v>-3309505</v>
      </c>
      <c r="K160" s="32">
        <f>-K127*Control!$E$17</f>
        <v>-3581165</v>
      </c>
      <c r="L160" s="32">
        <f>-L127*Control!$E$17</f>
        <v>-4230235</v>
      </c>
      <c r="M160" s="32">
        <f>-M127*Control!$E$17</f>
        <v>-4742535</v>
      </c>
      <c r="N160" s="32">
        <f>-N127*Control!$E$17</f>
        <v>-5159908.50721337</v>
      </c>
      <c r="O160" s="32">
        <f>-O127*Control!$E$17</f>
        <v>-5701573.4713552</v>
      </c>
      <c r="P160" s="32">
        <f>-P127*Control!$E$17</f>
        <v>-6608927.01726019</v>
      </c>
      <c r="Q160" s="32">
        <f>-Q127*Control!$E$17</f>
        <v>-7346122.70374025</v>
      </c>
      <c r="R160" s="32">
        <f>-R127*Control!$E$17</f>
        <v>-8168114.058351</v>
      </c>
    </row>
    <row r="161">
      <c r="C161" s="3" t="inlineStr">
        <is>
          <t>Gross Margin</t>
        </is>
      </c>
      <c r="G161" s="30">
        <f>G157+G160</f>
        <v>6184694.985</v>
      </c>
      <c r="H161" s="30">
        <f>H157+H160</f>
        <v>5510472.465</v>
      </c>
      <c r="I161" s="30">
        <f>I157+I160</f>
        <v>6538302.305</v>
      </c>
      <c r="J161" s="30">
        <f>J157+J160</f>
        <v>7594941.265</v>
      </c>
      <c r="K161" s="30">
        <f>K157+K160</f>
        <v>8887548.895</v>
      </c>
      <c r="L161" s="30">
        <f>L157+L160</f>
        <v>9717626.705</v>
      </c>
      <c r="M161" s="30">
        <f>M157+M160</f>
        <v>10810470.47</v>
      </c>
      <c r="N161" s="30">
        <f>N157+N160</f>
        <v>12682098.7791399</v>
      </c>
      <c r="O161" s="30">
        <f>O157+O160</f>
        <v>14033883.3349972</v>
      </c>
      <c r="P161" s="30">
        <f>P157+P160</f>
        <v>15138118.1201541</v>
      </c>
      <c r="Q161" s="30">
        <f>Q157+Q160</f>
        <v>16874525.8413974</v>
      </c>
      <c r="R161" s="30">
        <f>R157+R160</f>
        <v>18736082.4447814</v>
      </c>
    </row>
    <row r="162">
      <c r="C162" s="33" t="inlineStr">
        <is>
          <t>Margin (%)</t>
        </is>
      </c>
      <c r="G162" s="20">
        <f>IFERROR(G161/G$157,"N/A")</f>
        <v>0.721178265847193</v>
      </c>
      <c r="H162" s="20">
        <f>IFERROR(H161/H$157,"N/A")</f>
        <v>0.69523674210894</v>
      </c>
      <c r="I162" s="20">
        <f>IFERROR(I161/I$157,"N/A")</f>
        <v>0.701924157143566</v>
      </c>
      <c r="J162" s="20">
        <f>IFERROR(J161/J$157,"N/A")</f>
        <v>0.696499490247156</v>
      </c>
      <c r="K162" s="20">
        <f>IFERROR(K161/K$157,"N/A")</f>
        <v>0.712787940267355</v>
      </c>
      <c r="L162" s="20">
        <f>IFERROR(L161/L$157,"N/A")</f>
        <v>0.696710858662762</v>
      </c>
      <c r="M162" s="20">
        <f>IFERROR(M161/M$157,"N/A")</f>
        <v>0.695072762036391</v>
      </c>
      <c r="N162" s="20">
        <f>IFERROR(N161/N$157,"N/A")</f>
        <v>0.7108</v>
      </c>
      <c r="O162" s="20">
        <f>IFERROR(O161/O$157,"N/A")</f>
        <v>0.7111</v>
      </c>
      <c r="P162" s="20">
        <f>IFERROR(P161/P$157,"N/A")</f>
        <v>0.6961</v>
      </c>
      <c r="Q162" s="20">
        <f>IFERROR(Q161/Q$157,"N/A")</f>
        <v>0.6967</v>
      </c>
      <c r="R162" s="20">
        <f>IFERROR(R161/R$157,"N/A")</f>
        <v>0.6964</v>
      </c>
    </row>
    <row r="163">
      <c r="C163" s="14" t="inlineStr">
        <is>
          <t>(-) Payroll</t>
        </is>
      </c>
      <c r="G163" s="32">
        <f>-G129*Control!$E$17</f>
        <v>-2699445</v>
      </c>
      <c r="H163" s="32">
        <f>-H129*Control!$E$17</f>
        <v>-2641400</v>
      </c>
      <c r="I163" s="32">
        <f>-I129*Control!$E$17</f>
        <v>-2876635</v>
      </c>
      <c r="J163" s="32">
        <f>-J129*Control!$E$17</f>
        <v>-3603490</v>
      </c>
      <c r="K163" s="32">
        <f>-K129*Control!$E$17</f>
        <v>-4401785</v>
      </c>
      <c r="L163" s="32">
        <f>-L129*Control!$E$17</f>
        <v>-4855805</v>
      </c>
      <c r="M163" s="32">
        <f>-M129*Control!$E$17</f>
        <v>-5005030</v>
      </c>
      <c r="N163" s="32">
        <f>-N129*Control!$E$17</f>
        <v>-5907488.61251158</v>
      </c>
      <c r="O163" s="32">
        <f>-O129*Control!$E$17</f>
        <v>-6404155.73366134</v>
      </c>
      <c r="P163" s="32">
        <f>-P129*Control!$E$17</f>
        <v>-7087362.01028331</v>
      </c>
      <c r="Q163" s="32">
        <f>-Q129*Control!$E$17</f>
        <v>-7721542.75618988</v>
      </c>
      <c r="R163" s="32">
        <f>-R129*Control!$E$17</f>
        <v>-9055952.54295437</v>
      </c>
    </row>
    <row r="164">
      <c r="C164" s="14" t="inlineStr">
        <is>
          <t>(-) OPEX</t>
        </is>
      </c>
      <c r="G164" s="32">
        <f>-G131*Control!$E$17</f>
        <v>-1160900</v>
      </c>
      <c r="H164" s="32">
        <f>-H131*Control!$E$17</f>
        <v>-1081235</v>
      </c>
      <c r="I164" s="32">
        <f>-I131*Control!$E$17</f>
        <v>-1280280</v>
      </c>
      <c r="J164" s="32">
        <f>-J131*Control!$E$17</f>
        <v>-1530790</v>
      </c>
      <c r="K164" s="32">
        <f>-K131*Control!$E$17</f>
        <v>-1688710</v>
      </c>
      <c r="L164" s="32">
        <f>-L131*Control!$E$17</f>
        <v>-1932875</v>
      </c>
      <c r="M164" s="32">
        <f>-M131*Control!$E$17</f>
        <v>-2184560</v>
      </c>
      <c r="N164" s="32">
        <f>-N131*Control!$E$17</f>
        <v>-2560328.0455917</v>
      </c>
      <c r="O164" s="32">
        <f>-O131*Control!$E$17</f>
        <v>-2830064.50603093</v>
      </c>
      <c r="P164" s="32">
        <f>-P131*Control!$E$17</f>
        <v>-3101128.63659527</v>
      </c>
      <c r="Q164" s="32">
        <f>-Q131*Control!$E$17</f>
        <v>-3495039.58506336</v>
      </c>
      <c r="R164" s="32">
        <f>-R131*Control!$E$17</f>
        <v>-3793491.70694167</v>
      </c>
    </row>
    <row r="165">
      <c r="C165" s="14" t="inlineStr">
        <is>
          <t>(-) Provision</t>
        </is>
      </c>
      <c r="G165" s="32">
        <f>-G133*Control!$E$17</f>
        <v>-122435</v>
      </c>
      <c r="H165" s="32">
        <f>-H133*Control!$E$17</f>
        <v>-108805</v>
      </c>
      <c r="I165" s="32">
        <f>-I133*Control!$E$17</f>
        <v>-129720</v>
      </c>
      <c r="J165" s="32">
        <f>-J133*Control!$E$17</f>
        <v>-148050</v>
      </c>
      <c r="K165" s="32">
        <f>-K133*Control!$E$17</f>
        <v>-172020</v>
      </c>
      <c r="L165" s="32">
        <f>-L133*Control!$E$17</f>
        <v>-195520</v>
      </c>
      <c r="M165" s="32">
        <f>-M133*Control!$E$17</f>
        <v>-217375</v>
      </c>
      <c r="N165" s="32">
        <f>-N133*Control!$E$17</f>
        <v>-255140.704194852</v>
      </c>
      <c r="O165" s="32">
        <f>-O133*Control!$E$17</f>
        <v>-278269.940969568</v>
      </c>
      <c r="P165" s="32">
        <f>-P133*Control!$E$17</f>
        <v>-308808.040951283</v>
      </c>
      <c r="Q165" s="32">
        <f>-Q133*Control!$E$17</f>
        <v>-336667.014777413</v>
      </c>
      <c r="R165" s="32">
        <f>-R133*Control!$E$17</f>
        <v>-382039.59034448</v>
      </c>
    </row>
    <row r="166">
      <c r="C166" s="3" t="inlineStr">
        <is>
          <t>EBITDA</t>
        </is>
      </c>
      <c r="G166" s="30">
        <f>G161+G163+G164+G165</f>
        <v>2201914.985</v>
      </c>
      <c r="H166" s="30">
        <f>H161+H163+H164+H165</f>
        <v>1679032.465</v>
      </c>
      <c r="I166" s="30">
        <f>I161+I163+I164+I165</f>
        <v>2251667.305</v>
      </c>
      <c r="J166" s="30">
        <f>J161+J163+J164+J165</f>
        <v>2312611.265</v>
      </c>
      <c r="K166" s="30">
        <f>K161+K163+K164+K165</f>
        <v>2625033.895</v>
      </c>
      <c r="L166" s="30">
        <f>L161+L163+L164+L165</f>
        <v>2733426.705</v>
      </c>
      <c r="M166" s="30">
        <f>M161+M163+M164+M165</f>
        <v>3403505.47</v>
      </c>
      <c r="N166" s="30">
        <f>N161+N163+N164+N165</f>
        <v>3959141.4168418</v>
      </c>
      <c r="O166" s="30">
        <f>O161+O163+O164+O165</f>
        <v>4521393.15433533</v>
      </c>
      <c r="P166" s="30">
        <f>P161+P163+P164+P165</f>
        <v>4640819.4323242</v>
      </c>
      <c r="Q166" s="30">
        <f>Q161+Q163+Q164+Q165</f>
        <v>5321276.48536674</v>
      </c>
      <c r="R166" s="30">
        <f>R161+R163+R164+R165</f>
        <v>5504598.60454089</v>
      </c>
    </row>
    <row r="167">
      <c r="C167" s="33" t="inlineStr">
        <is>
          <t>Margin (%)</t>
        </is>
      </c>
      <c r="G167" s="20">
        <f>IFERROR(G166/G$157,"N/A")</f>
        <v>0.256758536076011</v>
      </c>
      <c r="H167" s="20">
        <f>IFERROR(H166/H$157,"N/A")</f>
        <v>0.211837563525824</v>
      </c>
      <c r="I167" s="20">
        <f>IFERROR(I166/I$157,"N/A")</f>
        <v>0.241729366661618</v>
      </c>
      <c r="J167" s="20">
        <f>IFERROR(J166/J$157,"N/A")</f>
        <v>0.212079660791469</v>
      </c>
      <c r="K167" s="20">
        <f>IFERROR(K166/K$157,"N/A")</f>
        <v>0.210529643803331</v>
      </c>
      <c r="L167" s="20">
        <f>IFERROR(L166/L$157,"N/A")</f>
        <v>0.195974606202191</v>
      </c>
      <c r="M167" s="20">
        <f>IFERROR(M166/M$157,"N/A")</f>
        <v>0.218832654342274</v>
      </c>
      <c r="N167" s="20">
        <f>IFERROR(N166/N$157,"N/A")</f>
        <v>0.2219</v>
      </c>
      <c r="O167" s="20">
        <f>IFERROR(O166/O$157,"N/A")</f>
        <v>0.2291</v>
      </c>
      <c r="P167" s="20">
        <f>IFERROR(P166/P$157,"N/A")</f>
        <v>0.2134</v>
      </c>
      <c r="Q167" s="20">
        <f>IFERROR(Q166/Q$157,"N/A")</f>
        <v>0.2197</v>
      </c>
      <c r="R167" s="20">
        <f>IFERROR(R166/R$157,"N/A")</f>
        <v>0.2046</v>
      </c>
    </row>
    <row r="168">
      <c r="C168" s="14" t="inlineStr">
        <is>
          <t>(-) D&amp;A</t>
        </is>
      </c>
      <c r="G168" s="32">
        <f>-G135*Control!$E$17</f>
        <v>-381170</v>
      </c>
      <c r="H168" s="32">
        <f>-H135*Control!$E$17</f>
        <v>-369890</v>
      </c>
      <c r="I168" s="32">
        <f>-I135*Control!$E$17</f>
        <v>-430755</v>
      </c>
      <c r="J168" s="32">
        <f>-J135*Control!$E$17</f>
        <v>-487625</v>
      </c>
      <c r="K168" s="32">
        <f>-K135*Control!$E$17</f>
        <v>-558595</v>
      </c>
      <c r="L168" s="32">
        <f>-L135*Control!$E$17</f>
        <v>-667165</v>
      </c>
      <c r="M168" s="32">
        <f>-M135*Control!$E$17</f>
        <v>-691135</v>
      </c>
      <c r="N168" s="32">
        <f>-N135*Control!$E$17</f>
        <v>-813595.53225771</v>
      </c>
      <c r="O168" s="32">
        <f>-O135*Control!$E$17</f>
        <v>-913751.650134114</v>
      </c>
      <c r="P168" s="32">
        <f>-P135*Control!$E$17</f>
        <v>-998189.371807315</v>
      </c>
      <c r="Q168" s="32">
        <f>-Q135*Control!$E$17</f>
        <v>-1118993.96278536</v>
      </c>
      <c r="R168" s="32">
        <f>-R135*Control!$E$17</f>
        <v>-1210688.84264096</v>
      </c>
    </row>
    <row r="169">
      <c r="C169" s="14" t="inlineStr">
        <is>
          <t>(-) Goodwill, Trademark &amp; PPA Amortization</t>
        </is>
      </c>
      <c r="G169" s="32">
        <f>-G137*Control!$E$17</f>
        <v>-50055</v>
      </c>
      <c r="H169" s="32">
        <f>-H137*Control!$E$17</f>
        <v>-47940</v>
      </c>
      <c r="I169" s="32">
        <f>-I137*Control!$E$17</f>
        <v>-56870</v>
      </c>
      <c r="J169" s="32">
        <f>-J137*Control!$E$17</f>
        <v>-63920</v>
      </c>
      <c r="K169" s="32">
        <f>-K137*Control!$E$17</f>
        <v>-76375</v>
      </c>
      <c r="L169" s="32">
        <f>-L137*Control!$E$17</f>
        <v>-82015</v>
      </c>
      <c r="M169" s="32">
        <f>-M137*Control!$E$17</f>
        <v>-93530</v>
      </c>
      <c r="N169" s="32">
        <f>-N137*Control!$E$17</f>
        <v>-105267.842989484</v>
      </c>
      <c r="O169" s="32">
        <f>-O137*Control!$E$17</f>
        <v>-118412.740838114</v>
      </c>
      <c r="P169" s="32">
        <f>-P137*Control!$E$17</f>
        <v>-130482.270824486</v>
      </c>
      <c r="Q169" s="32">
        <f>-Q137*Control!$E$17</f>
        <v>-147745.95612534</v>
      </c>
      <c r="R169" s="32">
        <f>-R137*Control!$E$17</f>
        <v>-164115.598669108</v>
      </c>
    </row>
    <row r="170">
      <c r="C170" s="3" t="inlineStr">
        <is>
          <t>EBIT</t>
        </is>
      </c>
      <c r="G170" s="31">
        <f>G166+G168+G169</f>
        <v>1770689.985</v>
      </c>
      <c r="H170" s="31">
        <f>H166+H168+H169</f>
        <v>1261202.465</v>
      </c>
      <c r="I170" s="31">
        <f>I166+I168+I169</f>
        <v>1764042.305</v>
      </c>
      <c r="J170" s="31">
        <f>J166+J168+J169</f>
        <v>1761066.265</v>
      </c>
      <c r="K170" s="31">
        <f>K166+K168+K169</f>
        <v>1990063.895</v>
      </c>
      <c r="L170" s="31">
        <f>L166+L168+L169</f>
        <v>1984246.705</v>
      </c>
      <c r="M170" s="31">
        <f>M166+M168+M169</f>
        <v>2618840.47</v>
      </c>
      <c r="N170" s="31">
        <f>N166+N168+N169</f>
        <v>3040278.0415946</v>
      </c>
      <c r="O170" s="31">
        <f>O166+O168+O169</f>
        <v>3489228.7633631</v>
      </c>
      <c r="P170" s="31">
        <f>P166+P168+P169</f>
        <v>3512147.7896924</v>
      </c>
      <c r="Q170" s="31">
        <f>Q166+Q168+Q169</f>
        <v>4054536.56645604</v>
      </c>
      <c r="R170" s="31">
        <f>R166+R168+R169</f>
        <v>4129794.16323083</v>
      </c>
    </row>
    <row r="171">
      <c r="C171" s="33" t="inlineStr">
        <is>
          <t>Margin (%)</t>
        </is>
      </c>
      <c r="G171" s="20">
        <f>IFERROR(G170/G$157,"N/A")</f>
        <v>0.206474714732483</v>
      </c>
      <c r="H171" s="20">
        <f>IFERROR(H170/H$157,"N/A")</f>
        <v>0.159121436224501</v>
      </c>
      <c r="I171" s="20">
        <f>IFERROR(I170/I$157,"N/A")</f>
        <v>0.18938003327803</v>
      </c>
      <c r="J171" s="20">
        <f>IFERROR(J170/J$157,"N/A")</f>
        <v>0.16149983430635</v>
      </c>
      <c r="K171" s="20">
        <f>IFERROR(K170/K$157,"N/A")</f>
        <v>0.159604584062036</v>
      </c>
      <c r="L171" s="20">
        <f>IFERROR(L170/L$157,"N/A")</f>
        <v>0.142261713441616</v>
      </c>
      <c r="M171" s="20">
        <f>IFERROR(M170/M$157,"N/A")</f>
        <v>0.168381633701052</v>
      </c>
      <c r="N171" s="20">
        <f>IFERROR(N170/N$157,"N/A")</f>
        <v>0.1704</v>
      </c>
      <c r="O171" s="20">
        <f>IFERROR(O170/O$157,"N/A")</f>
        <v>0.1768</v>
      </c>
      <c r="P171" s="20">
        <f>IFERROR(P170/P$157,"N/A")</f>
        <v>0.1615</v>
      </c>
      <c r="Q171" s="20">
        <f>IFERROR(Q170/Q$157,"N/A")</f>
        <v>0.1674</v>
      </c>
      <c r="R171" s="20">
        <f>IFERROR(R170/R$157,"N/A")</f>
        <v>0.1535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3:R160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AHG Park – Operating Build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Build</t>
        </is>
      </c>
      <c r="E11" s="25" t="str">
        <f>"("&amp;Control!$E$16&amp;" in Actual)"</f>
        <v>(LCA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Laboratory:</t>
        </is>
      </c>
    </row>
    <row r="13">
      <c r="C13" s="14" t="inlineStr">
        <is>
          <t># of Tests</t>
        </is>
      </c>
      <c r="G13" s="26" t="n">
        <v>65182</v>
      </c>
      <c r="H13" s="26" t="n">
        <v>59935</v>
      </c>
      <c r="I13" s="26" t="n">
        <v>63531</v>
      </c>
      <c r="J13" s="26" t="n">
        <v>69282</v>
      </c>
      <c r="K13" s="26" t="n">
        <v>76441</v>
      </c>
      <c r="L13" s="26" t="n">
        <v>82362</v>
      </c>
      <c r="M13" s="26" t="n">
        <v>90213</v>
      </c>
      <c r="N13" s="8">
        <f>M13*(1+N14)</f>
        <v>95084.502</v>
      </c>
      <c r="O13" s="8">
        <f>N13*(1+O14)</f>
        <v>102881.431164</v>
      </c>
      <c r="P13" s="8">
        <f>O13*(1+P14)</f>
        <v>107305.332704052</v>
      </c>
      <c r="Q13" s="8">
        <f>P13*(1+Q14)</f>
        <v>116962.812647417</v>
      </c>
      <c r="R13" s="8">
        <f>Q13*(1+R14)</f>
        <v>124565.395469499</v>
      </c>
    </row>
    <row r="14">
      <c r="C14" s="27" t="inlineStr">
        <is>
          <t>Growth (%)</t>
        </is>
      </c>
      <c r="G14" s="28" t="str">
        <f>IFERROR(G13/F13-1,"N/A")</f>
        <v>N/A</v>
      </c>
      <c r="H14" s="28">
        <f>IFERROR(H13/G13-1,"N/A")</f>
        <v>-0.0804976834095302</v>
      </c>
      <c r="I14" s="28">
        <f>IFERROR(I13/H13-1,"N/A")</f>
        <v>0.0599983315258197</v>
      </c>
      <c r="J14" s="28">
        <f>IFERROR(J13/I13-1,"N/A")</f>
        <v>0.0905227369315766</v>
      </c>
      <c r="K14" s="28">
        <f>IFERROR(K13/J13-1,"N/A")</f>
        <v>0.103331312606449</v>
      </c>
      <c r="L14" s="28">
        <f>IFERROR(L13/K13-1,"N/A")</f>
        <v>0.0774584319933021</v>
      </c>
      <c r="M14" s="28">
        <f>IFERROR(M13/L13-1,"N/A")</f>
        <v>0.0953230858891236</v>
      </c>
      <c r="N14" s="19" t="n">
        <v>0.054</v>
      </c>
      <c r="O14" s="19" t="n">
        <v>0.082</v>
      </c>
      <c r="P14" s="19" t="n">
        <v>0.043</v>
      </c>
      <c r="Q14" s="19" t="n">
        <v>0.09</v>
      </c>
      <c r="R14" s="19" t="n">
        <v>0.065</v>
      </c>
    </row>
    <row r="15">
      <c r="C15" s="14" t="inlineStr">
        <is>
          <t>Gross Revenue [per Test] (LCA)</t>
        </is>
      </c>
      <c r="G15" s="26" t="n">
        <v>36</v>
      </c>
      <c r="H15" s="26" t="n">
        <v>38</v>
      </c>
      <c r="I15" s="26" t="n">
        <v>42</v>
      </c>
      <c r="J15" s="26" t="n">
        <v>46</v>
      </c>
      <c r="K15" s="26" t="n">
        <v>48</v>
      </c>
      <c r="L15" s="26" t="n">
        <v>52</v>
      </c>
      <c r="M15" s="26" t="n">
        <v>55</v>
      </c>
      <c r="N15" s="8">
        <f>M15*(1+N16)</f>
        <v>57.915</v>
      </c>
      <c r="O15" s="8">
        <f>N15*(1+O16)</f>
        <v>61.3899</v>
      </c>
      <c r="P15" s="8">
        <f>O15*(1+P16)</f>
        <v>64.2138354</v>
      </c>
      <c r="Q15" s="8">
        <f>P15*(1+Q16)</f>
        <v>66.9108164868</v>
      </c>
      <c r="R15" s="8">
        <f>Q15*(1+R16)</f>
        <v>70.25635731114</v>
      </c>
    </row>
    <row r="16">
      <c r="C16" s="27" t="inlineStr">
        <is>
          <t>Growth (%)</t>
        </is>
      </c>
      <c r="G16" s="28" t="str">
        <f>IFERROR(G15/F15-1,"N/A")</f>
        <v>N/A</v>
      </c>
      <c r="H16" s="28">
        <f>IFERROR(H15/G15-1,"N/A")</f>
        <v>0.0555555555555556</v>
      </c>
      <c r="I16" s="28">
        <f>IFERROR(I15/H15-1,"N/A")</f>
        <v>0.105263157894737</v>
      </c>
      <c r="J16" s="28">
        <f>IFERROR(J15/I15-1,"N/A")</f>
        <v>0.0952380952380953</v>
      </c>
      <c r="K16" s="28">
        <f>IFERROR(K15/J15-1,"N/A")</f>
        <v>0.0434782608695652</v>
      </c>
      <c r="L16" s="28">
        <f>IFERROR(L15/K15-1,"N/A")</f>
        <v>0.0833333333333333</v>
      </c>
      <c r="M16" s="28">
        <f>IFERROR(M15/L15-1,"N/A")</f>
        <v>0.0576923076923077</v>
      </c>
      <c r="N16" s="19" t="n">
        <v>0.053</v>
      </c>
      <c r="O16" s="19" t="n">
        <v>0.06</v>
      </c>
      <c r="P16" s="19" t="n">
        <v>0.046</v>
      </c>
      <c r="Q16" s="19" t="n">
        <v>0.042</v>
      </c>
      <c r="R16" s="19" t="n">
        <v>0.05</v>
      </c>
    </row>
    <row r="17">
      <c r="C17" s="29" t="inlineStr">
        <is>
          <t>Revenue</t>
        </is>
      </c>
      <c r="G17" s="30">
        <f>G13*G15</f>
        <v>2346552</v>
      </c>
      <c r="H17" s="30">
        <f>H13*H15</f>
        <v>2277530</v>
      </c>
      <c r="I17" s="30">
        <f>I13*I15</f>
        <v>2668302</v>
      </c>
      <c r="J17" s="30">
        <f>J13*J15</f>
        <v>3186972</v>
      </c>
      <c r="K17" s="30">
        <f>K13*K15</f>
        <v>3669168</v>
      </c>
      <c r="L17" s="30">
        <f>L13*L15</f>
        <v>4282824</v>
      </c>
      <c r="M17" s="30">
        <f>M13*M15</f>
        <v>4961715</v>
      </c>
      <c r="N17" s="30">
        <f>N13*N15</f>
        <v>5506818.93333</v>
      </c>
      <c r="O17" s="30">
        <f>O13*O15</f>
        <v>6315880.77101485</v>
      </c>
      <c r="P17" s="30">
        <f>P13*P15</f>
        <v>6890486.97180023</v>
      </c>
      <c r="Q17" s="30">
        <f>Q13*Q15</f>
        <v>7826077.29283127</v>
      </c>
      <c r="R17" s="30">
        <f>R13*R15</f>
        <v>8751510.93270857</v>
      </c>
    </row>
    <row r="19">
      <c r="C19" s="3" t="inlineStr">
        <is>
          <t>Radiology:</t>
        </is>
      </c>
    </row>
    <row r="20">
      <c r="C20" s="14" t="inlineStr">
        <is>
          <t># of Tests</t>
        </is>
      </c>
      <c r="G20" s="26" t="n">
        <v>16802</v>
      </c>
      <c r="H20" s="26" t="n">
        <v>15984</v>
      </c>
      <c r="I20" s="26" t="n">
        <v>17340</v>
      </c>
      <c r="J20" s="26" t="n">
        <v>18721</v>
      </c>
      <c r="K20" s="26" t="n">
        <v>19759</v>
      </c>
      <c r="L20" s="26" t="n">
        <v>21541</v>
      </c>
      <c r="M20" s="26" t="n">
        <v>23467</v>
      </c>
      <c r="N20" s="8">
        <f>M20*(1+N21)</f>
        <v>24616.883</v>
      </c>
      <c r="O20" s="8">
        <f>N20*(1+O21)</f>
        <v>26020.045331</v>
      </c>
      <c r="P20" s="8">
        <f>O20*(1+P21)</f>
        <v>27269.007506888</v>
      </c>
      <c r="Q20" s="8">
        <f>P20*(1+Q21)</f>
        <v>28986.9549798219</v>
      </c>
      <c r="R20" s="8">
        <f>Q20*(1+R21)</f>
        <v>31508.8200630665</v>
      </c>
    </row>
    <row r="21">
      <c r="C21" s="27" t="inlineStr">
        <is>
          <t>Growth (%)</t>
        </is>
      </c>
      <c r="G21" s="28" t="str">
        <f>IFERROR(G20/F20-1,"N/A")</f>
        <v>N/A</v>
      </c>
      <c r="H21" s="28">
        <f>IFERROR(H20/G20-1,"N/A")</f>
        <v>-0.048684680395191</v>
      </c>
      <c r="I21" s="28">
        <f>IFERROR(I20/H20-1,"N/A")</f>
        <v>0.0848348348348349</v>
      </c>
      <c r="J21" s="28">
        <f>IFERROR(J20/I20-1,"N/A")</f>
        <v>0.0796424452133795</v>
      </c>
      <c r="K21" s="28">
        <f>IFERROR(K20/J20-1,"N/A")</f>
        <v>0.0554457561027724</v>
      </c>
      <c r="L21" s="28">
        <f>IFERROR(L20/K20-1,"N/A")</f>
        <v>0.0901867503416165</v>
      </c>
      <c r="M21" s="28">
        <f>IFERROR(M20/L20-1,"N/A")</f>
        <v>0.0894108908592917</v>
      </c>
      <c r="N21" s="19" t="n">
        <v>0.049</v>
      </c>
      <c r="O21" s="19" t="n">
        <v>0.057</v>
      </c>
      <c r="P21" s="19" t="n">
        <v>0.048</v>
      </c>
      <c r="Q21" s="19" t="n">
        <v>0.063</v>
      </c>
      <c r="R21" s="19" t="n">
        <v>0.08699999999999999</v>
      </c>
    </row>
    <row r="22">
      <c r="C22" s="14" t="inlineStr">
        <is>
          <t>Gross Revenue [per Test] (LCA)</t>
        </is>
      </c>
      <c r="G22" s="26" t="n">
        <v>116</v>
      </c>
      <c r="H22" s="26" t="n">
        <v>115</v>
      </c>
      <c r="I22" s="26" t="n">
        <v>125</v>
      </c>
      <c r="J22" s="26" t="n">
        <v>130</v>
      </c>
      <c r="K22" s="26" t="n">
        <v>137</v>
      </c>
      <c r="L22" s="26" t="n">
        <v>143</v>
      </c>
      <c r="M22" s="26" t="n">
        <v>152</v>
      </c>
      <c r="N22" s="8">
        <f>M22*(1+N23)</f>
        <v>161.576</v>
      </c>
      <c r="O22" s="8">
        <f>N22*(1+O23)</f>
        <v>169.6548</v>
      </c>
      <c r="P22" s="8">
        <f>O22*(1+P23)</f>
        <v>178.4768496</v>
      </c>
      <c r="Q22" s="8">
        <f>P22*(1+Q23)</f>
        <v>188.293076328</v>
      </c>
      <c r="R22" s="8">
        <f>Q22*(1+R23)</f>
        <v>197.7077301444</v>
      </c>
    </row>
    <row r="23">
      <c r="C23" s="27" t="inlineStr">
        <is>
          <t>Growth (%)</t>
        </is>
      </c>
      <c r="G23" s="28" t="str">
        <f>IFERROR(G22/F22-1,"N/A")</f>
        <v>N/A</v>
      </c>
      <c r="H23" s="28">
        <f>IFERROR(H22/G22-1,"N/A")</f>
        <v>-0.00862068965517238</v>
      </c>
      <c r="I23" s="28">
        <f>IFERROR(I22/H22-1,"N/A")</f>
        <v>0.0869565217391304</v>
      </c>
      <c r="J23" s="28">
        <f>IFERROR(J22/I22-1,"N/A")</f>
        <v>0.04</v>
      </c>
      <c r="K23" s="28">
        <f>IFERROR(K22/J22-1,"N/A")</f>
        <v>0.0538461538461539</v>
      </c>
      <c r="L23" s="28">
        <f>IFERROR(L22/K22-1,"N/A")</f>
        <v>0.0437956204379562</v>
      </c>
      <c r="M23" s="28">
        <f>IFERROR(M22/L22-1,"N/A")</f>
        <v>0.0629370629370629</v>
      </c>
      <c r="N23" s="19" t="n">
        <v>0.063</v>
      </c>
      <c r="O23" s="19" t="n">
        <v>0.05</v>
      </c>
      <c r="P23" s="19" t="n">
        <v>0.052</v>
      </c>
      <c r="Q23" s="19" t="n">
        <v>0.055</v>
      </c>
      <c r="R23" s="19" t="n">
        <v>0.05</v>
      </c>
    </row>
    <row r="24">
      <c r="C24" s="29" t="inlineStr">
        <is>
          <t>Revenue</t>
        </is>
      </c>
      <c r="G24" s="30">
        <f>G20*G22</f>
        <v>1949032</v>
      </c>
      <c r="H24" s="30">
        <f>H20*H22</f>
        <v>1838160</v>
      </c>
      <c r="I24" s="30">
        <f>I20*I22</f>
        <v>2167500</v>
      </c>
      <c r="J24" s="30">
        <f>J20*J22</f>
        <v>2433730</v>
      </c>
      <c r="K24" s="30">
        <f>K20*K22</f>
        <v>2706983</v>
      </c>
      <c r="L24" s="30">
        <f>L20*L22</f>
        <v>3080363</v>
      </c>
      <c r="M24" s="30">
        <f>M20*M22</f>
        <v>3566984</v>
      </c>
      <c r="N24" s="30">
        <f>N20*N22</f>
        <v>3977497.487608</v>
      </c>
      <c r="O24" s="30">
        <f>O20*O22</f>
        <v>4414425.58662174</v>
      </c>
      <c r="P24" s="30">
        <f>P20*P22</f>
        <v>4866886.55154812</v>
      </c>
      <c r="Q24" s="30">
        <f>Q20*Q22</f>
        <v>5458042.92653191</v>
      </c>
      <c r="R24" s="30">
        <f>R20*R22</f>
        <v>6229537.2941972</v>
      </c>
    </row>
    <row r="26">
      <c r="C26" s="3" t="inlineStr">
        <is>
          <t>Endoscopy:</t>
        </is>
      </c>
    </row>
    <row r="27">
      <c r="C27" s="14" t="inlineStr">
        <is>
          <t># of Visits</t>
        </is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8">
        <f>M27*(1+N28)</f>
        <v>0</v>
      </c>
      <c r="O27" s="8">
        <f>N27*(1+O28)</f>
        <v>0</v>
      </c>
      <c r="P27" s="8">
        <f>O27*(1+P28)</f>
        <v>0</v>
      </c>
      <c r="Q27" s="8">
        <f>P27*(1+Q28)</f>
        <v>0</v>
      </c>
      <c r="R27" s="8">
        <f>Q27*(1+R28)</f>
        <v>0</v>
      </c>
    </row>
    <row r="28">
      <c r="C28" s="27" t="inlineStr">
        <is>
          <t>Growth (%)</t>
        </is>
      </c>
      <c r="G28" s="28" t="str">
        <f>IFERROR(G27/F27-1,"N/A")</f>
        <v>N/A</v>
      </c>
      <c r="H28" s="28" t="str">
        <f>IFERROR(H27/G27-1,"N/A")</f>
        <v>N/A</v>
      </c>
      <c r="I28" s="28" t="str">
        <f>IFERROR(I27/H27-1,"N/A")</f>
        <v>N/A</v>
      </c>
      <c r="J28" s="28" t="str">
        <f>IFERROR(J27/I27-1,"N/A")</f>
        <v>N/A</v>
      </c>
      <c r="K28" s="28" t="str">
        <f>IFERROR(K27/J27-1,"N/A")</f>
        <v>N/A</v>
      </c>
      <c r="L28" s="28" t="str">
        <f>IFERROR(L27/K27-1,"N/A")</f>
        <v>N/A</v>
      </c>
      <c r="M28" s="28" t="str">
        <f>IFERROR(M27/L27-1,"N/A")</f>
        <v>N/A</v>
      </c>
      <c r="N28" s="19" t="n">
        <v>0</v>
      </c>
      <c r="O28" s="19" t="n">
        <v>0</v>
      </c>
      <c r="P28" s="19" t="n">
        <v>0</v>
      </c>
      <c r="Q28" s="19" t="n">
        <v>0</v>
      </c>
      <c r="R28" s="19" t="n">
        <v>0</v>
      </c>
    </row>
    <row r="29">
      <c r="C29" s="14" t="inlineStr">
        <is>
          <t>Gross Revenue [per Visit] (LCA)</t>
        </is>
      </c>
      <c r="G29" s="26" t="n">
        <v>745</v>
      </c>
      <c r="H29" s="26" t="n">
        <v>756</v>
      </c>
      <c r="I29" s="26" t="n">
        <v>808</v>
      </c>
      <c r="J29" s="26" t="n">
        <v>858</v>
      </c>
      <c r="K29" s="26" t="n">
        <v>943</v>
      </c>
      <c r="L29" s="26" t="n">
        <v>1034</v>
      </c>
      <c r="M29" s="26" t="n">
        <v>1087</v>
      </c>
      <c r="N29" s="8">
        <f>M29*(1+N30)</f>
        <v>1147.872</v>
      </c>
      <c r="O29" s="8">
        <f>N29*(1+O30)</f>
        <v>1193.78688</v>
      </c>
      <c r="P29" s="8">
        <f>O29*(1+P30)</f>
        <v>1267.80166656</v>
      </c>
      <c r="Q29" s="8">
        <f>P29*(1+Q30)</f>
        <v>1323.58493988864</v>
      </c>
      <c r="R29" s="8">
        <f>Q29*(1+R30)</f>
        <v>1412.26513086118</v>
      </c>
    </row>
    <row r="30">
      <c r="C30" s="27" t="inlineStr">
        <is>
          <t>Growth (%)</t>
        </is>
      </c>
      <c r="G30" s="28" t="str">
        <f>IFERROR(G29/F29-1,"N/A")</f>
        <v>N/A</v>
      </c>
      <c r="H30" s="28">
        <f>IFERROR(H29/G29-1,"N/A")</f>
        <v>0.0147651006711409</v>
      </c>
      <c r="I30" s="28">
        <f>IFERROR(I29/H29-1,"N/A")</f>
        <v>0.0687830687830688</v>
      </c>
      <c r="J30" s="28">
        <f>IFERROR(J29/I29-1,"N/A")</f>
        <v>0.0618811881188119</v>
      </c>
      <c r="K30" s="28">
        <f>IFERROR(K29/J29-1,"N/A")</f>
        <v>0.0990675990675991</v>
      </c>
      <c r="L30" s="28">
        <f>IFERROR(L29/K29-1,"N/A")</f>
        <v>0.0965005302226936</v>
      </c>
      <c r="M30" s="28">
        <f>IFERROR(M29/L29-1,"N/A")</f>
        <v>0.0512572533849129</v>
      </c>
      <c r="N30" s="19" t="n">
        <v>0.056</v>
      </c>
      <c r="O30" s="19" t="n">
        <v>0.04</v>
      </c>
      <c r="P30" s="19" t="n">
        <v>0.062</v>
      </c>
      <c r="Q30" s="19" t="n">
        <v>0.044</v>
      </c>
      <c r="R30" s="19" t="n">
        <v>0.067</v>
      </c>
    </row>
    <row r="31">
      <c r="C31" s="29" t="inlineStr">
        <is>
          <t>Revenue</t>
        </is>
      </c>
      <c r="G31" s="30">
        <f>G27*G29</f>
        <v>0</v>
      </c>
      <c r="H31" s="30">
        <f>H27*H29</f>
        <v>0</v>
      </c>
      <c r="I31" s="30">
        <f>I27*I29</f>
        <v>0</v>
      </c>
      <c r="J31" s="30">
        <f>J27*J29</f>
        <v>0</v>
      </c>
      <c r="K31" s="30">
        <f>K27*K29</f>
        <v>0</v>
      </c>
      <c r="L31" s="30">
        <f>L27*L29</f>
        <v>0</v>
      </c>
      <c r="M31" s="30">
        <f>M27*M29</f>
        <v>0</v>
      </c>
      <c r="N31" s="30">
        <f>N27*N29</f>
        <v>0</v>
      </c>
      <c r="O31" s="30">
        <f>O27*O29</f>
        <v>0</v>
      </c>
      <c r="P31" s="30">
        <f>P27*P29</f>
        <v>0</v>
      </c>
      <c r="Q31" s="30">
        <f>Q27*Q29</f>
        <v>0</v>
      </c>
      <c r="R31" s="30">
        <f>R27*R29</f>
        <v>0</v>
      </c>
    </row>
    <row r="33">
      <c r="C33" s="3" t="inlineStr">
        <is>
          <t>Physiotherapy:</t>
        </is>
      </c>
    </row>
    <row r="34">
      <c r="C34" s="14" t="inlineStr">
        <is>
          <t># of Patients</t>
        </is>
      </c>
      <c r="G34" s="26" t="n">
        <v>3334</v>
      </c>
      <c r="H34" s="26" t="n">
        <v>3048</v>
      </c>
      <c r="I34" s="26" t="n">
        <v>3317</v>
      </c>
      <c r="J34" s="26" t="n">
        <v>3728</v>
      </c>
      <c r="K34" s="26" t="n">
        <v>3975</v>
      </c>
      <c r="L34" s="26" t="n">
        <v>4373</v>
      </c>
      <c r="M34" s="26" t="n">
        <v>4931</v>
      </c>
      <c r="N34" s="8">
        <f>M34*(1+N35)</f>
        <v>5310.687</v>
      </c>
      <c r="O34" s="8">
        <f>N34*(1+O35)</f>
        <v>5756.784708</v>
      </c>
      <c r="P34" s="8">
        <f>O34*(1+P35)</f>
        <v>5987.05609632</v>
      </c>
      <c r="Q34" s="8">
        <f>P34*(1+Q35)</f>
        <v>6507.92997669984</v>
      </c>
      <c r="R34" s="8">
        <f>Q34*(1+R35)</f>
        <v>6983.00886499893</v>
      </c>
    </row>
    <row r="35">
      <c r="C35" s="27" t="inlineStr">
        <is>
          <t>Growth (%)</t>
        </is>
      </c>
      <c r="G35" s="28" t="str">
        <f>IFERROR(G34/F34-1,"N/A")</f>
        <v>N/A</v>
      </c>
      <c r="H35" s="28">
        <f>IFERROR(H34/G34-1,"N/A")</f>
        <v>-0.0857828434313137</v>
      </c>
      <c r="I35" s="28">
        <f>IFERROR(I34/H34-1,"N/A")</f>
        <v>0.0882545931758529</v>
      </c>
      <c r="J35" s="28">
        <f>IFERROR(J34/I34-1,"N/A")</f>
        <v>0.123907145010552</v>
      </c>
      <c r="K35" s="28">
        <f>IFERROR(K34/J34-1,"N/A")</f>
        <v>0.0662553648068669</v>
      </c>
      <c r="L35" s="28">
        <f>IFERROR(L34/K34-1,"N/A")</f>
        <v>0.100125786163522</v>
      </c>
      <c r="M35" s="28">
        <f>IFERROR(M34/L34-1,"N/A")</f>
        <v>0.127601189115024</v>
      </c>
      <c r="N35" s="19" t="n">
        <v>0.077</v>
      </c>
      <c r="O35" s="19" t="n">
        <v>0.08400000000000001</v>
      </c>
      <c r="P35" s="19" t="n">
        <v>0.04</v>
      </c>
      <c r="Q35" s="19" t="n">
        <v>0.08699999999999999</v>
      </c>
      <c r="R35" s="19" t="n">
        <v>0.073</v>
      </c>
    </row>
    <row r="36">
      <c r="C36" s="14" t="inlineStr">
        <is>
          <t>Gross Revenue [per Patient] (LCA)</t>
        </is>
      </c>
      <c r="G36" s="26" t="n">
        <v>104</v>
      </c>
      <c r="H36" s="26" t="n">
        <v>104</v>
      </c>
      <c r="I36" s="26" t="n">
        <v>109</v>
      </c>
      <c r="J36" s="26" t="n">
        <v>117</v>
      </c>
      <c r="K36" s="26" t="n">
        <v>129</v>
      </c>
      <c r="L36" s="26" t="n">
        <v>138</v>
      </c>
      <c r="M36" s="26" t="n">
        <v>143</v>
      </c>
      <c r="N36" s="8">
        <f>M36*(1+N37)</f>
        <v>151.866</v>
      </c>
      <c r="O36" s="8">
        <f>N36*(1+O37)</f>
        <v>161.433558</v>
      </c>
      <c r="P36" s="8">
        <f>O36*(1+P37)</f>
        <v>172.411039944</v>
      </c>
      <c r="Q36" s="8">
        <f>P36*(1+Q37)</f>
        <v>180.686769861312</v>
      </c>
      <c r="R36" s="8">
        <f>Q36*(1+R37)</f>
        <v>190.985915743407</v>
      </c>
    </row>
    <row r="37">
      <c r="C37" s="27" t="inlineStr">
        <is>
          <t>Growth (%)</t>
        </is>
      </c>
      <c r="G37" s="28" t="str">
        <f>IFERROR(G36/F36-1,"N/A")</f>
        <v>N/A</v>
      </c>
      <c r="H37" s="28">
        <f>IFERROR(H36/G36-1,"N/A")</f>
        <v>0</v>
      </c>
      <c r="I37" s="28">
        <f>IFERROR(I36/H36-1,"N/A")</f>
        <v>0.0480769230769231</v>
      </c>
      <c r="J37" s="28">
        <f>IFERROR(J36/I36-1,"N/A")</f>
        <v>0.073394495412844</v>
      </c>
      <c r="K37" s="28">
        <f>IFERROR(K36/J36-1,"N/A")</f>
        <v>0.102564102564103</v>
      </c>
      <c r="L37" s="28">
        <f>IFERROR(L36/K36-1,"N/A")</f>
        <v>0.069767441860465</v>
      </c>
      <c r="M37" s="28">
        <f>IFERROR(M36/L36-1,"N/A")</f>
        <v>0.036231884057971</v>
      </c>
      <c r="N37" s="19" t="n">
        <v>0.062</v>
      </c>
      <c r="O37" s="19" t="n">
        <v>0.063</v>
      </c>
      <c r="P37" s="19" t="n">
        <v>0.068</v>
      </c>
      <c r="Q37" s="19" t="n">
        <v>0.048</v>
      </c>
      <c r="R37" s="19" t="n">
        <v>0.057</v>
      </c>
    </row>
    <row r="38">
      <c r="C38" s="29" t="inlineStr">
        <is>
          <t>Revenue</t>
        </is>
      </c>
      <c r="G38" s="30">
        <f>G34*G36</f>
        <v>346736</v>
      </c>
      <c r="H38" s="30">
        <f>H34*H36</f>
        <v>316992</v>
      </c>
      <c r="I38" s="30">
        <f>I34*I36</f>
        <v>361553</v>
      </c>
      <c r="J38" s="30">
        <f>J34*J36</f>
        <v>436176</v>
      </c>
      <c r="K38" s="30">
        <f>K34*K36</f>
        <v>512775</v>
      </c>
      <c r="L38" s="30">
        <f>L34*L36</f>
        <v>603474</v>
      </c>
      <c r="M38" s="30">
        <f>M34*M36</f>
        <v>705133</v>
      </c>
      <c r="N38" s="30">
        <f>N34*N36</f>
        <v>806512.791942</v>
      </c>
      <c r="O38" s="30">
        <f>O34*O36</f>
        <v>929338.238052431</v>
      </c>
      <c r="P38" s="30">
        <f>P34*P36</f>
        <v>1032234.5677696</v>
      </c>
      <c r="Q38" s="30">
        <f>Q34*Q36</f>
        <v>1175896.8459735</v>
      </c>
      <c r="R38" s="30">
        <f>R34*R36</f>
        <v>1333656.34272615</v>
      </c>
    </row>
    <row r="40">
      <c r="C40" s="3" t="inlineStr">
        <is>
          <t>IVF:</t>
        </is>
      </c>
    </row>
    <row r="41">
      <c r="C41" s="14" t="inlineStr">
        <is>
          <t># of Patients</t>
        </is>
      </c>
      <c r="G41" s="26" t="n">
        <v>150</v>
      </c>
      <c r="H41" s="26" t="n">
        <v>142</v>
      </c>
      <c r="I41" s="26" t="n">
        <v>158</v>
      </c>
      <c r="J41" s="26" t="n">
        <v>168</v>
      </c>
      <c r="K41" s="26" t="n">
        <v>187</v>
      </c>
      <c r="L41" s="26" t="n">
        <v>207</v>
      </c>
      <c r="M41" s="26" t="n">
        <v>219</v>
      </c>
      <c r="N41" s="8">
        <f>M41*(1+N42)</f>
        <v>236.958</v>
      </c>
      <c r="O41" s="8">
        <f>N41*(1+O42)</f>
        <v>248.095026</v>
      </c>
      <c r="P41" s="8">
        <f>O41*(1+P42)</f>
        <v>267.94262808</v>
      </c>
      <c r="Q41" s="8">
        <f>P41*(1+Q42)</f>
        <v>285.62684153328</v>
      </c>
      <c r="R41" s="8">
        <f>Q41*(1+R42)</f>
        <v>310.190749905142</v>
      </c>
    </row>
    <row r="42">
      <c r="C42" s="27" t="inlineStr">
        <is>
          <t>Growth (%)</t>
        </is>
      </c>
      <c r="G42" s="28" t="str">
        <f>IFERROR(G41/F41-1,"N/A")</f>
        <v>N/A</v>
      </c>
      <c r="H42" s="28">
        <f>IFERROR(H41/G41-1,"N/A")</f>
        <v>-0.0533333333333333</v>
      </c>
      <c r="I42" s="28">
        <f>IFERROR(I41/H41-1,"N/A")</f>
        <v>0.112676056338028</v>
      </c>
      <c r="J42" s="28">
        <f>IFERROR(J41/I41-1,"N/A")</f>
        <v>0.0632911392405062</v>
      </c>
      <c r="K42" s="28">
        <f>IFERROR(K41/J41-1,"N/A")</f>
        <v>0.113095238095238</v>
      </c>
      <c r="L42" s="28">
        <f>IFERROR(L41/K41-1,"N/A")</f>
        <v>0.106951871657754</v>
      </c>
      <c r="M42" s="28">
        <f>IFERROR(M41/L41-1,"N/A")</f>
        <v>0.0579710144927537</v>
      </c>
      <c r="N42" s="19" t="n">
        <v>0.082</v>
      </c>
      <c r="O42" s="19" t="n">
        <v>0.047</v>
      </c>
      <c r="P42" s="19" t="n">
        <v>0.08</v>
      </c>
      <c r="Q42" s="19" t="n">
        <v>0.066</v>
      </c>
      <c r="R42" s="19" t="n">
        <v>0.08599999999999999</v>
      </c>
    </row>
    <row r="43">
      <c r="C43" s="14" t="inlineStr">
        <is>
          <t>Gross Revenue [per Patient] (LCA)</t>
        </is>
      </c>
      <c r="G43" s="26" t="n">
        <v>3952</v>
      </c>
      <c r="H43" s="26" t="n">
        <v>3936</v>
      </c>
      <c r="I43" s="26" t="n">
        <v>4194</v>
      </c>
      <c r="J43" s="26" t="n">
        <v>4392</v>
      </c>
      <c r="K43" s="26" t="n">
        <v>4744</v>
      </c>
      <c r="L43" s="26" t="n">
        <v>4983</v>
      </c>
      <c r="M43" s="26" t="n">
        <v>5183</v>
      </c>
      <c r="N43" s="8">
        <f>M43*(1+N44)</f>
        <v>5426.601</v>
      </c>
      <c r="O43" s="8">
        <f>N43*(1+O44)</f>
        <v>5784.756666</v>
      </c>
      <c r="P43" s="8">
        <f>O43*(1+P44)</f>
        <v>6091.348769298</v>
      </c>
      <c r="Q43" s="8">
        <f>P43*(1+Q44)</f>
        <v>6383.7335102243</v>
      </c>
      <c r="R43" s="8">
        <f>Q43*(1+R44)</f>
        <v>6811.44365540933</v>
      </c>
    </row>
    <row r="44">
      <c r="C44" s="27" t="inlineStr">
        <is>
          <t>Growth (%)</t>
        </is>
      </c>
      <c r="G44" s="28" t="str">
        <f>IFERROR(G43/F43-1,"N/A")</f>
        <v>N/A</v>
      </c>
      <c r="H44" s="28">
        <f>IFERROR(H43/G43-1,"N/A")</f>
        <v>-0.00404858299595146</v>
      </c>
      <c r="I44" s="28">
        <f>IFERROR(I43/H43-1,"N/A")</f>
        <v>0.0655487804878048</v>
      </c>
      <c r="J44" s="28">
        <f>IFERROR(J43/I43-1,"N/A")</f>
        <v>0.0472103004291846</v>
      </c>
      <c r="K44" s="28">
        <f>IFERROR(K43/J43-1,"N/A")</f>
        <v>0.0801457194899817</v>
      </c>
      <c r="L44" s="28">
        <f>IFERROR(L43/K43-1,"N/A")</f>
        <v>0.0503794266441822</v>
      </c>
      <c r="M44" s="28">
        <f>IFERROR(M43/L43-1,"N/A")</f>
        <v>0.0401364639775237</v>
      </c>
      <c r="N44" s="19" t="n">
        <v>0.047</v>
      </c>
      <c r="O44" s="19" t="n">
        <v>0.066</v>
      </c>
      <c r="P44" s="19" t="n">
        <v>0.053</v>
      </c>
      <c r="Q44" s="19" t="n">
        <v>0.048</v>
      </c>
      <c r="R44" s="19" t="n">
        <v>0.067</v>
      </c>
    </row>
    <row r="45">
      <c r="C45" s="29" t="inlineStr">
        <is>
          <t>Revenue</t>
        </is>
      </c>
      <c r="G45" s="30">
        <f>G41*G43</f>
        <v>592800</v>
      </c>
      <c r="H45" s="30">
        <f>H41*H43</f>
        <v>558912</v>
      </c>
      <c r="I45" s="30">
        <f>I41*I43</f>
        <v>662652</v>
      </c>
      <c r="J45" s="30">
        <f>J41*J43</f>
        <v>737856</v>
      </c>
      <c r="K45" s="30">
        <f>K41*K43</f>
        <v>887128</v>
      </c>
      <c r="L45" s="30">
        <f>L41*L43</f>
        <v>1031481</v>
      </c>
      <c r="M45" s="30">
        <f>M41*M43</f>
        <v>1135077</v>
      </c>
      <c r="N45" s="30">
        <f>N41*N43</f>
        <v>1285876.519758</v>
      </c>
      <c r="O45" s="30">
        <f>O41*O43</f>
        <v>1435169.35545494</v>
      </c>
      <c r="P45" s="30">
        <f>P41*P43</f>
        <v>1632131.99779758</v>
      </c>
      <c r="Q45" s="30">
        <f>Q41*Q43</f>
        <v>1823365.63971553</v>
      </c>
      <c r="R45" s="30">
        <f>R41*R43</f>
        <v>2112846.81540804</v>
      </c>
    </row>
    <row r="47">
      <c r="C47" s="3" t="inlineStr">
        <is>
          <t>Anapath:</t>
        </is>
      </c>
    </row>
    <row r="48">
      <c r="C48" s="14" t="inlineStr">
        <is>
          <t># of Patients</t>
        </is>
      </c>
      <c r="G48" s="26" t="n">
        <v>4428</v>
      </c>
      <c r="H48" s="26" t="n">
        <v>4204</v>
      </c>
      <c r="I48" s="26" t="n">
        <v>4465</v>
      </c>
      <c r="J48" s="26" t="n">
        <v>4686</v>
      </c>
      <c r="K48" s="26" t="n">
        <v>5080</v>
      </c>
      <c r="L48" s="26" t="n">
        <v>5552</v>
      </c>
      <c r="M48" s="26" t="n">
        <v>5957</v>
      </c>
      <c r="N48" s="8">
        <f>M48*(1+N49)</f>
        <v>6373.99</v>
      </c>
      <c r="O48" s="8">
        <f>N48*(1+O49)</f>
        <v>6711.81147</v>
      </c>
      <c r="P48" s="8">
        <f>O48*(1+P49)</f>
        <v>7174.92646143</v>
      </c>
      <c r="Q48" s="8">
        <f>P48*(1+Q49)</f>
        <v>7648.47160788438</v>
      </c>
      <c r="R48" s="8">
        <f>Q48*(1+R49)</f>
        <v>8267.99780812302</v>
      </c>
    </row>
    <row r="49">
      <c r="C49" s="27" t="inlineStr">
        <is>
          <t>Growth (%)</t>
        </is>
      </c>
      <c r="G49" s="28" t="str">
        <f>IFERROR(G48/F48-1,"N/A")</f>
        <v>N/A</v>
      </c>
      <c r="H49" s="28">
        <f>IFERROR(H48/G48-1,"N/A")</f>
        <v>-0.0505871725383921</v>
      </c>
      <c r="I49" s="28">
        <f>IFERROR(I48/H48-1,"N/A")</f>
        <v>0.0620837297811607</v>
      </c>
      <c r="J49" s="28">
        <f>IFERROR(J48/I48-1,"N/A")</f>
        <v>0.0494960806270997</v>
      </c>
      <c r="K49" s="28">
        <f>IFERROR(K48/J48-1,"N/A")</f>
        <v>0.0840802390098165</v>
      </c>
      <c r="L49" s="28">
        <f>IFERROR(L48/K48-1,"N/A")</f>
        <v>0.0929133858267717</v>
      </c>
      <c r="M49" s="28">
        <f>IFERROR(M48/L48-1,"N/A")</f>
        <v>0.0729466858789625</v>
      </c>
      <c r="N49" s="19" t="n">
        <v>0.07000000000000001</v>
      </c>
      <c r="O49" s="19" t="n">
        <v>0.053</v>
      </c>
      <c r="P49" s="19" t="n">
        <v>0.06900000000000001</v>
      </c>
      <c r="Q49" s="19" t="n">
        <v>0.066</v>
      </c>
      <c r="R49" s="19" t="n">
        <v>0.081</v>
      </c>
    </row>
    <row r="50">
      <c r="C50" s="14" t="inlineStr">
        <is>
          <t>Gross Revenue [per Patient] (LCA)</t>
        </is>
      </c>
      <c r="G50" s="26" t="n">
        <v>126</v>
      </c>
      <c r="H50" s="26" t="n">
        <v>125</v>
      </c>
      <c r="I50" s="26" t="n">
        <v>137</v>
      </c>
      <c r="J50" s="26" t="n">
        <v>149</v>
      </c>
      <c r="K50" s="26" t="n">
        <v>161</v>
      </c>
      <c r="L50" s="26" t="n">
        <v>172</v>
      </c>
      <c r="M50" s="26" t="n">
        <v>180</v>
      </c>
      <c r="N50" s="8">
        <f>M50*(1+N51)</f>
        <v>192.42</v>
      </c>
      <c r="O50" s="8">
        <f>N50*(1+O51)</f>
        <v>205.69698</v>
      </c>
      <c r="P50" s="8">
        <f>O50*(1+P51)</f>
        <v>216.59891994</v>
      </c>
      <c r="Q50" s="8">
        <f>P50*(1+Q51)</f>
        <v>229.5948551364</v>
      </c>
      <c r="R50" s="8">
        <f>Q50*(1+R51)</f>
        <v>243.370546444584</v>
      </c>
    </row>
    <row r="51">
      <c r="C51" s="27" t="inlineStr">
        <is>
          <t>Growth (%)</t>
        </is>
      </c>
      <c r="G51" s="28" t="str">
        <f>IFERROR(G50/F50-1,"N/A")</f>
        <v>N/A</v>
      </c>
      <c r="H51" s="28">
        <f>IFERROR(H50/G50-1,"N/A")</f>
        <v>-0.00793650793650791</v>
      </c>
      <c r="I51" s="28">
        <f>IFERROR(I50/H50-1,"N/A")</f>
        <v>0.0960000000000001</v>
      </c>
      <c r="J51" s="28">
        <f>IFERROR(J50/I50-1,"N/A")</f>
        <v>0.0875912408759123</v>
      </c>
      <c r="K51" s="28">
        <f>IFERROR(K50/J50-1,"N/A")</f>
        <v>0.080536912751678</v>
      </c>
      <c r="L51" s="28">
        <f>IFERROR(L50/K50-1,"N/A")</f>
        <v>0.0683229813664597</v>
      </c>
      <c r="M51" s="28">
        <f>IFERROR(M50/L50-1,"N/A")</f>
        <v>0.0465116279069768</v>
      </c>
      <c r="N51" s="19" t="n">
        <v>0.06900000000000001</v>
      </c>
      <c r="O51" s="19" t="n">
        <v>0.06900000000000001</v>
      </c>
      <c r="P51" s="19" t="n">
        <v>0.053</v>
      </c>
      <c r="Q51" s="19" t="n">
        <v>0.06</v>
      </c>
      <c r="R51" s="19" t="n">
        <v>0.06</v>
      </c>
    </row>
    <row r="52">
      <c r="C52" s="29" t="inlineStr">
        <is>
          <t>Revenue</t>
        </is>
      </c>
      <c r="G52" s="30">
        <f>G48*G50</f>
        <v>557928</v>
      </c>
      <c r="H52" s="30">
        <f>H48*H50</f>
        <v>525500</v>
      </c>
      <c r="I52" s="30">
        <f>I48*I50</f>
        <v>611705</v>
      </c>
      <c r="J52" s="30">
        <f>J48*J50</f>
        <v>698214</v>
      </c>
      <c r="K52" s="30">
        <f>K48*K50</f>
        <v>817880</v>
      </c>
      <c r="L52" s="30">
        <f>L48*L50</f>
        <v>954944</v>
      </c>
      <c r="M52" s="30">
        <f>M48*M50</f>
        <v>1072260</v>
      </c>
      <c r="N52" s="30">
        <f>N48*N50</f>
        <v>1226483.1558</v>
      </c>
      <c r="O52" s="30">
        <f>O48*O50</f>
        <v>1380599.34970836</v>
      </c>
      <c r="P52" s="30">
        <f>P48*P50</f>
        <v>1554081.32219466</v>
      </c>
      <c r="Q52" s="30">
        <f>Q48*Q50</f>
        <v>1756049.73082708</v>
      </c>
      <c r="R52" s="30">
        <f>R48*R50</f>
        <v>2012187.14456552</v>
      </c>
    </row>
    <row r="54">
      <c r="C54" s="3" t="inlineStr">
        <is>
          <t>Surgery:</t>
        </is>
      </c>
    </row>
    <row r="55">
      <c r="C55" s="14" t="inlineStr">
        <is>
          <t># of Surgeries</t>
        </is>
      </c>
      <c r="G55" s="26" t="n">
        <v>2403</v>
      </c>
      <c r="H55" s="26" t="n">
        <v>2227</v>
      </c>
      <c r="I55" s="26" t="n">
        <v>2427</v>
      </c>
      <c r="J55" s="26" t="n">
        <v>2634</v>
      </c>
      <c r="K55" s="26" t="n">
        <v>2817</v>
      </c>
      <c r="L55" s="26" t="n">
        <v>3041</v>
      </c>
      <c r="M55" s="26" t="n">
        <v>3216</v>
      </c>
      <c r="N55" s="8">
        <f>M55*(1+N56)</f>
        <v>3367.152</v>
      </c>
      <c r="O55" s="8">
        <f>N55*(1+O56)</f>
        <v>3548.978208</v>
      </c>
      <c r="P55" s="8">
        <f>O55*(1+P56)</f>
        <v>3822.249530016</v>
      </c>
      <c r="Q55" s="8">
        <f>P55*(1+Q56)</f>
        <v>4082.16249805709</v>
      </c>
      <c r="R55" s="8">
        <f>Q55*(1+R56)</f>
        <v>4404.6533354036</v>
      </c>
    </row>
    <row r="56">
      <c r="C56" s="27" t="inlineStr">
        <is>
          <t>Growth (%)</t>
        </is>
      </c>
      <c r="G56" s="28" t="str">
        <f>IFERROR(G55/F55-1,"N/A")</f>
        <v>N/A</v>
      </c>
      <c r="H56" s="28">
        <f>IFERROR(H55/G55-1,"N/A")</f>
        <v>-0.0732417811069497</v>
      </c>
      <c r="I56" s="28">
        <f>IFERROR(I55/H55-1,"N/A")</f>
        <v>0.0898069151324652</v>
      </c>
      <c r="J56" s="28">
        <f>IFERROR(J55/I55-1,"N/A")</f>
        <v>0.0852904820766378</v>
      </c>
      <c r="K56" s="28">
        <f>IFERROR(K55/J55-1,"N/A")</f>
        <v>0.0694760820045559</v>
      </c>
      <c r="L56" s="28">
        <f>IFERROR(L55/K55-1,"N/A")</f>
        <v>0.0795172168974085</v>
      </c>
      <c r="M56" s="28">
        <f>IFERROR(M55/L55-1,"N/A")</f>
        <v>0.0575468595856625</v>
      </c>
      <c r="N56" s="19" t="n">
        <v>0.047</v>
      </c>
      <c r="O56" s="19" t="n">
        <v>0.054</v>
      </c>
      <c r="P56" s="19" t="n">
        <v>0.077</v>
      </c>
      <c r="Q56" s="19" t="n">
        <v>0.068</v>
      </c>
      <c r="R56" s="19" t="n">
        <v>0.079</v>
      </c>
    </row>
    <row r="57">
      <c r="C57" s="14" t="inlineStr">
        <is>
          <t>Gross Revenue [per Surgery] (LCA)</t>
        </is>
      </c>
      <c r="G57" s="26" t="n">
        <v>2052</v>
      </c>
      <c r="H57" s="26" t="n">
        <v>2146</v>
      </c>
      <c r="I57" s="26" t="n">
        <v>2313</v>
      </c>
      <c r="J57" s="26" t="n">
        <v>2504</v>
      </c>
      <c r="K57" s="26" t="n">
        <v>2616</v>
      </c>
      <c r="L57" s="26" t="n">
        <v>2857</v>
      </c>
      <c r="M57" s="26" t="n">
        <v>3011</v>
      </c>
      <c r="N57" s="8">
        <f>M57*(1+N58)</f>
        <v>3143.484</v>
      </c>
      <c r="O57" s="8">
        <f>N57*(1+O58)</f>
        <v>3288.084264</v>
      </c>
      <c r="P57" s="8">
        <f>O57*(1+P58)</f>
        <v>3462.352729992</v>
      </c>
      <c r="Q57" s="8">
        <f>P57*(1+Q58)</f>
        <v>3666.63154106153</v>
      </c>
      <c r="R57" s="8">
        <f>Q57*(1+R58)</f>
        <v>3908.62922277159</v>
      </c>
    </row>
    <row r="58">
      <c r="C58" s="27" t="inlineStr">
        <is>
          <t>Growth (%)</t>
        </is>
      </c>
      <c r="G58" s="28" t="str">
        <f>IFERROR(G57/F57-1,"N/A")</f>
        <v>N/A</v>
      </c>
      <c r="H58" s="28">
        <f>IFERROR(H57/G57-1,"N/A")</f>
        <v>0.0458089668615984</v>
      </c>
      <c r="I58" s="28">
        <f>IFERROR(I57/H57-1,"N/A")</f>
        <v>0.0778191985088537</v>
      </c>
      <c r="J58" s="28">
        <f>IFERROR(J57/I57-1,"N/A")</f>
        <v>0.0825767401642887</v>
      </c>
      <c r="K58" s="28">
        <f>IFERROR(K57/J57-1,"N/A")</f>
        <v>0.0447284345047923</v>
      </c>
      <c r="L58" s="28">
        <f>IFERROR(L57/K57-1,"N/A")</f>
        <v>0.0921253822629971</v>
      </c>
      <c r="M58" s="28">
        <f>IFERROR(M57/L57-1,"N/A")</f>
        <v>0.0539026951347568</v>
      </c>
      <c r="N58" s="19" t="n">
        <v>0.044</v>
      </c>
      <c r="O58" s="19" t="n">
        <v>0.046</v>
      </c>
      <c r="P58" s="19" t="n">
        <v>0.053</v>
      </c>
      <c r="Q58" s="19" t="n">
        <v>0.059</v>
      </c>
      <c r="R58" s="19" t="n">
        <v>0.066</v>
      </c>
    </row>
    <row r="59">
      <c r="C59" s="29" t="inlineStr">
        <is>
          <t>Revenue</t>
        </is>
      </c>
      <c r="G59" s="30">
        <f>G55*G57</f>
        <v>4930956</v>
      </c>
      <c r="H59" s="30">
        <f>H55*H57</f>
        <v>4779142</v>
      </c>
      <c r="I59" s="30">
        <f>I55*I57</f>
        <v>5613651</v>
      </c>
      <c r="J59" s="30">
        <f>J55*J57</f>
        <v>6595536</v>
      </c>
      <c r="K59" s="30">
        <f>K55*K57</f>
        <v>7369272</v>
      </c>
      <c r="L59" s="30">
        <f>L55*L57</f>
        <v>8688137</v>
      </c>
      <c r="M59" s="30">
        <f>M55*M57</f>
        <v>9683376</v>
      </c>
      <c r="N59" s="30">
        <f>N55*N57</f>
        <v>10584588.437568</v>
      </c>
      <c r="O59" s="30">
        <f>O55*O57</f>
        <v>11669339.3990037</v>
      </c>
      <c r="P59" s="30">
        <f>P55*P57</f>
        <v>13233976.0949615</v>
      </c>
      <c r="Q59" s="30">
        <f>Q55*Q57</f>
        <v>14967785.7711146</v>
      </c>
      <c r="R59" s="30">
        <f>R55*R57</f>
        <v>17216156.7429368</v>
      </c>
    </row>
    <row r="61">
      <c r="C61" s="3" t="inlineStr">
        <is>
          <t>Cardiac Cath:</t>
        </is>
      </c>
    </row>
    <row r="62">
      <c r="C62" s="14" t="inlineStr">
        <is>
          <t># of Surgeries</t>
        </is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8">
        <f>M62*(1+N63)</f>
        <v>0</v>
      </c>
      <c r="O62" s="8">
        <f>N62*(1+O63)</f>
        <v>0</v>
      </c>
      <c r="P62" s="8">
        <f>O62*(1+P63)</f>
        <v>0</v>
      </c>
      <c r="Q62" s="8">
        <f>P62*(1+Q63)</f>
        <v>0</v>
      </c>
      <c r="R62" s="8">
        <f>Q62*(1+R63)</f>
        <v>0</v>
      </c>
    </row>
    <row r="63">
      <c r="C63" s="27" t="inlineStr">
        <is>
          <t>Growth (%)</t>
        </is>
      </c>
      <c r="G63" s="28" t="str">
        <f>IFERROR(G62/F62-1,"N/A")</f>
        <v>N/A</v>
      </c>
      <c r="H63" s="28" t="str">
        <f>IFERROR(H62/G62-1,"N/A")</f>
        <v>N/A</v>
      </c>
      <c r="I63" s="28" t="str">
        <f>IFERROR(I62/H62-1,"N/A")</f>
        <v>N/A</v>
      </c>
      <c r="J63" s="28" t="str">
        <f>IFERROR(J62/I62-1,"N/A")</f>
        <v>N/A</v>
      </c>
      <c r="K63" s="28" t="str">
        <f>IFERROR(K62/J62-1,"N/A")</f>
        <v>N/A</v>
      </c>
      <c r="L63" s="28" t="str">
        <f>IFERROR(L62/K62-1,"N/A")</f>
        <v>N/A</v>
      </c>
      <c r="M63" s="28" t="str">
        <f>IFERROR(M62/L62-1,"N/A")</f>
        <v>N/A</v>
      </c>
      <c r="N63" s="19" t="n">
        <v>0</v>
      </c>
      <c r="O63" s="19" t="n">
        <v>0</v>
      </c>
      <c r="P63" s="19" t="n">
        <v>0</v>
      </c>
      <c r="Q63" s="19" t="n">
        <v>0</v>
      </c>
      <c r="R63" s="19" t="n">
        <v>0</v>
      </c>
    </row>
    <row r="64">
      <c r="C64" s="14" t="inlineStr">
        <is>
          <t>Gross Revenue [per Surgery] (LCA)</t>
        </is>
      </c>
      <c r="G64" s="26" t="n">
        <v>4224</v>
      </c>
      <c r="H64" s="26" t="n">
        <v>4161</v>
      </c>
      <c r="I64" s="26" t="n">
        <v>4584</v>
      </c>
      <c r="J64" s="26" t="n">
        <v>5088</v>
      </c>
      <c r="K64" s="26" t="n">
        <v>5240</v>
      </c>
      <c r="L64" s="26" t="n">
        <v>5746</v>
      </c>
      <c r="M64" s="26" t="n">
        <v>6111</v>
      </c>
      <c r="N64" s="8">
        <f>M64*(1+N65)</f>
        <v>6453.216</v>
      </c>
      <c r="O64" s="8">
        <f>N64*(1+O65)</f>
        <v>6750.063936</v>
      </c>
      <c r="P64" s="8">
        <f>O64*(1+P65)</f>
        <v>7215.818347584</v>
      </c>
      <c r="Q64" s="8">
        <f>P64*(1+Q65)</f>
        <v>7684.84654017696</v>
      </c>
      <c r="R64" s="8">
        <f>Q64*(1+R65)</f>
        <v>8176.67671874829</v>
      </c>
    </row>
    <row r="65">
      <c r="C65" s="27" t="inlineStr">
        <is>
          <t>Growth (%)</t>
        </is>
      </c>
      <c r="G65" s="28" t="str">
        <f>IFERROR(G64/F64-1,"N/A")</f>
        <v>N/A</v>
      </c>
      <c r="H65" s="28">
        <f>IFERROR(H64/G64-1,"N/A")</f>
        <v>-0.0149147727272727</v>
      </c>
      <c r="I65" s="28">
        <f>IFERROR(I64/H64-1,"N/A")</f>
        <v>0.101658255227109</v>
      </c>
      <c r="J65" s="28">
        <f>IFERROR(J64/I64-1,"N/A")</f>
        <v>0.109947643979058</v>
      </c>
      <c r="K65" s="28">
        <f>IFERROR(K64/J64-1,"N/A")</f>
        <v>0.029874213836478</v>
      </c>
      <c r="L65" s="28">
        <f>IFERROR(L64/K64-1,"N/A")</f>
        <v>0.0965648854961831</v>
      </c>
      <c r="M65" s="28">
        <f>IFERROR(M64/L64-1,"N/A")</f>
        <v>0.0635224504002785</v>
      </c>
      <c r="N65" s="19" t="n">
        <v>0.056</v>
      </c>
      <c r="O65" s="19" t="n">
        <v>0.046</v>
      </c>
      <c r="P65" s="19" t="n">
        <v>0.06900000000000001</v>
      </c>
      <c r="Q65" s="19" t="n">
        <v>0.065</v>
      </c>
      <c r="R65" s="19" t="n">
        <v>0.064</v>
      </c>
    </row>
    <row r="66">
      <c r="C66" s="29" t="inlineStr">
        <is>
          <t>Revenue</t>
        </is>
      </c>
      <c r="G66" s="30">
        <f>G62*G64</f>
        <v>0</v>
      </c>
      <c r="H66" s="30">
        <f>H62*H64</f>
        <v>0</v>
      </c>
      <c r="I66" s="30">
        <f>I62*I64</f>
        <v>0</v>
      </c>
      <c r="J66" s="30">
        <f>J62*J64</f>
        <v>0</v>
      </c>
      <c r="K66" s="30">
        <f>K62*K64</f>
        <v>0</v>
      </c>
      <c r="L66" s="30">
        <f>L62*L64</f>
        <v>0</v>
      </c>
      <c r="M66" s="30">
        <f>M62*M64</f>
        <v>0</v>
      </c>
      <c r="N66" s="30">
        <f>N62*N64</f>
        <v>0</v>
      </c>
      <c r="O66" s="30">
        <f>O62*O64</f>
        <v>0</v>
      </c>
      <c r="P66" s="30">
        <f>P62*P64</f>
        <v>0</v>
      </c>
      <c r="Q66" s="30">
        <f>Q62*Q64</f>
        <v>0</v>
      </c>
      <c r="R66" s="30">
        <f>R62*R64</f>
        <v>0</v>
      </c>
    </row>
    <row r="68">
      <c r="C68" s="3" t="inlineStr">
        <is>
          <t>Heart Test:</t>
        </is>
      </c>
    </row>
    <row r="69">
      <c r="C69" s="14" t="inlineStr">
        <is>
          <t># of Tests</t>
        </is>
      </c>
      <c r="G69" s="26" t="n">
        <v>2976</v>
      </c>
      <c r="H69" s="26" t="n">
        <v>2875</v>
      </c>
      <c r="I69" s="26" t="n">
        <v>3113</v>
      </c>
      <c r="J69" s="26" t="n">
        <v>3232</v>
      </c>
      <c r="K69" s="26" t="n">
        <v>3505</v>
      </c>
      <c r="L69" s="26" t="n">
        <v>3692</v>
      </c>
      <c r="M69" s="26" t="n">
        <v>3905</v>
      </c>
      <c r="N69" s="8">
        <f>M69*(1+N70)</f>
        <v>4252.545</v>
      </c>
      <c r="O69" s="8">
        <f>N69*(1+O70)</f>
        <v>4537.465515</v>
      </c>
      <c r="P69" s="8">
        <f>O69*(1+P70)</f>
        <v>4764.33879075</v>
      </c>
      <c r="Q69" s="8">
        <f>P69*(1+Q70)</f>
        <v>4993.027052706</v>
      </c>
      <c r="R69" s="8">
        <f>Q69*(1+R70)</f>
        <v>5332.55289229001</v>
      </c>
    </row>
    <row r="70">
      <c r="C70" s="27" t="inlineStr">
        <is>
          <t>Growth (%)</t>
        </is>
      </c>
      <c r="G70" s="28" t="str">
        <f>IFERROR(G69/F69-1,"N/A")</f>
        <v>N/A</v>
      </c>
      <c r="H70" s="28">
        <f>IFERROR(H69/G69-1,"N/A")</f>
        <v>-0.0339381720430108</v>
      </c>
      <c r="I70" s="28">
        <f>IFERROR(I69/H69-1,"N/A")</f>
        <v>0.0827826086956522</v>
      </c>
      <c r="J70" s="28">
        <f>IFERROR(J69/I69-1,"N/A")</f>
        <v>0.0382267908769676</v>
      </c>
      <c r="K70" s="28">
        <f>IFERROR(K69/J69-1,"N/A")</f>
        <v>0.0844678217821782</v>
      </c>
      <c r="L70" s="28">
        <f>IFERROR(L69/K69-1,"N/A")</f>
        <v>0.0533523537803138</v>
      </c>
      <c r="M70" s="28">
        <f>IFERROR(M69/L69-1,"N/A")</f>
        <v>0.0576923076923077</v>
      </c>
      <c r="N70" s="19" t="n">
        <v>0.089</v>
      </c>
      <c r="O70" s="19" t="n">
        <v>0.067</v>
      </c>
      <c r="P70" s="19" t="n">
        <v>0.05</v>
      </c>
      <c r="Q70" s="19" t="n">
        <v>0.048</v>
      </c>
      <c r="R70" s="19" t="n">
        <v>0.068</v>
      </c>
    </row>
    <row r="71">
      <c r="C71" s="14" t="inlineStr">
        <is>
          <t>Gross Revenue [per Test] (LCA)</t>
        </is>
      </c>
      <c r="G71" s="26" t="n">
        <v>219</v>
      </c>
      <c r="H71" s="26" t="n">
        <v>229</v>
      </c>
      <c r="I71" s="26" t="n">
        <v>253</v>
      </c>
      <c r="J71" s="26" t="n">
        <v>271</v>
      </c>
      <c r="K71" s="26" t="n">
        <v>296</v>
      </c>
      <c r="L71" s="26" t="n">
        <v>317</v>
      </c>
      <c r="M71" s="26" t="n">
        <v>331</v>
      </c>
      <c r="N71" s="8">
        <f>M71*(1+N72)</f>
        <v>345.564</v>
      </c>
      <c r="O71" s="8">
        <f>N71*(1+O72)</f>
        <v>362.496636</v>
      </c>
      <c r="P71" s="8">
        <f>O71*(1+P72)</f>
        <v>386.05891734</v>
      </c>
      <c r="Q71" s="8">
        <f>P71*(1+Q72)</f>
        <v>407.2921577937</v>
      </c>
      <c r="R71" s="8">
        <f>Q71*(1+R72)</f>
        <v>428.471349998972</v>
      </c>
    </row>
    <row r="72">
      <c r="C72" s="27" t="inlineStr">
        <is>
          <t>Growth (%)</t>
        </is>
      </c>
      <c r="G72" s="28" t="str">
        <f>IFERROR(G71/F71-1,"N/A")</f>
        <v>N/A</v>
      </c>
      <c r="H72" s="28">
        <f>IFERROR(H71/G71-1,"N/A")</f>
        <v>0.0456621004566211</v>
      </c>
      <c r="I72" s="28">
        <f>IFERROR(I71/H71-1,"N/A")</f>
        <v>0.104803493449782</v>
      </c>
      <c r="J72" s="28">
        <f>IFERROR(J71/I71-1,"N/A")</f>
        <v>0.0711462450592886</v>
      </c>
      <c r="K72" s="28">
        <f>IFERROR(K71/J71-1,"N/A")</f>
        <v>0.0922509225092252</v>
      </c>
      <c r="L72" s="28">
        <f>IFERROR(L71/K71-1,"N/A")</f>
        <v>0.0709459459459461</v>
      </c>
      <c r="M72" s="28">
        <f>IFERROR(M71/L71-1,"N/A")</f>
        <v>0.0441640378548895</v>
      </c>
      <c r="N72" s="19" t="n">
        <v>0.044</v>
      </c>
      <c r="O72" s="19" t="n">
        <v>0.049</v>
      </c>
      <c r="P72" s="19" t="n">
        <v>0.065</v>
      </c>
      <c r="Q72" s="19" t="n">
        <v>0.055</v>
      </c>
      <c r="R72" s="19" t="n">
        <v>0.052</v>
      </c>
    </row>
    <row r="73">
      <c r="C73" s="29" t="inlineStr">
        <is>
          <t>Revenue</t>
        </is>
      </c>
      <c r="G73" s="30">
        <f>G69*G71</f>
        <v>651744</v>
      </c>
      <c r="H73" s="30">
        <f>H69*H71</f>
        <v>658375</v>
      </c>
      <c r="I73" s="30">
        <f>I69*I71</f>
        <v>787589</v>
      </c>
      <c r="J73" s="30">
        <f>J69*J71</f>
        <v>875872</v>
      </c>
      <c r="K73" s="30">
        <f>K69*K71</f>
        <v>1037480</v>
      </c>
      <c r="L73" s="30">
        <f>L69*L71</f>
        <v>1170364</v>
      </c>
      <c r="M73" s="30">
        <f>M69*M71</f>
        <v>1292555</v>
      </c>
      <c r="N73" s="30">
        <f>N69*N71</f>
        <v>1469526.46038</v>
      </c>
      <c r="O73" s="30">
        <f>O69*O71</f>
        <v>1644815.98515351</v>
      </c>
      <c r="P73" s="30">
        <f>P69*P71</f>
        <v>1839315.47539791</v>
      </c>
      <c r="Q73" s="30">
        <f>Q69*Q71</f>
        <v>2033620.76221895</v>
      </c>
      <c r="R73" s="30">
        <f>R69*R71</f>
        <v>2284846.13670043</v>
      </c>
    </row>
    <row r="75">
      <c r="C75" s="3" t="inlineStr">
        <is>
          <t>Emergency:</t>
        </is>
      </c>
    </row>
    <row r="76">
      <c r="C76" s="14" t="inlineStr">
        <is>
          <t># of Visits</t>
        </is>
      </c>
      <c r="G76" s="26" t="n">
        <v>10636</v>
      </c>
      <c r="H76" s="26" t="n">
        <v>9924</v>
      </c>
      <c r="I76" s="26" t="n">
        <v>10481</v>
      </c>
      <c r="J76" s="26" t="n">
        <v>11443</v>
      </c>
      <c r="K76" s="26" t="n">
        <v>12320</v>
      </c>
      <c r="L76" s="26" t="n">
        <v>13474</v>
      </c>
      <c r="M76" s="26" t="n">
        <v>14402</v>
      </c>
      <c r="N76" s="8">
        <f>M76*(1+N77)</f>
        <v>15654.974</v>
      </c>
      <c r="O76" s="8">
        <f>N76*(1+O77)</f>
        <v>16562.962492</v>
      </c>
      <c r="P76" s="8">
        <f>O76*(1+P77)</f>
        <v>17341.421729124</v>
      </c>
      <c r="Q76" s="8">
        <f>P76*(1+Q77)</f>
        <v>18035.078598289</v>
      </c>
      <c r="R76" s="8">
        <f>Q76*(1+R77)</f>
        <v>19297.5341001692</v>
      </c>
    </row>
    <row r="77">
      <c r="C77" s="27" t="inlineStr">
        <is>
          <t>Growth (%)</t>
        </is>
      </c>
      <c r="G77" s="28" t="str">
        <f>IFERROR(G76/F76-1,"N/A")</f>
        <v>N/A</v>
      </c>
      <c r="H77" s="28">
        <f>IFERROR(H76/G76-1,"N/A")</f>
        <v>-0.0669424595712674</v>
      </c>
      <c r="I77" s="28">
        <f>IFERROR(I76/H76-1,"N/A")</f>
        <v>0.0561265618702136</v>
      </c>
      <c r="J77" s="28">
        <f>IFERROR(J76/I76-1,"N/A")</f>
        <v>0.0917851350062018</v>
      </c>
      <c r="K77" s="28">
        <f>IFERROR(K76/J76-1,"N/A")</f>
        <v>0.0766407410644061</v>
      </c>
      <c r="L77" s="28">
        <f>IFERROR(L76/K76-1,"N/A")</f>
        <v>0.0936688311688312</v>
      </c>
      <c r="M77" s="28">
        <f>IFERROR(M76/L76-1,"N/A")</f>
        <v>0.0688733857800208</v>
      </c>
      <c r="N77" s="19" t="n">
        <v>0.08699999999999999</v>
      </c>
      <c r="O77" s="19" t="n">
        <v>0.058</v>
      </c>
      <c r="P77" s="19" t="n">
        <v>0.047</v>
      </c>
      <c r="Q77" s="19" t="n">
        <v>0.04</v>
      </c>
      <c r="R77" s="19" t="n">
        <v>0.07000000000000001</v>
      </c>
    </row>
    <row r="78">
      <c r="C78" s="14" t="inlineStr">
        <is>
          <t>Gross Revenue [per Visit] (LCA)</t>
        </is>
      </c>
      <c r="G78" s="26" t="n">
        <v>156</v>
      </c>
      <c r="H78" s="26" t="n">
        <v>163</v>
      </c>
      <c r="I78" s="26" t="n">
        <v>172</v>
      </c>
      <c r="J78" s="26" t="n">
        <v>187</v>
      </c>
      <c r="K78" s="26" t="n">
        <v>201</v>
      </c>
      <c r="L78" s="26" t="n">
        <v>214</v>
      </c>
      <c r="M78" s="26" t="n">
        <v>234</v>
      </c>
      <c r="N78" s="8">
        <f>M78*(1+N79)</f>
        <v>249.444</v>
      </c>
      <c r="O78" s="8">
        <f>N78*(1+O79)</f>
        <v>262.913976</v>
      </c>
      <c r="P78" s="8">
        <f>O78*(1+P79)</f>
        <v>281.31795432</v>
      </c>
      <c r="Q78" s="8">
        <f>P78*(1+Q79)</f>
        <v>300.16625725944</v>
      </c>
      <c r="R78" s="8">
        <f>Q78*(1+R79)</f>
        <v>319.076731466785</v>
      </c>
    </row>
    <row r="79">
      <c r="C79" s="27" t="inlineStr">
        <is>
          <t>Growth (%)</t>
        </is>
      </c>
      <c r="G79" s="28" t="str">
        <f>IFERROR(G78/F78-1,"N/A")</f>
        <v>N/A</v>
      </c>
      <c r="H79" s="28">
        <f>IFERROR(H78/G78-1,"N/A")</f>
        <v>0.0448717948717949</v>
      </c>
      <c r="I79" s="28">
        <f>IFERROR(I78/H78-1,"N/A")</f>
        <v>0.0552147239263803</v>
      </c>
      <c r="J79" s="28">
        <f>IFERROR(J78/I78-1,"N/A")</f>
        <v>0.0872093023255813</v>
      </c>
      <c r="K79" s="28">
        <f>IFERROR(K78/J78-1,"N/A")</f>
        <v>0.0748663101604279</v>
      </c>
      <c r="L79" s="28">
        <f>IFERROR(L78/K78-1,"N/A")</f>
        <v>0.0646766169154229</v>
      </c>
      <c r="M79" s="28">
        <f>IFERROR(M78/L78-1,"N/A")</f>
        <v>0.0934579439252337</v>
      </c>
      <c r="N79" s="19" t="n">
        <v>0.066</v>
      </c>
      <c r="O79" s="19" t="n">
        <v>0.054</v>
      </c>
      <c r="P79" s="19" t="n">
        <v>0.07000000000000001</v>
      </c>
      <c r="Q79" s="19" t="n">
        <v>0.067</v>
      </c>
      <c r="R79" s="19" t="n">
        <v>0.063</v>
      </c>
    </row>
    <row r="80">
      <c r="C80" s="29" t="inlineStr">
        <is>
          <t>Revenue</t>
        </is>
      </c>
      <c r="G80" s="30">
        <f>G76*G78</f>
        <v>1659216</v>
      </c>
      <c r="H80" s="30">
        <f>H76*H78</f>
        <v>1617612</v>
      </c>
      <c r="I80" s="30">
        <f>I76*I78</f>
        <v>1802732</v>
      </c>
      <c r="J80" s="30">
        <f>J76*J78</f>
        <v>2139841</v>
      </c>
      <c r="K80" s="30">
        <f>K76*K78</f>
        <v>2476320</v>
      </c>
      <c r="L80" s="30">
        <f>L76*L78</f>
        <v>2883436</v>
      </c>
      <c r="M80" s="30">
        <f>M76*M78</f>
        <v>3370068</v>
      </c>
      <c r="N80" s="30">
        <f>N76*N78</f>
        <v>3905039.334456</v>
      </c>
      <c r="O80" s="30">
        <f>O76*O78</f>
        <v>4354634.32311059</v>
      </c>
      <c r="P80" s="30">
        <f>P76*P78</f>
        <v>4878453.28583756</v>
      </c>
      <c r="Q80" s="30">
        <f>Q76*Q78</f>
        <v>5413522.04222823</v>
      </c>
      <c r="R80" s="30">
        <f>R76*R78</f>
        <v>6157394.10605081</v>
      </c>
    </row>
    <row r="82">
      <c r="C82" s="3" t="inlineStr">
        <is>
          <t>Accommodation:</t>
        </is>
      </c>
    </row>
    <row r="83">
      <c r="C83" s="14" t="inlineStr">
        <is>
          <t># of Beds</t>
        </is>
      </c>
      <c r="G83" s="26" t="n">
        <v>96</v>
      </c>
      <c r="H83" s="26" t="n">
        <v>96</v>
      </c>
      <c r="I83" s="26" t="n">
        <v>96</v>
      </c>
      <c r="J83" s="26" t="n">
        <v>96</v>
      </c>
      <c r="K83" s="26" t="n">
        <v>104</v>
      </c>
      <c r="L83" s="26" t="n">
        <v>104</v>
      </c>
      <c r="M83" s="26" t="n">
        <v>104</v>
      </c>
      <c r="N83" s="8">
        <f>M83</f>
        <v>104</v>
      </c>
      <c r="O83" s="8">
        <f>N83</f>
        <v>104</v>
      </c>
      <c r="P83" s="8">
        <f>O83</f>
        <v>104</v>
      </c>
      <c r="Q83" s="8">
        <f>P83</f>
        <v>104</v>
      </c>
      <c r="R83" s="8">
        <f>Q83</f>
        <v>104</v>
      </c>
    </row>
    <row r="84">
      <c r="C84" s="14" t="inlineStr">
        <is>
          <t>Available Beds a Night</t>
        </is>
      </c>
      <c r="G84" s="8">
        <f>G83*360</f>
        <v>34560</v>
      </c>
      <c r="H84" s="8">
        <f>H83*360</f>
        <v>34560</v>
      </c>
      <c r="I84" s="8">
        <f>I83*360</f>
        <v>34560</v>
      </c>
      <c r="J84" s="8">
        <f>J83*360</f>
        <v>34560</v>
      </c>
      <c r="K84" s="8">
        <f>K83*360</f>
        <v>37440</v>
      </c>
      <c r="L84" s="8">
        <f>L83*360</f>
        <v>37440</v>
      </c>
      <c r="M84" s="8">
        <f>M83*360</f>
        <v>37440</v>
      </c>
      <c r="N84" s="8">
        <f>N83*360</f>
        <v>37440</v>
      </c>
      <c r="O84" s="8">
        <f>O83*360</f>
        <v>37440</v>
      </c>
      <c r="P84" s="8">
        <f>P83*360</f>
        <v>37440</v>
      </c>
      <c r="Q84" s="8">
        <f>Q83*360</f>
        <v>37440</v>
      </c>
      <c r="R84" s="8">
        <f>R83*360</f>
        <v>37440</v>
      </c>
    </row>
    <row r="85">
      <c r="C85" s="14" t="inlineStr">
        <is>
          <t># of Occupied bed nights</t>
        </is>
      </c>
      <c r="G85" s="26" t="n">
        <v>23182</v>
      </c>
      <c r="H85" s="26" t="n">
        <v>19008</v>
      </c>
      <c r="I85" s="26" t="n">
        <v>20772</v>
      </c>
      <c r="J85" s="26" t="n">
        <v>22772</v>
      </c>
      <c r="K85" s="26" t="n">
        <v>22783</v>
      </c>
      <c r="L85" s="26" t="n">
        <v>23143</v>
      </c>
      <c r="M85" s="26" t="n">
        <v>23763</v>
      </c>
      <c r="N85" s="8">
        <f>N84*N86</f>
        <v>24223.68</v>
      </c>
      <c r="O85" s="8">
        <f>O84*O86</f>
        <v>24672.96</v>
      </c>
      <c r="P85" s="8">
        <f>P84*P86</f>
        <v>25122.24</v>
      </c>
      <c r="Q85" s="8">
        <f>Q84*Q86</f>
        <v>25571.52</v>
      </c>
      <c r="R85" s="8">
        <f>R84*R86</f>
        <v>26020.8</v>
      </c>
    </row>
    <row r="86">
      <c r="C86" s="27" t="inlineStr">
        <is>
          <t>Occupancy Ratio (%)</t>
        </is>
      </c>
      <c r="G86" s="20">
        <f>IFERROR(G85/G84,"N/A")</f>
        <v>0.670775462962963</v>
      </c>
      <c r="H86" s="20">
        <f>IFERROR(H85/H84,"N/A")</f>
        <v>0.55</v>
      </c>
      <c r="I86" s="20">
        <f>IFERROR(I85/I84,"N/A")</f>
        <v>0.601041666666667</v>
      </c>
      <c r="J86" s="20">
        <f>IFERROR(J85/J84,"N/A")</f>
        <v>0.658912037037037</v>
      </c>
      <c r="K86" s="20">
        <f>IFERROR(K85/K84,"N/A")</f>
        <v>0.608520299145299</v>
      </c>
      <c r="L86" s="20">
        <f>IFERROR(L85/L84,"N/A")</f>
        <v>0.618135683760684</v>
      </c>
      <c r="M86" s="20">
        <f>IFERROR(M85/M84,"N/A")</f>
        <v>0.634695512820513</v>
      </c>
      <c r="N86" s="19" t="n">
        <v>0.647</v>
      </c>
      <c r="O86" s="19" t="n">
        <v>0.659</v>
      </c>
      <c r="P86" s="19" t="n">
        <v>0.671</v>
      </c>
      <c r="Q86" s="19" t="n">
        <v>0.6830000000000001</v>
      </c>
      <c r="R86" s="19" t="n">
        <v>0.695</v>
      </c>
    </row>
    <row r="87">
      <c r="C87" s="14" t="inlineStr">
        <is>
          <t>Gross Revenue [per bed night] (LCA)</t>
        </is>
      </c>
      <c r="G87" s="26" t="n">
        <v>339</v>
      </c>
      <c r="H87" s="26" t="n">
        <v>353</v>
      </c>
      <c r="I87" s="26" t="n">
        <v>378</v>
      </c>
      <c r="J87" s="26" t="n">
        <v>406</v>
      </c>
      <c r="K87" s="26" t="n">
        <v>435</v>
      </c>
      <c r="L87" s="26" t="n">
        <v>468</v>
      </c>
      <c r="M87" s="26" t="n">
        <v>501</v>
      </c>
      <c r="N87" s="8">
        <f>M87*(1+N88)</f>
        <v>528.555</v>
      </c>
      <c r="O87" s="8">
        <f>N87*(1+O88)</f>
        <v>563.968185</v>
      </c>
      <c r="P87" s="8">
        <f>O87*(1+P88)</f>
        <v>602.31802158</v>
      </c>
      <c r="Q87" s="8">
        <f>P87*(1+Q88)</f>
        <v>642.67332902586</v>
      </c>
      <c r="R87" s="8">
        <f>Q87*(1+R88)</f>
        <v>685.089768741567</v>
      </c>
    </row>
    <row r="88">
      <c r="C88" s="27" t="inlineStr">
        <is>
          <t>Growth (%)</t>
        </is>
      </c>
      <c r="G88" s="28" t="str">
        <f>IFERROR(G87/F87-1,"N/A")</f>
        <v>N/A</v>
      </c>
      <c r="H88" s="28">
        <f>IFERROR(H87/G87-1,"N/A")</f>
        <v>0.0412979351032448</v>
      </c>
      <c r="I88" s="28">
        <f>IFERROR(I87/H87-1,"N/A")</f>
        <v>0.0708215297450425</v>
      </c>
      <c r="J88" s="28">
        <f>IFERROR(J87/I87-1,"N/A")</f>
        <v>0.0740740740740742</v>
      </c>
      <c r="K88" s="28">
        <f>IFERROR(K87/J87-1,"N/A")</f>
        <v>0.0714285714285714</v>
      </c>
      <c r="L88" s="28">
        <f>IFERROR(L87/K87-1,"N/A")</f>
        <v>0.0758620689655172</v>
      </c>
      <c r="M88" s="28">
        <f>IFERROR(M87/L87-1,"N/A")</f>
        <v>0.0705128205128205</v>
      </c>
      <c r="N88" s="19" t="n">
        <v>0.055</v>
      </c>
      <c r="O88" s="19" t="n">
        <v>0.067</v>
      </c>
      <c r="P88" s="19" t="n">
        <v>0.068</v>
      </c>
      <c r="Q88" s="19" t="n">
        <v>0.067</v>
      </c>
      <c r="R88" s="19" t="n">
        <v>0.066</v>
      </c>
    </row>
    <row r="89">
      <c r="C89" s="29" t="inlineStr">
        <is>
          <t>Revenue</t>
        </is>
      </c>
      <c r="G89" s="30">
        <f>G85*G87</f>
        <v>7858698</v>
      </c>
      <c r="H89" s="30">
        <f>H85*H87</f>
        <v>6709824</v>
      </c>
      <c r="I89" s="30">
        <f>I85*I87</f>
        <v>7851816</v>
      </c>
      <c r="J89" s="30">
        <f>J85*J87</f>
        <v>9245432</v>
      </c>
      <c r="K89" s="30">
        <f>K85*K87</f>
        <v>9910605</v>
      </c>
      <c r="L89" s="30">
        <f>L85*L87</f>
        <v>10830924</v>
      </c>
      <c r="M89" s="30">
        <f>M85*M87</f>
        <v>11905263</v>
      </c>
      <c r="N89" s="30">
        <f>N85*N87</f>
        <v>12803547.1824</v>
      </c>
      <c r="O89" s="30">
        <f>O85*O87</f>
        <v>13914764.4697776</v>
      </c>
      <c r="P89" s="30">
        <f>P85*P87</f>
        <v>15131577.8944579</v>
      </c>
      <c r="Q89" s="30">
        <f>Q85*Q87</f>
        <v>16434133.8866514</v>
      </c>
      <c r="R89" s="30">
        <f>R85*R87</f>
        <v>17826583.8544706</v>
      </c>
    </row>
    <row r="91">
      <c r="C91" s="3" t="inlineStr">
        <is>
          <t>Radiotherapy:</t>
        </is>
      </c>
    </row>
    <row r="92">
      <c r="C92" s="14" t="inlineStr">
        <is>
          <t># of Sessions</t>
        </is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8">
        <f>M92*(1+N93)</f>
        <v>0</v>
      </c>
      <c r="O92" s="8">
        <f>N92*(1+O93)</f>
        <v>0</v>
      </c>
      <c r="P92" s="8">
        <f>O92*(1+P93)</f>
        <v>0</v>
      </c>
      <c r="Q92" s="8">
        <f>P92*(1+Q93)</f>
        <v>0</v>
      </c>
      <c r="R92" s="8">
        <f>Q92*(1+R93)</f>
        <v>0</v>
      </c>
    </row>
    <row r="93">
      <c r="C93" s="27" t="inlineStr">
        <is>
          <t>Growth (%)</t>
        </is>
      </c>
      <c r="G93" s="28" t="str">
        <f>IFERROR(G92/F92-1,"N/A")</f>
        <v>N/A</v>
      </c>
      <c r="H93" s="28" t="str">
        <f>IFERROR(H92/G92-1,"N/A")</f>
        <v>N/A</v>
      </c>
      <c r="I93" s="28" t="str">
        <f>IFERROR(I92/H92-1,"N/A")</f>
        <v>N/A</v>
      </c>
      <c r="J93" s="28" t="str">
        <f>IFERROR(J92/I92-1,"N/A")</f>
        <v>N/A</v>
      </c>
      <c r="K93" s="28" t="str">
        <f>IFERROR(K92/J92-1,"N/A")</f>
        <v>N/A</v>
      </c>
      <c r="L93" s="28" t="str">
        <f>IFERROR(L92/K92-1,"N/A")</f>
        <v>N/A</v>
      </c>
      <c r="M93" s="28" t="str">
        <f>IFERROR(M92/L92-1,"N/A")</f>
        <v>N/A</v>
      </c>
      <c r="N93" s="19" t="n">
        <v>0</v>
      </c>
      <c r="O93" s="19" t="n">
        <v>0</v>
      </c>
      <c r="P93" s="19" t="n">
        <v>0</v>
      </c>
      <c r="Q93" s="19" t="n">
        <v>0</v>
      </c>
      <c r="R93" s="19" t="n">
        <v>0</v>
      </c>
    </row>
    <row r="94">
      <c r="C94" s="14" t="inlineStr">
        <is>
          <t>Gross Revenue [per Session] (LCA)</t>
        </is>
      </c>
      <c r="G94" s="26" t="n">
        <v>902</v>
      </c>
      <c r="H94" s="26" t="n">
        <v>904</v>
      </c>
      <c r="I94" s="26" t="n">
        <v>967</v>
      </c>
      <c r="J94" s="26" t="n">
        <v>1044</v>
      </c>
      <c r="K94" s="26" t="n">
        <v>1104</v>
      </c>
      <c r="L94" s="26" t="n">
        <v>1170</v>
      </c>
      <c r="M94" s="26" t="n">
        <v>1303</v>
      </c>
      <c r="N94" s="8">
        <f>M94*(1+N95)</f>
        <v>1386.392</v>
      </c>
      <c r="O94" s="8">
        <f>N94*(1+O95)</f>
        <v>1462.64356</v>
      </c>
      <c r="P94" s="8">
        <f>O94*(1+P95)</f>
        <v>1528.4625202</v>
      </c>
      <c r="Q94" s="8">
        <f>P94*(1+Q95)</f>
        <v>1630.8695090534</v>
      </c>
      <c r="R94" s="8">
        <f>Q94*(1+R95)</f>
        <v>1725.4599405785</v>
      </c>
    </row>
    <row r="95">
      <c r="C95" s="27" t="inlineStr">
        <is>
          <t>Growth (%)</t>
        </is>
      </c>
      <c r="G95" s="28" t="str">
        <f>IFERROR(G94/F94-1,"N/A")</f>
        <v>N/A</v>
      </c>
      <c r="H95" s="28">
        <f>IFERROR(H94/G94-1,"N/A")</f>
        <v>0.00221729490022171</v>
      </c>
      <c r="I95" s="28">
        <f>IFERROR(I94/H94-1,"N/A")</f>
        <v>0.0696902654867257</v>
      </c>
      <c r="J95" s="28">
        <f>IFERROR(J94/I94-1,"N/A")</f>
        <v>0.079627714581179</v>
      </c>
      <c r="K95" s="28">
        <f>IFERROR(K94/J94-1,"N/A")</f>
        <v>0.0574712643678161</v>
      </c>
      <c r="L95" s="28">
        <f>IFERROR(L94/K94-1,"N/A")</f>
        <v>0.0597826086956521</v>
      </c>
      <c r="M95" s="28">
        <f>IFERROR(M94/L94-1,"N/A")</f>
        <v>0.113675213675214</v>
      </c>
      <c r="N95" s="19" t="n">
        <v>0.064</v>
      </c>
      <c r="O95" s="19" t="n">
        <v>0.055</v>
      </c>
      <c r="P95" s="19" t="n">
        <v>0.045</v>
      </c>
      <c r="Q95" s="19" t="n">
        <v>0.067</v>
      </c>
      <c r="R95" s="19" t="n">
        <v>0.058</v>
      </c>
    </row>
    <row r="96">
      <c r="C96" s="29" t="inlineStr">
        <is>
          <t>Revenue</t>
        </is>
      </c>
      <c r="G96" s="30">
        <f>G92*G94</f>
        <v>0</v>
      </c>
      <c r="H96" s="30">
        <f>H92*H94</f>
        <v>0</v>
      </c>
      <c r="I96" s="30">
        <f>I92*I94</f>
        <v>0</v>
      </c>
      <c r="J96" s="30">
        <f>J92*J94</f>
        <v>0</v>
      </c>
      <c r="K96" s="30">
        <f>K92*K94</f>
        <v>0</v>
      </c>
      <c r="L96" s="30">
        <f>L92*L94</f>
        <v>0</v>
      </c>
      <c r="M96" s="30">
        <f>M92*M94</f>
        <v>0</v>
      </c>
      <c r="N96" s="30">
        <f>N92*N94</f>
        <v>0</v>
      </c>
      <c r="O96" s="30">
        <f>O92*O94</f>
        <v>0</v>
      </c>
      <c r="P96" s="30">
        <f>P92*P94</f>
        <v>0</v>
      </c>
      <c r="Q96" s="30">
        <f>Q92*Q94</f>
        <v>0</v>
      </c>
      <c r="R96" s="30">
        <f>R92*R94</f>
        <v>0</v>
      </c>
    </row>
    <row r="98">
      <c r="C98" s="3" t="inlineStr">
        <is>
          <t>Nursing Fees:</t>
        </is>
      </c>
    </row>
    <row r="99">
      <c r="C99" s="14" t="inlineStr">
        <is>
          <t># of Visits</t>
        </is>
      </c>
      <c r="G99" s="26" t="n">
        <v>5452</v>
      </c>
      <c r="H99" s="26" t="n">
        <v>5154</v>
      </c>
      <c r="I99" s="26" t="n">
        <v>5686</v>
      </c>
      <c r="J99" s="26" t="n">
        <v>6351</v>
      </c>
      <c r="K99" s="26" t="n">
        <v>7041</v>
      </c>
      <c r="L99" s="26" t="n">
        <v>7473</v>
      </c>
      <c r="M99" s="26" t="n">
        <v>7836</v>
      </c>
      <c r="N99" s="8">
        <f>M99*(1+N100)</f>
        <v>8313.996</v>
      </c>
      <c r="O99" s="8">
        <f>N99*(1+O100)</f>
        <v>8970.801684</v>
      </c>
      <c r="P99" s="8">
        <f>O99*(1+P100)</f>
        <v>9446.254173252</v>
      </c>
      <c r="Q99" s="8">
        <f>P99*(1+Q100)</f>
        <v>10277.5245404982</v>
      </c>
      <c r="R99" s="8">
        <f>Q99*(1+R100)</f>
        <v>10976.396209252</v>
      </c>
    </row>
    <row r="100">
      <c r="C100" s="27" t="inlineStr">
        <is>
          <t>Growth (%)</t>
        </is>
      </c>
      <c r="G100" s="28" t="str">
        <f>IFERROR(G99/F99-1,"N/A")</f>
        <v>N/A</v>
      </c>
      <c r="H100" s="28">
        <f>IFERROR(H99/G99-1,"N/A")</f>
        <v>-0.0546588407923698</v>
      </c>
      <c r="I100" s="28">
        <f>IFERROR(I99/H99-1,"N/A")</f>
        <v>0.103220799379123</v>
      </c>
      <c r="J100" s="28">
        <f>IFERROR(J99/I99-1,"N/A")</f>
        <v>0.116953921913472</v>
      </c>
      <c r="K100" s="28">
        <f>IFERROR(K99/J99-1,"N/A")</f>
        <v>0.108644307982995</v>
      </c>
      <c r="L100" s="28">
        <f>IFERROR(L99/K99-1,"N/A")</f>
        <v>0.0613549211759694</v>
      </c>
      <c r="M100" s="28">
        <f>IFERROR(M99/L99-1,"N/A")</f>
        <v>0.0485748695303092</v>
      </c>
      <c r="N100" s="19" t="n">
        <v>0.061</v>
      </c>
      <c r="O100" s="19" t="n">
        <v>0.079</v>
      </c>
      <c r="P100" s="19" t="n">
        <v>0.053</v>
      </c>
      <c r="Q100" s="19" t="n">
        <v>0.08799999999999999</v>
      </c>
      <c r="R100" s="19" t="n">
        <v>0.068</v>
      </c>
    </row>
    <row r="101">
      <c r="C101" s="14" t="inlineStr">
        <is>
          <t>Gross Revenue [per Visit] (LCA)</t>
        </is>
      </c>
      <c r="G101" s="26" t="n">
        <v>77</v>
      </c>
      <c r="H101" s="26" t="n">
        <v>78</v>
      </c>
      <c r="I101" s="26" t="n">
        <v>85</v>
      </c>
      <c r="J101" s="26" t="n">
        <v>93</v>
      </c>
      <c r="K101" s="26" t="n">
        <v>104</v>
      </c>
      <c r="L101" s="26" t="n">
        <v>111</v>
      </c>
      <c r="M101" s="26" t="n">
        <v>119</v>
      </c>
      <c r="N101" s="8">
        <f>M101*(1+N102)</f>
        <v>125.783</v>
      </c>
      <c r="O101" s="8">
        <f>N101*(1+O102)</f>
        <v>134.084678</v>
      </c>
      <c r="P101" s="8">
        <f>O101*(1+P102)</f>
        <v>139.850319154</v>
      </c>
      <c r="Q101" s="8">
        <f>P101*(1+Q102)</f>
        <v>147.681937026624</v>
      </c>
      <c r="R101" s="8">
        <f>Q101*(1+R102)</f>
        <v>154.918351940929</v>
      </c>
    </row>
    <row r="102">
      <c r="C102" s="27" t="inlineStr">
        <is>
          <t>Growth (%)</t>
        </is>
      </c>
      <c r="G102" s="28" t="str">
        <f>IFERROR(G101/F101-1,"N/A")</f>
        <v>N/A</v>
      </c>
      <c r="H102" s="28">
        <f>IFERROR(H101/G101-1,"N/A")</f>
        <v>0.0129870129870129</v>
      </c>
      <c r="I102" s="28">
        <f>IFERROR(I101/H101-1,"N/A")</f>
        <v>0.0897435897435897</v>
      </c>
      <c r="J102" s="28">
        <f>IFERROR(J101/I101-1,"N/A")</f>
        <v>0.0941176470588236</v>
      </c>
      <c r="K102" s="28">
        <f>IFERROR(K101/J101-1,"N/A")</f>
        <v>0.118279569892473</v>
      </c>
      <c r="L102" s="28">
        <f>IFERROR(L101/K101-1,"N/A")</f>
        <v>0.0673076923076923</v>
      </c>
      <c r="M102" s="28">
        <f>IFERROR(M101/L101-1,"N/A")</f>
        <v>0.072072072072072</v>
      </c>
      <c r="N102" s="19" t="n">
        <v>0.057</v>
      </c>
      <c r="O102" s="19" t="n">
        <v>0.066</v>
      </c>
      <c r="P102" s="19" t="n">
        <v>0.043</v>
      </c>
      <c r="Q102" s="19" t="n">
        <v>0.056</v>
      </c>
      <c r="R102" s="19" t="n">
        <v>0.049</v>
      </c>
    </row>
    <row r="103">
      <c r="C103" s="29" t="inlineStr">
        <is>
          <t>Revenue</t>
        </is>
      </c>
      <c r="G103" s="30">
        <f>G99*G101</f>
        <v>419804</v>
      </c>
      <c r="H103" s="30">
        <f>H99*H101</f>
        <v>402012</v>
      </c>
      <c r="I103" s="30">
        <f>I99*I101</f>
        <v>483310</v>
      </c>
      <c r="J103" s="30">
        <f>J99*J101</f>
        <v>590643</v>
      </c>
      <c r="K103" s="30">
        <f>K99*K101</f>
        <v>732264</v>
      </c>
      <c r="L103" s="30">
        <f>L99*L101</f>
        <v>829503</v>
      </c>
      <c r="M103" s="30">
        <f>M99*M101</f>
        <v>932484</v>
      </c>
      <c r="N103" s="30">
        <f>N99*N101</f>
        <v>1045759.358868</v>
      </c>
      <c r="O103" s="30">
        <f>O99*O101</f>
        <v>1202847.055201</v>
      </c>
      <c r="P103" s="30">
        <f>P99*P101</f>
        <v>1321061.6609391</v>
      </c>
      <c r="Q103" s="30">
        <f>Q99*Q101</f>
        <v>1517804.73197943</v>
      </c>
      <c r="R103" s="30">
        <f>R99*R101</f>
        <v>1700445.21098798</v>
      </c>
    </row>
    <row r="105">
      <c r="C105" s="3" t="inlineStr">
        <is>
          <t>Pharmacy:</t>
        </is>
      </c>
    </row>
    <row r="106">
      <c r="C106" s="14" t="inlineStr">
        <is>
          <t>Gross Revenue (LCA)</t>
        </is>
      </c>
      <c r="G106" s="26" t="n">
        <v>1372000</v>
      </c>
      <c r="H106" s="26" t="n">
        <v>1335000</v>
      </c>
      <c r="I106" s="26" t="n">
        <v>1524000</v>
      </c>
      <c r="J106" s="26" t="n">
        <v>1693000</v>
      </c>
      <c r="K106" s="26" t="n">
        <v>1949000</v>
      </c>
      <c r="L106" s="26" t="n">
        <v>2140000</v>
      </c>
      <c r="M106" s="26" t="n">
        <v>2450000</v>
      </c>
      <c r="N106" s="8">
        <f>N108*(N17+N24+N31+N38+N45+N52+N59+N66+N73+N80+N89+N96+N103)</f>
        <v>3877660.11925201</v>
      </c>
      <c r="O106" s="8">
        <f>O108*(O17+O24+O31+O38+O45+O52+O59+O66+O73+O80+O89+O96+O103)</f>
        <v>3686421.5335817</v>
      </c>
      <c r="P106" s="8">
        <f>P108*(P17+P24+P31+P38+P45+P52+P59+P66+P73+P80+P89+P96+P103)</f>
        <v>4504697.70075256</v>
      </c>
      <c r="Q106" s="8">
        <f>Q108*(Q17+Q24+Q31+Q38+Q45+Q52+Q59+Q66+Q73+Q80+Q89+Q96+Q103)</f>
        <v>5256566.96670647</v>
      </c>
      <c r="R106" s="8">
        <f>R108*(R17+R24+R31+R38+R45+R52+R59+R66+R73+R80+R89+R96+R103)</f>
        <v>5184388.00187942</v>
      </c>
    </row>
    <row r="107">
      <c r="C107" s="27" t="inlineStr">
        <is>
          <t>Growth (%)</t>
        </is>
      </c>
      <c r="G107" s="28" t="str">
        <f>IFERROR(G106/F106-1,"N/A")</f>
        <v>N/A</v>
      </c>
      <c r="H107" s="28">
        <f>IFERROR(H106/G106-1,"N/A")</f>
        <v>-0.0269679300291545</v>
      </c>
      <c r="I107" s="28">
        <f>IFERROR(I106/H106-1,"N/A")</f>
        <v>0.141573033707865</v>
      </c>
      <c r="J107" s="28">
        <f>IFERROR(J106/I106-1,"N/A")</f>
        <v>0.110892388451444</v>
      </c>
      <c r="K107" s="28">
        <f>IFERROR(K106/J106-1,"N/A")</f>
        <v>0.151210868281158</v>
      </c>
      <c r="L107" s="28">
        <f>IFERROR(L106/K106-1,"N/A")</f>
        <v>0.0979989738327347</v>
      </c>
      <c r="M107" s="28">
        <f>IFERROR(M106/L106-1,"N/A")</f>
        <v>0.144859813084112</v>
      </c>
      <c r="N107" s="28">
        <f>IFERROR(N106/M106-1,"N/A")</f>
        <v>0.582718416021228</v>
      </c>
      <c r="O107" s="28">
        <f>IFERROR(O106/N106-1,"N/A")</f>
        <v>-0.0493180371123394</v>
      </c>
      <c r="P107" s="28">
        <f>IFERROR(P106/O106-1,"N/A")</f>
        <v>0.221970319920476</v>
      </c>
      <c r="Q107" s="28">
        <f>IFERROR(Q106/P106-1,"N/A")</f>
        <v>0.166907818437694</v>
      </c>
      <c r="R107" s="28">
        <f>IFERROR(R106/Q106-1,"N/A")</f>
        <v>-0.0137311985720365</v>
      </c>
    </row>
    <row r="108">
      <c r="C108" s="27" t="inlineStr">
        <is>
          <t>% of Other Hospital Revenue</t>
        </is>
      </c>
      <c r="G108" s="20">
        <f>IFERROR(G106/(G17+G24+G31+G38+G45+G52+G59+G66+G73+G80+G89+G96+G103),"N/A")</f>
        <v>0.0643724488546349</v>
      </c>
      <c r="H108" s="20">
        <f>IFERROR(H106/(H17+H24+H31+H38+H45+H52+H59+H66+H73+H80+H89+H96+H103),"N/A")</f>
        <v>0.0678213776945091</v>
      </c>
      <c r="I108" s="20">
        <f>IFERROR(I106/(I17+I24+I31+I38+I45+I52+I59+I66+I73+I80+I89+I96+I103),"N/A")</f>
        <v>0.0662297415866717</v>
      </c>
      <c r="J108" s="20">
        <f>IFERROR(J106/(J17+J24+J31+J38+J45+J52+J59+J66+J73+J80+J89+J96+J103),"N/A")</f>
        <v>0.0628427211128381</v>
      </c>
      <c r="K108" s="20">
        <f>IFERROR(K106/(K17+K24+K31+K38+K45+K52+K59+K66+K73+K80+K89+K96+K103),"N/A")</f>
        <v>0.0647081038682929</v>
      </c>
      <c r="L108" s="20">
        <f>IFERROR(L106/(L17+L24+L31+L38+L45+L52+L59+L66+L73+L80+L89+L96+L103),"N/A")</f>
        <v>0.0622899714601322</v>
      </c>
      <c r="M108" s="20">
        <f>IFERROR(M106/(M17+M24+M31+M38+M45+M52+M59+M66+M73+M80+M89+M96+M103),"N/A")</f>
        <v>0.0634305603002622</v>
      </c>
      <c r="N108" s="19" t="n">
        <v>0.091</v>
      </c>
      <c r="O108" s="19" t="n">
        <v>0.078</v>
      </c>
      <c r="P108" s="19" t="n">
        <v>0.08599999999999999</v>
      </c>
      <c r="Q108" s="19" t="n">
        <v>0.09</v>
      </c>
      <c r="R108" s="19" t="n">
        <v>0.079</v>
      </c>
    </row>
    <row r="109">
      <c r="C109" s="29" t="inlineStr">
        <is>
          <t>Revenue</t>
        </is>
      </c>
      <c r="G109" s="30">
        <f>G106</f>
        <v>1372000</v>
      </c>
      <c r="H109" s="30">
        <f>H106</f>
        <v>1335000</v>
      </c>
      <c r="I109" s="30">
        <f>I106</f>
        <v>1524000</v>
      </c>
      <c r="J109" s="30">
        <f>J106</f>
        <v>1693000</v>
      </c>
      <c r="K109" s="30">
        <f>K106</f>
        <v>1949000</v>
      </c>
      <c r="L109" s="30">
        <f>L106</f>
        <v>2140000</v>
      </c>
      <c r="M109" s="30">
        <f>M106</f>
        <v>2450000</v>
      </c>
      <c r="N109" s="30">
        <f>N106</f>
        <v>3877660.11925201</v>
      </c>
      <c r="O109" s="30">
        <f>O106</f>
        <v>3686421.5335817</v>
      </c>
      <c r="P109" s="30">
        <f>P106</f>
        <v>4504697.70075256</v>
      </c>
      <c r="Q109" s="30">
        <f>Q106</f>
        <v>5256566.96670647</v>
      </c>
      <c r="R109" s="30">
        <f>R106</f>
        <v>5184388.00187942</v>
      </c>
    </row>
    <row r="111">
      <c r="C111" s="3" t="inlineStr">
        <is>
          <t>Total Hospital Revenue (LCA)</t>
        </is>
      </c>
      <c r="G111" s="31">
        <f>G17+G24+G31+G38+G45+G52+G59+G66+G73+G80+G89+G96+G103+G109</f>
        <v>22685466</v>
      </c>
      <c r="H111" s="31">
        <f>H17+H24+H31+H38+H45+H52+H59+H66+H73+H80+H89+H96+H103+H109</f>
        <v>21019059</v>
      </c>
      <c r="I111" s="31">
        <f>I17+I24+I31+I38+I45+I52+I59+I66+I73+I80+I89+I96+I103+I109</f>
        <v>24534810</v>
      </c>
      <c r="J111" s="31">
        <f>J17+J24+J31+J38+J45+J52+J59+J66+J73+J80+J89+J96+J103+J109</f>
        <v>28633272</v>
      </c>
      <c r="K111" s="31">
        <f>K17+K24+K31+K38+K45+K52+K59+K66+K73+K80+K89+K96+K103+K109</f>
        <v>32068875</v>
      </c>
      <c r="L111" s="31">
        <f>L17+L24+L31+L38+L45+L52+L59+L66+L73+L80+L89+L96+L103+L109</f>
        <v>36495450</v>
      </c>
      <c r="M111" s="31">
        <f>M17+M24+M31+M38+M45+M52+M59+M66+M73+M80+M89+M96+M103+M109</f>
        <v>41074915</v>
      </c>
      <c r="N111" s="31">
        <f>N17+N24+N31+N38+N45+N52+N59+N66+N73+N80+N89+N96+N103+N109</f>
        <v>46489309.781362</v>
      </c>
      <c r="O111" s="31">
        <f>O17+O24+O31+O38+O45+O52+O59+O66+O73+O80+O89+O96+O103+O109</f>
        <v>50948236.0666804</v>
      </c>
      <c r="P111" s="31">
        <f>P17+P24+P31+P38+P45+P52+P59+P66+P73+P80+P89+P96+P103+P109</f>
        <v>56884903.5234568</v>
      </c>
      <c r="Q111" s="31">
        <f>Q17+Q24+Q31+Q38+Q45+Q52+Q59+Q66+Q73+Q80+Q89+Q96+Q103+Q109</f>
        <v>63662866.5967784</v>
      </c>
      <c r="R111" s="31">
        <f>R17+R24+R31+R38+R45+R52+R59+R66+R73+R80+R89+R96+R103+R109</f>
        <v>70809552.5826315</v>
      </c>
    </row>
    <row r="113">
      <c r="C113" s="25" t="inlineStr">
        <is>
          <t>B</t>
        </is>
      </c>
      <c r="D113" s="25" t="inlineStr">
        <is>
          <t>Cost Assumptions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C114" s="3" t="inlineStr">
        <is>
          <t>Expenses:</t>
        </is>
      </c>
    </row>
    <row r="115">
      <c r="C115" s="27" t="inlineStr">
        <is>
          <t>COGS – % of Sales (%)</t>
        </is>
      </c>
      <c r="G115" s="20">
        <f>IFERROR(G116/G111,"N/A")</f>
        <v>0.308699852143218</v>
      </c>
      <c r="H115" s="20">
        <f>IFERROR(H116/H111,"N/A")</f>
        <v>0.285930973408467</v>
      </c>
      <c r="I115" s="20">
        <f>IFERROR(I116/I111,"N/A")</f>
        <v>0.288814137953381</v>
      </c>
      <c r="J115" s="20">
        <f>IFERROR(J116/J111,"N/A")</f>
        <v>0.307858633829903</v>
      </c>
      <c r="K115" s="20">
        <f>IFERROR(K116/K111,"N/A")</f>
        <v>0.2943352393871</v>
      </c>
      <c r="L115" s="20">
        <f>IFERROR(L116/L111,"N/A")</f>
        <v>0.302969274251996</v>
      </c>
      <c r="M115" s="20">
        <f>IFERROR(M116/M111,"N/A")</f>
        <v>0.292611682823933</v>
      </c>
      <c r="N115" s="19" t="n">
        <v>0.2934</v>
      </c>
      <c r="O115" s="19" t="n">
        <v>0.2929</v>
      </c>
      <c r="P115" s="19" t="n">
        <v>0.2933</v>
      </c>
      <c r="Q115" s="19" t="n">
        <v>0.2937</v>
      </c>
      <c r="R115" s="19" t="n">
        <v>0.2897</v>
      </c>
    </row>
    <row r="116">
      <c r="C116" s="14" t="inlineStr">
        <is>
          <t>COGS (LCA)</t>
        </is>
      </c>
      <c r="G116" s="26" t="n">
        <v>7003000</v>
      </c>
      <c r="H116" s="26" t="n">
        <v>6010000</v>
      </c>
      <c r="I116" s="26" t="n">
        <v>7086000</v>
      </c>
      <c r="J116" s="26" t="n">
        <v>8815000</v>
      </c>
      <c r="K116" s="26" t="n">
        <v>9439000</v>
      </c>
      <c r="L116" s="26" t="n">
        <v>11057000</v>
      </c>
      <c r="M116" s="26" t="n">
        <v>12019000</v>
      </c>
      <c r="N116" s="8">
        <f>N115*N111</f>
        <v>13639963.4898516</v>
      </c>
      <c r="O116" s="8">
        <f>O115*O111</f>
        <v>14922738.3439307</v>
      </c>
      <c r="P116" s="8">
        <f>P115*P111</f>
        <v>16684342.2034299</v>
      </c>
      <c r="Q116" s="8">
        <f>Q115*Q111</f>
        <v>18697783.9194738</v>
      </c>
      <c r="R116" s="8">
        <f>R115*R111</f>
        <v>20513527.3831883</v>
      </c>
    </row>
    <row r="117">
      <c r="C117" s="27" t="inlineStr">
        <is>
          <t>Payroll – % of Sales (%)</t>
        </is>
      </c>
      <c r="G117" s="20">
        <f>IFERROR(G118/G111,"N/A")</f>
        <v>0.331093044330674</v>
      </c>
      <c r="H117" s="20">
        <f>IFERROR(H118/H111,"N/A")</f>
        <v>0.348017482609474</v>
      </c>
      <c r="I117" s="20">
        <f>IFERROR(I118/I111,"N/A")</f>
        <v>0.325048370050553</v>
      </c>
      <c r="J117" s="20">
        <f>IFERROR(J118/J111,"N/A")</f>
        <v>0.335239367683861</v>
      </c>
      <c r="K117" s="20">
        <f>IFERROR(K118/K111,"N/A")</f>
        <v>0.326079415009102</v>
      </c>
      <c r="L117" s="20">
        <f>IFERROR(L118/L111,"N/A")</f>
        <v>0.348317392990085</v>
      </c>
      <c r="M117" s="20">
        <f>IFERROR(M118/M111,"N/A")</f>
        <v>0.324285515867775</v>
      </c>
      <c r="N117" s="19" t="n">
        <v>0.3281</v>
      </c>
      <c r="O117" s="19" t="n">
        <v>0.3346</v>
      </c>
      <c r="P117" s="19" t="n">
        <v>0.3313</v>
      </c>
      <c r="Q117" s="19" t="n">
        <v>0.323</v>
      </c>
      <c r="R117" s="19" t="n">
        <v>0.3323</v>
      </c>
    </row>
    <row r="118">
      <c r="C118" s="14" t="inlineStr">
        <is>
          <t>Payroll (LCA)</t>
        </is>
      </c>
      <c r="G118" s="26" t="n">
        <v>7511000</v>
      </c>
      <c r="H118" s="26" t="n">
        <v>7315000</v>
      </c>
      <c r="I118" s="26" t="n">
        <v>7975000</v>
      </c>
      <c r="J118" s="26" t="n">
        <v>9599000</v>
      </c>
      <c r="K118" s="26" t="n">
        <v>10457000</v>
      </c>
      <c r="L118" s="26" t="n">
        <v>12712000</v>
      </c>
      <c r="M118" s="26" t="n">
        <v>13320000</v>
      </c>
      <c r="N118" s="8">
        <f>N117*N111</f>
        <v>15253142.5392649</v>
      </c>
      <c r="O118" s="8">
        <f>O117*O111</f>
        <v>17047279.7879113</v>
      </c>
      <c r="P118" s="8">
        <f>P117*P111</f>
        <v>18845968.5373212</v>
      </c>
      <c r="Q118" s="8">
        <f>Q117*Q111</f>
        <v>20563105.9107594</v>
      </c>
      <c r="R118" s="8">
        <f>R117*R111</f>
        <v>23530014.3232084</v>
      </c>
    </row>
    <row r="119">
      <c r="C119" s="27" t="inlineStr">
        <is>
          <t>OPEX – % of Sales (%)</t>
        </is>
      </c>
      <c r="G119" s="20">
        <f>IFERROR(G120/G111,"N/A")</f>
        <v>0.141191721607129</v>
      </c>
      <c r="H119" s="20">
        <f>IFERROR(H120/H111,"N/A")</f>
        <v>0.14125275541593</v>
      </c>
      <c r="I119" s="20">
        <f>IFERROR(I120/I111,"N/A")</f>
        <v>0.141146395672108</v>
      </c>
      <c r="J119" s="20">
        <f>IFERROR(J120/J111,"N/A")</f>
        <v>0.137148140107774</v>
      </c>
      <c r="K119" s="20">
        <f>IFERROR(K120/K111,"N/A")</f>
        <v>0.139668136160062</v>
      </c>
      <c r="L119" s="20">
        <f>IFERROR(L120/L111,"N/A")</f>
        <v>0.139962652878647</v>
      </c>
      <c r="M119" s="20">
        <f>IFERROR(M120/M111,"N/A")</f>
        <v>0.141546245439583</v>
      </c>
      <c r="N119" s="19" t="n">
        <v>0.1418</v>
      </c>
      <c r="O119" s="19" t="n">
        <v>0.1431</v>
      </c>
      <c r="P119" s="19" t="n">
        <v>0.1406</v>
      </c>
      <c r="Q119" s="19" t="n">
        <v>0.1398</v>
      </c>
      <c r="R119" s="19" t="n">
        <v>0.1385</v>
      </c>
    </row>
    <row r="120">
      <c r="C120" s="14" t="inlineStr">
        <is>
          <t>OPEX (LCA)</t>
        </is>
      </c>
      <c r="G120" s="26" t="n">
        <v>3203000</v>
      </c>
      <c r="H120" s="26" t="n">
        <v>2969000</v>
      </c>
      <c r="I120" s="26" t="n">
        <v>3463000</v>
      </c>
      <c r="J120" s="26" t="n">
        <v>3927000</v>
      </c>
      <c r="K120" s="26" t="n">
        <v>4479000</v>
      </c>
      <c r="L120" s="26" t="n">
        <v>5108000</v>
      </c>
      <c r="M120" s="26" t="n">
        <v>5814000</v>
      </c>
      <c r="N120" s="8">
        <f>N119*N111</f>
        <v>6592184.12699713</v>
      </c>
      <c r="O120" s="8">
        <f>O119*O111</f>
        <v>7290692.58114197</v>
      </c>
      <c r="P120" s="8">
        <f>P119*P111</f>
        <v>7998017.43539803</v>
      </c>
      <c r="Q120" s="8">
        <f>Q119*Q111</f>
        <v>8900068.75022961</v>
      </c>
      <c r="R120" s="8">
        <f>R119*R111</f>
        <v>9807123.03269446</v>
      </c>
    </row>
    <row r="121">
      <c r="C121" s="27" t="inlineStr">
        <is>
          <t>Provision – % of Sales (%)</t>
        </is>
      </c>
      <c r="G121" s="20">
        <f>IFERROR(G122/G111,"N/A")</f>
        <v>0.0134447315298703</v>
      </c>
      <c r="H121" s="20">
        <f>IFERROR(H122/H111,"N/A")</f>
        <v>0.0138921537829072</v>
      </c>
      <c r="I121" s="20">
        <f>IFERROR(I122/I111,"N/A")</f>
        <v>0.0136133110466313</v>
      </c>
      <c r="J121" s="20">
        <f>IFERROR(J122/J111,"N/A")</f>
        <v>0.0142840818192207</v>
      </c>
      <c r="K121" s="20">
        <f>IFERROR(K122/K111,"N/A")</f>
        <v>0.0132527255789297</v>
      </c>
      <c r="L121" s="20">
        <f>IFERROR(L122/L111,"N/A")</f>
        <v>0.0136455366353888</v>
      </c>
      <c r="M121" s="20">
        <f>IFERROR(M122/M111,"N/A")</f>
        <v>0.0146318014291691</v>
      </c>
      <c r="N121" s="19" t="n">
        <v>0.0139</v>
      </c>
      <c r="O121" s="19" t="n">
        <v>0.0137</v>
      </c>
      <c r="P121" s="19" t="n">
        <v>0.0136</v>
      </c>
      <c r="Q121" s="19" t="n">
        <v>0.014</v>
      </c>
      <c r="R121" s="19" t="n">
        <v>0.0141</v>
      </c>
    </row>
    <row r="122">
      <c r="C122" s="14" t="inlineStr">
        <is>
          <t>Provision (LCA)</t>
        </is>
      </c>
      <c r="G122" s="26" t="n">
        <v>305000</v>
      </c>
      <c r="H122" s="26" t="n">
        <v>292000</v>
      </c>
      <c r="I122" s="26" t="n">
        <v>334000</v>
      </c>
      <c r="J122" s="26" t="n">
        <v>409000</v>
      </c>
      <c r="K122" s="26" t="n">
        <v>425000</v>
      </c>
      <c r="L122" s="26" t="n">
        <v>498000</v>
      </c>
      <c r="M122" s="26" t="n">
        <v>601000</v>
      </c>
      <c r="N122" s="8">
        <f>N121*N111</f>
        <v>646201.405960932</v>
      </c>
      <c r="O122" s="8">
        <f>O121*O111</f>
        <v>697990.834113522</v>
      </c>
      <c r="P122" s="8">
        <f>P121*P111</f>
        <v>773634.687919012</v>
      </c>
      <c r="Q122" s="8">
        <f>Q121*Q111</f>
        <v>891280.132354897</v>
      </c>
      <c r="R122" s="8">
        <f>R121*R111</f>
        <v>998414.691415104</v>
      </c>
    </row>
    <row r="123">
      <c r="C123" s="27" t="inlineStr">
        <is>
          <t>Depreciation &amp; Amortization – % of Sales (%)</t>
        </is>
      </c>
      <c r="G123" s="20">
        <f>IFERROR(G124/G111,"N/A")</f>
        <v>0.0484451145945162</v>
      </c>
      <c r="H123" s="20">
        <f>IFERROR(H124/H111,"N/A")</f>
        <v>0.0428658580767103</v>
      </c>
      <c r="I123" s="20">
        <f>IFERROR(I124/I111,"N/A")</f>
        <v>0.0472390045001367</v>
      </c>
      <c r="J123" s="20">
        <f>IFERROR(J124/J111,"N/A")</f>
        <v>0.047147947325056</v>
      </c>
      <c r="K123" s="20">
        <f>IFERROR(K124/K111,"N/A")</f>
        <v>0.0465248625029721</v>
      </c>
      <c r="L123" s="20">
        <f>IFERROR(L124/L111,"N/A")</f>
        <v>0.0467729538887724</v>
      </c>
      <c r="M123" s="20">
        <f>IFERROR(M124/M111,"N/A")</f>
        <v>0.0486428273801662</v>
      </c>
      <c r="N123" s="19" t="n">
        <v>0.0462</v>
      </c>
      <c r="O123" s="19" t="n">
        <v>0.045</v>
      </c>
      <c r="P123" s="19" t="n">
        <v>0.0457</v>
      </c>
      <c r="Q123" s="19" t="n">
        <v>0.0464</v>
      </c>
      <c r="R123" s="19" t="n">
        <v>0.0467</v>
      </c>
    </row>
    <row r="124">
      <c r="C124" s="14" t="inlineStr">
        <is>
          <t>Depreciation &amp; Amortization (LCA)</t>
        </is>
      </c>
      <c r="G124" s="26" t="n">
        <v>1099000</v>
      </c>
      <c r="H124" s="26" t="n">
        <v>901000</v>
      </c>
      <c r="I124" s="26" t="n">
        <v>1159000</v>
      </c>
      <c r="J124" s="26" t="n">
        <v>1350000</v>
      </c>
      <c r="K124" s="26" t="n">
        <v>1492000</v>
      </c>
      <c r="L124" s="26" t="n">
        <v>1707000</v>
      </c>
      <c r="M124" s="26" t="n">
        <v>1998000</v>
      </c>
      <c r="N124" s="8">
        <f>N123*N111</f>
        <v>2147806.11189892</v>
      </c>
      <c r="O124" s="8">
        <f>O123*O111</f>
        <v>2292670.62300062</v>
      </c>
      <c r="P124" s="8">
        <f>P123*P111</f>
        <v>2599640.09102198</v>
      </c>
      <c r="Q124" s="8">
        <f>Q123*Q111</f>
        <v>2953957.01009052</v>
      </c>
      <c r="R124" s="8">
        <f>R123*R111</f>
        <v>3306806.10560889</v>
      </c>
    </row>
    <row r="125">
      <c r="C125" s="27" t="inlineStr">
        <is>
          <t>Goodwill, Trademark &amp; PPA Amortization – % of Sales (%)</t>
        </is>
      </c>
      <c r="G125" s="20">
        <f>IFERROR(G126/G111,"N/A")</f>
        <v>0</v>
      </c>
      <c r="H125" s="20">
        <f>IFERROR(H126/H111,"N/A")</f>
        <v>0</v>
      </c>
      <c r="I125" s="20">
        <f>IFERROR(I126/I111,"N/A")</f>
        <v>0</v>
      </c>
      <c r="J125" s="20">
        <f>IFERROR(J126/J111,"N/A")</f>
        <v>0</v>
      </c>
      <c r="K125" s="20">
        <f>IFERROR(K126/K111,"N/A")</f>
        <v>0</v>
      </c>
      <c r="L125" s="20">
        <f>IFERROR(L126/L111,"N/A")</f>
        <v>0</v>
      </c>
      <c r="M125" s="20">
        <f>IFERROR(M126/M111,"N/A")</f>
        <v>0</v>
      </c>
      <c r="N125" s="19" t="n">
        <v>0</v>
      </c>
      <c r="O125" s="19" t="n">
        <v>0</v>
      </c>
      <c r="P125" s="19" t="n">
        <v>0</v>
      </c>
      <c r="Q125" s="19" t="n">
        <v>0</v>
      </c>
      <c r="R125" s="19" t="n">
        <v>0</v>
      </c>
    </row>
    <row r="126">
      <c r="C126" s="14" t="inlineStr">
        <is>
          <t>Goodwill, Trademark &amp; PPA Amortization (LCA)</t>
        </is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8">
        <f>N125*N111</f>
        <v>0</v>
      </c>
      <c r="O126" s="8">
        <f>O125*O111</f>
        <v>0</v>
      </c>
      <c r="P126" s="8">
        <f>P125*P111</f>
        <v>0</v>
      </c>
      <c r="Q126" s="8">
        <f>Q125*Q111</f>
        <v>0</v>
      </c>
      <c r="R126" s="8">
        <f>R125*R111</f>
        <v>0</v>
      </c>
    </row>
    <row r="128">
      <c r="C128" s="12" t="inlineStr">
        <is>
          <t>Financial Statements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>
      <c r="C129" s="25" t="inlineStr">
        <is>
          <t>A</t>
        </is>
      </c>
      <c r="D129" s="25" t="inlineStr">
        <is>
          <t>Income Statement</t>
        </is>
      </c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</row>
    <row r="130">
      <c r="E130" s="10" t="str">
        <f>"("&amp;Control!$E$18&amp;" in Actual)"</f>
        <v>(USD in Actual)</v>
      </c>
    </row>
    <row r="131">
      <c r="C131" s="3" t="inlineStr">
        <is>
          <t>Revenue:</t>
        </is>
      </c>
    </row>
    <row r="132">
      <c r="C132" s="14" t="inlineStr">
        <is>
          <t>Laboratory</t>
        </is>
      </c>
      <c r="G132" s="32">
        <f>G17*Control!$E$17</f>
        <v>551439.72</v>
      </c>
      <c r="H132" s="32">
        <f>H17*Control!$E$17</f>
        <v>535219.55</v>
      </c>
      <c r="I132" s="32">
        <f>I17*Control!$E$17</f>
        <v>627050.97</v>
      </c>
      <c r="J132" s="32">
        <f>J17*Control!$E$17</f>
        <v>748938.42</v>
      </c>
      <c r="K132" s="32">
        <f>K17*Control!$E$17</f>
        <v>862254.48</v>
      </c>
      <c r="L132" s="32">
        <f>L17*Control!$E$17</f>
        <v>1006463.64</v>
      </c>
      <c r="M132" s="32">
        <f>M17*Control!$E$17</f>
        <v>1166003.025</v>
      </c>
      <c r="N132" s="32">
        <f>N17*Control!$E$17</f>
        <v>1294102.44933255</v>
      </c>
      <c r="O132" s="32">
        <f>O17*Control!$E$17</f>
        <v>1484231.98118849</v>
      </c>
      <c r="P132" s="32">
        <f>P17*Control!$E$17</f>
        <v>1619264.43837305</v>
      </c>
      <c r="Q132" s="32">
        <f>Q17*Control!$E$17</f>
        <v>1839128.16381535</v>
      </c>
      <c r="R132" s="32">
        <f>R17*Control!$E$17</f>
        <v>2056605.06918651</v>
      </c>
    </row>
    <row r="133">
      <c r="C133" s="14" t="inlineStr">
        <is>
          <t>Radiology</t>
        </is>
      </c>
      <c r="G133" s="32">
        <f>G24*Control!$E$17</f>
        <v>458022.52</v>
      </c>
      <c r="H133" s="32">
        <f>H24*Control!$E$17</f>
        <v>431967.6</v>
      </c>
      <c r="I133" s="32">
        <f>I24*Control!$E$17</f>
        <v>509362.5</v>
      </c>
      <c r="J133" s="32">
        <f>J24*Control!$E$17</f>
        <v>571926.55</v>
      </c>
      <c r="K133" s="32">
        <f>K24*Control!$E$17</f>
        <v>636141.005</v>
      </c>
      <c r="L133" s="32">
        <f>L24*Control!$E$17</f>
        <v>723885.305</v>
      </c>
      <c r="M133" s="32">
        <f>M24*Control!$E$17</f>
        <v>838241.24</v>
      </c>
      <c r="N133" s="32">
        <f>N24*Control!$E$17</f>
        <v>934711.90958788</v>
      </c>
      <c r="O133" s="32">
        <f>O24*Control!$E$17</f>
        <v>1037390.01285611</v>
      </c>
      <c r="P133" s="32">
        <f>P24*Control!$E$17</f>
        <v>1143718.33961381</v>
      </c>
      <c r="Q133" s="32">
        <f>Q24*Control!$E$17</f>
        <v>1282640.087735</v>
      </c>
      <c r="R133" s="32">
        <f>R24*Control!$E$17</f>
        <v>1463941.26413634</v>
      </c>
    </row>
    <row r="134">
      <c r="C134" s="14" t="inlineStr">
        <is>
          <t>Endoscopy</t>
        </is>
      </c>
      <c r="G134" s="32">
        <f>G31*Control!$E$17</f>
        <v>0</v>
      </c>
      <c r="H134" s="32">
        <f>H31*Control!$E$17</f>
        <v>0</v>
      </c>
      <c r="I134" s="32">
        <f>I31*Control!$E$17</f>
        <v>0</v>
      </c>
      <c r="J134" s="32">
        <f>J31*Control!$E$17</f>
        <v>0</v>
      </c>
      <c r="K134" s="32">
        <f>K31*Control!$E$17</f>
        <v>0</v>
      </c>
      <c r="L134" s="32">
        <f>L31*Control!$E$17</f>
        <v>0</v>
      </c>
      <c r="M134" s="32">
        <f>M31*Control!$E$17</f>
        <v>0</v>
      </c>
      <c r="N134" s="32">
        <f>N31*Control!$E$17</f>
        <v>0</v>
      </c>
      <c r="O134" s="32">
        <f>O31*Control!$E$17</f>
        <v>0</v>
      </c>
      <c r="P134" s="32">
        <f>P31*Control!$E$17</f>
        <v>0</v>
      </c>
      <c r="Q134" s="32">
        <f>Q31*Control!$E$17</f>
        <v>0</v>
      </c>
      <c r="R134" s="32">
        <f>R31*Control!$E$17</f>
        <v>0</v>
      </c>
    </row>
    <row r="135">
      <c r="C135" s="14" t="inlineStr">
        <is>
          <t>Physiotherapy</t>
        </is>
      </c>
      <c r="G135" s="32">
        <f>G38*Control!$E$17</f>
        <v>81482.96</v>
      </c>
      <c r="H135" s="32">
        <f>H38*Control!$E$17</f>
        <v>74493.12</v>
      </c>
      <c r="I135" s="32">
        <f>I38*Control!$E$17</f>
        <v>84964.955</v>
      </c>
      <c r="J135" s="32">
        <f>J38*Control!$E$17</f>
        <v>102501.36</v>
      </c>
      <c r="K135" s="32">
        <f>K38*Control!$E$17</f>
        <v>120502.125</v>
      </c>
      <c r="L135" s="32">
        <f>L38*Control!$E$17</f>
        <v>141816.39</v>
      </c>
      <c r="M135" s="32">
        <f>M38*Control!$E$17</f>
        <v>165706.255</v>
      </c>
      <c r="N135" s="32">
        <f>N38*Control!$E$17</f>
        <v>189530.50610637</v>
      </c>
      <c r="O135" s="32">
        <f>O38*Control!$E$17</f>
        <v>218394.485942321</v>
      </c>
      <c r="P135" s="32">
        <f>P38*Control!$E$17</f>
        <v>242575.123425855</v>
      </c>
      <c r="Q135" s="32">
        <f>Q38*Control!$E$17</f>
        <v>276335.758803772</v>
      </c>
      <c r="R135" s="32">
        <f>R38*Control!$E$17</f>
        <v>313409.240540645</v>
      </c>
    </row>
    <row r="136">
      <c r="C136" s="14" t="inlineStr">
        <is>
          <t>IVF</t>
        </is>
      </c>
      <c r="G136" s="32">
        <f>G45*Control!$E$17</f>
        <v>139308</v>
      </c>
      <c r="H136" s="32">
        <f>H45*Control!$E$17</f>
        <v>131344.32</v>
      </c>
      <c r="I136" s="32">
        <f>I45*Control!$E$17</f>
        <v>155723.22</v>
      </c>
      <c r="J136" s="32">
        <f>J45*Control!$E$17</f>
        <v>173396.16</v>
      </c>
      <c r="K136" s="32">
        <f>K45*Control!$E$17</f>
        <v>208475.08</v>
      </c>
      <c r="L136" s="32">
        <f>L45*Control!$E$17</f>
        <v>242398.035</v>
      </c>
      <c r="M136" s="32">
        <f>M45*Control!$E$17</f>
        <v>266743.095</v>
      </c>
      <c r="N136" s="32">
        <f>N45*Control!$E$17</f>
        <v>302180.98214313</v>
      </c>
      <c r="O136" s="32">
        <f>O45*Control!$E$17</f>
        <v>337264.798531912</v>
      </c>
      <c r="P136" s="32">
        <f>P45*Control!$E$17</f>
        <v>383551.019482431</v>
      </c>
      <c r="Q136" s="32">
        <f>Q45*Control!$E$17</f>
        <v>428490.925333149</v>
      </c>
      <c r="R136" s="32">
        <f>R45*Control!$E$17</f>
        <v>496519.00162089</v>
      </c>
    </row>
    <row r="137">
      <c r="C137" s="14" t="inlineStr">
        <is>
          <t>Anapath</t>
        </is>
      </c>
      <c r="G137" s="32">
        <f>G52*Control!$E$17</f>
        <v>131113.08</v>
      </c>
      <c r="H137" s="32">
        <f>H52*Control!$E$17</f>
        <v>123492.5</v>
      </c>
      <c r="I137" s="32">
        <f>I52*Control!$E$17</f>
        <v>143750.675</v>
      </c>
      <c r="J137" s="32">
        <f>J52*Control!$E$17</f>
        <v>164080.29</v>
      </c>
      <c r="K137" s="32">
        <f>K52*Control!$E$17</f>
        <v>192201.8</v>
      </c>
      <c r="L137" s="32">
        <f>L52*Control!$E$17</f>
        <v>224411.84</v>
      </c>
      <c r="M137" s="32">
        <f>M52*Control!$E$17</f>
        <v>251981.1</v>
      </c>
      <c r="N137" s="32">
        <f>N52*Control!$E$17</f>
        <v>288223.541613</v>
      </c>
      <c r="O137" s="32">
        <f>O52*Control!$E$17</f>
        <v>324440.847181465</v>
      </c>
      <c r="P137" s="32">
        <f>P52*Control!$E$17</f>
        <v>365209.110715746</v>
      </c>
      <c r="Q137" s="32">
        <f>Q52*Control!$E$17</f>
        <v>412671.686744364</v>
      </c>
      <c r="R137" s="32">
        <f>R52*Control!$E$17</f>
        <v>472863.978972897</v>
      </c>
    </row>
    <row r="138">
      <c r="C138" s="14" t="inlineStr">
        <is>
          <t>Surgery</t>
        </is>
      </c>
      <c r="G138" s="32">
        <f>G59*Control!$E$17</f>
        <v>1158774.66</v>
      </c>
      <c r="H138" s="32">
        <f>H59*Control!$E$17</f>
        <v>1123098.37</v>
      </c>
      <c r="I138" s="32">
        <f>I59*Control!$E$17</f>
        <v>1319207.985</v>
      </c>
      <c r="J138" s="32">
        <f>J59*Control!$E$17</f>
        <v>1549950.96</v>
      </c>
      <c r="K138" s="32">
        <f>K59*Control!$E$17</f>
        <v>1731778.92</v>
      </c>
      <c r="L138" s="32">
        <f>L59*Control!$E$17</f>
        <v>2041712.195</v>
      </c>
      <c r="M138" s="32">
        <f>M59*Control!$E$17</f>
        <v>2275593.36</v>
      </c>
      <c r="N138" s="32">
        <f>N59*Control!$E$17</f>
        <v>2487378.28282848</v>
      </c>
      <c r="O138" s="32">
        <f>O59*Control!$E$17</f>
        <v>2742294.75876587</v>
      </c>
      <c r="P138" s="32">
        <f>P59*Control!$E$17</f>
        <v>3109984.38231596</v>
      </c>
      <c r="Q138" s="32">
        <f>Q59*Control!$E$17</f>
        <v>3517429.65621194</v>
      </c>
      <c r="R138" s="32">
        <f>R59*Control!$E$17</f>
        <v>4045796.83459016</v>
      </c>
    </row>
    <row r="139">
      <c r="C139" s="14" t="inlineStr">
        <is>
          <t>Cardiac Cath</t>
        </is>
      </c>
      <c r="G139" s="32">
        <f>G66*Control!$E$17</f>
        <v>0</v>
      </c>
      <c r="H139" s="32">
        <f>H66*Control!$E$17</f>
        <v>0</v>
      </c>
      <c r="I139" s="32">
        <f>I66*Control!$E$17</f>
        <v>0</v>
      </c>
      <c r="J139" s="32">
        <f>J66*Control!$E$17</f>
        <v>0</v>
      </c>
      <c r="K139" s="32">
        <f>K66*Control!$E$17</f>
        <v>0</v>
      </c>
      <c r="L139" s="32">
        <f>L66*Control!$E$17</f>
        <v>0</v>
      </c>
      <c r="M139" s="32">
        <f>M66*Control!$E$17</f>
        <v>0</v>
      </c>
      <c r="N139" s="32">
        <f>N66*Control!$E$17</f>
        <v>0</v>
      </c>
      <c r="O139" s="32">
        <f>O66*Control!$E$17</f>
        <v>0</v>
      </c>
      <c r="P139" s="32">
        <f>P66*Control!$E$17</f>
        <v>0</v>
      </c>
      <c r="Q139" s="32">
        <f>Q66*Control!$E$17</f>
        <v>0</v>
      </c>
      <c r="R139" s="32">
        <f>R66*Control!$E$17</f>
        <v>0</v>
      </c>
    </row>
    <row r="140">
      <c r="C140" s="14" t="inlineStr">
        <is>
          <t>Heart Test</t>
        </is>
      </c>
      <c r="G140" s="32">
        <f>G73*Control!$E$17</f>
        <v>153159.84</v>
      </c>
      <c r="H140" s="32">
        <f>H73*Control!$E$17</f>
        <v>154718.125</v>
      </c>
      <c r="I140" s="32">
        <f>I73*Control!$E$17</f>
        <v>185083.415</v>
      </c>
      <c r="J140" s="32">
        <f>J73*Control!$E$17</f>
        <v>205829.92</v>
      </c>
      <c r="K140" s="32">
        <f>K73*Control!$E$17</f>
        <v>243807.8</v>
      </c>
      <c r="L140" s="32">
        <f>L73*Control!$E$17</f>
        <v>275035.54</v>
      </c>
      <c r="M140" s="32">
        <f>M73*Control!$E$17</f>
        <v>303750.425</v>
      </c>
      <c r="N140" s="32">
        <f>N73*Control!$E$17</f>
        <v>345338.7181893</v>
      </c>
      <c r="O140" s="32">
        <f>O73*Control!$E$17</f>
        <v>386531.756511074</v>
      </c>
      <c r="P140" s="32">
        <f>P73*Control!$E$17</f>
        <v>432239.136718509</v>
      </c>
      <c r="Q140" s="32">
        <f>Q73*Control!$E$17</f>
        <v>477900.879121452</v>
      </c>
      <c r="R140" s="32">
        <f>R73*Control!$E$17</f>
        <v>536938.8421246</v>
      </c>
    </row>
    <row r="141">
      <c r="C141" s="14" t="inlineStr">
        <is>
          <t>Emergency</t>
        </is>
      </c>
      <c r="G141" s="32">
        <f>G80*Control!$E$17</f>
        <v>389915.76</v>
      </c>
      <c r="H141" s="32">
        <f>H80*Control!$E$17</f>
        <v>380138.82</v>
      </c>
      <c r="I141" s="32">
        <f>I80*Control!$E$17</f>
        <v>423642.02</v>
      </c>
      <c r="J141" s="32">
        <f>J80*Control!$E$17</f>
        <v>502862.635</v>
      </c>
      <c r="K141" s="32">
        <f>K80*Control!$E$17</f>
        <v>581935.2</v>
      </c>
      <c r="L141" s="32">
        <f>L80*Control!$E$17</f>
        <v>677607.46</v>
      </c>
      <c r="M141" s="32">
        <f>M80*Control!$E$17</f>
        <v>791965.98</v>
      </c>
      <c r="N141" s="32">
        <f>N80*Control!$E$17</f>
        <v>917684.24359716</v>
      </c>
      <c r="O141" s="32">
        <f>O80*Control!$E$17</f>
        <v>1023339.06593099</v>
      </c>
      <c r="P141" s="32">
        <f>P80*Control!$E$17</f>
        <v>1146436.52217183</v>
      </c>
      <c r="Q141" s="32">
        <f>Q80*Control!$E$17</f>
        <v>1272177.67992363</v>
      </c>
      <c r="R141" s="32">
        <f>R80*Control!$E$17</f>
        <v>1446987.61492194</v>
      </c>
    </row>
    <row r="142">
      <c r="C142" s="14" t="inlineStr">
        <is>
          <t>Accommodation</t>
        </is>
      </c>
      <c r="G142" s="32">
        <f>G89*Control!$E$17</f>
        <v>1846794.03</v>
      </c>
      <c r="H142" s="32">
        <f>H89*Control!$E$17</f>
        <v>1576808.64</v>
      </c>
      <c r="I142" s="32">
        <f>I89*Control!$E$17</f>
        <v>1845176.76</v>
      </c>
      <c r="J142" s="32">
        <f>J89*Control!$E$17</f>
        <v>2172676.52</v>
      </c>
      <c r="K142" s="32">
        <f>K89*Control!$E$17</f>
        <v>2328992.175</v>
      </c>
      <c r="L142" s="32">
        <f>L89*Control!$E$17</f>
        <v>2545267.14</v>
      </c>
      <c r="M142" s="32">
        <f>M89*Control!$E$17</f>
        <v>2797736.805</v>
      </c>
      <c r="N142" s="32">
        <f>N89*Control!$E$17</f>
        <v>3008833.587864</v>
      </c>
      <c r="O142" s="32">
        <f>O89*Control!$E$17</f>
        <v>3269969.65039774</v>
      </c>
      <c r="P142" s="32">
        <f>P89*Control!$E$17</f>
        <v>3555920.80519762</v>
      </c>
      <c r="Q142" s="32">
        <f>Q89*Control!$E$17</f>
        <v>3862021.46336307</v>
      </c>
      <c r="R142" s="32">
        <f>R89*Control!$E$17</f>
        <v>4189247.20580058</v>
      </c>
    </row>
    <row r="143">
      <c r="C143" s="14" t="inlineStr">
        <is>
          <t>Radiotherapy</t>
        </is>
      </c>
      <c r="G143" s="32">
        <f>G96*Control!$E$17</f>
        <v>0</v>
      </c>
      <c r="H143" s="32">
        <f>H96*Control!$E$17</f>
        <v>0</v>
      </c>
      <c r="I143" s="32">
        <f>I96*Control!$E$17</f>
        <v>0</v>
      </c>
      <c r="J143" s="32">
        <f>J96*Control!$E$17</f>
        <v>0</v>
      </c>
      <c r="K143" s="32">
        <f>K96*Control!$E$17</f>
        <v>0</v>
      </c>
      <c r="L143" s="32">
        <f>L96*Control!$E$17</f>
        <v>0</v>
      </c>
      <c r="M143" s="32">
        <f>M96*Control!$E$17</f>
        <v>0</v>
      </c>
      <c r="N143" s="32">
        <f>N96*Control!$E$17</f>
        <v>0</v>
      </c>
      <c r="O143" s="32">
        <f>O96*Control!$E$17</f>
        <v>0</v>
      </c>
      <c r="P143" s="32">
        <f>P96*Control!$E$17</f>
        <v>0</v>
      </c>
      <c r="Q143" s="32">
        <f>Q96*Control!$E$17</f>
        <v>0</v>
      </c>
      <c r="R143" s="32">
        <f>R96*Control!$E$17</f>
        <v>0</v>
      </c>
    </row>
    <row r="144">
      <c r="C144" s="14" t="inlineStr">
        <is>
          <t>Nursing Fees</t>
        </is>
      </c>
      <c r="G144" s="32">
        <f>G103*Control!$E$17</f>
        <v>98653.94</v>
      </c>
      <c r="H144" s="32">
        <f>H103*Control!$E$17</f>
        <v>94472.82</v>
      </c>
      <c r="I144" s="32">
        <f>I103*Control!$E$17</f>
        <v>113577.85</v>
      </c>
      <c r="J144" s="32">
        <f>J103*Control!$E$17</f>
        <v>138801.105</v>
      </c>
      <c r="K144" s="32">
        <f>K103*Control!$E$17</f>
        <v>172082.04</v>
      </c>
      <c r="L144" s="32">
        <f>L103*Control!$E$17</f>
        <v>194933.205</v>
      </c>
      <c r="M144" s="32">
        <f>M103*Control!$E$17</f>
        <v>219133.74</v>
      </c>
      <c r="N144" s="32">
        <f>N103*Control!$E$17</f>
        <v>245753.44933398</v>
      </c>
      <c r="O144" s="32">
        <f>O103*Control!$E$17</f>
        <v>282669.057972234</v>
      </c>
      <c r="P144" s="32">
        <f>P103*Control!$E$17</f>
        <v>310449.490320688</v>
      </c>
      <c r="Q144" s="32">
        <f>Q103*Control!$E$17</f>
        <v>356684.112015167</v>
      </c>
      <c r="R144" s="32">
        <f>R103*Control!$E$17</f>
        <v>399604.624582176</v>
      </c>
    </row>
    <row r="145">
      <c r="C145" s="14" t="inlineStr">
        <is>
          <t>Pharmacy</t>
        </is>
      </c>
      <c r="G145" s="32">
        <f>G109*Control!$E$17</f>
        <v>322420</v>
      </c>
      <c r="H145" s="32">
        <f>H109*Control!$E$17</f>
        <v>313725</v>
      </c>
      <c r="I145" s="32">
        <f>I109*Control!$E$17</f>
        <v>358140</v>
      </c>
      <c r="J145" s="32">
        <f>J109*Control!$E$17</f>
        <v>397855</v>
      </c>
      <c r="K145" s="32">
        <f>K109*Control!$E$17</f>
        <v>458015</v>
      </c>
      <c r="L145" s="32">
        <f>L109*Control!$E$17</f>
        <v>502900</v>
      </c>
      <c r="M145" s="32">
        <f>M109*Control!$E$17</f>
        <v>575750</v>
      </c>
      <c r="N145" s="32">
        <f>N109*Control!$E$17</f>
        <v>911250.128024222</v>
      </c>
      <c r="O145" s="32">
        <f>O109*Control!$E$17</f>
        <v>866309.0603917</v>
      </c>
      <c r="P145" s="32">
        <f>P109*Control!$E$17</f>
        <v>1058603.95967685</v>
      </c>
      <c r="Q145" s="32">
        <f>Q109*Control!$E$17</f>
        <v>1235293.23717602</v>
      </c>
      <c r="R145" s="32">
        <f>R109*Control!$E$17</f>
        <v>1218331.18044166</v>
      </c>
    </row>
    <row r="146">
      <c r="C146" s="3" t="inlineStr">
        <is>
          <t>Revenue</t>
        </is>
      </c>
      <c r="G146" s="30">
        <f>SUM(G132:G145)</f>
        <v>5331084.51</v>
      </c>
      <c r="H146" s="30">
        <f>SUM(H132:H145)</f>
        <v>4939478.865</v>
      </c>
      <c r="I146" s="30">
        <f>SUM(I132:I145)</f>
        <v>5765680.35</v>
      </c>
      <c r="J146" s="30">
        <f>SUM(J132:J145)</f>
        <v>6728818.92</v>
      </c>
      <c r="K146" s="30">
        <f>SUM(K132:K145)</f>
        <v>7536185.625</v>
      </c>
      <c r="L146" s="30">
        <f>SUM(L132:L145)</f>
        <v>8576430.75</v>
      </c>
      <c r="M146" s="30">
        <f>SUM(M132:M145)</f>
        <v>9652605.025</v>
      </c>
      <c r="N146" s="30">
        <f>SUM(N132:N145)</f>
        <v>10924987.7986201</v>
      </c>
      <c r="O146" s="30">
        <f>SUM(O132:O145)</f>
        <v>11972835.4756699</v>
      </c>
      <c r="P146" s="30">
        <f>SUM(P132:P145)</f>
        <v>13367952.3280123</v>
      </c>
      <c r="Q146" s="30">
        <f>SUM(Q132:Q145)</f>
        <v>14960773.6502429</v>
      </c>
      <c r="R146" s="30">
        <f>SUM(R132:R145)</f>
        <v>16640244.8569184</v>
      </c>
    </row>
    <row r="147">
      <c r="C147" s="33" t="inlineStr">
        <is>
          <t>Growth (%)</t>
        </is>
      </c>
      <c r="G147" s="20" t="str">
        <f>IFERROR(G146/F146-1,"N/A")</f>
        <v>N/A</v>
      </c>
      <c r="H147" s="20">
        <f>IFERROR(H146/G146-1,"N/A")</f>
        <v>-0.0734570319163822</v>
      </c>
      <c r="I147" s="20">
        <f>IFERROR(I146/H146-1,"N/A")</f>
        <v>0.16726490943291</v>
      </c>
      <c r="J147" s="20">
        <f>IFERROR(J146/I146-1,"N/A")</f>
        <v>0.167046820415565</v>
      </c>
      <c r="K147" s="20">
        <f>IFERROR(K146/J146-1,"N/A")</f>
        <v>0.11998639205467</v>
      </c>
      <c r="L147" s="20">
        <f>IFERROR(L146/K146-1,"N/A")</f>
        <v>0.138033373481296</v>
      </c>
      <c r="M147" s="20">
        <f>IFERROR(M146/L146-1,"N/A")</f>
        <v>0.125480436602371</v>
      </c>
      <c r="N147" s="20">
        <f>IFERROR(N146/M146-1,"N/A")</f>
        <v>0.131817552911844</v>
      </c>
      <c r="O147" s="20">
        <f>IFERROR(O146/N146-1,"N/A")</f>
        <v>0.0959129379697963</v>
      </c>
      <c r="P147" s="20">
        <f>IFERROR(P146/O146-1,"N/A")</f>
        <v>0.116523513179269</v>
      </c>
      <c r="Q147" s="20">
        <f>IFERROR(Q146/P146-1,"N/A")</f>
        <v>0.119152229387655</v>
      </c>
      <c r="R147" s="20">
        <f>IFERROR(R146/Q146-1,"N/A")</f>
        <v>0.112258312700842</v>
      </c>
    </row>
    <row r="149">
      <c r="C149" s="14" t="inlineStr">
        <is>
          <t>(-) COGS</t>
        </is>
      </c>
      <c r="G149" s="32">
        <f>-G116*Control!$E$17</f>
        <v>-1645705</v>
      </c>
      <c r="H149" s="32">
        <f>-H116*Control!$E$17</f>
        <v>-1412350</v>
      </c>
      <c r="I149" s="32">
        <f>-I116*Control!$E$17</f>
        <v>-1665210</v>
      </c>
      <c r="J149" s="32">
        <f>-J116*Control!$E$17</f>
        <v>-2071525</v>
      </c>
      <c r="K149" s="32">
        <f>-K116*Control!$E$17</f>
        <v>-2218165</v>
      </c>
      <c r="L149" s="32">
        <f>-L116*Control!$E$17</f>
        <v>-2598395</v>
      </c>
      <c r="M149" s="32">
        <f>-M116*Control!$E$17</f>
        <v>-2824465</v>
      </c>
      <c r="N149" s="32">
        <f>-N116*Control!$E$17</f>
        <v>-3205391.42011513</v>
      </c>
      <c r="O149" s="32">
        <f>-O116*Control!$E$17</f>
        <v>-3506843.51082371</v>
      </c>
      <c r="P149" s="32">
        <f>-P116*Control!$E$17</f>
        <v>-3920820.41780602</v>
      </c>
      <c r="Q149" s="32">
        <f>-Q116*Control!$E$17</f>
        <v>-4393979.22107634</v>
      </c>
      <c r="R149" s="32">
        <f>-R116*Control!$E$17</f>
        <v>-4820678.93504926</v>
      </c>
    </row>
    <row r="150">
      <c r="C150" s="3" t="inlineStr">
        <is>
          <t>Gross Margin</t>
        </is>
      </c>
      <c r="G150" s="30">
        <f>G146+G149</f>
        <v>3685379.51</v>
      </c>
      <c r="H150" s="30">
        <f>H146+H149</f>
        <v>3527128.865</v>
      </c>
      <c r="I150" s="30">
        <f>I146+I149</f>
        <v>4100470.35</v>
      </c>
      <c r="J150" s="30">
        <f>J146+J149</f>
        <v>4657293.92</v>
      </c>
      <c r="K150" s="30">
        <f>K146+K149</f>
        <v>5318020.625</v>
      </c>
      <c r="L150" s="30">
        <f>L146+L149</f>
        <v>5978035.75</v>
      </c>
      <c r="M150" s="30">
        <f>M146+M149</f>
        <v>6828140.025</v>
      </c>
      <c r="N150" s="30">
        <f>N146+N149</f>
        <v>7719596.37850494</v>
      </c>
      <c r="O150" s="30">
        <f>O146+O149</f>
        <v>8465991.96484619</v>
      </c>
      <c r="P150" s="30">
        <f>P146+P149</f>
        <v>9447131.91020633</v>
      </c>
      <c r="Q150" s="30">
        <f>Q146+Q149</f>
        <v>10566794.4291666</v>
      </c>
      <c r="R150" s="30">
        <f>R146+R149</f>
        <v>11819565.9218691</v>
      </c>
    </row>
    <row r="151">
      <c r="C151" s="33" t="inlineStr">
        <is>
          <t>Margin (%)</t>
        </is>
      </c>
      <c r="G151" s="20">
        <f>IFERROR(G150/G$146,"N/A")</f>
        <v>0.691300147856782</v>
      </c>
      <c r="H151" s="20">
        <f>IFERROR(H150/H$146,"N/A")</f>
        <v>0.714069026591533</v>
      </c>
      <c r="I151" s="20">
        <f>IFERROR(I150/I$146,"N/A")</f>
        <v>0.711185862046619</v>
      </c>
      <c r="J151" s="20">
        <f>IFERROR(J150/J$146,"N/A")</f>
        <v>0.692141366170098</v>
      </c>
      <c r="K151" s="20">
        <f>IFERROR(K150/K$146,"N/A")</f>
        <v>0.7056647606129</v>
      </c>
      <c r="L151" s="20">
        <f>IFERROR(L150/L$146,"N/A")</f>
        <v>0.697030725748004</v>
      </c>
      <c r="M151" s="20">
        <f>IFERROR(M150/M$146,"N/A")</f>
        <v>0.707388317176067</v>
      </c>
      <c r="N151" s="20">
        <f>IFERROR(N150/N$146,"N/A")</f>
        <v>0.7066</v>
      </c>
      <c r="O151" s="20">
        <f>IFERROR(O150/O$146,"N/A")</f>
        <v>0.7071</v>
      </c>
      <c r="P151" s="20">
        <f>IFERROR(P150/P$146,"N/A")</f>
        <v>0.7067</v>
      </c>
      <c r="Q151" s="20">
        <f>IFERROR(Q150/Q$146,"N/A")</f>
        <v>0.7063</v>
      </c>
      <c r="R151" s="20">
        <f>IFERROR(R150/R$146,"N/A")</f>
        <v>0.7103</v>
      </c>
    </row>
    <row r="152">
      <c r="C152" s="14" t="inlineStr">
        <is>
          <t>(-) Payroll</t>
        </is>
      </c>
      <c r="G152" s="32">
        <f>-G118*Control!$E$17</f>
        <v>-1765085</v>
      </c>
      <c r="H152" s="32">
        <f>-H118*Control!$E$17</f>
        <v>-1719025</v>
      </c>
      <c r="I152" s="32">
        <f>-I118*Control!$E$17</f>
        <v>-1874125</v>
      </c>
      <c r="J152" s="32">
        <f>-J118*Control!$E$17</f>
        <v>-2255765</v>
      </c>
      <c r="K152" s="32">
        <f>-K118*Control!$E$17</f>
        <v>-2457395</v>
      </c>
      <c r="L152" s="32">
        <f>-L118*Control!$E$17</f>
        <v>-2987320</v>
      </c>
      <c r="M152" s="32">
        <f>-M118*Control!$E$17</f>
        <v>-3130200</v>
      </c>
      <c r="N152" s="32">
        <f>-N118*Control!$E$17</f>
        <v>-3584488.49672725</v>
      </c>
      <c r="O152" s="32">
        <f>-O118*Control!$E$17</f>
        <v>-4006110.75015915</v>
      </c>
      <c r="P152" s="32">
        <f>-P118*Control!$E$17</f>
        <v>-4428802.60627049</v>
      </c>
      <c r="Q152" s="32">
        <f>-Q118*Control!$E$17</f>
        <v>-4832329.88902846</v>
      </c>
      <c r="R152" s="32">
        <f>-R118*Control!$E$17</f>
        <v>-5529553.36595399</v>
      </c>
    </row>
    <row r="153">
      <c r="C153" s="14" t="inlineStr">
        <is>
          <t>(-) OPEX</t>
        </is>
      </c>
      <c r="G153" s="32">
        <f>-G120*Control!$E$17</f>
        <v>-752705</v>
      </c>
      <c r="H153" s="32">
        <f>-H120*Control!$E$17</f>
        <v>-697715</v>
      </c>
      <c r="I153" s="32">
        <f>-I120*Control!$E$17</f>
        <v>-813805</v>
      </c>
      <c r="J153" s="32">
        <f>-J120*Control!$E$17</f>
        <v>-922845</v>
      </c>
      <c r="K153" s="32">
        <f>-K120*Control!$E$17</f>
        <v>-1052565</v>
      </c>
      <c r="L153" s="32">
        <f>-L120*Control!$E$17</f>
        <v>-1200380</v>
      </c>
      <c r="M153" s="32">
        <f>-M120*Control!$E$17</f>
        <v>-1366290</v>
      </c>
      <c r="N153" s="32">
        <f>-N120*Control!$E$17</f>
        <v>-1549163.26984433</v>
      </c>
      <c r="O153" s="32">
        <f>-O120*Control!$E$17</f>
        <v>-1713312.75656836</v>
      </c>
      <c r="P153" s="32">
        <f>-P120*Control!$E$17</f>
        <v>-1879534.09731854</v>
      </c>
      <c r="Q153" s="32">
        <f>-Q120*Control!$E$17</f>
        <v>-2091516.15630396</v>
      </c>
      <c r="R153" s="32">
        <f>-R120*Control!$E$17</f>
        <v>-2304673.9126832</v>
      </c>
    </row>
    <row r="154">
      <c r="C154" s="14" t="inlineStr">
        <is>
          <t>(-) Provision</t>
        </is>
      </c>
      <c r="G154" s="32">
        <f>-G122*Control!$E$17</f>
        <v>-71675</v>
      </c>
      <c r="H154" s="32">
        <f>-H122*Control!$E$17</f>
        <v>-68620</v>
      </c>
      <c r="I154" s="32">
        <f>-I122*Control!$E$17</f>
        <v>-78490</v>
      </c>
      <c r="J154" s="32">
        <f>-J122*Control!$E$17</f>
        <v>-96115</v>
      </c>
      <c r="K154" s="32">
        <f>-K122*Control!$E$17</f>
        <v>-99875</v>
      </c>
      <c r="L154" s="32">
        <f>-L122*Control!$E$17</f>
        <v>-117030</v>
      </c>
      <c r="M154" s="32">
        <f>-M122*Control!$E$17</f>
        <v>-141235</v>
      </c>
      <c r="N154" s="32">
        <f>-N122*Control!$E$17</f>
        <v>-151857.330400819</v>
      </c>
      <c r="O154" s="32">
        <f>-O122*Control!$E$17</f>
        <v>-164027.846016678</v>
      </c>
      <c r="P154" s="32">
        <f>-P122*Control!$E$17</f>
        <v>-181804.151660968</v>
      </c>
      <c r="Q154" s="32">
        <f>-Q122*Control!$E$17</f>
        <v>-209450.831103401</v>
      </c>
      <c r="R154" s="32">
        <f>-R122*Control!$E$17</f>
        <v>-234627.452482549</v>
      </c>
    </row>
    <row r="155">
      <c r="C155" s="3" t="inlineStr">
        <is>
          <t>EBITDA</t>
        </is>
      </c>
      <c r="G155" s="30">
        <f>G150+G152+G153+G154</f>
        <v>1095914.51</v>
      </c>
      <c r="H155" s="30">
        <f>H150+H152+H153+H154</f>
        <v>1041768.865</v>
      </c>
      <c r="I155" s="30">
        <f>I150+I152+I153+I154</f>
        <v>1334050.35</v>
      </c>
      <c r="J155" s="30">
        <f>J150+J152+J153+J154</f>
        <v>1382568.92</v>
      </c>
      <c r="K155" s="30">
        <f>K150+K152+K153+K154</f>
        <v>1708185.625</v>
      </c>
      <c r="L155" s="30">
        <f>L150+L152+L153+L154</f>
        <v>1673305.75</v>
      </c>
      <c r="M155" s="30">
        <f>M150+M152+M153+M154</f>
        <v>2190415.025</v>
      </c>
      <c r="N155" s="30">
        <f>N150+N152+N153+N154</f>
        <v>2434087.28153255</v>
      </c>
      <c r="O155" s="30">
        <f>O150+O152+O153+O154</f>
        <v>2582540.612102</v>
      </c>
      <c r="P155" s="30">
        <f>P150+P152+P153+P154</f>
        <v>2956991.05495633</v>
      </c>
      <c r="Q155" s="30">
        <f>Q150+Q152+Q153+Q154</f>
        <v>3433497.55273075</v>
      </c>
      <c r="R155" s="30">
        <f>R150+R152+R153+R154</f>
        <v>3750711.19074941</v>
      </c>
    </row>
    <row r="156">
      <c r="C156" s="33" t="inlineStr">
        <is>
          <t>Margin (%)</t>
        </is>
      </c>
      <c r="G156" s="20">
        <f>IFERROR(G155/G$146,"N/A")</f>
        <v>0.205570650389108</v>
      </c>
      <c r="H156" s="20">
        <f>IFERROR(H155/H$146,"N/A")</f>
        <v>0.210906634783222</v>
      </c>
      <c r="I156" s="20">
        <f>IFERROR(I155/I$146,"N/A")</f>
        <v>0.231377785277326</v>
      </c>
      <c r="J156" s="20">
        <f>IFERROR(J155/J$146,"N/A")</f>
        <v>0.205469776559242</v>
      </c>
      <c r="K156" s="20">
        <f>IFERROR(K155/K$146,"N/A")</f>
        <v>0.226664483864807</v>
      </c>
      <c r="L156" s="20">
        <f>IFERROR(L155/L$146,"N/A")</f>
        <v>0.195105143243884</v>
      </c>
      <c r="M156" s="20">
        <f>IFERROR(M155/M$146,"N/A")</f>
        <v>0.22692475443954</v>
      </c>
      <c r="N156" s="20">
        <f>IFERROR(N155/N$146,"N/A")</f>
        <v>0.2228</v>
      </c>
      <c r="O156" s="20">
        <f>IFERROR(O155/O$146,"N/A")</f>
        <v>0.2157</v>
      </c>
      <c r="P156" s="20">
        <f>IFERROR(P155/P$146,"N/A")</f>
        <v>0.2212</v>
      </c>
      <c r="Q156" s="20">
        <f>IFERROR(Q155/Q$146,"N/A")</f>
        <v>0.2295</v>
      </c>
      <c r="R156" s="20">
        <f>IFERROR(R155/R$146,"N/A")</f>
        <v>0.2254</v>
      </c>
    </row>
    <row r="157">
      <c r="C157" s="14" t="inlineStr">
        <is>
          <t>(-) D&amp;A</t>
        </is>
      </c>
      <c r="G157" s="32">
        <f>-G124*Control!$E$17</f>
        <v>-258265</v>
      </c>
      <c r="H157" s="32">
        <f>-H124*Control!$E$17</f>
        <v>-211735</v>
      </c>
      <c r="I157" s="32">
        <f>-I124*Control!$E$17</f>
        <v>-272365</v>
      </c>
      <c r="J157" s="32">
        <f>-J124*Control!$E$17</f>
        <v>-317250</v>
      </c>
      <c r="K157" s="32">
        <f>-K124*Control!$E$17</f>
        <v>-350620</v>
      </c>
      <c r="L157" s="32">
        <f>-L124*Control!$E$17</f>
        <v>-401145</v>
      </c>
      <c r="M157" s="32">
        <f>-M124*Control!$E$17</f>
        <v>-469530</v>
      </c>
      <c r="N157" s="32">
        <f>-N124*Control!$E$17</f>
        <v>-504734.436296247</v>
      </c>
      <c r="O157" s="32">
        <f>-O124*Control!$E$17</f>
        <v>-538777.596405146</v>
      </c>
      <c r="P157" s="32">
        <f>-P124*Control!$E$17</f>
        <v>-610915.421390164</v>
      </c>
      <c r="Q157" s="32">
        <f>-Q124*Control!$E$17</f>
        <v>-694179.897371271</v>
      </c>
      <c r="R157" s="32">
        <f>-R124*Control!$E$17</f>
        <v>-777099.434818089</v>
      </c>
    </row>
    <row r="158">
      <c r="C158" s="14" t="inlineStr">
        <is>
          <t>(-) Goodwill, Trademark &amp; PPA Amortization</t>
        </is>
      </c>
      <c r="G158" s="32">
        <f>-G126*Control!$E$17</f>
        <v>-0</v>
      </c>
      <c r="H158" s="32">
        <f>-H126*Control!$E$17</f>
        <v>-0</v>
      </c>
      <c r="I158" s="32">
        <f>-I126*Control!$E$17</f>
        <v>-0</v>
      </c>
      <c r="J158" s="32">
        <f>-J126*Control!$E$17</f>
        <v>-0</v>
      </c>
      <c r="K158" s="32">
        <f>-K126*Control!$E$17</f>
        <v>-0</v>
      </c>
      <c r="L158" s="32">
        <f>-L126*Control!$E$17</f>
        <v>-0</v>
      </c>
      <c r="M158" s="32">
        <f>-M126*Control!$E$17</f>
        <v>-0</v>
      </c>
      <c r="N158" s="32">
        <f>-N126*Control!$E$17</f>
        <v>-0</v>
      </c>
      <c r="O158" s="32">
        <f>-O126*Control!$E$17</f>
        <v>-0</v>
      </c>
      <c r="P158" s="32">
        <f>-P126*Control!$E$17</f>
        <v>-0</v>
      </c>
      <c r="Q158" s="32">
        <f>-Q126*Control!$E$17</f>
        <v>-0</v>
      </c>
      <c r="R158" s="32">
        <f>-R126*Control!$E$17</f>
        <v>-0</v>
      </c>
    </row>
    <row r="159">
      <c r="C159" s="3" t="inlineStr">
        <is>
          <t>EBIT</t>
        </is>
      </c>
      <c r="G159" s="31">
        <f>G155+G157+G158</f>
        <v>837649.51</v>
      </c>
      <c r="H159" s="31">
        <f>H155+H157+H158</f>
        <v>830033.864999999</v>
      </c>
      <c r="I159" s="31">
        <f>I155+I157+I158</f>
        <v>1061685.35</v>
      </c>
      <c r="J159" s="31">
        <f>J155+J157+J158</f>
        <v>1065318.92</v>
      </c>
      <c r="K159" s="31">
        <f>K155+K157+K158</f>
        <v>1357565.625</v>
      </c>
      <c r="L159" s="31">
        <f>L155+L157+L158</f>
        <v>1272160.75</v>
      </c>
      <c r="M159" s="31">
        <f>M155+M157+M158</f>
        <v>1720885.025</v>
      </c>
      <c r="N159" s="31">
        <f>N155+N157+N158</f>
        <v>1929352.8452363</v>
      </c>
      <c r="O159" s="31">
        <f>O155+O157+O158</f>
        <v>2043763.01569685</v>
      </c>
      <c r="P159" s="31">
        <f>P155+P157+P158</f>
        <v>2346075.63356617</v>
      </c>
      <c r="Q159" s="31">
        <f>Q155+Q157+Q158</f>
        <v>2739317.65535948</v>
      </c>
      <c r="R159" s="31">
        <f>R155+R157+R158</f>
        <v>2973611.75593132</v>
      </c>
    </row>
    <row r="160">
      <c r="C160" s="33" t="inlineStr">
        <is>
          <t>Margin (%)</t>
        </is>
      </c>
      <c r="G160" s="20">
        <f>IFERROR(G159/G$146,"N/A")</f>
        <v>0.157125535794592</v>
      </c>
      <c r="H160" s="20">
        <f>IFERROR(H159/H$146,"N/A")</f>
        <v>0.168040776706512</v>
      </c>
      <c r="I160" s="20">
        <f>IFERROR(I159/I$146,"N/A")</f>
        <v>0.18413878077719</v>
      </c>
      <c r="J160" s="20">
        <f>IFERROR(J159/J$146,"N/A")</f>
        <v>0.158321829234186</v>
      </c>
      <c r="K160" s="20">
        <f>IFERROR(K159/K$146,"N/A")</f>
        <v>0.180139621361834</v>
      </c>
      <c r="L160" s="20">
        <f>IFERROR(L159/L$146,"N/A")</f>
        <v>0.148332189355111</v>
      </c>
      <c r="M160" s="20">
        <f>IFERROR(M159/M$146,"N/A")</f>
        <v>0.178281927059374</v>
      </c>
      <c r="N160" s="20">
        <f>IFERROR(N159/N$146,"N/A")</f>
        <v>0.1766</v>
      </c>
      <c r="O160" s="20">
        <f>IFERROR(O159/O$146,"N/A")</f>
        <v>0.1707</v>
      </c>
      <c r="P160" s="20">
        <f>IFERROR(P159/P$146,"N/A")</f>
        <v>0.1755</v>
      </c>
      <c r="Q160" s="20">
        <f>IFERROR(Q159/Q$146,"N/A")</f>
        <v>0.1831</v>
      </c>
      <c r="R160" s="20">
        <f>IFERROR(R159/R$146,"N/A")</f>
        <v>0.1787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3:R45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AHG Diagnostics – Simplified Build (lab &amp; imaging)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&amp; Cost Build</t>
        </is>
      </c>
      <c r="E11" s="25" t="str">
        <f>"("&amp;Control!$E$16&amp;" in Actual)"</f>
        <v>(LCA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Revenue (LCA)</t>
        </is>
      </c>
      <c r="G12" s="26" t="n">
        <v>4607000</v>
      </c>
      <c r="H12" s="26" t="n">
        <v>4570000</v>
      </c>
      <c r="I12" s="26" t="n">
        <v>5078000</v>
      </c>
      <c r="J12" s="26" t="n">
        <v>5705000</v>
      </c>
      <c r="K12" s="26" t="n">
        <v>6297000</v>
      </c>
      <c r="L12" s="26" t="n">
        <v>7180000</v>
      </c>
      <c r="M12" s="26" t="n">
        <v>8024000</v>
      </c>
      <c r="N12" s="8">
        <f>M12*(1+N13)</f>
        <v>9059096</v>
      </c>
      <c r="O12" s="8">
        <f>N12*(1+O13)</f>
        <v>10191483</v>
      </c>
      <c r="P12" s="8">
        <f>O12*(1+P13)</f>
        <v>11465418.375</v>
      </c>
      <c r="Q12" s="8">
        <f>P12*(1+Q13)</f>
        <v>12623425.630875</v>
      </c>
      <c r="R12" s="8">
        <f>Q12*(1+R13)</f>
        <v>14213977.2603652</v>
      </c>
    </row>
    <row r="13">
      <c r="C13" s="33" t="inlineStr">
        <is>
          <t>Growth (%)</t>
        </is>
      </c>
      <c r="G13" s="28" t="str">
        <f>IFERROR(G12/F12-1,"N/A")</f>
        <v>N/A</v>
      </c>
      <c r="H13" s="28">
        <f>IFERROR(H12/G12-1,"N/A")</f>
        <v>-0.00803125678315608</v>
      </c>
      <c r="I13" s="28">
        <f>IFERROR(I12/H12-1,"N/A")</f>
        <v>0.111159737417943</v>
      </c>
      <c r="J13" s="28">
        <f>IFERROR(J12/I12-1,"N/A")</f>
        <v>0.123473808586058</v>
      </c>
      <c r="K13" s="28">
        <f>IFERROR(K12/J12-1,"N/A")</f>
        <v>0.103768624014023</v>
      </c>
      <c r="L13" s="28">
        <f>IFERROR(L12/K12-1,"N/A")</f>
        <v>0.140225504208353</v>
      </c>
      <c r="M13" s="28">
        <f>IFERROR(M12/L12-1,"N/A")</f>
        <v>0.117548746518106</v>
      </c>
      <c r="N13" s="19" t="n">
        <v>0.129</v>
      </c>
      <c r="O13" s="19" t="n">
        <v>0.125</v>
      </c>
      <c r="P13" s="19" t="n">
        <v>0.125</v>
      </c>
      <c r="Q13" s="19" t="n">
        <v>0.101</v>
      </c>
      <c r="R13" s="19" t="n">
        <v>0.126</v>
      </c>
    </row>
    <row r="15">
      <c r="C15" s="3" t="inlineStr">
        <is>
          <t>Expenses:</t>
        </is>
      </c>
    </row>
    <row r="16">
      <c r="C16" s="27" t="inlineStr">
        <is>
          <t>COGS – % of Sales (%)</t>
        </is>
      </c>
      <c r="G16" s="20">
        <f>IFERROR(G17/G12,"N/A")</f>
        <v>0.363056218797482</v>
      </c>
      <c r="H16" s="20">
        <f>IFERROR(H17/H12,"N/A")</f>
        <v>0.337155361050328</v>
      </c>
      <c r="I16" s="20">
        <f>IFERROR(I17/I12,"N/A")</f>
        <v>0.355179204411186</v>
      </c>
      <c r="J16" s="20">
        <f>IFERROR(J17/J12,"N/A")</f>
        <v>0.363943908851884</v>
      </c>
      <c r="K16" s="20">
        <f>IFERROR(K17/K12,"N/A")</f>
        <v>0.347673495315229</v>
      </c>
      <c r="L16" s="20">
        <f>IFERROR(L17/L12,"N/A")</f>
        <v>0.375515320334262</v>
      </c>
      <c r="M16" s="20">
        <f>IFERROR(M17/M12,"N/A")</f>
        <v>0.374526420737787</v>
      </c>
      <c r="N16" s="19" t="n">
        <v>0.3655</v>
      </c>
      <c r="O16" s="19" t="n">
        <v>0.3616</v>
      </c>
      <c r="P16" s="19" t="n">
        <v>0.3501</v>
      </c>
      <c r="Q16" s="19" t="n">
        <v>0.3537</v>
      </c>
      <c r="R16" s="19" t="n">
        <v>0.3504</v>
      </c>
    </row>
    <row r="17">
      <c r="C17" s="14" t="inlineStr">
        <is>
          <t>COGS (LCA)</t>
        </is>
      </c>
      <c r="G17" s="26" t="n">
        <v>1672600</v>
      </c>
      <c r="H17" s="26" t="n">
        <v>1540800</v>
      </c>
      <c r="I17" s="26" t="n">
        <v>1803600</v>
      </c>
      <c r="J17" s="26" t="n">
        <v>2076300</v>
      </c>
      <c r="K17" s="26" t="n">
        <v>2189300</v>
      </c>
      <c r="L17" s="26" t="n">
        <v>2696200</v>
      </c>
      <c r="M17" s="26" t="n">
        <v>3005200</v>
      </c>
      <c r="N17" s="8">
        <f>N16*N12</f>
        <v>3311099.588</v>
      </c>
      <c r="O17" s="8">
        <f>O16*O12</f>
        <v>3685240.2528</v>
      </c>
      <c r="P17" s="8">
        <f>P16*P12</f>
        <v>4014042.9730875</v>
      </c>
      <c r="Q17" s="8">
        <f>Q16*Q12</f>
        <v>4464905.64564049</v>
      </c>
      <c r="R17" s="8">
        <f>R16*R12</f>
        <v>4980577.63203198</v>
      </c>
    </row>
    <row r="18">
      <c r="C18" s="27" t="inlineStr">
        <is>
          <t>Payroll – % of Sales (%)</t>
        </is>
      </c>
      <c r="G18" s="20">
        <f>IFERROR(G19/G12,"N/A")</f>
        <v>0.228217929238116</v>
      </c>
      <c r="H18" s="20">
        <f>IFERROR(H19/H12,"N/A")</f>
        <v>0.230984682713348</v>
      </c>
      <c r="I18" s="20">
        <f>IFERROR(I19/I12,"N/A")</f>
        <v>0.242024419062623</v>
      </c>
      <c r="J18" s="20">
        <f>IFERROR(J19/J12,"N/A")</f>
        <v>0.231621384750219</v>
      </c>
      <c r="K18" s="20">
        <f>IFERROR(K19/K12,"N/A")</f>
        <v>0.252024773701763</v>
      </c>
      <c r="L18" s="20">
        <f>IFERROR(L19/L12,"N/A")</f>
        <v>0.241518105849582</v>
      </c>
      <c r="M18" s="20">
        <f>IFERROR(M19/M12,"N/A")</f>
        <v>0.25021186440678</v>
      </c>
      <c r="N18" s="19" t="n">
        <v>0.237</v>
      </c>
      <c r="O18" s="19" t="n">
        <v>0.2358</v>
      </c>
      <c r="P18" s="19" t="n">
        <v>0.2422</v>
      </c>
      <c r="Q18" s="19" t="n">
        <v>0.2363</v>
      </c>
      <c r="R18" s="19" t="n">
        <v>0.2339</v>
      </c>
    </row>
    <row r="19">
      <c r="C19" s="14" t="inlineStr">
        <is>
          <t>Payroll (LCA)</t>
        </is>
      </c>
      <c r="G19" s="26" t="n">
        <v>1051400</v>
      </c>
      <c r="H19" s="26" t="n">
        <v>1055600</v>
      </c>
      <c r="I19" s="26" t="n">
        <v>1229000</v>
      </c>
      <c r="J19" s="26" t="n">
        <v>1321400</v>
      </c>
      <c r="K19" s="26" t="n">
        <v>1587000</v>
      </c>
      <c r="L19" s="26" t="n">
        <v>1734100</v>
      </c>
      <c r="M19" s="26" t="n">
        <v>2007700</v>
      </c>
      <c r="N19" s="8">
        <f>N18*N12</f>
        <v>2147005.752</v>
      </c>
      <c r="O19" s="8">
        <f>O18*O12</f>
        <v>2403151.6914</v>
      </c>
      <c r="P19" s="8">
        <f>P18*P12</f>
        <v>2776924.330425</v>
      </c>
      <c r="Q19" s="8">
        <f>Q18*Q12</f>
        <v>2982915.47657576</v>
      </c>
      <c r="R19" s="8">
        <f>R18*R12</f>
        <v>3324649.28119943</v>
      </c>
    </row>
    <row r="20">
      <c r="C20" s="27" t="inlineStr">
        <is>
          <t>OPEX – % of Sales (%)</t>
        </is>
      </c>
      <c r="G20" s="20">
        <f>IFERROR(G21/G12,"N/A")</f>
        <v>0.106924245713045</v>
      </c>
      <c r="H20" s="20">
        <f>IFERROR(H21/H12,"N/A")</f>
        <v>0.112078774617068</v>
      </c>
      <c r="I20" s="20">
        <f>IFERROR(I21/I12,"N/A")</f>
        <v>0.107483261126428</v>
      </c>
      <c r="J20" s="20">
        <f>IFERROR(J21/J12,"N/A")</f>
        <v>0.119053461875548</v>
      </c>
      <c r="K20" s="20">
        <f>IFERROR(K21/K12,"N/A")</f>
        <v>0.113164999205971</v>
      </c>
      <c r="L20" s="20">
        <f>IFERROR(L21/L12,"N/A")</f>
        <v>0.10857938718663</v>
      </c>
      <c r="M20" s="20">
        <f>IFERROR(M21/M12,"N/A")</f>
        <v>0.105957128614158</v>
      </c>
      <c r="N20" s="19" t="n">
        <v>0.1071</v>
      </c>
      <c r="O20" s="19" t="n">
        <v>0.1074</v>
      </c>
      <c r="P20" s="19" t="n">
        <v>0.1112</v>
      </c>
      <c r="Q20" s="19" t="n">
        <v>0.1105</v>
      </c>
      <c r="R20" s="19" t="n">
        <v>0.1076</v>
      </c>
    </row>
    <row r="21">
      <c r="C21" s="14" t="inlineStr">
        <is>
          <t>OPEX (LCA)</t>
        </is>
      </c>
      <c r="G21" s="26" t="n">
        <v>492600</v>
      </c>
      <c r="H21" s="26" t="n">
        <v>512200</v>
      </c>
      <c r="I21" s="26" t="n">
        <v>545800</v>
      </c>
      <c r="J21" s="26" t="n">
        <v>679200</v>
      </c>
      <c r="K21" s="26" t="n">
        <v>712600</v>
      </c>
      <c r="L21" s="26" t="n">
        <v>779600</v>
      </c>
      <c r="M21" s="26" t="n">
        <v>850200</v>
      </c>
      <c r="N21" s="8">
        <f>N20*N12</f>
        <v>970229.1816</v>
      </c>
      <c r="O21" s="8">
        <f>O20*O12</f>
        <v>1094565.2742</v>
      </c>
      <c r="P21" s="8">
        <f>P20*P12</f>
        <v>1274954.5233</v>
      </c>
      <c r="Q21" s="8">
        <f>Q20*Q12</f>
        <v>1394888.53221169</v>
      </c>
      <c r="R21" s="8">
        <f>R20*R12</f>
        <v>1529423.9532153</v>
      </c>
    </row>
    <row r="22">
      <c r="C22" s="27" t="inlineStr">
        <is>
          <t>Provision – % of Sales (%)</t>
        </is>
      </c>
      <c r="G22" s="20">
        <f>IFERROR(G23/G12,"N/A")</f>
        <v>0.00822661167788149</v>
      </c>
      <c r="H22" s="20">
        <f>IFERROR(H23/H12,"N/A")</f>
        <v>0.00849015317286652</v>
      </c>
      <c r="I22" s="20">
        <f>IFERROR(I23/I12,"N/A")</f>
        <v>0.0076211106734935</v>
      </c>
      <c r="J22" s="20">
        <f>IFERROR(J23/J12,"N/A")</f>
        <v>0.00832602979842244</v>
      </c>
      <c r="K22" s="20">
        <f>IFERROR(K23/K12,"N/A")</f>
        <v>0.00773384151183103</v>
      </c>
      <c r="L22" s="20">
        <f>IFERROR(L23/L12,"N/A")</f>
        <v>0.00806406685236769</v>
      </c>
      <c r="M22" s="20">
        <f>IFERROR(M23/M12,"N/A")</f>
        <v>0.0077642073778664</v>
      </c>
      <c r="N22" s="19" t="n">
        <v>0.0081</v>
      </c>
      <c r="O22" s="19" t="n">
        <v>0.007900000000000001</v>
      </c>
      <c r="P22" s="19" t="n">
        <v>0.0078</v>
      </c>
      <c r="Q22" s="19" t="n">
        <v>0.0081</v>
      </c>
      <c r="R22" s="19" t="n">
        <v>0.0078</v>
      </c>
    </row>
    <row r="23">
      <c r="C23" s="14" t="inlineStr">
        <is>
          <t>Provision (LCA)</t>
        </is>
      </c>
      <c r="G23" s="26" t="n">
        <v>37900</v>
      </c>
      <c r="H23" s="26" t="n">
        <v>38800</v>
      </c>
      <c r="I23" s="26" t="n">
        <v>38700</v>
      </c>
      <c r="J23" s="26" t="n">
        <v>47500</v>
      </c>
      <c r="K23" s="26" t="n">
        <v>48700</v>
      </c>
      <c r="L23" s="26" t="n">
        <v>57900</v>
      </c>
      <c r="M23" s="26" t="n">
        <v>62300</v>
      </c>
      <c r="N23" s="8">
        <f>N22*N12</f>
        <v>73378.6776</v>
      </c>
      <c r="O23" s="8">
        <f>O22*O12</f>
        <v>80512.7157</v>
      </c>
      <c r="P23" s="8">
        <f>P22*P12</f>
        <v>89430.263325</v>
      </c>
      <c r="Q23" s="8">
        <f>Q22*Q12</f>
        <v>102249.747610087</v>
      </c>
      <c r="R23" s="8">
        <f>R22*R12</f>
        <v>110869.022630849</v>
      </c>
    </row>
    <row r="24">
      <c r="C24" s="27" t="inlineStr">
        <is>
          <t>Depreciation &amp; Amortization – % of Sales (%)</t>
        </is>
      </c>
      <c r="G24" s="20">
        <f>IFERROR(G25/G12,"N/A")</f>
        <v>0.0526372910787931</v>
      </c>
      <c r="H24" s="20">
        <f>IFERROR(H25/H12,"N/A")</f>
        <v>0.0578336980306346</v>
      </c>
      <c r="I24" s="20">
        <f>IFERROR(I25/I12,"N/A")</f>
        <v>0.0544308782985427</v>
      </c>
      <c r="J24" s="20">
        <f>IFERROR(J25/J12,"N/A")</f>
        <v>0.052988606485539</v>
      </c>
      <c r="K24" s="20">
        <f>IFERROR(K25/K12,"N/A")</f>
        <v>0.0519930125456567</v>
      </c>
      <c r="L24" s="20">
        <f>IFERROR(L25/L12,"N/A")</f>
        <v>0.0561142061281337</v>
      </c>
      <c r="M24" s="20">
        <f>IFERROR(M25/M12,"N/A")</f>
        <v>0.0553589232303091</v>
      </c>
      <c r="N24" s="19" t="n">
        <v>0.0541</v>
      </c>
      <c r="O24" s="19" t="n">
        <v>0.056</v>
      </c>
      <c r="P24" s="19" t="n">
        <v>0.0546</v>
      </c>
      <c r="Q24" s="19" t="n">
        <v>0.0541</v>
      </c>
      <c r="R24" s="19" t="n">
        <v>0.0546</v>
      </c>
    </row>
    <row r="25">
      <c r="C25" s="14" t="inlineStr">
        <is>
          <t>Depreciation &amp; Amortization (LCA)</t>
        </is>
      </c>
      <c r="G25" s="26" t="n">
        <v>242500</v>
      </c>
      <c r="H25" s="26" t="n">
        <v>264300</v>
      </c>
      <c r="I25" s="26" t="n">
        <v>276400</v>
      </c>
      <c r="J25" s="26" t="n">
        <v>302300</v>
      </c>
      <c r="K25" s="26" t="n">
        <v>327400</v>
      </c>
      <c r="L25" s="26" t="n">
        <v>402900</v>
      </c>
      <c r="M25" s="26" t="n">
        <v>444200</v>
      </c>
      <c r="N25" s="8">
        <f>N24*N12</f>
        <v>490097.0936</v>
      </c>
      <c r="O25" s="8">
        <f>O24*O12</f>
        <v>570723.048</v>
      </c>
      <c r="P25" s="8">
        <f>P24*P12</f>
        <v>626011.843275</v>
      </c>
      <c r="Q25" s="8">
        <f>Q24*Q12</f>
        <v>682927.326630338</v>
      </c>
      <c r="R25" s="8">
        <f>R24*R12</f>
        <v>776083.158415943</v>
      </c>
    </row>
    <row r="26">
      <c r="C26" s="27" t="inlineStr">
        <is>
          <t>Goodwill, Trademark &amp; PPA Amortization – % of Sales (%)</t>
        </is>
      </c>
      <c r="G26" s="20">
        <f>IFERROR(G27/G12,"N/A")</f>
        <v>0</v>
      </c>
      <c r="H26" s="20">
        <f>IFERROR(H27/H12,"N/A")</f>
        <v>0</v>
      </c>
      <c r="I26" s="20">
        <f>IFERROR(I27/I12,"N/A")</f>
        <v>0</v>
      </c>
      <c r="J26" s="20">
        <f>IFERROR(J27/J12,"N/A")</f>
        <v>0</v>
      </c>
      <c r="K26" s="20">
        <f>IFERROR(K27/K12,"N/A")</f>
        <v>0</v>
      </c>
      <c r="L26" s="20">
        <f>IFERROR(L27/L12,"N/A")</f>
        <v>0</v>
      </c>
      <c r="M26" s="20">
        <f>IFERROR(M27/M12,"N/A")</f>
        <v>0</v>
      </c>
      <c r="N26" s="19" t="n">
        <v>0</v>
      </c>
      <c r="O26" s="19" t="n">
        <v>0</v>
      </c>
      <c r="P26" s="19" t="n">
        <v>0</v>
      </c>
      <c r="Q26" s="19" t="n">
        <v>0</v>
      </c>
      <c r="R26" s="19" t="n">
        <v>0</v>
      </c>
    </row>
    <row r="27">
      <c r="C27" s="14" t="inlineStr">
        <is>
          <t>Goodwill, Trademark &amp; PPA Amortization (LCA)</t>
        </is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8">
        <f>N26*N12</f>
        <v>0</v>
      </c>
      <c r="O27" s="8">
        <f>O26*O12</f>
        <v>0</v>
      </c>
      <c r="P27" s="8">
        <f>P26*P12</f>
        <v>0</v>
      </c>
      <c r="Q27" s="8">
        <f>Q26*Q12</f>
        <v>0</v>
      </c>
      <c r="R27" s="8">
        <f>R26*R12</f>
        <v>0</v>
      </c>
    </row>
    <row r="29">
      <c r="C29" s="12" t="inlineStr">
        <is>
          <t>Financial Statements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</row>
    <row r="30">
      <c r="C30" s="25" t="inlineStr">
        <is>
          <t>B</t>
        </is>
      </c>
      <c r="D30" s="25" t="inlineStr">
        <is>
          <t>Income Statement</t>
        </is>
      </c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>
      <c r="E31" s="10" t="str">
        <f>"("&amp;Control!$E$18&amp;" in Actual)"</f>
        <v>(USD in Actual)</v>
      </c>
    </row>
    <row r="32">
      <c r="C32" s="3" t="inlineStr">
        <is>
          <t>Revenue</t>
        </is>
      </c>
      <c r="G32" s="35">
        <f>G12*Control!$E$17</f>
        <v>1082645</v>
      </c>
      <c r="H32" s="35">
        <f>H12*Control!$E$17</f>
        <v>1073950</v>
      </c>
      <c r="I32" s="35">
        <f>I12*Control!$E$17</f>
        <v>1193330</v>
      </c>
      <c r="J32" s="35">
        <f>J12*Control!$E$17</f>
        <v>1340675</v>
      </c>
      <c r="K32" s="35">
        <f>K12*Control!$E$17</f>
        <v>1479795</v>
      </c>
      <c r="L32" s="35">
        <f>L12*Control!$E$17</f>
        <v>1687300</v>
      </c>
      <c r="M32" s="35">
        <f>M12*Control!$E$17</f>
        <v>1885640</v>
      </c>
      <c r="N32" s="35">
        <f>N12*Control!$E$17</f>
        <v>2128887.56</v>
      </c>
      <c r="O32" s="35">
        <f>O12*Control!$E$17</f>
        <v>2394998.505</v>
      </c>
      <c r="P32" s="35">
        <f>P12*Control!$E$17</f>
        <v>2694373.318125</v>
      </c>
      <c r="Q32" s="35">
        <f>Q12*Control!$E$17</f>
        <v>2966505.02325562</v>
      </c>
      <c r="R32" s="35">
        <f>R12*Control!$E$17</f>
        <v>3340284.65618583</v>
      </c>
    </row>
    <row r="33">
      <c r="C33" s="33" t="inlineStr">
        <is>
          <t>Growth (%)</t>
        </is>
      </c>
      <c r="G33" s="20" t="str">
        <f>IFERROR(G32/F32-1,"N/A")</f>
        <v>N/A</v>
      </c>
      <c r="H33" s="20">
        <f>IFERROR(H32/G32-1,"N/A")</f>
        <v>-0.00803125678315608</v>
      </c>
      <c r="I33" s="20">
        <f>IFERROR(I32/H32-1,"N/A")</f>
        <v>0.111159737417943</v>
      </c>
      <c r="J33" s="20">
        <f>IFERROR(J32/I32-1,"N/A")</f>
        <v>0.123473808586058</v>
      </c>
      <c r="K33" s="20">
        <f>IFERROR(K32/J32-1,"N/A")</f>
        <v>0.103768624014023</v>
      </c>
      <c r="L33" s="20">
        <f>IFERROR(L32/K32-1,"N/A")</f>
        <v>0.140225504208353</v>
      </c>
      <c r="M33" s="20">
        <f>IFERROR(M32/L32-1,"N/A")</f>
        <v>0.117548746518106</v>
      </c>
      <c r="N33" s="20">
        <f>IFERROR(N32/M32-1,"N/A")</f>
        <v>0.129</v>
      </c>
      <c r="O33" s="20">
        <f>IFERROR(O32/N32-1,"N/A")</f>
        <v>0.125</v>
      </c>
      <c r="P33" s="20">
        <f>IFERROR(P32/O32-1,"N/A")</f>
        <v>0.125</v>
      </c>
      <c r="Q33" s="20">
        <f>IFERROR(Q32/P32-1,"N/A")</f>
        <v>0.101</v>
      </c>
      <c r="R33" s="20">
        <f>IFERROR(R32/Q32-1,"N/A")</f>
        <v>0.126</v>
      </c>
    </row>
    <row r="34">
      <c r="C34" s="14" t="inlineStr">
        <is>
          <t>(-) COGS</t>
        </is>
      </c>
      <c r="G34" s="32">
        <f>-G17*Control!$E$17</f>
        <v>-393061</v>
      </c>
      <c r="H34" s="32">
        <f>-H17*Control!$E$17</f>
        <v>-362088</v>
      </c>
      <c r="I34" s="32">
        <f>-I17*Control!$E$17</f>
        <v>-423846</v>
      </c>
      <c r="J34" s="32">
        <f>-J17*Control!$E$17</f>
        <v>-487930.5</v>
      </c>
      <c r="K34" s="32">
        <f>-K17*Control!$E$17</f>
        <v>-514485.5</v>
      </c>
      <c r="L34" s="32">
        <f>-L17*Control!$E$17</f>
        <v>-633607</v>
      </c>
      <c r="M34" s="32">
        <f>-M17*Control!$E$17</f>
        <v>-706222</v>
      </c>
      <c r="N34" s="32">
        <f>-N17*Control!$E$17</f>
        <v>-778108.40318</v>
      </c>
      <c r="O34" s="32">
        <f>-O17*Control!$E$17</f>
        <v>-866031.459408</v>
      </c>
      <c r="P34" s="32">
        <f>-P17*Control!$E$17</f>
        <v>-943300.098675563</v>
      </c>
      <c r="Q34" s="32">
        <f>-Q17*Control!$E$17</f>
        <v>-1049252.82672551</v>
      </c>
      <c r="R34" s="32">
        <f>-R17*Control!$E$17</f>
        <v>-1170435.74352752</v>
      </c>
    </row>
    <row r="35">
      <c r="C35" s="3" t="inlineStr">
        <is>
          <t>Gross Margin</t>
        </is>
      </c>
      <c r="G35" s="30">
        <f>G32+G34</f>
        <v>689584</v>
      </c>
      <c r="H35" s="30">
        <f>H32+H34</f>
        <v>711862</v>
      </c>
      <c r="I35" s="30">
        <f>I32+I34</f>
        <v>769484</v>
      </c>
      <c r="J35" s="30">
        <f>J32+J34</f>
        <v>852744.5</v>
      </c>
      <c r="K35" s="30">
        <f>K32+K34</f>
        <v>965309.5</v>
      </c>
      <c r="L35" s="30">
        <f>L32+L34</f>
        <v>1053693</v>
      </c>
      <c r="M35" s="30">
        <f>M32+M34</f>
        <v>1179418</v>
      </c>
      <c r="N35" s="30">
        <f>N32+N34</f>
        <v>1350779.15682</v>
      </c>
      <c r="O35" s="30">
        <f>O32+O34</f>
        <v>1528967.045592</v>
      </c>
      <c r="P35" s="30">
        <f>P32+P34</f>
        <v>1751073.21944944</v>
      </c>
      <c r="Q35" s="30">
        <f>Q32+Q34</f>
        <v>1917252.19653011</v>
      </c>
      <c r="R35" s="30">
        <f>R32+R34</f>
        <v>2169848.91265832</v>
      </c>
    </row>
    <row r="36">
      <c r="C36" s="33" t="inlineStr">
        <is>
          <t>Margin (%)</t>
        </is>
      </c>
      <c r="G36" s="20">
        <f>IFERROR(G35/G$32,"N/A")</f>
        <v>0.636943781202518</v>
      </c>
      <c r="H36" s="20">
        <f>IFERROR(H35/H$32,"N/A")</f>
        <v>0.662844638949672</v>
      </c>
      <c r="I36" s="20">
        <f>IFERROR(I35/I$32,"N/A")</f>
        <v>0.644820795588814</v>
      </c>
      <c r="J36" s="20">
        <f>IFERROR(J35/J$32,"N/A")</f>
        <v>0.636056091148116</v>
      </c>
      <c r="K36" s="20">
        <f>IFERROR(K35/K$32,"N/A")</f>
        <v>0.652326504684771</v>
      </c>
      <c r="L36" s="20">
        <f>IFERROR(L35/L$32,"N/A")</f>
        <v>0.624484679665738</v>
      </c>
      <c r="M36" s="20">
        <f>IFERROR(M35/M$32,"N/A")</f>
        <v>0.625473579262213</v>
      </c>
      <c r="N36" s="20">
        <f>IFERROR(N35/N$32,"N/A")</f>
        <v>0.6345</v>
      </c>
      <c r="O36" s="20">
        <f>IFERROR(O35/O$32,"N/A")</f>
        <v>0.6384</v>
      </c>
      <c r="P36" s="20">
        <f>IFERROR(P35/P$32,"N/A")</f>
        <v>0.6499</v>
      </c>
      <c r="Q36" s="20">
        <f>IFERROR(Q35/Q$32,"N/A")</f>
        <v>0.6463</v>
      </c>
      <c r="R36" s="20">
        <f>IFERROR(R35/R$32,"N/A")</f>
        <v>0.6496</v>
      </c>
    </row>
    <row r="37">
      <c r="C37" s="14" t="inlineStr">
        <is>
          <t>(-) Payroll</t>
        </is>
      </c>
      <c r="G37" s="32">
        <f>-G19*Control!$E$17</f>
        <v>-247079</v>
      </c>
      <c r="H37" s="32">
        <f>-H19*Control!$E$17</f>
        <v>-248066</v>
      </c>
      <c r="I37" s="32">
        <f>-I19*Control!$E$17</f>
        <v>-288815</v>
      </c>
      <c r="J37" s="32">
        <f>-J19*Control!$E$17</f>
        <v>-310529</v>
      </c>
      <c r="K37" s="32">
        <f>-K19*Control!$E$17</f>
        <v>-372945</v>
      </c>
      <c r="L37" s="32">
        <f>-L19*Control!$E$17</f>
        <v>-407513.5</v>
      </c>
      <c r="M37" s="32">
        <f>-M19*Control!$E$17</f>
        <v>-471809.5</v>
      </c>
      <c r="N37" s="32">
        <f>-N19*Control!$E$17</f>
        <v>-504546.35172</v>
      </c>
      <c r="O37" s="32">
        <f>-O19*Control!$E$17</f>
        <v>-564740.647479</v>
      </c>
      <c r="P37" s="32">
        <f>-P19*Control!$E$17</f>
        <v>-652577.217649875</v>
      </c>
      <c r="Q37" s="32">
        <f>-Q19*Control!$E$17</f>
        <v>-700985.136995304</v>
      </c>
      <c r="R37" s="32">
        <f>-R19*Control!$E$17</f>
        <v>-781292.581081866</v>
      </c>
    </row>
    <row r="38">
      <c r="C38" s="14" t="inlineStr">
        <is>
          <t>(-) OPEX</t>
        </is>
      </c>
      <c r="G38" s="32">
        <f>-G21*Control!$E$17</f>
        <v>-115761</v>
      </c>
      <c r="H38" s="32">
        <f>-H21*Control!$E$17</f>
        <v>-120367</v>
      </c>
      <c r="I38" s="32">
        <f>-I21*Control!$E$17</f>
        <v>-128263</v>
      </c>
      <c r="J38" s="32">
        <f>-J21*Control!$E$17</f>
        <v>-159612</v>
      </c>
      <c r="K38" s="32">
        <f>-K21*Control!$E$17</f>
        <v>-167461</v>
      </c>
      <c r="L38" s="32">
        <f>-L21*Control!$E$17</f>
        <v>-183206</v>
      </c>
      <c r="M38" s="32">
        <f>-M21*Control!$E$17</f>
        <v>-199797</v>
      </c>
      <c r="N38" s="32">
        <f>-N21*Control!$E$17</f>
        <v>-228003.857676</v>
      </c>
      <c r="O38" s="32">
        <f>-O21*Control!$E$17</f>
        <v>-257222.839437</v>
      </c>
      <c r="P38" s="32">
        <f>-P21*Control!$E$17</f>
        <v>-299614.3129755</v>
      </c>
      <c r="Q38" s="32">
        <f>-Q21*Control!$E$17</f>
        <v>-327798.805069747</v>
      </c>
      <c r="R38" s="32">
        <f>-R21*Control!$E$17</f>
        <v>-359414.629005596</v>
      </c>
    </row>
    <row r="39">
      <c r="C39" s="14" t="inlineStr">
        <is>
          <t>(-) Provision</t>
        </is>
      </c>
      <c r="G39" s="32">
        <f>-G23*Control!$E$17</f>
        <v>-8906.5</v>
      </c>
      <c r="H39" s="32">
        <f>-H23*Control!$E$17</f>
        <v>-9118</v>
      </c>
      <c r="I39" s="32">
        <f>-I23*Control!$E$17</f>
        <v>-9094.5</v>
      </c>
      <c r="J39" s="32">
        <f>-J23*Control!$E$17</f>
        <v>-11162.5</v>
      </c>
      <c r="K39" s="32">
        <f>-K23*Control!$E$17</f>
        <v>-11444.5</v>
      </c>
      <c r="L39" s="32">
        <f>-L23*Control!$E$17</f>
        <v>-13606.5</v>
      </c>
      <c r="M39" s="32">
        <f>-M23*Control!$E$17</f>
        <v>-14640.5</v>
      </c>
      <c r="N39" s="32">
        <f>-N23*Control!$E$17</f>
        <v>-17243.989236</v>
      </c>
      <c r="O39" s="32">
        <f>-O23*Control!$E$17</f>
        <v>-18920.4881895</v>
      </c>
      <c r="P39" s="32">
        <f>-P23*Control!$E$17</f>
        <v>-21016.111881375</v>
      </c>
      <c r="Q39" s="32">
        <f>-Q23*Control!$E$17</f>
        <v>-24028.6906883706</v>
      </c>
      <c r="R39" s="32">
        <f>-R23*Control!$E$17</f>
        <v>-26054.2203182495</v>
      </c>
    </row>
    <row r="40">
      <c r="C40" s="3" t="inlineStr">
        <is>
          <t>EBITDA</t>
        </is>
      </c>
      <c r="G40" s="30">
        <f>G35+G37+G38+G39</f>
        <v>317837.5</v>
      </c>
      <c r="H40" s="30">
        <f>H35+H37+H38+H39</f>
        <v>334311</v>
      </c>
      <c r="I40" s="30">
        <f>I35+I37+I38+I39</f>
        <v>343311.5</v>
      </c>
      <c r="J40" s="30">
        <f>J35+J37+J38+J39</f>
        <v>371441</v>
      </c>
      <c r="K40" s="30">
        <f>K35+K37+K38+K39</f>
        <v>413459</v>
      </c>
      <c r="L40" s="30">
        <f>L35+L37+L38+L39</f>
        <v>449367</v>
      </c>
      <c r="M40" s="30">
        <f>M35+M37+M38+M39</f>
        <v>493171</v>
      </c>
      <c r="N40" s="30">
        <f>N35+N37+N38+N39</f>
        <v>600984.958188</v>
      </c>
      <c r="O40" s="30">
        <f>O35+O37+O38+O39</f>
        <v>688083.0704865</v>
      </c>
      <c r="P40" s="30">
        <f>P35+P37+P38+P39</f>
        <v>777865.576942687</v>
      </c>
      <c r="Q40" s="30">
        <f>Q35+Q37+Q38+Q39</f>
        <v>864439.563776689</v>
      </c>
      <c r="R40" s="30">
        <f>R35+R37+R38+R39</f>
        <v>1003087.48225261</v>
      </c>
    </row>
    <row r="41">
      <c r="C41" s="33" t="inlineStr">
        <is>
          <t>Margin (%)</t>
        </is>
      </c>
      <c r="G41" s="20">
        <f>IFERROR(G40/G$32,"N/A")</f>
        <v>0.293574994573475</v>
      </c>
      <c r="H41" s="20">
        <f>IFERROR(H40/H$32,"N/A")</f>
        <v>0.31129102844639</v>
      </c>
      <c r="I41" s="20">
        <f>IFERROR(I40/I$32,"N/A")</f>
        <v>0.28769200472627</v>
      </c>
      <c r="J41" s="20">
        <f>IFERROR(J40/J$32,"N/A")</f>
        <v>0.277055214723926</v>
      </c>
      <c r="K41" s="20">
        <f>IFERROR(K40/K$32,"N/A")</f>
        <v>0.279402890265206</v>
      </c>
      <c r="L41" s="20">
        <f>IFERROR(L40/L$32,"N/A")</f>
        <v>0.266323119777159</v>
      </c>
      <c r="M41" s="20">
        <f>IFERROR(M40/M$32,"N/A")</f>
        <v>0.26154037886341</v>
      </c>
      <c r="N41" s="20">
        <f>IFERROR(N40/N$32,"N/A")</f>
        <v>0.2823</v>
      </c>
      <c r="O41" s="20">
        <f>IFERROR(O40/O$32,"N/A")</f>
        <v>0.2873</v>
      </c>
      <c r="P41" s="20">
        <f>IFERROR(P40/P$32,"N/A")</f>
        <v>0.2887</v>
      </c>
      <c r="Q41" s="20">
        <f>IFERROR(Q40/Q$32,"N/A")</f>
        <v>0.2914</v>
      </c>
      <c r="R41" s="20">
        <f>IFERROR(R40/R$32,"N/A")</f>
        <v>0.3003</v>
      </c>
    </row>
    <row r="42">
      <c r="C42" s="14" t="inlineStr">
        <is>
          <t>(-) D&amp;A</t>
        </is>
      </c>
      <c r="G42" s="32">
        <f>-G25*Control!$E$17</f>
        <v>-56987.5</v>
      </c>
      <c r="H42" s="32">
        <f>-H25*Control!$E$17</f>
        <v>-62110.5</v>
      </c>
      <c r="I42" s="32">
        <f>-I25*Control!$E$17</f>
        <v>-64954</v>
      </c>
      <c r="J42" s="32">
        <f>-J25*Control!$E$17</f>
        <v>-71040.5</v>
      </c>
      <c r="K42" s="32">
        <f>-K25*Control!$E$17</f>
        <v>-76939</v>
      </c>
      <c r="L42" s="32">
        <f>-L25*Control!$E$17</f>
        <v>-94681.5</v>
      </c>
      <c r="M42" s="32">
        <f>-M25*Control!$E$17</f>
        <v>-104387</v>
      </c>
      <c r="N42" s="32">
        <f>-N25*Control!$E$17</f>
        <v>-115172.816996</v>
      </c>
      <c r="O42" s="32">
        <f>-O25*Control!$E$17</f>
        <v>-134119.91628</v>
      </c>
      <c r="P42" s="32">
        <f>-P25*Control!$E$17</f>
        <v>-147112.783169625</v>
      </c>
      <c r="Q42" s="32">
        <f>-Q25*Control!$E$17</f>
        <v>-160487.921758129</v>
      </c>
      <c r="R42" s="32">
        <f>-R25*Control!$E$17</f>
        <v>-182379.542227746</v>
      </c>
    </row>
    <row r="43">
      <c r="C43" s="14" t="inlineStr">
        <is>
          <t>(-) Goodwill, Trademark &amp; PPA Amortization</t>
        </is>
      </c>
      <c r="G43" s="32">
        <f>-G27*Control!$E$17</f>
        <v>-0</v>
      </c>
      <c r="H43" s="32">
        <f>-H27*Control!$E$17</f>
        <v>-0</v>
      </c>
      <c r="I43" s="32">
        <f>-I27*Control!$E$17</f>
        <v>-0</v>
      </c>
      <c r="J43" s="32">
        <f>-J27*Control!$E$17</f>
        <v>-0</v>
      </c>
      <c r="K43" s="32">
        <f>-K27*Control!$E$17</f>
        <v>-0</v>
      </c>
      <c r="L43" s="32">
        <f>-L27*Control!$E$17</f>
        <v>-0</v>
      </c>
      <c r="M43" s="32">
        <f>-M27*Control!$E$17</f>
        <v>-0</v>
      </c>
      <c r="N43" s="32">
        <f>-N27*Control!$E$17</f>
        <v>-0</v>
      </c>
      <c r="O43" s="32">
        <f>-O27*Control!$E$17</f>
        <v>-0</v>
      </c>
      <c r="P43" s="32">
        <f>-P27*Control!$E$17</f>
        <v>-0</v>
      </c>
      <c r="Q43" s="32">
        <f>-Q27*Control!$E$17</f>
        <v>-0</v>
      </c>
      <c r="R43" s="32">
        <f>-R27*Control!$E$17</f>
        <v>-0</v>
      </c>
    </row>
    <row r="44">
      <c r="C44" s="3" t="inlineStr">
        <is>
          <t>EBIT</t>
        </is>
      </c>
      <c r="G44" s="31">
        <f>G40+G42+G43</f>
        <v>260850</v>
      </c>
      <c r="H44" s="31">
        <f>H40+H42+H43</f>
        <v>272200.5</v>
      </c>
      <c r="I44" s="31">
        <f>I40+I42+I43</f>
        <v>278357.5</v>
      </c>
      <c r="J44" s="31">
        <f>J40+J42+J43</f>
        <v>300400.5</v>
      </c>
      <c r="K44" s="31">
        <f>K40+K42+K43</f>
        <v>336520</v>
      </c>
      <c r="L44" s="31">
        <f>L40+L42+L43</f>
        <v>354685.5</v>
      </c>
      <c r="M44" s="31">
        <f>M40+M42+M43</f>
        <v>388784</v>
      </c>
      <c r="N44" s="31">
        <f>N40+N42+N43</f>
        <v>485812.141192</v>
      </c>
      <c r="O44" s="31">
        <f>O40+O42+O43</f>
        <v>553963.1542065</v>
      </c>
      <c r="P44" s="31">
        <f>P40+P42+P43</f>
        <v>630752.793773062</v>
      </c>
      <c r="Q44" s="31">
        <f>Q40+Q42+Q43</f>
        <v>703951.642018559</v>
      </c>
      <c r="R44" s="31">
        <f>R40+R42+R43</f>
        <v>820707.940024859</v>
      </c>
    </row>
    <row r="45">
      <c r="C45" s="33" t="inlineStr">
        <is>
          <t>Margin (%)</t>
        </is>
      </c>
      <c r="G45" s="20">
        <f>IFERROR(G44/G$32,"N/A")</f>
        <v>0.240937703494682</v>
      </c>
      <c r="H45" s="20">
        <f>IFERROR(H44/H$32,"N/A")</f>
        <v>0.253457330415755</v>
      </c>
      <c r="I45" s="20">
        <f>IFERROR(I44/I$32,"N/A")</f>
        <v>0.233261126427727</v>
      </c>
      <c r="J45" s="20">
        <f>IFERROR(J44/J$32,"N/A")</f>
        <v>0.224066608238387</v>
      </c>
      <c r="K45" s="20">
        <f>IFERROR(K44/K$32,"N/A")</f>
        <v>0.227409877719549</v>
      </c>
      <c r="L45" s="20">
        <f>IFERROR(L44/L$32,"N/A")</f>
        <v>0.210208913649025</v>
      </c>
      <c r="M45" s="20">
        <f>IFERROR(M44/M$32,"N/A")</f>
        <v>0.206181455633101</v>
      </c>
      <c r="N45" s="20">
        <f>IFERROR(N44/N$32,"N/A")</f>
        <v>0.2282</v>
      </c>
      <c r="O45" s="20">
        <f>IFERROR(O44/O$32,"N/A")</f>
        <v>0.2313</v>
      </c>
      <c r="P45" s="20">
        <f>IFERROR(P44/P$32,"N/A")</f>
        <v>0.2341</v>
      </c>
      <c r="Q45" s="20">
        <f>IFERROR(Q44/Q$32,"N/A")</f>
        <v>0.2373</v>
      </c>
      <c r="R45" s="20">
        <f>IFERROR(R44/R$32,"N/A")</f>
        <v>0.2457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3:R317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Arvenna Health Group – Combined Entity (USD)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Assumptions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Supporting Assumptions</t>
        </is>
      </c>
      <c r="E11" s="25" t="str">
        <f>"("&amp;Control!$E$18&amp;" in Actual)"</f>
        <v>(USD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14" t="inlineStr">
        <is>
          <t>Tax Rate (%)</t>
        </is>
      </c>
      <c r="G12" s="19" t="n">
        <v>0.211</v>
      </c>
      <c r="H12" s="19" t="n">
        <v>0.23</v>
      </c>
      <c r="I12" s="19" t="n">
        <v>0.219</v>
      </c>
      <c r="J12" s="19" t="n">
        <v>0.234</v>
      </c>
      <c r="K12" s="19" t="n">
        <v>0.228</v>
      </c>
      <c r="L12" s="19" t="n">
        <v>0.221</v>
      </c>
      <c r="M12" s="19" t="n">
        <v>0.228</v>
      </c>
      <c r="N12" s="19" t="n">
        <v>0.225</v>
      </c>
      <c r="O12" s="19" t="n">
        <v>0.225</v>
      </c>
      <c r="P12" s="19" t="n">
        <v>0.225</v>
      </c>
      <c r="Q12" s="19" t="n">
        <v>0.225</v>
      </c>
      <c r="R12" s="19" t="n">
        <v>0.225</v>
      </c>
    </row>
    <row r="13">
      <c r="C13" s="3" t="inlineStr">
        <is>
          <t>Non-Current Assets:</t>
        </is>
      </c>
    </row>
    <row r="14">
      <c r="C14" s="14" t="inlineStr">
        <is>
          <t>Goodwill – % of Gross Goodwill Amortised / Impaired (%)</t>
        </is>
      </c>
      <c r="G14" s="28" t="inlineStr">
        <is>
          <t>N/A</t>
        </is>
      </c>
      <c r="H14" s="28">
        <f>IFERROR(-H216/G228,"N/A")</f>
        <v>0.0139623638862459</v>
      </c>
      <c r="I14" s="28">
        <f>IFERROR(-I216/H228,"N/A")</f>
        <v>0.016597192224622</v>
      </c>
      <c r="J14" s="28">
        <f>IFERROR(-J216/I228,"N/A")</f>
        <v>0.0178930256948086</v>
      </c>
      <c r="K14" s="28">
        <f>IFERROR(-K216/J228,"N/A")</f>
        <v>0.020468364831553</v>
      </c>
      <c r="L14" s="28">
        <f>IFERROR(-L216/K228,"N/A")</f>
        <v>0.0220560269911052</v>
      </c>
      <c r="M14" s="28">
        <f>IFERROR(-M216/L228,"N/A")</f>
        <v>0.0258669064748201</v>
      </c>
      <c r="N14" s="28">
        <f>IFERROR(-N216/M228,"N/A")</f>
        <v>0.0287453138683211</v>
      </c>
      <c r="O14" s="28">
        <f>IFERROR(-O216/N228,"N/A")</f>
        <v>0.0322205950516166</v>
      </c>
      <c r="P14" s="28">
        <f>IFERROR(-P216/O228,"N/A")</f>
        <v>0.0190761788388527</v>
      </c>
      <c r="Q14" s="28">
        <f>IFERROR(-Q216/P228,"N/A")</f>
        <v>0.0156395726897993</v>
      </c>
      <c r="R14" s="28">
        <f>IFERROR(-R216/Q228,"N/A")</f>
        <v>0.0148072049079343</v>
      </c>
    </row>
    <row r="15">
      <c r="C15" s="14" t="inlineStr">
        <is>
          <t>Goodwill – Accumulated Provisions (memo)</t>
        </is>
      </c>
      <c r="G15" s="8">
        <f>G229</f>
        <v>-700000</v>
      </c>
      <c r="H15" s="8">
        <f>H229</f>
        <v>-940000</v>
      </c>
      <c r="I15" s="8">
        <f>I229</f>
        <v>-1140000</v>
      </c>
      <c r="J15" s="8">
        <f>J229</f>
        <v>-1422000</v>
      </c>
      <c r="K15" s="8">
        <f>K229</f>
        <v>-1586000</v>
      </c>
      <c r="L15" s="8">
        <f>L229</f>
        <v>-1853000</v>
      </c>
      <c r="M15" s="8">
        <f>M229</f>
        <v>-2067000</v>
      </c>
      <c r="N15" s="8">
        <f>N229</f>
        <v>-2344018.58974901</v>
      </c>
      <c r="O15" s="8">
        <f>O229</f>
        <v>-2654528.46426144</v>
      </c>
      <c r="P15" s="8">
        <f>P229</f>
        <v>-2998033.21661266</v>
      </c>
      <c r="Q15" s="8">
        <f>Q229</f>
        <v>-3386395.08564576</v>
      </c>
      <c r="R15" s="8">
        <f>R229</f>
        <v>-3807334.30676851</v>
      </c>
    </row>
    <row r="16">
      <c r="C16" s="14" t="inlineStr">
        <is>
          <t>Intangible Assets – Growth (%)</t>
        </is>
      </c>
      <c r="G16" s="28" t="inlineStr">
        <is>
          <t>N/A</t>
        </is>
      </c>
      <c r="H16" s="28">
        <f>IFERROR(H231/G231-1,"N/A")</f>
        <v>0.0888675008020532</v>
      </c>
      <c r="I16" s="28">
        <f>IFERROR(I231/H231-1,"N/A")</f>
        <v>0.0164997053624043</v>
      </c>
      <c r="J16" s="28">
        <f>IFERROR(J231/I231-1,"N/A")</f>
        <v>0.0698550724637681</v>
      </c>
      <c r="K16" s="28">
        <f>IFERROR(K231/J231-1,"N/A")</f>
        <v>0.0509347060417231</v>
      </c>
      <c r="L16" s="28">
        <f>IFERROR(L231/K231-1,"N/A")</f>
        <v>0.0250064449600413</v>
      </c>
      <c r="M16" s="28">
        <f>IFERROR(M231/L231-1,"N/A")</f>
        <v>0.0480382293762576</v>
      </c>
      <c r="N16" s="19" t="n">
        <v>0.02</v>
      </c>
      <c r="O16" s="19" t="n">
        <v>0.02</v>
      </c>
      <c r="P16" s="19" t="n">
        <v>0.02</v>
      </c>
      <c r="Q16" s="19" t="n">
        <v>0.02</v>
      </c>
      <c r="R16" s="19" t="n">
        <v>0.02</v>
      </c>
    </row>
    <row r="17">
      <c r="C17" s="14" t="inlineStr">
        <is>
          <t>Intangible Assets – % of Gross Depreciated (%)</t>
        </is>
      </c>
      <c r="G17" s="28" t="inlineStr">
        <is>
          <t>N/A</t>
        </is>
      </c>
      <c r="H17" s="28">
        <f>IFERROR(-(H232-G232)/G231,"N/A")</f>
        <v>0.0619185113891562</v>
      </c>
      <c r="I17" s="28">
        <f>IFERROR(-(I232-H232)/H231,"N/A")</f>
        <v>0.0344725987035946</v>
      </c>
      <c r="J17" s="28">
        <f>IFERROR(-(J232-I232)/I231,"N/A")</f>
        <v>0.0620289855072464</v>
      </c>
      <c r="K17" s="28">
        <f>IFERROR(-(K232-J232)/J231,"N/A")</f>
        <v>0.041994039555676</v>
      </c>
      <c r="L17" s="28">
        <f>IFERROR(-(L232-K232)/K231,"N/A")</f>
        <v>0.0335137922144883</v>
      </c>
      <c r="M17" s="28">
        <f>IFERROR(-(M232-L232)/L231,"N/A")</f>
        <v>0.0540744466800805</v>
      </c>
      <c r="N17" s="19" t="n">
        <v>0.08</v>
      </c>
      <c r="O17" s="19" t="n">
        <v>0.08</v>
      </c>
      <c r="P17" s="19" t="n">
        <v>0.08</v>
      </c>
      <c r="Q17" s="19" t="n">
        <v>0.08</v>
      </c>
      <c r="R17" s="19" t="n">
        <v>0.08</v>
      </c>
    </row>
    <row r="18">
      <c r="C18" s="14" t="inlineStr">
        <is>
          <t>Intangible Assets – Accumulated Depreciation (memo)</t>
        </is>
      </c>
      <c r="G18" s="8">
        <f>G232</f>
        <v>-881000</v>
      </c>
      <c r="H18" s="8">
        <f>H232</f>
        <v>-1074000</v>
      </c>
      <c r="I18" s="8">
        <f>I232</f>
        <v>-1191000</v>
      </c>
      <c r="J18" s="8">
        <f>J232</f>
        <v>-1405000</v>
      </c>
      <c r="K18" s="8">
        <f>K232</f>
        <v>-1560000</v>
      </c>
      <c r="L18" s="8">
        <f>L232</f>
        <v>-1690000</v>
      </c>
      <c r="M18" s="8">
        <f>M232</f>
        <v>-1905000</v>
      </c>
      <c r="N18" s="8">
        <f>N232</f>
        <v>-2238360</v>
      </c>
      <c r="O18" s="8">
        <f>O232</f>
        <v>-2578387.2</v>
      </c>
      <c r="P18" s="8">
        <f>P232</f>
        <v>-2925214.944</v>
      </c>
      <c r="Q18" s="8">
        <f>Q232</f>
        <v>-3278979.24288</v>
      </c>
      <c r="R18" s="8">
        <f>R232</f>
        <v>-3639818.8277376</v>
      </c>
    </row>
    <row r="19">
      <c r="C19" s="14" t="inlineStr">
        <is>
          <t>Tangible Assets – Growth (%) (implied)</t>
        </is>
      </c>
      <c r="G19" s="28" t="inlineStr">
        <is>
          <t>N/A</t>
        </is>
      </c>
      <c r="H19" s="28">
        <f>IFERROR(H234/G234-1,"N/A")</f>
        <v>0.0619807126929797</v>
      </c>
      <c r="I19" s="28">
        <f>IFERROR(I234/H234-1,"N/A")</f>
        <v>0.0804434755861072</v>
      </c>
      <c r="J19" s="28">
        <f>IFERROR(J234/I234-1,"N/A")</f>
        <v>0.0466034559588058</v>
      </c>
      <c r="K19" s="28">
        <f>IFERROR(K234/J234-1,"N/A")</f>
        <v>0.0428961716319942</v>
      </c>
      <c r="L19" s="28">
        <f>IFERROR(L234/K234-1,"N/A")</f>
        <v>0.0215128146972103</v>
      </c>
      <c r="M19" s="28">
        <f>IFERROR(M234/L234-1,"N/A")</f>
        <v>0.0645780831954883</v>
      </c>
      <c r="N19" s="28">
        <f>IFERROR(N234/M234-1,"N/A")</f>
        <v>0.0402819639698526</v>
      </c>
      <c r="O19" s="28">
        <f>IFERROR(O234/N234-1,"N/A")</f>
        <v>0.0436279900395646</v>
      </c>
      <c r="P19" s="28">
        <f>IFERROR(P234/O234-1,"N/A")</f>
        <v>0.0463843521152478</v>
      </c>
      <c r="Q19" s="28">
        <f>IFERROR(Q234/P234-1,"N/A")</f>
        <v>0.0477365714776785</v>
      </c>
      <c r="R19" s="28">
        <f>IFERROR(R234/Q234-1,"N/A")</f>
        <v>0.051031721781333</v>
      </c>
    </row>
    <row r="20">
      <c r="C20" s="14" t="inlineStr">
        <is>
          <t>Tangible Assets – % of Gross Depreciated (%) (implied)</t>
        </is>
      </c>
      <c r="G20" s="28" t="inlineStr">
        <is>
          <t>N/A</t>
        </is>
      </c>
      <c r="H20" s="28">
        <f>IFERROR(-(H235-G235)/G234,"N/A")</f>
        <v>0.0485307276058458</v>
      </c>
      <c r="I20" s="28">
        <f>IFERROR(-(I235-H235)/H234,"N/A")</f>
        <v>0.0374734195498375</v>
      </c>
      <c r="J20" s="28">
        <f>IFERROR(-(J235-I235)/I234,"N/A")</f>
        <v>0.0148289349903451</v>
      </c>
      <c r="K20" s="28">
        <f>IFERROR(-(K235-J235)/J234,"N/A")</f>
        <v>0.0430262675481651</v>
      </c>
      <c r="L20" s="28">
        <f>IFERROR(-(L235-K235)/K234,"N/A")</f>
        <v>0.0365615785892493</v>
      </c>
      <c r="M20" s="28">
        <f>IFERROR(-(M235-L235)/L234,"N/A")</f>
        <v>0.00437403554736503</v>
      </c>
      <c r="N20" s="28">
        <f>IFERROR(-(N235-M235)/M234,"N/A")</f>
        <v>0.0269476228688865</v>
      </c>
      <c r="O20" s="28">
        <f>IFERROR(-(O235-N235)/N234,"N/A")</f>
        <v>0.0309379547435825</v>
      </c>
      <c r="P20" s="28">
        <f>IFERROR(-(P235-O235)/O234,"N/A")</f>
        <v>0.0338412757006248</v>
      </c>
      <c r="Q20" s="28">
        <f>IFERROR(-(Q235-P235)/P234,"N/A")</f>
        <v>0.0370702269301713</v>
      </c>
      <c r="R20" s="28">
        <f>IFERROR(-(R235-Q235)/Q234,"N/A")</f>
        <v>0.0396404470954877</v>
      </c>
    </row>
    <row r="21">
      <c r="C21" s="14" t="inlineStr">
        <is>
          <t>Tangible Assets – Accumulated Depreciation (memo)</t>
        </is>
      </c>
      <c r="G21" s="8">
        <f>G235</f>
        <v>-25292000</v>
      </c>
      <c r="H21" s="8">
        <f>H235</f>
        <v>-28709000</v>
      </c>
      <c r="I21" s="8">
        <f>I235</f>
        <v>-31511000</v>
      </c>
      <c r="J21" s="8">
        <f>J235</f>
        <v>-32709000</v>
      </c>
      <c r="K21" s="8">
        <f>K235</f>
        <v>-36347000</v>
      </c>
      <c r="L21" s="8">
        <f>L235</f>
        <v>-39571000</v>
      </c>
      <c r="M21" s="8">
        <f>M235</f>
        <v>-39965000</v>
      </c>
      <c r="N21" s="8">
        <f>N235</f>
        <v>-42549115.347389</v>
      </c>
      <c r="O21" s="8">
        <f>O235</f>
        <v>-45635386.6694779</v>
      </c>
      <c r="P21" s="8">
        <f>P235</f>
        <v>-49158567.6106264</v>
      </c>
      <c r="Q21" s="8">
        <f>Q235</f>
        <v>-53196924.5552227</v>
      </c>
      <c r="R21" s="8">
        <f>R235</f>
        <v>-57721419.4843991</v>
      </c>
    </row>
    <row r="22">
      <c r="C22" s="14" t="inlineStr">
        <is>
          <t>Net Financial Assets (% of Sales)</t>
        </is>
      </c>
      <c r="G22" s="20">
        <f>IFERROR(G237/G115,"N/A")</f>
        <v>0.0360685526244125</v>
      </c>
      <c r="H22" s="20">
        <f>IFERROR(H237/H115,"N/A")</f>
        <v>0.0375182121419742</v>
      </c>
      <c r="I22" s="20">
        <f>IFERROR(I237/I115,"N/A")</f>
        <v>0.0363898204935642</v>
      </c>
      <c r="J22" s="20">
        <f>IFERROR(J237/J115,"N/A")</f>
        <v>0.0360868880342319</v>
      </c>
      <c r="K22" s="20">
        <f>IFERROR(K237/K115,"N/A")</f>
        <v>0.0375709813886015</v>
      </c>
      <c r="L22" s="20">
        <f>IFERROR(L237/L115,"N/A")</f>
        <v>0.0357276700972364</v>
      </c>
      <c r="M22" s="20">
        <f>IFERROR(M237/M115,"N/A")</f>
        <v>0.0366186603824775</v>
      </c>
      <c r="N22" s="19" t="n">
        <v>0.035</v>
      </c>
      <c r="O22" s="19" t="n">
        <v>0.035</v>
      </c>
      <c r="P22" s="19" t="n">
        <v>0.035</v>
      </c>
      <c r="Q22" s="19" t="n">
        <v>0.035</v>
      </c>
      <c r="R22" s="19" t="n">
        <v>0.035</v>
      </c>
    </row>
    <row r="23">
      <c r="C23" s="14" t="inlineStr">
        <is>
          <t>Yield on Net Financial Assets (%)</t>
        </is>
      </c>
      <c r="G23" s="28" t="inlineStr">
        <is>
          <t>N/A</t>
        </is>
      </c>
      <c r="H23" s="28">
        <f>IFERROR(H219/G237,"N/A")</f>
        <v>0.0379247015610652</v>
      </c>
      <c r="I23" s="28">
        <f>IFERROR(I219/H237,"N/A")</f>
        <v>0.04573055028463</v>
      </c>
      <c r="J23" s="28">
        <f>IFERROR(J219/I237,"N/A")</f>
        <v>0.0461474036850921</v>
      </c>
      <c r="K23" s="28">
        <f>IFERROR(K219/J237,"N/A")</f>
        <v>0.0468588322246859</v>
      </c>
      <c r="L23" s="28">
        <f>IFERROR(L219/K237,"N/A")</f>
        <v>0.0412883435582822</v>
      </c>
      <c r="M23" s="28">
        <f>IFERROR(M219/L237,"N/A")</f>
        <v>0.0456383593298671</v>
      </c>
      <c r="N23" s="19" t="n">
        <v>0.045</v>
      </c>
      <c r="O23" s="19" t="n">
        <v>0.045</v>
      </c>
      <c r="P23" s="19" t="n">
        <v>0.045</v>
      </c>
      <c r="Q23" s="19" t="n">
        <v>0.045</v>
      </c>
      <c r="R23" s="19" t="n">
        <v>0.045</v>
      </c>
    </row>
    <row r="24">
      <c r="C24" s="3" t="inlineStr">
        <is>
          <t>Current Assets:</t>
        </is>
      </c>
    </row>
    <row r="25">
      <c r="C25" s="14" t="inlineStr">
        <is>
          <t>Inventories – DIO (days of COGS)</t>
        </is>
      </c>
      <c r="G25" s="34">
        <f>IFERROR(G240/(G202-G207)*365,"N/A")</f>
        <v>54.4333493379752</v>
      </c>
      <c r="H25" s="34">
        <f>IFERROR(H240/(H202-H207)*365,"N/A")</f>
        <v>53.7325641092577</v>
      </c>
      <c r="I25" s="34">
        <f>IFERROR(I240/(I202-I207)*365,"N/A")</f>
        <v>54.7527547123993</v>
      </c>
      <c r="J25" s="34">
        <f>IFERROR(J240/(J202-J207)*365,"N/A")</f>
        <v>51.7899757507146</v>
      </c>
      <c r="K25" s="34">
        <f>IFERROR(K240/(K202-K207)*365,"N/A")</f>
        <v>56.0313066467211</v>
      </c>
      <c r="L25" s="34">
        <f>IFERROR(L240/(L202-L207)*365,"N/A")</f>
        <v>53.9630195050219</v>
      </c>
      <c r="M25" s="34">
        <f>IFERROR(M240/(M202-M207)*365,"N/A")</f>
        <v>52.5831653142674</v>
      </c>
      <c r="N25" s="18" t="n">
        <v>52</v>
      </c>
      <c r="O25" s="18" t="n">
        <v>51</v>
      </c>
      <c r="P25" s="18" t="n">
        <v>50</v>
      </c>
      <c r="Q25" s="18" t="n">
        <v>50</v>
      </c>
      <c r="R25" s="18" t="n">
        <v>49</v>
      </c>
    </row>
    <row r="26">
      <c r="C26" s="14" t="inlineStr">
        <is>
          <t>Inventories – % Provision</t>
        </is>
      </c>
      <c r="G26" s="20">
        <f>IFERROR(-G241/G240,"N/A")</f>
        <v>0.0511278195488722</v>
      </c>
      <c r="H26" s="20">
        <f>IFERROR(-H241/H240,"N/A")</f>
        <v>0.0502024291497976</v>
      </c>
      <c r="I26" s="20">
        <f>IFERROR(-I241/I240,"N/A")</f>
        <v>0.0512820512820513</v>
      </c>
      <c r="J26" s="20">
        <f>IFERROR(-J241/J240,"N/A")</f>
        <v>0.0501222493887531</v>
      </c>
      <c r="K26" s="20">
        <f>IFERROR(-K241/K240,"N/A")</f>
        <v>0.0488934637159032</v>
      </c>
      <c r="L26" s="20">
        <f>IFERROR(-L241/L240,"N/A")</f>
        <v>0.0490600641907382</v>
      </c>
      <c r="M26" s="20">
        <f>IFERROR(-M241/M240,"N/A")</f>
        <v>0.0499583680266445</v>
      </c>
      <c r="N26" s="19" t="n">
        <v>0.05</v>
      </c>
      <c r="O26" s="19" t="n">
        <v>0.05</v>
      </c>
      <c r="P26" s="19" t="n">
        <v>0.05</v>
      </c>
      <c r="Q26" s="19" t="n">
        <v>0.05</v>
      </c>
      <c r="R26" s="19" t="n">
        <v>0.05</v>
      </c>
    </row>
    <row r="27">
      <c r="C27" s="14" t="inlineStr">
        <is>
          <t>Receivables – DSO (days of Revenue)</t>
        </is>
      </c>
      <c r="G27" s="34">
        <f>IFERROR(G243/G202*365,"N/A")</f>
        <v>66.3932958859916</v>
      </c>
      <c r="H27" s="34">
        <f>IFERROR(H243/H202*365,"N/A")</f>
        <v>66.3789366500677</v>
      </c>
      <c r="I27" s="34">
        <f>IFERROR(I243/I202*365,"N/A")</f>
        <v>65.6661015798417</v>
      </c>
      <c r="J27" s="34">
        <f>IFERROR(J243/J202*365,"N/A")</f>
        <v>67.6011699453383</v>
      </c>
      <c r="K27" s="34">
        <f>IFERROR(K243/K202*365,"N/A")</f>
        <v>67.2545921505983</v>
      </c>
      <c r="L27" s="34">
        <f>IFERROR(L243/L202*365,"N/A")</f>
        <v>66.242629783492</v>
      </c>
      <c r="M27" s="34">
        <f>IFERROR(M243/M202*365,"N/A")</f>
        <v>67.4003572603504</v>
      </c>
      <c r="N27" s="18" t="n">
        <v>64</v>
      </c>
      <c r="O27" s="18" t="n">
        <v>63</v>
      </c>
      <c r="P27" s="18" t="n">
        <v>62</v>
      </c>
      <c r="Q27" s="18" t="n">
        <v>61</v>
      </c>
      <c r="R27" s="18" t="n">
        <v>60</v>
      </c>
    </row>
    <row r="28">
      <c r="C28" s="14" t="inlineStr">
        <is>
          <t>Receivables – % Provision</t>
        </is>
      </c>
      <c r="G28" s="20">
        <f>IFERROR(-G244/G243,"N/A")</f>
        <v>0.0717407137654771</v>
      </c>
      <c r="H28" s="20">
        <f>IFERROR(-H244/H243,"N/A")</f>
        <v>0.0708553532981014</v>
      </c>
      <c r="I28" s="20">
        <f>IFERROR(-I244/I243,"N/A")</f>
        <v>0.0753853972556327</v>
      </c>
      <c r="J28" s="20">
        <f>IFERROR(-J244/J243,"N/A")</f>
        <v>0.0722926267281106</v>
      </c>
      <c r="K28" s="20">
        <f>IFERROR(-K244/K243,"N/A")</f>
        <v>0.0691768826619965</v>
      </c>
      <c r="L28" s="20">
        <f>IFERROR(-L244/L243,"N/A")</f>
        <v>0.0726714431934493</v>
      </c>
      <c r="M28" s="20">
        <f>IFERROR(-M244/M243,"N/A")</f>
        <v>0.0723437808003154</v>
      </c>
      <c r="N28" s="19" t="n">
        <v>0.07199999999999999</v>
      </c>
      <c r="O28" s="19" t="n">
        <v>0.07199999999999999</v>
      </c>
      <c r="P28" s="19" t="n">
        <v>0.07199999999999999</v>
      </c>
      <c r="Q28" s="19" t="n">
        <v>0.07199999999999999</v>
      </c>
      <c r="R28" s="19" t="n">
        <v>0.07199999999999999</v>
      </c>
    </row>
    <row r="29">
      <c r="C29" s="14" t="inlineStr">
        <is>
          <t>Other Current Assets (% of Sales)</t>
        </is>
      </c>
      <c r="G29" s="20">
        <f>IFERROR(G246/G202,"N/A")</f>
        <v>0.0422290216677006</v>
      </c>
      <c r="H29" s="20">
        <f>IFERROR(H246/H202,"N/A")</f>
        <v>0.0418965234260946</v>
      </c>
      <c r="I29" s="20">
        <f>IFERROR(I246/I202,"N/A")</f>
        <v>0.0413880872950253</v>
      </c>
      <c r="J29" s="20">
        <f>IFERROR(J246/J202,"N/A")</f>
        <v>0.0406744303416139</v>
      </c>
      <c r="K29" s="20">
        <f>IFERROR(K246/K202,"N/A")</f>
        <v>0.0404521916177887</v>
      </c>
      <c r="L29" s="20">
        <f>IFERROR(L246/L202,"N/A")</f>
        <v>0.0414655628107151</v>
      </c>
      <c r="M29" s="20">
        <f>IFERROR(M246/M202,"N/A")</f>
        <v>0.0408592905361143</v>
      </c>
      <c r="N29" s="19" t="n">
        <v>0.04</v>
      </c>
      <c r="O29" s="19" t="n">
        <v>0.04</v>
      </c>
      <c r="P29" s="19" t="n">
        <v>0.04</v>
      </c>
      <c r="Q29" s="19" t="n">
        <v>0.04</v>
      </c>
      <c r="R29" s="19" t="n">
        <v>0.04</v>
      </c>
    </row>
    <row r="30">
      <c r="C30" s="14" t="inlineStr">
        <is>
          <t>Other Current Assets – % Provision</t>
        </is>
      </c>
      <c r="G30" s="20">
        <f>IFERROR(-G247/G246,"N/A")</f>
        <v>0.0345098039215686</v>
      </c>
      <c r="H30" s="20">
        <f>IFERROR(-H247/H246,"N/A")</f>
        <v>0.0356839422259983</v>
      </c>
      <c r="I30" s="20">
        <f>IFERROR(-I247/I246,"N/A")</f>
        <v>0.0346097201767305</v>
      </c>
      <c r="J30" s="20">
        <f>IFERROR(-J247/J246,"N/A")</f>
        <v>0.0360655737704918</v>
      </c>
      <c r="K30" s="20">
        <f>IFERROR(-K247/K246,"N/A")</f>
        <v>0.0358974358974359</v>
      </c>
      <c r="L30" s="20">
        <f>IFERROR(-L247/L246,"N/A")</f>
        <v>0.0353409656545545</v>
      </c>
      <c r="M30" s="20">
        <f>IFERROR(-M247/M246,"N/A")</f>
        <v>0.0351893095768374</v>
      </c>
      <c r="N30" s="19" t="n">
        <v>0.035</v>
      </c>
      <c r="O30" s="19" t="n">
        <v>0.035</v>
      </c>
      <c r="P30" s="19" t="n">
        <v>0.035</v>
      </c>
      <c r="Q30" s="19" t="n">
        <v>0.035</v>
      </c>
      <c r="R30" s="19" t="n">
        <v>0.035</v>
      </c>
    </row>
    <row r="31">
      <c r="C31" s="3" t="inlineStr">
        <is>
          <t>Current Liabilities:</t>
        </is>
      </c>
    </row>
    <row r="32">
      <c r="C32" s="14" t="inlineStr">
        <is>
          <t>Accounts Payable – DPO (days of COGS)</t>
        </is>
      </c>
      <c r="G32" s="34">
        <f>IFERROR(G259/(G202-G207)*365,"N/A")</f>
        <v>95.8518076312315</v>
      </c>
      <c r="H32" s="34">
        <f>IFERROR(H259/(H202-H207)*365,"N/A")</f>
        <v>92.9769145761001</v>
      </c>
      <c r="I32" s="34">
        <f>IFERROR(I259/(I202-I207)*365,"N/A")</f>
        <v>97.4394137917126</v>
      </c>
      <c r="J32" s="34">
        <f>IFERROR(J259/(J202-J207)*365,"N/A")</f>
        <v>88.0682839477311</v>
      </c>
      <c r="K32" s="34">
        <f>IFERROR(K259/(K202-K207)*365,"N/A")</f>
        <v>96.3173258878273</v>
      </c>
      <c r="L32" s="34">
        <f>IFERROR(L259/(L202-L207)*365,"N/A")</f>
        <v>92.6600220294851</v>
      </c>
      <c r="M32" s="34">
        <f>IFERROR(M259/(M202-M207)*365,"N/A")</f>
        <v>93.6952321170126</v>
      </c>
      <c r="N32" s="18" t="n">
        <v>88</v>
      </c>
      <c r="O32" s="18" t="n">
        <v>86</v>
      </c>
      <c r="P32" s="18" t="n">
        <v>85</v>
      </c>
      <c r="Q32" s="18" t="n">
        <v>85</v>
      </c>
      <c r="R32" s="18" t="n">
        <v>84</v>
      </c>
    </row>
    <row r="33">
      <c r="C33" s="14" t="inlineStr">
        <is>
          <t>Other Current Liabilities (% of Sales)</t>
        </is>
      </c>
      <c r="G33" s="20">
        <f>IFERROR(G260/G202,"N/A")</f>
        <v>0.0503767387894687</v>
      </c>
      <c r="H33" s="20">
        <f>IFERROR(H260/H202,"N/A")</f>
        <v>0.0512226824215379</v>
      </c>
      <c r="I33" s="20">
        <f>IFERROR(I260/I202,"N/A")</f>
        <v>0.0505007810367135</v>
      </c>
      <c r="J33" s="20">
        <f>IFERROR(J260/J202,"N/A")</f>
        <v>0.0517698815036542</v>
      </c>
      <c r="K33" s="20">
        <f>IFERROR(K260/K202,"N/A")</f>
        <v>0.0524841255348746</v>
      </c>
      <c r="L33" s="20">
        <f>IFERROR(L260/L202,"N/A")</f>
        <v>0.0515997546176146</v>
      </c>
      <c r="M33" s="20">
        <f>IFERROR(M260/M202,"N/A")</f>
        <v>0.0511059633966186</v>
      </c>
      <c r="N33" s="19" t="n">
        <v>0.05</v>
      </c>
      <c r="O33" s="19" t="n">
        <v>0.05</v>
      </c>
      <c r="P33" s="19" t="n">
        <v>0.05</v>
      </c>
      <c r="Q33" s="19" t="n">
        <v>0.05</v>
      </c>
      <c r="R33" s="19" t="n">
        <v>0.05</v>
      </c>
    </row>
    <row r="34">
      <c r="C34" s="14" t="inlineStr">
        <is>
          <t>Short Term Financial Liabilities – Mandatory Paydown (%)</t>
        </is>
      </c>
      <c r="G34" s="28" t="inlineStr">
        <is>
          <t>N/A</t>
        </is>
      </c>
      <c r="H34" s="28">
        <f>IFERROR(1-H261/G261,"N/A")</f>
        <v>-0.00197127569698674</v>
      </c>
      <c r="I34" s="28">
        <f>IFERROR(1-I261/H261,"N/A")</f>
        <v>0.0129286115795391</v>
      </c>
      <c r="J34" s="28">
        <f>IFERROR(1-J261/I261,"N/A")</f>
        <v>-0.189350797266515</v>
      </c>
      <c r="K34" s="28">
        <f>IFERROR(1-K261/J261,"N/A")</f>
        <v>-0.0270529087862101</v>
      </c>
      <c r="L34" s="28">
        <f>IFERROR(1-L261/K261,"N/A")</f>
        <v>-0.00093240093240099</v>
      </c>
      <c r="M34" s="28">
        <f>IFERROR(1-M261/L261,"N/A")</f>
        <v>0.0961807172799255</v>
      </c>
      <c r="N34" s="19" t="n">
        <v>0.25</v>
      </c>
      <c r="O34" s="19" t="n">
        <v>0.25</v>
      </c>
      <c r="P34" s="19" t="n">
        <v>0.25</v>
      </c>
      <c r="Q34" s="19" t="n">
        <v>0.25</v>
      </c>
      <c r="R34" s="19" t="n">
        <v>0.25</v>
      </c>
    </row>
    <row r="35">
      <c r="C35" s="14" t="inlineStr">
        <is>
          <t>Short Term Financial Liabilities – Aggregate Interest Rate (%)</t>
        </is>
      </c>
      <c r="G35" s="28" t="inlineStr">
        <is>
          <t>N/A</t>
        </is>
      </c>
      <c r="H35" s="28">
        <f>IFERROR(-H218/G303,"N/A")</f>
        <v>0.0939456518176156</v>
      </c>
      <c r="I35" s="28">
        <f>IFERROR(-I218/H303,"N/A")</f>
        <v>0.0940788388586508</v>
      </c>
      <c r="J35" s="28">
        <f>IFERROR(-J218/I303,"N/A")</f>
        <v>0.0931145322280494</v>
      </c>
      <c r="K35" s="28">
        <f>IFERROR(-K218/J303,"N/A")</f>
        <v>0.0950129269288339</v>
      </c>
      <c r="L35" s="28">
        <f>IFERROR(-L218/K303,"N/A")</f>
        <v>0.0929439203536742</v>
      </c>
      <c r="M35" s="28">
        <f>IFERROR(-M218/L303,"N/A")</f>
        <v>0.0910116859004696</v>
      </c>
      <c r="N35" s="19" t="n">
        <v>0.105</v>
      </c>
      <c r="O35" s="19" t="n">
        <v>0.105</v>
      </c>
      <c r="P35" s="19" t="n">
        <v>0.105</v>
      </c>
      <c r="Q35" s="19" t="n">
        <v>0.105</v>
      </c>
      <c r="R35" s="19" t="n">
        <v>0.105</v>
      </c>
    </row>
    <row r="36">
      <c r="C36" s="3" t="inlineStr">
        <is>
          <t>Non-Current Liabilities:</t>
        </is>
      </c>
    </row>
    <row r="37">
      <c r="C37" s="14" t="inlineStr">
        <is>
          <t>Non-Current Loan – Mandatory Paydown (% Previous Year)</t>
        </is>
      </c>
      <c r="G37" s="28" t="inlineStr">
        <is>
          <t>N/A</t>
        </is>
      </c>
      <c r="H37" s="28">
        <f>IFERROR(1-H255/G255,"N/A")</f>
        <v>-0.0115739838665681</v>
      </c>
      <c r="I37" s="28">
        <f>IFERROR(1-I255/H255,"N/A")</f>
        <v>0.0523538022960166</v>
      </c>
      <c r="J37" s="28">
        <f>IFERROR(1-J255/I255,"N/A")</f>
        <v>0.028984918086101</v>
      </c>
      <c r="K37" s="28">
        <f>IFERROR(1-K255/J255,"N/A")</f>
        <v>0.0241982751402495</v>
      </c>
      <c r="L37" s="28">
        <f>IFERROR(1-L255/K255,"N/A")</f>
        <v>0.0395572335678737</v>
      </c>
      <c r="M37" s="28">
        <f>IFERROR(1-M255/L255,"N/A")</f>
        <v>0.0412311265969803</v>
      </c>
      <c r="N37" s="19" t="n">
        <v>0.1</v>
      </c>
      <c r="O37" s="19" t="n">
        <v>0.1</v>
      </c>
      <c r="P37" s="19" t="n">
        <v>0.1</v>
      </c>
      <c r="Q37" s="19" t="n">
        <v>0.1</v>
      </c>
      <c r="R37" s="19" t="n">
        <v>0.1</v>
      </c>
    </row>
    <row r="38">
      <c r="C38" s="14" t="inlineStr">
        <is>
          <t>Non-Current Loan – Aggregate Interest Rate (%)</t>
        </is>
      </c>
      <c r="G38" s="28" t="inlineStr">
        <is>
          <t>N/A</t>
        </is>
      </c>
      <c r="H38" s="28">
        <f>IFERROR(-H218/G303,"N/A")</f>
        <v>0.0939456518176156</v>
      </c>
      <c r="I38" s="28">
        <f>IFERROR(-I218/H303,"N/A")</f>
        <v>0.0940788388586508</v>
      </c>
      <c r="J38" s="28">
        <f>IFERROR(-J218/I303,"N/A")</f>
        <v>0.0931145322280494</v>
      </c>
      <c r="K38" s="28">
        <f>IFERROR(-K218/J303,"N/A")</f>
        <v>0.0950129269288339</v>
      </c>
      <c r="L38" s="28">
        <f>IFERROR(-L218/K303,"N/A")</f>
        <v>0.0929439203536742</v>
      </c>
      <c r="M38" s="28">
        <f>IFERROR(-M218/L303,"N/A")</f>
        <v>0.0910116859004696</v>
      </c>
      <c r="N38" s="19" t="n">
        <v>0.092</v>
      </c>
      <c r="O38" s="19" t="n">
        <v>0.092</v>
      </c>
      <c r="P38" s="19" t="n">
        <v>0.092</v>
      </c>
      <c r="Q38" s="19" t="n">
        <v>0.092</v>
      </c>
      <c r="R38" s="19" t="n">
        <v>0.092</v>
      </c>
    </row>
    <row r="39">
      <c r="C39" s="14" t="inlineStr">
        <is>
          <t>Other Long Term Liabilities (% Growth)</t>
        </is>
      </c>
      <c r="G39" s="28" t="inlineStr">
        <is>
          <t>N/A</t>
        </is>
      </c>
      <c r="H39" s="28">
        <f>IFERROR(H256/G256-1,"N/A")</f>
        <v>-0.0740037950664136</v>
      </c>
      <c r="I39" s="28">
        <f>IFERROR(I256/H256-1,"N/A")</f>
        <v>0.188524590163935</v>
      </c>
      <c r="J39" s="28">
        <f>IFERROR(J256/I256-1,"N/A")</f>
        <v>0.150862068965517</v>
      </c>
      <c r="K39" s="28">
        <f>IFERROR(K256/J256-1,"N/A")</f>
        <v>0.166292134831461</v>
      </c>
      <c r="L39" s="28">
        <f>IFERROR(L256/K256-1,"N/A")</f>
        <v>0.094412331406551</v>
      </c>
      <c r="M39" s="28">
        <f>IFERROR(M256/L256-1,"N/A")</f>
        <v>0.0944835680751173</v>
      </c>
      <c r="N39" s="19" t="n">
        <v>0.03</v>
      </c>
      <c r="O39" s="19" t="n">
        <v>0.03</v>
      </c>
      <c r="P39" s="19" t="n">
        <v>0.03</v>
      </c>
      <c r="Q39" s="19" t="n">
        <v>0.03</v>
      </c>
      <c r="R39" s="19" t="n">
        <v>0.03</v>
      </c>
    </row>
    <row r="40">
      <c r="C40" s="3" t="inlineStr">
        <is>
          <t>Organic CAPEX:</t>
        </is>
      </c>
    </row>
    <row r="41">
      <c r="C41" s="14" t="inlineStr">
        <is>
          <t>CAPEX (USD)</t>
        </is>
      </c>
      <c r="G41" s="26" t="n">
        <v>2105000</v>
      </c>
      <c r="H41" s="26" t="n">
        <v>1963000</v>
      </c>
      <c r="I41" s="26" t="n">
        <v>1868000</v>
      </c>
      <c r="J41" s="26" t="n">
        <v>2726000</v>
      </c>
      <c r="K41" s="26" t="n">
        <v>2829000</v>
      </c>
      <c r="L41" s="26" t="n">
        <v>3475000</v>
      </c>
      <c r="M41" s="26" t="n">
        <v>3106000</v>
      </c>
      <c r="N41" s="8">
        <f>N42*N115</f>
        <v>3862798.65292504</v>
      </c>
      <c r="O41" s="8">
        <f>O42*O115</f>
        <v>4139030.72327182</v>
      </c>
      <c r="P41" s="8">
        <f>P42*P115</f>
        <v>4428547.12735078</v>
      </c>
      <c r="Q41" s="8">
        <f>Q42*Q115</f>
        <v>4672214.99558033</v>
      </c>
      <c r="R41" s="8">
        <f>R42*R115</f>
        <v>5193606.21145509</v>
      </c>
    </row>
    <row r="42">
      <c r="C42" s="14" t="inlineStr">
        <is>
          <t>CAPEX (% of Sales)</t>
        </is>
      </c>
      <c r="G42" s="20">
        <f>IFERROR(G41/G115,"N/A")</f>
        <v>0.069719286753341</v>
      </c>
      <c r="H42" s="20">
        <f>IFERROR(H41/H115,"N/A")</f>
        <v>0.0698750004124245</v>
      </c>
      <c r="I42" s="20">
        <f>IFERROR(I41/I115,"N/A")</f>
        <v>0.0569314779581055</v>
      </c>
      <c r="J42" s="20">
        <f>IFERROR(J41/J115,"N/A")</f>
        <v>0.0727072112204849</v>
      </c>
      <c r="K42" s="20">
        <f>IFERROR(K41/K115,"N/A")</f>
        <v>0.0652075499069654</v>
      </c>
      <c r="L42" s="20">
        <f>IFERROR(L41/L115,"N/A")</f>
        <v>0.0717236589184843</v>
      </c>
      <c r="M42" s="20">
        <f>IFERROR(M41/M115,"N/A")</f>
        <v>0.0565296019622142</v>
      </c>
      <c r="N42" s="19" t="n">
        <v>0.062</v>
      </c>
      <c r="O42" s="19" t="n">
        <v>0.06</v>
      </c>
      <c r="P42" s="19" t="n">
        <v>0.058</v>
      </c>
      <c r="Q42" s="19" t="n">
        <v>0.055</v>
      </c>
      <c r="R42" s="19" t="n">
        <v>0.055</v>
      </c>
    </row>
    <row r="43">
      <c r="C43" s="3" t="inlineStr">
        <is>
          <t>Minimum Cash Sweep:</t>
        </is>
      </c>
    </row>
    <row r="44">
      <c r="C44" s="14" t="inlineStr">
        <is>
          <t>Minimum Cash (% of Revenue)</t>
        </is>
      </c>
      <c r="G44" s="20">
        <f>IFERROR(G250/G202,"N/A")</f>
        <v>0.0494824771541527</v>
      </c>
      <c r="H44" s="20">
        <f>IFERROR(H250/H202,"N/A")</f>
        <v>0.0488021526059266</v>
      </c>
      <c r="I44" s="20">
        <f>IFERROR(I250/I202,"N/A")</f>
        <v>0.0456853776548181</v>
      </c>
      <c r="J44" s="20">
        <f>IFERROR(J250/J202,"N/A")</f>
        <v>0.0371270865806732</v>
      </c>
      <c r="K44" s="20">
        <f>IFERROR(K250/K202,"N/A")</f>
        <v>0.0543511497633879</v>
      </c>
      <c r="L44" s="20">
        <f>IFERROR(L250/L202,"N/A")</f>
        <v>0.0332921616792849</v>
      </c>
      <c r="M44" s="20">
        <f>IFERROR(M250/M202,"N/A")</f>
        <v>0.0478845404902078</v>
      </c>
      <c r="N44" s="19" t="n">
        <v>0.025</v>
      </c>
      <c r="O44" s="19" t="n">
        <v>0.025</v>
      </c>
      <c r="P44" s="19" t="n">
        <v>0.025</v>
      </c>
      <c r="Q44" s="19" t="n">
        <v>0.025</v>
      </c>
      <c r="R44" s="19" t="n">
        <v>0.025</v>
      </c>
    </row>
    <row r="46">
      <c r="C46" s="3" t="inlineStr">
        <is>
          <t>2027 Add-On Acquisitions:</t>
        </is>
      </c>
    </row>
    <row r="47">
      <c r="C47" s="14" t="inlineStr">
        <is>
          <t>Toggle (On / Off)</t>
        </is>
      </c>
      <c r="E47" s="36" t="n">
        <v>1</v>
      </c>
    </row>
    <row r="48">
      <c r="C48" s="14" t="inlineStr">
        <is>
          <t>Acquired EBITDA (USD)</t>
        </is>
      </c>
      <c r="E48" s="26" t="n">
        <v>1350000</v>
      </c>
    </row>
    <row r="49">
      <c r="C49" s="14" t="inlineStr">
        <is>
          <t>EBITDA Multiple</t>
        </is>
      </c>
      <c r="E49" s="21" t="n">
        <v>6.2</v>
      </c>
    </row>
    <row r="50">
      <c r="C50" s="14" t="inlineStr">
        <is>
          <t>Follow-On Equity Financed (%)</t>
        </is>
      </c>
      <c r="E50" s="19" t="n">
        <v>0.55</v>
      </c>
    </row>
    <row r="51">
      <c r="C51" s="14" t="inlineStr">
        <is>
          <t>Sales Growth (%)</t>
        </is>
      </c>
      <c r="E51" s="19" t="n">
        <v>0.08</v>
      </c>
    </row>
    <row r="52">
      <c r="C52" s="14" t="inlineStr">
        <is>
          <t>Gross Profit Margin (%)</t>
        </is>
      </c>
      <c r="E52" s="19" t="n">
        <v>0.55</v>
      </c>
    </row>
    <row r="53">
      <c r="C53" s="14" t="inlineStr">
        <is>
          <t>EBITDA Margin (%)</t>
        </is>
      </c>
      <c r="E53" s="19" t="n">
        <v>0.19</v>
      </c>
    </row>
    <row r="54">
      <c r="C54" s="14" t="inlineStr">
        <is>
          <t>CAPEX (% of Sales)</t>
        </is>
      </c>
      <c r="E54" s="19" t="n">
        <v>0.03</v>
      </c>
    </row>
    <row r="55">
      <c r="C55" s="14" t="inlineStr">
        <is>
          <t>D&amp;A (% of CAPEX)</t>
        </is>
      </c>
      <c r="E55" s="19" t="n">
        <v>0.8</v>
      </c>
    </row>
    <row r="56">
      <c r="C56" s="14" t="inlineStr">
        <is>
          <t>Change in NWC (% of Sales)</t>
        </is>
      </c>
      <c r="E56" s="19" t="n">
        <v>0.015</v>
      </c>
    </row>
    <row r="58">
      <c r="C58" s="3" t="inlineStr">
        <is>
          <t>2028 Add-On Acquisitions:</t>
        </is>
      </c>
    </row>
    <row r="59">
      <c r="C59" s="14" t="inlineStr">
        <is>
          <t>Toggle (On / Off)</t>
        </is>
      </c>
      <c r="E59" s="36" t="n">
        <v>1</v>
      </c>
    </row>
    <row r="60">
      <c r="C60" s="14" t="inlineStr">
        <is>
          <t>Acquired EBITDA (USD)</t>
        </is>
      </c>
      <c r="E60" s="26" t="n">
        <v>1050000</v>
      </c>
    </row>
    <row r="61">
      <c r="C61" s="14" t="inlineStr">
        <is>
          <t>EBITDA Multiple</t>
        </is>
      </c>
      <c r="E61" s="21" t="n">
        <v>6.5</v>
      </c>
    </row>
    <row r="62">
      <c r="C62" s="14" t="inlineStr">
        <is>
          <t>Follow-On Equity Financed (%)</t>
        </is>
      </c>
      <c r="E62" s="19" t="n">
        <v>0.6</v>
      </c>
    </row>
    <row r="63">
      <c r="C63" s="14" t="inlineStr">
        <is>
          <t>Sales Growth (%)</t>
        </is>
      </c>
      <c r="E63" s="19" t="n">
        <v>0.075</v>
      </c>
    </row>
    <row r="64">
      <c r="C64" s="14" t="inlineStr">
        <is>
          <t>Gross Profit Margin (%)</t>
        </is>
      </c>
      <c r="E64" s="19" t="n">
        <v>0.53</v>
      </c>
    </row>
    <row r="65">
      <c r="C65" s="14" t="inlineStr">
        <is>
          <t>EBITDA Margin (%)</t>
        </is>
      </c>
      <c r="E65" s="19" t="n">
        <v>0.185</v>
      </c>
    </row>
    <row r="66">
      <c r="C66" s="14" t="inlineStr">
        <is>
          <t>CAPEX (% of Sales)</t>
        </is>
      </c>
      <c r="E66" s="19" t="n">
        <v>0.03</v>
      </c>
    </row>
    <row r="67">
      <c r="C67" s="14" t="inlineStr">
        <is>
          <t>D&amp;A (% of CAPEX)</t>
        </is>
      </c>
      <c r="E67" s="19" t="n">
        <v>0.8</v>
      </c>
    </row>
    <row r="68">
      <c r="C68" s="14" t="inlineStr">
        <is>
          <t>Change in NWC (% of Sales)</t>
        </is>
      </c>
      <c r="E68" s="19" t="n">
        <v>0.015</v>
      </c>
    </row>
    <row r="70">
      <c r="C70" s="3" t="inlineStr">
        <is>
          <t>2029 Add-On Acquisitions:</t>
        </is>
      </c>
    </row>
    <row r="71">
      <c r="C71" s="14" t="inlineStr">
        <is>
          <t>Toggle (On / Off)</t>
        </is>
      </c>
      <c r="E71" s="36" t="n">
        <v>1</v>
      </c>
    </row>
    <row r="72">
      <c r="C72" s="14" t="inlineStr">
        <is>
          <t>Acquired EBITDA (USD)</t>
        </is>
      </c>
      <c r="E72" s="26" t="n">
        <v>620000</v>
      </c>
    </row>
    <row r="73">
      <c r="C73" s="14" t="inlineStr">
        <is>
          <t>EBITDA Multiple</t>
        </is>
      </c>
      <c r="E73" s="21" t="n">
        <v>5.8</v>
      </c>
    </row>
    <row r="74">
      <c r="C74" s="14" t="inlineStr">
        <is>
          <t>Follow-On Equity Financed (%)</t>
        </is>
      </c>
      <c r="E74" s="19" t="n">
        <v>0.5</v>
      </c>
    </row>
    <row r="75">
      <c r="C75" s="14" t="inlineStr">
        <is>
          <t>Sales Growth (%)</t>
        </is>
      </c>
      <c r="E75" s="19" t="n">
        <v>0.07000000000000001</v>
      </c>
    </row>
    <row r="76">
      <c r="C76" s="14" t="inlineStr">
        <is>
          <t>Gross Profit Margin (%)</t>
        </is>
      </c>
      <c r="E76" s="19" t="n">
        <v>0.52</v>
      </c>
    </row>
    <row r="77">
      <c r="C77" s="14" t="inlineStr">
        <is>
          <t>EBITDA Margin (%)</t>
        </is>
      </c>
      <c r="E77" s="19" t="n">
        <v>0.18</v>
      </c>
    </row>
    <row r="78">
      <c r="C78" s="14" t="inlineStr">
        <is>
          <t>CAPEX (% of Sales)</t>
        </is>
      </c>
      <c r="E78" s="19" t="n">
        <v>0.028</v>
      </c>
    </row>
    <row r="79">
      <c r="C79" s="14" t="inlineStr">
        <is>
          <t>D&amp;A (% of CAPEX)</t>
        </is>
      </c>
      <c r="E79" s="19" t="n">
        <v>0.8</v>
      </c>
    </row>
    <row r="80">
      <c r="C80" s="14" t="inlineStr">
        <is>
          <t>Change in NWC (% of Sales)</t>
        </is>
      </c>
      <c r="E80" s="19" t="n">
        <v>0.012</v>
      </c>
    </row>
    <row r="82">
      <c r="C82" s="3" t="inlineStr">
        <is>
          <t>2030 Add-On Acquisitions:</t>
        </is>
      </c>
    </row>
    <row r="83">
      <c r="C83" s="14" t="inlineStr">
        <is>
          <t>Toggle (On / Off)</t>
        </is>
      </c>
      <c r="E83" s="36" t="n">
        <v>1</v>
      </c>
    </row>
    <row r="84">
      <c r="C84" s="14" t="inlineStr">
        <is>
          <t>Acquired EBITDA (USD)</t>
        </is>
      </c>
      <c r="E84" s="26" t="n">
        <v>380000</v>
      </c>
    </row>
    <row r="85">
      <c r="C85" s="14" t="inlineStr">
        <is>
          <t>EBITDA Multiple</t>
        </is>
      </c>
      <c r="E85" s="21" t="n">
        <v>6</v>
      </c>
    </row>
    <row r="86">
      <c r="C86" s="14" t="inlineStr">
        <is>
          <t>Follow-On Equity Financed (%)</t>
        </is>
      </c>
      <c r="E86" s="19" t="n">
        <v>0.5</v>
      </c>
    </row>
    <row r="87">
      <c r="C87" s="14" t="inlineStr">
        <is>
          <t>Sales Growth (%)</t>
        </is>
      </c>
      <c r="E87" s="19" t="n">
        <v>0.07000000000000001</v>
      </c>
    </row>
    <row r="88">
      <c r="C88" s="14" t="inlineStr">
        <is>
          <t>Gross Profit Margin (%)</t>
        </is>
      </c>
      <c r="E88" s="19" t="n">
        <v>0.5</v>
      </c>
    </row>
    <row r="89">
      <c r="C89" s="14" t="inlineStr">
        <is>
          <t>EBITDA Margin (%)</t>
        </is>
      </c>
      <c r="E89" s="19" t="n">
        <v>0.17</v>
      </c>
    </row>
    <row r="90">
      <c r="C90" s="14" t="inlineStr">
        <is>
          <t>CAPEX (% of Sales)</t>
        </is>
      </c>
      <c r="E90" s="19" t="n">
        <v>0.028</v>
      </c>
    </row>
    <row r="91">
      <c r="C91" s="14" t="inlineStr">
        <is>
          <t>D&amp;A (% of CAPEX)</t>
        </is>
      </c>
      <c r="E91" s="19" t="n">
        <v>0.8</v>
      </c>
    </row>
    <row r="92">
      <c r="C92" s="14" t="inlineStr">
        <is>
          <t>Change in NWC (% of Sales)</t>
        </is>
      </c>
      <c r="E92" s="19" t="n">
        <v>0.012</v>
      </c>
    </row>
    <row r="94">
      <c r="C94" s="3" t="inlineStr">
        <is>
          <t>2031 Add-On Acquisitions:</t>
        </is>
      </c>
    </row>
    <row r="95">
      <c r="C95" s="14" t="inlineStr">
        <is>
          <t>Toggle (On / Off)</t>
        </is>
      </c>
      <c r="E95" s="36" t="n">
        <v>0</v>
      </c>
      <c r="F95" s="10" t="inlineStr">
        <is>
          <t>TO UPDATE – beyond model horizon</t>
        </is>
      </c>
    </row>
    <row r="96">
      <c r="C96" s="14" t="inlineStr">
        <is>
          <t>Acquired EBITDA (USD)</t>
        </is>
      </c>
      <c r="E96" s="26" t="n">
        <v>900000</v>
      </c>
    </row>
    <row r="97">
      <c r="C97" s="14" t="inlineStr">
        <is>
          <t>EBITDA Multiple</t>
        </is>
      </c>
      <c r="E97" s="21" t="n">
        <v>6</v>
      </c>
    </row>
    <row r="98">
      <c r="C98" s="14" t="inlineStr">
        <is>
          <t>Follow-On Equity Financed (%)</t>
        </is>
      </c>
      <c r="E98" s="19" t="n">
        <v>0.6</v>
      </c>
    </row>
    <row r="99">
      <c r="C99" s="14" t="inlineStr">
        <is>
          <t>Sales Growth (%)</t>
        </is>
      </c>
      <c r="E99" s="19" t="n">
        <v>0.07000000000000001</v>
      </c>
    </row>
    <row r="100">
      <c r="C100" s="14" t="inlineStr">
        <is>
          <t>Gross Profit Margin (%)</t>
        </is>
      </c>
      <c r="E100" s="19" t="n">
        <v>0.5</v>
      </c>
    </row>
    <row r="101">
      <c r="C101" s="14" t="inlineStr">
        <is>
          <t>EBITDA Margin (%)</t>
        </is>
      </c>
      <c r="E101" s="19" t="n">
        <v>0.18</v>
      </c>
    </row>
    <row r="102">
      <c r="C102" s="14" t="inlineStr">
        <is>
          <t>CAPEX (% of Sales)</t>
        </is>
      </c>
      <c r="E102" s="19" t="n">
        <v>0.03</v>
      </c>
    </row>
    <row r="103">
      <c r="C103" s="14" t="inlineStr">
        <is>
          <t>D&amp;A (% of CAPEX)</t>
        </is>
      </c>
      <c r="E103" s="19" t="n">
        <v>0.8</v>
      </c>
    </row>
    <row r="104">
      <c r="C104" s="14" t="inlineStr">
        <is>
          <t>Change in NWC (% of Sales)</t>
        </is>
      </c>
      <c r="E104" s="19" t="n">
        <v>0.015</v>
      </c>
    </row>
    <row r="106">
      <c r="C106" s="12" t="inlineStr">
        <is>
          <t>Financial Statements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</row>
    <row r="107">
      <c r="C107" s="25" t="inlineStr">
        <is>
          <t>A</t>
        </is>
      </c>
      <c r="D107" s="25" t="inlineStr">
        <is>
          <t>Organic Business Income Statement</t>
        </is>
      </c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</row>
    <row r="108">
      <c r="C108" s="3" t="inlineStr">
        <is>
          <t>Revenue:</t>
        </is>
      </c>
    </row>
    <row r="109">
      <c r="C109" s="14" t="inlineStr">
        <is>
          <t>AHG Central</t>
        </is>
      </c>
      <c r="G109" s="32">
        <f>'1. AHG Central'!G146</f>
        <v>9834918.73</v>
      </c>
      <c r="H109" s="32">
        <f>'1. AHG Central'!H146</f>
        <v>9229324.905</v>
      </c>
      <c r="I109" s="32">
        <f>'1. AHG Central'!I146</f>
        <v>10665792.72</v>
      </c>
      <c r="J109" s="32">
        <f>'1. AHG Central'!J146</f>
        <v>11768515.65</v>
      </c>
      <c r="K109" s="32">
        <f>'1. AHG Central'!K146</f>
        <v>13965228.205</v>
      </c>
      <c r="L109" s="32">
        <f>'1. AHG Central'!L146</f>
        <v>15347542.15</v>
      </c>
      <c r="M109" s="32">
        <f>'1. AHG Central'!M146</f>
        <v>17493734.405</v>
      </c>
      <c r="N109" s="32">
        <f>'1. AHG Central'!N146</f>
        <v>19741465.1447731</v>
      </c>
      <c r="O109" s="32">
        <f>'1. AHG Central'!O146</f>
        <v>21829219.7357176</v>
      </c>
      <c r="P109" s="32">
        <f>'1. AHG Central'!P146</f>
        <v>24207100.1734927</v>
      </c>
      <c r="Q109" s="32">
        <f>'1. AHG Central'!Q146</f>
        <v>26735101.4341952</v>
      </c>
      <c r="R109" s="32">
        <f>'1. AHG Central'!R146</f>
        <v>29519956.6038677</v>
      </c>
    </row>
    <row r="110">
      <c r="C110" s="14" t="inlineStr">
        <is>
          <t>AHG Coast</t>
        </is>
      </c>
      <c r="G110" s="32">
        <f>'2. AHG Coast'!G146</f>
        <v>6139038.01</v>
      </c>
      <c r="H110" s="32">
        <f>'2. AHG Coast'!H146</f>
        <v>5754231.855</v>
      </c>
      <c r="I110" s="32">
        <f>'2. AHG Coast'!I146</f>
        <v>6711743.35</v>
      </c>
      <c r="J110" s="32">
        <f>'2. AHG Coast'!J146</f>
        <v>7657386.405</v>
      </c>
      <c r="K110" s="32">
        <f>'2. AHG Coast'!K146</f>
        <v>8878624.065</v>
      </c>
      <c r="L110" s="32">
        <f>'2. AHG Coast'!L146</f>
        <v>9890708.2</v>
      </c>
      <c r="M110" s="32">
        <f>'2. AHG Coast'!M146</f>
        <v>11387679.35</v>
      </c>
      <c r="N110" s="32">
        <f>'2. AHG Coast'!N146</f>
        <v>12724856.2896897</v>
      </c>
      <c r="O110" s="32">
        <f>'2. AHG Coast'!O146</f>
        <v>14171334.8651237</v>
      </c>
      <c r="P110" s="32">
        <f>'2. AHG Coast'!P146</f>
        <v>15538789.8593485</v>
      </c>
      <c r="Q110" s="32">
        <f>'2. AHG Coast'!Q146</f>
        <v>17273334.9031746</v>
      </c>
      <c r="R110" s="32">
        <f>'2. AHG Coast'!R146</f>
        <v>19264521.2245337</v>
      </c>
    </row>
    <row r="111">
      <c r="C111" s="14" t="inlineStr">
        <is>
          <t>AHG North</t>
        </is>
      </c>
      <c r="G111" s="32">
        <f>'3. AHG North'!G157</f>
        <v>8575819.985</v>
      </c>
      <c r="H111" s="32">
        <f>'3. AHG North'!H157</f>
        <v>7926037.465</v>
      </c>
      <c r="I111" s="32">
        <f>'3. AHG North'!I157</f>
        <v>9314827.305</v>
      </c>
      <c r="J111" s="32">
        <f>'3. AHG North'!J157</f>
        <v>10904446.265</v>
      </c>
      <c r="K111" s="32">
        <f>'3. AHG North'!K157</f>
        <v>12468713.895</v>
      </c>
      <c r="L111" s="32">
        <f>'3. AHG North'!L157</f>
        <v>13947861.705</v>
      </c>
      <c r="M111" s="32">
        <f>'3. AHG North'!M157</f>
        <v>15553005.47</v>
      </c>
      <c r="N111" s="32">
        <f>'3. AHG North'!N157</f>
        <v>17842007.2863533</v>
      </c>
      <c r="O111" s="32">
        <f>'3. AHG North'!O157</f>
        <v>19735456.8063524</v>
      </c>
      <c r="P111" s="32">
        <f>'3. AHG North'!P157</f>
        <v>21747045.1374143</v>
      </c>
      <c r="Q111" s="32">
        <f>'3. AHG North'!Q157</f>
        <v>24220648.5451376</v>
      </c>
      <c r="R111" s="32">
        <f>'3. AHG North'!R157</f>
        <v>26904196.5031324</v>
      </c>
    </row>
    <row r="112">
      <c r="C112" s="14" t="inlineStr">
        <is>
          <t>AHG Park</t>
        </is>
      </c>
      <c r="G112" s="32">
        <f>'4. AHG Park'!G146</f>
        <v>5331084.51</v>
      </c>
      <c r="H112" s="32">
        <f>'4. AHG Park'!H146</f>
        <v>4939478.865</v>
      </c>
      <c r="I112" s="32">
        <f>'4. AHG Park'!I146</f>
        <v>5765680.35</v>
      </c>
      <c r="J112" s="32">
        <f>'4. AHG Park'!J146</f>
        <v>6728818.92</v>
      </c>
      <c r="K112" s="32">
        <f>'4. AHG Park'!K146</f>
        <v>7536185.625</v>
      </c>
      <c r="L112" s="32">
        <f>'4. AHG Park'!L146</f>
        <v>8576430.75</v>
      </c>
      <c r="M112" s="32">
        <f>'4. AHG Park'!M146</f>
        <v>9652605.025</v>
      </c>
      <c r="N112" s="32">
        <f>'4. AHG Park'!N146</f>
        <v>10924987.7986201</v>
      </c>
      <c r="O112" s="32">
        <f>'4. AHG Park'!O146</f>
        <v>11972835.4756699</v>
      </c>
      <c r="P112" s="32">
        <f>'4. AHG Park'!P146</f>
        <v>13367952.3280123</v>
      </c>
      <c r="Q112" s="32">
        <f>'4. AHG Park'!Q146</f>
        <v>14960773.6502429</v>
      </c>
      <c r="R112" s="32">
        <f>'4. AHG Park'!R146</f>
        <v>16640244.8569184</v>
      </c>
    </row>
    <row r="113">
      <c r="C113" s="14" t="inlineStr">
        <is>
          <t>AHG Diagnostics</t>
        </is>
      </c>
      <c r="G113" s="32">
        <f>'5. AHG Diagnostics'!G32</f>
        <v>1082645</v>
      </c>
      <c r="H113" s="32">
        <f>'5. AHG Diagnostics'!H32</f>
        <v>1073950</v>
      </c>
      <c r="I113" s="32">
        <f>'5. AHG Diagnostics'!I32</f>
        <v>1193330</v>
      </c>
      <c r="J113" s="32">
        <f>'5. AHG Diagnostics'!J32</f>
        <v>1340675</v>
      </c>
      <c r="K113" s="32">
        <f>'5. AHG Diagnostics'!K32</f>
        <v>1479795</v>
      </c>
      <c r="L113" s="32">
        <f>'5. AHG Diagnostics'!L32</f>
        <v>1687300</v>
      </c>
      <c r="M113" s="32">
        <f>'5. AHG Diagnostics'!M32</f>
        <v>1885640</v>
      </c>
      <c r="N113" s="32">
        <f>'5. AHG Diagnostics'!N32</f>
        <v>2128887.56</v>
      </c>
      <c r="O113" s="32">
        <f>'5. AHG Diagnostics'!O32</f>
        <v>2394998.505</v>
      </c>
      <c r="P113" s="32">
        <f>'5. AHG Diagnostics'!P32</f>
        <v>2694373.318125</v>
      </c>
      <c r="Q113" s="32">
        <f>'5. AHG Diagnostics'!Q32</f>
        <v>2966505.02325562</v>
      </c>
      <c r="R113" s="32">
        <f>'5. AHG Diagnostics'!R32</f>
        <v>3340284.65618583</v>
      </c>
    </row>
    <row r="114">
      <c r="C114" s="14" t="inlineStr">
        <is>
          <t>Non-Consolidated Entity Adjustment</t>
        </is>
      </c>
      <c r="G114" s="26" t="n">
        <v>-771000</v>
      </c>
      <c r="H114" s="26" t="n">
        <v>-830000</v>
      </c>
      <c r="I114" s="26" t="n">
        <v>-840000</v>
      </c>
      <c r="J114" s="26" t="n">
        <v>-907000</v>
      </c>
      <c r="K114" s="26" t="n">
        <v>-944000</v>
      </c>
      <c r="L114" s="26" t="n">
        <v>-1000000</v>
      </c>
      <c r="M114" s="26" t="n">
        <v>-1028000</v>
      </c>
      <c r="N114" s="26" t="n">
        <v>-1059000</v>
      </c>
      <c r="O114" s="26" t="n">
        <v>-1120000</v>
      </c>
      <c r="P114" s="26" t="n">
        <v>-1201000</v>
      </c>
      <c r="Q114" s="26" t="n">
        <v>-1207000</v>
      </c>
      <c r="R114" s="26" t="n">
        <v>-1240000</v>
      </c>
    </row>
    <row r="115">
      <c r="C115" s="3" t="inlineStr">
        <is>
          <t>Revenue</t>
        </is>
      </c>
      <c r="G115" s="30">
        <f>G109+G110+G111+G112+G113+G114</f>
        <v>30192506.235</v>
      </c>
      <c r="H115" s="30">
        <f>H109+H110+H111+H112+H113+H114</f>
        <v>28093023.09</v>
      </c>
      <c r="I115" s="30">
        <f>I109+I110+I111+I112+I113+I114</f>
        <v>32811373.725</v>
      </c>
      <c r="J115" s="30">
        <f>J109+J110+J111+J112+J113+J114</f>
        <v>37492842.24</v>
      </c>
      <c r="K115" s="30">
        <f>K109+K110+K111+K112+K113+K114</f>
        <v>43384546.79</v>
      </c>
      <c r="L115" s="30">
        <f>L109+L110+L111+L112+L113+L114</f>
        <v>48449842.805</v>
      </c>
      <c r="M115" s="30">
        <f>M109+M110+M111+M112+M113+M114</f>
        <v>54944664.25</v>
      </c>
      <c r="N115" s="30">
        <f>N109+N110+N111+N112+N113+N114</f>
        <v>62303204.0794361</v>
      </c>
      <c r="O115" s="30">
        <f>O109+O110+O111+O112+O113+O114</f>
        <v>68983845.3878636</v>
      </c>
      <c r="P115" s="30">
        <f>P109+P110+P111+P112+P113+P114</f>
        <v>76354260.8163928</v>
      </c>
      <c r="Q115" s="30">
        <f>Q109+Q110+Q111+Q112+Q113+Q114</f>
        <v>84949363.5560059</v>
      </c>
      <c r="R115" s="30">
        <f>R109+R110+R111+R112+R113+R114</f>
        <v>94429203.8446381</v>
      </c>
    </row>
    <row r="116">
      <c r="C116" s="33" t="inlineStr">
        <is>
          <t>Growth (%)</t>
        </is>
      </c>
      <c r="G116" s="20" t="str">
        <f>IFERROR(G115/F115-1,"N/A")</f>
        <v>N/A</v>
      </c>
      <c r="H116" s="20">
        <f>IFERROR(H115/G115-1,"N/A")</f>
        <v>-0.0695365640950411</v>
      </c>
      <c r="I116" s="20">
        <f>IFERROR(I115/H115-1,"N/A")</f>
        <v>0.167954535184202</v>
      </c>
      <c r="J116" s="20">
        <f>IFERROR(J115/I115-1,"N/A")</f>
        <v>0.142678223540304</v>
      </c>
      <c r="K116" s="20">
        <f>IFERROR(K115/J115-1,"N/A")</f>
        <v>0.157142115614652</v>
      </c>
      <c r="L116" s="20">
        <f>IFERROR(L115/K115-1,"N/A")</f>
        <v>0.116753461538235</v>
      </c>
      <c r="M116" s="20">
        <f>IFERROR(M115/L115-1,"N/A")</f>
        <v>0.134052477138888</v>
      </c>
      <c r="N116" s="20">
        <f>IFERROR(N115/M115-1,"N/A")</f>
        <v>0.133926377199332</v>
      </c>
      <c r="O116" s="20">
        <f>IFERROR(O115/N115-1,"N/A")</f>
        <v>0.107227893125844</v>
      </c>
      <c r="P116" s="20">
        <f>IFERROR(P115/O115-1,"N/A")</f>
        <v>0.106842629416914</v>
      </c>
      <c r="Q116" s="20">
        <f>IFERROR(Q115/P115-1,"N/A")</f>
        <v>0.112568737457646</v>
      </c>
      <c r="R116" s="20">
        <f>IFERROR(R115/Q115-1,"N/A")</f>
        <v>0.111594011912546</v>
      </c>
    </row>
    <row r="117">
      <c r="C117" s="14" t="inlineStr">
        <is>
          <t>(-) COGS</t>
        </is>
      </c>
      <c r="G117" s="32">
        <f>'1. AHG Central'!G149+'2. AHG Coast'!G149+'3. AHG North'!G160+'4. AHG Park'!G149+'5. AHG Diagnostics'!G34</f>
        <v>-9175246</v>
      </c>
      <c r="H117" s="32">
        <f>'1. AHG Central'!H149+'2. AHG Coast'!H149+'3. AHG North'!H160+'4. AHG Park'!H149+'5. AHG Diagnostics'!H34</f>
        <v>-8659233</v>
      </c>
      <c r="I117" s="32">
        <f>'1. AHG Central'!I149+'2. AHG Coast'!I149+'3. AHG North'!I160+'4. AHG Park'!I149+'5. AHG Diagnostics'!I34</f>
        <v>-9899516</v>
      </c>
      <c r="J117" s="32">
        <f>'1. AHG Central'!J149+'2. AHG Coast'!J149+'3. AHG North'!J160+'4. AHG Park'!J149+'5. AHG Diagnostics'!J34</f>
        <v>-11829030.5</v>
      </c>
      <c r="K117" s="32">
        <f>'1. AHG Central'!K149+'2. AHG Coast'!K149+'3. AHG North'!K160+'4. AHG Park'!K149+'5. AHG Diagnostics'!K34</f>
        <v>-12979120.5</v>
      </c>
      <c r="L117" s="32">
        <f>'1. AHG Central'!L149+'2. AHG Coast'!L149+'3. AHG North'!L160+'4. AHG Park'!L149+'5. AHG Diagnostics'!L34</f>
        <v>-15087047</v>
      </c>
      <c r="M117" s="32">
        <f>'1. AHG Central'!M149+'2. AHG Coast'!M149+'3. AHG North'!M160+'4. AHG Park'!M149+'5. AHG Diagnostics'!M34</f>
        <v>-17027207</v>
      </c>
      <c r="N117" s="32">
        <f>'1. AHG Central'!N149+'2. AHG Coast'!N149+'3. AHG North'!N160+'4. AHG Park'!N149+'5. AHG Diagnostics'!N34</f>
        <v>-18734923.0154184</v>
      </c>
      <c r="O117" s="32">
        <f>'1. AHG Central'!O149+'2. AHG Coast'!O149+'3. AHG North'!O160+'4. AHG Park'!O149+'5. AHG Diagnostics'!O34</f>
        <v>-20911037.8344644</v>
      </c>
      <c r="P117" s="32">
        <f>'1. AHG Central'!P149+'2. AHG Coast'!P149+'3. AHG North'!P160+'4. AHG Park'!P149+'5. AHG Diagnostics'!P34</f>
        <v>-22964027.4384077</v>
      </c>
      <c r="Q117" s="32">
        <f>'1. AHG Central'!Q149+'2. AHG Coast'!Q149+'3. AHG North'!Q160+'4. AHG Park'!Q149+'5. AHG Diagnostics'!Q34</f>
        <v>-25755505.5636631</v>
      </c>
      <c r="R117" s="32">
        <f>'1. AHG Central'!R149+'2. AHG Coast'!R149+'3. AHG North'!R160+'4. AHG Park'!R149+'5. AHG Diagnostics'!R34</f>
        <v>-28535227.3000157</v>
      </c>
    </row>
    <row r="118">
      <c r="C118" s="14" t="inlineStr">
        <is>
          <t>(-) Non-Consolidated Entity Adjustment</t>
        </is>
      </c>
      <c r="G118" s="26" t="n">
        <v>257000</v>
      </c>
      <c r="H118" s="26" t="n">
        <v>270000</v>
      </c>
      <c r="I118" s="26" t="n">
        <v>280000</v>
      </c>
      <c r="J118" s="26" t="n">
        <v>299000</v>
      </c>
      <c r="K118" s="26" t="n">
        <v>322000</v>
      </c>
      <c r="L118" s="26" t="n">
        <v>335000</v>
      </c>
      <c r="M118" s="26" t="n">
        <v>354000</v>
      </c>
      <c r="N118" s="26" t="n">
        <v>353000</v>
      </c>
      <c r="O118" s="26" t="n">
        <v>375000</v>
      </c>
      <c r="P118" s="26" t="n">
        <v>381000</v>
      </c>
      <c r="Q118" s="26" t="n">
        <v>408000</v>
      </c>
      <c r="R118" s="26" t="n">
        <v>410000</v>
      </c>
    </row>
    <row r="119">
      <c r="C119" s="3" t="inlineStr">
        <is>
          <t>Gross Margin</t>
        </is>
      </c>
      <c r="G119" s="30">
        <f>G115+G117+G118</f>
        <v>21274260.235</v>
      </c>
      <c r="H119" s="30">
        <f>H115+H117+H118</f>
        <v>19703790.09</v>
      </c>
      <c r="I119" s="30">
        <f>I115+I117+I118</f>
        <v>23191857.725</v>
      </c>
      <c r="J119" s="30">
        <f>J115+J117+J118</f>
        <v>25962811.74</v>
      </c>
      <c r="K119" s="30">
        <f>K115+K117+K118</f>
        <v>30727426.29</v>
      </c>
      <c r="L119" s="30">
        <f>L115+L117+L118</f>
        <v>33697795.805</v>
      </c>
      <c r="M119" s="30">
        <f>M115+M117+M118</f>
        <v>38271457.25</v>
      </c>
      <c r="N119" s="30">
        <f>N115+N117+N118</f>
        <v>43921281.0640177</v>
      </c>
      <c r="O119" s="30">
        <f>O115+O117+O118</f>
        <v>48447807.5533992</v>
      </c>
      <c r="P119" s="30">
        <f>P115+P117+P118</f>
        <v>53771233.3779851</v>
      </c>
      <c r="Q119" s="30">
        <f>Q115+Q117+Q118</f>
        <v>59601857.9923428</v>
      </c>
      <c r="R119" s="30">
        <f>R115+R117+R118</f>
        <v>66303976.5446224</v>
      </c>
    </row>
    <row r="120">
      <c r="C120" s="33" t="inlineStr">
        <is>
          <t>Margin (%)</t>
        </is>
      </c>
      <c r="G120" s="20">
        <f>IFERROR(G119/G$115,"N/A")</f>
        <v>0.70462054621813</v>
      </c>
      <c r="H120" s="20">
        <f>IFERROR(H119/H$115,"N/A")</f>
        <v>0.701376638138092</v>
      </c>
      <c r="I120" s="20">
        <f>IFERROR(I119/I$115,"N/A")</f>
        <v>0.706823734945587</v>
      </c>
      <c r="J120" s="20">
        <f>IFERROR(J119/J$115,"N/A")</f>
        <v>0.692473821371191</v>
      </c>
      <c r="K120" s="20">
        <f>IFERROR(K119/K$115,"N/A")</f>
        <v>0.708257399546757</v>
      </c>
      <c r="L120" s="20">
        <f>IFERROR(L119/L$115,"N/A")</f>
        <v>0.695519197876993</v>
      </c>
      <c r="M120" s="20">
        <f>IFERROR(M119/M$115,"N/A")</f>
        <v>0.696545474841081</v>
      </c>
      <c r="N120" s="20">
        <f>IFERROR(N119/N$115,"N/A")</f>
        <v>0.704960229782379</v>
      </c>
      <c r="O120" s="20">
        <f>IFERROR(O119/O$115,"N/A")</f>
        <v>0.70230656584886</v>
      </c>
      <c r="P120" s="20">
        <f>IFERROR(P119/P$115,"N/A")</f>
        <v>0.704233566051899</v>
      </c>
      <c r="Q120" s="20">
        <f>IFERROR(Q119/Q$115,"N/A")</f>
        <v>0.701616298196845</v>
      </c>
      <c r="R120" s="20">
        <f>IFERROR(R119/R$115,"N/A")</f>
        <v>0.702155412150998</v>
      </c>
    </row>
    <row r="121">
      <c r="C121" s="14" t="inlineStr">
        <is>
          <t>(-) Payroll</t>
        </is>
      </c>
      <c r="G121" s="32">
        <f>'1. AHG Central'!G152+'2. AHG Coast'!G152+'3. AHG North'!G163+'4. AHG Park'!G152+'5. AHG Diagnostics'!G37</f>
        <v>-10115669</v>
      </c>
      <c r="H121" s="32">
        <f>'1. AHG Central'!H152+'2. AHG Coast'!H152+'3. AHG North'!H163+'4. AHG Park'!H152+'5. AHG Diagnostics'!H37</f>
        <v>-9462886</v>
      </c>
      <c r="I121" s="32">
        <f>'1. AHG Central'!I152+'2. AHG Coast'!I152+'3. AHG North'!I163+'4. AHG Park'!I152+'5. AHG Diagnostics'!I37</f>
        <v>-10594270</v>
      </c>
      <c r="J121" s="32">
        <f>'1. AHG Central'!J152+'2. AHG Coast'!J152+'3. AHG North'!J163+'4. AHG Park'!J152+'5. AHG Diagnostics'!J37</f>
        <v>-12467549</v>
      </c>
      <c r="K121" s="32">
        <f>'1. AHG Central'!K152+'2. AHG Coast'!K152+'3. AHG North'!K163+'4. AHG Park'!K152+'5. AHG Diagnostics'!K37</f>
        <v>-14663530</v>
      </c>
      <c r="L121" s="32">
        <f>'1. AHG Central'!L152+'2. AHG Coast'!L152+'3. AHG North'!L163+'4. AHG Park'!L152+'5. AHG Diagnostics'!L37</f>
        <v>-16838948.5</v>
      </c>
      <c r="M121" s="32">
        <f>'1. AHG Central'!M152+'2. AHG Coast'!M152+'3. AHG North'!M163+'4. AHG Park'!M152+'5. AHG Diagnostics'!M37</f>
        <v>-18109499.5</v>
      </c>
      <c r="N121" s="32">
        <f>'1. AHG Central'!N152+'2. AHG Coast'!N152+'3. AHG North'!N163+'4. AHG Park'!N152+'5. AHG Diagnostics'!N37</f>
        <v>-20830130.8108291</v>
      </c>
      <c r="O121" s="32">
        <f>'1. AHG Central'!O152+'2. AHG Coast'!O152+'3. AHG North'!O163+'4. AHG Park'!O152+'5. AHG Diagnostics'!O37</f>
        <v>-22736440.6267386</v>
      </c>
      <c r="P121" s="32">
        <f>'1. AHG Central'!P152+'2. AHG Coast'!P152+'3. AHG North'!P163+'4. AHG Park'!P152+'5. AHG Diagnostics'!P37</f>
        <v>-25057890.8756826</v>
      </c>
      <c r="Q121" s="32">
        <f>'1. AHG Central'!Q152+'2. AHG Coast'!Q152+'3. AHG North'!Q163+'4. AHG Park'!Q152+'5. AHG Diagnostics'!Q37</f>
        <v>-27459878.7975057</v>
      </c>
      <c r="R121" s="32">
        <f>'1. AHG Central'!R152+'2. AHG Coast'!R152+'3. AHG North'!R163+'4. AHG Park'!R152+'5. AHG Diagnostics'!R37</f>
        <v>-31553641.3323178</v>
      </c>
    </row>
    <row r="122">
      <c r="C122" s="14" t="inlineStr">
        <is>
          <t>(-) OPEX</t>
        </is>
      </c>
      <c r="G122" s="32">
        <f>'1. AHG Central'!G153+'2. AHG Coast'!G153+'3. AHG North'!G164+'4. AHG Park'!G153+'5. AHG Diagnostics'!G38</f>
        <v>-4324611</v>
      </c>
      <c r="H122" s="32">
        <f>'1. AHG Central'!H153+'2. AHG Coast'!H153+'3. AHG North'!H164+'4. AHG Park'!H153+'5. AHG Diagnostics'!H38</f>
        <v>-4007502</v>
      </c>
      <c r="I122" s="32">
        <f>'1. AHG Central'!I153+'2. AHG Coast'!I153+'3. AHG North'!I164+'4. AHG Park'!I153+'5. AHG Diagnostics'!I38</f>
        <v>-4755648</v>
      </c>
      <c r="J122" s="32">
        <f>'1. AHG Central'!J153+'2. AHG Coast'!J153+'3. AHG North'!J164+'4. AHG Park'!J153+'5. AHG Diagnostics'!J38</f>
        <v>-5431602</v>
      </c>
      <c r="K122" s="32">
        <f>'1. AHG Central'!K153+'2. AHG Coast'!K153+'3. AHG North'!K164+'4. AHG Park'!K153+'5. AHG Diagnostics'!K38</f>
        <v>-6144686</v>
      </c>
      <c r="L122" s="32">
        <f>'1. AHG Central'!L153+'2. AHG Coast'!L153+'3. AHG North'!L164+'4. AHG Park'!L153+'5. AHG Diagnostics'!L38</f>
        <v>-6990451</v>
      </c>
      <c r="M122" s="32">
        <f>'1. AHG Central'!M153+'2. AHG Coast'!M153+'3. AHG North'!M164+'4. AHG Park'!M153+'5. AHG Diagnostics'!M38</f>
        <v>-7683372</v>
      </c>
      <c r="N122" s="32">
        <f>'1. AHG Central'!N153+'2. AHG Coast'!N153+'3. AHG North'!N164+'4. AHG Park'!N153+'5. AHG Diagnostics'!N38</f>
        <v>-8975434.2239752</v>
      </c>
      <c r="O122" s="32">
        <f>'1. AHG Central'!O153+'2. AHG Coast'!O153+'3. AHG North'!O164+'4. AHG Park'!O153+'5. AHG Diagnostics'!O38</f>
        <v>-9884608.88423596</v>
      </c>
      <c r="P122" s="32">
        <f>'1. AHG Central'!P153+'2. AHG Coast'!P153+'3. AHG North'!P164+'4. AHG Park'!P153+'5. AHG Diagnostics'!P38</f>
        <v>-10719935.5133993</v>
      </c>
      <c r="Q122" s="32">
        <f>'1. AHG Central'!Q153+'2. AHG Coast'!Q153+'3. AHG North'!Q164+'4. AHG Park'!Q153+'5. AHG Diagnostics'!Q38</f>
        <v>-12277193.2839835</v>
      </c>
      <c r="R122" s="32">
        <f>'1. AHG Central'!R153+'2. AHG Coast'!R153+'3. AHG North'!R164+'4. AHG Park'!R153+'5. AHG Diagnostics'!R38</f>
        <v>-13388647.4417337</v>
      </c>
    </row>
    <row r="123">
      <c r="C123" s="14" t="inlineStr">
        <is>
          <t>(-) Non-Consolidated Entity Adjustment</t>
        </is>
      </c>
      <c r="G123" s="26" t="n">
        <v>356000</v>
      </c>
      <c r="H123" s="26" t="n">
        <v>388000</v>
      </c>
      <c r="I123" s="26" t="n">
        <v>404000</v>
      </c>
      <c r="J123" s="26" t="n">
        <v>417000</v>
      </c>
      <c r="K123" s="26" t="n">
        <v>452000</v>
      </c>
      <c r="L123" s="26" t="n">
        <v>460000</v>
      </c>
      <c r="M123" s="26" t="n">
        <v>491000</v>
      </c>
      <c r="N123" s="26" t="n">
        <v>505000</v>
      </c>
      <c r="O123" s="26" t="n">
        <v>516000</v>
      </c>
      <c r="P123" s="26" t="n">
        <v>557000</v>
      </c>
      <c r="Q123" s="26" t="n">
        <v>564000</v>
      </c>
      <c r="R123" s="26" t="n">
        <v>579000</v>
      </c>
    </row>
    <row r="124">
      <c r="C124" s="3" t="inlineStr">
        <is>
          <t>EBITDA</t>
        </is>
      </c>
      <c r="G124" s="30">
        <f>G119+G121+G122+G123</f>
        <v>7189980.235</v>
      </c>
      <c r="H124" s="30">
        <f>H119+H121+H122+H123</f>
        <v>6621402.09</v>
      </c>
      <c r="I124" s="30">
        <f>I119+I121+I122+I123</f>
        <v>8245939.725</v>
      </c>
      <c r="J124" s="30">
        <f>J119+J121+J122+J123</f>
        <v>8480660.74</v>
      </c>
      <c r="K124" s="30">
        <f>K119+K121+K122+K123</f>
        <v>10371210.29</v>
      </c>
      <c r="L124" s="30">
        <f>L119+L121+L122+L123</f>
        <v>10328396.305</v>
      </c>
      <c r="M124" s="30">
        <f>M119+M121+M122+M123</f>
        <v>12969585.75</v>
      </c>
      <c r="N124" s="30">
        <f>N119+N121+N122+N123</f>
        <v>14620716.0292134</v>
      </c>
      <c r="O124" s="30">
        <f>O119+O121+O122+O123</f>
        <v>16342758.0424246</v>
      </c>
      <c r="P124" s="30">
        <f>P119+P121+P122+P123</f>
        <v>18550406.9889032</v>
      </c>
      <c r="Q124" s="30">
        <f>Q119+Q121+Q122+Q123</f>
        <v>20428785.9108536</v>
      </c>
      <c r="R124" s="30">
        <f>R119+R121+R122+R123</f>
        <v>21940687.7705709</v>
      </c>
    </row>
    <row r="125">
      <c r="C125" s="33" t="inlineStr">
        <is>
          <t>Margin (%)</t>
        </is>
      </c>
      <c r="G125" s="20">
        <f>IFERROR(G124/G$115,"N/A")</f>
        <v>0.238137906771885</v>
      </c>
      <c r="H125" s="20">
        <f>IFERROR(H124/H$115,"N/A")</f>
        <v>0.23569560558817</v>
      </c>
      <c r="I125" s="20">
        <f>IFERROR(I124/I$115,"N/A")</f>
        <v>0.251313455940955</v>
      </c>
      <c r="J125" s="20">
        <f>IFERROR(J124/J$115,"N/A")</f>
        <v>0.226194127554092</v>
      </c>
      <c r="K125" s="20">
        <f>IFERROR(K124/K$115,"N/A")</f>
        <v>0.239053097412799</v>
      </c>
      <c r="L125" s="20">
        <f>IFERROR(L124/L$115,"N/A")</f>
        <v>0.213177085972591</v>
      </c>
      <c r="M125" s="20">
        <f>IFERROR(M124/M$115,"N/A")</f>
        <v>0.2360481391057</v>
      </c>
      <c r="N125" s="20">
        <f>IFERROR(N124/N$115,"N/A")</f>
        <v>0.234670371215132</v>
      </c>
      <c r="O125" s="20">
        <f>IFERROR(O124/O$115,"N/A")</f>
        <v>0.236907031646859</v>
      </c>
      <c r="P125" s="20">
        <f>IFERROR(P124/P$115,"N/A")</f>
        <v>0.242951824699226</v>
      </c>
      <c r="Q125" s="20">
        <f>IFERROR(Q124/Q$115,"N/A")</f>
        <v>0.240481918353457</v>
      </c>
      <c r="R125" s="20">
        <f>IFERROR(R124/R$115,"N/A")</f>
        <v>0.232350659301007</v>
      </c>
    </row>
    <row r="126">
      <c r="C126" s="14" t="inlineStr">
        <is>
          <t>(-) Provision</t>
        </is>
      </c>
      <c r="G126" s="32">
        <f>'1. AHG Central'!G154+'2. AHG Coast'!G154+'3. AHG North'!G165+'4. AHG Park'!G154+'5. AHG Diagnostics'!G39</f>
        <v>-416866.5</v>
      </c>
      <c r="H126" s="32">
        <f>'1. AHG Central'!H154+'2. AHG Coast'!H154+'3. AHG North'!H165+'4. AHG Park'!H154+'5. AHG Diagnostics'!H39</f>
        <v>-400393</v>
      </c>
      <c r="I126" s="32">
        <f>'1. AHG Central'!I154+'2. AHG Coast'!I154+'3. AHG North'!I165+'4. AHG Park'!I154+'5. AHG Diagnostics'!I39</f>
        <v>-463584.5</v>
      </c>
      <c r="J126" s="32">
        <f>'1. AHG Central'!J154+'2. AHG Coast'!J154+'3. AHG North'!J165+'4. AHG Park'!J154+'5. AHG Diagnostics'!J39</f>
        <v>-530042.5</v>
      </c>
      <c r="K126" s="32">
        <f>'1. AHG Central'!K154+'2. AHG Coast'!K154+'3. AHG North'!K165+'4. AHG Park'!K154+'5. AHG Diagnostics'!K39</f>
        <v>-609519.5</v>
      </c>
      <c r="L126" s="32">
        <f>'1. AHG Central'!L154+'2. AHG Coast'!L154+'3. AHG North'!L165+'4. AHG Park'!L154+'5. AHG Diagnostics'!L39</f>
        <v>-687116.5</v>
      </c>
      <c r="M126" s="32">
        <f>'1. AHG Central'!M154+'2. AHG Coast'!M154+'3. AHG North'!M165+'4. AHG Park'!M154+'5. AHG Diagnostics'!M39</f>
        <v>-790845.5</v>
      </c>
      <c r="N126" s="32">
        <f>'1. AHG Central'!N154+'2. AHG Coast'!N154+'3. AHG North'!N165+'4. AHG Park'!N154+'5. AHG Diagnostics'!N39</f>
        <v>-871575.598741749</v>
      </c>
      <c r="O126" s="32">
        <f>'1. AHG Central'!O154+'2. AHG Coast'!O154+'3. AHG North'!O165+'4. AHG Park'!O154+'5. AHG Diagnostics'!O39</f>
        <v>-960094.407153322</v>
      </c>
      <c r="P126" s="32">
        <f>'1. AHG Central'!P154+'2. AHG Coast'!P154+'3. AHG North'!P165+'4. AHG Park'!P154+'5. AHG Diagnostics'!P39</f>
        <v>-1064096.17595012</v>
      </c>
      <c r="Q126" s="32">
        <f>'1. AHG Central'!Q154+'2. AHG Coast'!Q154+'3. AHG North'!Q165+'4. AHG Park'!Q154+'5. AHG Diagnostics'!Q39</f>
        <v>-1195066.33255984</v>
      </c>
      <c r="R126" s="32">
        <f>'1. AHG Central'!R154+'2. AHG Coast'!R154+'3. AHG North'!R165+'4. AHG Park'!R154+'5. AHG Diagnostics'!R39</f>
        <v>-1321851.04849799</v>
      </c>
    </row>
    <row r="127">
      <c r="C127" s="14" t="inlineStr">
        <is>
          <t>(-) D&amp;A</t>
        </is>
      </c>
      <c r="G127" s="32">
        <f>'1. AHG Central'!G157+'2. AHG Coast'!G157+'3. AHG North'!G168+'4. AHG Park'!G157+'5. AHG Diagnostics'!G42</f>
        <v>-1435027.5</v>
      </c>
      <c r="H127" s="32">
        <f>'1. AHG Central'!H157+'2. AHG Coast'!H157+'3. AHG North'!H168+'4. AHG Park'!H157+'5. AHG Diagnostics'!H42</f>
        <v>-1332755.5</v>
      </c>
      <c r="I127" s="32">
        <f>'1. AHG Central'!I157+'2. AHG Coast'!I157+'3. AHG North'!I168+'4. AHG Park'!I157+'5. AHG Diagnostics'!I42</f>
        <v>-1557204</v>
      </c>
      <c r="J127" s="32">
        <f>'1. AHG Central'!J157+'2. AHG Coast'!J157+'3. AHG North'!J168+'4. AHG Park'!J157+'5. AHG Diagnostics'!J42</f>
        <v>-1755285.5</v>
      </c>
      <c r="K127" s="32">
        <f>'1. AHG Central'!K157+'2. AHG Coast'!K157+'3. AHG North'!K168+'4. AHG Park'!K157+'5. AHG Diagnostics'!K42</f>
        <v>-2024854</v>
      </c>
      <c r="L127" s="32">
        <f>'1. AHG Central'!L157+'2. AHG Coast'!L157+'3. AHG North'!L168+'4. AHG Park'!L157+'5. AHG Diagnostics'!L42</f>
        <v>-2319661.5</v>
      </c>
      <c r="M127" s="32">
        <f>'1. AHG Central'!M157+'2. AHG Coast'!M157+'3. AHG North'!M168+'4. AHG Park'!M157+'5. AHG Diagnostics'!M42</f>
        <v>-2575882</v>
      </c>
      <c r="N127" s="32">
        <f>'1. AHG Central'!N157+'2. AHG Coast'!N157+'3. AHG North'!N168+'4. AHG Park'!N157+'5. AHG Diagnostics'!N42</f>
        <v>-2917475.347389</v>
      </c>
      <c r="O127" s="32">
        <f>'1. AHG Central'!O157+'2. AHG Coast'!O157+'3. AHG North'!O168+'4. AHG Park'!O157+'5. AHG Diagnostics'!O42</f>
        <v>-3255772.20629939</v>
      </c>
      <c r="P127" s="32">
        <f>'1. AHG Central'!P157+'2. AHG Coast'!P157+'3. AHG North'!P168+'4. AHG Park'!P157+'5. AHG Diagnostics'!P42</f>
        <v>-3549624.04787966</v>
      </c>
      <c r="Q127" s="32">
        <f>'1. AHG Central'!Q157+'2. AHG Coast'!Q157+'3. AHG North'!Q168+'4. AHG Park'!Q157+'5. AHG Diagnostics'!Q42</f>
        <v>-3969631.36075147</v>
      </c>
      <c r="R127" s="32">
        <f>'1. AHG Central'!R157+'2. AHG Coast'!R157+'3. AHG North'!R168+'4. AHG Park'!R157+'5. AHG Diagnostics'!R42</f>
        <v>-4380478.57017362</v>
      </c>
    </row>
    <row r="128">
      <c r="C128" s="14" t="inlineStr">
        <is>
          <t>(-) Goodwill, Trademark &amp; PPA Amortization</t>
        </is>
      </c>
      <c r="G128" s="32">
        <f>'1. AHG Central'!G158+'2. AHG Coast'!G158+'3. AHG North'!G169+'4. AHG Park'!G158+'5. AHG Diagnostics'!G43</f>
        <v>-136300</v>
      </c>
      <c r="H128" s="32">
        <f>'1. AHG Central'!H158+'2. AHG Coast'!H158+'3. AHG North'!H169+'4. AHG Park'!H158+'5. AHG Diagnostics'!H43</f>
        <v>-132070</v>
      </c>
      <c r="I128" s="32">
        <f>'1. AHG Central'!I158+'2. AHG Coast'!I158+'3. AHG North'!I169+'4. AHG Park'!I158+'5. AHG Diagnostics'!I43</f>
        <v>-153690</v>
      </c>
      <c r="J128" s="32">
        <f>'1. AHG Central'!J158+'2. AHG Coast'!J158+'3. AHG North'!J169+'4. AHG Park'!J158+'5. AHG Diagnostics'!J43</f>
        <v>-170610</v>
      </c>
      <c r="K128" s="32">
        <f>'1. AHG Central'!K158+'2. AHG Coast'!K158+'3. AHG North'!K169+'4. AHG Park'!K158+'5. AHG Diagnostics'!K43</f>
        <v>-199280</v>
      </c>
      <c r="L128" s="32">
        <f>'1. AHG Central'!L158+'2. AHG Coast'!L158+'3. AHG North'!L169+'4. AHG Park'!L158+'5. AHG Diagnostics'!L43</f>
        <v>-215730</v>
      </c>
      <c r="M128" s="32">
        <f>'1. AHG Central'!M158+'2. AHG Coast'!M158+'3. AHG North'!M169+'4. AHG Park'!M158+'5. AHG Diagnostics'!M43</f>
        <v>-251685</v>
      </c>
      <c r="N128" s="32">
        <f>'1. AHG Central'!N158+'2. AHG Coast'!N158+'3. AHG North'!N169+'4. AHG Park'!N158+'5. AHG Diagnostics'!N43</f>
        <v>-277018.58974901</v>
      </c>
      <c r="O128" s="32">
        <f>'1. AHG Central'!O158+'2. AHG Coast'!O158+'3. AHG North'!O169+'4. AHG Park'!O158+'5. AHG Diagnostics'!O43</f>
        <v>-310509.874512429</v>
      </c>
      <c r="P128" s="32">
        <f>'1. AHG Central'!P158+'2. AHG Coast'!P158+'3. AHG North'!P169+'4. AHG Park'!P158+'5. AHG Diagnostics'!P43</f>
        <v>-343504.752351221</v>
      </c>
      <c r="Q128" s="32">
        <f>'1. AHG Central'!Q158+'2. AHG Coast'!Q158+'3. AHG North'!Q169+'4. AHG Park'!Q158+'5. AHG Diagnostics'!Q43</f>
        <v>-388361.869033096</v>
      </c>
      <c r="R128" s="32">
        <f>'1. AHG Central'!R158+'2. AHG Coast'!R158+'3. AHG North'!R169+'4. AHG Park'!R158+'5. AHG Diagnostics'!R43</f>
        <v>-420939.221122757</v>
      </c>
    </row>
    <row r="129">
      <c r="C129" s="3" t="inlineStr">
        <is>
          <t>EBIT</t>
        </is>
      </c>
      <c r="G129" s="31">
        <f>G124+G126+G127+G128</f>
        <v>5201786.235</v>
      </c>
      <c r="H129" s="31">
        <f>H124+H126+H127+H128</f>
        <v>4756183.59</v>
      </c>
      <c r="I129" s="31">
        <f>I124+I126+I127+I128</f>
        <v>6071461.225</v>
      </c>
      <c r="J129" s="31">
        <f>J124+J126+J127+J128</f>
        <v>6024722.74</v>
      </c>
      <c r="K129" s="31">
        <f>K124+K126+K127+K128</f>
        <v>7537556.78999999</v>
      </c>
      <c r="L129" s="31">
        <f>L124+L126+L127+L128</f>
        <v>7105888.305</v>
      </c>
      <c r="M129" s="31">
        <f>M124+M126+M127+M128</f>
        <v>9351173.24999999</v>
      </c>
      <c r="N129" s="31">
        <f>N124+N126+N127+N128</f>
        <v>10554646.4933336</v>
      </c>
      <c r="O129" s="31">
        <f>O124+O126+O127+O128</f>
        <v>11816381.5544595</v>
      </c>
      <c r="P129" s="31">
        <f>P124+P126+P127+P128</f>
        <v>13593182.0127222</v>
      </c>
      <c r="Q129" s="31">
        <f>Q124+Q126+Q127+Q128</f>
        <v>14875726.3485092</v>
      </c>
      <c r="R129" s="31">
        <f>R124+R126+R127+R128</f>
        <v>15817418.9307765</v>
      </c>
    </row>
    <row r="131">
      <c r="C131" s="25" t="inlineStr">
        <is>
          <t>B</t>
        </is>
      </c>
      <c r="D131" s="25" t="inlineStr">
        <is>
          <t>Inorganic Add-On Acquisitions</t>
        </is>
      </c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</row>
    <row r="132">
      <c r="C132" s="3" t="inlineStr">
        <is>
          <t>Revenue:</t>
        </is>
      </c>
    </row>
    <row r="133">
      <c r="C133" s="14" t="inlineStr">
        <is>
          <t>2027 Acquisitions</t>
        </is>
      </c>
      <c r="G133" s="8">
        <f>IF(AND($E$47=1,G$7&gt;=2027),$E$48/$E$53*(1+$E$51)^(G$7-2027),0)</f>
        <v>0</v>
      </c>
      <c r="H133" s="8">
        <f>IF(AND($E$47=1,H$7&gt;=2027),$E$48/$E$53*(1+$E$51)^(H$7-2027),0)</f>
        <v>0</v>
      </c>
      <c r="I133" s="8">
        <f>IF(AND($E$47=1,I$7&gt;=2027),$E$48/$E$53*(1+$E$51)^(I$7-2027),0)</f>
        <v>0</v>
      </c>
      <c r="J133" s="8">
        <f>IF(AND($E$47=1,J$7&gt;=2027),$E$48/$E$53*(1+$E$51)^(J$7-2027),0)</f>
        <v>0</v>
      </c>
      <c r="K133" s="8">
        <f>IF(AND($E$47=1,K$7&gt;=2027),$E$48/$E$53*(1+$E$51)^(K$7-2027),0)</f>
        <v>0</v>
      </c>
      <c r="L133" s="8">
        <f>IF(AND($E$47=1,L$7&gt;=2027),$E$48/$E$53*(1+$E$51)^(L$7-2027),0)</f>
        <v>0</v>
      </c>
      <c r="M133" s="8">
        <f>IF(AND($E$47=1,M$7&gt;=2027),$E$48/$E$53*(1+$E$51)^(M$7-2027),0)</f>
        <v>0</v>
      </c>
      <c r="N133" s="8">
        <f>IF(AND($E$47=1,N$7&gt;=2027),$E$48/$E$53*(1+$E$51)^(N$7-2027),0)</f>
        <v>0</v>
      </c>
      <c r="O133" s="8">
        <f>IF(AND($E$47=1,O$7&gt;=2027),$E$48/$E$53*(1+$E$51)^(O$7-2027),0)</f>
        <v>7105263.15789474</v>
      </c>
      <c r="P133" s="8">
        <f>IF(AND($E$47=1,P$7&gt;=2027),$E$48/$E$53*(1+$E$51)^(P$7-2027),0)</f>
        <v>7673684.21052632</v>
      </c>
      <c r="Q133" s="8">
        <f>IF(AND($E$47=1,Q$7&gt;=2027),$E$48/$E$53*(1+$E$51)^(Q$7-2027),0)</f>
        <v>8287578.94736842</v>
      </c>
      <c r="R133" s="8">
        <f>IF(AND($E$47=1,R$7&gt;=2027),$E$48/$E$53*(1+$E$51)^(R$7-2027),0)</f>
        <v>8950585.2631579</v>
      </c>
    </row>
    <row r="134">
      <c r="C134" s="14" t="inlineStr">
        <is>
          <t>2028 Acquisitions</t>
        </is>
      </c>
      <c r="G134" s="8">
        <f>IF(AND($E$59=1,G$7&gt;=2028),$E$60/$E$65*(1+$E$63)^(G$7-2028),0)</f>
        <v>0</v>
      </c>
      <c r="H134" s="8">
        <f>IF(AND($E$59=1,H$7&gt;=2028),$E$60/$E$65*(1+$E$63)^(H$7-2028),0)</f>
        <v>0</v>
      </c>
      <c r="I134" s="8">
        <f>IF(AND($E$59=1,I$7&gt;=2028),$E$60/$E$65*(1+$E$63)^(I$7-2028),0)</f>
        <v>0</v>
      </c>
      <c r="J134" s="8">
        <f>IF(AND($E$59=1,J$7&gt;=2028),$E$60/$E$65*(1+$E$63)^(J$7-2028),0)</f>
        <v>0</v>
      </c>
      <c r="K134" s="8">
        <f>IF(AND($E$59=1,K$7&gt;=2028),$E$60/$E$65*(1+$E$63)^(K$7-2028),0)</f>
        <v>0</v>
      </c>
      <c r="L134" s="8">
        <f>IF(AND($E$59=1,L$7&gt;=2028),$E$60/$E$65*(1+$E$63)^(L$7-2028),0)</f>
        <v>0</v>
      </c>
      <c r="M134" s="8">
        <f>IF(AND($E$59=1,M$7&gt;=2028),$E$60/$E$65*(1+$E$63)^(M$7-2028),0)</f>
        <v>0</v>
      </c>
      <c r="N134" s="8">
        <f>IF(AND($E$59=1,N$7&gt;=2028),$E$60/$E$65*(1+$E$63)^(N$7-2028),0)</f>
        <v>0</v>
      </c>
      <c r="O134" s="8">
        <f>IF(AND($E$59=1,O$7&gt;=2028),$E$60/$E$65*(1+$E$63)^(O$7-2028),0)</f>
        <v>0</v>
      </c>
      <c r="P134" s="8">
        <f>IF(AND($E$59=1,P$7&gt;=2028),$E$60/$E$65*(1+$E$63)^(P$7-2028),0)</f>
        <v>5675675.67567568</v>
      </c>
      <c r="Q134" s="8">
        <f>IF(AND($E$59=1,Q$7&gt;=2028),$E$60/$E$65*(1+$E$63)^(Q$7-2028),0)</f>
        <v>6101351.35135135</v>
      </c>
      <c r="R134" s="8">
        <f>IF(AND($E$59=1,R$7&gt;=2028),$E$60/$E$65*(1+$E$63)^(R$7-2028),0)</f>
        <v>6558952.7027027</v>
      </c>
    </row>
    <row r="135">
      <c r="C135" s="14" t="inlineStr">
        <is>
          <t>2029 Acquisitions</t>
        </is>
      </c>
      <c r="G135" s="8">
        <f>IF(AND($E$71=1,G$7&gt;=2029),$E$72/$E$77*(1+$E$75)^(G$7-2029),0)</f>
        <v>0</v>
      </c>
      <c r="H135" s="8">
        <f>IF(AND($E$71=1,H$7&gt;=2029),$E$72/$E$77*(1+$E$75)^(H$7-2029),0)</f>
        <v>0</v>
      </c>
      <c r="I135" s="8">
        <f>IF(AND($E$71=1,I$7&gt;=2029),$E$72/$E$77*(1+$E$75)^(I$7-2029),0)</f>
        <v>0</v>
      </c>
      <c r="J135" s="8">
        <f>IF(AND($E$71=1,J$7&gt;=2029),$E$72/$E$77*(1+$E$75)^(J$7-2029),0)</f>
        <v>0</v>
      </c>
      <c r="K135" s="8">
        <f>IF(AND($E$71=1,K$7&gt;=2029),$E$72/$E$77*(1+$E$75)^(K$7-2029),0)</f>
        <v>0</v>
      </c>
      <c r="L135" s="8">
        <f>IF(AND($E$71=1,L$7&gt;=2029),$E$72/$E$77*(1+$E$75)^(L$7-2029),0)</f>
        <v>0</v>
      </c>
      <c r="M135" s="8">
        <f>IF(AND($E$71=1,M$7&gt;=2029),$E$72/$E$77*(1+$E$75)^(M$7-2029),0)</f>
        <v>0</v>
      </c>
      <c r="N135" s="8">
        <f>IF(AND($E$71=1,N$7&gt;=2029),$E$72/$E$77*(1+$E$75)^(N$7-2029),0)</f>
        <v>0</v>
      </c>
      <c r="O135" s="8">
        <f>IF(AND($E$71=1,O$7&gt;=2029),$E$72/$E$77*(1+$E$75)^(O$7-2029),0)</f>
        <v>0</v>
      </c>
      <c r="P135" s="8">
        <f>IF(AND($E$71=1,P$7&gt;=2029),$E$72/$E$77*(1+$E$75)^(P$7-2029),0)</f>
        <v>0</v>
      </c>
      <c r="Q135" s="8">
        <f>IF(AND($E$71=1,Q$7&gt;=2029),$E$72/$E$77*(1+$E$75)^(Q$7-2029),0)</f>
        <v>3444444.44444444</v>
      </c>
      <c r="R135" s="8">
        <f>IF(AND($E$71=1,R$7&gt;=2029),$E$72/$E$77*(1+$E$75)^(R$7-2029),0)</f>
        <v>3685555.55555556</v>
      </c>
    </row>
    <row r="136">
      <c r="C136" s="14" t="inlineStr">
        <is>
          <t>2030 Acquisitions</t>
        </is>
      </c>
      <c r="G136" s="8">
        <f>IF(AND($E$83=1,G$7&gt;=2030),$E$84/$E$89*(1+$E$87)^(G$7-2030),0)</f>
        <v>0</v>
      </c>
      <c r="H136" s="8">
        <f>IF(AND($E$83=1,H$7&gt;=2030),$E$84/$E$89*(1+$E$87)^(H$7-2030),0)</f>
        <v>0</v>
      </c>
      <c r="I136" s="8">
        <f>IF(AND($E$83=1,I$7&gt;=2030),$E$84/$E$89*(1+$E$87)^(I$7-2030),0)</f>
        <v>0</v>
      </c>
      <c r="J136" s="8">
        <f>IF(AND($E$83=1,J$7&gt;=2030),$E$84/$E$89*(1+$E$87)^(J$7-2030),0)</f>
        <v>0</v>
      </c>
      <c r="K136" s="8">
        <f>IF(AND($E$83=1,K$7&gt;=2030),$E$84/$E$89*(1+$E$87)^(K$7-2030),0)</f>
        <v>0</v>
      </c>
      <c r="L136" s="8">
        <f>IF(AND($E$83=1,L$7&gt;=2030),$E$84/$E$89*(1+$E$87)^(L$7-2030),0)</f>
        <v>0</v>
      </c>
      <c r="M136" s="8">
        <f>IF(AND($E$83=1,M$7&gt;=2030),$E$84/$E$89*(1+$E$87)^(M$7-2030),0)</f>
        <v>0</v>
      </c>
      <c r="N136" s="8">
        <f>IF(AND($E$83=1,N$7&gt;=2030),$E$84/$E$89*(1+$E$87)^(N$7-2030),0)</f>
        <v>0</v>
      </c>
      <c r="O136" s="8">
        <f>IF(AND($E$83=1,O$7&gt;=2030),$E$84/$E$89*(1+$E$87)^(O$7-2030),0)</f>
        <v>0</v>
      </c>
      <c r="P136" s="8">
        <f>IF(AND($E$83=1,P$7&gt;=2030),$E$84/$E$89*(1+$E$87)^(P$7-2030),0)</f>
        <v>0</v>
      </c>
      <c r="Q136" s="8">
        <f>IF(AND($E$83=1,Q$7&gt;=2030),$E$84/$E$89*(1+$E$87)^(Q$7-2030),0)</f>
        <v>0</v>
      </c>
      <c r="R136" s="8">
        <f>IF(AND($E$83=1,R$7&gt;=2030),$E$84/$E$89*(1+$E$87)^(R$7-2030),0)</f>
        <v>2235294.11764706</v>
      </c>
    </row>
    <row r="137">
      <c r="C137" s="14" t="inlineStr">
        <is>
          <t>2031 Acquisitions</t>
        </is>
      </c>
      <c r="G137" s="8">
        <f>IF(AND($E$95=1,G$7&gt;=2031),$E$96/$E$101*(1+$E$99)^(G$7-2031),0)</f>
        <v>0</v>
      </c>
      <c r="H137" s="8">
        <f>IF(AND($E$95=1,H$7&gt;=2031),$E$96/$E$101*(1+$E$99)^(H$7-2031),0)</f>
        <v>0</v>
      </c>
      <c r="I137" s="8">
        <f>IF(AND($E$95=1,I$7&gt;=2031),$E$96/$E$101*(1+$E$99)^(I$7-2031),0)</f>
        <v>0</v>
      </c>
      <c r="J137" s="8">
        <f>IF(AND($E$95=1,J$7&gt;=2031),$E$96/$E$101*(1+$E$99)^(J$7-2031),0)</f>
        <v>0</v>
      </c>
      <c r="K137" s="8">
        <f>IF(AND($E$95=1,K$7&gt;=2031),$E$96/$E$101*(1+$E$99)^(K$7-2031),0)</f>
        <v>0</v>
      </c>
      <c r="L137" s="8">
        <f>IF(AND($E$95=1,L$7&gt;=2031),$E$96/$E$101*(1+$E$99)^(L$7-2031),0)</f>
        <v>0</v>
      </c>
      <c r="M137" s="8">
        <f>IF(AND($E$95=1,M$7&gt;=2031),$E$96/$E$101*(1+$E$99)^(M$7-2031),0)</f>
        <v>0</v>
      </c>
      <c r="N137" s="8">
        <f>IF(AND($E$95=1,N$7&gt;=2031),$E$96/$E$101*(1+$E$99)^(N$7-2031),0)</f>
        <v>0</v>
      </c>
      <c r="O137" s="8">
        <f>IF(AND($E$95=1,O$7&gt;=2031),$E$96/$E$101*(1+$E$99)^(O$7-2031),0)</f>
        <v>0</v>
      </c>
      <c r="P137" s="8">
        <f>IF(AND($E$95=1,P$7&gt;=2031),$E$96/$E$101*(1+$E$99)^(P$7-2031),0)</f>
        <v>0</v>
      </c>
      <c r="Q137" s="8">
        <f>IF(AND($E$95=1,Q$7&gt;=2031),$E$96/$E$101*(1+$E$99)^(Q$7-2031),0)</f>
        <v>0</v>
      </c>
      <c r="R137" s="8">
        <f>IF(AND($E$95=1,R$7&gt;=2031),$E$96/$E$101*(1+$E$99)^(R$7-2031),0)</f>
        <v>0</v>
      </c>
    </row>
    <row r="138">
      <c r="C138" s="29" t="inlineStr">
        <is>
          <t>Total Revenue</t>
        </is>
      </c>
      <c r="G138" s="30">
        <f>SUM(G133:G137)</f>
        <v>0</v>
      </c>
      <c r="H138" s="30">
        <f>SUM(H133:H137)</f>
        <v>0</v>
      </c>
      <c r="I138" s="30">
        <f>SUM(I133:I137)</f>
        <v>0</v>
      </c>
      <c r="J138" s="30">
        <f>SUM(J133:J137)</f>
        <v>0</v>
      </c>
      <c r="K138" s="30">
        <f>SUM(K133:K137)</f>
        <v>0</v>
      </c>
      <c r="L138" s="30">
        <f>SUM(L133:L137)</f>
        <v>0</v>
      </c>
      <c r="M138" s="30">
        <f>SUM(M133:M137)</f>
        <v>0</v>
      </c>
      <c r="N138" s="30">
        <f>SUM(N133:N137)</f>
        <v>0</v>
      </c>
      <c r="O138" s="30">
        <f>SUM(O133:O137)</f>
        <v>7105263.15789474</v>
      </c>
      <c r="P138" s="30">
        <f>SUM(P133:P137)</f>
        <v>13349359.886202</v>
      </c>
      <c r="Q138" s="30">
        <f>SUM(Q133:Q137)</f>
        <v>17833374.7431642</v>
      </c>
      <c r="R138" s="30">
        <f>SUM(R133:R137)</f>
        <v>21430387.6390632</v>
      </c>
    </row>
    <row r="140">
      <c r="C140" s="3" t="inlineStr">
        <is>
          <t>Gross Profit:</t>
        </is>
      </c>
    </row>
    <row r="141">
      <c r="C141" s="14" t="inlineStr">
        <is>
          <t>2027 Acquisitions</t>
        </is>
      </c>
      <c r="G141" s="8">
        <f>G133*$E$52</f>
        <v>0</v>
      </c>
      <c r="H141" s="8">
        <f>H133*$E$52</f>
        <v>0</v>
      </c>
      <c r="I141" s="8">
        <f>I133*$E$52</f>
        <v>0</v>
      </c>
      <c r="J141" s="8">
        <f>J133*$E$52</f>
        <v>0</v>
      </c>
      <c r="K141" s="8">
        <f>K133*$E$52</f>
        <v>0</v>
      </c>
      <c r="L141" s="8">
        <f>L133*$E$52</f>
        <v>0</v>
      </c>
      <c r="M141" s="8">
        <f>M133*$E$52</f>
        <v>0</v>
      </c>
      <c r="N141" s="8">
        <f>N133*$E$52</f>
        <v>0</v>
      </c>
      <c r="O141" s="8">
        <f>O133*$E$52</f>
        <v>3907894.73684211</v>
      </c>
      <c r="P141" s="8">
        <f>P133*$E$52</f>
        <v>4220526.31578947</v>
      </c>
      <c r="Q141" s="8">
        <f>Q133*$E$52</f>
        <v>4558168.42105263</v>
      </c>
      <c r="R141" s="8">
        <f>R133*$E$52</f>
        <v>4922821.89473684</v>
      </c>
    </row>
    <row r="142">
      <c r="C142" s="14" t="inlineStr">
        <is>
          <t>2028 Acquisitions</t>
        </is>
      </c>
      <c r="G142" s="8">
        <f>G134*$E$64</f>
        <v>0</v>
      </c>
      <c r="H142" s="8">
        <f>H134*$E$64</f>
        <v>0</v>
      </c>
      <c r="I142" s="8">
        <f>I134*$E$64</f>
        <v>0</v>
      </c>
      <c r="J142" s="8">
        <f>J134*$E$64</f>
        <v>0</v>
      </c>
      <c r="K142" s="8">
        <f>K134*$E$64</f>
        <v>0</v>
      </c>
      <c r="L142" s="8">
        <f>L134*$E$64</f>
        <v>0</v>
      </c>
      <c r="M142" s="8">
        <f>M134*$E$64</f>
        <v>0</v>
      </c>
      <c r="N142" s="8">
        <f>N134*$E$64</f>
        <v>0</v>
      </c>
      <c r="O142" s="8">
        <f>O134*$E$64</f>
        <v>0</v>
      </c>
      <c r="P142" s="8">
        <f>P134*$E$64</f>
        <v>3008108.10810811</v>
      </c>
      <c r="Q142" s="8">
        <f>Q134*$E$64</f>
        <v>3233716.21621622</v>
      </c>
      <c r="R142" s="8">
        <f>R134*$E$64</f>
        <v>3476244.93243243</v>
      </c>
    </row>
    <row r="143">
      <c r="C143" s="14" t="inlineStr">
        <is>
          <t>2029 Acquisitions</t>
        </is>
      </c>
      <c r="G143" s="8">
        <f>G135*$E$76</f>
        <v>0</v>
      </c>
      <c r="H143" s="8">
        <f>H135*$E$76</f>
        <v>0</v>
      </c>
      <c r="I143" s="8">
        <f>I135*$E$76</f>
        <v>0</v>
      </c>
      <c r="J143" s="8">
        <f>J135*$E$76</f>
        <v>0</v>
      </c>
      <c r="K143" s="8">
        <f>K135*$E$76</f>
        <v>0</v>
      </c>
      <c r="L143" s="8">
        <f>L135*$E$76</f>
        <v>0</v>
      </c>
      <c r="M143" s="8">
        <f>M135*$E$76</f>
        <v>0</v>
      </c>
      <c r="N143" s="8">
        <f>N135*$E$76</f>
        <v>0</v>
      </c>
      <c r="O143" s="8">
        <f>O135*$E$76</f>
        <v>0</v>
      </c>
      <c r="P143" s="8">
        <f>P135*$E$76</f>
        <v>0</v>
      </c>
      <c r="Q143" s="8">
        <f>Q135*$E$76</f>
        <v>1791111.11111111</v>
      </c>
      <c r="R143" s="8">
        <f>R135*$E$76</f>
        <v>1916488.88888889</v>
      </c>
    </row>
    <row r="144">
      <c r="C144" s="14" t="inlineStr">
        <is>
          <t>2030 Acquisitions</t>
        </is>
      </c>
      <c r="G144" s="8">
        <f>G136*$E$88</f>
        <v>0</v>
      </c>
      <c r="H144" s="8">
        <f>H136*$E$88</f>
        <v>0</v>
      </c>
      <c r="I144" s="8">
        <f>I136*$E$88</f>
        <v>0</v>
      </c>
      <c r="J144" s="8">
        <f>J136*$E$88</f>
        <v>0</v>
      </c>
      <c r="K144" s="8">
        <f>K136*$E$88</f>
        <v>0</v>
      </c>
      <c r="L144" s="8">
        <f>L136*$E$88</f>
        <v>0</v>
      </c>
      <c r="M144" s="8">
        <f>M136*$E$88</f>
        <v>0</v>
      </c>
      <c r="N144" s="8">
        <f>N136*$E$88</f>
        <v>0</v>
      </c>
      <c r="O144" s="8">
        <f>O136*$E$88</f>
        <v>0</v>
      </c>
      <c r="P144" s="8">
        <f>P136*$E$88</f>
        <v>0</v>
      </c>
      <c r="Q144" s="8">
        <f>Q136*$E$88</f>
        <v>0</v>
      </c>
      <c r="R144" s="8">
        <f>R136*$E$88</f>
        <v>1117647.05882353</v>
      </c>
    </row>
    <row r="145">
      <c r="C145" s="14" t="inlineStr">
        <is>
          <t>2031 Acquisitions</t>
        </is>
      </c>
      <c r="G145" s="8">
        <f>G137*$E$100</f>
        <v>0</v>
      </c>
      <c r="H145" s="8">
        <f>H137*$E$100</f>
        <v>0</v>
      </c>
      <c r="I145" s="8">
        <f>I137*$E$100</f>
        <v>0</v>
      </c>
      <c r="J145" s="8">
        <f>J137*$E$100</f>
        <v>0</v>
      </c>
      <c r="K145" s="8">
        <f>K137*$E$100</f>
        <v>0</v>
      </c>
      <c r="L145" s="8">
        <f>L137*$E$100</f>
        <v>0</v>
      </c>
      <c r="M145" s="8">
        <f>M137*$E$100</f>
        <v>0</v>
      </c>
      <c r="N145" s="8">
        <f>N137*$E$100</f>
        <v>0</v>
      </c>
      <c r="O145" s="8">
        <f>O137*$E$100</f>
        <v>0</v>
      </c>
      <c r="P145" s="8">
        <f>P137*$E$100</f>
        <v>0</v>
      </c>
      <c r="Q145" s="8">
        <f>Q137*$E$100</f>
        <v>0</v>
      </c>
      <c r="R145" s="8">
        <f>R137*$E$100</f>
        <v>0</v>
      </c>
    </row>
    <row r="146">
      <c r="C146" s="29" t="inlineStr">
        <is>
          <t>Total Gross Profit</t>
        </is>
      </c>
      <c r="G146" s="30">
        <f>SUM(G141:G145)</f>
        <v>0</v>
      </c>
      <c r="H146" s="30">
        <f>SUM(H141:H145)</f>
        <v>0</v>
      </c>
      <c r="I146" s="30">
        <f>SUM(I141:I145)</f>
        <v>0</v>
      </c>
      <c r="J146" s="30">
        <f>SUM(J141:J145)</f>
        <v>0</v>
      </c>
      <c r="K146" s="30">
        <f>SUM(K141:K145)</f>
        <v>0</v>
      </c>
      <c r="L146" s="30">
        <f>SUM(L141:L145)</f>
        <v>0</v>
      </c>
      <c r="M146" s="30">
        <f>SUM(M141:M145)</f>
        <v>0</v>
      </c>
      <c r="N146" s="30">
        <f>SUM(N141:N145)</f>
        <v>0</v>
      </c>
      <c r="O146" s="30">
        <f>SUM(O141:O145)</f>
        <v>3907894.73684211</v>
      </c>
      <c r="P146" s="30">
        <f>SUM(P141:P145)</f>
        <v>7228634.42389758</v>
      </c>
      <c r="Q146" s="30">
        <f>SUM(Q141:Q145)</f>
        <v>9582995.74837996</v>
      </c>
      <c r="R146" s="30">
        <f>SUM(R141:R145)</f>
        <v>11433202.7748817</v>
      </c>
    </row>
    <row r="148">
      <c r="C148" s="3" t="inlineStr">
        <is>
          <t>EBITDA:</t>
        </is>
      </c>
    </row>
    <row r="149">
      <c r="C149" s="14" t="inlineStr">
        <is>
          <t>2027 Acquisitions</t>
        </is>
      </c>
      <c r="G149" s="8">
        <f>G133*$E$53</f>
        <v>0</v>
      </c>
      <c r="H149" s="8">
        <f>H133*$E$53</f>
        <v>0</v>
      </c>
      <c r="I149" s="8">
        <f>I133*$E$53</f>
        <v>0</v>
      </c>
      <c r="J149" s="8">
        <f>J133*$E$53</f>
        <v>0</v>
      </c>
      <c r="K149" s="8">
        <f>K133*$E$53</f>
        <v>0</v>
      </c>
      <c r="L149" s="8">
        <f>L133*$E$53</f>
        <v>0</v>
      </c>
      <c r="M149" s="8">
        <f>M133*$E$53</f>
        <v>0</v>
      </c>
      <c r="N149" s="8">
        <f>N133*$E$53</f>
        <v>0</v>
      </c>
      <c r="O149" s="8">
        <f>O133*$E$53</f>
        <v>1350000</v>
      </c>
      <c r="P149" s="8">
        <f>P133*$E$53</f>
        <v>1458000</v>
      </c>
      <c r="Q149" s="8">
        <f>Q133*$E$53</f>
        <v>1574640</v>
      </c>
      <c r="R149" s="8">
        <f>R133*$E$53</f>
        <v>1700611.2</v>
      </c>
    </row>
    <row r="150">
      <c r="C150" s="14" t="inlineStr">
        <is>
          <t>2028 Acquisitions</t>
        </is>
      </c>
      <c r="G150" s="8">
        <f>G134*$E$65</f>
        <v>0</v>
      </c>
      <c r="H150" s="8">
        <f>H134*$E$65</f>
        <v>0</v>
      </c>
      <c r="I150" s="8">
        <f>I134*$E$65</f>
        <v>0</v>
      </c>
      <c r="J150" s="8">
        <f>J134*$E$65</f>
        <v>0</v>
      </c>
      <c r="K150" s="8">
        <f>K134*$E$65</f>
        <v>0</v>
      </c>
      <c r="L150" s="8">
        <f>L134*$E$65</f>
        <v>0</v>
      </c>
      <c r="M150" s="8">
        <f>M134*$E$65</f>
        <v>0</v>
      </c>
      <c r="N150" s="8">
        <f>N134*$E$65</f>
        <v>0</v>
      </c>
      <c r="O150" s="8">
        <f>O134*$E$65</f>
        <v>0</v>
      </c>
      <c r="P150" s="8">
        <f>P134*$E$65</f>
        <v>1050000</v>
      </c>
      <c r="Q150" s="8">
        <f>Q134*$E$65</f>
        <v>1128750</v>
      </c>
      <c r="R150" s="8">
        <f>R134*$E$65</f>
        <v>1213406.25</v>
      </c>
    </row>
    <row r="151">
      <c r="C151" s="14" t="inlineStr">
        <is>
          <t>2029 Acquisitions</t>
        </is>
      </c>
      <c r="G151" s="8">
        <f>G135*$E$77</f>
        <v>0</v>
      </c>
      <c r="H151" s="8">
        <f>H135*$E$77</f>
        <v>0</v>
      </c>
      <c r="I151" s="8">
        <f>I135*$E$77</f>
        <v>0</v>
      </c>
      <c r="J151" s="8">
        <f>J135*$E$77</f>
        <v>0</v>
      </c>
      <c r="K151" s="8">
        <f>K135*$E$77</f>
        <v>0</v>
      </c>
      <c r="L151" s="8">
        <f>L135*$E$77</f>
        <v>0</v>
      </c>
      <c r="M151" s="8">
        <f>M135*$E$77</f>
        <v>0</v>
      </c>
      <c r="N151" s="8">
        <f>N135*$E$77</f>
        <v>0</v>
      </c>
      <c r="O151" s="8">
        <f>O135*$E$77</f>
        <v>0</v>
      </c>
      <c r="P151" s="8">
        <f>P135*$E$77</f>
        <v>0</v>
      </c>
      <c r="Q151" s="8">
        <f>Q135*$E$77</f>
        <v>620000</v>
      </c>
      <c r="R151" s="8">
        <f>R135*$E$77</f>
        <v>663400</v>
      </c>
    </row>
    <row r="152">
      <c r="C152" s="14" t="inlineStr">
        <is>
          <t>2030 Acquisitions</t>
        </is>
      </c>
      <c r="G152" s="8">
        <f>G136*$E$89</f>
        <v>0</v>
      </c>
      <c r="H152" s="8">
        <f>H136*$E$89</f>
        <v>0</v>
      </c>
      <c r="I152" s="8">
        <f>I136*$E$89</f>
        <v>0</v>
      </c>
      <c r="J152" s="8">
        <f>J136*$E$89</f>
        <v>0</v>
      </c>
      <c r="K152" s="8">
        <f>K136*$E$89</f>
        <v>0</v>
      </c>
      <c r="L152" s="8">
        <f>L136*$E$89</f>
        <v>0</v>
      </c>
      <c r="M152" s="8">
        <f>M136*$E$89</f>
        <v>0</v>
      </c>
      <c r="N152" s="8">
        <f>N136*$E$89</f>
        <v>0</v>
      </c>
      <c r="O152" s="8">
        <f>O136*$E$89</f>
        <v>0</v>
      </c>
      <c r="P152" s="8">
        <f>P136*$E$89</f>
        <v>0</v>
      </c>
      <c r="Q152" s="8">
        <f>Q136*$E$89</f>
        <v>0</v>
      </c>
      <c r="R152" s="8">
        <f>R136*$E$89</f>
        <v>380000</v>
      </c>
    </row>
    <row r="153">
      <c r="C153" s="14" t="inlineStr">
        <is>
          <t>2031 Acquisitions</t>
        </is>
      </c>
      <c r="G153" s="8">
        <f>G137*$E$101</f>
        <v>0</v>
      </c>
      <c r="H153" s="8">
        <f>H137*$E$101</f>
        <v>0</v>
      </c>
      <c r="I153" s="8">
        <f>I137*$E$101</f>
        <v>0</v>
      </c>
      <c r="J153" s="8">
        <f>J137*$E$101</f>
        <v>0</v>
      </c>
      <c r="K153" s="8">
        <f>K137*$E$101</f>
        <v>0</v>
      </c>
      <c r="L153" s="8">
        <f>L137*$E$101</f>
        <v>0</v>
      </c>
      <c r="M153" s="8">
        <f>M137*$E$101</f>
        <v>0</v>
      </c>
      <c r="N153" s="8">
        <f>N137*$E$101</f>
        <v>0</v>
      </c>
      <c r="O153" s="8">
        <f>O137*$E$101</f>
        <v>0</v>
      </c>
      <c r="P153" s="8">
        <f>P137*$E$101</f>
        <v>0</v>
      </c>
      <c r="Q153" s="8">
        <f>Q137*$E$101</f>
        <v>0</v>
      </c>
      <c r="R153" s="8">
        <f>R137*$E$101</f>
        <v>0</v>
      </c>
    </row>
    <row r="154">
      <c r="C154" s="29" t="inlineStr">
        <is>
          <t>Total EBITDA</t>
        </is>
      </c>
      <c r="G154" s="30">
        <f>SUM(G149:G153)</f>
        <v>0</v>
      </c>
      <c r="H154" s="30">
        <f>SUM(H149:H153)</f>
        <v>0</v>
      </c>
      <c r="I154" s="30">
        <f>SUM(I149:I153)</f>
        <v>0</v>
      </c>
      <c r="J154" s="30">
        <f>SUM(J149:J153)</f>
        <v>0</v>
      </c>
      <c r="K154" s="30">
        <f>SUM(K149:K153)</f>
        <v>0</v>
      </c>
      <c r="L154" s="30">
        <f>SUM(L149:L153)</f>
        <v>0</v>
      </c>
      <c r="M154" s="30">
        <f>SUM(M149:M153)</f>
        <v>0</v>
      </c>
      <c r="N154" s="30">
        <f>SUM(N149:N153)</f>
        <v>0</v>
      </c>
      <c r="O154" s="30">
        <f>SUM(O149:O153)</f>
        <v>1350000</v>
      </c>
      <c r="P154" s="30">
        <f>SUM(P149:P153)</f>
        <v>2508000</v>
      </c>
      <c r="Q154" s="30">
        <f>SUM(Q149:Q153)</f>
        <v>3323390</v>
      </c>
      <c r="R154" s="30">
        <f>SUM(R149:R153)</f>
        <v>3957417.45</v>
      </c>
    </row>
    <row r="156">
      <c r="C156" s="3" t="inlineStr">
        <is>
          <t>CAPEX:</t>
        </is>
      </c>
    </row>
    <row r="157">
      <c r="C157" s="14" t="inlineStr">
        <is>
          <t>2027 Acquisitions</t>
        </is>
      </c>
      <c r="G157" s="8">
        <f>G133*$E$54</f>
        <v>0</v>
      </c>
      <c r="H157" s="8">
        <f>H133*$E$54</f>
        <v>0</v>
      </c>
      <c r="I157" s="8">
        <f>I133*$E$54</f>
        <v>0</v>
      </c>
      <c r="J157" s="8">
        <f>J133*$E$54</f>
        <v>0</v>
      </c>
      <c r="K157" s="8">
        <f>K133*$E$54</f>
        <v>0</v>
      </c>
      <c r="L157" s="8">
        <f>L133*$E$54</f>
        <v>0</v>
      </c>
      <c r="M157" s="8">
        <f>M133*$E$54</f>
        <v>0</v>
      </c>
      <c r="N157" s="8">
        <f>N133*$E$54</f>
        <v>0</v>
      </c>
      <c r="O157" s="8">
        <f>O133*$E$54</f>
        <v>213157.894736842</v>
      </c>
      <c r="P157" s="8">
        <f>P133*$E$54</f>
        <v>230210.52631579</v>
      </c>
      <c r="Q157" s="8">
        <f>Q133*$E$54</f>
        <v>248627.368421053</v>
      </c>
      <c r="R157" s="8">
        <f>R133*$E$54</f>
        <v>268517.557894737</v>
      </c>
    </row>
    <row r="158">
      <c r="C158" s="14" t="inlineStr">
        <is>
          <t>2028 Acquisitions</t>
        </is>
      </c>
      <c r="G158" s="8">
        <f>G134*$E$66</f>
        <v>0</v>
      </c>
      <c r="H158" s="8">
        <f>H134*$E$66</f>
        <v>0</v>
      </c>
      <c r="I158" s="8">
        <f>I134*$E$66</f>
        <v>0</v>
      </c>
      <c r="J158" s="8">
        <f>J134*$E$66</f>
        <v>0</v>
      </c>
      <c r="K158" s="8">
        <f>K134*$E$66</f>
        <v>0</v>
      </c>
      <c r="L158" s="8">
        <f>L134*$E$66</f>
        <v>0</v>
      </c>
      <c r="M158" s="8">
        <f>M134*$E$66</f>
        <v>0</v>
      </c>
      <c r="N158" s="8">
        <f>N134*$E$66</f>
        <v>0</v>
      </c>
      <c r="O158" s="8">
        <f>O134*$E$66</f>
        <v>0</v>
      </c>
      <c r="P158" s="8">
        <f>P134*$E$66</f>
        <v>170270.27027027</v>
      </c>
      <c r="Q158" s="8">
        <f>Q134*$E$66</f>
        <v>183040.540540541</v>
      </c>
      <c r="R158" s="8">
        <f>R134*$E$66</f>
        <v>196768.581081081</v>
      </c>
    </row>
    <row r="159">
      <c r="C159" s="14" t="inlineStr">
        <is>
          <t>2029 Acquisitions</t>
        </is>
      </c>
      <c r="G159" s="8">
        <f>G135*$E$78</f>
        <v>0</v>
      </c>
      <c r="H159" s="8">
        <f>H135*$E$78</f>
        <v>0</v>
      </c>
      <c r="I159" s="8">
        <f>I135*$E$78</f>
        <v>0</v>
      </c>
      <c r="J159" s="8">
        <f>J135*$E$78</f>
        <v>0</v>
      </c>
      <c r="K159" s="8">
        <f>K135*$E$78</f>
        <v>0</v>
      </c>
      <c r="L159" s="8">
        <f>L135*$E$78</f>
        <v>0</v>
      </c>
      <c r="M159" s="8">
        <f>M135*$E$78</f>
        <v>0</v>
      </c>
      <c r="N159" s="8">
        <f>N135*$E$78</f>
        <v>0</v>
      </c>
      <c r="O159" s="8">
        <f>O135*$E$78</f>
        <v>0</v>
      </c>
      <c r="P159" s="8">
        <f>P135*$E$78</f>
        <v>0</v>
      </c>
      <c r="Q159" s="8">
        <f>Q135*$E$78</f>
        <v>96444.4444444445</v>
      </c>
      <c r="R159" s="8">
        <f>R135*$E$78</f>
        <v>103195.555555556</v>
      </c>
    </row>
    <row r="160">
      <c r="C160" s="14" t="inlineStr">
        <is>
          <t>2030 Acquisitions</t>
        </is>
      </c>
      <c r="G160" s="8">
        <f>G136*$E$90</f>
        <v>0</v>
      </c>
      <c r="H160" s="8">
        <f>H136*$E$90</f>
        <v>0</v>
      </c>
      <c r="I160" s="8">
        <f>I136*$E$90</f>
        <v>0</v>
      </c>
      <c r="J160" s="8">
        <f>J136*$E$90</f>
        <v>0</v>
      </c>
      <c r="K160" s="8">
        <f>K136*$E$90</f>
        <v>0</v>
      </c>
      <c r="L160" s="8">
        <f>L136*$E$90</f>
        <v>0</v>
      </c>
      <c r="M160" s="8">
        <f>M136*$E$90</f>
        <v>0</v>
      </c>
      <c r="N160" s="8">
        <f>N136*$E$90</f>
        <v>0</v>
      </c>
      <c r="O160" s="8">
        <f>O136*$E$90</f>
        <v>0</v>
      </c>
      <c r="P160" s="8">
        <f>P136*$E$90</f>
        <v>0</v>
      </c>
      <c r="Q160" s="8">
        <f>Q136*$E$90</f>
        <v>0</v>
      </c>
      <c r="R160" s="8">
        <f>R136*$E$90</f>
        <v>62588.2352941177</v>
      </c>
    </row>
    <row r="161">
      <c r="C161" s="14" t="inlineStr">
        <is>
          <t>2031 Acquisitions</t>
        </is>
      </c>
      <c r="G161" s="8">
        <f>G137*$E$102</f>
        <v>0</v>
      </c>
      <c r="H161" s="8">
        <f>H137*$E$102</f>
        <v>0</v>
      </c>
      <c r="I161" s="8">
        <f>I137*$E$102</f>
        <v>0</v>
      </c>
      <c r="J161" s="8">
        <f>J137*$E$102</f>
        <v>0</v>
      </c>
      <c r="K161" s="8">
        <f>K137*$E$102</f>
        <v>0</v>
      </c>
      <c r="L161" s="8">
        <f>L137*$E$102</f>
        <v>0</v>
      </c>
      <c r="M161" s="8">
        <f>M137*$E$102</f>
        <v>0</v>
      </c>
      <c r="N161" s="8">
        <f>N137*$E$102</f>
        <v>0</v>
      </c>
      <c r="O161" s="8">
        <f>O137*$E$102</f>
        <v>0</v>
      </c>
      <c r="P161" s="8">
        <f>P137*$E$102</f>
        <v>0</v>
      </c>
      <c r="Q161" s="8">
        <f>Q137*$E$102</f>
        <v>0</v>
      </c>
      <c r="R161" s="8">
        <f>R137*$E$102</f>
        <v>0</v>
      </c>
    </row>
    <row r="162">
      <c r="C162" s="29" t="inlineStr">
        <is>
          <t>Total CAPEX</t>
        </is>
      </c>
      <c r="G162" s="30">
        <f>SUM(G157:G161)</f>
        <v>0</v>
      </c>
      <c r="H162" s="30">
        <f>SUM(H157:H161)</f>
        <v>0</v>
      </c>
      <c r="I162" s="30">
        <f>SUM(I157:I161)</f>
        <v>0</v>
      </c>
      <c r="J162" s="30">
        <f>SUM(J157:J161)</f>
        <v>0</v>
      </c>
      <c r="K162" s="30">
        <f>SUM(K157:K161)</f>
        <v>0</v>
      </c>
      <c r="L162" s="30">
        <f>SUM(L157:L161)</f>
        <v>0</v>
      </c>
      <c r="M162" s="30">
        <f>SUM(M157:M161)</f>
        <v>0</v>
      </c>
      <c r="N162" s="30">
        <f>SUM(N157:N161)</f>
        <v>0</v>
      </c>
      <c r="O162" s="30">
        <f>SUM(O157:O161)</f>
        <v>213157.894736842</v>
      </c>
      <c r="P162" s="30">
        <f>SUM(P157:P161)</f>
        <v>400480.79658606</v>
      </c>
      <c r="Q162" s="30">
        <f>SUM(Q157:Q161)</f>
        <v>528112.353406038</v>
      </c>
      <c r="R162" s="30">
        <f>SUM(R157:R161)</f>
        <v>631069.929825491</v>
      </c>
    </row>
    <row r="164">
      <c r="C164" s="3" t="inlineStr">
        <is>
          <t>D&amp;A:</t>
        </is>
      </c>
    </row>
    <row r="165">
      <c r="C165" s="14" t="inlineStr">
        <is>
          <t>2027 Acquisitions</t>
        </is>
      </c>
      <c r="G165" s="8">
        <f>G157*$E$55</f>
        <v>0</v>
      </c>
      <c r="H165" s="8">
        <f>H157*$E$55</f>
        <v>0</v>
      </c>
      <c r="I165" s="8">
        <f>I157*$E$55</f>
        <v>0</v>
      </c>
      <c r="J165" s="8">
        <f>J157*$E$55</f>
        <v>0</v>
      </c>
      <c r="K165" s="8">
        <f>K157*$E$55</f>
        <v>0</v>
      </c>
      <c r="L165" s="8">
        <f>L157*$E$55</f>
        <v>0</v>
      </c>
      <c r="M165" s="8">
        <f>M157*$E$55</f>
        <v>0</v>
      </c>
      <c r="N165" s="8">
        <f>N157*$E$55</f>
        <v>0</v>
      </c>
      <c r="O165" s="8">
        <f>O157*$E$55</f>
        <v>170526.315789474</v>
      </c>
      <c r="P165" s="8">
        <f>P157*$E$55</f>
        <v>184168.421052632</v>
      </c>
      <c r="Q165" s="8">
        <f>Q157*$E$55</f>
        <v>198901.894736842</v>
      </c>
      <c r="R165" s="8">
        <f>R157*$E$55</f>
        <v>214814.04631579</v>
      </c>
    </row>
    <row r="166">
      <c r="C166" s="14" t="inlineStr">
        <is>
          <t>2028 Acquisitions</t>
        </is>
      </c>
      <c r="G166" s="8">
        <f>G158*$E$67</f>
        <v>0</v>
      </c>
      <c r="H166" s="8">
        <f>H158*$E$67</f>
        <v>0</v>
      </c>
      <c r="I166" s="8">
        <f>I158*$E$67</f>
        <v>0</v>
      </c>
      <c r="J166" s="8">
        <f>J158*$E$67</f>
        <v>0</v>
      </c>
      <c r="K166" s="8">
        <f>K158*$E$67</f>
        <v>0</v>
      </c>
      <c r="L166" s="8">
        <f>L158*$E$67</f>
        <v>0</v>
      </c>
      <c r="M166" s="8">
        <f>M158*$E$67</f>
        <v>0</v>
      </c>
      <c r="N166" s="8">
        <f>N158*$E$67</f>
        <v>0</v>
      </c>
      <c r="O166" s="8">
        <f>O158*$E$67</f>
        <v>0</v>
      </c>
      <c r="P166" s="8">
        <f>P158*$E$67</f>
        <v>136216.216216216</v>
      </c>
      <c r="Q166" s="8">
        <f>Q158*$E$67</f>
        <v>146432.432432432</v>
      </c>
      <c r="R166" s="8">
        <f>R158*$E$67</f>
        <v>157414.864864865</v>
      </c>
    </row>
    <row r="167">
      <c r="C167" s="14" t="inlineStr">
        <is>
          <t>2029 Acquisitions</t>
        </is>
      </c>
      <c r="G167" s="8">
        <f>G159*$E$79</f>
        <v>0</v>
      </c>
      <c r="H167" s="8">
        <f>H159*$E$79</f>
        <v>0</v>
      </c>
      <c r="I167" s="8">
        <f>I159*$E$79</f>
        <v>0</v>
      </c>
      <c r="J167" s="8">
        <f>J159*$E$79</f>
        <v>0</v>
      </c>
      <c r="K167" s="8">
        <f>K159*$E$79</f>
        <v>0</v>
      </c>
      <c r="L167" s="8">
        <f>L159*$E$79</f>
        <v>0</v>
      </c>
      <c r="M167" s="8">
        <f>M159*$E$79</f>
        <v>0</v>
      </c>
      <c r="N167" s="8">
        <f>N159*$E$79</f>
        <v>0</v>
      </c>
      <c r="O167" s="8">
        <f>O159*$E$79</f>
        <v>0</v>
      </c>
      <c r="P167" s="8">
        <f>P159*$E$79</f>
        <v>0</v>
      </c>
      <c r="Q167" s="8">
        <f>Q159*$E$79</f>
        <v>77155.5555555556</v>
      </c>
      <c r="R167" s="8">
        <f>R159*$E$79</f>
        <v>82556.4444444445</v>
      </c>
    </row>
    <row r="168">
      <c r="C168" s="14" t="inlineStr">
        <is>
          <t>2030 Acquisitions</t>
        </is>
      </c>
      <c r="G168" s="8">
        <f>G160*$E$91</f>
        <v>0</v>
      </c>
      <c r="H168" s="8">
        <f>H160*$E$91</f>
        <v>0</v>
      </c>
      <c r="I168" s="8">
        <f>I160*$E$91</f>
        <v>0</v>
      </c>
      <c r="J168" s="8">
        <f>J160*$E$91</f>
        <v>0</v>
      </c>
      <c r="K168" s="8">
        <f>K160*$E$91</f>
        <v>0</v>
      </c>
      <c r="L168" s="8">
        <f>L160*$E$91</f>
        <v>0</v>
      </c>
      <c r="M168" s="8">
        <f>M160*$E$91</f>
        <v>0</v>
      </c>
      <c r="N168" s="8">
        <f>N160*$E$91</f>
        <v>0</v>
      </c>
      <c r="O168" s="8">
        <f>O160*$E$91</f>
        <v>0</v>
      </c>
      <c r="P168" s="8">
        <f>P160*$E$91</f>
        <v>0</v>
      </c>
      <c r="Q168" s="8">
        <f>Q160*$E$91</f>
        <v>0</v>
      </c>
      <c r="R168" s="8">
        <f>R160*$E$91</f>
        <v>50070.5882352941</v>
      </c>
    </row>
    <row r="169">
      <c r="C169" s="14" t="inlineStr">
        <is>
          <t>2031 Acquisitions</t>
        </is>
      </c>
      <c r="G169" s="8">
        <f>G161*$E$103</f>
        <v>0</v>
      </c>
      <c r="H169" s="8">
        <f>H161*$E$103</f>
        <v>0</v>
      </c>
      <c r="I169" s="8">
        <f>I161*$E$103</f>
        <v>0</v>
      </c>
      <c r="J169" s="8">
        <f>J161*$E$103</f>
        <v>0</v>
      </c>
      <c r="K169" s="8">
        <f>K161*$E$103</f>
        <v>0</v>
      </c>
      <c r="L169" s="8">
        <f>L161*$E$103</f>
        <v>0</v>
      </c>
      <c r="M169" s="8">
        <f>M161*$E$103</f>
        <v>0</v>
      </c>
      <c r="N169" s="8">
        <f>N161*$E$103</f>
        <v>0</v>
      </c>
      <c r="O169" s="8">
        <f>O161*$E$103</f>
        <v>0</v>
      </c>
      <c r="P169" s="8">
        <f>P161*$E$103</f>
        <v>0</v>
      </c>
      <c r="Q169" s="8">
        <f>Q161*$E$103</f>
        <v>0</v>
      </c>
      <c r="R169" s="8">
        <f>R161*$E$103</f>
        <v>0</v>
      </c>
    </row>
    <row r="170">
      <c r="C170" s="29" t="inlineStr">
        <is>
          <t>Total D&amp;A</t>
        </is>
      </c>
      <c r="G170" s="30">
        <f>SUM(G165:G169)</f>
        <v>0</v>
      </c>
      <c r="H170" s="30">
        <f>SUM(H165:H169)</f>
        <v>0</v>
      </c>
      <c r="I170" s="30">
        <f>SUM(I165:I169)</f>
        <v>0</v>
      </c>
      <c r="J170" s="30">
        <f>SUM(J165:J169)</f>
        <v>0</v>
      </c>
      <c r="K170" s="30">
        <f>SUM(K165:K169)</f>
        <v>0</v>
      </c>
      <c r="L170" s="30">
        <f>SUM(L165:L169)</f>
        <v>0</v>
      </c>
      <c r="M170" s="30">
        <f>SUM(M165:M169)</f>
        <v>0</v>
      </c>
      <c r="N170" s="30">
        <f>SUM(N165:N169)</f>
        <v>0</v>
      </c>
      <c r="O170" s="30">
        <f>SUM(O165:O169)</f>
        <v>170526.315789474</v>
      </c>
      <c r="P170" s="30">
        <f>SUM(P165:P169)</f>
        <v>320384.637268848</v>
      </c>
      <c r="Q170" s="30">
        <f>SUM(Q165:Q169)</f>
        <v>422489.88272483</v>
      </c>
      <c r="R170" s="30">
        <f>SUM(R165:R169)</f>
        <v>504855.943860393</v>
      </c>
    </row>
    <row r="172">
      <c r="C172" s="3" t="inlineStr">
        <is>
          <t>Change in NWC:</t>
        </is>
      </c>
    </row>
    <row r="173">
      <c r="C173" s="14" t="inlineStr">
        <is>
          <t>2027 Acquisitions</t>
        </is>
      </c>
      <c r="G173" s="8">
        <f>G133*$E$56</f>
        <v>0</v>
      </c>
      <c r="H173" s="8">
        <f>H133*$E$56</f>
        <v>0</v>
      </c>
      <c r="I173" s="8">
        <f>I133*$E$56</f>
        <v>0</v>
      </c>
      <c r="J173" s="8">
        <f>J133*$E$56</f>
        <v>0</v>
      </c>
      <c r="K173" s="8">
        <f>K133*$E$56</f>
        <v>0</v>
      </c>
      <c r="L173" s="8">
        <f>L133*$E$56</f>
        <v>0</v>
      </c>
      <c r="M173" s="8">
        <f>M133*$E$56</f>
        <v>0</v>
      </c>
      <c r="N173" s="8">
        <f>N133*$E$56</f>
        <v>0</v>
      </c>
      <c r="O173" s="8">
        <f>O133*$E$56</f>
        <v>106578.947368421</v>
      </c>
      <c r="P173" s="8">
        <f>P133*$E$56</f>
        <v>115105.263157895</v>
      </c>
      <c r="Q173" s="8">
        <f>Q133*$E$56</f>
        <v>124313.684210526</v>
      </c>
      <c r="R173" s="8">
        <f>R133*$E$56</f>
        <v>134258.778947368</v>
      </c>
    </row>
    <row r="174">
      <c r="C174" s="14" t="inlineStr">
        <is>
          <t>2028 Acquisitions</t>
        </is>
      </c>
      <c r="G174" s="8">
        <f>G134*$E$68</f>
        <v>0</v>
      </c>
      <c r="H174" s="8">
        <f>H134*$E$68</f>
        <v>0</v>
      </c>
      <c r="I174" s="8">
        <f>I134*$E$68</f>
        <v>0</v>
      </c>
      <c r="J174" s="8">
        <f>J134*$E$68</f>
        <v>0</v>
      </c>
      <c r="K174" s="8">
        <f>K134*$E$68</f>
        <v>0</v>
      </c>
      <c r="L174" s="8">
        <f>L134*$E$68</f>
        <v>0</v>
      </c>
      <c r="M174" s="8">
        <f>M134*$E$68</f>
        <v>0</v>
      </c>
      <c r="N174" s="8">
        <f>N134*$E$68</f>
        <v>0</v>
      </c>
      <c r="O174" s="8">
        <f>O134*$E$68</f>
        <v>0</v>
      </c>
      <c r="P174" s="8">
        <f>P134*$E$68</f>
        <v>85135.1351351351</v>
      </c>
      <c r="Q174" s="8">
        <f>Q134*$E$68</f>
        <v>91520.2702702703</v>
      </c>
      <c r="R174" s="8">
        <f>R134*$E$68</f>
        <v>98384.2905405406</v>
      </c>
    </row>
    <row r="175">
      <c r="C175" s="14" t="inlineStr">
        <is>
          <t>2029 Acquisitions</t>
        </is>
      </c>
      <c r="G175" s="8">
        <f>G135*$E$80</f>
        <v>0</v>
      </c>
      <c r="H175" s="8">
        <f>H135*$E$80</f>
        <v>0</v>
      </c>
      <c r="I175" s="8">
        <f>I135*$E$80</f>
        <v>0</v>
      </c>
      <c r="J175" s="8">
        <f>J135*$E$80</f>
        <v>0</v>
      </c>
      <c r="K175" s="8">
        <f>K135*$E$80</f>
        <v>0</v>
      </c>
      <c r="L175" s="8">
        <f>L135*$E$80</f>
        <v>0</v>
      </c>
      <c r="M175" s="8">
        <f>M135*$E$80</f>
        <v>0</v>
      </c>
      <c r="N175" s="8">
        <f>N135*$E$80</f>
        <v>0</v>
      </c>
      <c r="O175" s="8">
        <f>O135*$E$80</f>
        <v>0</v>
      </c>
      <c r="P175" s="8">
        <f>P135*$E$80</f>
        <v>0</v>
      </c>
      <c r="Q175" s="8">
        <f>Q135*$E$80</f>
        <v>41333.3333333333</v>
      </c>
      <c r="R175" s="8">
        <f>R135*$E$80</f>
        <v>44226.6666666667</v>
      </c>
    </row>
    <row r="176">
      <c r="C176" s="14" t="inlineStr">
        <is>
          <t>2030 Acquisitions</t>
        </is>
      </c>
      <c r="G176" s="8">
        <f>G136*$E$92</f>
        <v>0</v>
      </c>
      <c r="H176" s="8">
        <f>H136*$E$92</f>
        <v>0</v>
      </c>
      <c r="I176" s="8">
        <f>I136*$E$92</f>
        <v>0</v>
      </c>
      <c r="J176" s="8">
        <f>J136*$E$92</f>
        <v>0</v>
      </c>
      <c r="K176" s="8">
        <f>K136*$E$92</f>
        <v>0</v>
      </c>
      <c r="L176" s="8">
        <f>L136*$E$92</f>
        <v>0</v>
      </c>
      <c r="M176" s="8">
        <f>M136*$E$92</f>
        <v>0</v>
      </c>
      <c r="N176" s="8">
        <f>N136*$E$92</f>
        <v>0</v>
      </c>
      <c r="O176" s="8">
        <f>O136*$E$92</f>
        <v>0</v>
      </c>
      <c r="P176" s="8">
        <f>P136*$E$92</f>
        <v>0</v>
      </c>
      <c r="Q176" s="8">
        <f>Q136*$E$92</f>
        <v>0</v>
      </c>
      <c r="R176" s="8">
        <f>R136*$E$92</f>
        <v>26823.5294117647</v>
      </c>
    </row>
    <row r="177">
      <c r="C177" s="14" t="inlineStr">
        <is>
          <t>2031 Acquisitions</t>
        </is>
      </c>
      <c r="G177" s="8">
        <f>G137*$E$104</f>
        <v>0</v>
      </c>
      <c r="H177" s="8">
        <f>H137*$E$104</f>
        <v>0</v>
      </c>
      <c r="I177" s="8">
        <f>I137*$E$104</f>
        <v>0</v>
      </c>
      <c r="J177" s="8">
        <f>J137*$E$104</f>
        <v>0</v>
      </c>
      <c r="K177" s="8">
        <f>K137*$E$104</f>
        <v>0</v>
      </c>
      <c r="L177" s="8">
        <f>L137*$E$104</f>
        <v>0</v>
      </c>
      <c r="M177" s="8">
        <f>M137*$E$104</f>
        <v>0</v>
      </c>
      <c r="N177" s="8">
        <f>N137*$E$104</f>
        <v>0</v>
      </c>
      <c r="O177" s="8">
        <f>O137*$E$104</f>
        <v>0</v>
      </c>
      <c r="P177" s="8">
        <f>P137*$E$104</f>
        <v>0</v>
      </c>
      <c r="Q177" s="8">
        <f>Q137*$E$104</f>
        <v>0</v>
      </c>
      <c r="R177" s="8">
        <f>R137*$E$104</f>
        <v>0</v>
      </c>
    </row>
    <row r="178">
      <c r="C178" s="29" t="inlineStr">
        <is>
          <t>Total Change in NWC</t>
        </is>
      </c>
      <c r="G178" s="30">
        <f>SUM(G173:G177)</f>
        <v>0</v>
      </c>
      <c r="H178" s="30">
        <f>SUM(H173:H177)</f>
        <v>0</v>
      </c>
      <c r="I178" s="30">
        <f>SUM(I173:I177)</f>
        <v>0</v>
      </c>
      <c r="J178" s="30">
        <f>SUM(J173:J177)</f>
        <v>0</v>
      </c>
      <c r="K178" s="30">
        <f>SUM(K173:K177)</f>
        <v>0</v>
      </c>
      <c r="L178" s="30">
        <f>SUM(L173:L177)</f>
        <v>0</v>
      </c>
      <c r="M178" s="30">
        <f>SUM(M173:M177)</f>
        <v>0</v>
      </c>
      <c r="N178" s="30">
        <f>SUM(N173:N177)</f>
        <v>0</v>
      </c>
      <c r="O178" s="30">
        <f>SUM(O173:O177)</f>
        <v>106578.947368421</v>
      </c>
      <c r="P178" s="30">
        <f>SUM(P173:P177)</f>
        <v>200240.39829303</v>
      </c>
      <c r="Q178" s="30">
        <f>SUM(Q173:Q177)</f>
        <v>257167.28781413</v>
      </c>
      <c r="R178" s="30">
        <f>SUM(R173:R177)</f>
        <v>303693.26556634</v>
      </c>
    </row>
    <row r="180">
      <c r="C180" s="3" t="inlineStr">
        <is>
          <t>Purchase Price:</t>
        </is>
      </c>
    </row>
    <row r="181">
      <c r="C181" s="14" t="inlineStr">
        <is>
          <t>2027 Acquisitions</t>
        </is>
      </c>
      <c r="G181" s="8">
        <f>IF(AND($E$47=1,G$7=2027),$E$48*$E$49,0)</f>
        <v>0</v>
      </c>
      <c r="H181" s="8">
        <f>IF(AND($E$47=1,H$7=2027),$E$48*$E$49,0)</f>
        <v>0</v>
      </c>
      <c r="I181" s="8">
        <f>IF(AND($E$47=1,I$7=2027),$E$48*$E$49,0)</f>
        <v>0</v>
      </c>
      <c r="J181" s="8">
        <f>IF(AND($E$47=1,J$7=2027),$E$48*$E$49,0)</f>
        <v>0</v>
      </c>
      <c r="K181" s="8">
        <f>IF(AND($E$47=1,K$7=2027),$E$48*$E$49,0)</f>
        <v>0</v>
      </c>
      <c r="L181" s="8">
        <f>IF(AND($E$47=1,L$7=2027),$E$48*$E$49,0)</f>
        <v>0</v>
      </c>
      <c r="M181" s="8">
        <f>IF(AND($E$47=1,M$7=2027),$E$48*$E$49,0)</f>
        <v>0</v>
      </c>
      <c r="N181" s="8">
        <f>IF(AND($E$47=1,N$7=2027),$E$48*$E$49,0)</f>
        <v>0</v>
      </c>
      <c r="O181" s="8">
        <f>IF(AND($E$47=1,O$7=2027),$E$48*$E$49,0)</f>
        <v>8370000</v>
      </c>
      <c r="P181" s="8">
        <f>IF(AND($E$47=1,P$7=2027),$E$48*$E$49,0)</f>
        <v>0</v>
      </c>
      <c r="Q181" s="8">
        <f>IF(AND($E$47=1,Q$7=2027),$E$48*$E$49,0)</f>
        <v>0</v>
      </c>
      <c r="R181" s="8">
        <f>IF(AND($E$47=1,R$7=2027),$E$48*$E$49,0)</f>
        <v>0</v>
      </c>
    </row>
    <row r="182">
      <c r="C182" s="14" t="inlineStr">
        <is>
          <t>2028 Acquisitions</t>
        </is>
      </c>
      <c r="G182" s="8">
        <f>IF(AND($E$59=1,G$7=2028),$E$60*$E$61,0)</f>
        <v>0</v>
      </c>
      <c r="H182" s="8">
        <f>IF(AND($E$59=1,H$7=2028),$E$60*$E$61,0)</f>
        <v>0</v>
      </c>
      <c r="I182" s="8">
        <f>IF(AND($E$59=1,I$7=2028),$E$60*$E$61,0)</f>
        <v>0</v>
      </c>
      <c r="J182" s="8">
        <f>IF(AND($E$59=1,J$7=2028),$E$60*$E$61,0)</f>
        <v>0</v>
      </c>
      <c r="K182" s="8">
        <f>IF(AND($E$59=1,K$7=2028),$E$60*$E$61,0)</f>
        <v>0</v>
      </c>
      <c r="L182" s="8">
        <f>IF(AND($E$59=1,L$7=2028),$E$60*$E$61,0)</f>
        <v>0</v>
      </c>
      <c r="M182" s="8">
        <f>IF(AND($E$59=1,M$7=2028),$E$60*$E$61,0)</f>
        <v>0</v>
      </c>
      <c r="N182" s="8">
        <f>IF(AND($E$59=1,N$7=2028),$E$60*$E$61,0)</f>
        <v>0</v>
      </c>
      <c r="O182" s="8">
        <f>IF(AND($E$59=1,O$7=2028),$E$60*$E$61,0)</f>
        <v>0</v>
      </c>
      <c r="P182" s="8">
        <f>IF(AND($E$59=1,P$7=2028),$E$60*$E$61,0)</f>
        <v>6825000</v>
      </c>
      <c r="Q182" s="8">
        <f>IF(AND($E$59=1,Q$7=2028),$E$60*$E$61,0)</f>
        <v>0</v>
      </c>
      <c r="R182" s="8">
        <f>IF(AND($E$59=1,R$7=2028),$E$60*$E$61,0)</f>
        <v>0</v>
      </c>
    </row>
    <row r="183">
      <c r="C183" s="14" t="inlineStr">
        <is>
          <t>2029 Acquisitions</t>
        </is>
      </c>
      <c r="G183" s="8">
        <f>IF(AND($E$71=1,G$7=2029),$E$72*$E$73,0)</f>
        <v>0</v>
      </c>
      <c r="H183" s="8">
        <f>IF(AND($E$71=1,H$7=2029),$E$72*$E$73,0)</f>
        <v>0</v>
      </c>
      <c r="I183" s="8">
        <f>IF(AND($E$71=1,I$7=2029),$E$72*$E$73,0)</f>
        <v>0</v>
      </c>
      <c r="J183" s="8">
        <f>IF(AND($E$71=1,J$7=2029),$E$72*$E$73,0)</f>
        <v>0</v>
      </c>
      <c r="K183" s="8">
        <f>IF(AND($E$71=1,K$7=2029),$E$72*$E$73,0)</f>
        <v>0</v>
      </c>
      <c r="L183" s="8">
        <f>IF(AND($E$71=1,L$7=2029),$E$72*$E$73,0)</f>
        <v>0</v>
      </c>
      <c r="M183" s="8">
        <f>IF(AND($E$71=1,M$7=2029),$E$72*$E$73,0)</f>
        <v>0</v>
      </c>
      <c r="N183" s="8">
        <f>IF(AND($E$71=1,N$7=2029),$E$72*$E$73,0)</f>
        <v>0</v>
      </c>
      <c r="O183" s="8">
        <f>IF(AND($E$71=1,O$7=2029),$E$72*$E$73,0)</f>
        <v>0</v>
      </c>
      <c r="P183" s="8">
        <f>IF(AND($E$71=1,P$7=2029),$E$72*$E$73,0)</f>
        <v>0</v>
      </c>
      <c r="Q183" s="8">
        <f>IF(AND($E$71=1,Q$7=2029),$E$72*$E$73,0)</f>
        <v>3596000</v>
      </c>
      <c r="R183" s="8">
        <f>IF(AND($E$71=1,R$7=2029),$E$72*$E$73,0)</f>
        <v>0</v>
      </c>
    </row>
    <row r="184">
      <c r="C184" s="14" t="inlineStr">
        <is>
          <t>2030 Acquisitions</t>
        </is>
      </c>
      <c r="G184" s="8">
        <f>IF(AND($E$83=1,G$7=2030),$E$84*$E$85,0)</f>
        <v>0</v>
      </c>
      <c r="H184" s="8">
        <f>IF(AND($E$83=1,H$7=2030),$E$84*$E$85,0)</f>
        <v>0</v>
      </c>
      <c r="I184" s="8">
        <f>IF(AND($E$83=1,I$7=2030),$E$84*$E$85,0)</f>
        <v>0</v>
      </c>
      <c r="J184" s="8">
        <f>IF(AND($E$83=1,J$7=2030),$E$84*$E$85,0)</f>
        <v>0</v>
      </c>
      <c r="K184" s="8">
        <f>IF(AND($E$83=1,K$7=2030),$E$84*$E$85,0)</f>
        <v>0</v>
      </c>
      <c r="L184" s="8">
        <f>IF(AND($E$83=1,L$7=2030),$E$84*$E$85,0)</f>
        <v>0</v>
      </c>
      <c r="M184" s="8">
        <f>IF(AND($E$83=1,M$7=2030),$E$84*$E$85,0)</f>
        <v>0</v>
      </c>
      <c r="N184" s="8">
        <f>IF(AND($E$83=1,N$7=2030),$E$84*$E$85,0)</f>
        <v>0</v>
      </c>
      <c r="O184" s="8">
        <f>IF(AND($E$83=1,O$7=2030),$E$84*$E$85,0)</f>
        <v>0</v>
      </c>
      <c r="P184" s="8">
        <f>IF(AND($E$83=1,P$7=2030),$E$84*$E$85,0)</f>
        <v>0</v>
      </c>
      <c r="Q184" s="8">
        <f>IF(AND($E$83=1,Q$7=2030),$E$84*$E$85,0)</f>
        <v>0</v>
      </c>
      <c r="R184" s="8">
        <f>IF(AND($E$83=1,R$7=2030),$E$84*$E$85,0)</f>
        <v>2280000</v>
      </c>
    </row>
    <row r="185">
      <c r="C185" s="14" t="inlineStr">
        <is>
          <t>2031 Acquisitions</t>
        </is>
      </c>
      <c r="G185" s="8">
        <f>IF(AND($E$95=1,G$7=2031),$E$96*$E$97,0)</f>
        <v>0</v>
      </c>
      <c r="H185" s="8">
        <f>IF(AND($E$95=1,H$7=2031),$E$96*$E$97,0)</f>
        <v>0</v>
      </c>
      <c r="I185" s="8">
        <f>IF(AND($E$95=1,I$7=2031),$E$96*$E$97,0)</f>
        <v>0</v>
      </c>
      <c r="J185" s="8">
        <f>IF(AND($E$95=1,J$7=2031),$E$96*$E$97,0)</f>
        <v>0</v>
      </c>
      <c r="K185" s="8">
        <f>IF(AND($E$95=1,K$7=2031),$E$96*$E$97,0)</f>
        <v>0</v>
      </c>
      <c r="L185" s="8">
        <f>IF(AND($E$95=1,L$7=2031),$E$96*$E$97,0)</f>
        <v>0</v>
      </c>
      <c r="M185" s="8">
        <f>IF(AND($E$95=1,M$7=2031),$E$96*$E$97,0)</f>
        <v>0</v>
      </c>
      <c r="N185" s="8">
        <f>IF(AND($E$95=1,N$7=2031),$E$96*$E$97,0)</f>
        <v>0</v>
      </c>
      <c r="O185" s="8">
        <f>IF(AND($E$95=1,O$7=2031),$E$96*$E$97,0)</f>
        <v>0</v>
      </c>
      <c r="P185" s="8">
        <f>IF(AND($E$95=1,P$7=2031),$E$96*$E$97,0)</f>
        <v>0</v>
      </c>
      <c r="Q185" s="8">
        <f>IF(AND($E$95=1,Q$7=2031),$E$96*$E$97,0)</f>
        <v>0</v>
      </c>
      <c r="R185" s="8">
        <f>IF(AND($E$95=1,R$7=2031),$E$96*$E$97,0)</f>
        <v>0</v>
      </c>
    </row>
    <row r="186">
      <c r="C186" s="29" t="inlineStr">
        <is>
          <t>Total Purchase Price</t>
        </is>
      </c>
      <c r="G186" s="30">
        <f>SUM(G181:G185)</f>
        <v>0</v>
      </c>
      <c r="H186" s="30">
        <f>SUM(H181:H185)</f>
        <v>0</v>
      </c>
      <c r="I186" s="30">
        <f>SUM(I181:I185)</f>
        <v>0</v>
      </c>
      <c r="J186" s="30">
        <f>SUM(J181:J185)</f>
        <v>0</v>
      </c>
      <c r="K186" s="30">
        <f>SUM(K181:K185)</f>
        <v>0</v>
      </c>
      <c r="L186" s="30">
        <f>SUM(L181:L185)</f>
        <v>0</v>
      </c>
      <c r="M186" s="30">
        <f>SUM(M181:M185)</f>
        <v>0</v>
      </c>
      <c r="N186" s="30">
        <f>SUM(N181:N185)</f>
        <v>0</v>
      </c>
      <c r="O186" s="30">
        <f>SUM(O181:O185)</f>
        <v>8370000</v>
      </c>
      <c r="P186" s="30">
        <f>SUM(P181:P185)</f>
        <v>6825000</v>
      </c>
      <c r="Q186" s="30">
        <f>SUM(Q181:Q185)</f>
        <v>3596000</v>
      </c>
      <c r="R186" s="30">
        <f>SUM(R181:R185)</f>
        <v>2280000</v>
      </c>
    </row>
    <row r="188">
      <c r="C188" s="3" t="inlineStr">
        <is>
          <t>Follow-On Capital Drawn:</t>
        </is>
      </c>
    </row>
    <row r="189">
      <c r="C189" s="14" t="inlineStr">
        <is>
          <t>BOP</t>
        </is>
      </c>
      <c r="G189" s="26" t="n">
        <v>0</v>
      </c>
      <c r="H189" s="8">
        <f>G196</f>
        <v>0</v>
      </c>
      <c r="I189" s="8">
        <f>H196</f>
        <v>0</v>
      </c>
      <c r="J189" s="8">
        <f>I196</f>
        <v>0</v>
      </c>
      <c r="K189" s="8">
        <f>J196</f>
        <v>0</v>
      </c>
      <c r="L189" s="8">
        <f>K196</f>
        <v>0</v>
      </c>
      <c r="M189" s="8">
        <f>L196</f>
        <v>0</v>
      </c>
      <c r="N189" s="8">
        <f>M196</f>
        <v>0</v>
      </c>
      <c r="O189" s="8">
        <f>N196</f>
        <v>0</v>
      </c>
      <c r="P189" s="8">
        <f>O196</f>
        <v>4603500</v>
      </c>
      <c r="Q189" s="8">
        <f>P196</f>
        <v>8698500</v>
      </c>
      <c r="R189" s="8">
        <f>Q196</f>
        <v>10496500</v>
      </c>
    </row>
    <row r="190">
      <c r="C190" s="14" t="inlineStr">
        <is>
          <t>2027 Acquisitions</t>
        </is>
      </c>
      <c r="G190" s="8">
        <f>G181*$E$50</f>
        <v>0</v>
      </c>
      <c r="H190" s="8">
        <f>H181*$E$50</f>
        <v>0</v>
      </c>
      <c r="I190" s="8">
        <f>I181*$E$50</f>
        <v>0</v>
      </c>
      <c r="J190" s="8">
        <f>J181*$E$50</f>
        <v>0</v>
      </c>
      <c r="K190" s="8">
        <f>K181*$E$50</f>
        <v>0</v>
      </c>
      <c r="L190" s="8">
        <f>L181*$E$50</f>
        <v>0</v>
      </c>
      <c r="M190" s="8">
        <f>M181*$E$50</f>
        <v>0</v>
      </c>
      <c r="N190" s="8">
        <f>N181*$E$50</f>
        <v>0</v>
      </c>
      <c r="O190" s="8">
        <f>O181*$E$50</f>
        <v>4603500</v>
      </c>
      <c r="P190" s="8">
        <f>P181*$E$50</f>
        <v>0</v>
      </c>
      <c r="Q190" s="8">
        <f>Q181*$E$50</f>
        <v>0</v>
      </c>
      <c r="R190" s="8">
        <f>R181*$E$50</f>
        <v>0</v>
      </c>
    </row>
    <row r="191">
      <c r="C191" s="14" t="inlineStr">
        <is>
          <t>2028 Acquisitions</t>
        </is>
      </c>
      <c r="G191" s="8">
        <f>G182*$E$62</f>
        <v>0</v>
      </c>
      <c r="H191" s="8">
        <f>H182*$E$62</f>
        <v>0</v>
      </c>
      <c r="I191" s="8">
        <f>I182*$E$62</f>
        <v>0</v>
      </c>
      <c r="J191" s="8">
        <f>J182*$E$62</f>
        <v>0</v>
      </c>
      <c r="K191" s="8">
        <f>K182*$E$62</f>
        <v>0</v>
      </c>
      <c r="L191" s="8">
        <f>L182*$E$62</f>
        <v>0</v>
      </c>
      <c r="M191" s="8">
        <f>M182*$E$62</f>
        <v>0</v>
      </c>
      <c r="N191" s="8">
        <f>N182*$E$62</f>
        <v>0</v>
      </c>
      <c r="O191" s="8">
        <f>O182*$E$62</f>
        <v>0</v>
      </c>
      <c r="P191" s="8">
        <f>P182*$E$62</f>
        <v>4095000</v>
      </c>
      <c r="Q191" s="8">
        <f>Q182*$E$62</f>
        <v>0</v>
      </c>
      <c r="R191" s="8">
        <f>R182*$E$62</f>
        <v>0</v>
      </c>
    </row>
    <row r="192">
      <c r="C192" s="14" t="inlineStr">
        <is>
          <t>2029 Acquisitions</t>
        </is>
      </c>
      <c r="G192" s="8">
        <f>G183*$E$74</f>
        <v>0</v>
      </c>
      <c r="H192" s="8">
        <f>H183*$E$74</f>
        <v>0</v>
      </c>
      <c r="I192" s="8">
        <f>I183*$E$74</f>
        <v>0</v>
      </c>
      <c r="J192" s="8">
        <f>J183*$E$74</f>
        <v>0</v>
      </c>
      <c r="K192" s="8">
        <f>K183*$E$74</f>
        <v>0</v>
      </c>
      <c r="L192" s="8">
        <f>L183*$E$74</f>
        <v>0</v>
      </c>
      <c r="M192" s="8">
        <f>M183*$E$74</f>
        <v>0</v>
      </c>
      <c r="N192" s="8">
        <f>N183*$E$74</f>
        <v>0</v>
      </c>
      <c r="O192" s="8">
        <f>O183*$E$74</f>
        <v>0</v>
      </c>
      <c r="P192" s="8">
        <f>P183*$E$74</f>
        <v>0</v>
      </c>
      <c r="Q192" s="8">
        <f>Q183*$E$74</f>
        <v>1798000</v>
      </c>
      <c r="R192" s="8">
        <f>R183*$E$74</f>
        <v>0</v>
      </c>
    </row>
    <row r="193">
      <c r="C193" s="14" t="inlineStr">
        <is>
          <t>2030 Acquisitions</t>
        </is>
      </c>
      <c r="G193" s="8">
        <f>G184*$E$86</f>
        <v>0</v>
      </c>
      <c r="H193" s="8">
        <f>H184*$E$86</f>
        <v>0</v>
      </c>
      <c r="I193" s="8">
        <f>I184*$E$86</f>
        <v>0</v>
      </c>
      <c r="J193" s="8">
        <f>J184*$E$86</f>
        <v>0</v>
      </c>
      <c r="K193" s="8">
        <f>K184*$E$86</f>
        <v>0</v>
      </c>
      <c r="L193" s="8">
        <f>L184*$E$86</f>
        <v>0</v>
      </c>
      <c r="M193" s="8">
        <f>M184*$E$86</f>
        <v>0</v>
      </c>
      <c r="N193" s="8">
        <f>N184*$E$86</f>
        <v>0</v>
      </c>
      <c r="O193" s="8">
        <f>O184*$E$86</f>
        <v>0</v>
      </c>
      <c r="P193" s="8">
        <f>P184*$E$86</f>
        <v>0</v>
      </c>
      <c r="Q193" s="8">
        <f>Q184*$E$86</f>
        <v>0</v>
      </c>
      <c r="R193" s="8">
        <f>R184*$E$86</f>
        <v>1140000</v>
      </c>
    </row>
    <row r="194">
      <c r="C194" s="14" t="inlineStr">
        <is>
          <t>2031 Acquisitions</t>
        </is>
      </c>
      <c r="G194" s="8">
        <f>G185*$E$98</f>
        <v>0</v>
      </c>
      <c r="H194" s="8">
        <f>H185*$E$98</f>
        <v>0</v>
      </c>
      <c r="I194" s="8">
        <f>I185*$E$98</f>
        <v>0</v>
      </c>
      <c r="J194" s="8">
        <f>J185*$E$98</f>
        <v>0</v>
      </c>
      <c r="K194" s="8">
        <f>K185*$E$98</f>
        <v>0</v>
      </c>
      <c r="L194" s="8">
        <f>L185*$E$98</f>
        <v>0</v>
      </c>
      <c r="M194" s="8">
        <f>M185*$E$98</f>
        <v>0</v>
      </c>
      <c r="N194" s="8">
        <f>N185*$E$98</f>
        <v>0</v>
      </c>
      <c r="O194" s="8">
        <f>O185*$E$98</f>
        <v>0</v>
      </c>
      <c r="P194" s="8">
        <f>P185*$E$98</f>
        <v>0</v>
      </c>
      <c r="Q194" s="8">
        <f>Q185*$E$98</f>
        <v>0</v>
      </c>
      <c r="R194" s="8">
        <f>R185*$E$98</f>
        <v>0</v>
      </c>
    </row>
    <row r="195">
      <c r="C195" s="29" t="inlineStr">
        <is>
          <t>Follow-On Capital Drawn</t>
        </is>
      </c>
      <c r="G195" s="30">
        <f>SUM(G190:G194)</f>
        <v>0</v>
      </c>
      <c r="H195" s="30">
        <f>SUM(H190:H194)</f>
        <v>0</v>
      </c>
      <c r="I195" s="30">
        <f>SUM(I190:I194)</f>
        <v>0</v>
      </c>
      <c r="J195" s="30">
        <f>SUM(J190:J194)</f>
        <v>0</v>
      </c>
      <c r="K195" s="30">
        <f>SUM(K190:K194)</f>
        <v>0</v>
      </c>
      <c r="L195" s="30">
        <f>SUM(L190:L194)</f>
        <v>0</v>
      </c>
      <c r="M195" s="30">
        <f>SUM(M190:M194)</f>
        <v>0</v>
      </c>
      <c r="N195" s="30">
        <f>SUM(N190:N194)</f>
        <v>0</v>
      </c>
      <c r="O195" s="30">
        <f>SUM(O190:O194)</f>
        <v>4603500</v>
      </c>
      <c r="P195" s="30">
        <f>SUM(P190:P194)</f>
        <v>4095000</v>
      </c>
      <c r="Q195" s="30">
        <f>SUM(Q190:Q194)</f>
        <v>1798000</v>
      </c>
      <c r="R195" s="30">
        <f>SUM(R190:R194)</f>
        <v>1140000</v>
      </c>
    </row>
    <row r="196">
      <c r="C196" s="14" t="inlineStr">
        <is>
          <t>EOP</t>
        </is>
      </c>
      <c r="G196" s="37">
        <f>G189+G195</f>
        <v>0</v>
      </c>
      <c r="H196" s="37">
        <f>H189+H195</f>
        <v>0</v>
      </c>
      <c r="I196" s="37">
        <f>I189+I195</f>
        <v>0</v>
      </c>
      <c r="J196" s="37">
        <f>J189+J195</f>
        <v>0</v>
      </c>
      <c r="K196" s="37">
        <f>K189+K195</f>
        <v>0</v>
      </c>
      <c r="L196" s="37">
        <f>L189+L195</f>
        <v>0</v>
      </c>
      <c r="M196" s="37">
        <f>M189+M195</f>
        <v>0</v>
      </c>
      <c r="N196" s="37">
        <f>N189+N195</f>
        <v>0</v>
      </c>
      <c r="O196" s="37">
        <f>O189+O195</f>
        <v>4603500</v>
      </c>
      <c r="P196" s="37">
        <f>P189+P195</f>
        <v>8698500</v>
      </c>
      <c r="Q196" s="37">
        <f>Q189+Q195</f>
        <v>10496500</v>
      </c>
      <c r="R196" s="37">
        <f>R189+R195</f>
        <v>11636500</v>
      </c>
    </row>
    <row r="198">
      <c r="C198" s="25" t="inlineStr">
        <is>
          <t>C</t>
        </is>
      </c>
      <c r="D198" s="25" t="inlineStr">
        <is>
          <t>Combined Income Statement</t>
        </is>
      </c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</row>
    <row r="199">
      <c r="C199" s="3" t="inlineStr">
        <is>
          <t>Revenue:</t>
        </is>
      </c>
    </row>
    <row r="200">
      <c r="C200" s="14" t="inlineStr">
        <is>
          <t>Organic Business</t>
        </is>
      </c>
      <c r="G200" s="8">
        <f>G115</f>
        <v>30192506.235</v>
      </c>
      <c r="H200" s="8">
        <f>H115</f>
        <v>28093023.09</v>
      </c>
      <c r="I200" s="8">
        <f>I115</f>
        <v>32811373.725</v>
      </c>
      <c r="J200" s="8">
        <f>J115</f>
        <v>37492842.24</v>
      </c>
      <c r="K200" s="8">
        <f>K115</f>
        <v>43384546.79</v>
      </c>
      <c r="L200" s="8">
        <f>L115</f>
        <v>48449842.805</v>
      </c>
      <c r="M200" s="8">
        <f>M115</f>
        <v>54944664.25</v>
      </c>
      <c r="N200" s="8">
        <f>N115</f>
        <v>62303204.0794361</v>
      </c>
      <c r="O200" s="8">
        <f>O115</f>
        <v>68983845.3878636</v>
      </c>
      <c r="P200" s="8">
        <f>P115</f>
        <v>76354260.8163928</v>
      </c>
      <c r="Q200" s="8">
        <f>Q115</f>
        <v>84949363.5560059</v>
      </c>
      <c r="R200" s="8">
        <f>R115</f>
        <v>94429203.8446381</v>
      </c>
    </row>
    <row r="201">
      <c r="C201" s="14" t="inlineStr">
        <is>
          <t>Add-On Acquisitions</t>
        </is>
      </c>
      <c r="G201" s="8">
        <f>G138</f>
        <v>0</v>
      </c>
      <c r="H201" s="8">
        <f>H138</f>
        <v>0</v>
      </c>
      <c r="I201" s="8">
        <f>I138</f>
        <v>0</v>
      </c>
      <c r="J201" s="8">
        <f>J138</f>
        <v>0</v>
      </c>
      <c r="K201" s="8">
        <f>K138</f>
        <v>0</v>
      </c>
      <c r="L201" s="8">
        <f>L138</f>
        <v>0</v>
      </c>
      <c r="M201" s="8">
        <f>M138</f>
        <v>0</v>
      </c>
      <c r="N201" s="8">
        <f>N138</f>
        <v>0</v>
      </c>
      <c r="O201" s="8">
        <f>O138</f>
        <v>7105263.15789474</v>
      </c>
      <c r="P201" s="8">
        <f>P138</f>
        <v>13349359.886202</v>
      </c>
      <c r="Q201" s="8">
        <f>Q138</f>
        <v>17833374.7431642</v>
      </c>
      <c r="R201" s="8">
        <f>R138</f>
        <v>21430387.6390632</v>
      </c>
    </row>
    <row r="202">
      <c r="C202" s="3" t="inlineStr">
        <is>
          <t>Revenue</t>
        </is>
      </c>
      <c r="G202" s="30">
        <f>G200+G201</f>
        <v>30192506.235</v>
      </c>
      <c r="H202" s="30">
        <f>H200+H201</f>
        <v>28093023.09</v>
      </c>
      <c r="I202" s="30">
        <f>I200+I201</f>
        <v>32811373.725</v>
      </c>
      <c r="J202" s="30">
        <f>J200+J201</f>
        <v>37492842.24</v>
      </c>
      <c r="K202" s="30">
        <f>K200+K201</f>
        <v>43384546.79</v>
      </c>
      <c r="L202" s="30">
        <f>L200+L201</f>
        <v>48449842.805</v>
      </c>
      <c r="M202" s="30">
        <f>M200+M201</f>
        <v>54944664.25</v>
      </c>
      <c r="N202" s="30">
        <f>N200+N201</f>
        <v>62303204.0794361</v>
      </c>
      <c r="O202" s="30">
        <f>O200+O201</f>
        <v>76089108.5457583</v>
      </c>
      <c r="P202" s="30">
        <f>P200+P201</f>
        <v>89703620.7025948</v>
      </c>
      <c r="Q202" s="30">
        <f>Q200+Q201</f>
        <v>102782738.29917</v>
      </c>
      <c r="R202" s="30">
        <f>R200+R201</f>
        <v>115859591.483701</v>
      </c>
    </row>
    <row r="203">
      <c r="C203" s="33" t="inlineStr">
        <is>
          <t>Growth (%)</t>
        </is>
      </c>
      <c r="G203" s="20" t="str">
        <f>IFERROR(G202/F202-1,"N/A")</f>
        <v>N/A</v>
      </c>
      <c r="H203" s="20">
        <f>IFERROR(H202/G202-1,"N/A")</f>
        <v>-0.0695365640950411</v>
      </c>
      <c r="I203" s="20">
        <f>IFERROR(I202/H202-1,"N/A")</f>
        <v>0.167954535184202</v>
      </c>
      <c r="J203" s="20">
        <f>IFERROR(J202/I202-1,"N/A")</f>
        <v>0.142678223540304</v>
      </c>
      <c r="K203" s="20">
        <f>IFERROR(K202/J202-1,"N/A")</f>
        <v>0.157142115614652</v>
      </c>
      <c r="L203" s="20">
        <f>IFERROR(L202/K202-1,"N/A")</f>
        <v>0.116753461538235</v>
      </c>
      <c r="M203" s="20">
        <f>IFERROR(M202/L202-1,"N/A")</f>
        <v>0.134052477138888</v>
      </c>
      <c r="N203" s="20">
        <f>IFERROR(N202/M202-1,"N/A")</f>
        <v>0.133926377199332</v>
      </c>
      <c r="O203" s="20">
        <f>IFERROR(O202/N202-1,"N/A")</f>
        <v>0.221271195759776</v>
      </c>
      <c r="P203" s="20">
        <f>IFERROR(P202/O202-1,"N/A")</f>
        <v>0.17892852757828</v>
      </c>
      <c r="Q203" s="20">
        <f>IFERROR(Q202/P202-1,"N/A")</f>
        <v>0.145803675416158</v>
      </c>
      <c r="R203" s="20">
        <f>IFERROR(R202/Q202-1,"N/A")</f>
        <v>0.127228106595762</v>
      </c>
    </row>
    <row r="204">
      <c r="C204" s="3" t="inlineStr">
        <is>
          <t>Gross Margin:</t>
        </is>
      </c>
    </row>
    <row r="205">
      <c r="C205" s="14" t="inlineStr">
        <is>
          <t>Organic Business</t>
        </is>
      </c>
      <c r="G205" s="8">
        <f>G119</f>
        <v>21274260.235</v>
      </c>
      <c r="H205" s="8">
        <f>H119</f>
        <v>19703790.09</v>
      </c>
      <c r="I205" s="8">
        <f>I119</f>
        <v>23191857.725</v>
      </c>
      <c r="J205" s="8">
        <f>J119</f>
        <v>25962811.74</v>
      </c>
      <c r="K205" s="8">
        <f>K119</f>
        <v>30727426.29</v>
      </c>
      <c r="L205" s="8">
        <f>L119</f>
        <v>33697795.805</v>
      </c>
      <c r="M205" s="8">
        <f>M119</f>
        <v>38271457.25</v>
      </c>
      <c r="N205" s="8">
        <f>N119</f>
        <v>43921281.0640177</v>
      </c>
      <c r="O205" s="8">
        <f>O119</f>
        <v>48447807.5533992</v>
      </c>
      <c r="P205" s="8">
        <f>P119</f>
        <v>53771233.3779851</v>
      </c>
      <c r="Q205" s="8">
        <f>Q119</f>
        <v>59601857.9923428</v>
      </c>
      <c r="R205" s="8">
        <f>R119</f>
        <v>66303976.5446224</v>
      </c>
    </row>
    <row r="206">
      <c r="C206" s="14" t="inlineStr">
        <is>
          <t>Add-On Acquisitions</t>
        </is>
      </c>
      <c r="G206" s="8">
        <f>G146</f>
        <v>0</v>
      </c>
      <c r="H206" s="8">
        <f>H146</f>
        <v>0</v>
      </c>
      <c r="I206" s="8">
        <f>I146</f>
        <v>0</v>
      </c>
      <c r="J206" s="8">
        <f>J146</f>
        <v>0</v>
      </c>
      <c r="K206" s="8">
        <f>K146</f>
        <v>0</v>
      </c>
      <c r="L206" s="8">
        <f>L146</f>
        <v>0</v>
      </c>
      <c r="M206" s="8">
        <f>M146</f>
        <v>0</v>
      </c>
      <c r="N206" s="8">
        <f>N146</f>
        <v>0</v>
      </c>
      <c r="O206" s="8">
        <f>O146</f>
        <v>3907894.73684211</v>
      </c>
      <c r="P206" s="8">
        <f>P146</f>
        <v>7228634.42389758</v>
      </c>
      <c r="Q206" s="8">
        <f>Q146</f>
        <v>9582995.74837996</v>
      </c>
      <c r="R206" s="8">
        <f>R146</f>
        <v>11433202.7748817</v>
      </c>
    </row>
    <row r="207">
      <c r="C207" s="3" t="inlineStr">
        <is>
          <t>Gross Margin</t>
        </is>
      </c>
      <c r="G207" s="30">
        <f>G205+G206</f>
        <v>21274260.235</v>
      </c>
      <c r="H207" s="30">
        <f>H205+H206</f>
        <v>19703790.09</v>
      </c>
      <c r="I207" s="30">
        <f>I205+I206</f>
        <v>23191857.725</v>
      </c>
      <c r="J207" s="30">
        <f>J205+J206</f>
        <v>25962811.74</v>
      </c>
      <c r="K207" s="30">
        <f>K205+K206</f>
        <v>30727426.29</v>
      </c>
      <c r="L207" s="30">
        <f>L205+L206</f>
        <v>33697795.805</v>
      </c>
      <c r="M207" s="30">
        <f>M205+M206</f>
        <v>38271457.25</v>
      </c>
      <c r="N207" s="30">
        <f>N205+N206</f>
        <v>43921281.0640177</v>
      </c>
      <c r="O207" s="30">
        <f>O205+O206</f>
        <v>52355702.2902413</v>
      </c>
      <c r="P207" s="30">
        <f>P205+P206</f>
        <v>60999867.8018827</v>
      </c>
      <c r="Q207" s="30">
        <f>Q205+Q206</f>
        <v>69184853.7407228</v>
      </c>
      <c r="R207" s="30">
        <f>R205+R206</f>
        <v>77737179.3195041</v>
      </c>
    </row>
    <row r="208">
      <c r="C208" s="3" t="inlineStr">
        <is>
          <t>EBITDA:</t>
        </is>
      </c>
    </row>
    <row r="209">
      <c r="C209" s="14" t="inlineStr">
        <is>
          <t>Organic Business</t>
        </is>
      </c>
      <c r="G209" s="8">
        <f>G124</f>
        <v>7189980.235</v>
      </c>
      <c r="H209" s="8">
        <f>H124</f>
        <v>6621402.09</v>
      </c>
      <c r="I209" s="8">
        <f>I124</f>
        <v>8245939.725</v>
      </c>
      <c r="J209" s="8">
        <f>J124</f>
        <v>8480660.74</v>
      </c>
      <c r="K209" s="8">
        <f>K124</f>
        <v>10371210.29</v>
      </c>
      <c r="L209" s="8">
        <f>L124</f>
        <v>10328396.305</v>
      </c>
      <c r="M209" s="8">
        <f>M124</f>
        <v>12969585.75</v>
      </c>
      <c r="N209" s="8">
        <f>N124</f>
        <v>14620716.0292134</v>
      </c>
      <c r="O209" s="8">
        <f>O124</f>
        <v>16342758.0424246</v>
      </c>
      <c r="P209" s="8">
        <f>P124</f>
        <v>18550406.9889032</v>
      </c>
      <c r="Q209" s="8">
        <f>Q124</f>
        <v>20428785.9108536</v>
      </c>
      <c r="R209" s="8">
        <f>R124</f>
        <v>21940687.7705709</v>
      </c>
    </row>
    <row r="210">
      <c r="C210" s="14" t="inlineStr">
        <is>
          <t>Add-On Acquisitions</t>
        </is>
      </c>
      <c r="G210" s="8">
        <f>G154</f>
        <v>0</v>
      </c>
      <c r="H210" s="8">
        <f>H154</f>
        <v>0</v>
      </c>
      <c r="I210" s="8">
        <f>I154</f>
        <v>0</v>
      </c>
      <c r="J210" s="8">
        <f>J154</f>
        <v>0</v>
      </c>
      <c r="K210" s="8">
        <f>K154</f>
        <v>0</v>
      </c>
      <c r="L210" s="8">
        <f>L154</f>
        <v>0</v>
      </c>
      <c r="M210" s="8">
        <f>M154</f>
        <v>0</v>
      </c>
      <c r="N210" s="8">
        <f>N154</f>
        <v>0</v>
      </c>
      <c r="O210" s="8">
        <f>O154</f>
        <v>1350000</v>
      </c>
      <c r="P210" s="8">
        <f>P154</f>
        <v>2508000</v>
      </c>
      <c r="Q210" s="8">
        <f>Q154</f>
        <v>3323390</v>
      </c>
      <c r="R210" s="8">
        <f>R154</f>
        <v>3957417.45</v>
      </c>
    </row>
    <row r="211">
      <c r="C211" s="3" t="inlineStr">
        <is>
          <t>EBITDA</t>
        </is>
      </c>
      <c r="G211" s="30">
        <f>G209+G210</f>
        <v>7189980.235</v>
      </c>
      <c r="H211" s="30">
        <f>H209+H210</f>
        <v>6621402.09</v>
      </c>
      <c r="I211" s="30">
        <f>I209+I210</f>
        <v>8245939.725</v>
      </c>
      <c r="J211" s="30">
        <f>J209+J210</f>
        <v>8480660.74</v>
      </c>
      <c r="K211" s="30">
        <f>K209+K210</f>
        <v>10371210.29</v>
      </c>
      <c r="L211" s="30">
        <f>L209+L210</f>
        <v>10328396.305</v>
      </c>
      <c r="M211" s="30">
        <f>M209+M210</f>
        <v>12969585.75</v>
      </c>
      <c r="N211" s="30">
        <f>N209+N210</f>
        <v>14620716.0292134</v>
      </c>
      <c r="O211" s="30">
        <f>O209+O210</f>
        <v>17692758.0424246</v>
      </c>
      <c r="P211" s="30">
        <f>P209+P210</f>
        <v>21058406.9889032</v>
      </c>
      <c r="Q211" s="30">
        <f>Q209+Q210</f>
        <v>23752175.9108536</v>
      </c>
      <c r="R211" s="30">
        <f>R209+R210</f>
        <v>25898105.2205709</v>
      </c>
    </row>
    <row r="212">
      <c r="C212" s="33" t="inlineStr">
        <is>
          <t>Margin (%)</t>
        </is>
      </c>
      <c r="G212" s="20">
        <f>IFERROR(G211/G$202,"N/A")</f>
        <v>0.238137906771885</v>
      </c>
      <c r="H212" s="20">
        <f>IFERROR(H211/H$202,"N/A")</f>
        <v>0.23569560558817</v>
      </c>
      <c r="I212" s="20">
        <f>IFERROR(I211/I$202,"N/A")</f>
        <v>0.251313455940955</v>
      </c>
      <c r="J212" s="20">
        <f>IFERROR(J211/J$202,"N/A")</f>
        <v>0.226194127554092</v>
      </c>
      <c r="K212" s="20">
        <f>IFERROR(K211/K$202,"N/A")</f>
        <v>0.239053097412799</v>
      </c>
      <c r="L212" s="20">
        <f>IFERROR(L211/L$202,"N/A")</f>
        <v>0.213177085972591</v>
      </c>
      <c r="M212" s="20">
        <f>IFERROR(M211/M$202,"N/A")</f>
        <v>0.2360481391057</v>
      </c>
      <c r="N212" s="20">
        <f>IFERROR(N211/N$202,"N/A")</f>
        <v>0.234670371215132</v>
      </c>
      <c r="O212" s="20">
        <f>IFERROR(O211/O$202,"N/A")</f>
        <v>0.232526814685765</v>
      </c>
      <c r="P212" s="20">
        <f>IFERROR(P211/P$202,"N/A")</f>
        <v>0.234755373573166</v>
      </c>
      <c r="Q212" s="20">
        <f>IFERROR(Q211/Q$202,"N/A")</f>
        <v>0.231091098601771</v>
      </c>
      <c r="R212" s="20">
        <f>IFERROR(R211/R$202,"N/A")</f>
        <v>0.223530092665777</v>
      </c>
    </row>
    <row r="213">
      <c r="C213" s="14" t="inlineStr">
        <is>
          <t>(-) Provision</t>
        </is>
      </c>
      <c r="G213" s="8">
        <f>G126</f>
        <v>-416866.5</v>
      </c>
      <c r="H213" s="8">
        <f>H126</f>
        <v>-400393</v>
      </c>
      <c r="I213" s="8">
        <f>I126</f>
        <v>-463584.5</v>
      </c>
      <c r="J213" s="8">
        <f>J126</f>
        <v>-530042.5</v>
      </c>
      <c r="K213" s="8">
        <f>K126</f>
        <v>-609519.5</v>
      </c>
      <c r="L213" s="8">
        <f>L126</f>
        <v>-687116.5</v>
      </c>
      <c r="M213" s="8">
        <f>M126</f>
        <v>-790845.5</v>
      </c>
      <c r="N213" s="8">
        <f>N126</f>
        <v>-871575.598741749</v>
      </c>
      <c r="O213" s="8">
        <f>O126</f>
        <v>-960094.407153322</v>
      </c>
      <c r="P213" s="8">
        <f>P126</f>
        <v>-1064096.17595012</v>
      </c>
      <c r="Q213" s="8">
        <f>Q126</f>
        <v>-1195066.33255984</v>
      </c>
      <c r="R213" s="8">
        <f>R126</f>
        <v>-1321851.04849799</v>
      </c>
    </row>
    <row r="214">
      <c r="C214" s="14" t="inlineStr">
        <is>
          <t>(-) Organic D&amp;A</t>
        </is>
      </c>
      <c r="G214" s="8">
        <f>G127</f>
        <v>-1435027.5</v>
      </c>
      <c r="H214" s="8">
        <f>H127</f>
        <v>-1332755.5</v>
      </c>
      <c r="I214" s="8">
        <f>I127</f>
        <v>-1557204</v>
      </c>
      <c r="J214" s="8">
        <f>J127</f>
        <v>-1755285.5</v>
      </c>
      <c r="K214" s="8">
        <f>K127</f>
        <v>-2024854</v>
      </c>
      <c r="L214" s="8">
        <f>L127</f>
        <v>-2319661.5</v>
      </c>
      <c r="M214" s="8">
        <f>M127</f>
        <v>-2575882</v>
      </c>
      <c r="N214" s="8">
        <f>N127</f>
        <v>-2917475.347389</v>
      </c>
      <c r="O214" s="8">
        <f>O127</f>
        <v>-3255772.20629939</v>
      </c>
      <c r="P214" s="8">
        <f>P127</f>
        <v>-3549624.04787966</v>
      </c>
      <c r="Q214" s="8">
        <f>Q127</f>
        <v>-3969631.36075147</v>
      </c>
      <c r="R214" s="8">
        <f>R127</f>
        <v>-4380478.57017362</v>
      </c>
    </row>
    <row r="215">
      <c r="C215" s="14" t="inlineStr">
        <is>
          <t>(-) Add-On Acquisitions D&amp;A</t>
        </is>
      </c>
      <c r="G215" s="8">
        <f>-G170</f>
        <v>-0</v>
      </c>
      <c r="H215" s="8">
        <f>-H170</f>
        <v>-0</v>
      </c>
      <c r="I215" s="8">
        <f>-I170</f>
        <v>-0</v>
      </c>
      <c r="J215" s="8">
        <f>-J170</f>
        <v>-0</v>
      </c>
      <c r="K215" s="8">
        <f>-K170</f>
        <v>-0</v>
      </c>
      <c r="L215" s="8">
        <f>-L170</f>
        <v>-0</v>
      </c>
      <c r="M215" s="8">
        <f>-M170</f>
        <v>-0</v>
      </c>
      <c r="N215" s="8">
        <f>-N170</f>
        <v>-0</v>
      </c>
      <c r="O215" s="8">
        <f>-O170</f>
        <v>-170526.315789474</v>
      </c>
      <c r="P215" s="8">
        <f>-P170</f>
        <v>-320384.637268848</v>
      </c>
      <c r="Q215" s="8">
        <f>-Q170</f>
        <v>-422489.88272483</v>
      </c>
      <c r="R215" s="8">
        <f>-R170</f>
        <v>-504855.943860393</v>
      </c>
    </row>
    <row r="216">
      <c r="C216" s="14" t="inlineStr">
        <is>
          <t>(-) Goodwill, Trademark &amp; PPA Amortization</t>
        </is>
      </c>
      <c r="G216" s="8">
        <f>G128</f>
        <v>-136300</v>
      </c>
      <c r="H216" s="8">
        <f>H128</f>
        <v>-132070</v>
      </c>
      <c r="I216" s="8">
        <f>I128</f>
        <v>-153690</v>
      </c>
      <c r="J216" s="8">
        <f>J128</f>
        <v>-170610</v>
      </c>
      <c r="K216" s="8">
        <f>K128</f>
        <v>-199280</v>
      </c>
      <c r="L216" s="8">
        <f>L128</f>
        <v>-215730</v>
      </c>
      <c r="M216" s="8">
        <f>M128</f>
        <v>-251685</v>
      </c>
      <c r="N216" s="8">
        <f>N128</f>
        <v>-277018.58974901</v>
      </c>
      <c r="O216" s="8">
        <f>O128</f>
        <v>-310509.874512429</v>
      </c>
      <c r="P216" s="8">
        <f>P128</f>
        <v>-343504.752351221</v>
      </c>
      <c r="Q216" s="8">
        <f>Q128</f>
        <v>-388361.869033096</v>
      </c>
      <c r="R216" s="8">
        <f>R128</f>
        <v>-420939.221122757</v>
      </c>
    </row>
    <row r="217">
      <c r="C217" s="3" t="inlineStr">
        <is>
          <t>EBIT</t>
        </is>
      </c>
      <c r="G217" s="30">
        <f>G211+G213+G214+G215+G216</f>
        <v>5201786.235</v>
      </c>
      <c r="H217" s="30">
        <f>H211+H213+H214+H215+H216</f>
        <v>4756183.59</v>
      </c>
      <c r="I217" s="30">
        <f>I211+I213+I214+I215+I216</f>
        <v>6071461.225</v>
      </c>
      <c r="J217" s="30">
        <f>J211+J213+J214+J215+J216</f>
        <v>6024722.74</v>
      </c>
      <c r="K217" s="30">
        <f>K211+K213+K214+K215+K216</f>
        <v>7537556.78999999</v>
      </c>
      <c r="L217" s="30">
        <f>L211+L213+L214+L215+L216</f>
        <v>7105888.305</v>
      </c>
      <c r="M217" s="30">
        <f>M211+M213+M214+M215+M216</f>
        <v>9351173.24999999</v>
      </c>
      <c r="N217" s="30">
        <f>N211+N213+N214+N215+N216</f>
        <v>10554646.4933336</v>
      </c>
      <c r="O217" s="30">
        <f>O211+O213+O214+O215+O216</f>
        <v>12995855.23867</v>
      </c>
      <c r="P217" s="30">
        <f>P211+P213+P214+P215+P216</f>
        <v>15780797.3754534</v>
      </c>
      <c r="Q217" s="30">
        <f>Q211+Q213+Q214+Q215+Q216</f>
        <v>17776626.4657843</v>
      </c>
      <c r="R217" s="30">
        <f>R211+R213+R214+R215+R216</f>
        <v>19269980.4369161</v>
      </c>
    </row>
    <row r="218">
      <c r="C218" s="14" t="inlineStr">
        <is>
          <t>(-) Net Interest Expense</t>
        </is>
      </c>
      <c r="G218" s="26" t="n">
        <v>-2891000</v>
      </c>
      <c r="H218" s="26" t="n">
        <v>-2866000</v>
      </c>
      <c r="I218" s="26" t="n">
        <v>-2852000</v>
      </c>
      <c r="J218" s="26" t="n">
        <v>-2752000</v>
      </c>
      <c r="K218" s="26" t="n">
        <v>-2793000</v>
      </c>
      <c r="L218" s="26" t="n">
        <v>-2670000</v>
      </c>
      <c r="M218" s="26" t="n">
        <v>-2500000</v>
      </c>
      <c r="N218" s="8">
        <f>-(M255*N38+(M261+M262)*N35)</f>
        <v>-2521226</v>
      </c>
      <c r="O218" s="8">
        <f>-(N255*O38+(N261+N262)*O35)</f>
        <v>-2221890.15</v>
      </c>
      <c r="P218" s="8">
        <f>-(O255*P38+(O261+O262)*P35)</f>
        <v>-1967769.3225</v>
      </c>
      <c r="Q218" s="8">
        <f>-(P255*Q38+(P261+P262)*Q35)</f>
        <v>-1750521.655875</v>
      </c>
      <c r="R218" s="8">
        <f>-(Q255*R38+(Q261+Q262)*R35)</f>
        <v>-1563594.56450625</v>
      </c>
    </row>
    <row r="219">
      <c r="C219" s="14" t="inlineStr">
        <is>
          <t>(+) Investment Income</t>
        </is>
      </c>
      <c r="G219" s="26" t="n">
        <v>43300</v>
      </c>
      <c r="H219" s="26" t="n">
        <v>41300</v>
      </c>
      <c r="I219" s="26" t="n">
        <v>48200</v>
      </c>
      <c r="J219" s="26" t="n">
        <v>55100</v>
      </c>
      <c r="K219" s="26" t="n">
        <v>63400</v>
      </c>
      <c r="L219" s="26" t="n">
        <v>67300</v>
      </c>
      <c r="M219" s="26" t="n">
        <v>79000</v>
      </c>
      <c r="N219" s="8">
        <f>M237*N23</f>
        <v>90540</v>
      </c>
      <c r="O219" s="8">
        <f>N237*O23</f>
        <v>98127.5464251119</v>
      </c>
      <c r="P219" s="8">
        <f>O237*P23</f>
        <v>108649.556485885</v>
      </c>
      <c r="Q219" s="8">
        <f>P237*Q23</f>
        <v>120257.960785819</v>
      </c>
      <c r="R219" s="8">
        <f>Q237*R23</f>
        <v>133795.247600709</v>
      </c>
    </row>
    <row r="220">
      <c r="C220" s="14" t="inlineStr">
        <is>
          <t>(+) Other Ordinary Gains</t>
        </is>
      </c>
      <c r="G220" s="26" t="n">
        <v>207300</v>
      </c>
      <c r="H220" s="26" t="n">
        <v>199000</v>
      </c>
      <c r="I220" s="26" t="n">
        <v>250400</v>
      </c>
      <c r="J220" s="26" t="n">
        <v>253300</v>
      </c>
      <c r="K220" s="26" t="n">
        <v>198300</v>
      </c>
      <c r="L220" s="26" t="n">
        <v>164400</v>
      </c>
      <c r="M220" s="26" t="n">
        <v>279300</v>
      </c>
      <c r="N220" s="26" t="n">
        <v>0</v>
      </c>
      <c r="O220" s="26" t="n">
        <v>0</v>
      </c>
      <c r="P220" s="26" t="n">
        <v>0</v>
      </c>
      <c r="Q220" s="26" t="n">
        <v>0</v>
      </c>
      <c r="R220" s="26" t="n">
        <v>0</v>
      </c>
    </row>
    <row r="221">
      <c r="C221" s="14" t="inlineStr">
        <is>
          <t>(-) Other Ordinary Losses</t>
        </is>
      </c>
      <c r="G221" s="26" t="n">
        <v>-115800</v>
      </c>
      <c r="H221" s="26" t="n">
        <v>-116300</v>
      </c>
      <c r="I221" s="26" t="n">
        <v>-104200</v>
      </c>
      <c r="J221" s="26" t="n">
        <v>-150700</v>
      </c>
      <c r="K221" s="26" t="n">
        <v>-147800</v>
      </c>
      <c r="L221" s="26" t="n">
        <v>-76900</v>
      </c>
      <c r="M221" s="26" t="n">
        <v>-178500</v>
      </c>
      <c r="N221" s="26" t="n">
        <v>0</v>
      </c>
      <c r="O221" s="26" t="n">
        <v>0</v>
      </c>
      <c r="P221" s="26" t="n">
        <v>0</v>
      </c>
      <c r="Q221" s="26" t="n">
        <v>0</v>
      </c>
      <c r="R221" s="26" t="n">
        <v>0</v>
      </c>
    </row>
    <row r="222">
      <c r="C222" s="3" t="inlineStr">
        <is>
          <t>EBT</t>
        </is>
      </c>
      <c r="G222" s="30">
        <f>G217+G218+G219+G220+G221</f>
        <v>2445586.235</v>
      </c>
      <c r="H222" s="30">
        <f>H217+H218+H219+H220+H221</f>
        <v>2014183.59</v>
      </c>
      <c r="I222" s="30">
        <f>I217+I218+I219+I220+I221</f>
        <v>3413861.225</v>
      </c>
      <c r="J222" s="30">
        <f>J217+J218+J219+J220+J221</f>
        <v>3430422.74</v>
      </c>
      <c r="K222" s="30">
        <f>K217+K218+K219+K220+K221</f>
        <v>4858456.78999999</v>
      </c>
      <c r="L222" s="30">
        <f>L217+L218+L219+L220+L221</f>
        <v>4590688.305</v>
      </c>
      <c r="M222" s="30">
        <f>M217+M218+M219+M220+M221</f>
        <v>7030973.24999999</v>
      </c>
      <c r="N222" s="30">
        <f>N217+N218+N219+N220+N221</f>
        <v>8123960.49333363</v>
      </c>
      <c r="O222" s="30">
        <f>O217+O218+O219+O220+O221</f>
        <v>10872092.6350951</v>
      </c>
      <c r="P222" s="30">
        <f>P217+P218+P219+P220+P221</f>
        <v>13921677.6094393</v>
      </c>
      <c r="Q222" s="30">
        <f>Q217+Q218+Q219+Q220+Q221</f>
        <v>16146362.7706952</v>
      </c>
      <c r="R222" s="30">
        <f>R217+R218+R219+R220+R221</f>
        <v>17840181.1200106</v>
      </c>
    </row>
    <row r="223">
      <c r="C223" s="14" t="inlineStr">
        <is>
          <t>(-) Income Tax</t>
        </is>
      </c>
      <c r="G223" s="8">
        <f>-MAX(0,G222)*G12</f>
        <v>-516018.695585</v>
      </c>
      <c r="H223" s="8">
        <f>-MAX(0,H222)*H12</f>
        <v>-463262.225699999</v>
      </c>
      <c r="I223" s="8">
        <f>-MAX(0,I222)*I12</f>
        <v>-747635.608275</v>
      </c>
      <c r="J223" s="8">
        <f>-MAX(0,J222)*J12</f>
        <v>-802718.921160001</v>
      </c>
      <c r="K223" s="8">
        <f>-MAX(0,K222)*K12</f>
        <v>-1107728.14812</v>
      </c>
      <c r="L223" s="8">
        <f>-MAX(0,L222)*L12</f>
        <v>-1014542.115405</v>
      </c>
      <c r="M223" s="8">
        <f>-MAX(0,M222)*M12</f>
        <v>-1603061.901</v>
      </c>
      <c r="N223" s="8">
        <f>-MAX(0,N222)*N12</f>
        <v>-1827891.11100007</v>
      </c>
      <c r="O223" s="8">
        <f>-MAX(0,O222)*O12</f>
        <v>-2446220.8428964</v>
      </c>
      <c r="P223" s="8">
        <f>-MAX(0,P222)*P12</f>
        <v>-3132377.46212384</v>
      </c>
      <c r="Q223" s="8">
        <f>-MAX(0,Q222)*Q12</f>
        <v>-3632931.62340641</v>
      </c>
      <c r="R223" s="8">
        <f>-MAX(0,R222)*R12</f>
        <v>-4014040.75200237</v>
      </c>
    </row>
    <row r="224">
      <c r="C224" s="3" t="inlineStr">
        <is>
          <t>Net Income</t>
        </is>
      </c>
      <c r="G224" s="31">
        <f>G222+G223</f>
        <v>1929567.539415</v>
      </c>
      <c r="H224" s="31">
        <f>H222+H223</f>
        <v>1550921.3643</v>
      </c>
      <c r="I224" s="31">
        <f>I222+I223</f>
        <v>2666225.616725</v>
      </c>
      <c r="J224" s="31">
        <f>J222+J223</f>
        <v>2627703.81884</v>
      </c>
      <c r="K224" s="31">
        <f>K222+K223</f>
        <v>3750728.64187999</v>
      </c>
      <c r="L224" s="31">
        <f>L222+L223</f>
        <v>3576146.189595</v>
      </c>
      <c r="M224" s="31">
        <f>M222+M223</f>
        <v>5427911.34899999</v>
      </c>
      <c r="N224" s="31">
        <f>N222+N223</f>
        <v>6296069.38233356</v>
      </c>
      <c r="O224" s="31">
        <f>O222+O223</f>
        <v>8425871.79219869</v>
      </c>
      <c r="P224" s="31">
        <f>P222+P223</f>
        <v>10789300.1473154</v>
      </c>
      <c r="Q224" s="31">
        <f>Q222+Q223</f>
        <v>12513431.1472888</v>
      </c>
      <c r="R224" s="31">
        <f>R222+R223</f>
        <v>13826140.3680082</v>
      </c>
    </row>
    <row r="226">
      <c r="C226" s="25" t="inlineStr">
        <is>
          <t>D</t>
        </is>
      </c>
      <c r="D226" s="25" t="inlineStr">
        <is>
          <t>Organic Balance Sheet (incl. add-on flows from 2027E)</t>
        </is>
      </c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</row>
    <row r="227">
      <c r="C227" s="3" t="inlineStr">
        <is>
          <t>Non-Current Assets:</t>
        </is>
      </c>
    </row>
    <row r="228">
      <c r="C228" s="14" t="inlineStr">
        <is>
          <t>Goodwill</t>
        </is>
      </c>
      <c r="G228" s="26" t="n">
        <v>9459000</v>
      </c>
      <c r="H228" s="26" t="n">
        <v>9260000</v>
      </c>
      <c r="I228" s="26" t="n">
        <v>9535000</v>
      </c>
      <c r="J228" s="26" t="n">
        <v>9736000</v>
      </c>
      <c r="K228" s="26" t="n">
        <v>9781000</v>
      </c>
      <c r="L228" s="26" t="n">
        <v>9730000</v>
      </c>
      <c r="M228" s="26" t="n">
        <v>9637000</v>
      </c>
      <c r="N228" s="8">
        <f>M228+N186</f>
        <v>9637000</v>
      </c>
      <c r="O228" s="8">
        <f>N228+O186</f>
        <v>18007000</v>
      </c>
      <c r="P228" s="8">
        <f>O228+P186</f>
        <v>24832000</v>
      </c>
      <c r="Q228" s="8">
        <f>P228+Q186</f>
        <v>28428000</v>
      </c>
      <c r="R228" s="8">
        <f>Q228+R186</f>
        <v>30708000</v>
      </c>
    </row>
    <row r="229">
      <c r="C229" s="14" t="inlineStr">
        <is>
          <t>Less: Accumulated Goodwill Amortisation</t>
        </is>
      </c>
      <c r="G229" s="26" t="n">
        <v>-700000</v>
      </c>
      <c r="H229" s="26" t="n">
        <v>-940000</v>
      </c>
      <c r="I229" s="26" t="n">
        <v>-1140000</v>
      </c>
      <c r="J229" s="26" t="n">
        <v>-1422000</v>
      </c>
      <c r="K229" s="26" t="n">
        <v>-1586000</v>
      </c>
      <c r="L229" s="26" t="n">
        <v>-1853000</v>
      </c>
      <c r="M229" s="26" t="n">
        <v>-2067000</v>
      </c>
      <c r="N229" s="8">
        <f>M229+N216</f>
        <v>-2344018.58974901</v>
      </c>
      <c r="O229" s="8">
        <f>N229+O216</f>
        <v>-2654528.46426144</v>
      </c>
      <c r="P229" s="8">
        <f>O229+P216</f>
        <v>-2998033.21661266</v>
      </c>
      <c r="Q229" s="8">
        <f>P229+Q216</f>
        <v>-3386395.08564576</v>
      </c>
      <c r="R229" s="8">
        <f>Q229+R216</f>
        <v>-3807334.30676851</v>
      </c>
    </row>
    <row r="230">
      <c r="C230" s="29" t="inlineStr">
        <is>
          <t>Net Goodwill</t>
        </is>
      </c>
      <c r="G230" s="30">
        <f>G228+G229</f>
        <v>8759000</v>
      </c>
      <c r="H230" s="30">
        <f>H228+H229</f>
        <v>8320000</v>
      </c>
      <c r="I230" s="30">
        <f>I228+I229</f>
        <v>8395000</v>
      </c>
      <c r="J230" s="30">
        <f>J228+J229</f>
        <v>8314000</v>
      </c>
      <c r="K230" s="30">
        <f>K228+K229</f>
        <v>8195000</v>
      </c>
      <c r="L230" s="30">
        <f>L228+L229</f>
        <v>7877000</v>
      </c>
      <c r="M230" s="30">
        <f>M228+M229</f>
        <v>7570000</v>
      </c>
      <c r="N230" s="30">
        <f>N228+N229</f>
        <v>7292981.41025099</v>
      </c>
      <c r="O230" s="30">
        <f>O228+O229</f>
        <v>15352471.5357386</v>
      </c>
      <c r="P230" s="30">
        <f>P228+P229</f>
        <v>21833966.7833873</v>
      </c>
      <c r="Q230" s="30">
        <f>Q228+Q229</f>
        <v>25041604.9143542</v>
      </c>
      <c r="R230" s="30">
        <f>R228+R229</f>
        <v>26900665.6932315</v>
      </c>
    </row>
    <row r="231">
      <c r="C231" s="14" t="inlineStr">
        <is>
          <t>Gross Intangible Assets</t>
        </is>
      </c>
      <c r="G231" s="26" t="n">
        <v>3117000</v>
      </c>
      <c r="H231" s="26" t="n">
        <v>3394000</v>
      </c>
      <c r="I231" s="26" t="n">
        <v>3450000</v>
      </c>
      <c r="J231" s="26" t="n">
        <v>3691000</v>
      </c>
      <c r="K231" s="26" t="n">
        <v>3879000</v>
      </c>
      <c r="L231" s="26" t="n">
        <v>3976000</v>
      </c>
      <c r="M231" s="26" t="n">
        <v>4167000</v>
      </c>
      <c r="N231" s="8">
        <f>M231*(1+N16)</f>
        <v>4250340</v>
      </c>
      <c r="O231" s="8">
        <f>N231*(1+O16)</f>
        <v>4335346.8</v>
      </c>
      <c r="P231" s="8">
        <f>O231*(1+P16)</f>
        <v>4422053.736</v>
      </c>
      <c r="Q231" s="8">
        <f>P231*(1+Q16)</f>
        <v>4510494.81072</v>
      </c>
      <c r="R231" s="8">
        <f>Q231*(1+R16)</f>
        <v>4600704.7069344</v>
      </c>
    </row>
    <row r="232">
      <c r="C232" s="14" t="inlineStr">
        <is>
          <t>Less: Accumulated Depreciation</t>
        </is>
      </c>
      <c r="G232" s="26" t="n">
        <v>-881000</v>
      </c>
      <c r="H232" s="26" t="n">
        <v>-1074000</v>
      </c>
      <c r="I232" s="26" t="n">
        <v>-1191000</v>
      </c>
      <c r="J232" s="26" t="n">
        <v>-1405000</v>
      </c>
      <c r="K232" s="26" t="n">
        <v>-1560000</v>
      </c>
      <c r="L232" s="26" t="n">
        <v>-1690000</v>
      </c>
      <c r="M232" s="26" t="n">
        <v>-1905000</v>
      </c>
      <c r="N232" s="8">
        <f>M232-M231*N17</f>
        <v>-2238360</v>
      </c>
      <c r="O232" s="8">
        <f>N232-N231*O17</f>
        <v>-2578387.2</v>
      </c>
      <c r="P232" s="8">
        <f>O232-O231*P17</f>
        <v>-2925214.944</v>
      </c>
      <c r="Q232" s="8">
        <f>P232-P231*Q17</f>
        <v>-3278979.24288</v>
      </c>
      <c r="R232" s="8">
        <f>Q232-Q231*R17</f>
        <v>-3639818.8277376</v>
      </c>
    </row>
    <row r="233">
      <c r="C233" s="29" t="inlineStr">
        <is>
          <t>Net Intangible Assets</t>
        </is>
      </c>
      <c r="G233" s="30">
        <f>G231+G232</f>
        <v>2236000</v>
      </c>
      <c r="H233" s="30">
        <f>H231+H232</f>
        <v>2320000</v>
      </c>
      <c r="I233" s="30">
        <f>I231+I232</f>
        <v>2259000</v>
      </c>
      <c r="J233" s="30">
        <f>J231+J232</f>
        <v>2286000</v>
      </c>
      <c r="K233" s="30">
        <f>K231+K232</f>
        <v>2319000</v>
      </c>
      <c r="L233" s="30">
        <f>L231+L232</f>
        <v>2286000</v>
      </c>
      <c r="M233" s="30">
        <f>M231+M232</f>
        <v>2262000</v>
      </c>
      <c r="N233" s="30">
        <f>N231+N232</f>
        <v>2011980</v>
      </c>
      <c r="O233" s="30">
        <f>O231+O232</f>
        <v>1756959.6</v>
      </c>
      <c r="P233" s="30">
        <f>P231+P232</f>
        <v>1496838.792</v>
      </c>
      <c r="Q233" s="30">
        <f>Q231+Q232</f>
        <v>1231515.56784</v>
      </c>
      <c r="R233" s="30">
        <f>R231+R232</f>
        <v>960885.8791968</v>
      </c>
    </row>
    <row r="234">
      <c r="C234" s="14" t="inlineStr">
        <is>
          <t>Gross Tangible Assets</t>
        </is>
      </c>
      <c r="G234" s="26" t="n">
        <v>70409000</v>
      </c>
      <c r="H234" s="26" t="n">
        <v>74773000</v>
      </c>
      <c r="I234" s="26" t="n">
        <v>80788000</v>
      </c>
      <c r="J234" s="26" t="n">
        <v>84553000</v>
      </c>
      <c r="K234" s="26" t="n">
        <v>88180000</v>
      </c>
      <c r="L234" s="26" t="n">
        <v>90077000</v>
      </c>
      <c r="M234" s="26" t="n">
        <v>95894000</v>
      </c>
      <c r="N234" s="8">
        <f>M234+N41+N162</f>
        <v>99756798.652925</v>
      </c>
      <c r="O234" s="8">
        <f>N234+O41+O162</f>
        <v>104108987.270934</v>
      </c>
      <c r="P234" s="8">
        <f>O234+P41+P162</f>
        <v>108938015.194871</v>
      </c>
      <c r="Q234" s="8">
        <f>P234+Q41+Q162</f>
        <v>114138342.543857</v>
      </c>
      <c r="R234" s="8">
        <f>Q234+R41+R162</f>
        <v>119963018.685138</v>
      </c>
    </row>
    <row r="235">
      <c r="C235" s="14" t="inlineStr">
        <is>
          <t>Less: Accumulated Depreciation</t>
        </is>
      </c>
      <c r="G235" s="26" t="n">
        <v>-25292000</v>
      </c>
      <c r="H235" s="26" t="n">
        <v>-28709000</v>
      </c>
      <c r="I235" s="26" t="n">
        <v>-31511000</v>
      </c>
      <c r="J235" s="26" t="n">
        <v>-32709000</v>
      </c>
      <c r="K235" s="26" t="n">
        <v>-36347000</v>
      </c>
      <c r="L235" s="26" t="n">
        <v>-39571000</v>
      </c>
      <c r="M235" s="26" t="n">
        <v>-39965000</v>
      </c>
      <c r="N235" s="8">
        <f>M235+N214+M231*N17+N215</f>
        <v>-42549115.347389</v>
      </c>
      <c r="O235" s="8">
        <f>N235+O214+N231*O17+O215</f>
        <v>-45635386.6694779</v>
      </c>
      <c r="P235" s="8">
        <f>O235+P214+O231*P17+P215</f>
        <v>-49158567.6106264</v>
      </c>
      <c r="Q235" s="8">
        <f>P235+Q214+P231*Q17+Q215</f>
        <v>-53196924.5552227</v>
      </c>
      <c r="R235" s="8">
        <f>Q235+R214+Q231*R17+R215</f>
        <v>-57721419.4843991</v>
      </c>
    </row>
    <row r="236">
      <c r="C236" s="29" t="inlineStr">
        <is>
          <t>Net Tangible Assets</t>
        </is>
      </c>
      <c r="G236" s="30">
        <f>G234+G235</f>
        <v>45117000</v>
      </c>
      <c r="H236" s="30">
        <f>H234+H235</f>
        <v>46064000</v>
      </c>
      <c r="I236" s="30">
        <f>I234+I235</f>
        <v>49277000</v>
      </c>
      <c r="J236" s="30">
        <f>J234+J235</f>
        <v>51844000</v>
      </c>
      <c r="K236" s="30">
        <f>K234+K235</f>
        <v>51833000</v>
      </c>
      <c r="L236" s="30">
        <f>L234+L235</f>
        <v>50506000</v>
      </c>
      <c r="M236" s="30">
        <f>M234+M235</f>
        <v>55929000</v>
      </c>
      <c r="N236" s="30">
        <f>N234+N235</f>
        <v>57207683.3055361</v>
      </c>
      <c r="O236" s="30">
        <f>O234+O235</f>
        <v>58473600.6014558</v>
      </c>
      <c r="P236" s="30">
        <f>P234+P235</f>
        <v>59779447.5842442</v>
      </c>
      <c r="Q236" s="30">
        <f>Q234+Q235</f>
        <v>60941417.9886343</v>
      </c>
      <c r="R236" s="30">
        <f>R234+R235</f>
        <v>62241599.2007384</v>
      </c>
    </row>
    <row r="237">
      <c r="C237" s="14" t="inlineStr">
        <is>
          <t>Net Financial Assets</t>
        </is>
      </c>
      <c r="G237" s="26" t="n">
        <v>1089000</v>
      </c>
      <c r="H237" s="26" t="n">
        <v>1054000</v>
      </c>
      <c r="I237" s="26" t="n">
        <v>1194000</v>
      </c>
      <c r="J237" s="26" t="n">
        <v>1353000</v>
      </c>
      <c r="K237" s="26" t="n">
        <v>1630000</v>
      </c>
      <c r="L237" s="26" t="n">
        <v>1731000</v>
      </c>
      <c r="M237" s="26" t="n">
        <v>2012000</v>
      </c>
      <c r="N237" s="8">
        <f>N115*N22</f>
        <v>2180612.14278027</v>
      </c>
      <c r="O237" s="8">
        <f>O115*O22</f>
        <v>2414434.58857523</v>
      </c>
      <c r="P237" s="8">
        <f>P115*P22</f>
        <v>2672399.12857375</v>
      </c>
      <c r="Q237" s="8">
        <f>Q115*Q22</f>
        <v>2973227.72446021</v>
      </c>
      <c r="R237" s="8">
        <f>R115*R22</f>
        <v>3305022.13456233</v>
      </c>
    </row>
    <row r="238">
      <c r="C238" s="29" t="inlineStr">
        <is>
          <t>Total Non-Current Assets</t>
        </is>
      </c>
      <c r="G238" s="30">
        <f>G230+G233+G236+G237</f>
        <v>57201000</v>
      </c>
      <c r="H238" s="30">
        <f>H230+H233+H236+H237</f>
        <v>57758000</v>
      </c>
      <c r="I238" s="30">
        <f>I230+I233+I236+I237</f>
        <v>61125000</v>
      </c>
      <c r="J238" s="30">
        <f>J230+J233+J236+J237</f>
        <v>63797000</v>
      </c>
      <c r="K238" s="30">
        <f>K230+K233+K236+K237</f>
        <v>63977000</v>
      </c>
      <c r="L238" s="30">
        <f>L230+L233+L236+L237</f>
        <v>62400000</v>
      </c>
      <c r="M238" s="30">
        <f>M230+M233+M236+M237</f>
        <v>67773000</v>
      </c>
      <c r="N238" s="30">
        <f>N230+N233+N236+N237</f>
        <v>68693256.8585673</v>
      </c>
      <c r="O238" s="30">
        <f>O230+O233+O236+O237</f>
        <v>77997466.3257696</v>
      </c>
      <c r="P238" s="30">
        <f>P230+P233+P236+P237</f>
        <v>85782652.2882053</v>
      </c>
      <c r="Q238" s="30">
        <f>Q230+Q233+Q236+Q237</f>
        <v>90187766.1952887</v>
      </c>
      <c r="R238" s="30">
        <f>R230+R233+R236+R237</f>
        <v>93408172.907729</v>
      </c>
    </row>
    <row r="239">
      <c r="C239" s="3" t="inlineStr">
        <is>
          <t>Current Assets:</t>
        </is>
      </c>
    </row>
    <row r="240">
      <c r="C240" s="14" t="inlineStr">
        <is>
          <t>Gross Inventories</t>
        </is>
      </c>
      <c r="G240" s="26" t="n">
        <v>1330000</v>
      </c>
      <c r="H240" s="26" t="n">
        <v>1235000</v>
      </c>
      <c r="I240" s="26" t="n">
        <v>1443000</v>
      </c>
      <c r="J240" s="26" t="n">
        <v>1636000</v>
      </c>
      <c r="K240" s="26" t="n">
        <v>1943000</v>
      </c>
      <c r="L240" s="26" t="n">
        <v>2181000</v>
      </c>
      <c r="M240" s="26" t="n">
        <v>2402000</v>
      </c>
      <c r="N240" s="8">
        <f>(N202-N207)*N25/365</f>
        <v>2618794.51178564</v>
      </c>
      <c r="O240" s="8">
        <f>(O202-O207)*O25/365</f>
        <v>3316174.57268868</v>
      </c>
      <c r="P240" s="8">
        <f>(P202-P207)*P25/365</f>
        <v>3932020.94530303</v>
      </c>
      <c r="Q240" s="8">
        <f>(Q202-Q207)*Q25/365</f>
        <v>4602449.93951334</v>
      </c>
      <c r="R240" s="8">
        <f>(R202-R207)*R25/365</f>
        <v>5117803.27683743</v>
      </c>
    </row>
    <row r="241">
      <c r="C241" s="14" t="inlineStr">
        <is>
          <t>Less: Provision</t>
        </is>
      </c>
      <c r="G241" s="26" t="n">
        <v>-68000</v>
      </c>
      <c r="H241" s="26" t="n">
        <v>-62000</v>
      </c>
      <c r="I241" s="26" t="n">
        <v>-74000</v>
      </c>
      <c r="J241" s="26" t="n">
        <v>-82000</v>
      </c>
      <c r="K241" s="26" t="n">
        <v>-95000</v>
      </c>
      <c r="L241" s="26" t="n">
        <v>-107000</v>
      </c>
      <c r="M241" s="26" t="n">
        <v>-120000</v>
      </c>
      <c r="N241" s="8">
        <f>-N240*N26</f>
        <v>-130939.725589282</v>
      </c>
      <c r="O241" s="8">
        <f>-O240*O26</f>
        <v>-165808.728634434</v>
      </c>
      <c r="P241" s="8">
        <f>-P240*P26</f>
        <v>-196601.047265151</v>
      </c>
      <c r="Q241" s="8">
        <f>-Q240*Q26</f>
        <v>-230122.496975667</v>
      </c>
      <c r="R241" s="8">
        <f>-R240*R26</f>
        <v>-255890.163841871</v>
      </c>
    </row>
    <row r="242">
      <c r="C242" s="29" t="inlineStr">
        <is>
          <t>Net Inventories</t>
        </is>
      </c>
      <c r="G242" s="30">
        <f>G240+G241</f>
        <v>1262000</v>
      </c>
      <c r="H242" s="30">
        <f>H240+H241</f>
        <v>1173000</v>
      </c>
      <c r="I242" s="30">
        <f>I240+I241</f>
        <v>1369000</v>
      </c>
      <c r="J242" s="30">
        <f>J240+J241</f>
        <v>1554000</v>
      </c>
      <c r="K242" s="30">
        <f>K240+K241</f>
        <v>1848000</v>
      </c>
      <c r="L242" s="30">
        <f>L240+L241</f>
        <v>2074000</v>
      </c>
      <c r="M242" s="30">
        <f>M240+M241</f>
        <v>2282000</v>
      </c>
      <c r="N242" s="30">
        <f>N240+N241</f>
        <v>2487854.78619636</v>
      </c>
      <c r="O242" s="30">
        <f>O240+O241</f>
        <v>3150365.84405425</v>
      </c>
      <c r="P242" s="30">
        <f>P240+P241</f>
        <v>3735419.89803788</v>
      </c>
      <c r="Q242" s="30">
        <f>Q240+Q241</f>
        <v>4372327.44253767</v>
      </c>
      <c r="R242" s="30">
        <f>R240+R241</f>
        <v>4861913.11299556</v>
      </c>
    </row>
    <row r="243">
      <c r="C243" s="14" t="inlineStr">
        <is>
          <t>Gross Receivables</t>
        </is>
      </c>
      <c r="G243" s="26" t="n">
        <v>5492000</v>
      </c>
      <c r="H243" s="26" t="n">
        <v>5109000</v>
      </c>
      <c r="I243" s="26" t="n">
        <v>5903000</v>
      </c>
      <c r="J243" s="26" t="n">
        <v>6944000</v>
      </c>
      <c r="K243" s="26" t="n">
        <v>7994000</v>
      </c>
      <c r="L243" s="26" t="n">
        <v>8793000</v>
      </c>
      <c r="M243" s="26" t="n">
        <v>10146000</v>
      </c>
      <c r="N243" s="8">
        <f>N202*N27/365</f>
        <v>10924397.4276272</v>
      </c>
      <c r="O243" s="8">
        <f>O202*O27/365</f>
        <v>13133188.598309</v>
      </c>
      <c r="P243" s="8">
        <f>P202*P27/365</f>
        <v>15237327.3522216</v>
      </c>
      <c r="Q243" s="8">
        <f>Q202*Q27/365</f>
        <v>17177389.1404093</v>
      </c>
      <c r="R243" s="8">
        <f>R202*R27/365</f>
        <v>19045412.2986906</v>
      </c>
    </row>
    <row r="244">
      <c r="C244" s="14" t="inlineStr">
        <is>
          <t>Less: Provision</t>
        </is>
      </c>
      <c r="G244" s="26" t="n">
        <v>-394000</v>
      </c>
      <c r="H244" s="26" t="n">
        <v>-362000</v>
      </c>
      <c r="I244" s="26" t="n">
        <v>-445000</v>
      </c>
      <c r="J244" s="26" t="n">
        <v>-502000</v>
      </c>
      <c r="K244" s="26" t="n">
        <v>-553000</v>
      </c>
      <c r="L244" s="26" t="n">
        <v>-639000</v>
      </c>
      <c r="M244" s="26" t="n">
        <v>-734000</v>
      </c>
      <c r="N244" s="8">
        <f>-N243*N28</f>
        <v>-786556.614789155</v>
      </c>
      <c r="O244" s="8">
        <f>-O243*O28</f>
        <v>-945589.579078246</v>
      </c>
      <c r="P244" s="8">
        <f>-P243*P28</f>
        <v>-1097087.56935995</v>
      </c>
      <c r="Q244" s="8">
        <f>-Q243*Q28</f>
        <v>-1236772.01810947</v>
      </c>
      <c r="R244" s="8">
        <f>-R243*R28</f>
        <v>-1371269.68550572</v>
      </c>
    </row>
    <row r="245">
      <c r="C245" s="29" t="inlineStr">
        <is>
          <t>Net Receivables</t>
        </is>
      </c>
      <c r="G245" s="30">
        <f>G243+G244</f>
        <v>5098000</v>
      </c>
      <c r="H245" s="30">
        <f>H243+H244</f>
        <v>4747000</v>
      </c>
      <c r="I245" s="30">
        <f>I243+I244</f>
        <v>5458000</v>
      </c>
      <c r="J245" s="30">
        <f>J243+J244</f>
        <v>6442000</v>
      </c>
      <c r="K245" s="30">
        <f>K243+K244</f>
        <v>7441000</v>
      </c>
      <c r="L245" s="30">
        <f>L243+L244</f>
        <v>8154000</v>
      </c>
      <c r="M245" s="30">
        <f>M243+M244</f>
        <v>9412000</v>
      </c>
      <c r="N245" s="30">
        <f>N243+N244</f>
        <v>10137840.812838</v>
      </c>
      <c r="O245" s="30">
        <f>O243+O244</f>
        <v>12187599.0192307</v>
      </c>
      <c r="P245" s="30">
        <f>P243+P244</f>
        <v>14140239.7828616</v>
      </c>
      <c r="Q245" s="30">
        <f>Q243+Q244</f>
        <v>15940617.1222998</v>
      </c>
      <c r="R245" s="30">
        <f>R243+R244</f>
        <v>17674142.6131849</v>
      </c>
    </row>
    <row r="246">
      <c r="C246" s="14" t="inlineStr">
        <is>
          <t>Gross Other Current Assets</t>
        </is>
      </c>
      <c r="G246" s="26" t="n">
        <v>1275000</v>
      </c>
      <c r="H246" s="26" t="n">
        <v>1177000</v>
      </c>
      <c r="I246" s="26" t="n">
        <v>1358000</v>
      </c>
      <c r="J246" s="26" t="n">
        <v>1525000</v>
      </c>
      <c r="K246" s="26" t="n">
        <v>1755000</v>
      </c>
      <c r="L246" s="26" t="n">
        <v>2009000</v>
      </c>
      <c r="M246" s="26" t="n">
        <v>2245000</v>
      </c>
      <c r="N246" s="8">
        <f>N202*N29+SUM($G178:N178)</f>
        <v>2492128.16317745</v>
      </c>
      <c r="O246" s="8">
        <f>O202*O29+SUM($G178:O178)</f>
        <v>3150143.28919875</v>
      </c>
      <c r="P246" s="8">
        <f>P202*P29+SUM($G178:P178)</f>
        <v>3894964.17376524</v>
      </c>
      <c r="Q246" s="8">
        <f>Q202*Q29+SUM($G178:Q178)</f>
        <v>4675296.16544239</v>
      </c>
      <c r="R246" s="8">
        <f>R202*R29+SUM($G178:R178)</f>
        <v>5502063.55838997</v>
      </c>
    </row>
    <row r="247">
      <c r="C247" s="14" t="inlineStr">
        <is>
          <t>Less: Provision</t>
        </is>
      </c>
      <c r="G247" s="26" t="n">
        <v>-44000</v>
      </c>
      <c r="H247" s="26" t="n">
        <v>-42000</v>
      </c>
      <c r="I247" s="26" t="n">
        <v>-47000</v>
      </c>
      <c r="J247" s="26" t="n">
        <v>-55000</v>
      </c>
      <c r="K247" s="26" t="n">
        <v>-63000</v>
      </c>
      <c r="L247" s="26" t="n">
        <v>-71000</v>
      </c>
      <c r="M247" s="26" t="n">
        <v>-79000</v>
      </c>
      <c r="N247" s="8">
        <f>-N246*N30</f>
        <v>-87224.4857112106</v>
      </c>
      <c r="O247" s="8">
        <f>-O246*O30</f>
        <v>-110255.015121956</v>
      </c>
      <c r="P247" s="8">
        <f>-P246*P30</f>
        <v>-136323.746081784</v>
      </c>
      <c r="Q247" s="8">
        <f>-Q246*Q30</f>
        <v>-163635.365790484</v>
      </c>
      <c r="R247" s="8">
        <f>-R246*R30</f>
        <v>-192572.224543649</v>
      </c>
    </row>
    <row r="248">
      <c r="C248" s="29" t="inlineStr">
        <is>
          <t>Net Other Current Assets</t>
        </is>
      </c>
      <c r="G248" s="30">
        <f>G246+G247</f>
        <v>1231000</v>
      </c>
      <c r="H248" s="30">
        <f>H246+H247</f>
        <v>1135000</v>
      </c>
      <c r="I248" s="30">
        <f>I246+I247</f>
        <v>1311000</v>
      </c>
      <c r="J248" s="30">
        <f>J246+J247</f>
        <v>1470000</v>
      </c>
      <c r="K248" s="30">
        <f>K246+K247</f>
        <v>1692000</v>
      </c>
      <c r="L248" s="30">
        <f>L246+L247</f>
        <v>1938000</v>
      </c>
      <c r="M248" s="30">
        <f>M246+M247</f>
        <v>2166000</v>
      </c>
      <c r="N248" s="30">
        <f>N246+N247</f>
        <v>2404903.67746624</v>
      </c>
      <c r="O248" s="30">
        <f>O246+O247</f>
        <v>3039888.2740768</v>
      </c>
      <c r="P248" s="30">
        <f>P246+P247</f>
        <v>3758640.42768346</v>
      </c>
      <c r="Q248" s="30">
        <f>Q246+Q247</f>
        <v>4511660.7996519</v>
      </c>
      <c r="R248" s="30">
        <f>R246+R247</f>
        <v>5309491.33384632</v>
      </c>
    </row>
    <row r="249">
      <c r="C249" s="14" t="inlineStr">
        <is>
          <t>Held for Sale Investments</t>
        </is>
      </c>
      <c r="G249" s="26" t="n">
        <v>595000</v>
      </c>
      <c r="H249" s="26" t="n">
        <v>617000</v>
      </c>
      <c r="I249" s="26" t="n">
        <v>609000</v>
      </c>
      <c r="J249" s="26" t="n">
        <v>595000</v>
      </c>
      <c r="K249" s="26" t="n">
        <v>591000</v>
      </c>
      <c r="L249" s="26" t="n">
        <v>600000</v>
      </c>
      <c r="M249" s="26" t="n">
        <v>595000</v>
      </c>
      <c r="N249" s="8">
        <f>M249</f>
        <v>595000</v>
      </c>
      <c r="O249" s="8">
        <f>N249</f>
        <v>595000</v>
      </c>
      <c r="P249" s="8">
        <f>O249</f>
        <v>595000</v>
      </c>
      <c r="Q249" s="8">
        <f>P249</f>
        <v>595000</v>
      </c>
      <c r="R249" s="8">
        <f>Q249</f>
        <v>595000</v>
      </c>
    </row>
    <row r="250">
      <c r="C250" s="14" t="inlineStr">
        <is>
          <t>Cash and Cash Equivalents</t>
        </is>
      </c>
      <c r="G250" s="26" t="n">
        <v>1494000</v>
      </c>
      <c r="H250" s="26" t="n">
        <v>1371000</v>
      </c>
      <c r="I250" s="26" t="n">
        <v>1499000</v>
      </c>
      <c r="J250" s="26" t="n">
        <v>1392000</v>
      </c>
      <c r="K250" s="26" t="n">
        <v>2358000</v>
      </c>
      <c r="L250" s="26" t="n">
        <v>1613000</v>
      </c>
      <c r="M250" s="26" t="n">
        <v>2631000</v>
      </c>
      <c r="N250" s="8">
        <f>N297</f>
        <v>2606206.14340548</v>
      </c>
      <c r="O250" s="8">
        <f>O297</f>
        <v>343034.57127355</v>
      </c>
      <c r="P250" s="8">
        <f>P297</f>
        <v>1206209.54014468</v>
      </c>
      <c r="Q250" s="8">
        <f>Q297</f>
        <v>4566277.80713528</v>
      </c>
      <c r="R250" s="8">
        <f>R297</f>
        <v>9487886.85489698</v>
      </c>
    </row>
    <row r="251">
      <c r="C251" s="29" t="inlineStr">
        <is>
          <t>Total Current Assets</t>
        </is>
      </c>
      <c r="G251" s="30">
        <f>G242+G245+G248+G249+G250</f>
        <v>9680000</v>
      </c>
      <c r="H251" s="30">
        <f>H242+H245+H248+H249+H250</f>
        <v>9043000</v>
      </c>
      <c r="I251" s="30">
        <f>I242+I245+I248+I249+I250</f>
        <v>10246000</v>
      </c>
      <c r="J251" s="30">
        <f>J242+J245+J248+J249+J250</f>
        <v>11453000</v>
      </c>
      <c r="K251" s="30">
        <f>K242+K245+K248+K249+K250</f>
        <v>13930000</v>
      </c>
      <c r="L251" s="30">
        <f>L242+L245+L248+L249+L250</f>
        <v>14379000</v>
      </c>
      <c r="M251" s="30">
        <f>M242+M245+M248+M249+M250</f>
        <v>17086000</v>
      </c>
      <c r="N251" s="30">
        <f>N242+N245+N248+N249+N250</f>
        <v>18231805.4199061</v>
      </c>
      <c r="O251" s="30">
        <f>O242+O245+O248+O249+O250</f>
        <v>19315887.7086353</v>
      </c>
      <c r="P251" s="30">
        <f>P242+P245+P248+P249+P250</f>
        <v>23435509.6487276</v>
      </c>
      <c r="Q251" s="30">
        <f>Q242+Q245+Q248+Q249+Q250</f>
        <v>29985883.1716246</v>
      </c>
      <c r="R251" s="30">
        <f>R242+R245+R248+R249+R250</f>
        <v>37928433.9149238</v>
      </c>
    </row>
    <row r="252">
      <c r="C252" s="3" t="inlineStr">
        <is>
          <t>Total Assets</t>
        </is>
      </c>
      <c r="G252" s="31">
        <f>G238+G251</f>
        <v>66881000</v>
      </c>
      <c r="H252" s="31">
        <f>H238+H251</f>
        <v>66801000</v>
      </c>
      <c r="I252" s="31">
        <f>I238+I251</f>
        <v>71371000</v>
      </c>
      <c r="J252" s="31">
        <f>J238+J251</f>
        <v>75250000</v>
      </c>
      <c r="K252" s="31">
        <f>K238+K251</f>
        <v>77907000</v>
      </c>
      <c r="L252" s="31">
        <f>L238+L251</f>
        <v>76779000</v>
      </c>
      <c r="M252" s="31">
        <f>M238+M251</f>
        <v>84859000</v>
      </c>
      <c r="N252" s="31">
        <f>N238+N251</f>
        <v>86925062.2784734</v>
      </c>
      <c r="O252" s="31">
        <f>O238+O251</f>
        <v>97313354.0344049</v>
      </c>
      <c r="P252" s="31">
        <f>P238+P251</f>
        <v>109218161.936933</v>
      </c>
      <c r="Q252" s="31">
        <f>Q238+Q251</f>
        <v>120173649.366913</v>
      </c>
      <c r="R252" s="31">
        <f>R238+R251</f>
        <v>131336606.822653</v>
      </c>
    </row>
    <row r="254">
      <c r="C254" s="3" t="inlineStr">
        <is>
          <t>Liabilities:</t>
        </is>
      </c>
    </row>
    <row r="255">
      <c r="C255" s="14" t="inlineStr">
        <is>
          <t>Non-Current Medium Term Loan</t>
        </is>
      </c>
      <c r="G255" s="26" t="n">
        <v>25661000</v>
      </c>
      <c r="H255" s="26" t="n">
        <v>25958000</v>
      </c>
      <c r="I255" s="26" t="n">
        <v>24599000</v>
      </c>
      <c r="J255" s="26" t="n">
        <v>23886000</v>
      </c>
      <c r="K255" s="26" t="n">
        <v>23308000</v>
      </c>
      <c r="L255" s="26" t="n">
        <v>22386000</v>
      </c>
      <c r="M255" s="26" t="n">
        <v>21463000</v>
      </c>
      <c r="N255" s="8">
        <f>M255*(1-N37)</f>
        <v>19316700</v>
      </c>
      <c r="O255" s="8">
        <f>N255*(1-O37)</f>
        <v>17385030</v>
      </c>
      <c r="P255" s="8">
        <f>O255*(1-P37)</f>
        <v>15646527</v>
      </c>
      <c r="Q255" s="8">
        <f>P255*(1-Q37)</f>
        <v>14081874.3</v>
      </c>
      <c r="R255" s="8">
        <f>Q255*(1-R37)</f>
        <v>12673686.87</v>
      </c>
    </row>
    <row r="256">
      <c r="C256" s="14" t="inlineStr">
        <is>
          <t>Other Long Term Liabilities</t>
        </is>
      </c>
      <c r="G256" s="26" t="n">
        <v>1054000</v>
      </c>
      <c r="H256" s="26" t="n">
        <v>976000</v>
      </c>
      <c r="I256" s="26" t="n">
        <v>1160000</v>
      </c>
      <c r="J256" s="26" t="n">
        <v>1335000</v>
      </c>
      <c r="K256" s="26" t="n">
        <v>1557000</v>
      </c>
      <c r="L256" s="26" t="n">
        <v>1704000</v>
      </c>
      <c r="M256" s="26" t="n">
        <v>1865000</v>
      </c>
      <c r="N256" s="8">
        <f>M256*(1+N39)</f>
        <v>1920950</v>
      </c>
      <c r="O256" s="8">
        <f>N256*(1+O39)</f>
        <v>1978578.5</v>
      </c>
      <c r="P256" s="8">
        <f>O256*(1+P39)</f>
        <v>2037935.855</v>
      </c>
      <c r="Q256" s="8">
        <f>P256*(1+Q39)</f>
        <v>2099073.93065</v>
      </c>
      <c r="R256" s="8">
        <f>Q256*(1+R39)</f>
        <v>2162046.1485695</v>
      </c>
    </row>
    <row r="257">
      <c r="C257" s="14" t="inlineStr">
        <is>
          <t>Deferred Tax Liability</t>
        </is>
      </c>
      <c r="G257" s="26" t="n">
        <v>1082000</v>
      </c>
      <c r="H257" s="26" t="n">
        <v>1090000</v>
      </c>
      <c r="I257" s="26" t="n">
        <v>1086000</v>
      </c>
      <c r="J257" s="26" t="n">
        <v>1111000</v>
      </c>
      <c r="K257" s="26" t="n">
        <v>1111000</v>
      </c>
      <c r="L257" s="26" t="n">
        <v>1114000</v>
      </c>
      <c r="M257" s="26" t="n">
        <v>1117000</v>
      </c>
      <c r="N257" s="8">
        <f>M257</f>
        <v>1117000</v>
      </c>
      <c r="O257" s="8">
        <f>N257</f>
        <v>1117000</v>
      </c>
      <c r="P257" s="8">
        <f>O257</f>
        <v>1117000</v>
      </c>
      <c r="Q257" s="8">
        <f>P257</f>
        <v>1117000</v>
      </c>
      <c r="R257" s="8">
        <f>Q257</f>
        <v>1117000</v>
      </c>
    </row>
    <row r="258">
      <c r="C258" s="29" t="inlineStr">
        <is>
          <t>Total Non-Current Liabilities</t>
        </is>
      </c>
      <c r="G258" s="30">
        <f>G255+G256+G257</f>
        <v>27797000</v>
      </c>
      <c r="H258" s="30">
        <f>H255+H256+H257</f>
        <v>28024000</v>
      </c>
      <c r="I258" s="30">
        <f>I255+I256+I257</f>
        <v>26845000</v>
      </c>
      <c r="J258" s="30">
        <f>J255+J256+J257</f>
        <v>26332000</v>
      </c>
      <c r="K258" s="30">
        <f>K255+K256+K257</f>
        <v>25976000</v>
      </c>
      <c r="L258" s="30">
        <f>L255+L256+L257</f>
        <v>25204000</v>
      </c>
      <c r="M258" s="30">
        <f>M255+M256+M257</f>
        <v>24445000</v>
      </c>
      <c r="N258" s="30">
        <f>N255+N256+N257</f>
        <v>22354650</v>
      </c>
      <c r="O258" s="30">
        <f>O255+O256+O257</f>
        <v>20480608.5</v>
      </c>
      <c r="P258" s="30">
        <f>P255+P256+P257</f>
        <v>18801462.855</v>
      </c>
      <c r="Q258" s="30">
        <f>Q255+Q256+Q257</f>
        <v>17297948.23065</v>
      </c>
      <c r="R258" s="30">
        <f>R255+R256+R257</f>
        <v>15952733.0185695</v>
      </c>
    </row>
    <row r="259">
      <c r="C259" s="14" t="inlineStr">
        <is>
          <t>Accounts Payable</t>
        </is>
      </c>
      <c r="G259" s="26" t="n">
        <v>2342000</v>
      </c>
      <c r="H259" s="26" t="n">
        <v>2137000</v>
      </c>
      <c r="I259" s="26" t="n">
        <v>2568000</v>
      </c>
      <c r="J259" s="26" t="n">
        <v>2782000</v>
      </c>
      <c r="K259" s="26" t="n">
        <v>3340000</v>
      </c>
      <c r="L259" s="26" t="n">
        <v>3745000</v>
      </c>
      <c r="M259" s="26" t="n">
        <v>4280000</v>
      </c>
      <c r="N259" s="8">
        <f>(N202-N207)*N32/365</f>
        <v>4431806.096868</v>
      </c>
      <c r="O259" s="8">
        <f>(O202-O207)*O32/365</f>
        <v>5591980.65198483</v>
      </c>
      <c r="P259" s="8">
        <f>(P202-P207)*P32/365</f>
        <v>6684435.60701515</v>
      </c>
      <c r="Q259" s="8">
        <f>(Q202-Q207)*Q32/365</f>
        <v>7824164.89717268</v>
      </c>
      <c r="R259" s="8">
        <f>(R202-R207)*R32/365</f>
        <v>8773377.04600702</v>
      </c>
    </row>
    <row r="260">
      <c r="C260" s="14" t="inlineStr">
        <is>
          <t>Other Current Liabilities</t>
        </is>
      </c>
      <c r="G260" s="26" t="n">
        <v>1521000</v>
      </c>
      <c r="H260" s="26" t="n">
        <v>1439000</v>
      </c>
      <c r="I260" s="26" t="n">
        <v>1657000</v>
      </c>
      <c r="J260" s="26" t="n">
        <v>1941000</v>
      </c>
      <c r="K260" s="26" t="n">
        <v>2277000</v>
      </c>
      <c r="L260" s="26" t="n">
        <v>2500000</v>
      </c>
      <c r="M260" s="26" t="n">
        <v>2808000</v>
      </c>
      <c r="N260" s="8">
        <f>N202*N33</f>
        <v>3115160.20397181</v>
      </c>
      <c r="O260" s="8">
        <f>O202*O33</f>
        <v>3804455.42728792</v>
      </c>
      <c r="P260" s="8">
        <f>P202*P33</f>
        <v>4485181.03512974</v>
      </c>
      <c r="Q260" s="8">
        <f>Q202*Q33</f>
        <v>5139136.91495851</v>
      </c>
      <c r="R260" s="8">
        <f>R202*R33</f>
        <v>5792979.57418506</v>
      </c>
    </row>
    <row r="261">
      <c r="C261" s="14" t="inlineStr">
        <is>
          <t>Short-Term Financial Liabilities</t>
        </is>
      </c>
      <c r="G261" s="26" t="n">
        <v>3551000</v>
      </c>
      <c r="H261" s="26" t="n">
        <v>3558000</v>
      </c>
      <c r="I261" s="26" t="n">
        <v>3512000</v>
      </c>
      <c r="J261" s="26" t="n">
        <v>4177000</v>
      </c>
      <c r="K261" s="26" t="n">
        <v>4290000</v>
      </c>
      <c r="L261" s="26" t="n">
        <v>4294000</v>
      </c>
      <c r="M261" s="26" t="n">
        <v>3881000</v>
      </c>
      <c r="N261" s="8">
        <f>M261*(1-N34)</f>
        <v>2910750</v>
      </c>
      <c r="O261" s="8">
        <f>N261*(1-O34)</f>
        <v>2183062.5</v>
      </c>
      <c r="P261" s="8">
        <f>O261*(1-P34)</f>
        <v>1637296.875</v>
      </c>
      <c r="Q261" s="8">
        <f>P261*(1-Q34)</f>
        <v>1227972.65625</v>
      </c>
      <c r="R261" s="8">
        <f>Q261*(1-R34)</f>
        <v>920979.4921875</v>
      </c>
    </row>
    <row r="262">
      <c r="C262" s="14" t="inlineStr">
        <is>
          <t>Overdrafts</t>
        </is>
      </c>
      <c r="G262" s="26" t="n">
        <v>1295000</v>
      </c>
      <c r="H262" s="26" t="n">
        <v>799000</v>
      </c>
      <c r="I262" s="26" t="n">
        <v>1444000</v>
      </c>
      <c r="J262" s="26" t="n">
        <v>1333000</v>
      </c>
      <c r="K262" s="26" t="n">
        <v>1129000</v>
      </c>
      <c r="L262" s="26" t="n">
        <v>789000</v>
      </c>
      <c r="M262" s="26" t="n">
        <v>1325000</v>
      </c>
      <c r="N262" s="8">
        <f>M262</f>
        <v>1325000</v>
      </c>
      <c r="O262" s="8">
        <f>N262</f>
        <v>1325000</v>
      </c>
      <c r="P262" s="8">
        <f>O262</f>
        <v>1325000</v>
      </c>
      <c r="Q262" s="8">
        <f>P262</f>
        <v>1325000</v>
      </c>
      <c r="R262" s="8">
        <f>Q262</f>
        <v>1325000</v>
      </c>
    </row>
    <row r="263">
      <c r="C263" s="29" t="inlineStr">
        <is>
          <t>Total Current Liabilities</t>
        </is>
      </c>
      <c r="G263" s="30">
        <f>G259+G260+G261+G262</f>
        <v>8709000</v>
      </c>
      <c r="H263" s="30">
        <f>H259+H260+H261+H262</f>
        <v>7933000</v>
      </c>
      <c r="I263" s="30">
        <f>I259+I260+I261+I262</f>
        <v>9181000</v>
      </c>
      <c r="J263" s="30">
        <f>J259+J260+J261+J262</f>
        <v>10233000</v>
      </c>
      <c r="K263" s="30">
        <f>K259+K260+K261+K262</f>
        <v>11036000</v>
      </c>
      <c r="L263" s="30">
        <f>L259+L260+L261+L262</f>
        <v>11328000</v>
      </c>
      <c r="M263" s="30">
        <f>M259+M260+M261+M262</f>
        <v>12294000</v>
      </c>
      <c r="N263" s="30">
        <f>N259+N260+N261+N262</f>
        <v>11782716.3008398</v>
      </c>
      <c r="O263" s="30">
        <f>O259+O260+O261+O262</f>
        <v>12904498.5792727</v>
      </c>
      <c r="P263" s="30">
        <f>P259+P260+P261+P262</f>
        <v>14131913.5171449</v>
      </c>
      <c r="Q263" s="30">
        <f>Q259+Q260+Q261+Q262</f>
        <v>15516274.4683812</v>
      </c>
      <c r="R263" s="30">
        <f>R259+R260+R261+R262</f>
        <v>16812336.1123796</v>
      </c>
    </row>
    <row r="264">
      <c r="C264" s="3" t="inlineStr">
        <is>
          <t>Total Liabilities</t>
        </is>
      </c>
      <c r="G264" s="30">
        <f>G258+G263</f>
        <v>36506000</v>
      </c>
      <c r="H264" s="30">
        <f>H258+H263</f>
        <v>35957000</v>
      </c>
      <c r="I264" s="30">
        <f>I258+I263</f>
        <v>36026000</v>
      </c>
      <c r="J264" s="30">
        <f>J258+J263</f>
        <v>36565000</v>
      </c>
      <c r="K264" s="30">
        <f>K258+K263</f>
        <v>37012000</v>
      </c>
      <c r="L264" s="30">
        <f>L258+L263</f>
        <v>36532000</v>
      </c>
      <c r="M264" s="30">
        <f>M258+M263</f>
        <v>36739000</v>
      </c>
      <c r="N264" s="30">
        <f>N258+N263</f>
        <v>34137366.3008398</v>
      </c>
      <c r="O264" s="30">
        <f>O258+O263</f>
        <v>33385107.0792727</v>
      </c>
      <c r="P264" s="30">
        <f>P258+P263</f>
        <v>32933376.3721449</v>
      </c>
      <c r="Q264" s="30">
        <f>Q258+Q263</f>
        <v>32814222.6990312</v>
      </c>
      <c r="R264" s="30">
        <f>R258+R263</f>
        <v>32765069.1309491</v>
      </c>
    </row>
    <row r="265">
      <c r="C265" s="3" t="inlineStr">
        <is>
          <t>Shareholders' Equity:</t>
        </is>
      </c>
    </row>
    <row r="266">
      <c r="C266" s="14" t="inlineStr">
        <is>
          <t>Share Capital</t>
        </is>
      </c>
      <c r="G266" s="26" t="n">
        <v>18500000</v>
      </c>
      <c r="H266" s="26" t="n">
        <v>18500000</v>
      </c>
      <c r="I266" s="26" t="n">
        <v>18500000</v>
      </c>
      <c r="J266" s="26" t="n">
        <v>18500000</v>
      </c>
      <c r="K266" s="26" t="n">
        <v>18500000</v>
      </c>
      <c r="L266" s="26" t="n">
        <v>18500000</v>
      </c>
      <c r="M266" s="26" t="n">
        <v>18500000</v>
      </c>
      <c r="N266" s="8">
        <f>M266+N195</f>
        <v>18500000</v>
      </c>
      <c r="O266" s="8">
        <f>N266+O195</f>
        <v>23103500</v>
      </c>
      <c r="P266" s="8">
        <f>O266+P195</f>
        <v>27198500</v>
      </c>
      <c r="Q266" s="8">
        <f>P266+Q195</f>
        <v>28996500</v>
      </c>
      <c r="R266" s="8">
        <f>Q266+R195</f>
        <v>30136500</v>
      </c>
    </row>
    <row r="267">
      <c r="C267" s="14" t="inlineStr">
        <is>
          <t>Reserves - Part of the Group</t>
        </is>
      </c>
      <c r="G267" s="26" t="n">
        <v>7084432.46</v>
      </c>
      <c r="H267" s="26" t="n">
        <v>7875078.64</v>
      </c>
      <c r="I267" s="26" t="n">
        <v>11230774.38</v>
      </c>
      <c r="J267" s="26" t="n">
        <v>14388296.18</v>
      </c>
      <c r="K267" s="26" t="n">
        <v>15487271.36</v>
      </c>
      <c r="L267" s="26" t="n">
        <v>14667853.81</v>
      </c>
      <c r="M267" s="26" t="n">
        <v>20624088.65</v>
      </c>
      <c r="N267" s="8">
        <f>M267+M269-N312</f>
        <v>24423626.5943</v>
      </c>
      <c r="O267" s="8">
        <f>N267+N269-O312</f>
        <v>28830875.1619335</v>
      </c>
      <c r="P267" s="8">
        <f>O267+O269-P312</f>
        <v>34728985.4164726</v>
      </c>
      <c r="Q267" s="8">
        <f>P267+P269-Q312</f>
        <v>42281495.5195934</v>
      </c>
      <c r="R267" s="8">
        <f>Q267+Q269-R312</f>
        <v>51040897.3226955</v>
      </c>
    </row>
    <row r="268">
      <c r="C268" s="14" t="inlineStr">
        <is>
          <t>Accounting Modifications</t>
        </is>
      </c>
      <c r="G268" s="26" t="n">
        <v>-801000</v>
      </c>
      <c r="H268" s="26" t="n">
        <v>-789000</v>
      </c>
      <c r="I268" s="26" t="n">
        <v>-780000</v>
      </c>
      <c r="J268" s="26" t="n">
        <v>-810000</v>
      </c>
      <c r="K268" s="26" t="n">
        <v>-802000</v>
      </c>
      <c r="L268" s="26" t="n">
        <v>-817000</v>
      </c>
      <c r="M268" s="26" t="n">
        <v>-801000</v>
      </c>
      <c r="N268" s="8">
        <f>M268</f>
        <v>-801000</v>
      </c>
      <c r="O268" s="8">
        <f>N268</f>
        <v>-801000</v>
      </c>
      <c r="P268" s="8">
        <f>O268</f>
        <v>-801000</v>
      </c>
      <c r="Q268" s="8">
        <f>P268</f>
        <v>-801000</v>
      </c>
      <c r="R268" s="8">
        <f>Q268</f>
        <v>-801000</v>
      </c>
    </row>
    <row r="269">
      <c r="C269" s="14" t="inlineStr">
        <is>
          <t>Net Income</t>
        </is>
      </c>
      <c r="G269" s="8">
        <f>G224</f>
        <v>1929567.539415</v>
      </c>
      <c r="H269" s="8">
        <f>H224</f>
        <v>1550921.3643</v>
      </c>
      <c r="I269" s="8">
        <f>I224</f>
        <v>2666225.616725</v>
      </c>
      <c r="J269" s="8">
        <f>J224</f>
        <v>2627703.81884</v>
      </c>
      <c r="K269" s="8">
        <f>K224</f>
        <v>3750728.64187999</v>
      </c>
      <c r="L269" s="8">
        <f>L224</f>
        <v>3576146.189595</v>
      </c>
      <c r="M269" s="8">
        <f>M224</f>
        <v>5427911.34899999</v>
      </c>
      <c r="N269" s="8">
        <f>N224</f>
        <v>6296069.38233356</v>
      </c>
      <c r="O269" s="8">
        <f>O224</f>
        <v>8425871.79219869</v>
      </c>
      <c r="P269" s="8">
        <f>P224</f>
        <v>10789300.1473154</v>
      </c>
      <c r="Q269" s="8">
        <f>Q224</f>
        <v>12513431.1472888</v>
      </c>
      <c r="R269" s="8">
        <f>R224</f>
        <v>13826140.3680082</v>
      </c>
    </row>
    <row r="270">
      <c r="C270" s="14" t="inlineStr">
        <is>
          <t>Minority Interests</t>
        </is>
      </c>
      <c r="G270" s="26" t="n">
        <v>3662000</v>
      </c>
      <c r="H270" s="26" t="n">
        <v>3707000</v>
      </c>
      <c r="I270" s="26" t="n">
        <v>3728000</v>
      </c>
      <c r="J270" s="26" t="n">
        <v>3979000</v>
      </c>
      <c r="K270" s="26" t="n">
        <v>3959000</v>
      </c>
      <c r="L270" s="26" t="n">
        <v>4320000</v>
      </c>
      <c r="M270" s="26" t="n">
        <v>4369000</v>
      </c>
      <c r="N270" s="8">
        <f>M270</f>
        <v>4369000</v>
      </c>
      <c r="O270" s="8">
        <f>N270</f>
        <v>4369000</v>
      </c>
      <c r="P270" s="8">
        <f>O270</f>
        <v>4369000</v>
      </c>
      <c r="Q270" s="8">
        <f>P270</f>
        <v>4369000</v>
      </c>
      <c r="R270" s="8">
        <f>Q270</f>
        <v>4369000</v>
      </c>
    </row>
    <row r="271">
      <c r="C271" s="29" t="inlineStr">
        <is>
          <t>Total Shareholders' Equity</t>
        </is>
      </c>
      <c r="G271" s="30">
        <f>SUM(G266:G270)</f>
        <v>30374999.999415</v>
      </c>
      <c r="H271" s="30">
        <f>SUM(H266:H270)</f>
        <v>30844000.0043</v>
      </c>
      <c r="I271" s="30">
        <f>SUM(I266:I270)</f>
        <v>35344999.996725</v>
      </c>
      <c r="J271" s="30">
        <f>SUM(J266:J270)</f>
        <v>38684999.99884</v>
      </c>
      <c r="K271" s="30">
        <f>SUM(K266:K270)</f>
        <v>40895000.00188</v>
      </c>
      <c r="L271" s="30">
        <f>SUM(L266:L270)</f>
        <v>40246999.999595</v>
      </c>
      <c r="M271" s="30">
        <f>SUM(M266:M270)</f>
        <v>48119999.999</v>
      </c>
      <c r="N271" s="30">
        <f>SUM(N266:N270)</f>
        <v>52787695.9766336</v>
      </c>
      <c r="O271" s="30">
        <f>SUM(O266:O270)</f>
        <v>63928246.9541322</v>
      </c>
      <c r="P271" s="30">
        <f>SUM(P266:P270)</f>
        <v>76284785.563788</v>
      </c>
      <c r="Q271" s="30">
        <f>SUM(Q266:Q270)</f>
        <v>87359426.6668821</v>
      </c>
      <c r="R271" s="30">
        <f>SUM(R266:R270)</f>
        <v>98571537.6907037</v>
      </c>
    </row>
    <row r="272">
      <c r="C272" s="3" t="inlineStr">
        <is>
          <t>Total Liabilities &amp; Shareholders' Equity</t>
        </is>
      </c>
      <c r="G272" s="31">
        <f>G264+G271</f>
        <v>66880999.999415</v>
      </c>
      <c r="H272" s="31">
        <f>H264+H271</f>
        <v>66801000.0043</v>
      </c>
      <c r="I272" s="31">
        <f>I264+I271</f>
        <v>71370999.996725</v>
      </c>
      <c r="J272" s="31">
        <f>J264+J271</f>
        <v>75249999.99884</v>
      </c>
      <c r="K272" s="31">
        <f>K264+K271</f>
        <v>77907000.00188</v>
      </c>
      <c r="L272" s="31">
        <f>L264+L271</f>
        <v>76778999.999595</v>
      </c>
      <c r="M272" s="31">
        <f>M264+M271</f>
        <v>84858999.999</v>
      </c>
      <c r="N272" s="31">
        <f>N264+N271</f>
        <v>86925062.2774734</v>
      </c>
      <c r="O272" s="31">
        <f>O264+O271</f>
        <v>97313354.0334049</v>
      </c>
      <c r="P272" s="31">
        <f>P264+P271</f>
        <v>109218161.935933</v>
      </c>
      <c r="Q272" s="31">
        <f>Q264+Q271</f>
        <v>120173649.365913</v>
      </c>
      <c r="R272" s="31">
        <f>R264+R271</f>
        <v>131336606.821653</v>
      </c>
    </row>
    <row r="273">
      <c r="C273" s="4" t="inlineStr">
        <is>
          <t>Balance check (Total Assets – Total Liabilities – Equity)</t>
        </is>
      </c>
      <c r="G273" s="38">
        <f>ROUND(G252-G272,2)</f>
        <v>0</v>
      </c>
      <c r="H273" s="38">
        <f>ROUND(H252-H272,2)</f>
        <v>-0</v>
      </c>
      <c r="I273" s="38">
        <f>ROUND(I252-I272,2)</f>
        <v>0</v>
      </c>
      <c r="J273" s="38">
        <f>ROUND(J252-J272,2)</f>
        <v>0</v>
      </c>
      <c r="K273" s="38">
        <f>ROUND(K252-K272,2)</f>
        <v>-0</v>
      </c>
      <c r="L273" s="38">
        <f>ROUND(L252-L272,2)</f>
        <v>0</v>
      </c>
      <c r="M273" s="38">
        <f>ROUND(M252-M272,2)</f>
        <v>0</v>
      </c>
      <c r="N273" s="38">
        <f>ROUND(N252-N272,2)</f>
        <v>0</v>
      </c>
      <c r="O273" s="38">
        <f>ROUND(O252-O272,2)</f>
        <v>0</v>
      </c>
      <c r="P273" s="38">
        <f>ROUND(P252-P272,2)</f>
        <v>0</v>
      </c>
      <c r="Q273" s="38">
        <f>ROUND(Q252-Q272,2)</f>
        <v>0</v>
      </c>
      <c r="R273" s="38">
        <f>ROUND(R252-R272,2)</f>
        <v>0</v>
      </c>
    </row>
    <row r="275">
      <c r="C275" s="25" t="inlineStr">
        <is>
          <t>E</t>
        </is>
      </c>
      <c r="D275" s="25" t="inlineStr">
        <is>
          <t>Cash Flow Statement &amp; Debt Payment Schedule</t>
        </is>
      </c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</row>
    <row r="276">
      <c r="C276" s="3" t="inlineStr">
        <is>
          <t>CFFO:</t>
        </is>
      </c>
    </row>
    <row r="277">
      <c r="C277" s="14" t="inlineStr">
        <is>
          <t>Net Income</t>
        </is>
      </c>
      <c r="N277" s="8">
        <f>N224</f>
        <v>6296069.38233356</v>
      </c>
      <c r="O277" s="8">
        <f>O224</f>
        <v>8425871.79219869</v>
      </c>
      <c r="P277" s="8">
        <f>P224</f>
        <v>10789300.1473154</v>
      </c>
      <c r="Q277" s="8">
        <f>Q224</f>
        <v>12513431.1472888</v>
      </c>
      <c r="R277" s="8">
        <f>R224</f>
        <v>13826140.3680082</v>
      </c>
    </row>
    <row r="278">
      <c r="C278" s="14" t="inlineStr">
        <is>
          <t>(+) D&amp;A</t>
        </is>
      </c>
      <c r="N278" s="8">
        <f>-(N214+N215)</f>
        <v>2917475.347389</v>
      </c>
      <c r="O278" s="8">
        <f>-(O214+O215)</f>
        <v>3426298.52208887</v>
      </c>
      <c r="P278" s="8">
        <f>-(P214+P215)</f>
        <v>3870008.6851485</v>
      </c>
      <c r="Q278" s="8">
        <f>-(Q214+Q215)</f>
        <v>4392121.2434763</v>
      </c>
      <c r="R278" s="8">
        <f>-(R214+R215)</f>
        <v>4885334.51403401</v>
      </c>
    </row>
    <row r="279">
      <c r="C279" s="14" t="inlineStr">
        <is>
          <t>(+) Goodwill, Trademark &amp; PPA Amortization</t>
        </is>
      </c>
      <c r="N279" s="8">
        <f>-N216</f>
        <v>277018.58974901</v>
      </c>
      <c r="O279" s="8">
        <f>-O216</f>
        <v>310509.874512429</v>
      </c>
      <c r="P279" s="8">
        <f>-P216</f>
        <v>343504.752351221</v>
      </c>
      <c r="Q279" s="8">
        <f>-Q216</f>
        <v>388361.869033096</v>
      </c>
      <c r="R279" s="8">
        <f>-R216</f>
        <v>420939.221122757</v>
      </c>
    </row>
    <row r="280">
      <c r="C280" s="14" t="inlineStr">
        <is>
          <t>(+)/(-) Inc./(Dec.) in Working Capital (1)</t>
        </is>
      </c>
      <c r="N280" s="8">
        <f>-((N242+N245+N248-N259-N260-N256-N257)-(M242+M245+M248-M259-M260-M256-M257))</f>
        <v>-655682.975660786</v>
      </c>
      <c r="O280" s="8">
        <f>-((O242+O245+O248-O259-O260-O256-O257)-(N242+N245+N248-N259-N260-N256-N257))</f>
        <v>-1440155.58242823</v>
      </c>
      <c r="P280" s="8">
        <f>-((P242+P245+P248-P259-P260-P256-P257)-(O242+O245+O248-O259-O260-O256-O257))</f>
        <v>-1423909.05334906</v>
      </c>
      <c r="Q280" s="8">
        <f>-((Q242+Q245+Q248-Q259-Q260-Q256-Q257)-(P242+P245+P248-P259-P260-P256-P257))</f>
        <v>-1335482.0102701</v>
      </c>
      <c r="R280" s="8">
        <f>-((R242+R245+R248-R259-R260-R256-R257)-(Q242+Q245+Q248-Q259-Q260-Q256-Q257))</f>
        <v>-1354914.66955701</v>
      </c>
    </row>
    <row r="281">
      <c r="C281" s="29" t="inlineStr">
        <is>
          <t>CFFO</t>
        </is>
      </c>
      <c r="N281" s="30">
        <f>SUM(N277:N280)</f>
        <v>8834880.34381078</v>
      </c>
      <c r="O281" s="30">
        <f>SUM(O277:O280)</f>
        <v>10722524.6063718</v>
      </c>
      <c r="P281" s="30">
        <f>SUM(P277:P280)</f>
        <v>13578904.5314661</v>
      </c>
      <c r="Q281" s="30">
        <f>SUM(Q277:Q280)</f>
        <v>15958432.2495281</v>
      </c>
      <c r="R281" s="30">
        <f>SUM(R277:R280)</f>
        <v>17777499.4336079</v>
      </c>
    </row>
    <row r="282">
      <c r="C282" s="3" t="inlineStr">
        <is>
          <t>CFFI:</t>
        </is>
      </c>
    </row>
    <row r="283">
      <c r="C283" s="14" t="inlineStr">
        <is>
          <t>(-) Purchase Price (Add-On Acquisitions)</t>
        </is>
      </c>
      <c r="N283" s="8">
        <f>-N186</f>
        <v>-0</v>
      </c>
      <c r="O283" s="8">
        <f>-O186</f>
        <v>-8370000</v>
      </c>
      <c r="P283" s="8">
        <f>-P186</f>
        <v>-6825000</v>
      </c>
      <c r="Q283" s="8">
        <f>-Q186</f>
        <v>-3596000</v>
      </c>
      <c r="R283" s="8">
        <f>-R186</f>
        <v>-2280000</v>
      </c>
    </row>
    <row r="284">
      <c r="C284" s="14" t="inlineStr">
        <is>
          <t>(-) Organic CAPEX</t>
        </is>
      </c>
      <c r="N284" s="8">
        <f>-(N41+N231-M231)</f>
        <v>-3946138.65292504</v>
      </c>
      <c r="O284" s="8">
        <f>-(O41+O231-N231)</f>
        <v>-4224037.52327181</v>
      </c>
      <c r="P284" s="8">
        <f>-(P41+P231-O231)</f>
        <v>-4515254.06335078</v>
      </c>
      <c r="Q284" s="8">
        <f>-(Q41+Q231-P231)</f>
        <v>-4760656.07030033</v>
      </c>
      <c r="R284" s="8">
        <f>-(R41+R231-Q231)</f>
        <v>-5283816.10766949</v>
      </c>
    </row>
    <row r="285">
      <c r="C285" s="14" t="inlineStr">
        <is>
          <t>(-) Add-On Acquisition CAPEX</t>
        </is>
      </c>
      <c r="N285" s="8">
        <f>-N162</f>
        <v>-0</v>
      </c>
      <c r="O285" s="8">
        <f>-O162</f>
        <v>-213157.894736842</v>
      </c>
      <c r="P285" s="8">
        <f>-P162</f>
        <v>-400480.79658606</v>
      </c>
      <c r="Q285" s="8">
        <f>-Q162</f>
        <v>-528112.353406038</v>
      </c>
      <c r="R285" s="8">
        <f>-R162</f>
        <v>-631069.929825491</v>
      </c>
    </row>
    <row r="286">
      <c r="C286" s="14" t="inlineStr">
        <is>
          <t>(-) Change of Consolidation Perimeter</t>
        </is>
      </c>
      <c r="N286" s="8">
        <f>-((N237-M237)+(N249-M249))</f>
        <v>-168612.142780265</v>
      </c>
      <c r="O286" s="8">
        <f>-((O237-N237)+(O249-N249))</f>
        <v>-233822.445794961</v>
      </c>
      <c r="P286" s="8">
        <f>-((P237-O237)+(P249-O249))</f>
        <v>-257964.539998523</v>
      </c>
      <c r="Q286" s="8">
        <f>-((Q237-P237)+(Q249-P249))</f>
        <v>-300828.595886459</v>
      </c>
      <c r="R286" s="8">
        <f>-((R237-Q237)+(R249-Q249))</f>
        <v>-331794.410102125</v>
      </c>
    </row>
    <row r="287">
      <c r="C287" s="29" t="inlineStr">
        <is>
          <t>CFFI</t>
        </is>
      </c>
      <c r="N287" s="30">
        <f>SUM(N283:N286)</f>
        <v>-4114750.79570531</v>
      </c>
      <c r="O287" s="30">
        <f>SUM(O283:O286)</f>
        <v>-13041017.8638036</v>
      </c>
      <c r="P287" s="30">
        <f>SUM(P283:P286)</f>
        <v>-11998699.3999354</v>
      </c>
      <c r="Q287" s="30">
        <f>SUM(Q283:Q286)</f>
        <v>-9185597.01959282</v>
      </c>
      <c r="R287" s="30">
        <f>SUM(R283:R286)</f>
        <v>-8526680.44759711</v>
      </c>
    </row>
    <row r="288">
      <c r="C288" s="3" t="inlineStr">
        <is>
          <t>CFFF (Before Debt Repayment):</t>
        </is>
      </c>
    </row>
    <row r="289">
      <c r="C289" s="14" t="inlineStr">
        <is>
          <t>Drawn Follow-On Capital</t>
        </is>
      </c>
      <c r="N289" s="8">
        <f>N195</f>
        <v>0</v>
      </c>
      <c r="O289" s="8">
        <f>O195</f>
        <v>4603500</v>
      </c>
      <c r="P289" s="8">
        <f>P195</f>
        <v>4095000</v>
      </c>
      <c r="Q289" s="8">
        <f>Q195</f>
        <v>1798000</v>
      </c>
      <c r="R289" s="8">
        <f>R195</f>
        <v>1140000</v>
      </c>
    </row>
    <row r="290">
      <c r="C290" s="14" t="inlineStr">
        <is>
          <t>Mandatory Paydown of Debt</t>
        </is>
      </c>
      <c r="N290" s="8">
        <f>(N255-M255)+(N261-M261)+(N262-M262)</f>
        <v>-3116550</v>
      </c>
      <c r="O290" s="8">
        <f>(O255-N255)+(O261-N261)+(O262-N262)</f>
        <v>-2659357.5</v>
      </c>
      <c r="P290" s="8">
        <f>(P255-O255)+(P261-O261)+(P262-O262)</f>
        <v>-2284268.625</v>
      </c>
      <c r="Q290" s="8">
        <f>(Q255-P255)+(Q261-P261)+(Q262-P262)</f>
        <v>-1973976.91875</v>
      </c>
      <c r="R290" s="8">
        <f>(R255-Q255)+(R261-Q261)+(R262-Q262)</f>
        <v>-1715180.5940625</v>
      </c>
    </row>
    <row r="291">
      <c r="C291" s="14" t="inlineStr">
        <is>
          <t>Dividends</t>
        </is>
      </c>
      <c r="N291" s="8">
        <f>-N312</f>
        <v>-1628373.4047</v>
      </c>
      <c r="O291" s="8">
        <f>-O312</f>
        <v>-1888820.81470007</v>
      </c>
      <c r="P291" s="8">
        <f>-P312</f>
        <v>-2527761.53765961</v>
      </c>
      <c r="Q291" s="8">
        <f>-Q312</f>
        <v>-3236790.04419463</v>
      </c>
      <c r="R291" s="8">
        <f>-R312</f>
        <v>-3754029.34418663</v>
      </c>
    </row>
    <row r="292">
      <c r="C292" s="29" t="inlineStr">
        <is>
          <t>CFFF</t>
        </is>
      </c>
      <c r="N292" s="30">
        <f>SUM(N289:N291)</f>
        <v>-4744923.4047</v>
      </c>
      <c r="O292" s="30">
        <f>SUM(O289:O291)</f>
        <v>55321.6852999325</v>
      </c>
      <c r="P292" s="30">
        <f>SUM(P289:P291)</f>
        <v>-717030.162659608</v>
      </c>
      <c r="Q292" s="30">
        <f>SUM(Q289:Q291)</f>
        <v>-3412766.96294463</v>
      </c>
      <c r="R292" s="30">
        <f>SUM(R289:R291)</f>
        <v>-4329209.93824912</v>
      </c>
    </row>
    <row r="293">
      <c r="C293" s="3" t="inlineStr">
        <is>
          <t>Free Cash Flow</t>
        </is>
      </c>
      <c r="N293" s="39">
        <f>N281+N287+N292</f>
        <v>-24793.8565945197</v>
      </c>
      <c r="O293" s="39">
        <f>O281+O287+O292</f>
        <v>-2263171.57213193</v>
      </c>
      <c r="P293" s="39">
        <f>P281+P287+P292</f>
        <v>863174.96887113</v>
      </c>
      <c r="Q293" s="39">
        <f>Q281+Q287+Q292</f>
        <v>3360068.2669906</v>
      </c>
      <c r="R293" s="39">
        <f>R281+R287+R292</f>
        <v>4921609.0477617</v>
      </c>
    </row>
    <row r="294">
      <c r="C294" s="3" t="inlineStr">
        <is>
          <t>Change in Cash:</t>
        </is>
      </c>
    </row>
    <row r="295">
      <c r="C295" s="14" t="inlineStr">
        <is>
          <t>BOP Cash</t>
        </is>
      </c>
      <c r="N295" s="8">
        <f>M250</f>
        <v>2631000</v>
      </c>
      <c r="O295" s="8">
        <f>N250</f>
        <v>2606206.14340548</v>
      </c>
      <c r="P295" s="8">
        <f>O250</f>
        <v>343034.57127355</v>
      </c>
      <c r="Q295" s="8">
        <f>P250</f>
        <v>1206209.54014468</v>
      </c>
      <c r="R295" s="8">
        <f>Q250</f>
        <v>4566277.80713528</v>
      </c>
    </row>
    <row r="296">
      <c r="C296" s="14" t="inlineStr">
        <is>
          <t>Change in Cash</t>
        </is>
      </c>
      <c r="N296" s="8">
        <f>N293</f>
        <v>-24793.8565945197</v>
      </c>
      <c r="O296" s="8">
        <f>O293</f>
        <v>-2263171.57213193</v>
      </c>
      <c r="P296" s="8">
        <f>P293</f>
        <v>863174.96887113</v>
      </c>
      <c r="Q296" s="8">
        <f>Q293</f>
        <v>3360068.2669906</v>
      </c>
      <c r="R296" s="8">
        <f>R293</f>
        <v>4921609.0477617</v>
      </c>
    </row>
    <row r="297">
      <c r="C297" s="29" t="inlineStr">
        <is>
          <t>EOP Cash (2)</t>
        </is>
      </c>
      <c r="N297" s="30">
        <f>N295+N296</f>
        <v>2606206.14340548</v>
      </c>
      <c r="O297" s="30">
        <f>O295+O296</f>
        <v>343034.57127355</v>
      </c>
      <c r="P297" s="30">
        <f>P295+P296</f>
        <v>1206209.54014468</v>
      </c>
      <c r="Q297" s="30">
        <f>Q295+Q296</f>
        <v>4566277.80713528</v>
      </c>
      <c r="R297" s="30">
        <f>R295+R296</f>
        <v>9487886.85489698</v>
      </c>
    </row>
    <row r="298">
      <c r="C298" s="14" t="inlineStr">
        <is>
          <t>Minimum Cash</t>
        </is>
      </c>
      <c r="N298" s="8">
        <f>N202*N44</f>
        <v>1557580.1019859</v>
      </c>
      <c r="O298" s="8">
        <f>O202*O44</f>
        <v>1902227.71364396</v>
      </c>
      <c r="P298" s="8">
        <f>P202*P44</f>
        <v>2242590.51756487</v>
      </c>
      <c r="Q298" s="8">
        <f>Q202*Q44</f>
        <v>2569568.45747925</v>
      </c>
      <c r="R298" s="8">
        <f>R202*R44</f>
        <v>2896489.78709253</v>
      </c>
    </row>
    <row r="299">
      <c r="C299" s="14" t="inlineStr">
        <is>
          <t>Cash Cushion / (Shortfall) vs. Minimum Cash</t>
        </is>
      </c>
      <c r="N299" s="8">
        <f>N297-N298</f>
        <v>1048626.04141958</v>
      </c>
      <c r="O299" s="8">
        <f>O297-O298</f>
        <v>-1559193.14237041</v>
      </c>
      <c r="P299" s="8">
        <f>P297-P298</f>
        <v>-1036380.97742019</v>
      </c>
      <c r="Q299" s="8">
        <f>Q297-Q298</f>
        <v>1996709.34965603</v>
      </c>
      <c r="R299" s="8">
        <f>R297-R298</f>
        <v>6591397.06780445</v>
      </c>
    </row>
    <row r="301">
      <c r="C301" s="14" t="inlineStr">
        <is>
          <t>BOP Gross Debt</t>
        </is>
      </c>
      <c r="H301" s="8">
        <f>G303</f>
        <v>30507000</v>
      </c>
      <c r="I301" s="8">
        <f>H303</f>
        <v>30315000</v>
      </c>
      <c r="J301" s="8">
        <f>I303</f>
        <v>29555000</v>
      </c>
      <c r="K301" s="8">
        <f>J303</f>
        <v>29396000</v>
      </c>
      <c r="L301" s="8">
        <f>K303</f>
        <v>28727000</v>
      </c>
      <c r="M301" s="8">
        <f>L303</f>
        <v>27469000</v>
      </c>
      <c r="N301" s="8">
        <f>M303</f>
        <v>26669000</v>
      </c>
      <c r="O301" s="8">
        <f>N303</f>
        <v>23552450</v>
      </c>
      <c r="P301" s="8">
        <f>O303</f>
        <v>20893092.5</v>
      </c>
      <c r="Q301" s="8">
        <f>P303</f>
        <v>18608823.875</v>
      </c>
      <c r="R301" s="8">
        <f>Q303</f>
        <v>16634846.95625</v>
      </c>
    </row>
    <row r="302">
      <c r="C302" s="14" t="inlineStr">
        <is>
          <t>(+)/(-) Drawdown / (Paydown)</t>
        </is>
      </c>
      <c r="H302" s="8">
        <f>H303-H301</f>
        <v>-192000</v>
      </c>
      <c r="I302" s="8">
        <f>I303-I301</f>
        <v>-760000</v>
      </c>
      <c r="J302" s="8">
        <f>J303-J301</f>
        <v>-159000</v>
      </c>
      <c r="K302" s="8">
        <f>K303-K301</f>
        <v>-669000</v>
      </c>
      <c r="L302" s="8">
        <f>L303-L301</f>
        <v>-1258000</v>
      </c>
      <c r="M302" s="8">
        <f>M303-M301</f>
        <v>-800000</v>
      </c>
      <c r="N302" s="8">
        <f>N303-N301</f>
        <v>-3116550</v>
      </c>
      <c r="O302" s="8">
        <f>O303-O301</f>
        <v>-2659357.5</v>
      </c>
      <c r="P302" s="8">
        <f>P303-P301</f>
        <v>-2284268.625</v>
      </c>
      <c r="Q302" s="8">
        <f>Q303-Q301</f>
        <v>-1973976.91875</v>
      </c>
      <c r="R302" s="8">
        <f>R303-R301</f>
        <v>-1715180.5940625</v>
      </c>
    </row>
    <row r="303">
      <c r="C303" s="29" t="inlineStr">
        <is>
          <t>EOP Gross Debt</t>
        </is>
      </c>
      <c r="G303" s="30">
        <f>G255+G261+G262</f>
        <v>30507000</v>
      </c>
      <c r="H303" s="30">
        <f>H255+H261+H262</f>
        <v>30315000</v>
      </c>
      <c r="I303" s="30">
        <f>I255+I261+I262</f>
        <v>29555000</v>
      </c>
      <c r="J303" s="30">
        <f>J255+J261+J262</f>
        <v>29396000</v>
      </c>
      <c r="K303" s="30">
        <f>K255+K261+K262</f>
        <v>28727000</v>
      </c>
      <c r="L303" s="30">
        <f>L255+L261+L262</f>
        <v>27469000</v>
      </c>
      <c r="M303" s="30">
        <f>M255+M261+M262</f>
        <v>26669000</v>
      </c>
      <c r="N303" s="30">
        <f>N255+N261+N262</f>
        <v>23552450</v>
      </c>
      <c r="O303" s="30">
        <f>O255+O261+O262</f>
        <v>20893092.5</v>
      </c>
      <c r="P303" s="30">
        <f>P255+P261+P262</f>
        <v>18608823.875</v>
      </c>
      <c r="Q303" s="30">
        <f>Q255+Q261+Q262</f>
        <v>16634846.95625</v>
      </c>
      <c r="R303" s="30">
        <f>R255+R261+R262</f>
        <v>14919666.3621875</v>
      </c>
    </row>
    <row r="304">
      <c r="C304" s="29" t="inlineStr">
        <is>
          <t>Net Debt / (Net Cash)</t>
        </is>
      </c>
      <c r="G304" s="39">
        <f>G303-G250</f>
        <v>29013000</v>
      </c>
      <c r="H304" s="39">
        <f>H303-H250</f>
        <v>28944000</v>
      </c>
      <c r="I304" s="39">
        <f>I303-I250</f>
        <v>28056000</v>
      </c>
      <c r="J304" s="39">
        <f>J303-J250</f>
        <v>28004000</v>
      </c>
      <c r="K304" s="39">
        <f>K303-K250</f>
        <v>26369000</v>
      </c>
      <c r="L304" s="39">
        <f>L303-L250</f>
        <v>25856000</v>
      </c>
      <c r="M304" s="39">
        <f>M303-M250</f>
        <v>24038000</v>
      </c>
      <c r="N304" s="39">
        <f>N303-N250</f>
        <v>20946243.8565945</v>
      </c>
      <c r="O304" s="39">
        <f>O303-O250</f>
        <v>20550057.9287265</v>
      </c>
      <c r="P304" s="39">
        <f>P303-P250</f>
        <v>17402614.3348553</v>
      </c>
      <c r="Q304" s="39">
        <f>Q303-Q250</f>
        <v>12068569.1491147</v>
      </c>
      <c r="R304" s="39">
        <f>R303-R250</f>
        <v>5431779.50729052</v>
      </c>
    </row>
    <row r="305">
      <c r="C305" s="14" t="inlineStr">
        <is>
          <t>x EBITDA (Net Debt)</t>
        </is>
      </c>
      <c r="G305" s="40">
        <f>IFERROR(G304/G211,"N/A")</f>
        <v>4.03519885336653</v>
      </c>
      <c r="H305" s="40">
        <f>IFERROR(H304/H211,"N/A")</f>
        <v>4.3712796182115</v>
      </c>
      <c r="I305" s="40">
        <f>IFERROR(I304/I211,"N/A")</f>
        <v>3.40240178022887</v>
      </c>
      <c r="J305" s="40">
        <f>IFERROR(J304/J211,"N/A")</f>
        <v>3.3021011992516</v>
      </c>
      <c r="K305" s="40">
        <f>IFERROR(K304/K211,"N/A")</f>
        <v>2.5425190756594</v>
      </c>
      <c r="L305" s="40">
        <f>IFERROR(L304/L211,"N/A")</f>
        <v>2.50338961020338</v>
      </c>
      <c r="M305" s="40">
        <f>IFERROR(M304/M211,"N/A")</f>
        <v>1.85341308992849</v>
      </c>
      <c r="N305" s="40">
        <f>IFERROR(N304/N211,"N/A")</f>
        <v>1.43264145304117</v>
      </c>
      <c r="O305" s="40">
        <f>IFERROR(O304/O211,"N/A")</f>
        <v>1.16149544799349</v>
      </c>
      <c r="P305" s="40">
        <f>IFERROR(P304/P211,"N/A")</f>
        <v>0.826397473656278</v>
      </c>
      <c r="Q305" s="40">
        <f>IFERROR(Q304/Q211,"N/A")</f>
        <v>0.508103728871424</v>
      </c>
      <c r="R305" s="40">
        <f>IFERROR(R304/R211,"N/A")</f>
        <v>0.209736560301564</v>
      </c>
    </row>
    <row r="306">
      <c r="C306" s="14" t="inlineStr">
        <is>
          <t>x EBITDA (Gross Debt)</t>
        </is>
      </c>
      <c r="G306" s="40">
        <f>IFERROR(G303/G211,"N/A")</f>
        <v>4.2429880198412</v>
      </c>
      <c r="H306" s="40">
        <f>IFERROR(H303/H211,"N/A")</f>
        <v>4.57833546248209</v>
      </c>
      <c r="I306" s="40">
        <f>IFERROR(I303/I211,"N/A")</f>
        <v>3.58418821694698</v>
      </c>
      <c r="J306" s="40">
        <f>IFERROR(J303/J211,"N/A")</f>
        <v>3.46623935342095</v>
      </c>
      <c r="K306" s="40">
        <f>IFERROR(K303/K211,"N/A")</f>
        <v>2.76987923267729</v>
      </c>
      <c r="L306" s="40">
        <f>IFERROR(L303/L211,"N/A")</f>
        <v>2.65956099948471</v>
      </c>
      <c r="M306" s="40">
        <f>IFERROR(M303/M211,"N/A")</f>
        <v>2.05627230615288</v>
      </c>
      <c r="N306" s="40">
        <f>IFERROR(N303/N211,"N/A")</f>
        <v>1.61089579695962</v>
      </c>
      <c r="O306" s="40">
        <f>IFERROR(O303/O211,"N/A")</f>
        <v>1.18088386501988</v>
      </c>
      <c r="P306" s="40">
        <f>IFERROR(P303/P211,"N/A")</f>
        <v>0.883676713286336</v>
      </c>
      <c r="Q306" s="40">
        <f>IFERROR(Q303/Q211,"N/A")</f>
        <v>0.700350444468067</v>
      </c>
      <c r="R306" s="40">
        <f>IFERROR(R303/R211,"N/A")</f>
        <v>0.576091039677174</v>
      </c>
    </row>
    <row r="307">
      <c r="C307" s="14" t="inlineStr">
        <is>
          <t>x Interest Coverage (EBITDA / Net Interest)</t>
        </is>
      </c>
      <c r="G307" s="40">
        <f>IFERROR(G211/-G218,"N/A")</f>
        <v>2.48702187305431</v>
      </c>
      <c r="H307" s="40">
        <f>IFERROR(H211/-H218,"N/A")</f>
        <v>2.31032871249128</v>
      </c>
      <c r="I307" s="40">
        <f>IFERROR(I211/-I218,"N/A")</f>
        <v>2.89128321353436</v>
      </c>
      <c r="J307" s="40">
        <f>IFERROR(J211/-J218,"N/A")</f>
        <v>3.08163544331395</v>
      </c>
      <c r="K307" s="40">
        <f>IFERROR(K211/-K218,"N/A")</f>
        <v>3.71328689223057</v>
      </c>
      <c r="L307" s="40">
        <f>IFERROR(L211/-L218,"N/A")</f>
        <v>3.86831322284644</v>
      </c>
      <c r="M307" s="40">
        <f>IFERROR(M211/-M218,"N/A")</f>
        <v>5.1878343</v>
      </c>
      <c r="N307" s="40">
        <f>IFERROR(N211/-N218,"N/A")</f>
        <v>5.79905015623882</v>
      </c>
      <c r="O307" s="40">
        <f>IFERROR(O211/-O218,"N/A")</f>
        <v>7.96293103978367</v>
      </c>
      <c r="P307" s="40">
        <f>IFERROR(P211/-P218,"N/A")</f>
        <v>10.7016644421253</v>
      </c>
      <c r="Q307" s="40">
        <f>IFERROR(Q211/-Q218,"N/A")</f>
        <v>13.5686272895499</v>
      </c>
      <c r="R307" s="40">
        <f>IFERROR(R211/-R218,"N/A")</f>
        <v>16.5631844779078</v>
      </c>
    </row>
    <row r="309">
      <c r="C309" s="25" t="inlineStr">
        <is>
          <t>F</t>
        </is>
      </c>
      <c r="D309" s="25" t="inlineStr">
        <is>
          <t>Dividend Payout Schedule</t>
        </is>
      </c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</row>
    <row r="310">
      <c r="C310" s="14" t="inlineStr">
        <is>
          <t>Net Income</t>
        </is>
      </c>
      <c r="G310" s="8">
        <f>G224</f>
        <v>1929567.539415</v>
      </c>
      <c r="H310" s="8">
        <f>H224</f>
        <v>1550921.3643</v>
      </c>
      <c r="I310" s="8">
        <f>I224</f>
        <v>2666225.616725</v>
      </c>
      <c r="J310" s="8">
        <f>J224</f>
        <v>2627703.81884</v>
      </c>
      <c r="K310" s="8">
        <f>K224</f>
        <v>3750728.64187999</v>
      </c>
      <c r="L310" s="8">
        <f>L224</f>
        <v>3576146.189595</v>
      </c>
      <c r="M310" s="8">
        <f>M224</f>
        <v>5427911.34899999</v>
      </c>
      <c r="N310" s="8">
        <f>N224</f>
        <v>6296069.38233356</v>
      </c>
      <c r="O310" s="8">
        <f>O224</f>
        <v>8425871.79219869</v>
      </c>
      <c r="P310" s="8">
        <f>P224</f>
        <v>10789300.1473154</v>
      </c>
      <c r="Q310" s="8">
        <f>Q224</f>
        <v>12513431.1472888</v>
      </c>
      <c r="R310" s="8">
        <f>R224</f>
        <v>13826140.3680082</v>
      </c>
    </row>
    <row r="311">
      <c r="C311" s="14" t="inlineStr">
        <is>
          <t>Payout Ratio (%) (on prior-year Net Income)</t>
        </is>
      </c>
      <c r="G311" s="19" t="n">
        <v>0</v>
      </c>
      <c r="H311" s="19" t="n">
        <v>0.41</v>
      </c>
      <c r="I311" s="19" t="n">
        <v>0.36</v>
      </c>
      <c r="J311" s="19" t="n">
        <v>0.28</v>
      </c>
      <c r="K311" s="19" t="n">
        <v>0.32</v>
      </c>
      <c r="L311" s="19" t="n">
        <v>0.32</v>
      </c>
      <c r="M311" s="19" t="n">
        <v>0.28</v>
      </c>
      <c r="N311" s="19" t="n">
        <v>0.3</v>
      </c>
      <c r="O311" s="19" t="n">
        <v>0.3</v>
      </c>
      <c r="P311" s="19" t="n">
        <v>0.3</v>
      </c>
      <c r="Q311" s="19" t="n">
        <v>0.3</v>
      </c>
      <c r="R311" s="19" t="n">
        <v>0.3</v>
      </c>
    </row>
    <row r="312">
      <c r="C312" s="29" t="inlineStr">
        <is>
          <t>Dividend</t>
        </is>
      </c>
      <c r="G312" s="41" t="n">
        <v>0</v>
      </c>
      <c r="H312" s="30">
        <f>IFERROR(G224*H311,0)</f>
        <v>791122.69116015</v>
      </c>
      <c r="I312" s="30">
        <f>IFERROR(H224*I311,0)</f>
        <v>558331.691147999</v>
      </c>
      <c r="J312" s="30">
        <f>IFERROR(I224*J311,0)</f>
        <v>746543.172683</v>
      </c>
      <c r="K312" s="30">
        <f>IFERROR(J224*K311,0)</f>
        <v>840865.222028801</v>
      </c>
      <c r="L312" s="30">
        <f>IFERROR(K224*L311,0)</f>
        <v>1200233.1654016</v>
      </c>
      <c r="M312" s="30">
        <f>IFERROR(L224*M311,0)</f>
        <v>1001320.9330866</v>
      </c>
      <c r="N312" s="30">
        <f>IFERROR(M224*N311,0)</f>
        <v>1628373.4047</v>
      </c>
      <c r="O312" s="30">
        <f>IFERROR(N224*O311,0)</f>
        <v>1888820.81470007</v>
      </c>
      <c r="P312" s="30">
        <f>IFERROR(O224*P311,0)</f>
        <v>2527761.53765961</v>
      </c>
      <c r="Q312" s="30">
        <f>IFERROR(P224*Q311,0)</f>
        <v>3236790.04419463</v>
      </c>
      <c r="R312" s="30">
        <f>IFERROR(Q224*R311,0)</f>
        <v>3754029.34418663</v>
      </c>
    </row>
    <row r="314">
      <c r="C314" s="3" t="inlineStr">
        <is>
          <t>Notes:</t>
        </is>
      </c>
    </row>
    <row r="315">
      <c r="C315" s="2" t="inlineStr">
        <is>
          <t>(1) Working-capital movement includes other long-term operating liabilities and deferred tax; NWC adjustments are non-material.</t>
        </is>
      </c>
    </row>
    <row r="316">
      <c r="C316" s="2" t="inlineStr">
        <is>
          <t>(2) EOP cash is shown gross; overdrafts are carried as a current liability (EOP cash net of overdrafts = EOP Cash – Overdrafts).</t>
        </is>
      </c>
    </row>
    <row r="317">
      <c r="C317" s="2" t="inlineStr">
        <is>
          <t>Interest is computed on opening balances (no circularity). Dividends are paid in year t on year t-1 net income.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3:S100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40" customWidth="1" min="3" max="3"/>
    <col width="12" customWidth="1" min="4" max="4"/>
    <col width="14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Arvenna Health Group – Entry &amp; Exit Valuation (USD)</t>
        </is>
      </c>
    </row>
    <row r="6">
      <c r="C6" s="3" t="inlineStr">
        <is>
          <t>Fiscal Year Ending</t>
        </is>
      </c>
      <c r="G6" s="42">
        <f>'6. AHG (Combined Entity)'!G6</f>
        <v>43830</v>
      </c>
      <c r="H6" s="42">
        <f>'6. AHG (Combined Entity)'!H6</f>
        <v>44196</v>
      </c>
      <c r="I6" s="42">
        <f>'6. AHG (Combined Entity)'!I6</f>
        <v>44561</v>
      </c>
      <c r="J6" s="42">
        <f>'6. AHG (Combined Entity)'!J6</f>
        <v>44926</v>
      </c>
      <c r="K6" s="42">
        <f>'6. AHG (Combined Entity)'!K6</f>
        <v>45291</v>
      </c>
      <c r="L6" s="42">
        <f>'6. AHG (Combined Entity)'!L6</f>
        <v>45657</v>
      </c>
      <c r="M6" s="42">
        <f>'6. AHG (Combined Entity)'!M6</f>
        <v>46022</v>
      </c>
      <c r="N6" s="42">
        <f>'6. AHG (Combined Entity)'!N6</f>
        <v>46387</v>
      </c>
      <c r="O6" s="42">
        <f>'6. AHG (Combined Entity)'!O6</f>
        <v>46752</v>
      </c>
      <c r="P6" s="42">
        <f>'6. AHG (Combined Entity)'!P6</f>
        <v>47118</v>
      </c>
      <c r="Q6" s="42">
        <f>'6. AHG (Combined Entity)'!Q6</f>
        <v>47483</v>
      </c>
      <c r="R6" s="42">
        <f>'6. AHG (Combined Entity)'!R6</f>
        <v>47848</v>
      </c>
      <c r="S6" s="22">
        <f>EOMONTH(R6,12)</f>
        <v>48213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  <c r="S7" s="23">
        <f>YEAR(S6)</f>
        <v>2031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  <c r="S8" s="24" t="str">
        <f>IF(S6&lt;=Control!$E$11,"A","E")</f>
        <v>E</v>
      </c>
    </row>
    <row r="10">
      <c r="C10" s="12" t="inlineStr">
        <is>
          <t>Entry Assumptions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Entry Valuation</t>
        </is>
      </c>
      <c r="E11" s="25" t="str">
        <f>"("&amp;Control!$E$18&amp;" in Actual)"</f>
        <v>(USD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Entry Assumptions:</t>
        </is>
      </c>
    </row>
    <row r="13">
      <c r="C13" s="14" t="inlineStr">
        <is>
          <t>NAV Pricing (%)</t>
        </is>
      </c>
      <c r="E13" s="19" t="n">
        <v>0.9399999999999999</v>
      </c>
    </row>
    <row r="14">
      <c r="C14" s="14" t="inlineStr">
        <is>
          <t>Follow-On Capital Commitment – Continuation Fund (USD)</t>
        </is>
      </c>
      <c r="E14" s="26" t="n">
        <v>10000000</v>
      </c>
    </row>
    <row r="15">
      <c r="C15" s="14" t="inlineStr">
        <is>
          <t>Follow-On Capital Drawn per Combined Entity Schedule (memo, fund share)</t>
        </is>
      </c>
      <c r="E15" s="32">
        <f>SUM('6. AHG (Combined Entity)'!G195:R195)*E26</f>
        <v>6749170</v>
      </c>
    </row>
    <row r="17">
      <c r="C17" s="3" t="inlineStr">
        <is>
          <t>Entry Valuation:</t>
        </is>
      </c>
    </row>
    <row r="18">
      <c r="C18" s="14" t="inlineStr">
        <is>
          <t>LTM Q2'26 EBITDA (1)</t>
        </is>
      </c>
      <c r="E18" s="32">
        <f>('6. AHG (Combined Entity)'!M211+'6. AHG (Combined Entity)'!N211)/2</f>
        <v>13795150.8896067</v>
      </c>
    </row>
    <row r="19">
      <c r="C19" s="14" t="inlineStr">
        <is>
          <t>Multiple (x LTM EBITDA)</t>
        </is>
      </c>
      <c r="E19" s="21" t="n">
        <v>8</v>
      </c>
    </row>
    <row r="20">
      <c r="C20" s="29" t="inlineStr">
        <is>
          <t>Total Enterprise Value</t>
        </is>
      </c>
      <c r="E20" s="30">
        <f>E18*E19</f>
        <v>110361207.116854</v>
      </c>
    </row>
    <row r="21">
      <c r="C21" s="14" t="inlineStr">
        <is>
          <t>(-) Gross Debt</t>
        </is>
      </c>
      <c r="E21" s="32">
        <f>-'6. AHG (Combined Entity)'!N303</f>
        <v>-23552450</v>
      </c>
    </row>
    <row r="22">
      <c r="C22" s="14" t="inlineStr">
        <is>
          <t>(-) Minority Interest</t>
        </is>
      </c>
      <c r="E22" s="32">
        <f>-'6. AHG (Combined Entity)'!N270</f>
        <v>-4369000</v>
      </c>
    </row>
    <row r="23">
      <c r="C23" s="14" t="inlineStr">
        <is>
          <t>(+) Cash</t>
        </is>
      </c>
      <c r="E23" s="32">
        <f>'6. AHG (Combined Entity)'!N250</f>
        <v>2606206.14340548</v>
      </c>
    </row>
    <row r="24">
      <c r="C24" s="14" t="inlineStr">
        <is>
          <t>(+) Adjustments</t>
        </is>
      </c>
      <c r="E24" s="26" t="n">
        <v>-640000</v>
      </c>
    </row>
    <row r="25">
      <c r="C25" s="29" t="inlineStr">
        <is>
          <t>Total Equity Value</t>
        </is>
      </c>
      <c r="E25" s="30">
        <f>E20+SUM(E21:E24)</f>
        <v>84405963.260259</v>
      </c>
    </row>
    <row r="26">
      <c r="C26" s="14" t="inlineStr">
        <is>
          <t>Fund Ownership (%)</t>
        </is>
      </c>
      <c r="E26" s="19" t="n">
        <v>0.58</v>
      </c>
    </row>
    <row r="27">
      <c r="C27" s="29" t="inlineStr">
        <is>
          <t>Fund Equity Value</t>
        </is>
      </c>
      <c r="E27" s="39">
        <f>E25*E26</f>
        <v>48955458.6909502</v>
      </c>
    </row>
    <row r="28">
      <c r="C28" s="29" t="inlineStr">
        <is>
          <t>Purchase Price (Fund Equity Value x NAV Pricing)</t>
        </is>
      </c>
      <c r="E28" s="39">
        <f>E27*E13</f>
        <v>46018131.1694932</v>
      </c>
    </row>
    <row r="29">
      <c r="C29" s="14" t="inlineStr">
        <is>
          <t>Pricing to NAV (%)</t>
        </is>
      </c>
      <c r="E29" s="20">
        <f>IFERROR(E28/E27,0)</f>
        <v>0.94</v>
      </c>
    </row>
    <row r="31">
      <c r="C31" s="25" t="inlineStr">
        <is>
          <t>B</t>
        </is>
      </c>
      <c r="D31" s="25" t="inlineStr">
        <is>
          <t>Capitalization and Sources &amp; Uses</t>
        </is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>
      <c r="C32" s="3" t="inlineStr">
        <is>
          <t>Pre-Capitalization:</t>
        </is>
      </c>
    </row>
    <row r="33">
      <c r="C33" s="29" t="inlineStr">
        <is>
          <t>Adjusted Net Debt:</t>
        </is>
      </c>
    </row>
    <row r="34">
      <c r="C34" s="43" t="inlineStr">
        <is>
          <t>Gross Debt</t>
        </is>
      </c>
      <c r="E34" s="8">
        <f>-E21</f>
        <v>23552450</v>
      </c>
    </row>
    <row r="35">
      <c r="C35" s="43" t="inlineStr">
        <is>
          <t>(-) Cash</t>
        </is>
      </c>
      <c r="E35" s="8">
        <f>-E23</f>
        <v>-2606206.14340548</v>
      </c>
    </row>
    <row r="36">
      <c r="C36" s="43" t="inlineStr">
        <is>
          <t>(-)/(+) Adjustments (Minority Interest, Other)</t>
        </is>
      </c>
      <c r="E36" s="8">
        <f>-(SUM(E21:E24)-E21-E23)</f>
        <v>5009000</v>
      </c>
    </row>
    <row r="37">
      <c r="C37" s="44" t="inlineStr">
        <is>
          <t>Adjusted Net Debt</t>
        </is>
      </c>
      <c r="E37" s="30">
        <f>SUM(E34:E36)</f>
        <v>25955243.8565945</v>
      </c>
    </row>
    <row r="38">
      <c r="C38" s="29" t="inlineStr">
        <is>
          <t>Equity Value:</t>
        </is>
      </c>
    </row>
    <row r="39">
      <c r="C39" s="43" t="inlineStr">
        <is>
          <t>Kessport Frontier Fund II</t>
        </is>
      </c>
      <c r="D39" s="20">
        <f>E26</f>
        <v>0.58</v>
      </c>
      <c r="E39" s="8">
        <f>$E$25*D39</f>
        <v>48955458.6909502</v>
      </c>
    </row>
    <row r="40">
      <c r="C40" s="43" t="inlineStr">
        <is>
          <t>Kessport Frontier Fund III</t>
        </is>
      </c>
      <c r="D40" s="19" t="n">
        <v>0.12</v>
      </c>
      <c r="E40" s="8">
        <f>$E$25*D40</f>
        <v>10128715.5912311</v>
      </c>
    </row>
    <row r="41">
      <c r="C41" s="43" t="inlineStr">
        <is>
          <t>DFI Partner 1</t>
        </is>
      </c>
      <c r="D41" s="19" t="n">
        <v>0.15</v>
      </c>
      <c r="E41" s="8">
        <f>$E$25*D41</f>
        <v>12660894.4890388</v>
      </c>
    </row>
    <row r="42">
      <c r="C42" s="43" t="inlineStr">
        <is>
          <t>DFI Partner 2</t>
        </is>
      </c>
      <c r="D42" s="19" t="n">
        <v>0.15</v>
      </c>
      <c r="E42" s="8">
        <f>$E$25*D42</f>
        <v>12660894.4890388</v>
      </c>
    </row>
    <row r="43">
      <c r="C43" s="44" t="inlineStr">
        <is>
          <t>Total Equity Value</t>
        </is>
      </c>
      <c r="D43" s="20">
        <f>SUM(D39:D42)</f>
        <v>1</v>
      </c>
      <c r="E43" s="30">
        <f>SUM(E39:E42)</f>
        <v>84405963.260259</v>
      </c>
    </row>
    <row r="44">
      <c r="C44" s="29" t="inlineStr">
        <is>
          <t>Total Enterprise Value</t>
        </is>
      </c>
      <c r="E44" s="31">
        <f>E37+E43</f>
        <v>110361207.116853</v>
      </c>
    </row>
    <row r="46">
      <c r="C46" s="3" t="inlineStr">
        <is>
          <t>Post-Capitalization:</t>
        </is>
      </c>
    </row>
    <row r="47">
      <c r="C47" s="29" t="inlineStr">
        <is>
          <t>Adjusted Net Debt:</t>
        </is>
      </c>
    </row>
    <row r="48">
      <c r="C48" s="43" t="inlineStr">
        <is>
          <t>Gross Debt</t>
        </is>
      </c>
      <c r="E48" s="8">
        <f>E34</f>
        <v>23552450</v>
      </c>
    </row>
    <row r="49">
      <c r="C49" s="43" t="inlineStr">
        <is>
          <t>(-) Cash</t>
        </is>
      </c>
      <c r="E49" s="8">
        <f>E35</f>
        <v>-2606206.14340548</v>
      </c>
    </row>
    <row r="50">
      <c r="C50" s="43" t="inlineStr">
        <is>
          <t>(-)/(+) Adjustments</t>
        </is>
      </c>
      <c r="E50" s="8">
        <f>E36</f>
        <v>5009000</v>
      </c>
    </row>
    <row r="51">
      <c r="C51" s="44" t="inlineStr">
        <is>
          <t>Adjusted Net Debt</t>
        </is>
      </c>
      <c r="E51" s="30">
        <f>SUM(E48:E50)</f>
        <v>25955243.8565945</v>
      </c>
    </row>
    <row r="52">
      <c r="C52" s="29" t="inlineStr">
        <is>
          <t>Equity Value:</t>
        </is>
      </c>
    </row>
    <row r="53">
      <c r="C53" s="43" t="inlineStr">
        <is>
          <t>Dunecrest Continuation Fund (acquires the Fund II stake)</t>
        </is>
      </c>
      <c r="D53" s="20">
        <f>D39</f>
        <v>0.58</v>
      </c>
      <c r="E53" s="8">
        <f>E39</f>
        <v>48955458.6909502</v>
      </c>
    </row>
    <row r="54">
      <c r="C54" s="43" t="inlineStr">
        <is>
          <t>Other Shareholders</t>
        </is>
      </c>
      <c r="D54" s="20">
        <f>SUM(D40:D42)</f>
        <v>0.42</v>
      </c>
      <c r="E54" s="8">
        <f>SUM(E40:E42)</f>
        <v>35450504.5693088</v>
      </c>
    </row>
    <row r="55">
      <c r="C55" s="44" t="inlineStr">
        <is>
          <t>Total Equity Value</t>
        </is>
      </c>
      <c r="E55" s="30">
        <f>E53+E54</f>
        <v>84405963.260259</v>
      </c>
    </row>
    <row r="56">
      <c r="C56" s="29" t="inlineStr">
        <is>
          <t>Total Enterprise Value</t>
        </is>
      </c>
      <c r="E56" s="31">
        <f>E51+E55</f>
        <v>110361207.116853</v>
      </c>
    </row>
    <row r="57">
      <c r="C57" s="14" t="inlineStr">
        <is>
          <t>Check (Post – Pre TEV)</t>
        </is>
      </c>
      <c r="E57" s="8">
        <f>E56-E44</f>
        <v>0</v>
      </c>
    </row>
    <row r="59">
      <c r="C59" s="12" t="inlineStr">
        <is>
          <t>Exit Assumptions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</row>
    <row r="60">
      <c r="C60" s="25" t="inlineStr">
        <is>
          <t>A</t>
        </is>
      </c>
      <c r="D60" s="25" t="inlineStr">
        <is>
          <t>Exit Valuation</t>
        </is>
      </c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</row>
    <row r="61">
      <c r="C61" s="14" t="inlineStr">
        <is>
          <t>Exit Date</t>
        </is>
      </c>
      <c r="E61" s="15" t="n">
        <v>48213</v>
      </c>
    </row>
    <row r="62">
      <c r="C62" s="14" t="inlineStr">
        <is>
          <t>Exit Path</t>
        </is>
      </c>
      <c r="E62" s="26" t="inlineStr">
        <is>
          <t>M&amp;A</t>
        </is>
      </c>
    </row>
    <row r="63">
      <c r="C63" s="14" t="inlineStr">
        <is>
          <t>Exit EBITDA Multiple (x)</t>
        </is>
      </c>
      <c r="E63" s="21" t="n">
        <v>8.5</v>
      </c>
    </row>
    <row r="65">
      <c r="C65" s="3" t="inlineStr">
        <is>
          <t>Total Cash Flows (100% basis):</t>
        </is>
      </c>
    </row>
    <row r="66">
      <c r="C66" s="14" t="inlineStr">
        <is>
          <t>Exit EBITDA (2030E EBITDA grown at the 2030E growth rate) (2)</t>
        </is>
      </c>
      <c r="S66" s="32">
        <f>'6. AHG (Combined Entity)'!R211*(1+'6. AHG (Combined Entity)'!R203)</f>
        <v>29193072.1122019</v>
      </c>
    </row>
    <row r="67">
      <c r="C67" s="14" t="inlineStr">
        <is>
          <t>Exit Multiple (x)</t>
        </is>
      </c>
      <c r="S67" s="40">
        <f>$E$63</f>
        <v>8.5</v>
      </c>
    </row>
    <row r="68">
      <c r="C68" s="29" t="inlineStr">
        <is>
          <t>Exit TEV</t>
        </is>
      </c>
      <c r="S68" s="30">
        <f>S66*S67</f>
        <v>248141112.953716</v>
      </c>
    </row>
    <row r="69">
      <c r="C69" s="14" t="inlineStr">
        <is>
          <t>(-) Net Debt / (+) Net Cash (2030E balance) (2)</t>
        </is>
      </c>
      <c r="S69" s="32">
        <f>-'6. AHG (Combined Entity)'!R304</f>
        <v>-5431779.50729052</v>
      </c>
    </row>
    <row r="70">
      <c r="C70" s="14" t="inlineStr">
        <is>
          <t>(-) Minority Interest</t>
        </is>
      </c>
      <c r="S70" s="32">
        <f>-'6. AHG (Combined Entity)'!R270</f>
        <v>-4369000</v>
      </c>
    </row>
    <row r="71">
      <c r="C71" s="29" t="inlineStr">
        <is>
          <t>Exit Equity Value</t>
        </is>
      </c>
      <c r="S71" s="31">
        <f>SUM(S68:S70)</f>
        <v>238340333.446426</v>
      </c>
    </row>
    <row r="73">
      <c r="C73" s="3" t="inlineStr">
        <is>
          <t>Total Cash Flows:</t>
        </is>
      </c>
    </row>
    <row r="74">
      <c r="C74" s="14" t="inlineStr">
        <is>
          <t>(-) Initial Investment</t>
        </is>
      </c>
      <c r="G74" s="32">
        <f>IF(G$7=YEAR(Control!$E$12),-$E$25,0)</f>
        <v>0</v>
      </c>
      <c r="H74" s="32">
        <f>IF(H$7=YEAR(Control!$E$12),-$E$25,0)</f>
        <v>0</v>
      </c>
      <c r="I74" s="32">
        <f>IF(I$7=YEAR(Control!$E$12),-$E$25,0)</f>
        <v>0</v>
      </c>
      <c r="J74" s="32">
        <f>IF(J$7=YEAR(Control!$E$12),-$E$25,0)</f>
        <v>0</v>
      </c>
      <c r="K74" s="32">
        <f>IF(K$7=YEAR(Control!$E$12),-$E$25,0)</f>
        <v>0</v>
      </c>
      <c r="L74" s="32">
        <f>IF(L$7=YEAR(Control!$E$12),-$E$25,0)</f>
        <v>0</v>
      </c>
      <c r="M74" s="32">
        <f>IF(M$7=YEAR(Control!$E$12),-$E$25,0)</f>
        <v>0</v>
      </c>
      <c r="N74" s="32">
        <f>IF(N$7=YEAR(Control!$E$12),-$E$25,0)</f>
        <v>-84405963.260259</v>
      </c>
      <c r="O74" s="32">
        <f>IF(O$7=YEAR(Control!$E$12),-$E$25,0)</f>
        <v>0</v>
      </c>
      <c r="P74" s="32">
        <f>IF(P$7=YEAR(Control!$E$12),-$E$25,0)</f>
        <v>0</v>
      </c>
      <c r="Q74" s="32">
        <f>IF(Q$7=YEAR(Control!$E$12),-$E$25,0)</f>
        <v>0</v>
      </c>
      <c r="R74" s="32">
        <f>IF(R$7=YEAR(Control!$E$12),-$E$25,0)</f>
        <v>0</v>
      </c>
      <c r="S74" s="32">
        <f>IF(S$7=YEAR(Control!$E$12),-$E$25,0)</f>
        <v>0</v>
      </c>
    </row>
    <row r="75">
      <c r="C75" s="14" t="inlineStr">
        <is>
          <t>(-) Follow-On Capital</t>
        </is>
      </c>
      <c r="G75" s="32">
        <f>IF(G$7&gt;YEAR(Control!$E$12),-'6. AHG (Combined Entity)'!G195,0)</f>
        <v>0</v>
      </c>
      <c r="H75" s="32">
        <f>IF(H$7&gt;YEAR(Control!$E$12),-'6. AHG (Combined Entity)'!H195,0)</f>
        <v>0</v>
      </c>
      <c r="I75" s="32">
        <f>IF(I$7&gt;YEAR(Control!$E$12),-'6. AHG (Combined Entity)'!I195,0)</f>
        <v>0</v>
      </c>
      <c r="J75" s="32">
        <f>IF(J$7&gt;YEAR(Control!$E$12),-'6. AHG (Combined Entity)'!J195,0)</f>
        <v>0</v>
      </c>
      <c r="K75" s="32">
        <f>IF(K$7&gt;YEAR(Control!$E$12),-'6. AHG (Combined Entity)'!K195,0)</f>
        <v>0</v>
      </c>
      <c r="L75" s="32">
        <f>IF(L$7&gt;YEAR(Control!$E$12),-'6. AHG (Combined Entity)'!L195,0)</f>
        <v>0</v>
      </c>
      <c r="M75" s="32">
        <f>IF(M$7&gt;YEAR(Control!$E$12),-'6. AHG (Combined Entity)'!M195,0)</f>
        <v>0</v>
      </c>
      <c r="N75" s="32">
        <f>IF(N$7&gt;YEAR(Control!$E$12),-'6. AHG (Combined Entity)'!N195,0)</f>
        <v>0</v>
      </c>
      <c r="O75" s="32">
        <f>IF(O$7&gt;YEAR(Control!$E$12),-'6. AHG (Combined Entity)'!O195,0)</f>
        <v>-4603500</v>
      </c>
      <c r="P75" s="32">
        <f>IF(P$7&gt;YEAR(Control!$E$12),-'6. AHG (Combined Entity)'!P195,0)</f>
        <v>-4095000</v>
      </c>
      <c r="Q75" s="32">
        <f>IF(Q$7&gt;YEAR(Control!$E$12),-'6. AHG (Combined Entity)'!Q195,0)</f>
        <v>-1798000</v>
      </c>
      <c r="R75" s="32">
        <f>IF(R$7&gt;YEAR(Control!$E$12),-'6. AHG (Combined Entity)'!R195,0)</f>
        <v>-1140000</v>
      </c>
      <c r="S75" s="26" t="n">
        <v>0</v>
      </c>
    </row>
    <row r="76">
      <c r="C76" s="14" t="inlineStr">
        <is>
          <t>(+) Interim Proceeds (Dividends)</t>
        </is>
      </c>
      <c r="G76" s="32">
        <f>IF(G$7&gt;YEAR(Control!$E$12),'6. AHG (Combined Entity)'!G312,0)</f>
        <v>0</v>
      </c>
      <c r="H76" s="32">
        <f>IF(H$7&gt;YEAR(Control!$E$12),'6. AHG (Combined Entity)'!H312,0)</f>
        <v>0</v>
      </c>
      <c r="I76" s="32">
        <f>IF(I$7&gt;YEAR(Control!$E$12),'6. AHG (Combined Entity)'!I312,0)</f>
        <v>0</v>
      </c>
      <c r="J76" s="32">
        <f>IF(J$7&gt;YEAR(Control!$E$12),'6. AHG (Combined Entity)'!J312,0)</f>
        <v>0</v>
      </c>
      <c r="K76" s="32">
        <f>IF(K$7&gt;YEAR(Control!$E$12),'6. AHG (Combined Entity)'!K312,0)</f>
        <v>0</v>
      </c>
      <c r="L76" s="32">
        <f>IF(L$7&gt;YEAR(Control!$E$12),'6. AHG (Combined Entity)'!L312,0)</f>
        <v>0</v>
      </c>
      <c r="M76" s="32">
        <f>IF(M$7&gt;YEAR(Control!$E$12),'6. AHG (Combined Entity)'!M312,0)</f>
        <v>0</v>
      </c>
      <c r="N76" s="32">
        <f>IF(N$7&gt;YEAR(Control!$E$12),'6. AHG (Combined Entity)'!N312,0)</f>
        <v>0</v>
      </c>
      <c r="O76" s="32">
        <f>IF(O$7&gt;YEAR(Control!$E$12),'6. AHG (Combined Entity)'!O312,0)</f>
        <v>1888820.81470007</v>
      </c>
      <c r="P76" s="32">
        <f>IF(P$7&gt;YEAR(Control!$E$12),'6. AHG (Combined Entity)'!P312,0)</f>
        <v>2527761.53765961</v>
      </c>
      <c r="Q76" s="32">
        <f>IF(Q$7&gt;YEAR(Control!$E$12),'6. AHG (Combined Entity)'!Q312,0)</f>
        <v>3236790.04419463</v>
      </c>
      <c r="R76" s="32">
        <f>IF(R$7&gt;YEAR(Control!$E$12),'6. AHG (Combined Entity)'!R312,0)</f>
        <v>3754029.34418663</v>
      </c>
      <c r="S76" s="26" t="n">
        <v>0</v>
      </c>
    </row>
    <row r="77">
      <c r="C77" s="14" t="inlineStr">
        <is>
          <t>(+) Exit Value</t>
        </is>
      </c>
      <c r="G77" s="8">
        <f>IF(G$6=$E$61,S71,0)</f>
        <v>0</v>
      </c>
      <c r="H77" s="8">
        <f>IF(H$6=$E$61,S71,0)</f>
        <v>0</v>
      </c>
      <c r="I77" s="8">
        <f>IF(I$6=$E$61,S71,0)</f>
        <v>0</v>
      </c>
      <c r="J77" s="8">
        <f>IF(J$6=$E$61,S71,0)</f>
        <v>0</v>
      </c>
      <c r="K77" s="8">
        <f>IF(K$6=$E$61,S71,0)</f>
        <v>0</v>
      </c>
      <c r="L77" s="8">
        <f>IF(L$6=$E$61,S71,0)</f>
        <v>0</v>
      </c>
      <c r="M77" s="8">
        <f>IF(M$6=$E$61,S71,0)</f>
        <v>0</v>
      </c>
      <c r="N77" s="8">
        <f>IF(N$6=$E$61,S71,0)</f>
        <v>0</v>
      </c>
      <c r="O77" s="8">
        <f>IF(O$6=$E$61,S71,0)</f>
        <v>0</v>
      </c>
      <c r="P77" s="8">
        <f>IF(P$6=$E$61,S71,0)</f>
        <v>0</v>
      </c>
      <c r="Q77" s="8">
        <f>IF(Q$6=$E$61,S71,0)</f>
        <v>0</v>
      </c>
      <c r="R77" s="8">
        <f>IF(R$6=$E$61,S71,0)</f>
        <v>0</v>
      </c>
      <c r="S77" s="8">
        <f>IF(S$6=$E$61,S71,0)</f>
        <v>238340333.446426</v>
      </c>
    </row>
    <row r="78">
      <c r="C78" s="29" t="inlineStr">
        <is>
          <t>Total Cash Flows</t>
        </is>
      </c>
      <c r="G78" s="30">
        <f>SUM(G74:G77)</f>
        <v>0</v>
      </c>
      <c r="H78" s="30">
        <f>SUM(H74:H77)</f>
        <v>0</v>
      </c>
      <c r="I78" s="30">
        <f>SUM(I74:I77)</f>
        <v>0</v>
      </c>
      <c r="J78" s="30">
        <f>SUM(J74:J77)</f>
        <v>0</v>
      </c>
      <c r="K78" s="30">
        <f>SUM(K74:K77)</f>
        <v>0</v>
      </c>
      <c r="L78" s="30">
        <f>SUM(L74:L77)</f>
        <v>0</v>
      </c>
      <c r="M78" s="30">
        <f>SUM(M74:M77)</f>
        <v>0</v>
      </c>
      <c r="N78" s="30">
        <f>SUM(N74:N77)</f>
        <v>-84405963.260259</v>
      </c>
      <c r="O78" s="30">
        <f>SUM(O74:O77)</f>
        <v>-2714679.18529993</v>
      </c>
      <c r="P78" s="30">
        <f>SUM(P74:P77)</f>
        <v>-1567238.46234039</v>
      </c>
      <c r="Q78" s="30">
        <f>SUM(Q74:Q77)</f>
        <v>1438790.04419463</v>
      </c>
      <c r="R78" s="30">
        <f>SUM(R74:R77)</f>
        <v>2614029.34418663</v>
      </c>
      <c r="S78" s="30">
        <f>SUM(S74:S77)</f>
        <v>238340333.446426</v>
      </c>
    </row>
    <row r="79">
      <c r="C79" s="29" t="inlineStr">
        <is>
          <t>Gross MoIC</t>
        </is>
      </c>
      <c r="E79" s="45">
        <f>IFERROR(SUMIF(G78:S78,"&gt;0")/-SUMIF(G78:S78,"&lt;0"),0)</f>
        <v>2.73310344495126</v>
      </c>
    </row>
    <row r="80">
      <c r="C80" s="29" t="inlineStr">
        <is>
          <t>Gross IRR</t>
        </is>
      </c>
      <c r="E80" s="46">
        <f>IFERROR(XIRR(G78:S78,G$6:S$6),0)</f>
        <v>0.226781029464994</v>
      </c>
    </row>
    <row r="82">
      <c r="C82" s="3" t="inlineStr">
        <is>
          <t>Total Investment:</t>
        </is>
      </c>
    </row>
    <row r="83">
      <c r="C83" s="14" t="inlineStr">
        <is>
          <t>Kessport Frontier Fund II</t>
        </is>
      </c>
      <c r="E83" s="8">
        <f>E39</f>
        <v>48955458.6909502</v>
      </c>
    </row>
    <row r="84">
      <c r="C84" s="14" t="inlineStr">
        <is>
          <t>Kessport Frontier Fund III</t>
        </is>
      </c>
      <c r="E84" s="8">
        <f>E40</f>
        <v>10128715.5912311</v>
      </c>
    </row>
    <row r="85">
      <c r="C85" s="14" t="inlineStr">
        <is>
          <t>DFI Partner 1</t>
        </is>
      </c>
      <c r="E85" s="8">
        <f>E41</f>
        <v>12660894.4890388</v>
      </c>
    </row>
    <row r="86">
      <c r="C86" s="14" t="inlineStr">
        <is>
          <t>DFI Partner 2</t>
        </is>
      </c>
      <c r="E86" s="8">
        <f>E42</f>
        <v>12660894.4890388</v>
      </c>
    </row>
    <row r="87">
      <c r="C87" s="29" t="inlineStr">
        <is>
          <t>Total Investment</t>
        </is>
      </c>
      <c r="E87" s="30">
        <f>SUM(E83:E86)</f>
        <v>84405963.260259</v>
      </c>
    </row>
    <row r="89">
      <c r="C89" s="3" t="inlineStr">
        <is>
          <t>Continuation Fund Cash Flows:</t>
        </is>
      </c>
    </row>
    <row r="90">
      <c r="C90" s="14" t="inlineStr">
        <is>
          <t>(-) Initial Investment (Purchase Price at NAV Pricing)</t>
        </is>
      </c>
      <c r="G90" s="32">
        <f>IF(G$7=YEAR(Control!$E$12),-$E$28,0)</f>
        <v>0</v>
      </c>
      <c r="H90" s="32">
        <f>IF(H$7=YEAR(Control!$E$12),-$E$28,0)</f>
        <v>0</v>
      </c>
      <c r="I90" s="32">
        <f>IF(I$7=YEAR(Control!$E$12),-$E$28,0)</f>
        <v>0</v>
      </c>
      <c r="J90" s="32">
        <f>IF(J$7=YEAR(Control!$E$12),-$E$28,0)</f>
        <v>0</v>
      </c>
      <c r="K90" s="32">
        <f>IF(K$7=YEAR(Control!$E$12),-$E$28,0)</f>
        <v>0</v>
      </c>
      <c r="L90" s="32">
        <f>IF(L$7=YEAR(Control!$E$12),-$E$28,0)</f>
        <v>0</v>
      </c>
      <c r="M90" s="32">
        <f>IF(M$7=YEAR(Control!$E$12),-$E$28,0)</f>
        <v>0</v>
      </c>
      <c r="N90" s="32">
        <f>IF(N$7=YEAR(Control!$E$12),-$E$28,0)</f>
        <v>-46018131.1694932</v>
      </c>
      <c r="O90" s="32">
        <f>IF(O$7=YEAR(Control!$E$12),-$E$28,0)</f>
        <v>0</v>
      </c>
      <c r="P90" s="32">
        <f>IF(P$7=YEAR(Control!$E$12),-$E$28,0)</f>
        <v>0</v>
      </c>
      <c r="Q90" s="32">
        <f>IF(Q$7=YEAR(Control!$E$12),-$E$28,0)</f>
        <v>0</v>
      </c>
      <c r="R90" s="32">
        <f>IF(R$7=YEAR(Control!$E$12),-$E$28,0)</f>
        <v>0</v>
      </c>
      <c r="S90" s="32">
        <f>IF(S$7=YEAR(Control!$E$12),-$E$28,0)</f>
        <v>0</v>
      </c>
    </row>
    <row r="91">
      <c r="C91" s="14" t="inlineStr">
        <is>
          <t>(-) Follow-On Capital (fund share)</t>
        </is>
      </c>
      <c r="G91" s="8">
        <f>G75*$E$26</f>
        <v>0</v>
      </c>
      <c r="H91" s="8">
        <f>H75*$E$26</f>
        <v>0</v>
      </c>
      <c r="I91" s="8">
        <f>I75*$E$26</f>
        <v>0</v>
      </c>
      <c r="J91" s="8">
        <f>J75*$E$26</f>
        <v>0</v>
      </c>
      <c r="K91" s="8">
        <f>K75*$E$26</f>
        <v>0</v>
      </c>
      <c r="L91" s="8">
        <f>L75*$E$26</f>
        <v>0</v>
      </c>
      <c r="M91" s="8">
        <f>M75*$E$26</f>
        <v>0</v>
      </c>
      <c r="N91" s="8">
        <f>N75*$E$26</f>
        <v>0</v>
      </c>
      <c r="O91" s="8">
        <f>O75*$E$26</f>
        <v>-2670030</v>
      </c>
      <c r="P91" s="8">
        <f>P75*$E$26</f>
        <v>-2375100</v>
      </c>
      <c r="Q91" s="8">
        <f>Q75*$E$26</f>
        <v>-1042840</v>
      </c>
      <c r="R91" s="8">
        <f>R75*$E$26</f>
        <v>-661200</v>
      </c>
      <c r="S91" s="8">
        <f>S75*$E$26</f>
        <v>0</v>
      </c>
    </row>
    <row r="92">
      <c r="C92" s="14" t="inlineStr">
        <is>
          <t>(+) Interim Proceeds</t>
        </is>
      </c>
      <c r="G92" s="8">
        <f>G76*$E$26</f>
        <v>0</v>
      </c>
      <c r="H92" s="8">
        <f>H76*$E$26</f>
        <v>0</v>
      </c>
      <c r="I92" s="8">
        <f>I76*$E$26</f>
        <v>0</v>
      </c>
      <c r="J92" s="8">
        <f>J76*$E$26</f>
        <v>0</v>
      </c>
      <c r="K92" s="8">
        <f>K76*$E$26</f>
        <v>0</v>
      </c>
      <c r="L92" s="8">
        <f>L76*$E$26</f>
        <v>0</v>
      </c>
      <c r="M92" s="8">
        <f>M76*$E$26</f>
        <v>0</v>
      </c>
      <c r="N92" s="8">
        <f>N76*$E$26</f>
        <v>0</v>
      </c>
      <c r="O92" s="8">
        <f>O76*$E$26</f>
        <v>1095516.07252604</v>
      </c>
      <c r="P92" s="8">
        <f>P76*$E$26</f>
        <v>1466101.69184257</v>
      </c>
      <c r="Q92" s="8">
        <f>Q76*$E$26</f>
        <v>1877338.22563289</v>
      </c>
      <c r="R92" s="8">
        <f>R76*$E$26</f>
        <v>2177337.01962824</v>
      </c>
      <c r="S92" s="8">
        <f>S76*$E$26</f>
        <v>0</v>
      </c>
    </row>
    <row r="93">
      <c r="C93" s="14" t="inlineStr">
        <is>
          <t>(+) Exit Value</t>
        </is>
      </c>
      <c r="G93" s="8">
        <f>G77*$E$26</f>
        <v>0</v>
      </c>
      <c r="H93" s="8">
        <f>H77*$E$26</f>
        <v>0</v>
      </c>
      <c r="I93" s="8">
        <f>I77*$E$26</f>
        <v>0</v>
      </c>
      <c r="J93" s="8">
        <f>J77*$E$26</f>
        <v>0</v>
      </c>
      <c r="K93" s="8">
        <f>K77*$E$26</f>
        <v>0</v>
      </c>
      <c r="L93" s="8">
        <f>L77*$E$26</f>
        <v>0</v>
      </c>
      <c r="M93" s="8">
        <f>M77*$E$26</f>
        <v>0</v>
      </c>
      <c r="N93" s="8">
        <f>N77*$E$26</f>
        <v>0</v>
      </c>
      <c r="O93" s="8">
        <f>O77*$E$26</f>
        <v>0</v>
      </c>
      <c r="P93" s="8">
        <f>P77*$E$26</f>
        <v>0</v>
      </c>
      <c r="Q93" s="8">
        <f>Q77*$E$26</f>
        <v>0</v>
      </c>
      <c r="R93" s="8">
        <f>R77*$E$26</f>
        <v>0</v>
      </c>
      <c r="S93" s="8">
        <f>S77*$E$26</f>
        <v>138237393.398927</v>
      </c>
    </row>
    <row r="94">
      <c r="C94" s="29" t="inlineStr">
        <is>
          <t>Total Cash Flows</t>
        </is>
      </c>
      <c r="G94" s="30">
        <f>SUM(G90:G93)</f>
        <v>0</v>
      </c>
      <c r="H94" s="30">
        <f>SUM(H90:H93)</f>
        <v>0</v>
      </c>
      <c r="I94" s="30">
        <f>SUM(I90:I93)</f>
        <v>0</v>
      </c>
      <c r="J94" s="30">
        <f>SUM(J90:J93)</f>
        <v>0</v>
      </c>
      <c r="K94" s="30">
        <f>SUM(K90:K93)</f>
        <v>0</v>
      </c>
      <c r="L94" s="30">
        <f>SUM(L90:L93)</f>
        <v>0</v>
      </c>
      <c r="M94" s="30">
        <f>SUM(M90:M93)</f>
        <v>0</v>
      </c>
      <c r="N94" s="30">
        <f>SUM(N90:N93)</f>
        <v>-46018131.1694932</v>
      </c>
      <c r="O94" s="30">
        <f>SUM(O90:O93)</f>
        <v>-1574513.92747396</v>
      </c>
      <c r="P94" s="30">
        <f>SUM(P90:P93)</f>
        <v>-908998.308157428</v>
      </c>
      <c r="Q94" s="30">
        <f>SUM(Q90:Q93)</f>
        <v>834498.225632885</v>
      </c>
      <c r="R94" s="30">
        <f>SUM(R90:R93)</f>
        <v>1516137.01962824</v>
      </c>
      <c r="S94" s="30">
        <f>SUM(S90:S93)</f>
        <v>138237393.398927</v>
      </c>
    </row>
    <row r="95">
      <c r="C95" s="29" t="inlineStr">
        <is>
          <t>Gross MoIC</t>
        </is>
      </c>
      <c r="E95" s="45">
        <f>IFERROR(SUMIF(G94:S94,"&gt;0")/-SUMIF(G94:S94,"&lt;0"),0)</f>
        <v>2.89862402124984</v>
      </c>
    </row>
    <row r="96">
      <c r="C96" s="29" t="inlineStr">
        <is>
          <t>Gross IRR</t>
        </is>
      </c>
      <c r="E96" s="46">
        <f>IFERROR(XIRR(G94:S94,G$6:S$6),0)</f>
        <v>0.241709639080687</v>
      </c>
    </row>
    <row r="98">
      <c r="C98" s="3" t="inlineStr">
        <is>
          <t>Notes:</t>
        </is>
      </c>
    </row>
    <row r="99">
      <c r="C99" s="2" t="inlineStr">
        <is>
          <t>(1) LTM Q2'26 EBITDA approximated as the average of FY2025A and FY2026E EBITDA.</t>
        </is>
      </c>
    </row>
    <row r="100">
      <c r="C100" s="2" t="inlineStr">
        <is>
          <t>(2) Exit at 31-Dec-2031: exit EBITDA = FY2030E EBITDA grown one year at the FY2030E revenue growth rate; net debt and minorities at the FY2030E balance (last modelled year).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3:R51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Tallowick Consumer Products – Operating Build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Data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Revenue &amp; Cost Build</t>
        </is>
      </c>
      <c r="E11" s="25" t="str">
        <f>"("&amp;Control!$E$21&amp;" in Actual)"</f>
        <v>(LCB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4">
      <c r="C14" s="3" t="inlineStr">
        <is>
          <t>Revenue (LCB)</t>
        </is>
      </c>
      <c r="G14" s="26" t="n">
        <v>7111938000</v>
      </c>
      <c r="H14" s="26" t="n">
        <v>6793697000</v>
      </c>
      <c r="I14" s="26" t="n">
        <v>7398425000</v>
      </c>
      <c r="J14" s="26" t="n">
        <v>7898080000</v>
      </c>
      <c r="K14" s="26" t="n">
        <v>8798482000</v>
      </c>
      <c r="L14" s="26" t="n">
        <v>9679592000</v>
      </c>
      <c r="M14" s="26" t="n">
        <v>10611703000</v>
      </c>
      <c r="N14" s="8">
        <f>M14*(1+N15)</f>
        <v>11312075398</v>
      </c>
      <c r="O14" s="8">
        <f>N14*(1+O15)</f>
        <v>12149168977.452</v>
      </c>
      <c r="P14" s="8">
        <f>O14*(1+P15)</f>
        <v>13036058312.806</v>
      </c>
      <c r="Q14" s="8">
        <f>P14*(1+Q15)</f>
        <v>14039834802.8921</v>
      </c>
      <c r="R14" s="8">
        <f>Q14*(1+R15)</f>
        <v>15008583404.2916</v>
      </c>
    </row>
    <row r="15">
      <c r="C15" s="33" t="inlineStr">
        <is>
          <t>Growth (%)</t>
        </is>
      </c>
      <c r="G15" s="28" t="str">
        <f>IFERROR(G14/F14-1,"N/A")</f>
        <v>N/A</v>
      </c>
      <c r="H15" s="28">
        <f>IFERROR(H14/G14-1,"N/A")</f>
        <v>-0.0447474373370521</v>
      </c>
      <c r="I15" s="28">
        <f>IFERROR(I14/H14-1,"N/A")</f>
        <v>0.0890130955207451</v>
      </c>
      <c r="J15" s="28">
        <f>IFERROR(J14/I14-1,"N/A")</f>
        <v>0.0675353200174362</v>
      </c>
      <c r="K15" s="28">
        <f>IFERROR(K14/J14-1,"N/A")</f>
        <v>0.11400264368049</v>
      </c>
      <c r="L15" s="28">
        <f>IFERROR(L14/K14-1,"N/A")</f>
        <v>0.100143411102051</v>
      </c>
      <c r="M15" s="28">
        <f>IFERROR(M14/L14-1,"N/A")</f>
        <v>0.0962965174565209</v>
      </c>
      <c r="N15" s="47">
        <f>'2. Tallowick (Combined Entity)'!N12</f>
        <v>0.066</v>
      </c>
      <c r="O15" s="47">
        <f>'2. Tallowick (Combined Entity)'!O12</f>
        <v>0.074</v>
      </c>
      <c r="P15" s="47">
        <f>'2. Tallowick (Combined Entity)'!P12</f>
        <v>0.073</v>
      </c>
      <c r="Q15" s="47">
        <f>'2. Tallowick (Combined Entity)'!Q12</f>
        <v>0.077</v>
      </c>
      <c r="R15" s="47">
        <f>'2. Tallowick (Combined Entity)'!R12</f>
        <v>0.069</v>
      </c>
    </row>
    <row r="17">
      <c r="C17" s="3" t="inlineStr">
        <is>
          <t>Expenses:</t>
        </is>
      </c>
    </row>
    <row r="18">
      <c r="C18" s="27" t="inlineStr">
        <is>
          <t>COGS – % of Sales (%)</t>
        </is>
      </c>
      <c r="G18" s="20">
        <f>IFERROR(G19/G14,"N/A")</f>
        <v>0.59916312543782</v>
      </c>
      <c r="H18" s="20">
        <f>IFERROR(H19/H14,"N/A")</f>
        <v>0.586391327137492</v>
      </c>
      <c r="I18" s="20">
        <f>IFERROR(I19/I14,"N/A")</f>
        <v>0.638852728790249</v>
      </c>
      <c r="J18" s="20">
        <f>IFERROR(J19/J14,"N/A")</f>
        <v>0.641929810789458</v>
      </c>
      <c r="K18" s="20">
        <f>IFERROR(K19/K14,"N/A")</f>
        <v>0.645000353470065</v>
      </c>
      <c r="L18" s="20">
        <f>IFERROR(L19/L14,"N/A")</f>
        <v>0.633016763516479</v>
      </c>
      <c r="M18" s="20">
        <f>IFERROR(M19/M14,"N/A")</f>
        <v>0.637953304950205</v>
      </c>
      <c r="N18" s="47">
        <f>'2. Tallowick (Combined Entity)'!N14</f>
        <v>0.6136</v>
      </c>
      <c r="O18" s="47">
        <f>'2. Tallowick (Combined Entity)'!O14</f>
        <v>0.6094</v>
      </c>
      <c r="P18" s="47">
        <f>'2. Tallowick (Combined Entity)'!P14</f>
        <v>0.6089</v>
      </c>
      <c r="Q18" s="47">
        <f>'2. Tallowick (Combined Entity)'!Q14</f>
        <v>0.6154</v>
      </c>
      <c r="R18" s="47">
        <f>'2. Tallowick (Combined Entity)'!R14</f>
        <v>0.622</v>
      </c>
    </row>
    <row r="19">
      <c r="C19" s="14" t="inlineStr">
        <is>
          <t>COGS (LCB)</t>
        </is>
      </c>
      <c r="G19" s="26" t="n">
        <v>4261211000</v>
      </c>
      <c r="H19" s="26" t="n">
        <v>3983765000</v>
      </c>
      <c r="I19" s="26" t="n">
        <v>4726504000</v>
      </c>
      <c r="J19" s="26" t="n">
        <v>5070013000</v>
      </c>
      <c r="K19" s="26" t="n">
        <v>5675024000</v>
      </c>
      <c r="L19" s="26" t="n">
        <v>6127344000</v>
      </c>
      <c r="M19" s="26" t="n">
        <v>6769771000</v>
      </c>
      <c r="N19" s="8">
        <f>N18*N14</f>
        <v>6941089464.2128</v>
      </c>
      <c r="O19" s="8">
        <f>O18*O14</f>
        <v>7403703574.85925</v>
      </c>
      <c r="P19" s="8">
        <f>P18*P14</f>
        <v>7937655906.66757</v>
      </c>
      <c r="Q19" s="8">
        <f>Q18*Q14</f>
        <v>8640114337.69977</v>
      </c>
      <c r="R19" s="8">
        <f>R18*R14</f>
        <v>9335338877.46938</v>
      </c>
    </row>
    <row r="20">
      <c r="C20" s="27" t="inlineStr">
        <is>
          <t>Other Costs – % of Sales (%)</t>
        </is>
      </c>
      <c r="G20" s="20">
        <f>IFERROR(G21/G14,"N/A")</f>
        <v>0.0416287374833695</v>
      </c>
      <c r="H20" s="20">
        <f>IFERROR(H21/H14,"N/A")</f>
        <v>0.0403113356394906</v>
      </c>
      <c r="I20" s="20">
        <f>IFERROR(I21/I14,"N/A")</f>
        <v>0.0390727756245417</v>
      </c>
      <c r="J20" s="20">
        <f>IFERROR(J21/J14,"N/A")</f>
        <v>0.0411167017806859</v>
      </c>
      <c r="K20" s="20">
        <f>IFERROR(K21/K14,"N/A")</f>
        <v>0.0409496774557247</v>
      </c>
      <c r="L20" s="20">
        <f>IFERROR(L21/L14,"N/A")</f>
        <v>0.0388030817827859</v>
      </c>
      <c r="M20" s="20">
        <f>IFERROR(M21/M14,"N/A")</f>
        <v>0.0387378915523738</v>
      </c>
      <c r="N20" s="47">
        <f>'2. Tallowick (Combined Entity)'!N15</f>
        <v>0.04</v>
      </c>
      <c r="O20" s="47">
        <f>'2. Tallowick (Combined Entity)'!O15</f>
        <v>0.0399</v>
      </c>
      <c r="P20" s="47">
        <f>'2. Tallowick (Combined Entity)'!P15</f>
        <v>0.0399</v>
      </c>
      <c r="Q20" s="47">
        <f>'2. Tallowick (Combined Entity)'!Q15</f>
        <v>0.0402</v>
      </c>
      <c r="R20" s="47">
        <f>'2. Tallowick (Combined Entity)'!R15</f>
        <v>0.0398</v>
      </c>
    </row>
    <row r="21">
      <c r="C21" s="14" t="inlineStr">
        <is>
          <t>Other Costs (LCB)</t>
        </is>
      </c>
      <c r="G21" s="26" t="n">
        <v>296061000</v>
      </c>
      <c r="H21" s="26" t="n">
        <v>273863000</v>
      </c>
      <c r="I21" s="26" t="n">
        <v>289077000</v>
      </c>
      <c r="J21" s="26" t="n">
        <v>324743000</v>
      </c>
      <c r="K21" s="26" t="n">
        <v>360295000</v>
      </c>
      <c r="L21" s="26" t="n">
        <v>375598000</v>
      </c>
      <c r="M21" s="26" t="n">
        <v>411075000</v>
      </c>
      <c r="N21" s="8">
        <f>N20*N14</f>
        <v>452483015.92</v>
      </c>
      <c r="O21" s="8">
        <f>O20*O14</f>
        <v>484751842.200335</v>
      </c>
      <c r="P21" s="8">
        <f>P20*P14</f>
        <v>520138726.680959</v>
      </c>
      <c r="Q21" s="8">
        <f>Q20*Q14</f>
        <v>564401359.076261</v>
      </c>
      <c r="R21" s="8">
        <f>R20*R14</f>
        <v>597341619.490806</v>
      </c>
    </row>
    <row r="22">
      <c r="C22" s="27" t="inlineStr">
        <is>
          <t>Trade Promotions – % of Sales (%)</t>
        </is>
      </c>
      <c r="G22" s="20">
        <f>IFERROR(G23/G14,"N/A")</f>
        <v>0.0545007563339275</v>
      </c>
      <c r="H22" s="20">
        <f>IFERROR(H23/H14,"N/A")</f>
        <v>0.0532930744482717</v>
      </c>
      <c r="I22" s="20">
        <f>IFERROR(I23/I14,"N/A")</f>
        <v>0.0551782305017622</v>
      </c>
      <c r="J22" s="20">
        <f>IFERROR(J23/J14,"N/A")</f>
        <v>0.0567149231205559</v>
      </c>
      <c r="K22" s="20">
        <f>IFERROR(K23/K14,"N/A")</f>
        <v>0.0526672669217258</v>
      </c>
      <c r="L22" s="20">
        <f>IFERROR(L23/L14,"N/A")</f>
        <v>0.052968348252695</v>
      </c>
      <c r="M22" s="20">
        <f>IFERROR(M23/M14,"N/A")</f>
        <v>0.0521941671379231</v>
      </c>
      <c r="N22" s="47">
        <f>'2. Tallowick (Combined Entity)'!N16</f>
        <v>0.054</v>
      </c>
      <c r="O22" s="47">
        <f>'2. Tallowick (Combined Entity)'!O16</f>
        <v>0.0545</v>
      </c>
      <c r="P22" s="47">
        <f>'2. Tallowick (Combined Entity)'!P16</f>
        <v>0.0553</v>
      </c>
      <c r="Q22" s="47">
        <f>'2. Tallowick (Combined Entity)'!Q16</f>
        <v>0.0549</v>
      </c>
      <c r="R22" s="47">
        <f>'2. Tallowick (Combined Entity)'!R16</f>
        <v>0.0546</v>
      </c>
    </row>
    <row r="23">
      <c r="C23" s="14" t="inlineStr">
        <is>
          <t>Trade Promotions (LCB)</t>
        </is>
      </c>
      <c r="G23" s="26" t="n">
        <v>387606000</v>
      </c>
      <c r="H23" s="26" t="n">
        <v>362057000</v>
      </c>
      <c r="I23" s="26" t="n">
        <v>408232000</v>
      </c>
      <c r="J23" s="26" t="n">
        <v>447939000</v>
      </c>
      <c r="K23" s="26" t="n">
        <v>463392000</v>
      </c>
      <c r="L23" s="26" t="n">
        <v>512712000</v>
      </c>
      <c r="M23" s="26" t="n">
        <v>553869000</v>
      </c>
      <c r="N23" s="8">
        <f>N22*N14</f>
        <v>610852071.492</v>
      </c>
      <c r="O23" s="8">
        <f>O22*O14</f>
        <v>662129709.271134</v>
      </c>
      <c r="P23" s="8">
        <f>P22*P14</f>
        <v>720894024.698172</v>
      </c>
      <c r="Q23" s="8">
        <f>Q22*Q14</f>
        <v>770786930.678774</v>
      </c>
      <c r="R23" s="8">
        <f>R22*R14</f>
        <v>819468653.874322</v>
      </c>
    </row>
    <row r="24">
      <c r="C24" s="27" t="inlineStr">
        <is>
          <t>Marketing Costs – % of Sales (%)</t>
        </is>
      </c>
      <c r="G24" s="20">
        <f>IFERROR(G25/G14,"N/A")</f>
        <v>0.0338166615063292</v>
      </c>
      <c r="H24" s="20">
        <f>IFERROR(H25/H14,"N/A")</f>
        <v>0.0330422448925821</v>
      </c>
      <c r="I24" s="20">
        <f>IFERROR(I25/I14,"N/A")</f>
        <v>0.0340534640818823</v>
      </c>
      <c r="J24" s="20">
        <f>IFERROR(J25/J14,"N/A")</f>
        <v>0.0376802969835707</v>
      </c>
      <c r="K24" s="20">
        <f>IFERROR(K25/K14,"N/A")</f>
        <v>0.0358520935770511</v>
      </c>
      <c r="L24" s="20">
        <f>IFERROR(L25/L14,"N/A")</f>
        <v>0.0339368642810565</v>
      </c>
      <c r="M24" s="20">
        <f>IFERROR(M25/M14,"N/A")</f>
        <v>0.0361820341183691</v>
      </c>
      <c r="N24" s="47">
        <f>'2. Tallowick (Combined Entity)'!N17</f>
        <v>0.0352</v>
      </c>
      <c r="O24" s="47">
        <f>'2. Tallowick (Combined Entity)'!O17</f>
        <v>0.0348</v>
      </c>
      <c r="P24" s="47">
        <f>'2. Tallowick (Combined Entity)'!P17</f>
        <v>0.0352</v>
      </c>
      <c r="Q24" s="47">
        <f>'2. Tallowick (Combined Entity)'!Q17</f>
        <v>0.0345</v>
      </c>
      <c r="R24" s="47">
        <f>'2. Tallowick (Combined Entity)'!R17</f>
        <v>0.0348</v>
      </c>
    </row>
    <row r="25">
      <c r="C25" s="14" t="inlineStr">
        <is>
          <t>Marketing Costs (LCB)</t>
        </is>
      </c>
      <c r="G25" s="26" t="n">
        <v>240502000</v>
      </c>
      <c r="H25" s="26" t="n">
        <v>224479000</v>
      </c>
      <c r="I25" s="26" t="n">
        <v>251942000</v>
      </c>
      <c r="J25" s="26" t="n">
        <v>297602000</v>
      </c>
      <c r="K25" s="26" t="n">
        <v>315444000</v>
      </c>
      <c r="L25" s="26" t="n">
        <v>328495000</v>
      </c>
      <c r="M25" s="26" t="n">
        <v>383953000</v>
      </c>
      <c r="N25" s="8">
        <f>N24*N14</f>
        <v>398185054.0096</v>
      </c>
      <c r="O25" s="8">
        <f>O24*O14</f>
        <v>422791080.41533</v>
      </c>
      <c r="P25" s="8">
        <f>P24*P14</f>
        <v>458869252.610771</v>
      </c>
      <c r="Q25" s="8">
        <f>Q24*Q14</f>
        <v>484374300.699776</v>
      </c>
      <c r="R25" s="8">
        <f>R24*R14</f>
        <v>522298702.469348</v>
      </c>
    </row>
    <row r="26">
      <c r="C26" s="27" t="inlineStr">
        <is>
          <t>Staff Costs – % of Sales (%)</t>
        </is>
      </c>
      <c r="G26" s="20">
        <f>IFERROR(G27/G14,"N/A")</f>
        <v>0.0902541613832966</v>
      </c>
      <c r="H26" s="20">
        <f>IFERROR(H27/H14,"N/A")</f>
        <v>0.083947223433721</v>
      </c>
      <c r="I26" s="20">
        <f>IFERROR(I27/I14,"N/A")</f>
        <v>0.0863381057454796</v>
      </c>
      <c r="J26" s="20">
        <f>IFERROR(J27/J14,"N/A")</f>
        <v>0.0860117902072402</v>
      </c>
      <c r="K26" s="20">
        <f>IFERROR(K27/K14,"N/A")</f>
        <v>0.0957666333806218</v>
      </c>
      <c r="L26" s="20">
        <f>IFERROR(L27/L14,"N/A")</f>
        <v>0.0920241266367426</v>
      </c>
      <c r="M26" s="20">
        <f>IFERROR(M27/M14,"N/A")</f>
        <v>0.0883173982536074</v>
      </c>
      <c r="N26" s="47">
        <f>'2. Tallowick (Combined Entity)'!N18</f>
        <v>0.0896</v>
      </c>
      <c r="O26" s="47">
        <f>'2. Tallowick (Combined Entity)'!O18</f>
        <v>0.0905</v>
      </c>
      <c r="P26" s="47">
        <f>'2. Tallowick (Combined Entity)'!P18</f>
        <v>0.0892</v>
      </c>
      <c r="Q26" s="47">
        <f>'2. Tallowick (Combined Entity)'!Q18</f>
        <v>0.0906</v>
      </c>
      <c r="R26" s="47">
        <f>'2. Tallowick (Combined Entity)'!R18</f>
        <v>0.0909</v>
      </c>
    </row>
    <row r="27">
      <c r="C27" s="14" t="inlineStr">
        <is>
          <t>Staff Costs (LCB)</t>
        </is>
      </c>
      <c r="G27" s="26" t="n">
        <v>641882000</v>
      </c>
      <c r="H27" s="26" t="n">
        <v>570312000</v>
      </c>
      <c r="I27" s="26" t="n">
        <v>638766000</v>
      </c>
      <c r="J27" s="26" t="n">
        <v>679328000</v>
      </c>
      <c r="K27" s="26" t="n">
        <v>842601000</v>
      </c>
      <c r="L27" s="26" t="n">
        <v>890756000</v>
      </c>
      <c r="M27" s="26" t="n">
        <v>937198000</v>
      </c>
      <c r="N27" s="8">
        <f>N26*N14</f>
        <v>1013561955.6608</v>
      </c>
      <c r="O27" s="8">
        <f>O26*O14</f>
        <v>1099499792.45941</v>
      </c>
      <c r="P27" s="8">
        <f>P26*P14</f>
        <v>1162816401.5023</v>
      </c>
      <c r="Q27" s="8">
        <f>Q26*Q14</f>
        <v>1272009033.14202</v>
      </c>
      <c r="R27" s="8">
        <f>R26*R14</f>
        <v>1364280231.45011</v>
      </c>
    </row>
    <row r="28">
      <c r="C28" s="27" t="inlineStr">
        <is>
          <t>Taxes (operating) – % of Sales (%)</t>
        </is>
      </c>
      <c r="G28" s="20">
        <f>IFERROR(G29/G14,"N/A")</f>
        <v>0.00974094543568856</v>
      </c>
      <c r="H28" s="20">
        <f>IFERROR(H29/H14,"N/A")</f>
        <v>0.00974565100563066</v>
      </c>
      <c r="I28" s="20">
        <f>IFERROR(I29/I14,"N/A")</f>
        <v>0.0101328323257991</v>
      </c>
      <c r="J28" s="20">
        <f>IFERROR(J29/J14,"N/A")</f>
        <v>0.00973679679111885</v>
      </c>
      <c r="K28" s="20">
        <f>IFERROR(K29/K14,"N/A")</f>
        <v>0.00998331303058869</v>
      </c>
      <c r="L28" s="20">
        <f>IFERROR(L29/L14,"N/A")</f>
        <v>0.0101069342592126</v>
      </c>
      <c r="M28" s="20">
        <f>IFERROR(M29/M14,"N/A")</f>
        <v>0.0100266658424194</v>
      </c>
      <c r="N28" s="47">
        <f>'2. Tallowick (Combined Entity)'!N19</f>
        <v>0.0098</v>
      </c>
      <c r="O28" s="47">
        <f>'2. Tallowick (Combined Entity)'!O19</f>
        <v>0.01</v>
      </c>
      <c r="P28" s="47">
        <f>'2. Tallowick (Combined Entity)'!P19</f>
        <v>0.0099</v>
      </c>
      <c r="Q28" s="47">
        <f>'2. Tallowick (Combined Entity)'!Q19</f>
        <v>0.0101</v>
      </c>
      <c r="R28" s="47">
        <f>'2. Tallowick (Combined Entity)'!R19</f>
        <v>0.01</v>
      </c>
    </row>
    <row r="29">
      <c r="C29" s="14" t="inlineStr">
        <is>
          <t>Taxes (operating) (LCB)</t>
        </is>
      </c>
      <c r="G29" s="26" t="n">
        <v>69277000</v>
      </c>
      <c r="H29" s="26" t="n">
        <v>66209000</v>
      </c>
      <c r="I29" s="26" t="n">
        <v>74967000</v>
      </c>
      <c r="J29" s="26" t="n">
        <v>76902000</v>
      </c>
      <c r="K29" s="26" t="n">
        <v>87838000</v>
      </c>
      <c r="L29" s="26" t="n">
        <v>97831000</v>
      </c>
      <c r="M29" s="26" t="n">
        <v>106400000</v>
      </c>
      <c r="N29" s="8">
        <f>N28*N14</f>
        <v>110858338.9004</v>
      </c>
      <c r="O29" s="8">
        <f>O28*O14</f>
        <v>121491689.77452</v>
      </c>
      <c r="P29" s="8">
        <f>P28*P14</f>
        <v>129056977.296779</v>
      </c>
      <c r="Q29" s="8">
        <f>Q28*Q14</f>
        <v>141802331.50921</v>
      </c>
      <c r="R29" s="8">
        <f>R28*R14</f>
        <v>150085834.042916</v>
      </c>
    </row>
    <row r="30">
      <c r="C30" s="27" t="inlineStr">
        <is>
          <t>D&amp;A – % of Sales (%)</t>
        </is>
      </c>
      <c r="G30" s="20">
        <f>IFERROR(G31/G14,"N/A")</f>
        <v>0.0280815158962297</v>
      </c>
      <c r="H30" s="20">
        <f>IFERROR(H31/H14,"N/A")</f>
        <v>0.0269864846783717</v>
      </c>
      <c r="I30" s="20">
        <f>IFERROR(I31/I14,"N/A")</f>
        <v>0.0298787917698699</v>
      </c>
      <c r="J30" s="20">
        <f>IFERROR(J31/J14,"N/A")</f>
        <v>0.0282596529789518</v>
      </c>
      <c r="K30" s="20">
        <f>IFERROR(K31/K14,"N/A")</f>
        <v>0.0299911962086187</v>
      </c>
      <c r="L30" s="20">
        <f>IFERROR(L31/L14,"N/A")</f>
        <v>0.0281207100464565</v>
      </c>
      <c r="M30" s="20">
        <f>IFERROR(M31/M14,"N/A")</f>
        <v>0.0266034584646781</v>
      </c>
      <c r="N30" s="47">
        <f>'2. Tallowick (Combined Entity)'!N20</f>
        <v>0.0275</v>
      </c>
      <c r="O30" s="47">
        <f>'2. Tallowick (Combined Entity)'!O20</f>
        <v>0.0279</v>
      </c>
      <c r="P30" s="47">
        <f>'2. Tallowick (Combined Entity)'!P20</f>
        <v>0.0279</v>
      </c>
      <c r="Q30" s="47">
        <f>'2. Tallowick (Combined Entity)'!Q20</f>
        <v>0.0278</v>
      </c>
      <c r="R30" s="47">
        <f>'2. Tallowick (Combined Entity)'!R20</f>
        <v>0.0277</v>
      </c>
    </row>
    <row r="31">
      <c r="C31" s="14" t="inlineStr">
        <is>
          <t>D&amp;A (LCB)</t>
        </is>
      </c>
      <c r="G31" s="26" t="n">
        <v>199714000</v>
      </c>
      <c r="H31" s="26" t="n">
        <v>183338000</v>
      </c>
      <c r="I31" s="26" t="n">
        <v>221056000</v>
      </c>
      <c r="J31" s="26" t="n">
        <v>223197000</v>
      </c>
      <c r="K31" s="26" t="n">
        <v>263877000</v>
      </c>
      <c r="L31" s="26" t="n">
        <v>272197000</v>
      </c>
      <c r="M31" s="26" t="n">
        <v>282308000</v>
      </c>
      <c r="N31" s="8">
        <f>N30*N14</f>
        <v>311082073.445</v>
      </c>
      <c r="O31" s="8">
        <f>O30*O14</f>
        <v>338961814.470911</v>
      </c>
      <c r="P31" s="8">
        <f>P30*P14</f>
        <v>363706026.927287</v>
      </c>
      <c r="Q31" s="8">
        <f>Q30*Q14</f>
        <v>390307407.520399</v>
      </c>
      <c r="R31" s="8">
        <f>R30*R14</f>
        <v>415737760.298878</v>
      </c>
    </row>
    <row r="34">
      <c r="C34" s="12" t="inlineStr">
        <is>
          <t>Financial Statements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>
      <c r="C35" s="25" t="inlineStr">
        <is>
          <t>B</t>
        </is>
      </c>
      <c r="D35" s="25" t="inlineStr">
        <is>
          <t>Income Statement</t>
        </is>
      </c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</row>
    <row r="36">
      <c r="E36" s="10" t="str">
        <f>"("&amp;Control!$E$23&amp;" in Actual)"</f>
        <v>(USD in Actual)</v>
      </c>
    </row>
    <row r="37">
      <c r="C37" s="3" t="inlineStr">
        <is>
          <t>Revenue</t>
        </is>
      </c>
      <c r="G37" s="35">
        <f>G14*Control!$E$22</f>
        <v>88899225</v>
      </c>
      <c r="H37" s="35">
        <f>H14*Control!$E$22</f>
        <v>84921212.5</v>
      </c>
      <c r="I37" s="35">
        <f>I14*Control!$E$22</f>
        <v>92480312.5</v>
      </c>
      <c r="J37" s="35">
        <f>J14*Control!$E$22</f>
        <v>98726000</v>
      </c>
      <c r="K37" s="35">
        <f>K14*Control!$E$22</f>
        <v>109981025</v>
      </c>
      <c r="L37" s="35">
        <f>L14*Control!$E$22</f>
        <v>120994900</v>
      </c>
      <c r="M37" s="35">
        <f>M14*Control!$E$22</f>
        <v>132646287.5</v>
      </c>
      <c r="N37" s="35">
        <f>N14*Control!$E$22</f>
        <v>141400942.475</v>
      </c>
      <c r="O37" s="35">
        <f>O14*Control!$E$22</f>
        <v>151864612.21815</v>
      </c>
      <c r="P37" s="35">
        <f>P14*Control!$E$22</f>
        <v>162950728.910075</v>
      </c>
      <c r="Q37" s="35">
        <f>Q14*Control!$E$22</f>
        <v>175497935.036151</v>
      </c>
      <c r="R37" s="35">
        <f>R14*Control!$E$22</f>
        <v>187607292.553645</v>
      </c>
    </row>
    <row r="38">
      <c r="C38" s="14" t="inlineStr">
        <is>
          <t>Growth (%)</t>
        </is>
      </c>
      <c r="G38" s="20" t="str">
        <f>IFERROR(G37/F37-1,"N/A")</f>
        <v>N/A</v>
      </c>
      <c r="H38" s="20">
        <f>IFERROR(H37/G37-1,"N/A")</f>
        <v>-0.0447474373370521</v>
      </c>
      <c r="I38" s="20">
        <f>IFERROR(I37/H37-1,"N/A")</f>
        <v>0.0890130955207451</v>
      </c>
      <c r="J38" s="20">
        <f>IFERROR(J37/I37-1,"N/A")</f>
        <v>0.0675353200174362</v>
      </c>
      <c r="K38" s="20">
        <f>IFERROR(K37/J37-1,"N/A")</f>
        <v>0.11400264368049</v>
      </c>
      <c r="L38" s="20">
        <f>IFERROR(L37/K37-1,"N/A")</f>
        <v>0.100143411102051</v>
      </c>
      <c r="M38" s="20">
        <f>IFERROR(M37/L37-1,"N/A")</f>
        <v>0.0962965174565209</v>
      </c>
      <c r="N38" s="20">
        <f>IFERROR(N37/M37-1,"N/A")</f>
        <v>0.0660000000000001</v>
      </c>
      <c r="O38" s="20">
        <f>IFERROR(O37/N37-1,"N/A")</f>
        <v>0.0740000000000003</v>
      </c>
      <c r="P38" s="20">
        <f>IFERROR(P37/O37-1,"N/A")</f>
        <v>0.073</v>
      </c>
      <c r="Q38" s="20">
        <f>IFERROR(Q37/P37-1,"N/A")</f>
        <v>0.077</v>
      </c>
      <c r="R38" s="20">
        <f>IFERROR(R37/Q37-1,"N/A")</f>
        <v>0.069</v>
      </c>
    </row>
    <row r="39">
      <c r="C39" s="14" t="inlineStr">
        <is>
          <t>(-) COGS</t>
        </is>
      </c>
      <c r="G39" s="32">
        <f>-G19*Control!$E$22</f>
        <v>-53265137.5</v>
      </c>
      <c r="H39" s="32">
        <f>-H19*Control!$E$22</f>
        <v>-49797062.5</v>
      </c>
      <c r="I39" s="32">
        <f>-I19*Control!$E$22</f>
        <v>-59081300</v>
      </c>
      <c r="J39" s="32">
        <f>-J19*Control!$E$22</f>
        <v>-63375162.5</v>
      </c>
      <c r="K39" s="32">
        <f>-K19*Control!$E$22</f>
        <v>-70937800</v>
      </c>
      <c r="L39" s="32">
        <f>-L19*Control!$E$22</f>
        <v>-76591800</v>
      </c>
      <c r="M39" s="32">
        <f>-M19*Control!$E$22</f>
        <v>-84622137.5</v>
      </c>
      <c r="N39" s="32">
        <f>-N19*Control!$E$22</f>
        <v>-86763618.30266</v>
      </c>
      <c r="O39" s="32">
        <f>-O19*Control!$E$22</f>
        <v>-92546294.6857406</v>
      </c>
      <c r="P39" s="32">
        <f>-P19*Control!$E$22</f>
        <v>-99220698.8333447</v>
      </c>
      <c r="Q39" s="32">
        <f>-Q19*Control!$E$22</f>
        <v>-108001429.221247</v>
      </c>
      <c r="R39" s="32">
        <f>-R19*Control!$E$22</f>
        <v>-116691735.968367</v>
      </c>
    </row>
    <row r="40">
      <c r="C40" s="3" t="inlineStr">
        <is>
          <t>Gross Margin</t>
        </is>
      </c>
      <c r="G40" s="30">
        <f>G37+G39</f>
        <v>35634087.5</v>
      </c>
      <c r="H40" s="30">
        <f>H37+H39</f>
        <v>35124150</v>
      </c>
      <c r="I40" s="30">
        <f>I37+I39</f>
        <v>33399012.5</v>
      </c>
      <c r="J40" s="30">
        <f>J37+J39</f>
        <v>35350837.5</v>
      </c>
      <c r="K40" s="30">
        <f>K37+K39</f>
        <v>39043225</v>
      </c>
      <c r="L40" s="30">
        <f>L37+L39</f>
        <v>44403100</v>
      </c>
      <c r="M40" s="30">
        <f>M37+M39</f>
        <v>48024150</v>
      </c>
      <c r="N40" s="30">
        <f>N37+N39</f>
        <v>54637324.17234</v>
      </c>
      <c r="O40" s="30">
        <f>O37+O39</f>
        <v>59318317.5324094</v>
      </c>
      <c r="P40" s="30">
        <f>P37+P39</f>
        <v>63730030.0767303</v>
      </c>
      <c r="Q40" s="30">
        <f>Q37+Q39</f>
        <v>67496505.8149036</v>
      </c>
      <c r="R40" s="30">
        <f>R37+R39</f>
        <v>70915556.5852779</v>
      </c>
    </row>
    <row r="41">
      <c r="C41" s="14" t="inlineStr">
        <is>
          <t>Margin (%)</t>
        </is>
      </c>
      <c r="G41" s="20">
        <f>IFERROR(G40/G$37,"N/A")</f>
        <v>0.40083687456218</v>
      </c>
      <c r="H41" s="20">
        <f>IFERROR(H40/H$37,"N/A")</f>
        <v>0.413608672862508</v>
      </c>
      <c r="I41" s="20">
        <f>IFERROR(I40/I$37,"N/A")</f>
        <v>0.361147271209751</v>
      </c>
      <c r="J41" s="20">
        <f>IFERROR(J40/J$37,"N/A")</f>
        <v>0.358070189210542</v>
      </c>
      <c r="K41" s="20">
        <f>IFERROR(K40/K$37,"N/A")</f>
        <v>0.354999646529936</v>
      </c>
      <c r="L41" s="20">
        <f>IFERROR(L40/L$37,"N/A")</f>
        <v>0.366983236483521</v>
      </c>
      <c r="M41" s="20">
        <f>IFERROR(M40/M$37,"N/A")</f>
        <v>0.362046695049796</v>
      </c>
      <c r="N41" s="20">
        <f>IFERROR(N40/N$37,"N/A")</f>
        <v>0.3864</v>
      </c>
      <c r="O41" s="20">
        <f>IFERROR(O40/O$37,"N/A")</f>
        <v>0.3906</v>
      </c>
      <c r="P41" s="20">
        <f>IFERROR(P40/P$37,"N/A")</f>
        <v>0.3911</v>
      </c>
      <c r="Q41" s="20">
        <f>IFERROR(Q40/Q$37,"N/A")</f>
        <v>0.3846</v>
      </c>
      <c r="R41" s="20">
        <f>IFERROR(R40/R$37,"N/A")</f>
        <v>0.378</v>
      </c>
    </row>
    <row r="42">
      <c r="C42" s="14" t="inlineStr">
        <is>
          <t>(-) Other Costs</t>
        </is>
      </c>
      <c r="G42" s="32">
        <f>-G21*Control!$E$22</f>
        <v>-3700762.5</v>
      </c>
      <c r="H42" s="32">
        <f>-H21*Control!$E$22</f>
        <v>-3423287.5</v>
      </c>
      <c r="I42" s="32">
        <f>-I21*Control!$E$22</f>
        <v>-3613462.5</v>
      </c>
      <c r="J42" s="32">
        <f>-J21*Control!$E$22</f>
        <v>-4059287.5</v>
      </c>
      <c r="K42" s="32">
        <f>-K21*Control!$E$22</f>
        <v>-4503687.5</v>
      </c>
      <c r="L42" s="32">
        <f>-L21*Control!$E$22</f>
        <v>-4694975</v>
      </c>
      <c r="M42" s="32">
        <f>-M21*Control!$E$22</f>
        <v>-5138437.5</v>
      </c>
      <c r="N42" s="32">
        <f>-N21*Control!$E$22</f>
        <v>-5656037.699</v>
      </c>
      <c r="O42" s="32">
        <f>-O21*Control!$E$22</f>
        <v>-6059398.02750419</v>
      </c>
      <c r="P42" s="32">
        <f>-P21*Control!$E$22</f>
        <v>-6501734.08351199</v>
      </c>
      <c r="Q42" s="32">
        <f>-Q21*Control!$E$22</f>
        <v>-7055016.98845326</v>
      </c>
      <c r="R42" s="32">
        <f>-R21*Control!$E$22</f>
        <v>-7466770.24363508</v>
      </c>
    </row>
    <row r="43">
      <c r="C43" s="14" t="inlineStr">
        <is>
          <t>(-) Trade Promotions</t>
        </is>
      </c>
      <c r="G43" s="32">
        <f>-G23*Control!$E$22</f>
        <v>-4845075</v>
      </c>
      <c r="H43" s="32">
        <f>-H23*Control!$E$22</f>
        <v>-4525712.5</v>
      </c>
      <c r="I43" s="32">
        <f>-I23*Control!$E$22</f>
        <v>-5102900</v>
      </c>
      <c r="J43" s="32">
        <f>-J23*Control!$E$22</f>
        <v>-5599237.5</v>
      </c>
      <c r="K43" s="32">
        <f>-K23*Control!$E$22</f>
        <v>-5792400</v>
      </c>
      <c r="L43" s="32">
        <f>-L23*Control!$E$22</f>
        <v>-6408900</v>
      </c>
      <c r="M43" s="32">
        <f>-M23*Control!$E$22</f>
        <v>-6923362.5</v>
      </c>
      <c r="N43" s="32">
        <f>-N23*Control!$E$22</f>
        <v>-7635650.89365</v>
      </c>
      <c r="O43" s="32">
        <f>-O23*Control!$E$22</f>
        <v>-8276621.36588918</v>
      </c>
      <c r="P43" s="32">
        <f>-P23*Control!$E$22</f>
        <v>-9011175.30872715</v>
      </c>
      <c r="Q43" s="32">
        <f>-Q23*Control!$E$22</f>
        <v>-9634836.63348468</v>
      </c>
      <c r="R43" s="32">
        <f>-R23*Control!$E$22</f>
        <v>-10243358.173429</v>
      </c>
    </row>
    <row r="44">
      <c r="C44" s="14" t="inlineStr">
        <is>
          <t>(-) Marketing Costs</t>
        </is>
      </c>
      <c r="G44" s="32">
        <f>-G25*Control!$E$22</f>
        <v>-3006275</v>
      </c>
      <c r="H44" s="32">
        <f>-H25*Control!$E$22</f>
        <v>-2805987.5</v>
      </c>
      <c r="I44" s="32">
        <f>-I25*Control!$E$22</f>
        <v>-3149275</v>
      </c>
      <c r="J44" s="32">
        <f>-J25*Control!$E$22</f>
        <v>-3720025</v>
      </c>
      <c r="K44" s="32">
        <f>-K25*Control!$E$22</f>
        <v>-3943050</v>
      </c>
      <c r="L44" s="32">
        <f>-L25*Control!$E$22</f>
        <v>-4106187.5</v>
      </c>
      <c r="M44" s="32">
        <f>-M25*Control!$E$22</f>
        <v>-4799412.5</v>
      </c>
      <c r="N44" s="32">
        <f>-N25*Control!$E$22</f>
        <v>-4977313.17512</v>
      </c>
      <c r="O44" s="32">
        <f>-O25*Control!$E$22</f>
        <v>-5284888.50519162</v>
      </c>
      <c r="P44" s="32">
        <f>-P25*Control!$E$22</f>
        <v>-5735865.65763464</v>
      </c>
      <c r="Q44" s="32">
        <f>-Q25*Control!$E$22</f>
        <v>-6054678.7587472</v>
      </c>
      <c r="R44" s="32">
        <f>-R25*Control!$E$22</f>
        <v>-6528733.78086685</v>
      </c>
    </row>
    <row r="45">
      <c r="C45" s="14" t="inlineStr">
        <is>
          <t>(-) Staff Costs</t>
        </is>
      </c>
      <c r="G45" s="32">
        <f>-G27*Control!$E$22</f>
        <v>-8023525</v>
      </c>
      <c r="H45" s="32">
        <f>-H27*Control!$E$22</f>
        <v>-7128900</v>
      </c>
      <c r="I45" s="32">
        <f>-I27*Control!$E$22</f>
        <v>-7984575</v>
      </c>
      <c r="J45" s="32">
        <f>-J27*Control!$E$22</f>
        <v>-8491600</v>
      </c>
      <c r="K45" s="32">
        <f>-K27*Control!$E$22</f>
        <v>-10532512.5</v>
      </c>
      <c r="L45" s="32">
        <f>-L27*Control!$E$22</f>
        <v>-11134450</v>
      </c>
      <c r="M45" s="32">
        <f>-M27*Control!$E$22</f>
        <v>-11714975</v>
      </c>
      <c r="N45" s="32">
        <f>-N27*Control!$E$22</f>
        <v>-12669524.44576</v>
      </c>
      <c r="O45" s="32">
        <f>-O27*Control!$E$22</f>
        <v>-13743747.4057426</v>
      </c>
      <c r="P45" s="32">
        <f>-P27*Control!$E$22</f>
        <v>-14535205.0187787</v>
      </c>
      <c r="Q45" s="32">
        <f>-Q27*Control!$E$22</f>
        <v>-15900112.9142753</v>
      </c>
      <c r="R45" s="32">
        <f>-R27*Control!$E$22</f>
        <v>-17053502.8931263</v>
      </c>
    </row>
    <row r="46">
      <c r="C46" s="14" t="inlineStr">
        <is>
          <t>(-) Taxes (operating)</t>
        </is>
      </c>
      <c r="G46" s="32">
        <f>-G29*Control!$E$22</f>
        <v>-865962.5</v>
      </c>
      <c r="H46" s="32">
        <f>-H29*Control!$E$22</f>
        <v>-827612.5</v>
      </c>
      <c r="I46" s="32">
        <f>-I29*Control!$E$22</f>
        <v>-937087.5</v>
      </c>
      <c r="J46" s="32">
        <f>-J29*Control!$E$22</f>
        <v>-961275</v>
      </c>
      <c r="K46" s="32">
        <f>-K29*Control!$E$22</f>
        <v>-1097975</v>
      </c>
      <c r="L46" s="32">
        <f>-L29*Control!$E$22</f>
        <v>-1222887.5</v>
      </c>
      <c r="M46" s="32">
        <f>-M29*Control!$E$22</f>
        <v>-1330000</v>
      </c>
      <c r="N46" s="32">
        <f>-N29*Control!$E$22</f>
        <v>-1385729.236255</v>
      </c>
      <c r="O46" s="32">
        <f>-O29*Control!$E$22</f>
        <v>-1518646.1221815</v>
      </c>
      <c r="P46" s="32">
        <f>-P29*Control!$E$22</f>
        <v>-1613212.21620974</v>
      </c>
      <c r="Q46" s="32">
        <f>-Q29*Control!$E$22</f>
        <v>-1772529.14386512</v>
      </c>
      <c r="R46" s="32">
        <f>-R29*Control!$E$22</f>
        <v>-1876072.92553645</v>
      </c>
    </row>
    <row r="47">
      <c r="C47" s="3" t="inlineStr">
        <is>
          <t>EBITDA</t>
        </is>
      </c>
      <c r="G47" s="30">
        <f>G40+G42+G43+G44+G45+G46</f>
        <v>15192487.5</v>
      </c>
      <c r="H47" s="30">
        <f>H40+H42+H43+H44+H45+H46</f>
        <v>16412650</v>
      </c>
      <c r="I47" s="30">
        <f>I40+I42+I43+I44+I45+I46</f>
        <v>12611712.5</v>
      </c>
      <c r="J47" s="30">
        <f>J40+J42+J43+J44+J45+J46</f>
        <v>12519412.5</v>
      </c>
      <c r="K47" s="30">
        <f>K40+K42+K43+K44+K45+K46</f>
        <v>13173600</v>
      </c>
      <c r="L47" s="30">
        <f>L40+L42+L43+L44+L45+L46</f>
        <v>16835700</v>
      </c>
      <c r="M47" s="30">
        <f>M40+M42+M43+M44+M45+M46</f>
        <v>18117962.5</v>
      </c>
      <c r="N47" s="30">
        <f>N40+N42+N43+N44+N45+N46</f>
        <v>22313068.722555</v>
      </c>
      <c r="O47" s="30">
        <f>O40+O42+O43+O44+O45+O46</f>
        <v>24435016.1059003</v>
      </c>
      <c r="P47" s="30">
        <f>P40+P42+P43+P44+P45+P46</f>
        <v>26332837.7918681</v>
      </c>
      <c r="Q47" s="30">
        <f>Q40+Q42+Q43+Q44+Q45+Q46</f>
        <v>27079331.3760781</v>
      </c>
      <c r="R47" s="30">
        <f>R40+R42+R43+R44+R45+R46</f>
        <v>27747118.5686841</v>
      </c>
    </row>
    <row r="48">
      <c r="C48" s="14" t="inlineStr">
        <is>
          <t>Margin (%)</t>
        </is>
      </c>
      <c r="G48" s="20">
        <f>IFERROR(G47/G$37,"N/A")</f>
        <v>0.170895612419568</v>
      </c>
      <c r="H48" s="20">
        <f>IFERROR(H47/H$37,"N/A")</f>
        <v>0.193269143442812</v>
      </c>
      <c r="I48" s="20">
        <f>IFERROR(I47/I$37,"N/A")</f>
        <v>0.136371862930286</v>
      </c>
      <c r="J48" s="20">
        <f>IFERROR(J47/J$37,"N/A")</f>
        <v>0.126809680327371</v>
      </c>
      <c r="K48" s="20">
        <f>IFERROR(K47/K$37,"N/A")</f>
        <v>0.119780662164223</v>
      </c>
      <c r="L48" s="20">
        <f>IFERROR(L47/L$37,"N/A")</f>
        <v>0.139143881271029</v>
      </c>
      <c r="M48" s="20">
        <f>IFERROR(M47/M$37,"N/A")</f>
        <v>0.136588538145103</v>
      </c>
      <c r="N48" s="20">
        <f>IFERROR(N47/N$37,"N/A")</f>
        <v>0.1578</v>
      </c>
      <c r="O48" s="20">
        <f>IFERROR(O47/O$37,"N/A")</f>
        <v>0.1609</v>
      </c>
      <c r="P48" s="20">
        <f>IFERROR(P47/P$37,"N/A")</f>
        <v>0.1616</v>
      </c>
      <c r="Q48" s="20">
        <f>IFERROR(Q47/Q$37,"N/A")</f>
        <v>0.1543</v>
      </c>
      <c r="R48" s="20">
        <f>IFERROR(R47/R$37,"N/A")</f>
        <v>0.1479</v>
      </c>
    </row>
    <row r="49">
      <c r="C49" s="14" t="inlineStr">
        <is>
          <t>(-) D&amp;A</t>
        </is>
      </c>
      <c r="G49" s="32">
        <f>-G31*Control!$E$22</f>
        <v>-2496425</v>
      </c>
      <c r="H49" s="32">
        <f>-H31*Control!$E$22</f>
        <v>-2291725</v>
      </c>
      <c r="I49" s="32">
        <f>-I31*Control!$E$22</f>
        <v>-2763200</v>
      </c>
      <c r="J49" s="32">
        <f>-J31*Control!$E$22</f>
        <v>-2789962.5</v>
      </c>
      <c r="K49" s="32">
        <f>-K31*Control!$E$22</f>
        <v>-3298462.5</v>
      </c>
      <c r="L49" s="32">
        <f>-L31*Control!$E$22</f>
        <v>-3402462.5</v>
      </c>
      <c r="M49" s="32">
        <f>-M31*Control!$E$22</f>
        <v>-3528850</v>
      </c>
      <c r="N49" s="32">
        <f>-N31*Control!$E$22</f>
        <v>-3888525.9180625</v>
      </c>
      <c r="O49" s="32">
        <f>-O31*Control!$E$22</f>
        <v>-4237022.68088639</v>
      </c>
      <c r="P49" s="32">
        <f>-P31*Control!$E$22</f>
        <v>-4546325.33659109</v>
      </c>
      <c r="Q49" s="32">
        <f>-Q31*Control!$E$22</f>
        <v>-4878842.59400499</v>
      </c>
      <c r="R49" s="32">
        <f>-R31*Control!$E$22</f>
        <v>-5196722.00373597</v>
      </c>
    </row>
    <row r="50">
      <c r="C50" s="3" t="inlineStr">
        <is>
          <t>EBIT</t>
        </is>
      </c>
      <c r="G50" s="31">
        <f>G47+G49</f>
        <v>12696062.5</v>
      </c>
      <c r="H50" s="31">
        <f>H47+H49</f>
        <v>14120925</v>
      </c>
      <c r="I50" s="31">
        <f>I47+I49</f>
        <v>9848512.5</v>
      </c>
      <c r="J50" s="31">
        <f>J47+J49</f>
        <v>9729450</v>
      </c>
      <c r="K50" s="31">
        <f>K47+K49</f>
        <v>9875137.5</v>
      </c>
      <c r="L50" s="31">
        <f>L47+L49</f>
        <v>13433237.5</v>
      </c>
      <c r="M50" s="31">
        <f>M47+M49</f>
        <v>14589112.5</v>
      </c>
      <c r="N50" s="31">
        <f>N47+N49</f>
        <v>18424542.8044925</v>
      </c>
      <c r="O50" s="31">
        <f>O47+O49</f>
        <v>20197993.4250139</v>
      </c>
      <c r="P50" s="31">
        <f>P47+P49</f>
        <v>21786512.455277</v>
      </c>
      <c r="Q50" s="31">
        <f>Q47+Q49</f>
        <v>22200488.7820731</v>
      </c>
      <c r="R50" s="31">
        <f>R47+R49</f>
        <v>22550396.5649481</v>
      </c>
    </row>
    <row r="51">
      <c r="C51" s="14" t="inlineStr">
        <is>
          <t>Margin (%)</t>
        </is>
      </c>
      <c r="G51" s="20">
        <f>IFERROR(G50/G$37,"N/A")</f>
        <v>0.142814096523339</v>
      </c>
      <c r="H51" s="20">
        <f>IFERROR(H50/H$37,"N/A")</f>
        <v>0.16628265876444</v>
      </c>
      <c r="I51" s="20">
        <f>IFERROR(I50/I$37,"N/A")</f>
        <v>0.106493071160416</v>
      </c>
      <c r="J51" s="20">
        <f>IFERROR(J50/J$37,"N/A")</f>
        <v>0.0985500273484189</v>
      </c>
      <c r="K51" s="20">
        <f>IFERROR(K50/K$37,"N/A")</f>
        <v>0.0897894659556046</v>
      </c>
      <c r="L51" s="20">
        <f>IFERROR(L50/L$37,"N/A")</f>
        <v>0.111023171224572</v>
      </c>
      <c r="M51" s="20">
        <f>IFERROR(M50/M$37,"N/A")</f>
        <v>0.109985079680425</v>
      </c>
      <c r="N51" s="20">
        <f>IFERROR(N50/N$37,"N/A")</f>
        <v>0.1303</v>
      </c>
      <c r="O51" s="20">
        <f>IFERROR(O50/O$37,"N/A")</f>
        <v>0.133</v>
      </c>
      <c r="P51" s="20">
        <f>IFERROR(P50/P$37,"N/A")</f>
        <v>0.1337</v>
      </c>
      <c r="Q51" s="20">
        <f>IFERROR(Q50/Q$37,"N/A")</f>
        <v>0.1265</v>
      </c>
      <c r="R51" s="20">
        <f>IFERROR(R50/R$37,"N/A")</f>
        <v>0.1202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3:R283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Tallowick Consumer Products – Combined Entity (USD)</t>
        </is>
      </c>
    </row>
    <row r="6">
      <c r="C6" s="3" t="inlineStr">
        <is>
          <t>Fiscal Year Ending</t>
        </is>
      </c>
      <c r="G6" s="22" t="n">
        <v>43830</v>
      </c>
      <c r="H6" s="22" t="n">
        <v>44196</v>
      </c>
      <c r="I6" s="22" t="n">
        <v>44561</v>
      </c>
      <c r="J6" s="22" t="n">
        <v>44926</v>
      </c>
      <c r="K6" s="22">
        <f>EOMONTH(J6,12)</f>
        <v>45291</v>
      </c>
      <c r="L6" s="22">
        <f>EOMONTH(K6,12)</f>
        <v>45657</v>
      </c>
      <c r="M6" s="22">
        <f>EOMONTH(L6,12)</f>
        <v>46022</v>
      </c>
      <c r="N6" s="22">
        <f>EOMONTH(M6,12)</f>
        <v>46387</v>
      </c>
      <c r="O6" s="22">
        <f>EOMONTH(N6,12)</f>
        <v>46752</v>
      </c>
      <c r="P6" s="22">
        <f>EOMONTH(O6,12)</f>
        <v>47118</v>
      </c>
      <c r="Q6" s="22">
        <f>EOMONTH(P6,12)</f>
        <v>47483</v>
      </c>
      <c r="R6" s="22">
        <f>EOMONTH(Q6,12)</f>
        <v>47848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</row>
    <row r="10">
      <c r="C10" s="12" t="inlineStr">
        <is>
          <t>Supporting Assumptions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Supporting Assumptions</t>
        </is>
      </c>
      <c r="E11" s="25" t="str">
        <f>"("&amp;Control!$E$23&amp;" in Actual)"</f>
        <v>(USD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14" t="inlineStr">
        <is>
          <t>Revenue Growth (%)</t>
        </is>
      </c>
      <c r="G12" s="48" t="str">
        <f>'1. Tallowick'!G15</f>
        <v>N/A</v>
      </c>
      <c r="H12" s="48">
        <f>'1. Tallowick'!H15</f>
        <v>-0.0447474373370521</v>
      </c>
      <c r="I12" s="48">
        <f>'1. Tallowick'!I15</f>
        <v>0.0890130955207451</v>
      </c>
      <c r="J12" s="48">
        <f>'1. Tallowick'!J15</f>
        <v>0.0675353200174362</v>
      </c>
      <c r="K12" s="48">
        <f>'1. Tallowick'!K15</f>
        <v>0.11400264368049</v>
      </c>
      <c r="L12" s="48">
        <f>'1. Tallowick'!L15</f>
        <v>0.100143411102051</v>
      </c>
      <c r="M12" s="48">
        <f>'1. Tallowick'!M15</f>
        <v>0.0962965174565209</v>
      </c>
      <c r="N12" s="19" t="n">
        <v>0.066</v>
      </c>
      <c r="O12" s="19" t="n">
        <v>0.074</v>
      </c>
      <c r="P12" s="19" t="n">
        <v>0.073</v>
      </c>
      <c r="Q12" s="19" t="n">
        <v>0.077</v>
      </c>
      <c r="R12" s="19" t="n">
        <v>0.06900000000000001</v>
      </c>
    </row>
    <row r="13">
      <c r="C13" s="3" t="inlineStr">
        <is>
          <t>Expenses (% of Sales):</t>
        </is>
      </c>
    </row>
    <row r="14">
      <c r="C14" s="14" t="inlineStr">
        <is>
          <t>COGS</t>
        </is>
      </c>
      <c r="G14" s="47">
        <f>'1. Tallowick'!G18</f>
        <v>0.59916312543782</v>
      </c>
      <c r="H14" s="47">
        <f>'1. Tallowick'!H18</f>
        <v>0.586391327137492</v>
      </c>
      <c r="I14" s="47">
        <f>'1. Tallowick'!I18</f>
        <v>0.638852728790249</v>
      </c>
      <c r="J14" s="47">
        <f>'1. Tallowick'!J18</f>
        <v>0.641929810789458</v>
      </c>
      <c r="K14" s="47">
        <f>'1. Tallowick'!K18</f>
        <v>0.645000353470065</v>
      </c>
      <c r="L14" s="47">
        <f>'1. Tallowick'!L18</f>
        <v>0.633016763516479</v>
      </c>
      <c r="M14" s="47">
        <f>'1. Tallowick'!M18</f>
        <v>0.637953304950205</v>
      </c>
      <c r="N14" s="19" t="n">
        <v>0.6136</v>
      </c>
      <c r="O14" s="19" t="n">
        <v>0.6094000000000001</v>
      </c>
      <c r="P14" s="19" t="n">
        <v>0.6089</v>
      </c>
      <c r="Q14" s="19" t="n">
        <v>0.6153999999999999</v>
      </c>
      <c r="R14" s="19" t="n">
        <v>0.622</v>
      </c>
    </row>
    <row r="15">
      <c r="C15" s="14" t="inlineStr">
        <is>
          <t>Other Costs</t>
        </is>
      </c>
      <c r="G15" s="47">
        <f>'1. Tallowick'!G20</f>
        <v>0.0416287374833695</v>
      </c>
      <c r="H15" s="47">
        <f>'1. Tallowick'!H20</f>
        <v>0.0403113356394906</v>
      </c>
      <c r="I15" s="47">
        <f>'1. Tallowick'!I20</f>
        <v>0.0390727756245417</v>
      </c>
      <c r="J15" s="47">
        <f>'1. Tallowick'!J20</f>
        <v>0.0411167017806859</v>
      </c>
      <c r="K15" s="47">
        <f>'1. Tallowick'!K20</f>
        <v>0.0409496774557247</v>
      </c>
      <c r="L15" s="47">
        <f>'1. Tallowick'!L20</f>
        <v>0.0388030817827859</v>
      </c>
      <c r="M15" s="47">
        <f>'1. Tallowick'!M20</f>
        <v>0.0387378915523738</v>
      </c>
      <c r="N15" s="19" t="n">
        <v>0.04</v>
      </c>
      <c r="O15" s="19" t="n">
        <v>0.0399</v>
      </c>
      <c r="P15" s="19" t="n">
        <v>0.0399</v>
      </c>
      <c r="Q15" s="19" t="n">
        <v>0.0402</v>
      </c>
      <c r="R15" s="19" t="n">
        <v>0.0398</v>
      </c>
    </row>
    <row r="16">
      <c r="C16" s="14" t="inlineStr">
        <is>
          <t>Trade Promotions</t>
        </is>
      </c>
      <c r="G16" s="47">
        <f>'1. Tallowick'!G22</f>
        <v>0.0545007563339275</v>
      </c>
      <c r="H16" s="47">
        <f>'1. Tallowick'!H22</f>
        <v>0.0532930744482717</v>
      </c>
      <c r="I16" s="47">
        <f>'1. Tallowick'!I22</f>
        <v>0.0551782305017622</v>
      </c>
      <c r="J16" s="47">
        <f>'1. Tallowick'!J22</f>
        <v>0.0567149231205559</v>
      </c>
      <c r="K16" s="47">
        <f>'1. Tallowick'!K22</f>
        <v>0.0526672669217258</v>
      </c>
      <c r="L16" s="47">
        <f>'1. Tallowick'!L22</f>
        <v>0.052968348252695</v>
      </c>
      <c r="M16" s="47">
        <f>'1. Tallowick'!M22</f>
        <v>0.0521941671379231</v>
      </c>
      <c r="N16" s="19" t="n">
        <v>0.054</v>
      </c>
      <c r="O16" s="19" t="n">
        <v>0.0545</v>
      </c>
      <c r="P16" s="19" t="n">
        <v>0.0553</v>
      </c>
      <c r="Q16" s="19" t="n">
        <v>0.0549</v>
      </c>
      <c r="R16" s="19" t="n">
        <v>0.0546</v>
      </c>
    </row>
    <row r="17">
      <c r="C17" s="14" t="inlineStr">
        <is>
          <t>Marketing Costs</t>
        </is>
      </c>
      <c r="G17" s="47">
        <f>'1. Tallowick'!G24</f>
        <v>0.0338166615063292</v>
      </c>
      <c r="H17" s="47">
        <f>'1. Tallowick'!H24</f>
        <v>0.0330422448925821</v>
      </c>
      <c r="I17" s="47">
        <f>'1. Tallowick'!I24</f>
        <v>0.0340534640818823</v>
      </c>
      <c r="J17" s="47">
        <f>'1. Tallowick'!J24</f>
        <v>0.0376802969835707</v>
      </c>
      <c r="K17" s="47">
        <f>'1. Tallowick'!K24</f>
        <v>0.0358520935770511</v>
      </c>
      <c r="L17" s="47">
        <f>'1. Tallowick'!L24</f>
        <v>0.0339368642810565</v>
      </c>
      <c r="M17" s="47">
        <f>'1. Tallowick'!M24</f>
        <v>0.0361820341183691</v>
      </c>
      <c r="N17" s="19" t="n">
        <v>0.0352</v>
      </c>
      <c r="O17" s="19" t="n">
        <v>0.0348</v>
      </c>
      <c r="P17" s="19" t="n">
        <v>0.0352</v>
      </c>
      <c r="Q17" s="19" t="n">
        <v>0.0345</v>
      </c>
      <c r="R17" s="19" t="n">
        <v>0.0348</v>
      </c>
    </row>
    <row r="18">
      <c r="C18" s="14" t="inlineStr">
        <is>
          <t>Staff Costs</t>
        </is>
      </c>
      <c r="G18" s="47">
        <f>'1. Tallowick'!G26</f>
        <v>0.0902541613832966</v>
      </c>
      <c r="H18" s="47">
        <f>'1. Tallowick'!H26</f>
        <v>0.083947223433721</v>
      </c>
      <c r="I18" s="47">
        <f>'1. Tallowick'!I26</f>
        <v>0.0863381057454796</v>
      </c>
      <c r="J18" s="47">
        <f>'1. Tallowick'!J26</f>
        <v>0.0860117902072402</v>
      </c>
      <c r="K18" s="47">
        <f>'1. Tallowick'!K26</f>
        <v>0.0957666333806218</v>
      </c>
      <c r="L18" s="47">
        <f>'1. Tallowick'!L26</f>
        <v>0.0920241266367426</v>
      </c>
      <c r="M18" s="47">
        <f>'1. Tallowick'!M26</f>
        <v>0.0883173982536074</v>
      </c>
      <c r="N18" s="19" t="n">
        <v>0.0896</v>
      </c>
      <c r="O18" s="19" t="n">
        <v>0.0905</v>
      </c>
      <c r="P18" s="19" t="n">
        <v>0.0892</v>
      </c>
      <c r="Q18" s="19" t="n">
        <v>0.0906</v>
      </c>
      <c r="R18" s="19" t="n">
        <v>0.09089999999999999</v>
      </c>
    </row>
    <row r="19">
      <c r="C19" s="14" t="inlineStr">
        <is>
          <t>Taxes (operating)</t>
        </is>
      </c>
      <c r="G19" s="47">
        <f>'1. Tallowick'!G28</f>
        <v>0.00974094543568856</v>
      </c>
      <c r="H19" s="47">
        <f>'1. Tallowick'!H28</f>
        <v>0.00974565100563066</v>
      </c>
      <c r="I19" s="47">
        <f>'1. Tallowick'!I28</f>
        <v>0.0101328323257991</v>
      </c>
      <c r="J19" s="47">
        <f>'1. Tallowick'!J28</f>
        <v>0.00973679679111885</v>
      </c>
      <c r="K19" s="47">
        <f>'1. Tallowick'!K28</f>
        <v>0.00998331303058869</v>
      </c>
      <c r="L19" s="47">
        <f>'1. Tallowick'!L28</f>
        <v>0.0101069342592126</v>
      </c>
      <c r="M19" s="47">
        <f>'1. Tallowick'!M28</f>
        <v>0.0100266658424194</v>
      </c>
      <c r="N19" s="19" t="n">
        <v>0.0098</v>
      </c>
      <c r="O19" s="19" t="n">
        <v>0.01</v>
      </c>
      <c r="P19" s="19" t="n">
        <v>0.009900000000000001</v>
      </c>
      <c r="Q19" s="19" t="n">
        <v>0.0101</v>
      </c>
      <c r="R19" s="19" t="n">
        <v>0.01</v>
      </c>
    </row>
    <row r="20">
      <c r="C20" s="14" t="inlineStr">
        <is>
          <t>D&amp;A</t>
        </is>
      </c>
      <c r="G20" s="47">
        <f>'1. Tallowick'!G30</f>
        <v>0.0280815158962297</v>
      </c>
      <c r="H20" s="47">
        <f>'1. Tallowick'!H30</f>
        <v>0.0269864846783717</v>
      </c>
      <c r="I20" s="47">
        <f>'1. Tallowick'!I30</f>
        <v>0.0298787917698699</v>
      </c>
      <c r="J20" s="47">
        <f>'1. Tallowick'!J30</f>
        <v>0.0282596529789518</v>
      </c>
      <c r="K20" s="47">
        <f>'1. Tallowick'!K30</f>
        <v>0.0299911962086187</v>
      </c>
      <c r="L20" s="47">
        <f>'1. Tallowick'!L30</f>
        <v>0.0281207100464565</v>
      </c>
      <c r="M20" s="47">
        <f>'1. Tallowick'!M30</f>
        <v>0.0266034584646781</v>
      </c>
      <c r="N20" s="19" t="n">
        <v>0.0275</v>
      </c>
      <c r="O20" s="19" t="n">
        <v>0.0279</v>
      </c>
      <c r="P20" s="19" t="n">
        <v>0.0279</v>
      </c>
      <c r="Q20" s="19" t="n">
        <v>0.0278</v>
      </c>
      <c r="R20" s="19" t="n">
        <v>0.0277</v>
      </c>
    </row>
    <row r="21">
      <c r="C21" s="14" t="inlineStr">
        <is>
          <t>Tax Rate (%)</t>
        </is>
      </c>
      <c r="G21" s="19" t="n">
        <v>0.243</v>
      </c>
      <c r="H21" s="19" t="n">
        <v>0.259</v>
      </c>
      <c r="I21" s="19" t="n">
        <v>0.25</v>
      </c>
      <c r="J21" s="19" t="n">
        <v>0.248</v>
      </c>
      <c r="K21" s="19" t="n">
        <v>0.24</v>
      </c>
      <c r="L21" s="19" t="n">
        <v>0.243</v>
      </c>
      <c r="M21" s="19" t="n">
        <v>0.249</v>
      </c>
      <c r="N21" s="19" t="n">
        <v>0.25</v>
      </c>
      <c r="O21" s="19" t="n">
        <v>0.25</v>
      </c>
      <c r="P21" s="19" t="n">
        <v>0.25</v>
      </c>
      <c r="Q21" s="19" t="n">
        <v>0.25</v>
      </c>
      <c r="R21" s="19" t="n">
        <v>0.25</v>
      </c>
    </row>
    <row r="22">
      <c r="C22" s="3" t="inlineStr">
        <is>
          <t>Non-Current Assets:</t>
        </is>
      </c>
    </row>
    <row r="23">
      <c r="C23" s="14" t="inlineStr">
        <is>
          <t>Gross Tangible &amp; Intangible Assets (memo)</t>
        </is>
      </c>
      <c r="G23" s="8">
        <f>G221</f>
        <v>23975000</v>
      </c>
      <c r="H23" s="8">
        <f>H221</f>
        <v>25867000</v>
      </c>
      <c r="I23" s="8">
        <f>I221</f>
        <v>29000000</v>
      </c>
      <c r="J23" s="8">
        <f>J221</f>
        <v>30667000</v>
      </c>
      <c r="K23" s="8">
        <f>K221</f>
        <v>33251000</v>
      </c>
      <c r="L23" s="8">
        <f>L221</f>
        <v>35655000</v>
      </c>
      <c r="M23" s="8">
        <f>M221</f>
        <v>37517000</v>
      </c>
      <c r="N23" s="8">
        <f>N221</f>
        <v>42324632.04415</v>
      </c>
      <c r="O23" s="8">
        <f>O221</f>
        <v>50592164.247349</v>
      </c>
      <c r="P23" s="8">
        <f>P221</f>
        <v>58825654.239138</v>
      </c>
      <c r="Q23" s="8">
        <f>Q221</f>
        <v>66433345.3910641</v>
      </c>
      <c r="R23" s="8">
        <f>R221</f>
        <v>72400328.7122888</v>
      </c>
    </row>
    <row r="24">
      <c r="C24" s="14" t="inlineStr">
        <is>
          <t>Depreciation % of Gross (implied)</t>
        </is>
      </c>
      <c r="G24" s="28" t="inlineStr">
        <is>
          <t>N/A</t>
        </is>
      </c>
      <c r="H24" s="28">
        <f>IFERROR(H25/G221,"N/A")</f>
        <v>0.0955881126173097</v>
      </c>
      <c r="I24" s="28">
        <f>IFERROR(I25/H221,"N/A")</f>
        <v>0.106823365678277</v>
      </c>
      <c r="J24" s="28">
        <f>IFERROR(J25/I221,"N/A")</f>
        <v>0.0962056034482759</v>
      </c>
      <c r="K24" s="28">
        <f>IFERROR(K25/J221,"N/A")</f>
        <v>0.107557390680536</v>
      </c>
      <c r="L24" s="28">
        <f>IFERROR(L25/K221,"N/A")</f>
        <v>0.102326621755737</v>
      </c>
      <c r="M24" s="28">
        <f>IFERROR(M25/L221,"N/A")</f>
        <v>0.0989720936755013</v>
      </c>
      <c r="N24" s="20">
        <f>IFERROR(N25/M221,"N/A")</f>
        <v>0.10364703782452</v>
      </c>
      <c r="O24" s="20">
        <f>IFERROR(O25/N221,"N/A")</f>
        <v>0.102234147632347</v>
      </c>
      <c r="P24" s="20">
        <f>IFERROR(P25/O221,"N/A")</f>
        <v>0.0933469719441496</v>
      </c>
      <c r="Q24" s="20">
        <f>IFERROR(Q25/P221,"N/A")</f>
        <v>0.0869885865829836</v>
      </c>
      <c r="R24" s="20">
        <f>IFERROR(R25/Q221,"N/A")</f>
        <v>0.0820490881516061</v>
      </c>
    </row>
    <row r="25">
      <c r="C25" s="14" t="inlineStr">
        <is>
          <t>Annual Depreciation (memo)</t>
        </is>
      </c>
      <c r="G25" s="8">
        <f>-G210</f>
        <v>2496425</v>
      </c>
      <c r="H25" s="8">
        <f>-H210</f>
        <v>2291725</v>
      </c>
      <c r="I25" s="8">
        <f>-I210</f>
        <v>2763200</v>
      </c>
      <c r="J25" s="8">
        <f>-J210</f>
        <v>2789962.5</v>
      </c>
      <c r="K25" s="8">
        <f>-K210</f>
        <v>3298462.5</v>
      </c>
      <c r="L25" s="8">
        <f>-L210</f>
        <v>3402462.5</v>
      </c>
      <c r="M25" s="8">
        <f>-M210</f>
        <v>3528850</v>
      </c>
      <c r="N25" s="8">
        <f>-(N210+N211)</f>
        <v>3888525.9180625</v>
      </c>
      <c r="O25" s="8">
        <f>-(O210+O211)</f>
        <v>4327022.68088639</v>
      </c>
      <c r="P25" s="8">
        <f>-(P210+P211)</f>
        <v>4722625.33659109</v>
      </c>
      <c r="Q25" s="8">
        <f>-(Q210+Q211)</f>
        <v>5117160.51708191</v>
      </c>
      <c r="R25" s="8">
        <f>-(R210+R211)</f>
        <v>5450795.41219751</v>
      </c>
    </row>
    <row r="26">
      <c r="C26" s="14" t="inlineStr">
        <is>
          <t>Accumulated Depreciation (memo)</t>
        </is>
      </c>
      <c r="G26" s="8">
        <f>G222</f>
        <v>-9671000</v>
      </c>
      <c r="H26" s="8">
        <f>H222</f>
        <v>-10975000</v>
      </c>
      <c r="I26" s="8">
        <f>I222</f>
        <v>-11710000</v>
      </c>
      <c r="J26" s="8">
        <f>J222</f>
        <v>-13604000</v>
      </c>
      <c r="K26" s="8">
        <f>K222</f>
        <v>-14858000</v>
      </c>
      <c r="L26" s="8">
        <f>L222</f>
        <v>-15785000</v>
      </c>
      <c r="M26" s="8">
        <f>M222</f>
        <v>-16582000</v>
      </c>
      <c r="N26" s="8">
        <f>N222</f>
        <v>-20470525.9180625</v>
      </c>
      <c r="O26" s="8">
        <f>O222</f>
        <v>-24797548.5989489</v>
      </c>
      <c r="P26" s="8">
        <f>P222</f>
        <v>-29520173.93554</v>
      </c>
      <c r="Q26" s="8">
        <f>Q222</f>
        <v>-34637334.4526219</v>
      </c>
      <c r="R26" s="8">
        <f>R222</f>
        <v>-40088129.8648194</v>
      </c>
    </row>
    <row r="27">
      <c r="C27" s="3" t="inlineStr">
        <is>
          <t>Current Assets:</t>
        </is>
      </c>
    </row>
    <row r="28">
      <c r="C28" s="14" t="inlineStr">
        <is>
          <t>Inventories in Days of Purchases</t>
        </is>
      </c>
      <c r="G28" s="34">
        <f>IFERROR(G224/-G116*365,"N/A")</f>
        <v>42.4444600372993</v>
      </c>
      <c r="H28" s="34">
        <f>IFERROR(H224/-H116*365,"N/A")</f>
        <v>44.1324224696989</v>
      </c>
      <c r="I28" s="34">
        <f>IFERROR(I224/-I116*365,"N/A")</f>
        <v>40.7125435628532</v>
      </c>
      <c r="J28" s="34">
        <f>IFERROR(J224/-J116*365,"N/A")</f>
        <v>39.3248695812023</v>
      </c>
      <c r="K28" s="34">
        <f>IFERROR(K224/-K116*365,"N/A")</f>
        <v>38.8834302727178</v>
      </c>
      <c r="L28" s="34">
        <f>IFERROR(L224/-L116*365,"N/A")</f>
        <v>40.5450714045107</v>
      </c>
      <c r="M28" s="34">
        <f>IFERROR(M224/-M116*365,"N/A")</f>
        <v>38.470252538823</v>
      </c>
      <c r="N28" s="18" t="n">
        <v>66</v>
      </c>
      <c r="O28" s="18" t="n">
        <v>65</v>
      </c>
      <c r="P28" s="18" t="n">
        <v>64</v>
      </c>
      <c r="Q28" s="18" t="n">
        <v>63</v>
      </c>
      <c r="R28" s="18" t="n">
        <v>62</v>
      </c>
    </row>
    <row r="29">
      <c r="C29" s="14" t="inlineStr">
        <is>
          <t>Inventory (memo)</t>
        </is>
      </c>
      <c r="G29" s="8">
        <f>G224</f>
        <v>6194000</v>
      </c>
      <c r="H29" s="8">
        <f>H224</f>
        <v>6021000</v>
      </c>
      <c r="I29" s="8">
        <f>I224</f>
        <v>6590000</v>
      </c>
      <c r="J29" s="8">
        <f>J224</f>
        <v>6828000</v>
      </c>
      <c r="K29" s="8">
        <f>K224</f>
        <v>7557000</v>
      </c>
      <c r="L29" s="8">
        <f>L224</f>
        <v>8508000</v>
      </c>
      <c r="M29" s="8">
        <f>M224</f>
        <v>8919000</v>
      </c>
      <c r="N29" s="8">
        <f>N224</f>
        <v>15688763.8574673</v>
      </c>
      <c r="O29" s="8">
        <f>O224</f>
        <v>16480846.9988305</v>
      </c>
      <c r="P29" s="8">
        <f>P224</f>
        <v>17397601.9872166</v>
      </c>
      <c r="Q29" s="8">
        <f>Q224</f>
        <v>18641342.5779139</v>
      </c>
      <c r="R29" s="8">
        <f>R224</f>
        <v>19821609.9453117</v>
      </c>
    </row>
    <row r="30">
      <c r="C30" s="14" t="inlineStr">
        <is>
          <t>Receivables in Days of Revenues</t>
        </is>
      </c>
      <c r="G30" s="34">
        <f>IFERROR(G225/G199*365,"N/A")</f>
        <v>21.7893350588827</v>
      </c>
      <c r="H30" s="34">
        <f>IFERROR(H225/H199*365,"N/A")</f>
        <v>23.0206322124758</v>
      </c>
      <c r="I30" s="34">
        <f>IFERROR(I225/I199*365,"N/A")</f>
        <v>22.8992522057059</v>
      </c>
      <c r="J30" s="34">
        <f>IFERROR(J225/J199*365,"N/A")</f>
        <v>23.3508903429694</v>
      </c>
      <c r="K30" s="34">
        <f>IFERROR(K225/K199*365,"N/A")</f>
        <v>23.1051674595686</v>
      </c>
      <c r="L30" s="34">
        <f>IFERROR(L225/L199*365,"N/A")</f>
        <v>21.931089657498</v>
      </c>
      <c r="M30" s="34">
        <f>IFERROR(M225/M199*365,"N/A")</f>
        <v>21.6006799285657</v>
      </c>
      <c r="N30" s="18" t="n">
        <v>39</v>
      </c>
      <c r="O30" s="18" t="n">
        <v>38</v>
      </c>
      <c r="P30" s="18" t="n">
        <v>38</v>
      </c>
      <c r="Q30" s="18" t="n">
        <v>37</v>
      </c>
      <c r="R30" s="18" t="n">
        <v>37</v>
      </c>
    </row>
    <row r="31">
      <c r="C31" s="14" t="inlineStr">
        <is>
          <t>Accounts Receivable (memo)</t>
        </is>
      </c>
      <c r="G31" s="8">
        <f>G225</f>
        <v>5307000</v>
      </c>
      <c r="H31" s="8">
        <f>H225</f>
        <v>5356000</v>
      </c>
      <c r="I31" s="8">
        <f>I225</f>
        <v>5802000</v>
      </c>
      <c r="J31" s="8">
        <f>J225</f>
        <v>6316000</v>
      </c>
      <c r="K31" s="8">
        <f>K225</f>
        <v>6962000</v>
      </c>
      <c r="L31" s="8">
        <f>L225</f>
        <v>7270000</v>
      </c>
      <c r="M31" s="8">
        <f>M225</f>
        <v>7850000</v>
      </c>
      <c r="N31" s="8">
        <f>N225</f>
        <v>15108593.8534932</v>
      </c>
      <c r="O31" s="8">
        <f>O225</f>
        <v>16227000.7240814</v>
      </c>
      <c r="P31" s="8">
        <f>P225</f>
        <v>17780489.8895725</v>
      </c>
      <c r="Q31" s="8">
        <f>Q225</f>
        <v>18880017.0746165</v>
      </c>
      <c r="R31" s="8">
        <f>R225</f>
        <v>20179491.5174506</v>
      </c>
    </row>
    <row r="32">
      <c r="C32" s="14" t="inlineStr">
        <is>
          <t>Days Other Current Assets Outstanding</t>
        </is>
      </c>
      <c r="G32" s="34">
        <f>IFERROR(G226/G199*365,"N/A")</f>
        <v>5.55511029483103</v>
      </c>
      <c r="H32" s="34">
        <f>IFERROR(H226/H199*365,"N/A")</f>
        <v>5.54884917593469</v>
      </c>
      <c r="I32" s="34">
        <f>IFERROR(I226/I199*365,"N/A")</f>
        <v>5.84519002355231</v>
      </c>
      <c r="J32" s="34">
        <f>IFERROR(J226/J199*365,"N/A")</f>
        <v>5.68983854303831</v>
      </c>
      <c r="K32" s="34">
        <f>IFERROR(K226/K199*365,"N/A")</f>
        <v>5.47594460044358</v>
      </c>
      <c r="L32" s="34">
        <f>IFERROR(L226/L199*365,"N/A")</f>
        <v>5.69846332366075</v>
      </c>
      <c r="M32" s="34">
        <f>IFERROR(M226/M199*365,"N/A")</f>
        <v>5.4373176482606</v>
      </c>
      <c r="N32" s="18" t="n">
        <v>10</v>
      </c>
      <c r="O32" s="18" t="n">
        <v>10</v>
      </c>
      <c r="P32" s="18" t="n">
        <v>10</v>
      </c>
      <c r="Q32" s="18" t="n">
        <v>10</v>
      </c>
      <c r="R32" s="18" t="n">
        <v>10</v>
      </c>
    </row>
    <row r="33">
      <c r="C33" s="14" t="inlineStr">
        <is>
          <t>Other Current Assets (memo)</t>
        </is>
      </c>
      <c r="G33" s="8">
        <f>G226</f>
        <v>1353000</v>
      </c>
      <c r="H33" s="8">
        <f>H226</f>
        <v>1291000</v>
      </c>
      <c r="I33" s="8">
        <f>I226</f>
        <v>1481000</v>
      </c>
      <c r="J33" s="8">
        <f>J226</f>
        <v>1539000</v>
      </c>
      <c r="K33" s="8">
        <f>K226</f>
        <v>1650000</v>
      </c>
      <c r="L33" s="8">
        <f>L226</f>
        <v>1889000</v>
      </c>
      <c r="M33" s="8">
        <f>M226</f>
        <v>1976000</v>
      </c>
      <c r="N33" s="8">
        <f>N226</f>
        <v>3873998.4239726</v>
      </c>
      <c r="O33" s="8">
        <f>O226</f>
        <v>4350263.34844247</v>
      </c>
      <c r="P33" s="8">
        <f>P226</f>
        <v>4915787.39784072</v>
      </c>
      <c r="Q33" s="8">
        <f>Q226</f>
        <v>5554436.06960067</v>
      </c>
      <c r="R33" s="8">
        <f>R226</f>
        <v>6134858.66462861</v>
      </c>
    </row>
    <row r="34">
      <c r="C34" s="3" t="inlineStr">
        <is>
          <t>Current Liabilities:</t>
        </is>
      </c>
    </row>
    <row r="35">
      <c r="C35" s="14" t="inlineStr">
        <is>
          <t>Accounts Payable in Days of Purchases &amp; Opex</t>
        </is>
      </c>
      <c r="G35" s="34">
        <f>IFERROR(G232/-(G116+G118)*365,"N/A")</f>
        <v>39.7575567137533</v>
      </c>
      <c r="H35" s="34">
        <f>IFERROR(H232/-(H116+H118)*365,"N/A")</f>
        <v>40.8822001358503</v>
      </c>
      <c r="I35" s="34">
        <f>IFERROR(I232/-(I116+I118)*365,"N/A")</f>
        <v>37.0852349907219</v>
      </c>
      <c r="J35" s="34">
        <f>IFERROR(J232/-(J116+J118)*365,"N/A")</f>
        <v>38.9332900320237</v>
      </c>
      <c r="K35" s="34">
        <f>IFERROR(K232/-(K116+K118)*365,"N/A")</f>
        <v>36.7702187738544</v>
      </c>
      <c r="L35" s="34">
        <f>IFERROR(L232/-(L116+L118)*365,"N/A")</f>
        <v>37.5297211631289</v>
      </c>
      <c r="M35" s="34">
        <f>IFERROR(M232/-(M116+M118)*365,"N/A")</f>
        <v>36.3818413596392</v>
      </c>
      <c r="N35" s="18" t="n">
        <v>64</v>
      </c>
      <c r="O35" s="18" t="n">
        <v>63</v>
      </c>
      <c r="P35" s="18" t="n">
        <v>63</v>
      </c>
      <c r="Q35" s="18" t="n">
        <v>62</v>
      </c>
      <c r="R35" s="18" t="n">
        <v>62</v>
      </c>
    </row>
    <row r="36">
      <c r="C36" s="14" t="inlineStr">
        <is>
          <t>Accounts Payable (memo)</t>
        </is>
      </c>
      <c r="G36" s="8">
        <f>G232</f>
        <v>6205000</v>
      </c>
      <c r="H36" s="8">
        <f>H232</f>
        <v>5961000</v>
      </c>
      <c r="I36" s="8">
        <f>I232</f>
        <v>6370000</v>
      </c>
      <c r="J36" s="8">
        <f>J232</f>
        <v>7193000</v>
      </c>
      <c r="K36" s="8">
        <f>K232</f>
        <v>7600000</v>
      </c>
      <c r="L36" s="8">
        <f>L232</f>
        <v>8358000</v>
      </c>
      <c r="M36" s="8">
        <f>M232</f>
        <v>8947000</v>
      </c>
      <c r="N36" s="8">
        <f>N232</f>
        <v>16205090.3674144</v>
      </c>
      <c r="O36" s="8">
        <f>O232</f>
        <v>17019612.7148888</v>
      </c>
      <c r="P36" s="8">
        <f>P232</f>
        <v>18247981.5719506</v>
      </c>
      <c r="Q36" s="8">
        <f>Q232</f>
        <v>19543834.698634</v>
      </c>
      <c r="R36" s="8">
        <f>R232</f>
        <v>21089938.0414908</v>
      </c>
    </row>
    <row r="37">
      <c r="C37" s="14" t="inlineStr">
        <is>
          <t>Days Other Current Liabilities Outstanding</t>
        </is>
      </c>
      <c r="G37" s="34">
        <f>IFERROR(G233/G199*365,"N/A")</f>
        <v>8.56464159276979</v>
      </c>
      <c r="H37" s="34">
        <f>IFERROR(H233/H199*365,"N/A")</f>
        <v>8.56181840314633</v>
      </c>
      <c r="I37" s="34">
        <f>IFERROR(I233/I199*365,"N/A")</f>
        <v>8.52505769809115</v>
      </c>
      <c r="J37" s="34">
        <f>IFERROR(J233/J199*365,"N/A")</f>
        <v>8.54030346615886</v>
      </c>
      <c r="K37" s="34">
        <f>IFERROR(K233/K199*365,"N/A")</f>
        <v>8.4694609820194</v>
      </c>
      <c r="L37" s="34">
        <f>IFERROR(L233/L199*365,"N/A")</f>
        <v>8.40742047805321</v>
      </c>
      <c r="M37" s="34">
        <f>IFERROR(M233/M199*365,"N/A")</f>
        <v>8.09819121398328</v>
      </c>
      <c r="N37" s="18" t="n">
        <v>15</v>
      </c>
      <c r="O37" s="18" t="n">
        <v>15</v>
      </c>
      <c r="P37" s="18" t="n">
        <v>15</v>
      </c>
      <c r="Q37" s="18" t="n">
        <v>15</v>
      </c>
      <c r="R37" s="18" t="n">
        <v>15</v>
      </c>
    </row>
    <row r="38">
      <c r="C38" s="14" t="inlineStr">
        <is>
          <t>Other Current Liabilities (memo)</t>
        </is>
      </c>
      <c r="G38" s="8">
        <f>G233</f>
        <v>2086000</v>
      </c>
      <c r="H38" s="8">
        <f>H233</f>
        <v>1992000</v>
      </c>
      <c r="I38" s="8">
        <f>I233</f>
        <v>2160000</v>
      </c>
      <c r="J38" s="8">
        <f>J233</f>
        <v>2310000</v>
      </c>
      <c r="K38" s="8">
        <f>K233</f>
        <v>2552000</v>
      </c>
      <c r="L38" s="8">
        <f>L233</f>
        <v>2787000</v>
      </c>
      <c r="M38" s="8">
        <f>M233</f>
        <v>2943000</v>
      </c>
      <c r="N38" s="8">
        <f>N233</f>
        <v>5810997.6359589</v>
      </c>
      <c r="O38" s="8">
        <f>O233</f>
        <v>6405395.0226637</v>
      </c>
      <c r="P38" s="8">
        <f>P233</f>
        <v>7018614.43009441</v>
      </c>
      <c r="Q38" s="8">
        <f>Q233</f>
        <v>7654060.97619587</v>
      </c>
      <c r="R38" s="8">
        <f>R233</f>
        <v>8180874.93950702</v>
      </c>
    </row>
    <row r="39">
      <c r="C39" s="3" t="inlineStr">
        <is>
          <t>Non-Current Liabilities:</t>
        </is>
      </c>
    </row>
    <row r="40">
      <c r="C40" s="14" t="inlineStr">
        <is>
          <t>New Loans (USD)</t>
        </is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2250000</v>
      </c>
      <c r="P40" s="26" t="n">
        <v>0</v>
      </c>
      <c r="Q40" s="26" t="n">
        <v>0</v>
      </c>
      <c r="R40" s="26" t="n">
        <v>0</v>
      </c>
    </row>
    <row r="41">
      <c r="C41" s="14" t="inlineStr">
        <is>
          <t>Mandatory Paydown of Existing Loans (% Previous Year)</t>
        </is>
      </c>
      <c r="G41" s="28" t="inlineStr">
        <is>
          <t>N/A</t>
        </is>
      </c>
      <c r="H41" s="28">
        <f>IFERROR(1-H230/G230,"N/A")</f>
        <v>0.084059633027523</v>
      </c>
      <c r="I41" s="28">
        <f>IFERROR(1-I230/H230,"N/A")</f>
        <v>0.105421309628146</v>
      </c>
      <c r="J41" s="28">
        <f>IFERROR(1-J230/I230,"N/A")</f>
        <v>0.0722183344996501</v>
      </c>
      <c r="K41" s="28">
        <f>IFERROR(1-K230/J230,"N/A")</f>
        <v>0.0902096847186604</v>
      </c>
      <c r="L41" s="28">
        <f>IFERROR(1-L230/K230,"N/A")</f>
        <v>0.109102967998673</v>
      </c>
      <c r="M41" s="28">
        <f>IFERROR(1-M230/L230,"N/A")</f>
        <v>0.161176251628513</v>
      </c>
      <c r="N41" s="19" t="n">
        <v>0.2</v>
      </c>
      <c r="O41" s="19" t="n">
        <v>0.2</v>
      </c>
      <c r="P41" s="19" t="n">
        <v>0.2</v>
      </c>
      <c r="Q41" s="19" t="n">
        <v>0.2</v>
      </c>
      <c r="R41" s="19" t="n">
        <v>0.2</v>
      </c>
    </row>
    <row r="42">
      <c r="C42" s="14" t="inlineStr">
        <is>
          <t>Interest Rate (%)</t>
        </is>
      </c>
      <c r="G42" s="28" t="inlineStr">
        <is>
          <t>N/A</t>
        </is>
      </c>
      <c r="H42" s="28">
        <f>IFERROR(-H213/G230,"N/A")</f>
        <v>0.107454128440367</v>
      </c>
      <c r="I42" s="28">
        <f>IFERROR(-I213/H230,"N/A")</f>
        <v>0.106422937273069</v>
      </c>
      <c r="J42" s="28">
        <f>IFERROR(-J213/I230,"N/A")</f>
        <v>0.110286913925822</v>
      </c>
      <c r="K42" s="28">
        <f>IFERROR(-K213/J230,"N/A")</f>
        <v>0.111932418162619</v>
      </c>
      <c r="L42" s="28">
        <f>IFERROR(-L213/K230,"N/A")</f>
        <v>0.109932017907478</v>
      </c>
      <c r="M42" s="28">
        <f>IFERROR(-M213/L230,"N/A")</f>
        <v>0.0977107761027359</v>
      </c>
      <c r="N42" s="19" t="n">
        <v>0.115</v>
      </c>
      <c r="O42" s="19" t="n">
        <v>0.115</v>
      </c>
      <c r="P42" s="19" t="n">
        <v>0.115</v>
      </c>
      <c r="Q42" s="19" t="n">
        <v>0.115</v>
      </c>
      <c r="R42" s="19" t="n">
        <v>0.115</v>
      </c>
    </row>
    <row r="43">
      <c r="C43" s="14" t="inlineStr">
        <is>
          <t>Average Debt Balance (memo only; interest uses opening balance)</t>
        </is>
      </c>
      <c r="G43" s="8">
        <f>G230</f>
        <v>8720000</v>
      </c>
      <c r="H43" s="8">
        <f>AVERAGE(G230,H230)</f>
        <v>8353500</v>
      </c>
      <c r="I43" s="8">
        <f>AVERAGE(H230,I230)</f>
        <v>7566000</v>
      </c>
      <c r="J43" s="8">
        <f>AVERAGE(I230,J230)</f>
        <v>6887000</v>
      </c>
      <c r="K43" s="8">
        <f>AVERAGE(J230,K230)</f>
        <v>6330000</v>
      </c>
      <c r="L43" s="8">
        <f>AVERAGE(K230,L230)</f>
        <v>5702000</v>
      </c>
      <c r="M43" s="8">
        <f>AVERAGE(L230,M230)</f>
        <v>4940000</v>
      </c>
      <c r="N43" s="8">
        <f>AVERAGE(M230,N230)</f>
        <v>4056300</v>
      </c>
      <c r="O43" s="8">
        <f>AVERAGE(N230,O230)</f>
        <v>4370040</v>
      </c>
      <c r="P43" s="8">
        <f>AVERAGE(O230,P230)</f>
        <v>4621032</v>
      </c>
      <c r="Q43" s="8">
        <f>AVERAGE(P230,Q230)</f>
        <v>3696825.6</v>
      </c>
      <c r="R43" s="8">
        <f>AVERAGE(Q230,R230)</f>
        <v>2957460.48</v>
      </c>
    </row>
    <row r="44">
      <c r="C44" s="14" t="inlineStr">
        <is>
          <t>Yield on Cash (%)</t>
        </is>
      </c>
      <c r="G44" s="28" t="inlineStr">
        <is>
          <t>N/A</t>
        </is>
      </c>
      <c r="H44" s="28">
        <f>IFERROR(H214/G227,"N/A")</f>
        <v>0.0202384177729613</v>
      </c>
      <c r="I44" s="28">
        <f>IFERROR(I214/H227,"N/A")</f>
        <v>0.0252400548696845</v>
      </c>
      <c r="J44" s="28">
        <f>IFERROR(J214/I227,"N/A")</f>
        <v>0.042040545031572</v>
      </c>
      <c r="K44" s="28">
        <f>IFERROR(K214/J227,"N/A")</f>
        <v>0.0174202664513524</v>
      </c>
      <c r="L44" s="28">
        <f>IFERROR(L214/K227,"N/A")</f>
        <v>0.0360575539568345</v>
      </c>
      <c r="M44" s="28">
        <f>IFERROR(M214/L227,"N/A")</f>
        <v>0.0351787538304392</v>
      </c>
      <c r="N44" s="19" t="n">
        <v>0.03</v>
      </c>
      <c r="O44" s="19" t="n">
        <v>0.03</v>
      </c>
      <c r="P44" s="19" t="n">
        <v>0.03</v>
      </c>
      <c r="Q44" s="19" t="n">
        <v>0.03</v>
      </c>
      <c r="R44" s="19" t="n">
        <v>0.03</v>
      </c>
    </row>
    <row r="45">
      <c r="C45" s="14" t="inlineStr">
        <is>
          <t>Other Non-Current Liabilities (% Growth)</t>
        </is>
      </c>
      <c r="G45" s="28" t="inlineStr">
        <is>
          <t>N/A</t>
        </is>
      </c>
      <c r="H45" s="28">
        <f>IFERROR(H231/G231-1,"N/A")</f>
        <v>-0.0588235294117647</v>
      </c>
      <c r="I45" s="28">
        <f>IFERROR(I231/H231-1,"N/A")</f>
        <v>0.112704918032787</v>
      </c>
      <c r="J45" s="28">
        <f>IFERROR(J231/I231-1,"N/A")</f>
        <v>0.0506445672191529</v>
      </c>
      <c r="K45" s="28">
        <f>IFERROR(K231/J231-1,"N/A")</f>
        <v>0.086765994741455</v>
      </c>
      <c r="L45" s="28">
        <f>IFERROR(L231/K231-1,"N/A")</f>
        <v>0.0943548387096773</v>
      </c>
      <c r="M45" s="28">
        <f>IFERROR(M231/L231-1,"N/A")</f>
        <v>0.136330140014738</v>
      </c>
      <c r="N45" s="19" t="n">
        <v>0.02</v>
      </c>
      <c r="O45" s="19" t="n">
        <v>0.02</v>
      </c>
      <c r="P45" s="19" t="n">
        <v>0.02</v>
      </c>
      <c r="Q45" s="19" t="n">
        <v>0.02</v>
      </c>
      <c r="R45" s="19" t="n">
        <v>0.02</v>
      </c>
    </row>
    <row r="46">
      <c r="C46" s="3" t="inlineStr">
        <is>
          <t>Organic CAPEX:</t>
        </is>
      </c>
    </row>
    <row r="47">
      <c r="C47" s="14" t="inlineStr">
        <is>
          <t>CAPEX (USD)</t>
        </is>
      </c>
      <c r="G47" s="26" t="n">
        <v>1883000</v>
      </c>
      <c r="H47" s="26" t="n">
        <v>1534000</v>
      </c>
      <c r="I47" s="26" t="n">
        <v>1879000</v>
      </c>
      <c r="J47" s="26" t="n">
        <v>2103000</v>
      </c>
      <c r="K47" s="26" t="n">
        <v>2060000</v>
      </c>
      <c r="L47" s="26" t="n">
        <v>2541000</v>
      </c>
      <c r="M47" s="26" t="n">
        <v>2475000</v>
      </c>
      <c r="N47" s="8">
        <f>N48*N114</f>
        <v>4807632.04415</v>
      </c>
      <c r="O47" s="8">
        <f>O48*O114</f>
        <v>5011532.20319895</v>
      </c>
      <c r="P47" s="8">
        <f>P48*P114</f>
        <v>5214423.3251224</v>
      </c>
      <c r="Q47" s="8">
        <f>Q48*Q114</f>
        <v>5615933.92115683</v>
      </c>
      <c r="R47" s="8">
        <f>R48*R114</f>
        <v>5628218.77660935</v>
      </c>
    </row>
    <row r="48">
      <c r="C48" s="14" t="inlineStr">
        <is>
          <t>CAPEX (% of Sales)</t>
        </is>
      </c>
      <c r="G48" s="20">
        <f>IFERROR(G47/G114,"N/A")</f>
        <v>0.0211812870134695</v>
      </c>
      <c r="H48" s="20">
        <f>IFERROR(H47/H114,"N/A")</f>
        <v>0.0180638023744656</v>
      </c>
      <c r="I48" s="20">
        <f>IFERROR(I47/I114,"N/A")</f>
        <v>0.0203178379182056</v>
      </c>
      <c r="J48" s="20">
        <f>IFERROR(J47/J114,"N/A")</f>
        <v>0.0213013795757956</v>
      </c>
      <c r="K48" s="20">
        <f>IFERROR(K47/K114,"N/A")</f>
        <v>0.0187305037391677</v>
      </c>
      <c r="L48" s="20">
        <f>IFERROR(L47/L114,"N/A")</f>
        <v>0.0210008851612754</v>
      </c>
      <c r="M48" s="20">
        <f>IFERROR(M47/M114,"N/A")</f>
        <v>0.0186586450826978</v>
      </c>
      <c r="N48" s="19" t="n">
        <v>0.034</v>
      </c>
      <c r="O48" s="19" t="n">
        <v>0.033</v>
      </c>
      <c r="P48" s="19" t="n">
        <v>0.032</v>
      </c>
      <c r="Q48" s="19" t="n">
        <v>0.032</v>
      </c>
      <c r="R48" s="19" t="n">
        <v>0.03</v>
      </c>
    </row>
    <row r="49">
      <c r="C49" s="3" t="inlineStr">
        <is>
          <t>Minimum Cash Sweep:</t>
        </is>
      </c>
    </row>
    <row r="50">
      <c r="C50" s="14" t="inlineStr">
        <is>
          <t>Minimum Cash (% of Revenue)</t>
        </is>
      </c>
      <c r="G50" s="20">
        <f>IFERROR(G227/G199,"N/A")</f>
        <v>0.0415189221278363</v>
      </c>
      <c r="H50" s="20">
        <f>IFERROR(H227/H199,"N/A")</f>
        <v>0.0343377103806661</v>
      </c>
      <c r="I50" s="20">
        <f>IFERROR(I227/I199,"N/A")</f>
        <v>0.0325366547609795</v>
      </c>
      <c r="J50" s="20">
        <f>IFERROR(J227/J199,"N/A")</f>
        <v>0.0501792840791686</v>
      </c>
      <c r="K50" s="20">
        <f>IFERROR(K227/K199,"N/A")</f>
        <v>0.0315963594629164</v>
      </c>
      <c r="L50" s="20">
        <f>IFERROR(L227/L199,"N/A")</f>
        <v>0.0404562506353574</v>
      </c>
      <c r="M50" s="20">
        <f>IFERROR(M227/M199,"N/A")</f>
        <v>0.0520632739156005</v>
      </c>
      <c r="N50" s="19" t="n">
        <v>0.03</v>
      </c>
      <c r="O50" s="19" t="n">
        <v>0.03</v>
      </c>
      <c r="P50" s="19" t="n">
        <v>0.03</v>
      </c>
      <c r="Q50" s="19" t="n">
        <v>0.03</v>
      </c>
      <c r="R50" s="19" t="n">
        <v>0.03</v>
      </c>
    </row>
    <row r="52">
      <c r="C52" s="3" t="inlineStr">
        <is>
          <t>2027 Add-On Acquisitions:</t>
        </is>
      </c>
    </row>
    <row r="53">
      <c r="C53" s="14" t="inlineStr">
        <is>
          <t>Toggle (On / Off)</t>
        </is>
      </c>
      <c r="E53" s="36" t="n">
        <v>1</v>
      </c>
    </row>
    <row r="54">
      <c r="C54" s="14" t="inlineStr">
        <is>
          <t>Acquired EBITDA (USD)</t>
        </is>
      </c>
      <c r="E54" s="26" t="n">
        <v>560000</v>
      </c>
    </row>
    <row r="55">
      <c r="C55" s="14" t="inlineStr">
        <is>
          <t>EBITDA Multiple</t>
        </is>
      </c>
      <c r="E55" s="21" t="n">
        <v>5.6</v>
      </c>
    </row>
    <row r="56">
      <c r="C56" s="14" t="inlineStr">
        <is>
          <t>Follow-On Equity Financed (%)</t>
        </is>
      </c>
      <c r="E56" s="19" t="n">
        <v>0.6</v>
      </c>
    </row>
    <row r="57">
      <c r="C57" s="14" t="inlineStr">
        <is>
          <t>Sales Growth (%)</t>
        </is>
      </c>
      <c r="E57" s="19" t="n">
        <v>0.07000000000000001</v>
      </c>
    </row>
    <row r="58">
      <c r="C58" s="14" t="inlineStr">
        <is>
          <t>Gross Profit Margin (%)</t>
        </is>
      </c>
      <c r="E58" s="19" t="n">
        <v>0.36</v>
      </c>
    </row>
    <row r="59">
      <c r="C59" s="14" t="inlineStr">
        <is>
          <t>EBITDA Margin (%)</t>
        </is>
      </c>
      <c r="E59" s="19" t="n">
        <v>0.14</v>
      </c>
    </row>
    <row r="60">
      <c r="C60" s="14" t="inlineStr">
        <is>
          <t>CAPEX (% of Sales)</t>
        </is>
      </c>
      <c r="E60" s="19" t="n">
        <v>0.03</v>
      </c>
    </row>
    <row r="61">
      <c r="C61" s="14" t="inlineStr">
        <is>
          <t>D&amp;A (% of CAPEX)</t>
        </is>
      </c>
      <c r="E61" s="19" t="n">
        <v>0.75</v>
      </c>
    </row>
    <row r="62">
      <c r="C62" s="14" t="inlineStr">
        <is>
          <t>Change in NWC (% of Sales)</t>
        </is>
      </c>
      <c r="E62" s="19" t="n">
        <v>0.02</v>
      </c>
    </row>
    <row r="64">
      <c r="C64" s="3" t="inlineStr">
        <is>
          <t>2028 Add-On Acquisitions:</t>
        </is>
      </c>
    </row>
    <row r="65">
      <c r="C65" s="14" t="inlineStr">
        <is>
          <t>Toggle (On / Off)</t>
        </is>
      </c>
      <c r="E65" s="36" t="n">
        <v>1</v>
      </c>
    </row>
    <row r="66">
      <c r="C66" s="14" t="inlineStr">
        <is>
          <t>Acquired EBITDA (USD)</t>
        </is>
      </c>
      <c r="E66" s="26" t="n">
        <v>480000</v>
      </c>
    </row>
    <row r="67">
      <c r="C67" s="14" t="inlineStr">
        <is>
          <t>EBITDA Multiple</t>
        </is>
      </c>
      <c r="E67" s="21" t="n">
        <v>5.8</v>
      </c>
    </row>
    <row r="68">
      <c r="C68" s="14" t="inlineStr">
        <is>
          <t>Follow-On Equity Financed (%)</t>
        </is>
      </c>
      <c r="E68" s="19" t="n">
        <v>0.65</v>
      </c>
    </row>
    <row r="69">
      <c r="C69" s="14" t="inlineStr">
        <is>
          <t>Sales Growth (%)</t>
        </is>
      </c>
      <c r="E69" s="19" t="n">
        <v>0.065</v>
      </c>
    </row>
    <row r="70">
      <c r="C70" s="14" t="inlineStr">
        <is>
          <t>Gross Profit Margin (%)</t>
        </is>
      </c>
      <c r="E70" s="19" t="n">
        <v>0.35</v>
      </c>
    </row>
    <row r="71">
      <c r="C71" s="14" t="inlineStr">
        <is>
          <t>EBITDA Margin (%)</t>
        </is>
      </c>
      <c r="E71" s="19" t="n">
        <v>0.135</v>
      </c>
    </row>
    <row r="72">
      <c r="C72" s="14" t="inlineStr">
        <is>
          <t>CAPEX (% of Sales)</t>
        </is>
      </c>
      <c r="E72" s="19" t="n">
        <v>0.03</v>
      </c>
    </row>
    <row r="73">
      <c r="C73" s="14" t="inlineStr">
        <is>
          <t>D&amp;A (% of CAPEX)</t>
        </is>
      </c>
      <c r="E73" s="19" t="n">
        <v>0.75</v>
      </c>
    </row>
    <row r="74">
      <c r="C74" s="14" t="inlineStr">
        <is>
          <t>Change in NWC (% of Sales)</t>
        </is>
      </c>
      <c r="E74" s="19" t="n">
        <v>0.02</v>
      </c>
    </row>
    <row r="76">
      <c r="C76" s="3" t="inlineStr">
        <is>
          <t>2029 Add-On Acquisitions:</t>
        </is>
      </c>
    </row>
    <row r="77">
      <c r="C77" s="14" t="inlineStr">
        <is>
          <t>Toggle (On / Off)</t>
        </is>
      </c>
      <c r="E77" s="36" t="n">
        <v>1</v>
      </c>
    </row>
    <row r="78">
      <c r="C78" s="14" t="inlineStr">
        <is>
          <t>Acquired EBITDA (USD)</t>
        </is>
      </c>
      <c r="E78" s="26" t="n">
        <v>310000</v>
      </c>
    </row>
    <row r="79">
      <c r="C79" s="14" t="inlineStr">
        <is>
          <t>EBITDA Multiple</t>
        </is>
      </c>
      <c r="E79" s="21" t="n">
        <v>5.4</v>
      </c>
    </row>
    <row r="80">
      <c r="C80" s="14" t="inlineStr">
        <is>
          <t>Follow-On Equity Financed (%)</t>
        </is>
      </c>
      <c r="E80" s="19" t="n">
        <v>0.6</v>
      </c>
    </row>
    <row r="81">
      <c r="C81" s="14" t="inlineStr">
        <is>
          <t>Sales Growth (%)</t>
        </is>
      </c>
      <c r="E81" s="19" t="n">
        <v>0.06</v>
      </c>
    </row>
    <row r="82">
      <c r="C82" s="14" t="inlineStr">
        <is>
          <t>Gross Profit Margin (%)</t>
        </is>
      </c>
      <c r="E82" s="19" t="n">
        <v>0.35</v>
      </c>
    </row>
    <row r="83">
      <c r="C83" s="14" t="inlineStr">
        <is>
          <t>EBITDA Margin (%)</t>
        </is>
      </c>
      <c r="E83" s="19" t="n">
        <v>0.13</v>
      </c>
    </row>
    <row r="84">
      <c r="C84" s="14" t="inlineStr">
        <is>
          <t>CAPEX (% of Sales)</t>
        </is>
      </c>
      <c r="E84" s="19" t="n">
        <v>0.028</v>
      </c>
    </row>
    <row r="85">
      <c r="C85" s="14" t="inlineStr">
        <is>
          <t>D&amp;A (% of CAPEX)</t>
        </is>
      </c>
      <c r="E85" s="19" t="n">
        <v>0.75</v>
      </c>
    </row>
    <row r="86">
      <c r="C86" s="14" t="inlineStr">
        <is>
          <t>Change in NWC (% of Sales)</t>
        </is>
      </c>
      <c r="E86" s="19" t="n">
        <v>0.02</v>
      </c>
    </row>
    <row r="88">
      <c r="C88" s="3" t="inlineStr">
        <is>
          <t>2030 Add-On Acquisitions:</t>
        </is>
      </c>
    </row>
    <row r="89">
      <c r="C89" s="14" t="inlineStr">
        <is>
          <t>Toggle (On / Off)</t>
        </is>
      </c>
      <c r="E89" s="36" t="n">
        <v>0</v>
      </c>
    </row>
    <row r="90">
      <c r="C90" s="14" t="inlineStr">
        <is>
          <t>Acquired EBITDA (USD)</t>
        </is>
      </c>
      <c r="E90" s="26" t="n">
        <v>250000</v>
      </c>
    </row>
    <row r="91">
      <c r="C91" s="14" t="inlineStr">
        <is>
          <t>EBITDA Multiple</t>
        </is>
      </c>
      <c r="E91" s="21" t="n">
        <v>5.5</v>
      </c>
    </row>
    <row r="92">
      <c r="C92" s="14" t="inlineStr">
        <is>
          <t>Follow-On Equity Financed (%)</t>
        </is>
      </c>
      <c r="E92" s="19" t="n">
        <v>0.6</v>
      </c>
    </row>
    <row r="93">
      <c r="C93" s="14" t="inlineStr">
        <is>
          <t>Sales Growth (%)</t>
        </is>
      </c>
      <c r="E93" s="19" t="n">
        <v>0.06</v>
      </c>
    </row>
    <row r="94">
      <c r="C94" s="14" t="inlineStr">
        <is>
          <t>Gross Profit Margin (%)</t>
        </is>
      </c>
      <c r="E94" s="19" t="n">
        <v>0.34</v>
      </c>
    </row>
    <row r="95">
      <c r="C95" s="14" t="inlineStr">
        <is>
          <t>EBITDA Margin (%)</t>
        </is>
      </c>
      <c r="E95" s="19" t="n">
        <v>0.13</v>
      </c>
    </row>
    <row r="96">
      <c r="C96" s="14" t="inlineStr">
        <is>
          <t>CAPEX (% of Sales)</t>
        </is>
      </c>
      <c r="E96" s="19" t="n">
        <v>0.028</v>
      </c>
    </row>
    <row r="97">
      <c r="C97" s="14" t="inlineStr">
        <is>
          <t>D&amp;A (% of CAPEX)</t>
        </is>
      </c>
      <c r="E97" s="19" t="n">
        <v>0.75</v>
      </c>
    </row>
    <row r="98">
      <c r="C98" s="14" t="inlineStr">
        <is>
          <t>Change in NWC (% of Sales)</t>
        </is>
      </c>
      <c r="E98" s="19" t="n">
        <v>0.02</v>
      </c>
    </row>
    <row r="100">
      <c r="C100" s="3" t="inlineStr">
        <is>
          <t>2031 Add-On Acquisitions:</t>
        </is>
      </c>
    </row>
    <row r="101">
      <c r="C101" s="14" t="inlineStr">
        <is>
          <t>Toggle (On / Off)</t>
        </is>
      </c>
      <c r="E101" s="36" t="n">
        <v>0</v>
      </c>
      <c r="F101" s="10" t="inlineStr">
        <is>
          <t>TO UPDATE – beyond model horizon</t>
        </is>
      </c>
    </row>
    <row r="102">
      <c r="C102" s="14" t="inlineStr">
        <is>
          <t>Acquired EBITDA (USD)</t>
        </is>
      </c>
      <c r="E102" s="26" t="n">
        <v>400000</v>
      </c>
    </row>
    <row r="103">
      <c r="C103" s="14" t="inlineStr">
        <is>
          <t>EBITDA Multiple</t>
        </is>
      </c>
      <c r="E103" s="21" t="n">
        <v>5.5</v>
      </c>
    </row>
    <row r="104">
      <c r="C104" s="14" t="inlineStr">
        <is>
          <t>Follow-On Equity Financed (%)</t>
        </is>
      </c>
      <c r="E104" s="19" t="n">
        <v>0.6</v>
      </c>
    </row>
    <row r="105">
      <c r="C105" s="14" t="inlineStr">
        <is>
          <t>Sales Growth (%)</t>
        </is>
      </c>
      <c r="E105" s="19" t="n">
        <v>0.06</v>
      </c>
    </row>
    <row r="106">
      <c r="C106" s="14" t="inlineStr">
        <is>
          <t>Gross Profit Margin (%)</t>
        </is>
      </c>
      <c r="E106" s="19" t="n">
        <v>0.34</v>
      </c>
    </row>
    <row r="107">
      <c r="C107" s="14" t="inlineStr">
        <is>
          <t>EBITDA Margin (%)</t>
        </is>
      </c>
      <c r="E107" s="19" t="n">
        <v>0.13</v>
      </c>
    </row>
    <row r="108">
      <c r="C108" s="14" t="inlineStr">
        <is>
          <t>CAPEX (% of Sales)</t>
        </is>
      </c>
      <c r="E108" s="19" t="n">
        <v>0.03</v>
      </c>
    </row>
    <row r="109">
      <c r="C109" s="14" t="inlineStr">
        <is>
          <t>D&amp;A (% of CAPEX)</t>
        </is>
      </c>
      <c r="E109" s="19" t="n">
        <v>0.75</v>
      </c>
    </row>
    <row r="110">
      <c r="C110" s="14" t="inlineStr">
        <is>
          <t>Change in NWC (% of Sales)</t>
        </is>
      </c>
      <c r="E110" s="19" t="n">
        <v>0.02</v>
      </c>
    </row>
    <row r="112">
      <c r="C112" s="12" t="inlineStr">
        <is>
          <t>Financial Statements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</row>
    <row r="113">
      <c r="C113" s="25" t="inlineStr">
        <is>
          <t>A</t>
        </is>
      </c>
      <c r="D113" s="25" t="inlineStr">
        <is>
          <t>Organic Business Income Statement</t>
        </is>
      </c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C114" s="3" t="inlineStr">
        <is>
          <t>Net Revenue</t>
        </is>
      </c>
      <c r="G114" s="35">
        <f>'1. Tallowick'!G37</f>
        <v>88899225</v>
      </c>
      <c r="H114" s="35">
        <f>'1. Tallowick'!H37</f>
        <v>84921212.5</v>
      </c>
      <c r="I114" s="35">
        <f>'1. Tallowick'!I37</f>
        <v>92480312.5</v>
      </c>
      <c r="J114" s="35">
        <f>'1. Tallowick'!J37</f>
        <v>98726000</v>
      </c>
      <c r="K114" s="35">
        <f>'1. Tallowick'!K37</f>
        <v>109981025</v>
      </c>
      <c r="L114" s="35">
        <f>'1. Tallowick'!L37</f>
        <v>120994900</v>
      </c>
      <c r="M114" s="35">
        <f>'1. Tallowick'!M37</f>
        <v>132646287.5</v>
      </c>
      <c r="N114" s="35">
        <f>'1. Tallowick'!N37</f>
        <v>141400942.475</v>
      </c>
      <c r="O114" s="35">
        <f>'1. Tallowick'!O37</f>
        <v>151864612.21815</v>
      </c>
      <c r="P114" s="35">
        <f>'1. Tallowick'!P37</f>
        <v>162950728.910075</v>
      </c>
      <c r="Q114" s="35">
        <f>'1. Tallowick'!Q37</f>
        <v>175497935.036151</v>
      </c>
      <c r="R114" s="35">
        <f>'1. Tallowick'!R37</f>
        <v>187607292.553645</v>
      </c>
    </row>
    <row r="115">
      <c r="C115" s="14" t="inlineStr">
        <is>
          <t>Growth (%)</t>
        </is>
      </c>
      <c r="G115" s="20" t="str">
        <f>IFERROR(G114/F114-1,"N/A")</f>
        <v>N/A</v>
      </c>
      <c r="H115" s="20">
        <f>IFERROR(H114/G114-1,"N/A")</f>
        <v>-0.0447474373370521</v>
      </c>
      <c r="I115" s="20">
        <f>IFERROR(I114/H114-1,"N/A")</f>
        <v>0.0890130955207451</v>
      </c>
      <c r="J115" s="20">
        <f>IFERROR(J114/I114-1,"N/A")</f>
        <v>0.0675353200174362</v>
      </c>
      <c r="K115" s="20">
        <f>IFERROR(K114/J114-1,"N/A")</f>
        <v>0.11400264368049</v>
      </c>
      <c r="L115" s="20">
        <f>IFERROR(L114/K114-1,"N/A")</f>
        <v>0.100143411102051</v>
      </c>
      <c r="M115" s="20">
        <f>IFERROR(M114/L114-1,"N/A")</f>
        <v>0.0962965174565209</v>
      </c>
      <c r="N115" s="20">
        <f>IFERROR(N114/M114-1,"N/A")</f>
        <v>0.0660000000000001</v>
      </c>
      <c r="O115" s="20">
        <f>IFERROR(O114/N114-1,"N/A")</f>
        <v>0.0740000000000003</v>
      </c>
      <c r="P115" s="20">
        <f>IFERROR(P114/O114-1,"N/A")</f>
        <v>0.073</v>
      </c>
      <c r="Q115" s="20">
        <f>IFERROR(Q114/P114-1,"N/A")</f>
        <v>0.077</v>
      </c>
      <c r="R115" s="20">
        <f>IFERROR(R114/Q114-1,"N/A")</f>
        <v>0.069</v>
      </c>
    </row>
    <row r="116">
      <c r="C116" s="14" t="inlineStr">
        <is>
          <t>(-) COGS</t>
        </is>
      </c>
      <c r="G116" s="32">
        <f>'1. Tallowick'!G39</f>
        <v>-53265137.5</v>
      </c>
      <c r="H116" s="32">
        <f>'1. Tallowick'!H39</f>
        <v>-49797062.5</v>
      </c>
      <c r="I116" s="32">
        <f>'1. Tallowick'!I39</f>
        <v>-59081300</v>
      </c>
      <c r="J116" s="32">
        <f>'1. Tallowick'!J39</f>
        <v>-63375162.5</v>
      </c>
      <c r="K116" s="32">
        <f>'1. Tallowick'!K39</f>
        <v>-70937800</v>
      </c>
      <c r="L116" s="32">
        <f>'1. Tallowick'!L39</f>
        <v>-76591800</v>
      </c>
      <c r="M116" s="32">
        <f>'1. Tallowick'!M39</f>
        <v>-84622137.5</v>
      </c>
      <c r="N116" s="32">
        <f>'1. Tallowick'!N39</f>
        <v>-86763618.30266</v>
      </c>
      <c r="O116" s="32">
        <f>'1. Tallowick'!O39</f>
        <v>-92546294.6857406</v>
      </c>
      <c r="P116" s="32">
        <f>'1. Tallowick'!P39</f>
        <v>-99220698.8333447</v>
      </c>
      <c r="Q116" s="32">
        <f>'1. Tallowick'!Q39</f>
        <v>-108001429.221247</v>
      </c>
      <c r="R116" s="32">
        <f>'1. Tallowick'!R39</f>
        <v>-116691735.968367</v>
      </c>
    </row>
    <row r="117">
      <c r="C117" s="3" t="inlineStr">
        <is>
          <t>Gross Margin</t>
        </is>
      </c>
      <c r="G117" s="30">
        <f>G114+G116</f>
        <v>35634087.5</v>
      </c>
      <c r="H117" s="30">
        <f>H114+H116</f>
        <v>35124150</v>
      </c>
      <c r="I117" s="30">
        <f>I114+I116</f>
        <v>33399012.5</v>
      </c>
      <c r="J117" s="30">
        <f>J114+J116</f>
        <v>35350837.5</v>
      </c>
      <c r="K117" s="30">
        <f>K114+K116</f>
        <v>39043225</v>
      </c>
      <c r="L117" s="30">
        <f>L114+L116</f>
        <v>44403100</v>
      </c>
      <c r="M117" s="30">
        <f>M114+M116</f>
        <v>48024150</v>
      </c>
      <c r="N117" s="30">
        <f>N114+N116</f>
        <v>54637324.17234</v>
      </c>
      <c r="O117" s="30">
        <f>O114+O116</f>
        <v>59318317.5324094</v>
      </c>
      <c r="P117" s="30">
        <f>P114+P116</f>
        <v>63730030.0767303</v>
      </c>
      <c r="Q117" s="30">
        <f>Q114+Q116</f>
        <v>67496505.8149036</v>
      </c>
      <c r="R117" s="30">
        <f>R114+R116</f>
        <v>70915556.5852779</v>
      </c>
    </row>
    <row r="118">
      <c r="C118" s="14" t="inlineStr">
        <is>
          <t>(-) Other Costs</t>
        </is>
      </c>
      <c r="G118" s="32">
        <f>'1. Tallowick'!G42</f>
        <v>-3700762.5</v>
      </c>
      <c r="H118" s="32">
        <f>'1. Tallowick'!H42</f>
        <v>-3423287.5</v>
      </c>
      <c r="I118" s="32">
        <f>'1. Tallowick'!I42</f>
        <v>-3613462.5</v>
      </c>
      <c r="J118" s="32">
        <f>'1. Tallowick'!J42</f>
        <v>-4059287.5</v>
      </c>
      <c r="K118" s="32">
        <f>'1. Tallowick'!K42</f>
        <v>-4503687.5</v>
      </c>
      <c r="L118" s="32">
        <f>'1. Tallowick'!L42</f>
        <v>-4694975</v>
      </c>
      <c r="M118" s="32">
        <f>'1. Tallowick'!M42</f>
        <v>-5138437.5</v>
      </c>
      <c r="N118" s="32">
        <f>'1. Tallowick'!N42</f>
        <v>-5656037.699</v>
      </c>
      <c r="O118" s="32">
        <f>'1. Tallowick'!O42</f>
        <v>-6059398.02750419</v>
      </c>
      <c r="P118" s="32">
        <f>'1. Tallowick'!P42</f>
        <v>-6501734.08351199</v>
      </c>
      <c r="Q118" s="32">
        <f>'1. Tallowick'!Q42</f>
        <v>-7055016.98845326</v>
      </c>
      <c r="R118" s="32">
        <f>'1. Tallowick'!R42</f>
        <v>-7466770.24363508</v>
      </c>
    </row>
    <row r="119">
      <c r="C119" s="14" t="inlineStr">
        <is>
          <t>(-) Trade Promotions</t>
        </is>
      </c>
      <c r="G119" s="32">
        <f>'1. Tallowick'!G43</f>
        <v>-4845075</v>
      </c>
      <c r="H119" s="32">
        <f>'1. Tallowick'!H43</f>
        <v>-4525712.5</v>
      </c>
      <c r="I119" s="32">
        <f>'1. Tallowick'!I43</f>
        <v>-5102900</v>
      </c>
      <c r="J119" s="32">
        <f>'1. Tallowick'!J43</f>
        <v>-5599237.5</v>
      </c>
      <c r="K119" s="32">
        <f>'1. Tallowick'!K43</f>
        <v>-5792400</v>
      </c>
      <c r="L119" s="32">
        <f>'1. Tallowick'!L43</f>
        <v>-6408900</v>
      </c>
      <c r="M119" s="32">
        <f>'1. Tallowick'!M43</f>
        <v>-6923362.5</v>
      </c>
      <c r="N119" s="32">
        <f>'1. Tallowick'!N43</f>
        <v>-7635650.89365</v>
      </c>
      <c r="O119" s="32">
        <f>'1. Tallowick'!O43</f>
        <v>-8276621.36588918</v>
      </c>
      <c r="P119" s="32">
        <f>'1. Tallowick'!P43</f>
        <v>-9011175.30872715</v>
      </c>
      <c r="Q119" s="32">
        <f>'1. Tallowick'!Q43</f>
        <v>-9634836.63348468</v>
      </c>
      <c r="R119" s="32">
        <f>'1. Tallowick'!R43</f>
        <v>-10243358.173429</v>
      </c>
    </row>
    <row r="120">
      <c r="C120" s="14" t="inlineStr">
        <is>
          <t>(-) Marketing Costs</t>
        </is>
      </c>
      <c r="G120" s="32">
        <f>'1. Tallowick'!G44</f>
        <v>-3006275</v>
      </c>
      <c r="H120" s="32">
        <f>'1. Tallowick'!H44</f>
        <v>-2805987.5</v>
      </c>
      <c r="I120" s="32">
        <f>'1. Tallowick'!I44</f>
        <v>-3149275</v>
      </c>
      <c r="J120" s="32">
        <f>'1. Tallowick'!J44</f>
        <v>-3720025</v>
      </c>
      <c r="K120" s="32">
        <f>'1. Tallowick'!K44</f>
        <v>-3943050</v>
      </c>
      <c r="L120" s="32">
        <f>'1. Tallowick'!L44</f>
        <v>-4106187.5</v>
      </c>
      <c r="M120" s="32">
        <f>'1. Tallowick'!M44</f>
        <v>-4799412.5</v>
      </c>
      <c r="N120" s="32">
        <f>'1. Tallowick'!N44</f>
        <v>-4977313.17512</v>
      </c>
      <c r="O120" s="32">
        <f>'1. Tallowick'!O44</f>
        <v>-5284888.50519162</v>
      </c>
      <c r="P120" s="32">
        <f>'1. Tallowick'!P44</f>
        <v>-5735865.65763464</v>
      </c>
      <c r="Q120" s="32">
        <f>'1. Tallowick'!Q44</f>
        <v>-6054678.7587472</v>
      </c>
      <c r="R120" s="32">
        <f>'1. Tallowick'!R44</f>
        <v>-6528733.78086685</v>
      </c>
    </row>
    <row r="121">
      <c r="C121" s="14" t="inlineStr">
        <is>
          <t>(-) Staff Costs</t>
        </is>
      </c>
      <c r="G121" s="32">
        <f>'1. Tallowick'!G45</f>
        <v>-8023525</v>
      </c>
      <c r="H121" s="32">
        <f>'1. Tallowick'!H45</f>
        <v>-7128900</v>
      </c>
      <c r="I121" s="32">
        <f>'1. Tallowick'!I45</f>
        <v>-7984575</v>
      </c>
      <c r="J121" s="32">
        <f>'1. Tallowick'!J45</f>
        <v>-8491600</v>
      </c>
      <c r="K121" s="32">
        <f>'1. Tallowick'!K45</f>
        <v>-10532512.5</v>
      </c>
      <c r="L121" s="32">
        <f>'1. Tallowick'!L45</f>
        <v>-11134450</v>
      </c>
      <c r="M121" s="32">
        <f>'1. Tallowick'!M45</f>
        <v>-11714975</v>
      </c>
      <c r="N121" s="32">
        <f>'1. Tallowick'!N45</f>
        <v>-12669524.44576</v>
      </c>
      <c r="O121" s="32">
        <f>'1. Tallowick'!O45</f>
        <v>-13743747.4057426</v>
      </c>
      <c r="P121" s="32">
        <f>'1. Tallowick'!P45</f>
        <v>-14535205.0187787</v>
      </c>
      <c r="Q121" s="32">
        <f>'1. Tallowick'!Q45</f>
        <v>-15900112.9142753</v>
      </c>
      <c r="R121" s="32">
        <f>'1. Tallowick'!R45</f>
        <v>-17053502.8931263</v>
      </c>
    </row>
    <row r="122">
      <c r="C122" s="14" t="inlineStr">
        <is>
          <t>(-) Taxes (operating)</t>
        </is>
      </c>
      <c r="G122" s="32">
        <f>'1. Tallowick'!G46</f>
        <v>-865962.5</v>
      </c>
      <c r="H122" s="32">
        <f>'1. Tallowick'!H46</f>
        <v>-827612.5</v>
      </c>
      <c r="I122" s="32">
        <f>'1. Tallowick'!I46</f>
        <v>-937087.5</v>
      </c>
      <c r="J122" s="32">
        <f>'1. Tallowick'!J46</f>
        <v>-961275</v>
      </c>
      <c r="K122" s="32">
        <f>'1. Tallowick'!K46</f>
        <v>-1097975</v>
      </c>
      <c r="L122" s="32">
        <f>'1. Tallowick'!L46</f>
        <v>-1222887.5</v>
      </c>
      <c r="M122" s="32">
        <f>'1. Tallowick'!M46</f>
        <v>-1330000</v>
      </c>
      <c r="N122" s="32">
        <f>'1. Tallowick'!N46</f>
        <v>-1385729.236255</v>
      </c>
      <c r="O122" s="32">
        <f>'1. Tallowick'!O46</f>
        <v>-1518646.1221815</v>
      </c>
      <c r="P122" s="32">
        <f>'1. Tallowick'!P46</f>
        <v>-1613212.21620974</v>
      </c>
      <c r="Q122" s="32">
        <f>'1. Tallowick'!Q46</f>
        <v>-1772529.14386512</v>
      </c>
      <c r="R122" s="32">
        <f>'1. Tallowick'!R46</f>
        <v>-1876072.92553645</v>
      </c>
    </row>
    <row r="123">
      <c r="C123" s="3" t="inlineStr">
        <is>
          <t>EBITDA</t>
        </is>
      </c>
      <c r="G123" s="30">
        <f>G117+G118+G119+G120+G121+G122</f>
        <v>15192487.5</v>
      </c>
      <c r="H123" s="30">
        <f>H117+H118+H119+H120+H121+H122</f>
        <v>16412650</v>
      </c>
      <c r="I123" s="30">
        <f>I117+I118+I119+I120+I121+I122</f>
        <v>12611712.5</v>
      </c>
      <c r="J123" s="30">
        <f>J117+J118+J119+J120+J121+J122</f>
        <v>12519412.5</v>
      </c>
      <c r="K123" s="30">
        <f>K117+K118+K119+K120+K121+K122</f>
        <v>13173600</v>
      </c>
      <c r="L123" s="30">
        <f>L117+L118+L119+L120+L121+L122</f>
        <v>16835700</v>
      </c>
      <c r="M123" s="30">
        <f>M117+M118+M119+M120+M121+M122</f>
        <v>18117962.5</v>
      </c>
      <c r="N123" s="30">
        <f>N117+N118+N119+N120+N121+N122</f>
        <v>22313068.722555</v>
      </c>
      <c r="O123" s="30">
        <f>O117+O118+O119+O120+O121+O122</f>
        <v>24435016.1059003</v>
      </c>
      <c r="P123" s="30">
        <f>P117+P118+P119+P120+P121+P122</f>
        <v>26332837.7918681</v>
      </c>
      <c r="Q123" s="30">
        <f>Q117+Q118+Q119+Q120+Q121+Q122</f>
        <v>27079331.3760781</v>
      </c>
      <c r="R123" s="30">
        <f>R117+R118+R119+R120+R121+R122</f>
        <v>27747118.5686841</v>
      </c>
    </row>
    <row r="124">
      <c r="C124" s="14" t="inlineStr">
        <is>
          <t>Margin (%)</t>
        </is>
      </c>
      <c r="G124" s="20">
        <f>IFERROR(G123/G$114,"N/A")</f>
        <v>0.170895612419568</v>
      </c>
      <c r="H124" s="20">
        <f>IFERROR(H123/H$114,"N/A")</f>
        <v>0.193269143442812</v>
      </c>
      <c r="I124" s="20">
        <f>IFERROR(I123/I$114,"N/A")</f>
        <v>0.136371862930286</v>
      </c>
      <c r="J124" s="20">
        <f>IFERROR(J123/J$114,"N/A")</f>
        <v>0.126809680327371</v>
      </c>
      <c r="K124" s="20">
        <f>IFERROR(K123/K$114,"N/A")</f>
        <v>0.119780662164223</v>
      </c>
      <c r="L124" s="20">
        <f>IFERROR(L123/L$114,"N/A")</f>
        <v>0.139143881271029</v>
      </c>
      <c r="M124" s="20">
        <f>IFERROR(M123/M$114,"N/A")</f>
        <v>0.136588538145103</v>
      </c>
      <c r="N124" s="20">
        <f>IFERROR(N123/N$114,"N/A")</f>
        <v>0.1578</v>
      </c>
      <c r="O124" s="20">
        <f>IFERROR(O123/O$114,"N/A")</f>
        <v>0.1609</v>
      </c>
      <c r="P124" s="20">
        <f>IFERROR(P123/P$114,"N/A")</f>
        <v>0.1616</v>
      </c>
      <c r="Q124" s="20">
        <f>IFERROR(Q123/Q$114,"N/A")</f>
        <v>0.1543</v>
      </c>
      <c r="R124" s="20">
        <f>IFERROR(R123/R$114,"N/A")</f>
        <v>0.1479</v>
      </c>
    </row>
    <row r="125">
      <c r="C125" s="14" t="inlineStr">
        <is>
          <t>(-) D&amp;A</t>
        </is>
      </c>
      <c r="G125" s="32">
        <f>'1. Tallowick'!G49</f>
        <v>-2496425</v>
      </c>
      <c r="H125" s="32">
        <f>'1. Tallowick'!H49</f>
        <v>-2291725</v>
      </c>
      <c r="I125" s="32">
        <f>'1. Tallowick'!I49</f>
        <v>-2763200</v>
      </c>
      <c r="J125" s="32">
        <f>'1. Tallowick'!J49</f>
        <v>-2789962.5</v>
      </c>
      <c r="K125" s="32">
        <f>'1. Tallowick'!K49</f>
        <v>-3298462.5</v>
      </c>
      <c r="L125" s="32">
        <f>'1. Tallowick'!L49</f>
        <v>-3402462.5</v>
      </c>
      <c r="M125" s="32">
        <f>'1. Tallowick'!M49</f>
        <v>-3528850</v>
      </c>
      <c r="N125" s="32">
        <f>'1. Tallowick'!N49</f>
        <v>-3888525.9180625</v>
      </c>
      <c r="O125" s="32">
        <f>'1. Tallowick'!O49</f>
        <v>-4237022.68088639</v>
      </c>
      <c r="P125" s="32">
        <f>'1. Tallowick'!P49</f>
        <v>-4546325.33659109</v>
      </c>
      <c r="Q125" s="32">
        <f>'1. Tallowick'!Q49</f>
        <v>-4878842.59400499</v>
      </c>
      <c r="R125" s="32">
        <f>'1. Tallowick'!R49</f>
        <v>-5196722.00373597</v>
      </c>
    </row>
    <row r="126">
      <c r="C126" s="3" t="inlineStr">
        <is>
          <t>EBIT</t>
        </is>
      </c>
      <c r="G126" s="31">
        <f>G123+G125</f>
        <v>12696062.5</v>
      </c>
      <c r="H126" s="31">
        <f>H123+H125</f>
        <v>14120925</v>
      </c>
      <c r="I126" s="31">
        <f>I123+I125</f>
        <v>9848512.5</v>
      </c>
      <c r="J126" s="31">
        <f>J123+J125</f>
        <v>9729450</v>
      </c>
      <c r="K126" s="31">
        <f>K123+K125</f>
        <v>9875137.5</v>
      </c>
      <c r="L126" s="31">
        <f>L123+L125</f>
        <v>13433237.5</v>
      </c>
      <c r="M126" s="31">
        <f>M123+M125</f>
        <v>14589112.5</v>
      </c>
      <c r="N126" s="31">
        <f>N123+N125</f>
        <v>18424542.8044925</v>
      </c>
      <c r="O126" s="31">
        <f>O123+O125</f>
        <v>20197993.4250139</v>
      </c>
      <c r="P126" s="31">
        <f>P123+P125</f>
        <v>21786512.455277</v>
      </c>
      <c r="Q126" s="31">
        <f>Q123+Q125</f>
        <v>22200488.7820731</v>
      </c>
      <c r="R126" s="31">
        <f>R123+R125</f>
        <v>22550396.5649481</v>
      </c>
    </row>
    <row r="128">
      <c r="C128" s="25" t="inlineStr">
        <is>
          <t>B</t>
        </is>
      </c>
      <c r="D128" s="25" t="inlineStr">
        <is>
          <t>Inorganic Add-On Acquisitions</t>
        </is>
      </c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</row>
    <row r="129">
      <c r="C129" s="3" t="inlineStr">
        <is>
          <t>Revenue:</t>
        </is>
      </c>
    </row>
    <row r="130">
      <c r="C130" s="14" t="inlineStr">
        <is>
          <t>2027 Acquisitions</t>
        </is>
      </c>
      <c r="G130" s="8">
        <f>IF(AND($E$53=1,G$7&gt;=2027),$E$54/$E$59*(1+$E$57)^(G$7-2027),0)</f>
        <v>0</v>
      </c>
      <c r="H130" s="8">
        <f>IF(AND($E$53=1,H$7&gt;=2027),$E$54/$E$59*(1+$E$57)^(H$7-2027),0)</f>
        <v>0</v>
      </c>
      <c r="I130" s="8">
        <f>IF(AND($E$53=1,I$7&gt;=2027),$E$54/$E$59*(1+$E$57)^(I$7-2027),0)</f>
        <v>0</v>
      </c>
      <c r="J130" s="8">
        <f>IF(AND($E$53=1,J$7&gt;=2027),$E$54/$E$59*(1+$E$57)^(J$7-2027),0)</f>
        <v>0</v>
      </c>
      <c r="K130" s="8">
        <f>IF(AND($E$53=1,K$7&gt;=2027),$E$54/$E$59*(1+$E$57)^(K$7-2027),0)</f>
        <v>0</v>
      </c>
      <c r="L130" s="8">
        <f>IF(AND($E$53=1,L$7&gt;=2027),$E$54/$E$59*(1+$E$57)^(L$7-2027),0)</f>
        <v>0</v>
      </c>
      <c r="M130" s="8">
        <f>IF(AND($E$53=1,M$7&gt;=2027),$E$54/$E$59*(1+$E$57)^(M$7-2027),0)</f>
        <v>0</v>
      </c>
      <c r="N130" s="8">
        <f>IF(AND($E$53=1,N$7&gt;=2027),$E$54/$E$59*(1+$E$57)^(N$7-2027),0)</f>
        <v>0</v>
      </c>
      <c r="O130" s="8">
        <f>IF(AND($E$53=1,O$7&gt;=2027),$E$54/$E$59*(1+$E$57)^(O$7-2027),0)</f>
        <v>4000000</v>
      </c>
      <c r="P130" s="8">
        <f>IF(AND($E$53=1,P$7&gt;=2027),$E$54/$E$59*(1+$E$57)^(P$7-2027),0)</f>
        <v>4280000</v>
      </c>
      <c r="Q130" s="8">
        <f>IF(AND($E$53=1,Q$7&gt;=2027),$E$54/$E$59*(1+$E$57)^(Q$7-2027),0)</f>
        <v>4579600</v>
      </c>
      <c r="R130" s="8">
        <f>IF(AND($E$53=1,R$7&gt;=2027),$E$54/$E$59*(1+$E$57)^(R$7-2027),0)</f>
        <v>4900172</v>
      </c>
    </row>
    <row r="131">
      <c r="C131" s="14" t="inlineStr">
        <is>
          <t>2028 Acquisitions</t>
        </is>
      </c>
      <c r="G131" s="8">
        <f>IF(AND($E$65=1,G$7&gt;=2028),$E$66/$E$71*(1+$E$69)^(G$7-2028),0)</f>
        <v>0</v>
      </c>
      <c r="H131" s="8">
        <f>IF(AND($E$65=1,H$7&gt;=2028),$E$66/$E$71*(1+$E$69)^(H$7-2028),0)</f>
        <v>0</v>
      </c>
      <c r="I131" s="8">
        <f>IF(AND($E$65=1,I$7&gt;=2028),$E$66/$E$71*(1+$E$69)^(I$7-2028),0)</f>
        <v>0</v>
      </c>
      <c r="J131" s="8">
        <f>IF(AND($E$65=1,J$7&gt;=2028),$E$66/$E$71*(1+$E$69)^(J$7-2028),0)</f>
        <v>0</v>
      </c>
      <c r="K131" s="8">
        <f>IF(AND($E$65=1,K$7&gt;=2028),$E$66/$E$71*(1+$E$69)^(K$7-2028),0)</f>
        <v>0</v>
      </c>
      <c r="L131" s="8">
        <f>IF(AND($E$65=1,L$7&gt;=2028),$E$66/$E$71*(1+$E$69)^(L$7-2028),0)</f>
        <v>0</v>
      </c>
      <c r="M131" s="8">
        <f>IF(AND($E$65=1,M$7&gt;=2028),$E$66/$E$71*(1+$E$69)^(M$7-2028),0)</f>
        <v>0</v>
      </c>
      <c r="N131" s="8">
        <f>IF(AND($E$65=1,N$7&gt;=2028),$E$66/$E$71*(1+$E$69)^(N$7-2028),0)</f>
        <v>0</v>
      </c>
      <c r="O131" s="8">
        <f>IF(AND($E$65=1,O$7&gt;=2028),$E$66/$E$71*(1+$E$69)^(O$7-2028),0)</f>
        <v>0</v>
      </c>
      <c r="P131" s="8">
        <f>IF(AND($E$65=1,P$7&gt;=2028),$E$66/$E$71*(1+$E$69)^(P$7-2028),0)</f>
        <v>3555555.55555556</v>
      </c>
      <c r="Q131" s="8">
        <f>IF(AND($E$65=1,Q$7&gt;=2028),$E$66/$E$71*(1+$E$69)^(Q$7-2028),0)</f>
        <v>3786666.66666667</v>
      </c>
      <c r="R131" s="8">
        <f>IF(AND($E$65=1,R$7&gt;=2028),$E$66/$E$71*(1+$E$69)^(R$7-2028),0)</f>
        <v>4032800</v>
      </c>
    </row>
    <row r="132">
      <c r="C132" s="14" t="inlineStr">
        <is>
          <t>2029 Acquisitions</t>
        </is>
      </c>
      <c r="G132" s="8">
        <f>IF(AND($E$77=1,G$7&gt;=2029),$E$78/$E$83*(1+$E$81)^(G$7-2029),0)</f>
        <v>0</v>
      </c>
      <c r="H132" s="8">
        <f>IF(AND($E$77=1,H$7&gt;=2029),$E$78/$E$83*(1+$E$81)^(H$7-2029),0)</f>
        <v>0</v>
      </c>
      <c r="I132" s="8">
        <f>IF(AND($E$77=1,I$7&gt;=2029),$E$78/$E$83*(1+$E$81)^(I$7-2029),0)</f>
        <v>0</v>
      </c>
      <c r="J132" s="8">
        <f>IF(AND($E$77=1,J$7&gt;=2029),$E$78/$E$83*(1+$E$81)^(J$7-2029),0)</f>
        <v>0</v>
      </c>
      <c r="K132" s="8">
        <f>IF(AND($E$77=1,K$7&gt;=2029),$E$78/$E$83*(1+$E$81)^(K$7-2029),0)</f>
        <v>0</v>
      </c>
      <c r="L132" s="8">
        <f>IF(AND($E$77=1,L$7&gt;=2029),$E$78/$E$83*(1+$E$81)^(L$7-2029),0)</f>
        <v>0</v>
      </c>
      <c r="M132" s="8">
        <f>IF(AND($E$77=1,M$7&gt;=2029),$E$78/$E$83*(1+$E$81)^(M$7-2029),0)</f>
        <v>0</v>
      </c>
      <c r="N132" s="8">
        <f>IF(AND($E$77=1,N$7&gt;=2029),$E$78/$E$83*(1+$E$81)^(N$7-2029),0)</f>
        <v>0</v>
      </c>
      <c r="O132" s="8">
        <f>IF(AND($E$77=1,O$7&gt;=2029),$E$78/$E$83*(1+$E$81)^(O$7-2029),0)</f>
        <v>0</v>
      </c>
      <c r="P132" s="8">
        <f>IF(AND($E$77=1,P$7&gt;=2029),$E$78/$E$83*(1+$E$81)^(P$7-2029),0)</f>
        <v>0</v>
      </c>
      <c r="Q132" s="8">
        <f>IF(AND($E$77=1,Q$7&gt;=2029),$E$78/$E$83*(1+$E$81)^(Q$7-2029),0)</f>
        <v>2384615.38461538</v>
      </c>
      <c r="R132" s="8">
        <f>IF(AND($E$77=1,R$7&gt;=2029),$E$78/$E$83*(1+$E$81)^(R$7-2029),0)</f>
        <v>2527692.30769231</v>
      </c>
    </row>
    <row r="133">
      <c r="C133" s="14" t="inlineStr">
        <is>
          <t>2030 Acquisitions</t>
        </is>
      </c>
      <c r="G133" s="8">
        <f>IF(AND($E$89=1,G$7&gt;=2030),$E$90/$E$95*(1+$E$93)^(G$7-2030),0)</f>
        <v>0</v>
      </c>
      <c r="H133" s="8">
        <f>IF(AND($E$89=1,H$7&gt;=2030),$E$90/$E$95*(1+$E$93)^(H$7-2030),0)</f>
        <v>0</v>
      </c>
      <c r="I133" s="8">
        <f>IF(AND($E$89=1,I$7&gt;=2030),$E$90/$E$95*(1+$E$93)^(I$7-2030),0)</f>
        <v>0</v>
      </c>
      <c r="J133" s="8">
        <f>IF(AND($E$89=1,J$7&gt;=2030),$E$90/$E$95*(1+$E$93)^(J$7-2030),0)</f>
        <v>0</v>
      </c>
      <c r="K133" s="8">
        <f>IF(AND($E$89=1,K$7&gt;=2030),$E$90/$E$95*(1+$E$93)^(K$7-2030),0)</f>
        <v>0</v>
      </c>
      <c r="L133" s="8">
        <f>IF(AND($E$89=1,L$7&gt;=2030),$E$90/$E$95*(1+$E$93)^(L$7-2030),0)</f>
        <v>0</v>
      </c>
      <c r="M133" s="8">
        <f>IF(AND($E$89=1,M$7&gt;=2030),$E$90/$E$95*(1+$E$93)^(M$7-2030),0)</f>
        <v>0</v>
      </c>
      <c r="N133" s="8">
        <f>IF(AND($E$89=1,N$7&gt;=2030),$E$90/$E$95*(1+$E$93)^(N$7-2030),0)</f>
        <v>0</v>
      </c>
      <c r="O133" s="8">
        <f>IF(AND($E$89=1,O$7&gt;=2030),$E$90/$E$95*(1+$E$93)^(O$7-2030),0)</f>
        <v>0</v>
      </c>
      <c r="P133" s="8">
        <f>IF(AND($E$89=1,P$7&gt;=2030),$E$90/$E$95*(1+$E$93)^(P$7-2030),0)</f>
        <v>0</v>
      </c>
      <c r="Q133" s="8">
        <f>IF(AND($E$89=1,Q$7&gt;=2030),$E$90/$E$95*(1+$E$93)^(Q$7-2030),0)</f>
        <v>0</v>
      </c>
      <c r="R133" s="8">
        <f>IF(AND($E$89=1,R$7&gt;=2030),$E$90/$E$95*(1+$E$93)^(R$7-2030),0)</f>
        <v>0</v>
      </c>
    </row>
    <row r="134">
      <c r="C134" s="14" t="inlineStr">
        <is>
          <t>2031 Acquisitions</t>
        </is>
      </c>
      <c r="G134" s="8">
        <f>IF(AND($E$101=1,G$7&gt;=2031),$E$102/$E$107*(1+$E$105)^(G$7-2031),0)</f>
        <v>0</v>
      </c>
      <c r="H134" s="8">
        <f>IF(AND($E$101=1,H$7&gt;=2031),$E$102/$E$107*(1+$E$105)^(H$7-2031),0)</f>
        <v>0</v>
      </c>
      <c r="I134" s="8">
        <f>IF(AND($E$101=1,I$7&gt;=2031),$E$102/$E$107*(1+$E$105)^(I$7-2031),0)</f>
        <v>0</v>
      </c>
      <c r="J134" s="8">
        <f>IF(AND($E$101=1,J$7&gt;=2031),$E$102/$E$107*(1+$E$105)^(J$7-2031),0)</f>
        <v>0</v>
      </c>
      <c r="K134" s="8">
        <f>IF(AND($E$101=1,K$7&gt;=2031),$E$102/$E$107*(1+$E$105)^(K$7-2031),0)</f>
        <v>0</v>
      </c>
      <c r="L134" s="8">
        <f>IF(AND($E$101=1,L$7&gt;=2031),$E$102/$E$107*(1+$E$105)^(L$7-2031),0)</f>
        <v>0</v>
      </c>
      <c r="M134" s="8">
        <f>IF(AND($E$101=1,M$7&gt;=2031),$E$102/$E$107*(1+$E$105)^(M$7-2031),0)</f>
        <v>0</v>
      </c>
      <c r="N134" s="8">
        <f>IF(AND($E$101=1,N$7&gt;=2031),$E$102/$E$107*(1+$E$105)^(N$7-2031),0)</f>
        <v>0</v>
      </c>
      <c r="O134" s="8">
        <f>IF(AND($E$101=1,O$7&gt;=2031),$E$102/$E$107*(1+$E$105)^(O$7-2031),0)</f>
        <v>0</v>
      </c>
      <c r="P134" s="8">
        <f>IF(AND($E$101=1,P$7&gt;=2031),$E$102/$E$107*(1+$E$105)^(P$7-2031),0)</f>
        <v>0</v>
      </c>
      <c r="Q134" s="8">
        <f>IF(AND($E$101=1,Q$7&gt;=2031),$E$102/$E$107*(1+$E$105)^(Q$7-2031),0)</f>
        <v>0</v>
      </c>
      <c r="R134" s="8">
        <f>IF(AND($E$101=1,R$7&gt;=2031),$E$102/$E$107*(1+$E$105)^(R$7-2031),0)</f>
        <v>0</v>
      </c>
    </row>
    <row r="135">
      <c r="C135" s="29" t="inlineStr">
        <is>
          <t>Total Revenue</t>
        </is>
      </c>
      <c r="G135" s="30">
        <f>SUM(G130:G134)</f>
        <v>0</v>
      </c>
      <c r="H135" s="30">
        <f>SUM(H130:H134)</f>
        <v>0</v>
      </c>
      <c r="I135" s="30">
        <f>SUM(I130:I134)</f>
        <v>0</v>
      </c>
      <c r="J135" s="30">
        <f>SUM(J130:J134)</f>
        <v>0</v>
      </c>
      <c r="K135" s="30">
        <f>SUM(K130:K134)</f>
        <v>0</v>
      </c>
      <c r="L135" s="30">
        <f>SUM(L130:L134)</f>
        <v>0</v>
      </c>
      <c r="M135" s="30">
        <f>SUM(M130:M134)</f>
        <v>0</v>
      </c>
      <c r="N135" s="30">
        <f>SUM(N130:N134)</f>
        <v>0</v>
      </c>
      <c r="O135" s="30">
        <f>SUM(O130:O134)</f>
        <v>4000000</v>
      </c>
      <c r="P135" s="30">
        <f>SUM(P130:P134)</f>
        <v>7835555.55555556</v>
      </c>
      <c r="Q135" s="30">
        <f>SUM(Q130:Q134)</f>
        <v>10750882.0512821</v>
      </c>
      <c r="R135" s="30">
        <f>SUM(R130:R134)</f>
        <v>11460664.3076923</v>
      </c>
    </row>
    <row r="137">
      <c r="C137" s="3" t="inlineStr">
        <is>
          <t>Gross Profit:</t>
        </is>
      </c>
    </row>
    <row r="138">
      <c r="C138" s="14" t="inlineStr">
        <is>
          <t>2027 Acquisitions</t>
        </is>
      </c>
      <c r="G138" s="8">
        <f>G130*$E$58</f>
        <v>0</v>
      </c>
      <c r="H138" s="8">
        <f>H130*$E$58</f>
        <v>0</v>
      </c>
      <c r="I138" s="8">
        <f>I130*$E$58</f>
        <v>0</v>
      </c>
      <c r="J138" s="8">
        <f>J130*$E$58</f>
        <v>0</v>
      </c>
      <c r="K138" s="8">
        <f>K130*$E$58</f>
        <v>0</v>
      </c>
      <c r="L138" s="8">
        <f>L130*$E$58</f>
        <v>0</v>
      </c>
      <c r="M138" s="8">
        <f>M130*$E$58</f>
        <v>0</v>
      </c>
      <c r="N138" s="8">
        <f>N130*$E$58</f>
        <v>0</v>
      </c>
      <c r="O138" s="8">
        <f>O130*$E$58</f>
        <v>1440000</v>
      </c>
      <c r="P138" s="8">
        <f>P130*$E$58</f>
        <v>1540800</v>
      </c>
      <c r="Q138" s="8">
        <f>Q130*$E$58</f>
        <v>1648656</v>
      </c>
      <c r="R138" s="8">
        <f>R130*$E$58</f>
        <v>1764061.92</v>
      </c>
    </row>
    <row r="139">
      <c r="C139" s="14" t="inlineStr">
        <is>
          <t>2028 Acquisitions</t>
        </is>
      </c>
      <c r="G139" s="8">
        <f>G131*$E$70</f>
        <v>0</v>
      </c>
      <c r="H139" s="8">
        <f>H131*$E$70</f>
        <v>0</v>
      </c>
      <c r="I139" s="8">
        <f>I131*$E$70</f>
        <v>0</v>
      </c>
      <c r="J139" s="8">
        <f>J131*$E$70</f>
        <v>0</v>
      </c>
      <c r="K139" s="8">
        <f>K131*$E$70</f>
        <v>0</v>
      </c>
      <c r="L139" s="8">
        <f>L131*$E$70</f>
        <v>0</v>
      </c>
      <c r="M139" s="8">
        <f>M131*$E$70</f>
        <v>0</v>
      </c>
      <c r="N139" s="8">
        <f>N131*$E$70</f>
        <v>0</v>
      </c>
      <c r="O139" s="8">
        <f>O131*$E$70</f>
        <v>0</v>
      </c>
      <c r="P139" s="8">
        <f>P131*$E$70</f>
        <v>1244444.44444444</v>
      </c>
      <c r="Q139" s="8">
        <f>Q131*$E$70</f>
        <v>1325333.33333333</v>
      </c>
      <c r="R139" s="8">
        <f>R131*$E$70</f>
        <v>1411480</v>
      </c>
    </row>
    <row r="140">
      <c r="C140" s="14" t="inlineStr">
        <is>
          <t>2029 Acquisitions</t>
        </is>
      </c>
      <c r="G140" s="8">
        <f>G132*$E$82</f>
        <v>0</v>
      </c>
      <c r="H140" s="8">
        <f>H132*$E$82</f>
        <v>0</v>
      </c>
      <c r="I140" s="8">
        <f>I132*$E$82</f>
        <v>0</v>
      </c>
      <c r="J140" s="8">
        <f>J132*$E$82</f>
        <v>0</v>
      </c>
      <c r="K140" s="8">
        <f>K132*$E$82</f>
        <v>0</v>
      </c>
      <c r="L140" s="8">
        <f>L132*$E$82</f>
        <v>0</v>
      </c>
      <c r="M140" s="8">
        <f>M132*$E$82</f>
        <v>0</v>
      </c>
      <c r="N140" s="8">
        <f>N132*$E$82</f>
        <v>0</v>
      </c>
      <c r="O140" s="8">
        <f>O132*$E$82</f>
        <v>0</v>
      </c>
      <c r="P140" s="8">
        <f>P132*$E$82</f>
        <v>0</v>
      </c>
      <c r="Q140" s="8">
        <f>Q132*$E$82</f>
        <v>834615.384615385</v>
      </c>
      <c r="R140" s="8">
        <f>R132*$E$82</f>
        <v>884692.307692308</v>
      </c>
    </row>
    <row r="141">
      <c r="C141" s="14" t="inlineStr">
        <is>
          <t>2030 Acquisitions</t>
        </is>
      </c>
      <c r="G141" s="8">
        <f>G133*$E$94</f>
        <v>0</v>
      </c>
      <c r="H141" s="8">
        <f>H133*$E$94</f>
        <v>0</v>
      </c>
      <c r="I141" s="8">
        <f>I133*$E$94</f>
        <v>0</v>
      </c>
      <c r="J141" s="8">
        <f>J133*$E$94</f>
        <v>0</v>
      </c>
      <c r="K141" s="8">
        <f>K133*$E$94</f>
        <v>0</v>
      </c>
      <c r="L141" s="8">
        <f>L133*$E$94</f>
        <v>0</v>
      </c>
      <c r="M141" s="8">
        <f>M133*$E$94</f>
        <v>0</v>
      </c>
      <c r="N141" s="8">
        <f>N133*$E$94</f>
        <v>0</v>
      </c>
      <c r="O141" s="8">
        <f>O133*$E$94</f>
        <v>0</v>
      </c>
      <c r="P141" s="8">
        <f>P133*$E$94</f>
        <v>0</v>
      </c>
      <c r="Q141" s="8">
        <f>Q133*$E$94</f>
        <v>0</v>
      </c>
      <c r="R141" s="8">
        <f>R133*$E$94</f>
        <v>0</v>
      </c>
    </row>
    <row r="142">
      <c r="C142" s="14" t="inlineStr">
        <is>
          <t>2031 Acquisitions</t>
        </is>
      </c>
      <c r="G142" s="8">
        <f>G134*$E$106</f>
        <v>0</v>
      </c>
      <c r="H142" s="8">
        <f>H134*$E$106</f>
        <v>0</v>
      </c>
      <c r="I142" s="8">
        <f>I134*$E$106</f>
        <v>0</v>
      </c>
      <c r="J142" s="8">
        <f>J134*$E$106</f>
        <v>0</v>
      </c>
      <c r="K142" s="8">
        <f>K134*$E$106</f>
        <v>0</v>
      </c>
      <c r="L142" s="8">
        <f>L134*$E$106</f>
        <v>0</v>
      </c>
      <c r="M142" s="8">
        <f>M134*$E$106</f>
        <v>0</v>
      </c>
      <c r="N142" s="8">
        <f>N134*$E$106</f>
        <v>0</v>
      </c>
      <c r="O142" s="8">
        <f>O134*$E$106</f>
        <v>0</v>
      </c>
      <c r="P142" s="8">
        <f>P134*$E$106</f>
        <v>0</v>
      </c>
      <c r="Q142" s="8">
        <f>Q134*$E$106</f>
        <v>0</v>
      </c>
      <c r="R142" s="8">
        <f>R134*$E$106</f>
        <v>0</v>
      </c>
    </row>
    <row r="143">
      <c r="C143" s="29" t="inlineStr">
        <is>
          <t>Total Gross Profit</t>
        </is>
      </c>
      <c r="G143" s="30">
        <f>SUM(G138:G142)</f>
        <v>0</v>
      </c>
      <c r="H143" s="30">
        <f>SUM(H138:H142)</f>
        <v>0</v>
      </c>
      <c r="I143" s="30">
        <f>SUM(I138:I142)</f>
        <v>0</v>
      </c>
      <c r="J143" s="30">
        <f>SUM(J138:J142)</f>
        <v>0</v>
      </c>
      <c r="K143" s="30">
        <f>SUM(K138:K142)</f>
        <v>0</v>
      </c>
      <c r="L143" s="30">
        <f>SUM(L138:L142)</f>
        <v>0</v>
      </c>
      <c r="M143" s="30">
        <f>SUM(M138:M142)</f>
        <v>0</v>
      </c>
      <c r="N143" s="30">
        <f>SUM(N138:N142)</f>
        <v>0</v>
      </c>
      <c r="O143" s="30">
        <f>SUM(O138:O142)</f>
        <v>1440000</v>
      </c>
      <c r="P143" s="30">
        <f>SUM(P138:P142)</f>
        <v>2785244.44444444</v>
      </c>
      <c r="Q143" s="30">
        <f>SUM(Q138:Q142)</f>
        <v>3808604.71794872</v>
      </c>
      <c r="R143" s="30">
        <f>SUM(R138:R142)</f>
        <v>4060234.22769231</v>
      </c>
    </row>
    <row r="145">
      <c r="C145" s="3" t="inlineStr">
        <is>
          <t>EBITDA:</t>
        </is>
      </c>
    </row>
    <row r="146">
      <c r="C146" s="14" t="inlineStr">
        <is>
          <t>2027 Acquisitions</t>
        </is>
      </c>
      <c r="G146" s="8">
        <f>G130*$E$59</f>
        <v>0</v>
      </c>
      <c r="H146" s="8">
        <f>H130*$E$59</f>
        <v>0</v>
      </c>
      <c r="I146" s="8">
        <f>I130*$E$59</f>
        <v>0</v>
      </c>
      <c r="J146" s="8">
        <f>J130*$E$59</f>
        <v>0</v>
      </c>
      <c r="K146" s="8">
        <f>K130*$E$59</f>
        <v>0</v>
      </c>
      <c r="L146" s="8">
        <f>L130*$E$59</f>
        <v>0</v>
      </c>
      <c r="M146" s="8">
        <f>M130*$E$59</f>
        <v>0</v>
      </c>
      <c r="N146" s="8">
        <f>N130*$E$59</f>
        <v>0</v>
      </c>
      <c r="O146" s="8">
        <f>O130*$E$59</f>
        <v>560000</v>
      </c>
      <c r="P146" s="8">
        <f>P130*$E$59</f>
        <v>599200</v>
      </c>
      <c r="Q146" s="8">
        <f>Q130*$E$59</f>
        <v>641144</v>
      </c>
      <c r="R146" s="8">
        <f>R130*$E$59</f>
        <v>686024.08</v>
      </c>
    </row>
    <row r="147">
      <c r="C147" s="14" t="inlineStr">
        <is>
          <t>2028 Acquisitions</t>
        </is>
      </c>
      <c r="G147" s="8">
        <f>G131*$E$71</f>
        <v>0</v>
      </c>
      <c r="H147" s="8">
        <f>H131*$E$71</f>
        <v>0</v>
      </c>
      <c r="I147" s="8">
        <f>I131*$E$71</f>
        <v>0</v>
      </c>
      <c r="J147" s="8">
        <f>J131*$E$71</f>
        <v>0</v>
      </c>
      <c r="K147" s="8">
        <f>K131*$E$71</f>
        <v>0</v>
      </c>
      <c r="L147" s="8">
        <f>L131*$E$71</f>
        <v>0</v>
      </c>
      <c r="M147" s="8">
        <f>M131*$E$71</f>
        <v>0</v>
      </c>
      <c r="N147" s="8">
        <f>N131*$E$71</f>
        <v>0</v>
      </c>
      <c r="O147" s="8">
        <f>O131*$E$71</f>
        <v>0</v>
      </c>
      <c r="P147" s="8">
        <f>P131*$E$71</f>
        <v>480000</v>
      </c>
      <c r="Q147" s="8">
        <f>Q131*$E$71</f>
        <v>511200</v>
      </c>
      <c r="R147" s="8">
        <f>R131*$E$71</f>
        <v>544428</v>
      </c>
    </row>
    <row r="148">
      <c r="C148" s="14" t="inlineStr">
        <is>
          <t>2029 Acquisitions</t>
        </is>
      </c>
      <c r="G148" s="8">
        <f>G132*$E$83</f>
        <v>0</v>
      </c>
      <c r="H148" s="8">
        <f>H132*$E$83</f>
        <v>0</v>
      </c>
      <c r="I148" s="8">
        <f>I132*$E$83</f>
        <v>0</v>
      </c>
      <c r="J148" s="8">
        <f>J132*$E$83</f>
        <v>0</v>
      </c>
      <c r="K148" s="8">
        <f>K132*$E$83</f>
        <v>0</v>
      </c>
      <c r="L148" s="8">
        <f>L132*$E$83</f>
        <v>0</v>
      </c>
      <c r="M148" s="8">
        <f>M132*$E$83</f>
        <v>0</v>
      </c>
      <c r="N148" s="8">
        <f>N132*$E$83</f>
        <v>0</v>
      </c>
      <c r="O148" s="8">
        <f>O132*$E$83</f>
        <v>0</v>
      </c>
      <c r="P148" s="8">
        <f>P132*$E$83</f>
        <v>0</v>
      </c>
      <c r="Q148" s="8">
        <f>Q132*$E$83</f>
        <v>310000</v>
      </c>
      <c r="R148" s="8">
        <f>R132*$E$83</f>
        <v>328600</v>
      </c>
    </row>
    <row r="149">
      <c r="C149" s="14" t="inlineStr">
        <is>
          <t>2030 Acquisitions</t>
        </is>
      </c>
      <c r="G149" s="8">
        <f>G133*$E$95</f>
        <v>0</v>
      </c>
      <c r="H149" s="8">
        <f>H133*$E$95</f>
        <v>0</v>
      </c>
      <c r="I149" s="8">
        <f>I133*$E$95</f>
        <v>0</v>
      </c>
      <c r="J149" s="8">
        <f>J133*$E$95</f>
        <v>0</v>
      </c>
      <c r="K149" s="8">
        <f>K133*$E$95</f>
        <v>0</v>
      </c>
      <c r="L149" s="8">
        <f>L133*$E$95</f>
        <v>0</v>
      </c>
      <c r="M149" s="8">
        <f>M133*$E$95</f>
        <v>0</v>
      </c>
      <c r="N149" s="8">
        <f>N133*$E$95</f>
        <v>0</v>
      </c>
      <c r="O149" s="8">
        <f>O133*$E$95</f>
        <v>0</v>
      </c>
      <c r="P149" s="8">
        <f>P133*$E$95</f>
        <v>0</v>
      </c>
      <c r="Q149" s="8">
        <f>Q133*$E$95</f>
        <v>0</v>
      </c>
      <c r="R149" s="8">
        <f>R133*$E$95</f>
        <v>0</v>
      </c>
    </row>
    <row r="150">
      <c r="C150" s="14" t="inlineStr">
        <is>
          <t>2031 Acquisitions</t>
        </is>
      </c>
      <c r="G150" s="8">
        <f>G134*$E$107</f>
        <v>0</v>
      </c>
      <c r="H150" s="8">
        <f>H134*$E$107</f>
        <v>0</v>
      </c>
      <c r="I150" s="8">
        <f>I134*$E$107</f>
        <v>0</v>
      </c>
      <c r="J150" s="8">
        <f>J134*$E$107</f>
        <v>0</v>
      </c>
      <c r="K150" s="8">
        <f>K134*$E$107</f>
        <v>0</v>
      </c>
      <c r="L150" s="8">
        <f>L134*$E$107</f>
        <v>0</v>
      </c>
      <c r="M150" s="8">
        <f>M134*$E$107</f>
        <v>0</v>
      </c>
      <c r="N150" s="8">
        <f>N134*$E$107</f>
        <v>0</v>
      </c>
      <c r="O150" s="8">
        <f>O134*$E$107</f>
        <v>0</v>
      </c>
      <c r="P150" s="8">
        <f>P134*$E$107</f>
        <v>0</v>
      </c>
      <c r="Q150" s="8">
        <f>Q134*$E$107</f>
        <v>0</v>
      </c>
      <c r="R150" s="8">
        <f>R134*$E$107</f>
        <v>0</v>
      </c>
    </row>
    <row r="151">
      <c r="C151" s="29" t="inlineStr">
        <is>
          <t>Total EBITDA</t>
        </is>
      </c>
      <c r="G151" s="30">
        <f>SUM(G146:G150)</f>
        <v>0</v>
      </c>
      <c r="H151" s="30">
        <f>SUM(H146:H150)</f>
        <v>0</v>
      </c>
      <c r="I151" s="30">
        <f>SUM(I146:I150)</f>
        <v>0</v>
      </c>
      <c r="J151" s="30">
        <f>SUM(J146:J150)</f>
        <v>0</v>
      </c>
      <c r="K151" s="30">
        <f>SUM(K146:K150)</f>
        <v>0</v>
      </c>
      <c r="L151" s="30">
        <f>SUM(L146:L150)</f>
        <v>0</v>
      </c>
      <c r="M151" s="30">
        <f>SUM(M146:M150)</f>
        <v>0</v>
      </c>
      <c r="N151" s="30">
        <f>SUM(N146:N150)</f>
        <v>0</v>
      </c>
      <c r="O151" s="30">
        <f>SUM(O146:O150)</f>
        <v>560000</v>
      </c>
      <c r="P151" s="30">
        <f>SUM(P146:P150)</f>
        <v>1079200</v>
      </c>
      <c r="Q151" s="30">
        <f>SUM(Q146:Q150)</f>
        <v>1462344</v>
      </c>
      <c r="R151" s="30">
        <f>SUM(R146:R150)</f>
        <v>1559052.08</v>
      </c>
    </row>
    <row r="153">
      <c r="C153" s="3" t="inlineStr">
        <is>
          <t>CAPEX:</t>
        </is>
      </c>
    </row>
    <row r="154">
      <c r="C154" s="14" t="inlineStr">
        <is>
          <t>2027 Acquisitions</t>
        </is>
      </c>
      <c r="G154" s="8">
        <f>G130*$E$60</f>
        <v>0</v>
      </c>
      <c r="H154" s="8">
        <f>H130*$E$60</f>
        <v>0</v>
      </c>
      <c r="I154" s="8">
        <f>I130*$E$60</f>
        <v>0</v>
      </c>
      <c r="J154" s="8">
        <f>J130*$E$60</f>
        <v>0</v>
      </c>
      <c r="K154" s="8">
        <f>K130*$E$60</f>
        <v>0</v>
      </c>
      <c r="L154" s="8">
        <f>L130*$E$60</f>
        <v>0</v>
      </c>
      <c r="M154" s="8">
        <f>M130*$E$60</f>
        <v>0</v>
      </c>
      <c r="N154" s="8">
        <f>N130*$E$60</f>
        <v>0</v>
      </c>
      <c r="O154" s="8">
        <f>O130*$E$60</f>
        <v>120000</v>
      </c>
      <c r="P154" s="8">
        <f>P130*$E$60</f>
        <v>128400</v>
      </c>
      <c r="Q154" s="8">
        <f>Q130*$E$60</f>
        <v>137388</v>
      </c>
      <c r="R154" s="8">
        <f>R130*$E$60</f>
        <v>147005.16</v>
      </c>
    </row>
    <row r="155">
      <c r="C155" s="14" t="inlineStr">
        <is>
          <t>2028 Acquisitions</t>
        </is>
      </c>
      <c r="G155" s="8">
        <f>G131*$E$72</f>
        <v>0</v>
      </c>
      <c r="H155" s="8">
        <f>H131*$E$72</f>
        <v>0</v>
      </c>
      <c r="I155" s="8">
        <f>I131*$E$72</f>
        <v>0</v>
      </c>
      <c r="J155" s="8">
        <f>J131*$E$72</f>
        <v>0</v>
      </c>
      <c r="K155" s="8">
        <f>K131*$E$72</f>
        <v>0</v>
      </c>
      <c r="L155" s="8">
        <f>L131*$E$72</f>
        <v>0</v>
      </c>
      <c r="M155" s="8">
        <f>M131*$E$72</f>
        <v>0</v>
      </c>
      <c r="N155" s="8">
        <f>N131*$E$72</f>
        <v>0</v>
      </c>
      <c r="O155" s="8">
        <f>O131*$E$72</f>
        <v>0</v>
      </c>
      <c r="P155" s="8">
        <f>P131*$E$72</f>
        <v>106666.666666667</v>
      </c>
      <c r="Q155" s="8">
        <f>Q131*$E$72</f>
        <v>113600</v>
      </c>
      <c r="R155" s="8">
        <f>R131*$E$72</f>
        <v>120984</v>
      </c>
    </row>
    <row r="156">
      <c r="C156" s="14" t="inlineStr">
        <is>
          <t>2029 Acquisitions</t>
        </is>
      </c>
      <c r="G156" s="8">
        <f>G132*$E$84</f>
        <v>0</v>
      </c>
      <c r="H156" s="8">
        <f>H132*$E$84</f>
        <v>0</v>
      </c>
      <c r="I156" s="8">
        <f>I132*$E$84</f>
        <v>0</v>
      </c>
      <c r="J156" s="8">
        <f>J132*$E$84</f>
        <v>0</v>
      </c>
      <c r="K156" s="8">
        <f>K132*$E$84</f>
        <v>0</v>
      </c>
      <c r="L156" s="8">
        <f>L132*$E$84</f>
        <v>0</v>
      </c>
      <c r="M156" s="8">
        <f>M132*$E$84</f>
        <v>0</v>
      </c>
      <c r="N156" s="8">
        <f>N132*$E$84</f>
        <v>0</v>
      </c>
      <c r="O156" s="8">
        <f>O132*$E$84</f>
        <v>0</v>
      </c>
      <c r="P156" s="8">
        <f>P132*$E$84</f>
        <v>0</v>
      </c>
      <c r="Q156" s="8">
        <f>Q132*$E$84</f>
        <v>66769.2307692308</v>
      </c>
      <c r="R156" s="8">
        <f>R132*$E$84</f>
        <v>70775.3846153846</v>
      </c>
    </row>
    <row r="157">
      <c r="C157" s="14" t="inlineStr">
        <is>
          <t>2030 Acquisitions</t>
        </is>
      </c>
      <c r="G157" s="8">
        <f>G133*$E$96</f>
        <v>0</v>
      </c>
      <c r="H157" s="8">
        <f>H133*$E$96</f>
        <v>0</v>
      </c>
      <c r="I157" s="8">
        <f>I133*$E$96</f>
        <v>0</v>
      </c>
      <c r="J157" s="8">
        <f>J133*$E$96</f>
        <v>0</v>
      </c>
      <c r="K157" s="8">
        <f>K133*$E$96</f>
        <v>0</v>
      </c>
      <c r="L157" s="8">
        <f>L133*$E$96</f>
        <v>0</v>
      </c>
      <c r="M157" s="8">
        <f>M133*$E$96</f>
        <v>0</v>
      </c>
      <c r="N157" s="8">
        <f>N133*$E$96</f>
        <v>0</v>
      </c>
      <c r="O157" s="8">
        <f>O133*$E$96</f>
        <v>0</v>
      </c>
      <c r="P157" s="8">
        <f>P133*$E$96</f>
        <v>0</v>
      </c>
      <c r="Q157" s="8">
        <f>Q133*$E$96</f>
        <v>0</v>
      </c>
      <c r="R157" s="8">
        <f>R133*$E$96</f>
        <v>0</v>
      </c>
    </row>
    <row r="158">
      <c r="C158" s="14" t="inlineStr">
        <is>
          <t>2031 Acquisitions</t>
        </is>
      </c>
      <c r="G158" s="8">
        <f>G134*$E$108</f>
        <v>0</v>
      </c>
      <c r="H158" s="8">
        <f>H134*$E$108</f>
        <v>0</v>
      </c>
      <c r="I158" s="8">
        <f>I134*$E$108</f>
        <v>0</v>
      </c>
      <c r="J158" s="8">
        <f>J134*$E$108</f>
        <v>0</v>
      </c>
      <c r="K158" s="8">
        <f>K134*$E$108</f>
        <v>0</v>
      </c>
      <c r="L158" s="8">
        <f>L134*$E$108</f>
        <v>0</v>
      </c>
      <c r="M158" s="8">
        <f>M134*$E$108</f>
        <v>0</v>
      </c>
      <c r="N158" s="8">
        <f>N134*$E$108</f>
        <v>0</v>
      </c>
      <c r="O158" s="8">
        <f>O134*$E$108</f>
        <v>0</v>
      </c>
      <c r="P158" s="8">
        <f>P134*$E$108</f>
        <v>0</v>
      </c>
      <c r="Q158" s="8">
        <f>Q134*$E$108</f>
        <v>0</v>
      </c>
      <c r="R158" s="8">
        <f>R134*$E$108</f>
        <v>0</v>
      </c>
    </row>
    <row r="159">
      <c r="C159" s="29" t="inlineStr">
        <is>
          <t>Total CAPEX</t>
        </is>
      </c>
      <c r="G159" s="30">
        <f>SUM(G154:G158)</f>
        <v>0</v>
      </c>
      <c r="H159" s="30">
        <f>SUM(H154:H158)</f>
        <v>0</v>
      </c>
      <c r="I159" s="30">
        <f>SUM(I154:I158)</f>
        <v>0</v>
      </c>
      <c r="J159" s="30">
        <f>SUM(J154:J158)</f>
        <v>0</v>
      </c>
      <c r="K159" s="30">
        <f>SUM(K154:K158)</f>
        <v>0</v>
      </c>
      <c r="L159" s="30">
        <f>SUM(L154:L158)</f>
        <v>0</v>
      </c>
      <c r="M159" s="30">
        <f>SUM(M154:M158)</f>
        <v>0</v>
      </c>
      <c r="N159" s="30">
        <f>SUM(N154:N158)</f>
        <v>0</v>
      </c>
      <c r="O159" s="30">
        <f>SUM(O154:O158)</f>
        <v>120000</v>
      </c>
      <c r="P159" s="30">
        <f>SUM(P154:P158)</f>
        <v>235066.666666667</v>
      </c>
      <c r="Q159" s="30">
        <f>SUM(Q154:Q158)</f>
        <v>317757.230769231</v>
      </c>
      <c r="R159" s="30">
        <f>SUM(R154:R158)</f>
        <v>338764.544615385</v>
      </c>
    </row>
    <row r="161">
      <c r="C161" s="3" t="inlineStr">
        <is>
          <t>D&amp;A:</t>
        </is>
      </c>
    </row>
    <row r="162">
      <c r="C162" s="14" t="inlineStr">
        <is>
          <t>2027 Acquisitions</t>
        </is>
      </c>
      <c r="G162" s="8">
        <f>G154*$E$61</f>
        <v>0</v>
      </c>
      <c r="H162" s="8">
        <f>H154*$E$61</f>
        <v>0</v>
      </c>
      <c r="I162" s="8">
        <f>I154*$E$61</f>
        <v>0</v>
      </c>
      <c r="J162" s="8">
        <f>J154*$E$61</f>
        <v>0</v>
      </c>
      <c r="K162" s="8">
        <f>K154*$E$61</f>
        <v>0</v>
      </c>
      <c r="L162" s="8">
        <f>L154*$E$61</f>
        <v>0</v>
      </c>
      <c r="M162" s="8">
        <f>M154*$E$61</f>
        <v>0</v>
      </c>
      <c r="N162" s="8">
        <f>N154*$E$61</f>
        <v>0</v>
      </c>
      <c r="O162" s="8">
        <f>O154*$E$61</f>
        <v>90000</v>
      </c>
      <c r="P162" s="8">
        <f>P154*$E$61</f>
        <v>96300</v>
      </c>
      <c r="Q162" s="8">
        <f>Q154*$E$61</f>
        <v>103041</v>
      </c>
      <c r="R162" s="8">
        <f>R154*$E$61</f>
        <v>110253.87</v>
      </c>
    </row>
    <row r="163">
      <c r="C163" s="14" t="inlineStr">
        <is>
          <t>2028 Acquisitions</t>
        </is>
      </c>
      <c r="G163" s="8">
        <f>G155*$E$73</f>
        <v>0</v>
      </c>
      <c r="H163" s="8">
        <f>H155*$E$73</f>
        <v>0</v>
      </c>
      <c r="I163" s="8">
        <f>I155*$E$73</f>
        <v>0</v>
      </c>
      <c r="J163" s="8">
        <f>J155*$E$73</f>
        <v>0</v>
      </c>
      <c r="K163" s="8">
        <f>K155*$E$73</f>
        <v>0</v>
      </c>
      <c r="L163" s="8">
        <f>L155*$E$73</f>
        <v>0</v>
      </c>
      <c r="M163" s="8">
        <f>M155*$E$73</f>
        <v>0</v>
      </c>
      <c r="N163" s="8">
        <f>N155*$E$73</f>
        <v>0</v>
      </c>
      <c r="O163" s="8">
        <f>O155*$E$73</f>
        <v>0</v>
      </c>
      <c r="P163" s="8">
        <f>P155*$E$73</f>
        <v>80000</v>
      </c>
      <c r="Q163" s="8">
        <f>Q155*$E$73</f>
        <v>85200</v>
      </c>
      <c r="R163" s="8">
        <f>R155*$E$73</f>
        <v>90738</v>
      </c>
    </row>
    <row r="164">
      <c r="C164" s="14" t="inlineStr">
        <is>
          <t>2029 Acquisitions</t>
        </is>
      </c>
      <c r="G164" s="8">
        <f>G156*$E$85</f>
        <v>0</v>
      </c>
      <c r="H164" s="8">
        <f>H156*$E$85</f>
        <v>0</v>
      </c>
      <c r="I164" s="8">
        <f>I156*$E$85</f>
        <v>0</v>
      </c>
      <c r="J164" s="8">
        <f>J156*$E$85</f>
        <v>0</v>
      </c>
      <c r="K164" s="8">
        <f>K156*$E$85</f>
        <v>0</v>
      </c>
      <c r="L164" s="8">
        <f>L156*$E$85</f>
        <v>0</v>
      </c>
      <c r="M164" s="8">
        <f>M156*$E$85</f>
        <v>0</v>
      </c>
      <c r="N164" s="8">
        <f>N156*$E$85</f>
        <v>0</v>
      </c>
      <c r="O164" s="8">
        <f>O156*$E$85</f>
        <v>0</v>
      </c>
      <c r="P164" s="8">
        <f>P156*$E$85</f>
        <v>0</v>
      </c>
      <c r="Q164" s="8">
        <f>Q156*$E$85</f>
        <v>50076.9230769231</v>
      </c>
      <c r="R164" s="8">
        <f>R156*$E$85</f>
        <v>53081.5384615385</v>
      </c>
    </row>
    <row r="165">
      <c r="C165" s="14" t="inlineStr">
        <is>
          <t>2030 Acquisitions</t>
        </is>
      </c>
      <c r="G165" s="8">
        <f>G157*$E$97</f>
        <v>0</v>
      </c>
      <c r="H165" s="8">
        <f>H157*$E$97</f>
        <v>0</v>
      </c>
      <c r="I165" s="8">
        <f>I157*$E$97</f>
        <v>0</v>
      </c>
      <c r="J165" s="8">
        <f>J157*$E$97</f>
        <v>0</v>
      </c>
      <c r="K165" s="8">
        <f>K157*$E$97</f>
        <v>0</v>
      </c>
      <c r="L165" s="8">
        <f>L157*$E$97</f>
        <v>0</v>
      </c>
      <c r="M165" s="8">
        <f>M157*$E$97</f>
        <v>0</v>
      </c>
      <c r="N165" s="8">
        <f>N157*$E$97</f>
        <v>0</v>
      </c>
      <c r="O165" s="8">
        <f>O157*$E$97</f>
        <v>0</v>
      </c>
      <c r="P165" s="8">
        <f>P157*$E$97</f>
        <v>0</v>
      </c>
      <c r="Q165" s="8">
        <f>Q157*$E$97</f>
        <v>0</v>
      </c>
      <c r="R165" s="8">
        <f>R157*$E$97</f>
        <v>0</v>
      </c>
    </row>
    <row r="166">
      <c r="C166" s="14" t="inlineStr">
        <is>
          <t>2031 Acquisitions</t>
        </is>
      </c>
      <c r="G166" s="8">
        <f>G158*$E$109</f>
        <v>0</v>
      </c>
      <c r="H166" s="8">
        <f>H158*$E$109</f>
        <v>0</v>
      </c>
      <c r="I166" s="8">
        <f>I158*$E$109</f>
        <v>0</v>
      </c>
      <c r="J166" s="8">
        <f>J158*$E$109</f>
        <v>0</v>
      </c>
      <c r="K166" s="8">
        <f>K158*$E$109</f>
        <v>0</v>
      </c>
      <c r="L166" s="8">
        <f>L158*$E$109</f>
        <v>0</v>
      </c>
      <c r="M166" s="8">
        <f>M158*$E$109</f>
        <v>0</v>
      </c>
      <c r="N166" s="8">
        <f>N158*$E$109</f>
        <v>0</v>
      </c>
      <c r="O166" s="8">
        <f>O158*$E$109</f>
        <v>0</v>
      </c>
      <c r="P166" s="8">
        <f>P158*$E$109</f>
        <v>0</v>
      </c>
      <c r="Q166" s="8">
        <f>Q158*$E$109</f>
        <v>0</v>
      </c>
      <c r="R166" s="8">
        <f>R158*$E$109</f>
        <v>0</v>
      </c>
    </row>
    <row r="167">
      <c r="C167" s="29" t="inlineStr">
        <is>
          <t>Total D&amp;A</t>
        </is>
      </c>
      <c r="G167" s="30">
        <f>SUM(G162:G166)</f>
        <v>0</v>
      </c>
      <c r="H167" s="30">
        <f>SUM(H162:H166)</f>
        <v>0</v>
      </c>
      <c r="I167" s="30">
        <f>SUM(I162:I166)</f>
        <v>0</v>
      </c>
      <c r="J167" s="30">
        <f>SUM(J162:J166)</f>
        <v>0</v>
      </c>
      <c r="K167" s="30">
        <f>SUM(K162:K166)</f>
        <v>0</v>
      </c>
      <c r="L167" s="30">
        <f>SUM(L162:L166)</f>
        <v>0</v>
      </c>
      <c r="M167" s="30">
        <f>SUM(M162:M166)</f>
        <v>0</v>
      </c>
      <c r="N167" s="30">
        <f>SUM(N162:N166)</f>
        <v>0</v>
      </c>
      <c r="O167" s="30">
        <f>SUM(O162:O166)</f>
        <v>90000</v>
      </c>
      <c r="P167" s="30">
        <f>SUM(P162:P166)</f>
        <v>176300</v>
      </c>
      <c r="Q167" s="30">
        <f>SUM(Q162:Q166)</f>
        <v>238317.923076923</v>
      </c>
      <c r="R167" s="30">
        <f>SUM(R162:R166)</f>
        <v>254073.408461538</v>
      </c>
    </row>
    <row r="169">
      <c r="C169" s="3" t="inlineStr">
        <is>
          <t>Change in NWC:</t>
        </is>
      </c>
    </row>
    <row r="170">
      <c r="C170" s="14" t="inlineStr">
        <is>
          <t>2027 Acquisitions</t>
        </is>
      </c>
      <c r="G170" s="8">
        <f>G130*$E$62</f>
        <v>0</v>
      </c>
      <c r="H170" s="8">
        <f>H130*$E$62</f>
        <v>0</v>
      </c>
      <c r="I170" s="8">
        <f>I130*$E$62</f>
        <v>0</v>
      </c>
      <c r="J170" s="8">
        <f>J130*$E$62</f>
        <v>0</v>
      </c>
      <c r="K170" s="8">
        <f>K130*$E$62</f>
        <v>0</v>
      </c>
      <c r="L170" s="8">
        <f>L130*$E$62</f>
        <v>0</v>
      </c>
      <c r="M170" s="8">
        <f>M130*$E$62</f>
        <v>0</v>
      </c>
      <c r="N170" s="8">
        <f>N130*$E$62</f>
        <v>0</v>
      </c>
      <c r="O170" s="8">
        <f>O130*$E$62</f>
        <v>80000</v>
      </c>
      <c r="P170" s="8">
        <f>P130*$E$62</f>
        <v>85600</v>
      </c>
      <c r="Q170" s="8">
        <f>Q130*$E$62</f>
        <v>91592</v>
      </c>
      <c r="R170" s="8">
        <f>R130*$E$62</f>
        <v>98003.44</v>
      </c>
    </row>
    <row r="171">
      <c r="C171" s="14" t="inlineStr">
        <is>
          <t>2028 Acquisitions</t>
        </is>
      </c>
      <c r="G171" s="8">
        <f>G131*$E$74</f>
        <v>0</v>
      </c>
      <c r="H171" s="8">
        <f>H131*$E$74</f>
        <v>0</v>
      </c>
      <c r="I171" s="8">
        <f>I131*$E$74</f>
        <v>0</v>
      </c>
      <c r="J171" s="8">
        <f>J131*$E$74</f>
        <v>0</v>
      </c>
      <c r="K171" s="8">
        <f>K131*$E$74</f>
        <v>0</v>
      </c>
      <c r="L171" s="8">
        <f>L131*$E$74</f>
        <v>0</v>
      </c>
      <c r="M171" s="8">
        <f>M131*$E$74</f>
        <v>0</v>
      </c>
      <c r="N171" s="8">
        <f>N131*$E$74</f>
        <v>0</v>
      </c>
      <c r="O171" s="8">
        <f>O131*$E$74</f>
        <v>0</v>
      </c>
      <c r="P171" s="8">
        <f>P131*$E$74</f>
        <v>71111.1111111111</v>
      </c>
      <c r="Q171" s="8">
        <f>Q131*$E$74</f>
        <v>75733.3333333333</v>
      </c>
      <c r="R171" s="8">
        <f>R131*$E$74</f>
        <v>80656</v>
      </c>
    </row>
    <row r="172">
      <c r="C172" s="14" t="inlineStr">
        <is>
          <t>2029 Acquisitions</t>
        </is>
      </c>
      <c r="G172" s="8">
        <f>G132*$E$86</f>
        <v>0</v>
      </c>
      <c r="H172" s="8">
        <f>H132*$E$86</f>
        <v>0</v>
      </c>
      <c r="I172" s="8">
        <f>I132*$E$86</f>
        <v>0</v>
      </c>
      <c r="J172" s="8">
        <f>J132*$E$86</f>
        <v>0</v>
      </c>
      <c r="K172" s="8">
        <f>K132*$E$86</f>
        <v>0</v>
      </c>
      <c r="L172" s="8">
        <f>L132*$E$86</f>
        <v>0</v>
      </c>
      <c r="M172" s="8">
        <f>M132*$E$86</f>
        <v>0</v>
      </c>
      <c r="N172" s="8">
        <f>N132*$E$86</f>
        <v>0</v>
      </c>
      <c r="O172" s="8">
        <f>O132*$E$86</f>
        <v>0</v>
      </c>
      <c r="P172" s="8">
        <f>P132*$E$86</f>
        <v>0</v>
      </c>
      <c r="Q172" s="8">
        <f>Q132*$E$86</f>
        <v>47692.3076923077</v>
      </c>
      <c r="R172" s="8">
        <f>R132*$E$86</f>
        <v>50553.8461538462</v>
      </c>
    </row>
    <row r="173">
      <c r="C173" s="14" t="inlineStr">
        <is>
          <t>2030 Acquisitions</t>
        </is>
      </c>
      <c r="G173" s="8">
        <f>G133*$E$98</f>
        <v>0</v>
      </c>
      <c r="H173" s="8">
        <f>H133*$E$98</f>
        <v>0</v>
      </c>
      <c r="I173" s="8">
        <f>I133*$E$98</f>
        <v>0</v>
      </c>
      <c r="J173" s="8">
        <f>J133*$E$98</f>
        <v>0</v>
      </c>
      <c r="K173" s="8">
        <f>K133*$E$98</f>
        <v>0</v>
      </c>
      <c r="L173" s="8">
        <f>L133*$E$98</f>
        <v>0</v>
      </c>
      <c r="M173" s="8">
        <f>M133*$E$98</f>
        <v>0</v>
      </c>
      <c r="N173" s="8">
        <f>N133*$E$98</f>
        <v>0</v>
      </c>
      <c r="O173" s="8">
        <f>O133*$E$98</f>
        <v>0</v>
      </c>
      <c r="P173" s="8">
        <f>P133*$E$98</f>
        <v>0</v>
      </c>
      <c r="Q173" s="8">
        <f>Q133*$E$98</f>
        <v>0</v>
      </c>
      <c r="R173" s="8">
        <f>R133*$E$98</f>
        <v>0</v>
      </c>
    </row>
    <row r="174">
      <c r="C174" s="14" t="inlineStr">
        <is>
          <t>2031 Acquisitions</t>
        </is>
      </c>
      <c r="G174" s="8">
        <f>G134*$E$110</f>
        <v>0</v>
      </c>
      <c r="H174" s="8">
        <f>H134*$E$110</f>
        <v>0</v>
      </c>
      <c r="I174" s="8">
        <f>I134*$E$110</f>
        <v>0</v>
      </c>
      <c r="J174" s="8">
        <f>J134*$E$110</f>
        <v>0</v>
      </c>
      <c r="K174" s="8">
        <f>K134*$E$110</f>
        <v>0</v>
      </c>
      <c r="L174" s="8">
        <f>L134*$E$110</f>
        <v>0</v>
      </c>
      <c r="M174" s="8">
        <f>M134*$E$110</f>
        <v>0</v>
      </c>
      <c r="N174" s="8">
        <f>N134*$E$110</f>
        <v>0</v>
      </c>
      <c r="O174" s="8">
        <f>O134*$E$110</f>
        <v>0</v>
      </c>
      <c r="P174" s="8">
        <f>P134*$E$110</f>
        <v>0</v>
      </c>
      <c r="Q174" s="8">
        <f>Q134*$E$110</f>
        <v>0</v>
      </c>
      <c r="R174" s="8">
        <f>R134*$E$110</f>
        <v>0</v>
      </c>
    </row>
    <row r="175">
      <c r="C175" s="29" t="inlineStr">
        <is>
          <t>Total Change in NWC</t>
        </is>
      </c>
      <c r="G175" s="30">
        <f>SUM(G170:G174)</f>
        <v>0</v>
      </c>
      <c r="H175" s="30">
        <f>SUM(H170:H174)</f>
        <v>0</v>
      </c>
      <c r="I175" s="30">
        <f>SUM(I170:I174)</f>
        <v>0</v>
      </c>
      <c r="J175" s="30">
        <f>SUM(J170:J174)</f>
        <v>0</v>
      </c>
      <c r="K175" s="30">
        <f>SUM(K170:K174)</f>
        <v>0</v>
      </c>
      <c r="L175" s="30">
        <f>SUM(L170:L174)</f>
        <v>0</v>
      </c>
      <c r="M175" s="30">
        <f>SUM(M170:M174)</f>
        <v>0</v>
      </c>
      <c r="N175" s="30">
        <f>SUM(N170:N174)</f>
        <v>0</v>
      </c>
      <c r="O175" s="30">
        <f>SUM(O170:O174)</f>
        <v>80000</v>
      </c>
      <c r="P175" s="30">
        <f>SUM(P170:P174)</f>
        <v>156711.111111111</v>
      </c>
      <c r="Q175" s="30">
        <f>SUM(Q170:Q174)</f>
        <v>215017.641025641</v>
      </c>
      <c r="R175" s="30">
        <f>SUM(R170:R174)</f>
        <v>229213.286153846</v>
      </c>
    </row>
    <row r="177">
      <c r="C177" s="3" t="inlineStr">
        <is>
          <t>Purchase Price:</t>
        </is>
      </c>
    </row>
    <row r="178">
      <c r="C178" s="14" t="inlineStr">
        <is>
          <t>2027 Acquisitions</t>
        </is>
      </c>
      <c r="G178" s="8">
        <f>IF(AND($E$53=1,G$7=2027),$E$54*$E$55,0)</f>
        <v>0</v>
      </c>
      <c r="H178" s="8">
        <f>IF(AND($E$53=1,H$7=2027),$E$54*$E$55,0)</f>
        <v>0</v>
      </c>
      <c r="I178" s="8">
        <f>IF(AND($E$53=1,I$7=2027),$E$54*$E$55,0)</f>
        <v>0</v>
      </c>
      <c r="J178" s="8">
        <f>IF(AND($E$53=1,J$7=2027),$E$54*$E$55,0)</f>
        <v>0</v>
      </c>
      <c r="K178" s="8">
        <f>IF(AND($E$53=1,K$7=2027),$E$54*$E$55,0)</f>
        <v>0</v>
      </c>
      <c r="L178" s="8">
        <f>IF(AND($E$53=1,L$7=2027),$E$54*$E$55,0)</f>
        <v>0</v>
      </c>
      <c r="M178" s="8">
        <f>IF(AND($E$53=1,M$7=2027),$E$54*$E$55,0)</f>
        <v>0</v>
      </c>
      <c r="N178" s="8">
        <f>IF(AND($E$53=1,N$7=2027),$E$54*$E$55,0)</f>
        <v>0</v>
      </c>
      <c r="O178" s="8">
        <f>IF(AND($E$53=1,O$7=2027),$E$54*$E$55,0)</f>
        <v>3136000</v>
      </c>
      <c r="P178" s="8">
        <f>IF(AND($E$53=1,P$7=2027),$E$54*$E$55,0)</f>
        <v>0</v>
      </c>
      <c r="Q178" s="8">
        <f>IF(AND($E$53=1,Q$7=2027),$E$54*$E$55,0)</f>
        <v>0</v>
      </c>
      <c r="R178" s="8">
        <f>IF(AND($E$53=1,R$7=2027),$E$54*$E$55,0)</f>
        <v>0</v>
      </c>
    </row>
    <row r="179">
      <c r="C179" s="14" t="inlineStr">
        <is>
          <t>2028 Acquisitions</t>
        </is>
      </c>
      <c r="G179" s="8">
        <f>IF(AND($E$65=1,G$7=2028),$E$66*$E$67,0)</f>
        <v>0</v>
      </c>
      <c r="H179" s="8">
        <f>IF(AND($E$65=1,H$7=2028),$E$66*$E$67,0)</f>
        <v>0</v>
      </c>
      <c r="I179" s="8">
        <f>IF(AND($E$65=1,I$7=2028),$E$66*$E$67,0)</f>
        <v>0</v>
      </c>
      <c r="J179" s="8">
        <f>IF(AND($E$65=1,J$7=2028),$E$66*$E$67,0)</f>
        <v>0</v>
      </c>
      <c r="K179" s="8">
        <f>IF(AND($E$65=1,K$7=2028),$E$66*$E$67,0)</f>
        <v>0</v>
      </c>
      <c r="L179" s="8">
        <f>IF(AND($E$65=1,L$7=2028),$E$66*$E$67,0)</f>
        <v>0</v>
      </c>
      <c r="M179" s="8">
        <f>IF(AND($E$65=1,M$7=2028),$E$66*$E$67,0)</f>
        <v>0</v>
      </c>
      <c r="N179" s="8">
        <f>IF(AND($E$65=1,N$7=2028),$E$66*$E$67,0)</f>
        <v>0</v>
      </c>
      <c r="O179" s="8">
        <f>IF(AND($E$65=1,O$7=2028),$E$66*$E$67,0)</f>
        <v>0</v>
      </c>
      <c r="P179" s="8">
        <f>IF(AND($E$65=1,P$7=2028),$E$66*$E$67,0)</f>
        <v>2784000</v>
      </c>
      <c r="Q179" s="8">
        <f>IF(AND($E$65=1,Q$7=2028),$E$66*$E$67,0)</f>
        <v>0</v>
      </c>
      <c r="R179" s="8">
        <f>IF(AND($E$65=1,R$7=2028),$E$66*$E$67,0)</f>
        <v>0</v>
      </c>
    </row>
    <row r="180">
      <c r="C180" s="14" t="inlineStr">
        <is>
          <t>2029 Acquisitions</t>
        </is>
      </c>
      <c r="G180" s="8">
        <f>IF(AND($E$77=1,G$7=2029),$E$78*$E$79,0)</f>
        <v>0</v>
      </c>
      <c r="H180" s="8">
        <f>IF(AND($E$77=1,H$7=2029),$E$78*$E$79,0)</f>
        <v>0</v>
      </c>
      <c r="I180" s="8">
        <f>IF(AND($E$77=1,I$7=2029),$E$78*$E$79,0)</f>
        <v>0</v>
      </c>
      <c r="J180" s="8">
        <f>IF(AND($E$77=1,J$7=2029),$E$78*$E$79,0)</f>
        <v>0</v>
      </c>
      <c r="K180" s="8">
        <f>IF(AND($E$77=1,K$7=2029),$E$78*$E$79,0)</f>
        <v>0</v>
      </c>
      <c r="L180" s="8">
        <f>IF(AND($E$77=1,L$7=2029),$E$78*$E$79,0)</f>
        <v>0</v>
      </c>
      <c r="M180" s="8">
        <f>IF(AND($E$77=1,M$7=2029),$E$78*$E$79,0)</f>
        <v>0</v>
      </c>
      <c r="N180" s="8">
        <f>IF(AND($E$77=1,N$7=2029),$E$78*$E$79,0)</f>
        <v>0</v>
      </c>
      <c r="O180" s="8">
        <f>IF(AND($E$77=1,O$7=2029),$E$78*$E$79,0)</f>
        <v>0</v>
      </c>
      <c r="P180" s="8">
        <f>IF(AND($E$77=1,P$7=2029),$E$78*$E$79,0)</f>
        <v>0</v>
      </c>
      <c r="Q180" s="8">
        <f>IF(AND($E$77=1,Q$7=2029),$E$78*$E$79,0)</f>
        <v>1674000</v>
      </c>
      <c r="R180" s="8">
        <f>IF(AND($E$77=1,R$7=2029),$E$78*$E$79,0)</f>
        <v>0</v>
      </c>
    </row>
    <row r="181">
      <c r="C181" s="14" t="inlineStr">
        <is>
          <t>2030 Acquisitions</t>
        </is>
      </c>
      <c r="G181" s="8">
        <f>IF(AND($E$89=1,G$7=2030),$E$90*$E$91,0)</f>
        <v>0</v>
      </c>
      <c r="H181" s="8">
        <f>IF(AND($E$89=1,H$7=2030),$E$90*$E$91,0)</f>
        <v>0</v>
      </c>
      <c r="I181" s="8">
        <f>IF(AND($E$89=1,I$7=2030),$E$90*$E$91,0)</f>
        <v>0</v>
      </c>
      <c r="J181" s="8">
        <f>IF(AND($E$89=1,J$7=2030),$E$90*$E$91,0)</f>
        <v>0</v>
      </c>
      <c r="K181" s="8">
        <f>IF(AND($E$89=1,K$7=2030),$E$90*$E$91,0)</f>
        <v>0</v>
      </c>
      <c r="L181" s="8">
        <f>IF(AND($E$89=1,L$7=2030),$E$90*$E$91,0)</f>
        <v>0</v>
      </c>
      <c r="M181" s="8">
        <f>IF(AND($E$89=1,M$7=2030),$E$90*$E$91,0)</f>
        <v>0</v>
      </c>
      <c r="N181" s="8">
        <f>IF(AND($E$89=1,N$7=2030),$E$90*$E$91,0)</f>
        <v>0</v>
      </c>
      <c r="O181" s="8">
        <f>IF(AND($E$89=1,O$7=2030),$E$90*$E$91,0)</f>
        <v>0</v>
      </c>
      <c r="P181" s="8">
        <f>IF(AND($E$89=1,P$7=2030),$E$90*$E$91,0)</f>
        <v>0</v>
      </c>
      <c r="Q181" s="8">
        <f>IF(AND($E$89=1,Q$7=2030),$E$90*$E$91,0)</f>
        <v>0</v>
      </c>
      <c r="R181" s="8">
        <f>IF(AND($E$89=1,R$7=2030),$E$90*$E$91,0)</f>
        <v>0</v>
      </c>
    </row>
    <row r="182">
      <c r="C182" s="14" t="inlineStr">
        <is>
          <t>2031 Acquisitions</t>
        </is>
      </c>
      <c r="G182" s="8">
        <f>IF(AND($E$101=1,G$7=2031),$E$102*$E$103,0)</f>
        <v>0</v>
      </c>
      <c r="H182" s="8">
        <f>IF(AND($E$101=1,H$7=2031),$E$102*$E$103,0)</f>
        <v>0</v>
      </c>
      <c r="I182" s="8">
        <f>IF(AND($E$101=1,I$7=2031),$E$102*$E$103,0)</f>
        <v>0</v>
      </c>
      <c r="J182" s="8">
        <f>IF(AND($E$101=1,J$7=2031),$E$102*$E$103,0)</f>
        <v>0</v>
      </c>
      <c r="K182" s="8">
        <f>IF(AND($E$101=1,K$7=2031),$E$102*$E$103,0)</f>
        <v>0</v>
      </c>
      <c r="L182" s="8">
        <f>IF(AND($E$101=1,L$7=2031),$E$102*$E$103,0)</f>
        <v>0</v>
      </c>
      <c r="M182" s="8">
        <f>IF(AND($E$101=1,M$7=2031),$E$102*$E$103,0)</f>
        <v>0</v>
      </c>
      <c r="N182" s="8">
        <f>IF(AND($E$101=1,N$7=2031),$E$102*$E$103,0)</f>
        <v>0</v>
      </c>
      <c r="O182" s="8">
        <f>IF(AND($E$101=1,O$7=2031),$E$102*$E$103,0)</f>
        <v>0</v>
      </c>
      <c r="P182" s="8">
        <f>IF(AND($E$101=1,P$7=2031),$E$102*$E$103,0)</f>
        <v>0</v>
      </c>
      <c r="Q182" s="8">
        <f>IF(AND($E$101=1,Q$7=2031),$E$102*$E$103,0)</f>
        <v>0</v>
      </c>
      <c r="R182" s="8">
        <f>IF(AND($E$101=1,R$7=2031),$E$102*$E$103,0)</f>
        <v>0</v>
      </c>
    </row>
    <row r="183">
      <c r="C183" s="29" t="inlineStr">
        <is>
          <t>Total Purchase Price</t>
        </is>
      </c>
      <c r="G183" s="30">
        <f>SUM(G178:G182)</f>
        <v>0</v>
      </c>
      <c r="H183" s="30">
        <f>SUM(H178:H182)</f>
        <v>0</v>
      </c>
      <c r="I183" s="30">
        <f>SUM(I178:I182)</f>
        <v>0</v>
      </c>
      <c r="J183" s="30">
        <f>SUM(J178:J182)</f>
        <v>0</v>
      </c>
      <c r="K183" s="30">
        <f>SUM(K178:K182)</f>
        <v>0</v>
      </c>
      <c r="L183" s="30">
        <f>SUM(L178:L182)</f>
        <v>0</v>
      </c>
      <c r="M183" s="30">
        <f>SUM(M178:M182)</f>
        <v>0</v>
      </c>
      <c r="N183" s="30">
        <f>SUM(N178:N182)</f>
        <v>0</v>
      </c>
      <c r="O183" s="30">
        <f>SUM(O178:O182)</f>
        <v>3136000</v>
      </c>
      <c r="P183" s="30">
        <f>SUM(P178:P182)</f>
        <v>2784000</v>
      </c>
      <c r="Q183" s="30">
        <f>SUM(Q178:Q182)</f>
        <v>1674000</v>
      </c>
      <c r="R183" s="30">
        <f>SUM(R178:R182)</f>
        <v>0</v>
      </c>
    </row>
    <row r="185">
      <c r="C185" s="3" t="inlineStr">
        <is>
          <t>Follow-On Capital Drawn:</t>
        </is>
      </c>
    </row>
    <row r="186">
      <c r="C186" s="14" t="inlineStr">
        <is>
          <t>BOP</t>
        </is>
      </c>
      <c r="G186" s="26" t="n">
        <v>0</v>
      </c>
      <c r="H186" s="8">
        <f>G193</f>
        <v>0</v>
      </c>
      <c r="I186" s="8">
        <f>H193</f>
        <v>0</v>
      </c>
      <c r="J186" s="8">
        <f>I193</f>
        <v>0</v>
      </c>
      <c r="K186" s="8">
        <f>J193</f>
        <v>0</v>
      </c>
      <c r="L186" s="8">
        <f>K193</f>
        <v>0</v>
      </c>
      <c r="M186" s="8">
        <f>L193</f>
        <v>0</v>
      </c>
      <c r="N186" s="8">
        <f>M193</f>
        <v>0</v>
      </c>
      <c r="O186" s="8">
        <f>N193</f>
        <v>0</v>
      </c>
      <c r="P186" s="8">
        <f>O193</f>
        <v>1881600</v>
      </c>
      <c r="Q186" s="8">
        <f>P193</f>
        <v>3691200</v>
      </c>
      <c r="R186" s="8">
        <f>Q193</f>
        <v>4695600</v>
      </c>
    </row>
    <row r="187">
      <c r="C187" s="14" t="inlineStr">
        <is>
          <t>2027 Acquisitions</t>
        </is>
      </c>
      <c r="G187" s="8">
        <f>G178*$E$56</f>
        <v>0</v>
      </c>
      <c r="H187" s="8">
        <f>H178*$E$56</f>
        <v>0</v>
      </c>
      <c r="I187" s="8">
        <f>I178*$E$56</f>
        <v>0</v>
      </c>
      <c r="J187" s="8">
        <f>J178*$E$56</f>
        <v>0</v>
      </c>
      <c r="K187" s="8">
        <f>K178*$E$56</f>
        <v>0</v>
      </c>
      <c r="L187" s="8">
        <f>L178*$E$56</f>
        <v>0</v>
      </c>
      <c r="M187" s="8">
        <f>M178*$E$56</f>
        <v>0</v>
      </c>
      <c r="N187" s="8">
        <f>N178*$E$56</f>
        <v>0</v>
      </c>
      <c r="O187" s="8">
        <f>O178*$E$56</f>
        <v>1881600</v>
      </c>
      <c r="P187" s="8">
        <f>P178*$E$56</f>
        <v>0</v>
      </c>
      <c r="Q187" s="8">
        <f>Q178*$E$56</f>
        <v>0</v>
      </c>
      <c r="R187" s="8">
        <f>R178*$E$56</f>
        <v>0</v>
      </c>
    </row>
    <row r="188">
      <c r="C188" s="14" t="inlineStr">
        <is>
          <t>2028 Acquisitions</t>
        </is>
      </c>
      <c r="G188" s="8">
        <f>G179*$E$68</f>
        <v>0</v>
      </c>
      <c r="H188" s="8">
        <f>H179*$E$68</f>
        <v>0</v>
      </c>
      <c r="I188" s="8">
        <f>I179*$E$68</f>
        <v>0</v>
      </c>
      <c r="J188" s="8">
        <f>J179*$E$68</f>
        <v>0</v>
      </c>
      <c r="K188" s="8">
        <f>K179*$E$68</f>
        <v>0</v>
      </c>
      <c r="L188" s="8">
        <f>L179*$E$68</f>
        <v>0</v>
      </c>
      <c r="M188" s="8">
        <f>M179*$E$68</f>
        <v>0</v>
      </c>
      <c r="N188" s="8">
        <f>N179*$E$68</f>
        <v>0</v>
      </c>
      <c r="O188" s="8">
        <f>O179*$E$68</f>
        <v>0</v>
      </c>
      <c r="P188" s="8">
        <f>P179*$E$68</f>
        <v>1809600</v>
      </c>
      <c r="Q188" s="8">
        <f>Q179*$E$68</f>
        <v>0</v>
      </c>
      <c r="R188" s="8">
        <f>R179*$E$68</f>
        <v>0</v>
      </c>
    </row>
    <row r="189">
      <c r="C189" s="14" t="inlineStr">
        <is>
          <t>2029 Acquisitions</t>
        </is>
      </c>
      <c r="G189" s="8">
        <f>G180*$E$80</f>
        <v>0</v>
      </c>
      <c r="H189" s="8">
        <f>H180*$E$80</f>
        <v>0</v>
      </c>
      <c r="I189" s="8">
        <f>I180*$E$80</f>
        <v>0</v>
      </c>
      <c r="J189" s="8">
        <f>J180*$E$80</f>
        <v>0</v>
      </c>
      <c r="K189" s="8">
        <f>K180*$E$80</f>
        <v>0</v>
      </c>
      <c r="L189" s="8">
        <f>L180*$E$80</f>
        <v>0</v>
      </c>
      <c r="M189" s="8">
        <f>M180*$E$80</f>
        <v>0</v>
      </c>
      <c r="N189" s="8">
        <f>N180*$E$80</f>
        <v>0</v>
      </c>
      <c r="O189" s="8">
        <f>O180*$E$80</f>
        <v>0</v>
      </c>
      <c r="P189" s="8">
        <f>P180*$E$80</f>
        <v>0</v>
      </c>
      <c r="Q189" s="8">
        <f>Q180*$E$80</f>
        <v>1004400</v>
      </c>
      <c r="R189" s="8">
        <f>R180*$E$80</f>
        <v>0</v>
      </c>
    </row>
    <row r="190">
      <c r="C190" s="14" t="inlineStr">
        <is>
          <t>2030 Acquisitions</t>
        </is>
      </c>
      <c r="G190" s="8">
        <f>G181*$E$92</f>
        <v>0</v>
      </c>
      <c r="H190" s="8">
        <f>H181*$E$92</f>
        <v>0</v>
      </c>
      <c r="I190" s="8">
        <f>I181*$E$92</f>
        <v>0</v>
      </c>
      <c r="J190" s="8">
        <f>J181*$E$92</f>
        <v>0</v>
      </c>
      <c r="K190" s="8">
        <f>K181*$E$92</f>
        <v>0</v>
      </c>
      <c r="L190" s="8">
        <f>L181*$E$92</f>
        <v>0</v>
      </c>
      <c r="M190" s="8">
        <f>M181*$E$92</f>
        <v>0</v>
      </c>
      <c r="N190" s="8">
        <f>N181*$E$92</f>
        <v>0</v>
      </c>
      <c r="O190" s="8">
        <f>O181*$E$92</f>
        <v>0</v>
      </c>
      <c r="P190" s="8">
        <f>P181*$E$92</f>
        <v>0</v>
      </c>
      <c r="Q190" s="8">
        <f>Q181*$E$92</f>
        <v>0</v>
      </c>
      <c r="R190" s="8">
        <f>R181*$E$92</f>
        <v>0</v>
      </c>
    </row>
    <row r="191">
      <c r="C191" s="14" t="inlineStr">
        <is>
          <t>2031 Acquisitions</t>
        </is>
      </c>
      <c r="G191" s="8">
        <f>G182*$E$104</f>
        <v>0</v>
      </c>
      <c r="H191" s="8">
        <f>H182*$E$104</f>
        <v>0</v>
      </c>
      <c r="I191" s="8">
        <f>I182*$E$104</f>
        <v>0</v>
      </c>
      <c r="J191" s="8">
        <f>J182*$E$104</f>
        <v>0</v>
      </c>
      <c r="K191" s="8">
        <f>K182*$E$104</f>
        <v>0</v>
      </c>
      <c r="L191" s="8">
        <f>L182*$E$104</f>
        <v>0</v>
      </c>
      <c r="M191" s="8">
        <f>M182*$E$104</f>
        <v>0</v>
      </c>
      <c r="N191" s="8">
        <f>N182*$E$104</f>
        <v>0</v>
      </c>
      <c r="O191" s="8">
        <f>O182*$E$104</f>
        <v>0</v>
      </c>
      <c r="P191" s="8">
        <f>P182*$E$104</f>
        <v>0</v>
      </c>
      <c r="Q191" s="8">
        <f>Q182*$E$104</f>
        <v>0</v>
      </c>
      <c r="R191" s="8">
        <f>R182*$E$104</f>
        <v>0</v>
      </c>
    </row>
    <row r="192">
      <c r="C192" s="29" t="inlineStr">
        <is>
          <t>Follow-On Capital Drawn</t>
        </is>
      </c>
      <c r="G192" s="30">
        <f>SUM(G187:G191)</f>
        <v>0</v>
      </c>
      <c r="H192" s="30">
        <f>SUM(H187:H191)</f>
        <v>0</v>
      </c>
      <c r="I192" s="30">
        <f>SUM(I187:I191)</f>
        <v>0</v>
      </c>
      <c r="J192" s="30">
        <f>SUM(J187:J191)</f>
        <v>0</v>
      </c>
      <c r="K192" s="30">
        <f>SUM(K187:K191)</f>
        <v>0</v>
      </c>
      <c r="L192" s="30">
        <f>SUM(L187:L191)</f>
        <v>0</v>
      </c>
      <c r="M192" s="30">
        <f>SUM(M187:M191)</f>
        <v>0</v>
      </c>
      <c r="N192" s="30">
        <f>SUM(N187:N191)</f>
        <v>0</v>
      </c>
      <c r="O192" s="30">
        <f>SUM(O187:O191)</f>
        <v>1881600</v>
      </c>
      <c r="P192" s="30">
        <f>SUM(P187:P191)</f>
        <v>1809600</v>
      </c>
      <c r="Q192" s="30">
        <f>SUM(Q187:Q191)</f>
        <v>1004400</v>
      </c>
      <c r="R192" s="30">
        <f>SUM(R187:R191)</f>
        <v>0</v>
      </c>
    </row>
    <row r="193">
      <c r="C193" s="14" t="inlineStr">
        <is>
          <t>EOP</t>
        </is>
      </c>
      <c r="G193" s="37">
        <f>G186+G192</f>
        <v>0</v>
      </c>
      <c r="H193" s="37">
        <f>H186+H192</f>
        <v>0</v>
      </c>
      <c r="I193" s="37">
        <f>I186+I192</f>
        <v>0</v>
      </c>
      <c r="J193" s="37">
        <f>J186+J192</f>
        <v>0</v>
      </c>
      <c r="K193" s="37">
        <f>K186+K192</f>
        <v>0</v>
      </c>
      <c r="L193" s="37">
        <f>L186+L192</f>
        <v>0</v>
      </c>
      <c r="M193" s="37">
        <f>M186+M192</f>
        <v>0</v>
      </c>
      <c r="N193" s="37">
        <f>N186+N192</f>
        <v>0</v>
      </c>
      <c r="O193" s="37">
        <f>O186+O192</f>
        <v>1881600</v>
      </c>
      <c r="P193" s="37">
        <f>P186+P192</f>
        <v>3691200</v>
      </c>
      <c r="Q193" s="37">
        <f>Q186+Q192</f>
        <v>4695600</v>
      </c>
      <c r="R193" s="37">
        <f>R186+R192</f>
        <v>4695600</v>
      </c>
    </row>
    <row r="195">
      <c r="C195" s="25" t="inlineStr">
        <is>
          <t>C</t>
        </is>
      </c>
      <c r="D195" s="25" t="inlineStr">
        <is>
          <t>Combined Income Statement</t>
        </is>
      </c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</row>
    <row r="196">
      <c r="C196" s="3" t="inlineStr">
        <is>
          <t>Revenue:</t>
        </is>
      </c>
    </row>
    <row r="197">
      <c r="C197" s="14" t="inlineStr">
        <is>
          <t>Organic Business</t>
        </is>
      </c>
      <c r="G197" s="8">
        <f>G114</f>
        <v>88899225</v>
      </c>
      <c r="H197" s="8">
        <f>H114</f>
        <v>84921212.5</v>
      </c>
      <c r="I197" s="8">
        <f>I114</f>
        <v>92480312.5</v>
      </c>
      <c r="J197" s="8">
        <f>J114</f>
        <v>98726000</v>
      </c>
      <c r="K197" s="8">
        <f>K114</f>
        <v>109981025</v>
      </c>
      <c r="L197" s="8">
        <f>L114</f>
        <v>120994900</v>
      </c>
      <c r="M197" s="8">
        <f>M114</f>
        <v>132646287.5</v>
      </c>
      <c r="N197" s="8">
        <f>N114</f>
        <v>141400942.475</v>
      </c>
      <c r="O197" s="8">
        <f>O114</f>
        <v>151864612.21815</v>
      </c>
      <c r="P197" s="8">
        <f>P114</f>
        <v>162950728.910075</v>
      </c>
      <c r="Q197" s="8">
        <f>Q114</f>
        <v>175497935.036151</v>
      </c>
      <c r="R197" s="8">
        <f>R114</f>
        <v>187607292.553645</v>
      </c>
    </row>
    <row r="198">
      <c r="C198" s="14" t="inlineStr">
        <is>
          <t>Add-On Acquisitions</t>
        </is>
      </c>
      <c r="G198" s="8">
        <f>G135</f>
        <v>0</v>
      </c>
      <c r="H198" s="8">
        <f>H135</f>
        <v>0</v>
      </c>
      <c r="I198" s="8">
        <f>I135</f>
        <v>0</v>
      </c>
      <c r="J198" s="8">
        <f>J135</f>
        <v>0</v>
      </c>
      <c r="K198" s="8">
        <f>K135</f>
        <v>0</v>
      </c>
      <c r="L198" s="8">
        <f>L135</f>
        <v>0</v>
      </c>
      <c r="M198" s="8">
        <f>M135</f>
        <v>0</v>
      </c>
      <c r="N198" s="8">
        <f>N135</f>
        <v>0</v>
      </c>
      <c r="O198" s="8">
        <f>O135</f>
        <v>4000000</v>
      </c>
      <c r="P198" s="8">
        <f>P135</f>
        <v>7835555.55555556</v>
      </c>
      <c r="Q198" s="8">
        <f>Q135</f>
        <v>10750882.0512821</v>
      </c>
      <c r="R198" s="8">
        <f>R135</f>
        <v>11460664.3076923</v>
      </c>
    </row>
    <row r="199">
      <c r="C199" s="3" t="inlineStr">
        <is>
          <t>Revenue</t>
        </is>
      </c>
      <c r="G199" s="30">
        <f>G197+G198</f>
        <v>88899225</v>
      </c>
      <c r="H199" s="30">
        <f>H197+H198</f>
        <v>84921212.5</v>
      </c>
      <c r="I199" s="30">
        <f>I197+I198</f>
        <v>92480312.5</v>
      </c>
      <c r="J199" s="30">
        <f>J197+J198</f>
        <v>98726000</v>
      </c>
      <c r="K199" s="30">
        <f>K197+K198</f>
        <v>109981025</v>
      </c>
      <c r="L199" s="30">
        <f>L197+L198</f>
        <v>120994900</v>
      </c>
      <c r="M199" s="30">
        <f>M197+M198</f>
        <v>132646287.5</v>
      </c>
      <c r="N199" s="30">
        <f>N197+N198</f>
        <v>141400942.475</v>
      </c>
      <c r="O199" s="30">
        <f>O197+O198</f>
        <v>155864612.21815</v>
      </c>
      <c r="P199" s="30">
        <f>P197+P198</f>
        <v>170786284.465631</v>
      </c>
      <c r="Q199" s="30">
        <f>Q197+Q198</f>
        <v>186248817.087433</v>
      </c>
      <c r="R199" s="30">
        <f>R197+R198</f>
        <v>199067956.861337</v>
      </c>
    </row>
    <row r="200">
      <c r="C200" s="14" t="inlineStr">
        <is>
          <t>Growth (%)</t>
        </is>
      </c>
      <c r="G200" s="20" t="str">
        <f>IFERROR(G199/F199-1,"N/A")</f>
        <v>N/A</v>
      </c>
      <c r="H200" s="20">
        <f>IFERROR(H199/G199-1,"N/A")</f>
        <v>-0.0447474373370521</v>
      </c>
      <c r="I200" s="20">
        <f>IFERROR(I199/H199-1,"N/A")</f>
        <v>0.0890130955207451</v>
      </c>
      <c r="J200" s="20">
        <f>IFERROR(J199/I199-1,"N/A")</f>
        <v>0.0675353200174362</v>
      </c>
      <c r="K200" s="20">
        <f>IFERROR(K199/J199-1,"N/A")</f>
        <v>0.11400264368049</v>
      </c>
      <c r="L200" s="20">
        <f>IFERROR(L199/K199-1,"N/A")</f>
        <v>0.100143411102051</v>
      </c>
      <c r="M200" s="20">
        <f>IFERROR(M199/L199-1,"N/A")</f>
        <v>0.0962965174565209</v>
      </c>
      <c r="N200" s="20">
        <f>IFERROR(N199/M199-1,"N/A")</f>
        <v>0.0660000000000001</v>
      </c>
      <c r="O200" s="20">
        <f>IFERROR(O199/N199-1,"N/A")</f>
        <v>0.102288354589342</v>
      </c>
      <c r="P200" s="20">
        <f>IFERROR(P199/O199-1,"N/A")</f>
        <v>0.0957348306015478</v>
      </c>
      <c r="Q200" s="20">
        <f>IFERROR(Q199/P199-1,"N/A")</f>
        <v>0.0905373207818336</v>
      </c>
      <c r="R200" s="20">
        <f>IFERROR(R199/Q199-1,"N/A")</f>
        <v>0.0688280332426854</v>
      </c>
    </row>
    <row r="201">
      <c r="C201" s="3" t="inlineStr">
        <is>
          <t>Gross Margin:</t>
        </is>
      </c>
    </row>
    <row r="202">
      <c r="C202" s="14" t="inlineStr">
        <is>
          <t>Organic Business</t>
        </is>
      </c>
      <c r="G202" s="8">
        <f>G117</f>
        <v>35634087.5</v>
      </c>
      <c r="H202" s="8">
        <f>H117</f>
        <v>35124150</v>
      </c>
      <c r="I202" s="8">
        <f>I117</f>
        <v>33399012.5</v>
      </c>
      <c r="J202" s="8">
        <f>J117</f>
        <v>35350837.5</v>
      </c>
      <c r="K202" s="8">
        <f>K117</f>
        <v>39043225</v>
      </c>
      <c r="L202" s="8">
        <f>L117</f>
        <v>44403100</v>
      </c>
      <c r="M202" s="8">
        <f>M117</f>
        <v>48024150</v>
      </c>
      <c r="N202" s="8">
        <f>N117</f>
        <v>54637324.17234</v>
      </c>
      <c r="O202" s="8">
        <f>O117</f>
        <v>59318317.5324094</v>
      </c>
      <c r="P202" s="8">
        <f>P117</f>
        <v>63730030.0767303</v>
      </c>
      <c r="Q202" s="8">
        <f>Q117</f>
        <v>67496505.8149036</v>
      </c>
      <c r="R202" s="8">
        <f>R117</f>
        <v>70915556.5852779</v>
      </c>
    </row>
    <row r="203">
      <c r="C203" s="14" t="inlineStr">
        <is>
          <t>Add-On Acquisitions</t>
        </is>
      </c>
      <c r="G203" s="8">
        <f>G143</f>
        <v>0</v>
      </c>
      <c r="H203" s="8">
        <f>H143</f>
        <v>0</v>
      </c>
      <c r="I203" s="8">
        <f>I143</f>
        <v>0</v>
      </c>
      <c r="J203" s="8">
        <f>J143</f>
        <v>0</v>
      </c>
      <c r="K203" s="8">
        <f>K143</f>
        <v>0</v>
      </c>
      <c r="L203" s="8">
        <f>L143</f>
        <v>0</v>
      </c>
      <c r="M203" s="8">
        <f>M143</f>
        <v>0</v>
      </c>
      <c r="N203" s="8">
        <f>N143</f>
        <v>0</v>
      </c>
      <c r="O203" s="8">
        <f>O143</f>
        <v>1440000</v>
      </c>
      <c r="P203" s="8">
        <f>P143</f>
        <v>2785244.44444444</v>
      </c>
      <c r="Q203" s="8">
        <f>Q143</f>
        <v>3808604.71794872</v>
      </c>
      <c r="R203" s="8">
        <f>R143</f>
        <v>4060234.22769231</v>
      </c>
    </row>
    <row r="204">
      <c r="C204" s="3" t="inlineStr">
        <is>
          <t>Gross Margin</t>
        </is>
      </c>
      <c r="G204" s="30">
        <f>G202+G203</f>
        <v>35634087.5</v>
      </c>
      <c r="H204" s="30">
        <f>H202+H203</f>
        <v>35124150</v>
      </c>
      <c r="I204" s="30">
        <f>I202+I203</f>
        <v>33399012.5</v>
      </c>
      <c r="J204" s="30">
        <f>J202+J203</f>
        <v>35350837.5</v>
      </c>
      <c r="K204" s="30">
        <f>K202+K203</f>
        <v>39043225</v>
      </c>
      <c r="L204" s="30">
        <f>L202+L203</f>
        <v>44403100</v>
      </c>
      <c r="M204" s="30">
        <f>M202+M203</f>
        <v>48024150</v>
      </c>
      <c r="N204" s="30">
        <f>N202+N203</f>
        <v>54637324.17234</v>
      </c>
      <c r="O204" s="30">
        <f>O202+O203</f>
        <v>60758317.5324094</v>
      </c>
      <c r="P204" s="30">
        <f>P202+P203</f>
        <v>66515274.5211748</v>
      </c>
      <c r="Q204" s="30">
        <f>Q202+Q203</f>
        <v>71305110.5328523</v>
      </c>
      <c r="R204" s="30">
        <f>R202+R203</f>
        <v>74975790.8129702</v>
      </c>
    </row>
    <row r="205">
      <c r="C205" s="3" t="inlineStr">
        <is>
          <t>EBITDA:</t>
        </is>
      </c>
    </row>
    <row r="206">
      <c r="C206" s="14" t="inlineStr">
        <is>
          <t>Organic Business</t>
        </is>
      </c>
      <c r="G206" s="8">
        <f>G123</f>
        <v>15192487.5</v>
      </c>
      <c r="H206" s="8">
        <f>H123</f>
        <v>16412650</v>
      </c>
      <c r="I206" s="8">
        <f>I123</f>
        <v>12611712.5</v>
      </c>
      <c r="J206" s="8">
        <f>J123</f>
        <v>12519412.5</v>
      </c>
      <c r="K206" s="8">
        <f>K123</f>
        <v>13173600</v>
      </c>
      <c r="L206" s="8">
        <f>L123</f>
        <v>16835700</v>
      </c>
      <c r="M206" s="8">
        <f>M123</f>
        <v>18117962.5</v>
      </c>
      <c r="N206" s="8">
        <f>N123</f>
        <v>22313068.722555</v>
      </c>
      <c r="O206" s="8">
        <f>O123</f>
        <v>24435016.1059003</v>
      </c>
      <c r="P206" s="8">
        <f>P123</f>
        <v>26332837.7918681</v>
      </c>
      <c r="Q206" s="8">
        <f>Q123</f>
        <v>27079331.3760781</v>
      </c>
      <c r="R206" s="8">
        <f>R123</f>
        <v>27747118.5686841</v>
      </c>
    </row>
    <row r="207">
      <c r="C207" s="14" t="inlineStr">
        <is>
          <t>Add-On Acquisitions</t>
        </is>
      </c>
      <c r="G207" s="8">
        <f>G151</f>
        <v>0</v>
      </c>
      <c r="H207" s="8">
        <f>H151</f>
        <v>0</v>
      </c>
      <c r="I207" s="8">
        <f>I151</f>
        <v>0</v>
      </c>
      <c r="J207" s="8">
        <f>J151</f>
        <v>0</v>
      </c>
      <c r="K207" s="8">
        <f>K151</f>
        <v>0</v>
      </c>
      <c r="L207" s="8">
        <f>L151</f>
        <v>0</v>
      </c>
      <c r="M207" s="8">
        <f>M151</f>
        <v>0</v>
      </c>
      <c r="N207" s="8">
        <f>N151</f>
        <v>0</v>
      </c>
      <c r="O207" s="8">
        <f>O151</f>
        <v>560000</v>
      </c>
      <c r="P207" s="8">
        <f>P151</f>
        <v>1079200</v>
      </c>
      <c r="Q207" s="8">
        <f>Q151</f>
        <v>1462344</v>
      </c>
      <c r="R207" s="8">
        <f>R151</f>
        <v>1559052.08</v>
      </c>
    </row>
    <row r="208">
      <c r="C208" s="3" t="inlineStr">
        <is>
          <t>EBITDA</t>
        </is>
      </c>
      <c r="G208" s="30">
        <f>G206+G207</f>
        <v>15192487.5</v>
      </c>
      <c r="H208" s="30">
        <f>H206+H207</f>
        <v>16412650</v>
      </c>
      <c r="I208" s="30">
        <f>I206+I207</f>
        <v>12611712.5</v>
      </c>
      <c r="J208" s="30">
        <f>J206+J207</f>
        <v>12519412.5</v>
      </c>
      <c r="K208" s="30">
        <f>K206+K207</f>
        <v>13173600</v>
      </c>
      <c r="L208" s="30">
        <f>L206+L207</f>
        <v>16835700</v>
      </c>
      <c r="M208" s="30">
        <f>M206+M207</f>
        <v>18117962.5</v>
      </c>
      <c r="N208" s="30">
        <f>N206+N207</f>
        <v>22313068.722555</v>
      </c>
      <c r="O208" s="30">
        <f>O206+O207</f>
        <v>24995016.1059003</v>
      </c>
      <c r="P208" s="30">
        <f>P206+P207</f>
        <v>27412037.7918681</v>
      </c>
      <c r="Q208" s="30">
        <f>Q206+Q207</f>
        <v>28541675.3760781</v>
      </c>
      <c r="R208" s="30">
        <f>R206+R207</f>
        <v>29306170.6486841</v>
      </c>
    </row>
    <row r="209">
      <c r="C209" s="14" t="inlineStr">
        <is>
          <t>Margin (%)</t>
        </is>
      </c>
      <c r="G209" s="20">
        <f>IFERROR(G208/G$199,"N/A")</f>
        <v>0.170895612419568</v>
      </c>
      <c r="H209" s="20">
        <f>IFERROR(H208/H$199,"N/A")</f>
        <v>0.193269143442812</v>
      </c>
      <c r="I209" s="20">
        <f>IFERROR(I208/I$199,"N/A")</f>
        <v>0.136371862930286</v>
      </c>
      <c r="J209" s="20">
        <f>IFERROR(J208/J$199,"N/A")</f>
        <v>0.126809680327371</v>
      </c>
      <c r="K209" s="20">
        <f>IFERROR(K208/K$199,"N/A")</f>
        <v>0.119780662164223</v>
      </c>
      <c r="L209" s="20">
        <f>IFERROR(L208/L$199,"N/A")</f>
        <v>0.139143881271029</v>
      </c>
      <c r="M209" s="20">
        <f>IFERROR(M208/M$199,"N/A")</f>
        <v>0.136588538145103</v>
      </c>
      <c r="N209" s="20">
        <f>IFERROR(N208/N$199,"N/A")</f>
        <v>0.1578</v>
      </c>
      <c r="O209" s="20">
        <f>IFERROR(O208/O$199,"N/A")</f>
        <v>0.160363637070594</v>
      </c>
      <c r="P209" s="20">
        <f>IFERROR(P208/P$199,"N/A")</f>
        <v>0.160504913363723</v>
      </c>
      <c r="Q209" s="20">
        <f>IFERROR(Q208/Q$199,"N/A")</f>
        <v>0.153244867926756</v>
      </c>
      <c r="R209" s="20">
        <f>IFERROR(R208/R$199,"N/A")</f>
        <v>0.147216915824869</v>
      </c>
    </row>
    <row r="210">
      <c r="C210" s="14" t="inlineStr">
        <is>
          <t>(-) Organic D&amp;A</t>
        </is>
      </c>
      <c r="G210" s="8">
        <f>G125</f>
        <v>-2496425</v>
      </c>
      <c r="H210" s="8">
        <f>H125</f>
        <v>-2291725</v>
      </c>
      <c r="I210" s="8">
        <f>I125</f>
        <v>-2763200</v>
      </c>
      <c r="J210" s="8">
        <f>J125</f>
        <v>-2789962.5</v>
      </c>
      <c r="K210" s="8">
        <f>K125</f>
        <v>-3298462.5</v>
      </c>
      <c r="L210" s="8">
        <f>L125</f>
        <v>-3402462.5</v>
      </c>
      <c r="M210" s="8">
        <f>M125</f>
        <v>-3528850</v>
      </c>
      <c r="N210" s="8">
        <f>N125</f>
        <v>-3888525.9180625</v>
      </c>
      <c r="O210" s="8">
        <f>O125</f>
        <v>-4237022.68088639</v>
      </c>
      <c r="P210" s="8">
        <f>P125</f>
        <v>-4546325.33659109</v>
      </c>
      <c r="Q210" s="8">
        <f>Q125</f>
        <v>-4878842.59400499</v>
      </c>
      <c r="R210" s="8">
        <f>R125</f>
        <v>-5196722.00373597</v>
      </c>
    </row>
    <row r="211">
      <c r="C211" s="14" t="inlineStr">
        <is>
          <t>(-) Add-On Acquisitions D&amp;A</t>
        </is>
      </c>
      <c r="G211" s="8">
        <f>-G167</f>
        <v>-0</v>
      </c>
      <c r="H211" s="8">
        <f>-H167</f>
        <v>-0</v>
      </c>
      <c r="I211" s="8">
        <f>-I167</f>
        <v>-0</v>
      </c>
      <c r="J211" s="8">
        <f>-J167</f>
        <v>-0</v>
      </c>
      <c r="K211" s="8">
        <f>-K167</f>
        <v>-0</v>
      </c>
      <c r="L211" s="8">
        <f>-L167</f>
        <v>-0</v>
      </c>
      <c r="M211" s="8">
        <f>-M167</f>
        <v>-0</v>
      </c>
      <c r="N211" s="8">
        <f>-N167</f>
        <v>-0</v>
      </c>
      <c r="O211" s="8">
        <f>-O167</f>
        <v>-90000</v>
      </c>
      <c r="P211" s="8">
        <f>-P167</f>
        <v>-176300</v>
      </c>
      <c r="Q211" s="8">
        <f>-Q167</f>
        <v>-238317.923076923</v>
      </c>
      <c r="R211" s="8">
        <f>-R167</f>
        <v>-254073.408461538</v>
      </c>
    </row>
    <row r="212">
      <c r="C212" s="3" t="inlineStr">
        <is>
          <t>EBIT</t>
        </is>
      </c>
      <c r="G212" s="30">
        <f>G208+G210+G211</f>
        <v>12696062.5</v>
      </c>
      <c r="H212" s="30">
        <f>H208+H210+H211</f>
        <v>14120925</v>
      </c>
      <c r="I212" s="30">
        <f>I208+I210+I211</f>
        <v>9848512.5</v>
      </c>
      <c r="J212" s="30">
        <f>J208+J210+J211</f>
        <v>9729450</v>
      </c>
      <c r="K212" s="30">
        <f>K208+K210+K211</f>
        <v>9875137.5</v>
      </c>
      <c r="L212" s="30">
        <f>L208+L210+L211</f>
        <v>13433237.5</v>
      </c>
      <c r="M212" s="30">
        <f>M208+M210+M211</f>
        <v>14589112.5</v>
      </c>
      <c r="N212" s="30">
        <f>N208+N210+N211</f>
        <v>18424542.8044925</v>
      </c>
      <c r="O212" s="30">
        <f>O208+O210+O211</f>
        <v>20667993.4250139</v>
      </c>
      <c r="P212" s="30">
        <f>P208+P210+P211</f>
        <v>22689412.455277</v>
      </c>
      <c r="Q212" s="30">
        <f>Q208+Q210+Q211</f>
        <v>23424514.8589962</v>
      </c>
      <c r="R212" s="30">
        <f>R208+R210+R211</f>
        <v>23855375.2364866</v>
      </c>
    </row>
    <row r="213">
      <c r="C213" s="14" t="inlineStr">
        <is>
          <t>(-) Net Interest Expense</t>
        </is>
      </c>
      <c r="G213" s="26" t="n">
        <v>-1060000</v>
      </c>
      <c r="H213" s="26" t="n">
        <v>-937000</v>
      </c>
      <c r="I213" s="26" t="n">
        <v>-850000</v>
      </c>
      <c r="J213" s="26" t="n">
        <v>-788000</v>
      </c>
      <c r="K213" s="26" t="n">
        <v>-742000</v>
      </c>
      <c r="L213" s="26" t="n">
        <v>-663000</v>
      </c>
      <c r="M213" s="26" t="n">
        <v>-525000</v>
      </c>
      <c r="N213" s="8">
        <f>-M230*N42</f>
        <v>-518305</v>
      </c>
      <c r="O213" s="8">
        <f>-N230*O42</f>
        <v>-414644</v>
      </c>
      <c r="P213" s="8">
        <f>-O230*P42</f>
        <v>-590465.2</v>
      </c>
      <c r="Q213" s="8">
        <f>-P230*Q42</f>
        <v>-472372.16</v>
      </c>
      <c r="R213" s="8">
        <f>-Q230*R42</f>
        <v>-377897.728</v>
      </c>
    </row>
    <row r="214">
      <c r="C214" s="14" t="inlineStr">
        <is>
          <t>(+) Investment Income</t>
        </is>
      </c>
      <c r="G214" s="26" t="n">
        <v>90700</v>
      </c>
      <c r="H214" s="26" t="n">
        <v>74700</v>
      </c>
      <c r="I214" s="26" t="n">
        <v>73600</v>
      </c>
      <c r="J214" s="26" t="n">
        <v>126500</v>
      </c>
      <c r="K214" s="26" t="n">
        <v>86300</v>
      </c>
      <c r="L214" s="26" t="n">
        <v>125300</v>
      </c>
      <c r="M214" s="26" t="n">
        <v>172200</v>
      </c>
      <c r="N214" s="8">
        <f>M227*N44</f>
        <v>207180</v>
      </c>
      <c r="O214" s="8">
        <f>N227*O44</f>
        <v>226661.812559162</v>
      </c>
      <c r="P214" s="8">
        <f>O227*P44</f>
        <v>439393.877367379</v>
      </c>
      <c r="Q214" s="8">
        <f>P227*Q44</f>
        <v>599398.786689752</v>
      </c>
      <c r="R214" s="8">
        <f>Q227*R44</f>
        <v>775986.035730221</v>
      </c>
    </row>
    <row r="215">
      <c r="C215" s="3" t="inlineStr">
        <is>
          <t>EBT</t>
        </is>
      </c>
      <c r="G215" s="30">
        <f>G212+G213+G214</f>
        <v>11726762.5</v>
      </c>
      <c r="H215" s="30">
        <f>H212+H213+H214</f>
        <v>13258625</v>
      </c>
      <c r="I215" s="30">
        <f>I212+I213+I214</f>
        <v>9072112.5</v>
      </c>
      <c r="J215" s="30">
        <f>J212+J213+J214</f>
        <v>9067950</v>
      </c>
      <c r="K215" s="30">
        <f>K212+K213+K214</f>
        <v>9219437.5</v>
      </c>
      <c r="L215" s="30">
        <f>L212+L213+L214</f>
        <v>12895537.5</v>
      </c>
      <c r="M215" s="30">
        <f>M212+M213+M214</f>
        <v>14236312.5</v>
      </c>
      <c r="N215" s="30">
        <f>N212+N213+N214</f>
        <v>18113417.8044925</v>
      </c>
      <c r="O215" s="30">
        <f>O212+O213+O214</f>
        <v>20480011.2375731</v>
      </c>
      <c r="P215" s="30">
        <f>P212+P213+P214</f>
        <v>22538341.1326444</v>
      </c>
      <c r="Q215" s="30">
        <f>Q212+Q213+Q214</f>
        <v>23551541.4856859</v>
      </c>
      <c r="R215" s="30">
        <f>R212+R213+R214</f>
        <v>24253463.5442168</v>
      </c>
    </row>
    <row r="216">
      <c r="C216" s="14" t="inlineStr">
        <is>
          <t>(-) Income Tax</t>
        </is>
      </c>
      <c r="G216" s="8">
        <f>-MAX(0,G215)*G21</f>
        <v>-2849603.2875</v>
      </c>
      <c r="H216" s="8">
        <f>-MAX(0,H215)*H21</f>
        <v>-3433983.875</v>
      </c>
      <c r="I216" s="8">
        <f>-MAX(0,I215)*I21</f>
        <v>-2268028.125</v>
      </c>
      <c r="J216" s="8">
        <f>-MAX(0,J215)*J21</f>
        <v>-2248851.6</v>
      </c>
      <c r="K216" s="8">
        <f>-MAX(0,K215)*K21</f>
        <v>-2212665</v>
      </c>
      <c r="L216" s="8">
        <f>-MAX(0,L215)*L21</f>
        <v>-3133615.6125</v>
      </c>
      <c r="M216" s="8">
        <f>-MAX(0,M215)*M21</f>
        <v>-3544841.8125</v>
      </c>
      <c r="N216" s="8">
        <f>-MAX(0,N215)*N21</f>
        <v>-4528354.45112312</v>
      </c>
      <c r="O216" s="8">
        <f>-MAX(0,O215)*O21</f>
        <v>-5120002.80939328</v>
      </c>
      <c r="P216" s="8">
        <f>-MAX(0,P215)*P21</f>
        <v>-5634585.2831611</v>
      </c>
      <c r="Q216" s="8">
        <f>-MAX(0,Q215)*Q21</f>
        <v>-5887885.37142148</v>
      </c>
      <c r="R216" s="8">
        <f>-MAX(0,R215)*R21</f>
        <v>-6063365.88605421</v>
      </c>
    </row>
    <row r="217">
      <c r="C217" s="3" t="inlineStr">
        <is>
          <t>Net Income</t>
        </is>
      </c>
      <c r="G217" s="31">
        <f>G215+G216</f>
        <v>8877159.2125</v>
      </c>
      <c r="H217" s="31">
        <f>H215+H216</f>
        <v>9824641.125</v>
      </c>
      <c r="I217" s="31">
        <f>I215+I216</f>
        <v>6804084.375</v>
      </c>
      <c r="J217" s="31">
        <f>J215+J216</f>
        <v>6819098.4</v>
      </c>
      <c r="K217" s="31">
        <f>K215+K216</f>
        <v>7006772.5</v>
      </c>
      <c r="L217" s="31">
        <f>L215+L216</f>
        <v>9761921.8875</v>
      </c>
      <c r="M217" s="31">
        <f>M215+M216</f>
        <v>10691470.6875</v>
      </c>
      <c r="N217" s="31">
        <f>N215+N216</f>
        <v>13585063.3533694</v>
      </c>
      <c r="O217" s="31">
        <f>O215+O216</f>
        <v>15360008.4281798</v>
      </c>
      <c r="P217" s="31">
        <f>P215+P216</f>
        <v>16903755.8494833</v>
      </c>
      <c r="Q217" s="31">
        <f>Q215+Q216</f>
        <v>17663656.1142644</v>
      </c>
      <c r="R217" s="31">
        <f>R215+R216</f>
        <v>18190097.6581626</v>
      </c>
    </row>
    <row r="219">
      <c r="C219" s="25" t="inlineStr">
        <is>
          <t>D</t>
        </is>
      </c>
      <c r="D219" s="25" t="inlineStr">
        <is>
          <t>Balance Sheet</t>
        </is>
      </c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</row>
    <row r="220">
      <c r="C220" s="3" t="inlineStr">
        <is>
          <t>Assets:</t>
        </is>
      </c>
    </row>
    <row r="221">
      <c r="C221" s="14" t="inlineStr">
        <is>
          <t>Gross Tangible &amp; Intangible Assets (incl. add-on goodwill)</t>
        </is>
      </c>
      <c r="G221" s="26" t="n">
        <v>23975000</v>
      </c>
      <c r="H221" s="26" t="n">
        <v>25867000</v>
      </c>
      <c r="I221" s="26" t="n">
        <v>29000000</v>
      </c>
      <c r="J221" s="26" t="n">
        <v>30667000</v>
      </c>
      <c r="K221" s="26" t="n">
        <v>33251000</v>
      </c>
      <c r="L221" s="26" t="n">
        <v>35655000</v>
      </c>
      <c r="M221" s="26" t="n">
        <v>37517000</v>
      </c>
      <c r="N221" s="8">
        <f>M221+N47+N159+N183</f>
        <v>42324632.04415</v>
      </c>
      <c r="O221" s="8">
        <f>N221+O47+O159+O183</f>
        <v>50592164.247349</v>
      </c>
      <c r="P221" s="8">
        <f>O221+P47+P159+P183</f>
        <v>58825654.239138</v>
      </c>
      <c r="Q221" s="8">
        <f>P221+Q47+Q159+Q183</f>
        <v>66433345.3910641</v>
      </c>
      <c r="R221" s="8">
        <f>Q221+R47+R159+R183</f>
        <v>72400328.7122888</v>
      </c>
    </row>
    <row r="222">
      <c r="C222" s="14" t="inlineStr">
        <is>
          <t>Less: Accumulated Depreciation</t>
        </is>
      </c>
      <c r="G222" s="26" t="n">
        <v>-9671000</v>
      </c>
      <c r="H222" s="26" t="n">
        <v>-10975000</v>
      </c>
      <c r="I222" s="26" t="n">
        <v>-11710000</v>
      </c>
      <c r="J222" s="26" t="n">
        <v>-13604000</v>
      </c>
      <c r="K222" s="26" t="n">
        <v>-14858000</v>
      </c>
      <c r="L222" s="26" t="n">
        <v>-15785000</v>
      </c>
      <c r="M222" s="26" t="n">
        <v>-16582000</v>
      </c>
      <c r="N222" s="8">
        <f>M222+N210+N211</f>
        <v>-20470525.9180625</v>
      </c>
      <c r="O222" s="8">
        <f>N222+O210+O211</f>
        <v>-24797548.5989489</v>
      </c>
      <c r="P222" s="8">
        <f>O222+P210+P211</f>
        <v>-29520173.93554</v>
      </c>
      <c r="Q222" s="8">
        <f>P222+Q210+Q211</f>
        <v>-34637334.4526219</v>
      </c>
      <c r="R222" s="8">
        <f>Q222+R210+R211</f>
        <v>-40088129.8648194</v>
      </c>
    </row>
    <row r="223">
      <c r="C223" s="29" t="inlineStr">
        <is>
          <t>Net Fixed Assets</t>
        </is>
      </c>
      <c r="G223" s="30">
        <f>G221+G222</f>
        <v>14304000</v>
      </c>
      <c r="H223" s="30">
        <f>H221+H222</f>
        <v>14892000</v>
      </c>
      <c r="I223" s="30">
        <f>I221+I222</f>
        <v>17290000</v>
      </c>
      <c r="J223" s="30">
        <f>J221+J222</f>
        <v>17063000</v>
      </c>
      <c r="K223" s="30">
        <f>K221+K222</f>
        <v>18393000</v>
      </c>
      <c r="L223" s="30">
        <f>L221+L222</f>
        <v>19870000</v>
      </c>
      <c r="M223" s="30">
        <f>M221+M222</f>
        <v>20935000</v>
      </c>
      <c r="N223" s="30">
        <f>N221+N222</f>
        <v>21854106.1260875</v>
      </c>
      <c r="O223" s="30">
        <f>O221+O222</f>
        <v>25794615.6484001</v>
      </c>
      <c r="P223" s="30">
        <f>P221+P222</f>
        <v>29305480.303598</v>
      </c>
      <c r="Q223" s="30">
        <f>Q221+Q222</f>
        <v>31796010.9384422</v>
      </c>
      <c r="R223" s="30">
        <f>R221+R222</f>
        <v>32312198.8474694</v>
      </c>
    </row>
    <row r="224">
      <c r="C224" s="14" t="inlineStr">
        <is>
          <t>Inventory</t>
        </is>
      </c>
      <c r="G224" s="26" t="n">
        <v>6194000</v>
      </c>
      <c r="H224" s="26" t="n">
        <v>6021000</v>
      </c>
      <c r="I224" s="26" t="n">
        <v>6590000</v>
      </c>
      <c r="J224" s="26" t="n">
        <v>6828000</v>
      </c>
      <c r="K224" s="26" t="n">
        <v>7557000</v>
      </c>
      <c r="L224" s="26" t="n">
        <v>8508000</v>
      </c>
      <c r="M224" s="26" t="n">
        <v>8919000</v>
      </c>
      <c r="N224" s="8">
        <f>-N116*N28/365</f>
        <v>15688763.8574673</v>
      </c>
      <c r="O224" s="8">
        <f>-O116*O28/365</f>
        <v>16480846.9988305</v>
      </c>
      <c r="P224" s="8">
        <f>-P116*P28/365</f>
        <v>17397601.9872166</v>
      </c>
      <c r="Q224" s="8">
        <f>-Q116*Q28/365</f>
        <v>18641342.5779139</v>
      </c>
      <c r="R224" s="8">
        <f>-R116*R28/365</f>
        <v>19821609.9453117</v>
      </c>
    </row>
    <row r="225">
      <c r="C225" s="14" t="inlineStr">
        <is>
          <t>Receivables</t>
        </is>
      </c>
      <c r="G225" s="26" t="n">
        <v>5307000</v>
      </c>
      <c r="H225" s="26" t="n">
        <v>5356000</v>
      </c>
      <c r="I225" s="26" t="n">
        <v>5802000</v>
      </c>
      <c r="J225" s="26" t="n">
        <v>6316000</v>
      </c>
      <c r="K225" s="26" t="n">
        <v>6962000</v>
      </c>
      <c r="L225" s="26" t="n">
        <v>7270000</v>
      </c>
      <c r="M225" s="26" t="n">
        <v>7850000</v>
      </c>
      <c r="N225" s="8">
        <f>N199*N30/365</f>
        <v>15108593.8534932</v>
      </c>
      <c r="O225" s="8">
        <f>O199*O30/365</f>
        <v>16227000.7240814</v>
      </c>
      <c r="P225" s="8">
        <f>P199*P30/365</f>
        <v>17780489.8895725</v>
      </c>
      <c r="Q225" s="8">
        <f>Q199*Q30/365</f>
        <v>18880017.0746165</v>
      </c>
      <c r="R225" s="8">
        <f>R199*R30/365</f>
        <v>20179491.5174506</v>
      </c>
    </row>
    <row r="226">
      <c r="C226" s="14" t="inlineStr">
        <is>
          <t>Other Current Assets</t>
        </is>
      </c>
      <c r="G226" s="26" t="n">
        <v>1353000</v>
      </c>
      <c r="H226" s="26" t="n">
        <v>1291000</v>
      </c>
      <c r="I226" s="26" t="n">
        <v>1481000</v>
      </c>
      <c r="J226" s="26" t="n">
        <v>1539000</v>
      </c>
      <c r="K226" s="26" t="n">
        <v>1650000</v>
      </c>
      <c r="L226" s="26" t="n">
        <v>1889000</v>
      </c>
      <c r="M226" s="26" t="n">
        <v>1976000</v>
      </c>
      <c r="N226" s="8">
        <f>N199*N32/365+SUM($G175:N175)</f>
        <v>3873998.4239726</v>
      </c>
      <c r="O226" s="8">
        <f>O199*O32/365+SUM($G175:O175)</f>
        <v>4350263.34844247</v>
      </c>
      <c r="P226" s="8">
        <f>P199*P32/365+SUM($G175:P175)</f>
        <v>4915787.39784072</v>
      </c>
      <c r="Q226" s="8">
        <f>Q199*Q32/365+SUM($G175:Q175)</f>
        <v>5554436.06960067</v>
      </c>
      <c r="R226" s="8">
        <f>R199*R32/365+SUM($G175:R175)</f>
        <v>6134858.66462861</v>
      </c>
    </row>
    <row r="227">
      <c r="C227" s="14" t="inlineStr">
        <is>
          <t>Cash</t>
        </is>
      </c>
      <c r="G227" s="26" t="n">
        <v>3691000</v>
      </c>
      <c r="H227" s="26" t="n">
        <v>2916000</v>
      </c>
      <c r="I227" s="26" t="n">
        <v>3009000</v>
      </c>
      <c r="J227" s="26" t="n">
        <v>4954000</v>
      </c>
      <c r="K227" s="26" t="n">
        <v>3475000</v>
      </c>
      <c r="L227" s="26" t="n">
        <v>4895000</v>
      </c>
      <c r="M227" s="26" t="n">
        <v>6906000</v>
      </c>
      <c r="N227" s="8">
        <f>N264</f>
        <v>7555393.75197208</v>
      </c>
      <c r="O227" s="8">
        <f>O264</f>
        <v>14646462.5789126</v>
      </c>
      <c r="P227" s="8">
        <f>P264</f>
        <v>19979959.5563251</v>
      </c>
      <c r="Q227" s="8">
        <f>Q264</f>
        <v>25866201.1910074</v>
      </c>
      <c r="R227" s="8">
        <f>R264</f>
        <v>33097204.551733</v>
      </c>
    </row>
    <row r="228">
      <c r="C228" s="3" t="inlineStr">
        <is>
          <t>Total Assets</t>
        </is>
      </c>
      <c r="G228" s="31">
        <f>G223+SUM(G224:G227)</f>
        <v>30849000</v>
      </c>
      <c r="H228" s="31">
        <f>H223+SUM(H224:H227)</f>
        <v>30476000</v>
      </c>
      <c r="I228" s="31">
        <f>I223+SUM(I224:I227)</f>
        <v>34172000</v>
      </c>
      <c r="J228" s="31">
        <f>J223+SUM(J224:J227)</f>
        <v>36700000</v>
      </c>
      <c r="K228" s="31">
        <f>K223+SUM(K224:K227)</f>
        <v>38037000</v>
      </c>
      <c r="L228" s="31">
        <f>L223+SUM(L224:L227)</f>
        <v>42432000</v>
      </c>
      <c r="M228" s="31">
        <f>M223+SUM(M224:M227)</f>
        <v>46586000</v>
      </c>
      <c r="N228" s="31">
        <f>N223+SUM(N224:N227)</f>
        <v>64080856.0129926</v>
      </c>
      <c r="O228" s="31">
        <f>O223+SUM(O224:O227)</f>
        <v>77499189.298667</v>
      </c>
      <c r="P228" s="31">
        <f>P223+SUM(P224:P227)</f>
        <v>89379319.1345529</v>
      </c>
      <c r="Q228" s="31">
        <f>Q223+SUM(Q224:Q227)</f>
        <v>100738007.851581</v>
      </c>
      <c r="R228" s="31">
        <f>R223+SUM(R224:R227)</f>
        <v>111545363.526593</v>
      </c>
    </row>
    <row r="229">
      <c r="C229" s="3" t="inlineStr">
        <is>
          <t>Liabilities:</t>
        </is>
      </c>
    </row>
    <row r="230">
      <c r="C230" s="14" t="inlineStr">
        <is>
          <t>Loans</t>
        </is>
      </c>
      <c r="G230" s="26" t="n">
        <v>8720000</v>
      </c>
      <c r="H230" s="26" t="n">
        <v>7987000</v>
      </c>
      <c r="I230" s="26" t="n">
        <v>7145000</v>
      </c>
      <c r="J230" s="26" t="n">
        <v>6629000</v>
      </c>
      <c r="K230" s="26" t="n">
        <v>6031000</v>
      </c>
      <c r="L230" s="26" t="n">
        <v>5373000</v>
      </c>
      <c r="M230" s="26" t="n">
        <v>4507000</v>
      </c>
      <c r="N230" s="8">
        <f>M230*(1-N41)+N40</f>
        <v>3605600</v>
      </c>
      <c r="O230" s="8">
        <f>N230*(1-O41)+O40</f>
        <v>5134480</v>
      </c>
      <c r="P230" s="8">
        <f>O230*(1-P41)+P40</f>
        <v>4107584</v>
      </c>
      <c r="Q230" s="8">
        <f>P230*(1-Q41)+Q40</f>
        <v>3286067.2</v>
      </c>
      <c r="R230" s="8">
        <f>Q230*(1-R41)+R40</f>
        <v>2628853.76</v>
      </c>
    </row>
    <row r="231">
      <c r="C231" s="14" t="inlineStr">
        <is>
          <t>Other Non-Current Liabilities</t>
        </is>
      </c>
      <c r="G231" s="26" t="n">
        <v>1037000</v>
      </c>
      <c r="H231" s="26" t="n">
        <v>976000</v>
      </c>
      <c r="I231" s="26" t="n">
        <v>1086000</v>
      </c>
      <c r="J231" s="26" t="n">
        <v>1141000</v>
      </c>
      <c r="K231" s="26" t="n">
        <v>1240000</v>
      </c>
      <c r="L231" s="26" t="n">
        <v>1357000</v>
      </c>
      <c r="M231" s="26" t="n">
        <v>1542000</v>
      </c>
      <c r="N231" s="8">
        <f>M231*(1+N45)</f>
        <v>1572840</v>
      </c>
      <c r="O231" s="8">
        <f>N231*(1+O45)</f>
        <v>1604296.8</v>
      </c>
      <c r="P231" s="8">
        <f>O231*(1+P45)</f>
        <v>1636382.736</v>
      </c>
      <c r="Q231" s="8">
        <f>P231*(1+Q45)</f>
        <v>1669110.39072</v>
      </c>
      <c r="R231" s="8">
        <f>Q231*(1+R45)</f>
        <v>1702492.5985344</v>
      </c>
    </row>
    <row r="232">
      <c r="C232" s="14" t="inlineStr">
        <is>
          <t>Accounts Payable</t>
        </is>
      </c>
      <c r="G232" s="26" t="n">
        <v>6205000</v>
      </c>
      <c r="H232" s="26" t="n">
        <v>5961000</v>
      </c>
      <c r="I232" s="26" t="n">
        <v>6370000</v>
      </c>
      <c r="J232" s="26" t="n">
        <v>7193000</v>
      </c>
      <c r="K232" s="26" t="n">
        <v>7600000</v>
      </c>
      <c r="L232" s="26" t="n">
        <v>8358000</v>
      </c>
      <c r="M232" s="26" t="n">
        <v>8947000</v>
      </c>
      <c r="N232" s="8">
        <f>-(N116+N118)*N35/365</f>
        <v>16205090.3674144</v>
      </c>
      <c r="O232" s="8">
        <f>-(O116+O118)*O35/365</f>
        <v>17019612.7148888</v>
      </c>
      <c r="P232" s="8">
        <f>-(P116+P118)*P35/365</f>
        <v>18247981.5719506</v>
      </c>
      <c r="Q232" s="8">
        <f>-(Q116+Q118)*Q35/365</f>
        <v>19543834.698634</v>
      </c>
      <c r="R232" s="8">
        <f>-(R116+R118)*R35/365</f>
        <v>21089938.0414908</v>
      </c>
    </row>
    <row r="233">
      <c r="C233" s="14" t="inlineStr">
        <is>
          <t>Other Current Liabilities</t>
        </is>
      </c>
      <c r="G233" s="26" t="n">
        <v>2086000</v>
      </c>
      <c r="H233" s="26" t="n">
        <v>1992000</v>
      </c>
      <c r="I233" s="26" t="n">
        <v>2160000</v>
      </c>
      <c r="J233" s="26" t="n">
        <v>2310000</v>
      </c>
      <c r="K233" s="26" t="n">
        <v>2552000</v>
      </c>
      <c r="L233" s="26" t="n">
        <v>2787000</v>
      </c>
      <c r="M233" s="26" t="n">
        <v>2943000</v>
      </c>
      <c r="N233" s="8">
        <f>N199*N37/365</f>
        <v>5810997.6359589</v>
      </c>
      <c r="O233" s="8">
        <f>O199*O37/365</f>
        <v>6405395.0226637</v>
      </c>
      <c r="P233" s="8">
        <f>P199*P37/365</f>
        <v>7018614.43009441</v>
      </c>
      <c r="Q233" s="8">
        <f>Q199*Q37/365</f>
        <v>7654060.97619587</v>
      </c>
      <c r="R233" s="8">
        <f>R199*R37/365</f>
        <v>8180874.93950702</v>
      </c>
    </row>
    <row r="234">
      <c r="C234" s="3" t="inlineStr">
        <is>
          <t>Total Liabilities</t>
        </is>
      </c>
      <c r="G234" s="30">
        <f>SUM(G230:G233)</f>
        <v>18048000</v>
      </c>
      <c r="H234" s="30">
        <f>SUM(H230:H233)</f>
        <v>16916000</v>
      </c>
      <c r="I234" s="30">
        <f>SUM(I230:I233)</f>
        <v>16761000</v>
      </c>
      <c r="J234" s="30">
        <f>SUM(J230:J233)</f>
        <v>17273000</v>
      </c>
      <c r="K234" s="30">
        <f>SUM(K230:K233)</f>
        <v>17423000</v>
      </c>
      <c r="L234" s="30">
        <f>SUM(L230:L233)</f>
        <v>17875000</v>
      </c>
      <c r="M234" s="30">
        <f>SUM(M230:M233)</f>
        <v>17939000</v>
      </c>
      <c r="N234" s="30">
        <f>SUM(N230:N233)</f>
        <v>27194528.0033733</v>
      </c>
      <c r="O234" s="30">
        <f>SUM(O230:O233)</f>
        <v>30163784.5375525</v>
      </c>
      <c r="P234" s="30">
        <f>SUM(P230:P233)</f>
        <v>31010562.738045</v>
      </c>
      <c r="Q234" s="30">
        <f>SUM(Q230:Q233)</f>
        <v>32153073.2655499</v>
      </c>
      <c r="R234" s="30">
        <f>SUM(R230:R233)</f>
        <v>33602159.3395322</v>
      </c>
    </row>
    <row r="235">
      <c r="C235" s="3" t="inlineStr">
        <is>
          <t>Shareholders' Equity:</t>
        </is>
      </c>
    </row>
    <row r="236">
      <c r="C236" s="14" t="inlineStr">
        <is>
          <t>Share Capital</t>
        </is>
      </c>
      <c r="G236" s="26" t="n">
        <v>12000000</v>
      </c>
      <c r="H236" s="26" t="n">
        <v>12000000</v>
      </c>
      <c r="I236" s="26" t="n">
        <v>12000000</v>
      </c>
      <c r="J236" s="26" t="n">
        <v>12000000</v>
      </c>
      <c r="K236" s="26" t="n">
        <v>12000000</v>
      </c>
      <c r="L236" s="26" t="n">
        <v>12000000</v>
      </c>
      <c r="M236" s="26" t="n">
        <v>12000000</v>
      </c>
      <c r="N236" s="8">
        <f>M236+N192</f>
        <v>12000000</v>
      </c>
      <c r="O236" s="8">
        <f>N236+O192</f>
        <v>13881600</v>
      </c>
      <c r="P236" s="8">
        <f>O236+P192</f>
        <v>15691200</v>
      </c>
      <c r="Q236" s="8">
        <f>P236+Q192</f>
        <v>16695600</v>
      </c>
      <c r="R236" s="8">
        <f>Q236+R192</f>
        <v>16695600</v>
      </c>
    </row>
    <row r="237">
      <c r="C237" s="14" t="inlineStr">
        <is>
          <t>Reserves</t>
        </is>
      </c>
      <c r="G237" s="26" t="n">
        <v>-8076159.21</v>
      </c>
      <c r="H237" s="26" t="n">
        <v>-8264641.12</v>
      </c>
      <c r="I237" s="26" t="n">
        <v>-1393084.38</v>
      </c>
      <c r="J237" s="26" t="n">
        <v>607901.6</v>
      </c>
      <c r="K237" s="26" t="n">
        <v>1607227.5</v>
      </c>
      <c r="L237" s="26" t="n">
        <v>2795078.11</v>
      </c>
      <c r="M237" s="26" t="n">
        <v>5955529.31</v>
      </c>
      <c r="N237" s="8">
        <f>M237+M238-N279</f>
        <v>11301264.65375</v>
      </c>
      <c r="O237" s="8">
        <f>N237+N238-O279</f>
        <v>18093796.3304347</v>
      </c>
      <c r="P237" s="8">
        <f>O237+O238-P279</f>
        <v>25773800.5445246</v>
      </c>
      <c r="Q237" s="8">
        <f>P237+P238-Q279</f>
        <v>34225678.4692662</v>
      </c>
      <c r="R237" s="8">
        <f>Q237+Q238-R279</f>
        <v>43057506.5263985</v>
      </c>
    </row>
    <row r="238">
      <c r="C238" s="14" t="inlineStr">
        <is>
          <t>Net Income</t>
        </is>
      </c>
      <c r="G238" s="8">
        <f>G217</f>
        <v>8877159.2125</v>
      </c>
      <c r="H238" s="8">
        <f>H217</f>
        <v>9824641.125</v>
      </c>
      <c r="I238" s="8">
        <f>I217</f>
        <v>6804084.375</v>
      </c>
      <c r="J238" s="8">
        <f>J217</f>
        <v>6819098.4</v>
      </c>
      <c r="K238" s="8">
        <f>K217</f>
        <v>7006772.5</v>
      </c>
      <c r="L238" s="8">
        <f>L217</f>
        <v>9761921.8875</v>
      </c>
      <c r="M238" s="8">
        <f>M217</f>
        <v>10691470.6875</v>
      </c>
      <c r="N238" s="8">
        <f>N217</f>
        <v>13585063.3533694</v>
      </c>
      <c r="O238" s="8">
        <f>O217</f>
        <v>15360008.4281798</v>
      </c>
      <c r="P238" s="8">
        <f>P217</f>
        <v>16903755.8494833</v>
      </c>
      <c r="Q238" s="8">
        <f>Q217</f>
        <v>17663656.1142644</v>
      </c>
      <c r="R238" s="8">
        <f>R217</f>
        <v>18190097.6581626</v>
      </c>
    </row>
    <row r="239">
      <c r="C239" s="3" t="inlineStr">
        <is>
          <t>Total Shareholders' Equity</t>
        </is>
      </c>
      <c r="G239" s="30">
        <f>SUM(G236:G238)</f>
        <v>12801000.0025</v>
      </c>
      <c r="H239" s="30">
        <f>SUM(H236:H238)</f>
        <v>13560000.005</v>
      </c>
      <c r="I239" s="30">
        <f>SUM(I236:I238)</f>
        <v>17410999.995</v>
      </c>
      <c r="J239" s="30">
        <f>SUM(J236:J238)</f>
        <v>19427000</v>
      </c>
      <c r="K239" s="30">
        <f>SUM(K236:K238)</f>
        <v>20614000</v>
      </c>
      <c r="L239" s="30">
        <f>SUM(L236:L238)</f>
        <v>24556999.9975</v>
      </c>
      <c r="M239" s="30">
        <f>SUM(M236:M238)</f>
        <v>28646999.9975</v>
      </c>
      <c r="N239" s="30">
        <f>SUM(N236:N238)</f>
        <v>36886328.0071194</v>
      </c>
      <c r="O239" s="30">
        <f>SUM(O236:O238)</f>
        <v>47335404.7586145</v>
      </c>
      <c r="P239" s="30">
        <f>SUM(P236:P238)</f>
        <v>58368756.3940079</v>
      </c>
      <c r="Q239" s="30">
        <f>SUM(Q236:Q238)</f>
        <v>68584934.5835307</v>
      </c>
      <c r="R239" s="30">
        <f>SUM(R236:R238)</f>
        <v>77943204.1845611</v>
      </c>
    </row>
    <row r="240">
      <c r="C240" s="3" t="inlineStr">
        <is>
          <t>Total Liabilities &amp; Shareholders' Equity</t>
        </is>
      </c>
      <c r="G240" s="31">
        <f>G234+G239</f>
        <v>30849000.0025</v>
      </c>
      <c r="H240" s="31">
        <f>H234+H239</f>
        <v>30476000.005</v>
      </c>
      <c r="I240" s="31">
        <f>I234+I239</f>
        <v>34171999.995</v>
      </c>
      <c r="J240" s="31">
        <f>J234+J239</f>
        <v>36700000</v>
      </c>
      <c r="K240" s="31">
        <f>K234+K239</f>
        <v>38037000</v>
      </c>
      <c r="L240" s="31">
        <f>L234+L239</f>
        <v>42431999.9975</v>
      </c>
      <c r="M240" s="31">
        <f>M234+M239</f>
        <v>46585999.9975</v>
      </c>
      <c r="N240" s="31">
        <f>N234+N239</f>
        <v>64080856.0104926</v>
      </c>
      <c r="O240" s="31">
        <f>O234+O239</f>
        <v>77499189.2961671</v>
      </c>
      <c r="P240" s="31">
        <f>P234+P239</f>
        <v>89379319.1320529</v>
      </c>
      <c r="Q240" s="31">
        <f>Q234+Q239</f>
        <v>100738007.849081</v>
      </c>
      <c r="R240" s="31">
        <f>R234+R239</f>
        <v>111545363.524093</v>
      </c>
    </row>
    <row r="241">
      <c r="C241" s="4" t="inlineStr">
        <is>
          <t>Balance check (Total Assets – Total Liabilities – Equity)</t>
        </is>
      </c>
      <c r="G241" s="38">
        <f>ROUND(G228-G240,2)</f>
        <v>-0</v>
      </c>
      <c r="H241" s="38">
        <f>ROUND(H228-H240,2)</f>
        <v>-0</v>
      </c>
      <c r="I241" s="38">
        <f>ROUND(I228-I240,2)</f>
        <v>0</v>
      </c>
      <c r="J241" s="38">
        <f>ROUND(J228-J240,2)</f>
        <v>0</v>
      </c>
      <c r="K241" s="38">
        <f>ROUND(K228-K240,2)</f>
        <v>0</v>
      </c>
      <c r="L241" s="38">
        <f>ROUND(L228-L240,2)</f>
        <v>0</v>
      </c>
      <c r="M241" s="38">
        <f>ROUND(M228-M240,2)</f>
        <v>0</v>
      </c>
      <c r="N241" s="38">
        <f>ROUND(N228-N240,2)</f>
        <v>0</v>
      </c>
      <c r="O241" s="38">
        <f>ROUND(O228-O240,2)</f>
        <v>0</v>
      </c>
      <c r="P241" s="38">
        <f>ROUND(P228-P240,2)</f>
        <v>0</v>
      </c>
      <c r="Q241" s="38">
        <f>ROUND(Q228-Q240,2)</f>
        <v>0</v>
      </c>
      <c r="R241" s="38">
        <f>ROUND(R228-R240,2)</f>
        <v>0</v>
      </c>
    </row>
    <row r="243">
      <c r="C243" s="25" t="inlineStr">
        <is>
          <t>E</t>
        </is>
      </c>
      <c r="D243" s="25" t="inlineStr">
        <is>
          <t>Cash Flow Statement &amp; Debt Payment Schedule</t>
        </is>
      </c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</row>
    <row r="244">
      <c r="C244" s="3" t="inlineStr">
        <is>
          <t>CFFO:</t>
        </is>
      </c>
    </row>
    <row r="245">
      <c r="C245" s="14" t="inlineStr">
        <is>
          <t>Net Income</t>
        </is>
      </c>
      <c r="N245" s="8">
        <f>N217</f>
        <v>13585063.3533694</v>
      </c>
      <c r="O245" s="8">
        <f>O217</f>
        <v>15360008.4281798</v>
      </c>
      <c r="P245" s="8">
        <f>P217</f>
        <v>16903755.8494833</v>
      </c>
      <c r="Q245" s="8">
        <f>Q217</f>
        <v>17663656.1142644</v>
      </c>
      <c r="R245" s="8">
        <f>R217</f>
        <v>18190097.6581626</v>
      </c>
    </row>
    <row r="246">
      <c r="C246" s="14" t="inlineStr">
        <is>
          <t>(+) D&amp;A</t>
        </is>
      </c>
      <c r="N246" s="8">
        <f>-(N210+N211)</f>
        <v>3888525.9180625</v>
      </c>
      <c r="O246" s="8">
        <f>-(O210+O211)</f>
        <v>4327022.68088639</v>
      </c>
      <c r="P246" s="8">
        <f>-(P210+P211)</f>
        <v>4722625.33659109</v>
      </c>
      <c r="Q246" s="8">
        <f>-(Q210+Q211)</f>
        <v>5117160.51708191</v>
      </c>
      <c r="R246" s="8">
        <f>-(R210+R211)</f>
        <v>5450795.41219751</v>
      </c>
    </row>
    <row r="247">
      <c r="C247" s="14" t="inlineStr">
        <is>
          <t>(+)/(-) Inc./(Dec.) in Working Capital (1)</t>
        </is>
      </c>
      <c r="N247" s="8">
        <f>-((N224+N225+N226-N232-N233-N231)-(M224+M225+M226-M232-M233-M231))</f>
        <v>-5769428.13155978</v>
      </c>
      <c r="O247" s="8">
        <f>-((O224+O225+O226-O232-O233-O231)-(N224+N225+N226-N232-N233-N231))</f>
        <v>-946378.402242046</v>
      </c>
      <c r="P247" s="8">
        <f>-((P224+P225+P226-P232-P233-P231)-(O224+O225+O226-O232-O233-O231))</f>
        <v>-1162094.00278298</v>
      </c>
      <c r="Q247" s="8">
        <f>-((Q224+Q225+Q226-Q232-Q233-Q231)-(P224+P225+P226-P232-P233-P231))</f>
        <v>-1017889.11999632</v>
      </c>
      <c r="R247" s="8">
        <f>-((R224+R225+R226-R232-R233-R231)-(Q224+Q225+Q226-Q232-Q233-Q231))</f>
        <v>-953864.8912776</v>
      </c>
    </row>
    <row r="248">
      <c r="C248" s="29" t="inlineStr">
        <is>
          <t>CFFO</t>
        </is>
      </c>
      <c r="N248" s="30">
        <f>SUM(N245:N247)</f>
        <v>11704161.1398721</v>
      </c>
      <c r="O248" s="30">
        <f>SUM(O245:O247)</f>
        <v>18740652.7068242</v>
      </c>
      <c r="P248" s="30">
        <f>SUM(P245:P247)</f>
        <v>20464287.1832914</v>
      </c>
      <c r="Q248" s="30">
        <f>SUM(Q245:Q247)</f>
        <v>21762927.51135</v>
      </c>
      <c r="R248" s="30">
        <f>SUM(R245:R247)</f>
        <v>22687028.1790825</v>
      </c>
    </row>
    <row r="249">
      <c r="C249" s="3" t="inlineStr">
        <is>
          <t>CFFI:</t>
        </is>
      </c>
    </row>
    <row r="250">
      <c r="C250" s="14" t="inlineStr">
        <is>
          <t>(-) Purchase Price (Add-On Acquisitions)</t>
        </is>
      </c>
      <c r="N250" s="8">
        <f>-N183</f>
        <v>-0</v>
      </c>
      <c r="O250" s="8">
        <f>-O183</f>
        <v>-3136000</v>
      </c>
      <c r="P250" s="8">
        <f>-P183</f>
        <v>-2784000</v>
      </c>
      <c r="Q250" s="8">
        <f>-Q183</f>
        <v>-1674000</v>
      </c>
      <c r="R250" s="8">
        <f>-R183</f>
        <v>-0</v>
      </c>
    </row>
    <row r="251">
      <c r="C251" s="14" t="inlineStr">
        <is>
          <t>(-) Organic CAPEX</t>
        </is>
      </c>
      <c r="N251" s="8">
        <f>-N47</f>
        <v>-4807632.04415</v>
      </c>
      <c r="O251" s="8">
        <f>-O47</f>
        <v>-5011532.20319895</v>
      </c>
      <c r="P251" s="8">
        <f>-P47</f>
        <v>-5214423.3251224</v>
      </c>
      <c r="Q251" s="8">
        <f>-Q47</f>
        <v>-5615933.92115683</v>
      </c>
      <c r="R251" s="8">
        <f>-R47</f>
        <v>-5628218.77660935</v>
      </c>
    </row>
    <row r="252">
      <c r="C252" s="14" t="inlineStr">
        <is>
          <t>(-) Add-On Acquisition CAPEX</t>
        </is>
      </c>
      <c r="N252" s="8">
        <f>-N159</f>
        <v>-0</v>
      </c>
      <c r="O252" s="8">
        <f>-O159</f>
        <v>-120000</v>
      </c>
      <c r="P252" s="8">
        <f>-P159</f>
        <v>-235066.666666667</v>
      </c>
      <c r="Q252" s="8">
        <f>-Q159</f>
        <v>-317757.230769231</v>
      </c>
      <c r="R252" s="8">
        <f>-R159</f>
        <v>-338764.544615385</v>
      </c>
    </row>
    <row r="253">
      <c r="C253" s="29" t="inlineStr">
        <is>
          <t>CFFI</t>
        </is>
      </c>
      <c r="N253" s="30">
        <f>SUM(N250:N252)</f>
        <v>-4807632.04415</v>
      </c>
      <c r="O253" s="30">
        <f>SUM(O250:O252)</f>
        <v>-8267532.20319895</v>
      </c>
      <c r="P253" s="30">
        <f>SUM(P250:P252)</f>
        <v>-8233489.99178907</v>
      </c>
      <c r="Q253" s="30">
        <f>SUM(Q250:Q252)</f>
        <v>-7607691.15192606</v>
      </c>
      <c r="R253" s="30">
        <f>SUM(R250:R252)</f>
        <v>-5966983.32122474</v>
      </c>
    </row>
    <row r="254">
      <c r="C254" s="3" t="inlineStr">
        <is>
          <t>CFFF (Before Debt Repayment):</t>
        </is>
      </c>
    </row>
    <row r="255">
      <c r="C255" s="14" t="inlineStr">
        <is>
          <t>Drawn Follow-On Capital</t>
        </is>
      </c>
      <c r="N255" s="8">
        <f>N192</f>
        <v>0</v>
      </c>
      <c r="O255" s="8">
        <f>O192</f>
        <v>1881600</v>
      </c>
      <c r="P255" s="8">
        <f>P192</f>
        <v>1809600</v>
      </c>
      <c r="Q255" s="8">
        <f>Q192</f>
        <v>1004400</v>
      </c>
      <c r="R255" s="8">
        <f>R192</f>
        <v>0</v>
      </c>
    </row>
    <row r="256">
      <c r="C256" s="14" t="inlineStr">
        <is>
          <t>New Loans</t>
        </is>
      </c>
      <c r="N256" s="8">
        <f>N40</f>
        <v>0</v>
      </c>
      <c r="O256" s="8">
        <f>O40</f>
        <v>2250000</v>
      </c>
      <c r="P256" s="8">
        <f>P40</f>
        <v>0</v>
      </c>
      <c r="Q256" s="8">
        <f>Q40</f>
        <v>0</v>
      </c>
      <c r="R256" s="8">
        <f>R40</f>
        <v>0</v>
      </c>
    </row>
    <row r="257">
      <c r="C257" s="14" t="inlineStr">
        <is>
          <t>Mandatory Paydown of Debt</t>
        </is>
      </c>
      <c r="N257" s="8">
        <f>-M230*N41</f>
        <v>-901400</v>
      </c>
      <c r="O257" s="8">
        <f>-N230*O41</f>
        <v>-721120</v>
      </c>
      <c r="P257" s="8">
        <f>-O230*P41</f>
        <v>-1026896</v>
      </c>
      <c r="Q257" s="8">
        <f>-P230*Q41</f>
        <v>-821516.8</v>
      </c>
      <c r="R257" s="8">
        <f>-Q230*R41</f>
        <v>-657213.44</v>
      </c>
    </row>
    <row r="258">
      <c r="C258" s="14" t="inlineStr">
        <is>
          <t>Dividends</t>
        </is>
      </c>
      <c r="N258" s="8">
        <f>-N279</f>
        <v>-5345735.34375</v>
      </c>
      <c r="O258" s="8">
        <f>-O279</f>
        <v>-6792531.67668468</v>
      </c>
      <c r="P258" s="8">
        <f>-P279</f>
        <v>-7680004.21408992</v>
      </c>
      <c r="Q258" s="8">
        <f>-Q279</f>
        <v>-8451877.92474165</v>
      </c>
      <c r="R258" s="8">
        <f>-R279</f>
        <v>-8831828.05713222</v>
      </c>
    </row>
    <row r="259">
      <c r="C259" s="29" t="inlineStr">
        <is>
          <t>CFFF</t>
        </is>
      </c>
      <c r="N259" s="30">
        <f>SUM(N255:N258)</f>
        <v>-6247135.34375</v>
      </c>
      <c r="O259" s="30">
        <f>SUM(O255:O258)</f>
        <v>-3382051.67668468</v>
      </c>
      <c r="P259" s="30">
        <f>SUM(P255:P258)</f>
        <v>-6897300.21408992</v>
      </c>
      <c r="Q259" s="30">
        <f>SUM(Q255:Q258)</f>
        <v>-8268994.72474165</v>
      </c>
      <c r="R259" s="30">
        <f>SUM(R255:R258)</f>
        <v>-9489041.49713222</v>
      </c>
    </row>
    <row r="260">
      <c r="C260" s="3" t="inlineStr">
        <is>
          <t>Free Cash Flow</t>
        </is>
      </c>
      <c r="N260" s="39">
        <f>N248+N253+N259</f>
        <v>649393.751972081</v>
      </c>
      <c r="O260" s="39">
        <f>O248+O253+O259</f>
        <v>7091068.82694054</v>
      </c>
      <c r="P260" s="39">
        <f>P248+P253+P259</f>
        <v>5333496.97741244</v>
      </c>
      <c r="Q260" s="39">
        <f>Q248+Q253+Q259</f>
        <v>5886241.63468233</v>
      </c>
      <c r="R260" s="39">
        <f>R248+R253+R259</f>
        <v>7231003.36072557</v>
      </c>
    </row>
    <row r="261">
      <c r="C261" s="3" t="inlineStr">
        <is>
          <t>Change in Cash:</t>
        </is>
      </c>
    </row>
    <row r="262">
      <c r="C262" s="14" t="inlineStr">
        <is>
          <t>BOP Cash</t>
        </is>
      </c>
      <c r="N262" s="8">
        <f>M227</f>
        <v>6906000</v>
      </c>
      <c r="O262" s="8">
        <f>N227</f>
        <v>7555393.75197208</v>
      </c>
      <c r="P262" s="8">
        <f>O227</f>
        <v>14646462.5789126</v>
      </c>
      <c r="Q262" s="8">
        <f>P227</f>
        <v>19979959.5563251</v>
      </c>
      <c r="R262" s="8">
        <f>Q227</f>
        <v>25866201.1910074</v>
      </c>
    </row>
    <row r="263">
      <c r="C263" s="14" t="inlineStr">
        <is>
          <t>Change in Cash</t>
        </is>
      </c>
      <c r="N263" s="8">
        <f>N260</f>
        <v>649393.751972081</v>
      </c>
      <c r="O263" s="8">
        <f>O260</f>
        <v>7091068.82694054</v>
      </c>
      <c r="P263" s="8">
        <f>P260</f>
        <v>5333496.97741244</v>
      </c>
      <c r="Q263" s="8">
        <f>Q260</f>
        <v>5886241.63468233</v>
      </c>
      <c r="R263" s="8">
        <f>R260</f>
        <v>7231003.36072557</v>
      </c>
    </row>
    <row r="264">
      <c r="C264" s="29" t="inlineStr">
        <is>
          <t>EOP Cash (2)</t>
        </is>
      </c>
      <c r="N264" s="30">
        <f>N262+N263</f>
        <v>7555393.75197208</v>
      </c>
      <c r="O264" s="30">
        <f>O262+O263</f>
        <v>14646462.5789126</v>
      </c>
      <c r="P264" s="30">
        <f>P262+P263</f>
        <v>19979959.5563251</v>
      </c>
      <c r="Q264" s="30">
        <f>Q262+Q263</f>
        <v>25866201.1910074</v>
      </c>
      <c r="R264" s="30">
        <f>R262+R263</f>
        <v>33097204.551733</v>
      </c>
    </row>
    <row r="265">
      <c r="C265" s="14" t="inlineStr">
        <is>
          <t>Minimum Cash</t>
        </is>
      </c>
      <c r="N265" s="8">
        <f>N199*N50</f>
        <v>4242028.27425</v>
      </c>
      <c r="O265" s="8">
        <f>O199*O50</f>
        <v>4675938.3665445</v>
      </c>
      <c r="P265" s="8">
        <f>P199*P50</f>
        <v>5123588.53396892</v>
      </c>
      <c r="Q265" s="8">
        <f>Q199*Q50</f>
        <v>5587464.51262298</v>
      </c>
      <c r="R265" s="8">
        <f>R199*R50</f>
        <v>5972038.70584012</v>
      </c>
    </row>
    <row r="266">
      <c r="C266" s="14" t="inlineStr">
        <is>
          <t>Cash Cushion / (Shortfall) vs. Minimum Cash</t>
        </is>
      </c>
      <c r="N266" s="8">
        <f>N264-N265</f>
        <v>3313365.47772208</v>
      </c>
      <c r="O266" s="8">
        <f>O264-O265</f>
        <v>9970524.21236812</v>
      </c>
      <c r="P266" s="8">
        <f>P264-P265</f>
        <v>14856371.0223561</v>
      </c>
      <c r="Q266" s="8">
        <f>Q264-Q265</f>
        <v>20278736.6783844</v>
      </c>
      <c r="R266" s="8">
        <f>R264-R265</f>
        <v>27125165.8458928</v>
      </c>
    </row>
    <row r="268">
      <c r="C268" s="14" t="inlineStr">
        <is>
          <t>BOP Gross Debt</t>
        </is>
      </c>
      <c r="H268" s="8">
        <f>G270</f>
        <v>8720000</v>
      </c>
      <c r="I268" s="8">
        <f>H270</f>
        <v>7987000</v>
      </c>
      <c r="J268" s="8">
        <f>I270</f>
        <v>7145000</v>
      </c>
      <c r="K268" s="8">
        <f>J270</f>
        <v>6629000</v>
      </c>
      <c r="L268" s="8">
        <f>K270</f>
        <v>6031000</v>
      </c>
      <c r="M268" s="8">
        <f>L270</f>
        <v>5373000</v>
      </c>
      <c r="N268" s="8">
        <f>M270</f>
        <v>4507000</v>
      </c>
      <c r="O268" s="8">
        <f>N270</f>
        <v>3605600</v>
      </c>
      <c r="P268" s="8">
        <f>O270</f>
        <v>5134480</v>
      </c>
      <c r="Q268" s="8">
        <f>P270</f>
        <v>4107584</v>
      </c>
      <c r="R268" s="8">
        <f>Q270</f>
        <v>3286067.2</v>
      </c>
    </row>
    <row r="269">
      <c r="C269" s="14" t="inlineStr">
        <is>
          <t>(+)/(-) Drawdown / (Paydown)</t>
        </is>
      </c>
      <c r="H269" s="8">
        <f>H270-H268</f>
        <v>-733000</v>
      </c>
      <c r="I269" s="8">
        <f>I270-I268</f>
        <v>-842000</v>
      </c>
      <c r="J269" s="8">
        <f>J270-J268</f>
        <v>-516000</v>
      </c>
      <c r="K269" s="8">
        <f>K270-K268</f>
        <v>-598000</v>
      </c>
      <c r="L269" s="8">
        <f>L270-L268</f>
        <v>-658000</v>
      </c>
      <c r="M269" s="8">
        <f>M270-M268</f>
        <v>-866000</v>
      </c>
      <c r="N269" s="8">
        <f>N270-N268</f>
        <v>-901400</v>
      </c>
      <c r="O269" s="8">
        <f>O270-O268</f>
        <v>1528880</v>
      </c>
      <c r="P269" s="8">
        <f>P270-P268</f>
        <v>-1026896</v>
      </c>
      <c r="Q269" s="8">
        <f>Q270-Q268</f>
        <v>-821516.8</v>
      </c>
      <c r="R269" s="8">
        <f>R270-R268</f>
        <v>-657213.44</v>
      </c>
    </row>
    <row r="270">
      <c r="C270" s="29" t="inlineStr">
        <is>
          <t>EOP Gross Debt</t>
        </is>
      </c>
      <c r="G270" s="30">
        <f>G230</f>
        <v>8720000</v>
      </c>
      <c r="H270" s="30">
        <f>H230</f>
        <v>7987000</v>
      </c>
      <c r="I270" s="30">
        <f>I230</f>
        <v>7145000</v>
      </c>
      <c r="J270" s="30">
        <f>J230</f>
        <v>6629000</v>
      </c>
      <c r="K270" s="30">
        <f>K230</f>
        <v>6031000</v>
      </c>
      <c r="L270" s="30">
        <f>L230</f>
        <v>5373000</v>
      </c>
      <c r="M270" s="30">
        <f>M230</f>
        <v>4507000</v>
      </c>
      <c r="N270" s="30">
        <f>N230</f>
        <v>3605600</v>
      </c>
      <c r="O270" s="30">
        <f>O230</f>
        <v>5134480</v>
      </c>
      <c r="P270" s="30">
        <f>P230</f>
        <v>4107584</v>
      </c>
      <c r="Q270" s="30">
        <f>Q230</f>
        <v>3286067.2</v>
      </c>
      <c r="R270" s="30">
        <f>R230</f>
        <v>2628853.76</v>
      </c>
    </row>
    <row r="271">
      <c r="C271" s="29" t="inlineStr">
        <is>
          <t>Net Debt / (Net Cash)</t>
        </is>
      </c>
      <c r="G271" s="39">
        <f>G270-G227</f>
        <v>5029000</v>
      </c>
      <c r="H271" s="39">
        <f>H270-H227</f>
        <v>5071000</v>
      </c>
      <c r="I271" s="39">
        <f>I270-I227</f>
        <v>4136000</v>
      </c>
      <c r="J271" s="39">
        <f>J270-J227</f>
        <v>1675000</v>
      </c>
      <c r="K271" s="39">
        <f>K270-K227</f>
        <v>2556000</v>
      </c>
      <c r="L271" s="39">
        <f>L270-L227</f>
        <v>478000</v>
      </c>
      <c r="M271" s="39">
        <f>M270-M227</f>
        <v>-2399000</v>
      </c>
      <c r="N271" s="39">
        <f>N270-N227</f>
        <v>-3949793.75197208</v>
      </c>
      <c r="O271" s="39">
        <f>O270-O227</f>
        <v>-9511982.57891262</v>
      </c>
      <c r="P271" s="39">
        <f>P270-P227</f>
        <v>-15872375.5563251</v>
      </c>
      <c r="Q271" s="39">
        <f>Q270-Q227</f>
        <v>-22580133.9910074</v>
      </c>
      <c r="R271" s="39">
        <f>R270-R227</f>
        <v>-30468350.791733</v>
      </c>
    </row>
    <row r="272">
      <c r="C272" s="14" t="inlineStr">
        <is>
          <t>x EBITDA (Net Debt)</t>
        </is>
      </c>
      <c r="G272" s="40">
        <f>IFERROR(G271/G208,"N/A")</f>
        <v>0.331018867055181</v>
      </c>
      <c r="H272" s="40">
        <f>IFERROR(H271/H208,"N/A")</f>
        <v>0.30896899647528</v>
      </c>
      <c r="I272" s="40">
        <f>IFERROR(I271/I208,"N/A")</f>
        <v>0.327949118725946</v>
      </c>
      <c r="J272" s="40">
        <f>IFERROR(J271/J208,"N/A")</f>
        <v>0.133792220681282</v>
      </c>
      <c r="K272" s="40">
        <f>IFERROR(K271/K208,"N/A")</f>
        <v>0.194024412461286</v>
      </c>
      <c r="L272" s="40">
        <f>IFERROR(L271/L208,"N/A")</f>
        <v>0.0283920478506982</v>
      </c>
      <c r="M272" s="40">
        <f>IFERROR(M271/M208,"N/A")</f>
        <v>-0.132410032309097</v>
      </c>
      <c r="N272" s="40">
        <f>IFERROR(N271/N208,"N/A")</f>
        <v>-0.177017056734086</v>
      </c>
      <c r="O272" s="40">
        <f>IFERROR(O271/O208,"N/A")</f>
        <v>-0.380555169022965</v>
      </c>
      <c r="P272" s="40">
        <f>IFERROR(P271/P208,"N/A")</f>
        <v>-0.57902939127837</v>
      </c>
      <c r="Q272" s="40">
        <f>IFERROR(Q271/Q208,"N/A")</f>
        <v>-0.791128540755974</v>
      </c>
      <c r="R272" s="40">
        <f>IFERROR(R271/R208,"N/A")</f>
        <v>-1.03965649954683</v>
      </c>
    </row>
    <row r="273">
      <c r="C273" s="14" t="inlineStr">
        <is>
          <t>x EBITDA (Gross Debt)</t>
        </is>
      </c>
      <c r="G273" s="40">
        <f>IFERROR(G270/G208,"N/A")</f>
        <v>0.573967890380032</v>
      </c>
      <c r="H273" s="40">
        <f>IFERROR(H270/H208,"N/A")</f>
        <v>0.486636831955839</v>
      </c>
      <c r="I273" s="40">
        <f>IFERROR(I270/I208,"N/A")</f>
        <v>0.566536860081452</v>
      </c>
      <c r="J273" s="40">
        <f>IFERROR(J270/J208,"N/A")</f>
        <v>0.529497690087294</v>
      </c>
      <c r="K273" s="40">
        <f>IFERROR(K270/K208,"N/A")</f>
        <v>0.457809558510961</v>
      </c>
      <c r="L273" s="40">
        <f>IFERROR(L270/L208,"N/A")</f>
        <v>0.319143249166949</v>
      </c>
      <c r="M273" s="40">
        <f>IFERROR(M270/M208,"N/A")</f>
        <v>0.248758655947102</v>
      </c>
      <c r="N273" s="40">
        <f>IFERROR(N270/N208,"N/A")</f>
        <v>0.161591399409589</v>
      </c>
      <c r="O273" s="40">
        <f>IFERROR(O270/O208,"N/A")</f>
        <v>0.205420151691279</v>
      </c>
      <c r="P273" s="40">
        <f>IFERROR(P270/P208,"N/A")</f>
        <v>0.14984599215818</v>
      </c>
      <c r="Q273" s="40">
        <f>IFERROR(Q270/Q208,"N/A")</f>
        <v>0.115132246327564</v>
      </c>
      <c r="R273" s="40">
        <f>IFERROR(R270/R208,"N/A")</f>
        <v>0.0897030796522042</v>
      </c>
    </row>
    <row r="274">
      <c r="C274" s="14" t="inlineStr">
        <is>
          <t>x Interest Coverage (EBITDA / Net Interest)</t>
        </is>
      </c>
      <c r="G274" s="40">
        <f>IFERROR(G208/-G213,"N/A")</f>
        <v>14.3325353773585</v>
      </c>
      <c r="H274" s="40">
        <f>IFERROR(H208/-H213,"N/A")</f>
        <v>17.5161686232657</v>
      </c>
      <c r="I274" s="40">
        <f>IFERROR(I208/-I213,"N/A")</f>
        <v>14.8373088235294</v>
      </c>
      <c r="J274" s="40">
        <f>IFERROR(J208/-J213,"N/A")</f>
        <v>15.8875793147208</v>
      </c>
      <c r="K274" s="40">
        <f>IFERROR(K208/-K213,"N/A")</f>
        <v>17.7541778975741</v>
      </c>
      <c r="L274" s="40">
        <f>IFERROR(L208/-L213,"N/A")</f>
        <v>25.3932126696833</v>
      </c>
      <c r="M274" s="40">
        <f>IFERROR(M208/-M213,"N/A")</f>
        <v>34.5104047619048</v>
      </c>
      <c r="N274" s="40">
        <f>IFERROR(N208/-N213,"N/A")</f>
        <v>43.0500742276362</v>
      </c>
      <c r="O274" s="40">
        <f>IFERROR(O208/-O213,"N/A")</f>
        <v>60.2806651148945</v>
      </c>
      <c r="P274" s="40">
        <f>IFERROR(P208/-P213,"N/A")</f>
        <v>46.4244764837422</v>
      </c>
      <c r="Q274" s="40">
        <f>IFERROR(Q208/-Q213,"N/A")</f>
        <v>60.4220100017708</v>
      </c>
      <c r="R274" s="40">
        <f>IFERROR(R208/-R213,"N/A")</f>
        <v>77.5505341188082</v>
      </c>
    </row>
    <row r="276">
      <c r="C276" s="25" t="inlineStr">
        <is>
          <t>F</t>
        </is>
      </c>
      <c r="D276" s="25" t="inlineStr">
        <is>
          <t>Dividend Payout Schedule</t>
        </is>
      </c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</row>
    <row r="277">
      <c r="C277" s="14" t="inlineStr">
        <is>
          <t>Net Income</t>
        </is>
      </c>
      <c r="G277" s="8">
        <f>G217</f>
        <v>8877159.2125</v>
      </c>
      <c r="H277" s="8">
        <f>H217</f>
        <v>9824641.125</v>
      </c>
      <c r="I277" s="8">
        <f>I217</f>
        <v>6804084.375</v>
      </c>
      <c r="J277" s="8">
        <f>J217</f>
        <v>6819098.4</v>
      </c>
      <c r="K277" s="8">
        <f>K217</f>
        <v>7006772.5</v>
      </c>
      <c r="L277" s="8">
        <f>L217</f>
        <v>9761921.8875</v>
      </c>
      <c r="M277" s="8">
        <f>M217</f>
        <v>10691470.6875</v>
      </c>
      <c r="N277" s="8">
        <f>N217</f>
        <v>13585063.3533694</v>
      </c>
      <c r="O277" s="8">
        <f>O217</f>
        <v>15360008.4281798</v>
      </c>
      <c r="P277" s="8">
        <f>P217</f>
        <v>16903755.8494833</v>
      </c>
      <c r="Q277" s="8">
        <f>Q217</f>
        <v>17663656.1142644</v>
      </c>
      <c r="R277" s="8">
        <f>R217</f>
        <v>18190097.6581626</v>
      </c>
    </row>
    <row r="278">
      <c r="C278" s="14" t="inlineStr">
        <is>
          <t>Payout Ratio (%) (on prior-year Net Income)</t>
        </is>
      </c>
      <c r="G278" s="19" t="n">
        <v>0</v>
      </c>
      <c r="H278" s="19" t="n">
        <v>0.4</v>
      </c>
      <c r="I278" s="19" t="n">
        <v>0.4</v>
      </c>
      <c r="J278" s="19" t="n">
        <v>0.51</v>
      </c>
      <c r="K278" s="19" t="n">
        <v>0.45</v>
      </c>
      <c r="L278" s="19" t="n">
        <v>0.44</v>
      </c>
      <c r="M278" s="19" t="n">
        <v>0.5</v>
      </c>
      <c r="N278" s="19" t="n">
        <v>0.5</v>
      </c>
      <c r="O278" s="19" t="n">
        <v>0.5</v>
      </c>
      <c r="P278" s="19" t="n">
        <v>0.5</v>
      </c>
      <c r="Q278" s="19" t="n">
        <v>0.5</v>
      </c>
      <c r="R278" s="19" t="n">
        <v>0.5</v>
      </c>
    </row>
    <row r="279">
      <c r="C279" s="29" t="inlineStr">
        <is>
          <t>Dividend</t>
        </is>
      </c>
      <c r="G279" s="41" t="n">
        <v>0</v>
      </c>
      <c r="H279" s="30">
        <f>IFERROR(G217*H278,0)</f>
        <v>3550863.685</v>
      </c>
      <c r="I279" s="30">
        <f>IFERROR(H217*I278,0)</f>
        <v>3929856.45</v>
      </c>
      <c r="J279" s="30">
        <f>IFERROR(I217*J278,0)</f>
        <v>3470083.03125</v>
      </c>
      <c r="K279" s="30">
        <f>IFERROR(J217*K278,0)</f>
        <v>3068594.28</v>
      </c>
      <c r="L279" s="30">
        <f>IFERROR(K217*L278,0)</f>
        <v>3082979.9</v>
      </c>
      <c r="M279" s="30">
        <f>IFERROR(L217*M278,0)</f>
        <v>4880960.94375</v>
      </c>
      <c r="N279" s="30">
        <f>IFERROR(M217*N278,0)</f>
        <v>5345735.34375</v>
      </c>
      <c r="O279" s="30">
        <f>IFERROR(N217*O278,0)</f>
        <v>6792531.67668468</v>
      </c>
      <c r="P279" s="30">
        <f>IFERROR(O217*P278,0)</f>
        <v>7680004.21408992</v>
      </c>
      <c r="Q279" s="30">
        <f>IFERROR(P217*Q278,0)</f>
        <v>8451877.92474165</v>
      </c>
      <c r="R279" s="30">
        <f>IFERROR(Q217*R278,0)</f>
        <v>8831828.05713222</v>
      </c>
    </row>
    <row r="281">
      <c r="C281" s="3" t="inlineStr">
        <is>
          <t>Notes:</t>
        </is>
      </c>
    </row>
    <row r="282">
      <c r="C282" s="2" t="inlineStr">
        <is>
          <t>(1) Working-capital movement includes other non-current operating liabilities; NWC adjustments are non-material.</t>
        </is>
      </c>
    </row>
    <row r="283">
      <c r="C283" s="2" t="inlineStr">
        <is>
          <t>(2) EOP cash is shown gross of overdrafts (none modelled). Interest on opening balances; no circular references.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3:S95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40" customWidth="1" min="3" max="3"/>
    <col width="12" customWidth="1" min="4" max="4"/>
    <col width="14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Tallowick Consumer Products – Entry &amp; Exit Valuation (USD)</t>
        </is>
      </c>
    </row>
    <row r="6">
      <c r="C6" s="3" t="inlineStr">
        <is>
          <t>Fiscal Year Ending</t>
        </is>
      </c>
      <c r="G6" s="42">
        <f>'2. Tallowick (Combined Entity)'!G6</f>
        <v>43830</v>
      </c>
      <c r="H6" s="42">
        <f>'2. Tallowick (Combined Entity)'!H6</f>
        <v>44196</v>
      </c>
      <c r="I6" s="42">
        <f>'2. Tallowick (Combined Entity)'!I6</f>
        <v>44561</v>
      </c>
      <c r="J6" s="42">
        <f>'2. Tallowick (Combined Entity)'!J6</f>
        <v>44926</v>
      </c>
      <c r="K6" s="42">
        <f>'2. Tallowick (Combined Entity)'!K6</f>
        <v>45291</v>
      </c>
      <c r="L6" s="42">
        <f>'2. Tallowick (Combined Entity)'!L6</f>
        <v>45657</v>
      </c>
      <c r="M6" s="42">
        <f>'2. Tallowick (Combined Entity)'!M6</f>
        <v>46022</v>
      </c>
      <c r="N6" s="42">
        <f>'2. Tallowick (Combined Entity)'!N6</f>
        <v>46387</v>
      </c>
      <c r="O6" s="42">
        <f>'2. Tallowick (Combined Entity)'!O6</f>
        <v>46752</v>
      </c>
      <c r="P6" s="42">
        <f>'2. Tallowick (Combined Entity)'!P6</f>
        <v>47118</v>
      </c>
      <c r="Q6" s="42">
        <f>'2. Tallowick (Combined Entity)'!Q6</f>
        <v>47483</v>
      </c>
      <c r="R6" s="42">
        <f>'2. Tallowick (Combined Entity)'!R6</f>
        <v>47848</v>
      </c>
      <c r="S6" s="22">
        <f>EOMONTH(R6,12)</f>
        <v>48213</v>
      </c>
    </row>
    <row r="7">
      <c r="C7" s="3" t="inlineStr">
        <is>
          <t>Fiscal Year</t>
        </is>
      </c>
      <c r="G7" s="23">
        <f>YEAR(G6)</f>
        <v>2019</v>
      </c>
      <c r="H7" s="23">
        <f>YEAR(H6)</f>
        <v>2020</v>
      </c>
      <c r="I7" s="23">
        <f>YEAR(I6)</f>
        <v>2021</v>
      </c>
      <c r="J7" s="23">
        <f>YEAR(J6)</f>
        <v>2022</v>
      </c>
      <c r="K7" s="23">
        <f>YEAR(K6)</f>
        <v>2023</v>
      </c>
      <c r="L7" s="23">
        <f>YEAR(L6)</f>
        <v>2024</v>
      </c>
      <c r="M7" s="23">
        <f>YEAR(M6)</f>
        <v>2025</v>
      </c>
      <c r="N7" s="23">
        <f>YEAR(N6)</f>
        <v>2026</v>
      </c>
      <c r="O7" s="23">
        <f>YEAR(O6)</f>
        <v>2027</v>
      </c>
      <c r="P7" s="23">
        <f>YEAR(P6)</f>
        <v>2028</v>
      </c>
      <c r="Q7" s="23">
        <f>YEAR(Q6)</f>
        <v>2029</v>
      </c>
      <c r="R7" s="23">
        <f>YEAR(R6)</f>
        <v>2030</v>
      </c>
      <c r="S7" s="23">
        <f>YEAR(S6)</f>
        <v>2031</v>
      </c>
    </row>
    <row r="8">
      <c r="C8" s="3" t="inlineStr">
        <is>
          <t>Actual / Estimate</t>
        </is>
      </c>
      <c r="G8" s="24" t="str">
        <f>IF(G6&lt;=Control!$E$11,"A","E")</f>
        <v>A</v>
      </c>
      <c r="H8" s="24" t="str">
        <f>IF(H6&lt;=Control!$E$11,"A","E")</f>
        <v>A</v>
      </c>
      <c r="I8" s="24" t="str">
        <f>IF(I6&lt;=Control!$E$11,"A","E")</f>
        <v>A</v>
      </c>
      <c r="J8" s="24" t="str">
        <f>IF(J6&lt;=Control!$E$11,"A","E")</f>
        <v>A</v>
      </c>
      <c r="K8" s="24" t="str">
        <f>IF(K6&lt;=Control!$E$11,"A","E")</f>
        <v>A</v>
      </c>
      <c r="L8" s="24" t="str">
        <f>IF(L6&lt;=Control!$E$11,"A","E")</f>
        <v>A</v>
      </c>
      <c r="M8" s="24" t="str">
        <f>IF(M6&lt;=Control!$E$11,"A","E")</f>
        <v>A</v>
      </c>
      <c r="N8" s="24" t="str">
        <f>IF(N6&lt;=Control!$E$11,"A","E")</f>
        <v>E</v>
      </c>
      <c r="O8" s="24" t="str">
        <f>IF(O6&lt;=Control!$E$11,"A","E")</f>
        <v>E</v>
      </c>
      <c r="P8" s="24" t="str">
        <f>IF(P6&lt;=Control!$E$11,"A","E")</f>
        <v>E</v>
      </c>
      <c r="Q8" s="24" t="str">
        <f>IF(Q6&lt;=Control!$E$11,"A","E")</f>
        <v>E</v>
      </c>
      <c r="R8" s="24" t="str">
        <f>IF(R6&lt;=Control!$E$11,"A","E")</f>
        <v>E</v>
      </c>
      <c r="S8" s="24" t="str">
        <f>IF(S6&lt;=Control!$E$11,"A","E")</f>
        <v>E</v>
      </c>
    </row>
    <row r="10">
      <c r="C10" s="12" t="inlineStr">
        <is>
          <t>Entry Assumptions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C11" s="25" t="inlineStr">
        <is>
          <t>A</t>
        </is>
      </c>
      <c r="D11" s="25" t="inlineStr">
        <is>
          <t>Entry Valuation</t>
        </is>
      </c>
      <c r="E11" s="25" t="str">
        <f>"("&amp;Control!$E$18&amp;" in Actual)"</f>
        <v>(USD in Actual)</v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Entry Assumptions:</t>
        </is>
      </c>
    </row>
    <row r="13">
      <c r="C13" s="14" t="inlineStr">
        <is>
          <t>NAV Pricing (%)</t>
        </is>
      </c>
      <c r="E13" s="19" t="n">
        <v>0.93</v>
      </c>
    </row>
    <row r="14">
      <c r="C14" s="14" t="inlineStr">
        <is>
          <t>Follow-On Capital Commitment – Continuation Fund (USD)</t>
        </is>
      </c>
      <c r="E14" s="26" t="n">
        <v>4000000</v>
      </c>
    </row>
    <row r="15">
      <c r="C15" s="14" t="inlineStr">
        <is>
          <t>Follow-On Capital Drawn per Combined Entity Schedule (memo, fund share)</t>
        </is>
      </c>
      <c r="E15" s="32">
        <f>SUM('2. Tallowick (Combined Entity)'!G192:R192)*E26</f>
        <v>3474744</v>
      </c>
    </row>
    <row r="17">
      <c r="C17" s="3" t="inlineStr">
        <is>
          <t>Entry Valuation:</t>
        </is>
      </c>
    </row>
    <row r="18">
      <c r="C18" s="14" t="inlineStr">
        <is>
          <t>LTM Q2'26 EBITDA (1)</t>
        </is>
      </c>
      <c r="E18" s="32">
        <f>('2. Tallowick (Combined Entity)'!M208+'2. Tallowick (Combined Entity)'!N208)/2</f>
        <v>20215515.6112775</v>
      </c>
    </row>
    <row r="19">
      <c r="C19" s="14" t="inlineStr">
        <is>
          <t>Multiple (x LTM EBITDA)</t>
        </is>
      </c>
      <c r="E19" s="21" t="n">
        <v>7</v>
      </c>
    </row>
    <row r="20">
      <c r="C20" s="29" t="inlineStr">
        <is>
          <t>Total Enterprise Value</t>
        </is>
      </c>
      <c r="E20" s="30">
        <f>E18*E19</f>
        <v>141508609.278942</v>
      </c>
    </row>
    <row r="21">
      <c r="C21" s="14" t="inlineStr">
        <is>
          <t>(-) Gross Debt</t>
        </is>
      </c>
      <c r="E21" s="32">
        <f>-'2. Tallowick (Combined Entity)'!N270</f>
        <v>-3605600</v>
      </c>
    </row>
    <row r="22">
      <c r="C22" s="14" t="inlineStr">
        <is>
          <t>(-) CIT on Sale</t>
        </is>
      </c>
      <c r="E22" s="26" t="n">
        <v>-2150000</v>
      </c>
    </row>
    <row r="23">
      <c r="C23" s="14" t="inlineStr">
        <is>
          <t>(-) Dividends (declared but unpaid)</t>
        </is>
      </c>
      <c r="E23" s="26" t="n">
        <v>-1480000</v>
      </c>
    </row>
    <row r="24">
      <c r="C24" s="14" t="inlineStr">
        <is>
          <t>(+) Cash</t>
        </is>
      </c>
      <c r="E24" s="32">
        <f>'2. Tallowick (Combined Entity)'!N227</f>
        <v>7555393.75197208</v>
      </c>
    </row>
    <row r="25">
      <c r="C25" s="29" t="inlineStr">
        <is>
          <t>Total Equity Value</t>
        </is>
      </c>
      <c r="E25" s="30">
        <f>E20+SUM(E21:E24)</f>
        <v>141828403.030915</v>
      </c>
    </row>
    <row r="26">
      <c r="C26" s="14" t="inlineStr">
        <is>
          <t>Fund Ownership (%)</t>
        </is>
      </c>
      <c r="E26" s="19" t="n">
        <v>0.74</v>
      </c>
    </row>
    <row r="27">
      <c r="C27" s="29" t="inlineStr">
        <is>
          <t>Fund Equity Value</t>
        </is>
      </c>
      <c r="E27" s="39">
        <f>E25*E26</f>
        <v>104953018.242877</v>
      </c>
    </row>
    <row r="28">
      <c r="C28" s="29" t="inlineStr">
        <is>
          <t>Purchase Price (Fund Equity Value x NAV Pricing)</t>
        </is>
      </c>
      <c r="E28" s="39">
        <f>E27*E13</f>
        <v>97606306.9658754</v>
      </c>
    </row>
    <row r="29">
      <c r="C29" s="14" t="inlineStr">
        <is>
          <t>Pricing to NAV (%)</t>
        </is>
      </c>
      <c r="E29" s="20">
        <f>IFERROR(E28/E27,0)</f>
        <v>0.93</v>
      </c>
    </row>
    <row r="31">
      <c r="C31" s="25" t="inlineStr">
        <is>
          <t>B</t>
        </is>
      </c>
      <c r="D31" s="25" t="inlineStr">
        <is>
          <t>Capitalization and Sources &amp; Uses</t>
        </is>
      </c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>
      <c r="C32" s="3" t="inlineStr">
        <is>
          <t>Pre-Capitalization:</t>
        </is>
      </c>
    </row>
    <row r="33">
      <c r="C33" s="29" t="inlineStr">
        <is>
          <t>Adjusted Net Debt:</t>
        </is>
      </c>
    </row>
    <row r="34">
      <c r="C34" s="43" t="inlineStr">
        <is>
          <t>Gross Debt</t>
        </is>
      </c>
      <c r="E34" s="8">
        <f>-E21</f>
        <v>3605600</v>
      </c>
    </row>
    <row r="35">
      <c r="C35" s="43" t="inlineStr">
        <is>
          <t>(-) Cash</t>
        </is>
      </c>
      <c r="E35" s="8">
        <f>-E24</f>
        <v>-7555393.75197208</v>
      </c>
    </row>
    <row r="36">
      <c r="C36" s="43" t="inlineStr">
        <is>
          <t>(-)/(+) Adjustments (CIT, Unpaid Dividends)</t>
        </is>
      </c>
      <c r="E36" s="8">
        <f>-(SUM(E21:E24)-E21-E24)</f>
        <v>3630000</v>
      </c>
    </row>
    <row r="37">
      <c r="C37" s="44" t="inlineStr">
        <is>
          <t>Adjusted Net Debt</t>
        </is>
      </c>
      <c r="E37" s="30">
        <f>SUM(E34:E36)</f>
        <v>-319793.751972081</v>
      </c>
    </row>
    <row r="38">
      <c r="C38" s="29" t="inlineStr">
        <is>
          <t>Equity Value:</t>
        </is>
      </c>
    </row>
    <row r="39">
      <c r="C39" s="43" t="inlineStr">
        <is>
          <t>Kessport Frontier Fund II</t>
        </is>
      </c>
      <c r="D39" s="20">
        <f>E26</f>
        <v>0.74</v>
      </c>
      <c r="E39" s="8">
        <f>$E$25*D39</f>
        <v>104953018.242877</v>
      </c>
    </row>
    <row r="40">
      <c r="C40" s="43" t="inlineStr">
        <is>
          <t>Management</t>
        </is>
      </c>
      <c r="D40" s="19" t="n">
        <v>0.26</v>
      </c>
      <c r="E40" s="8">
        <f>$E$25*D40</f>
        <v>36875384.7880378</v>
      </c>
    </row>
    <row r="41">
      <c r="C41" s="44" t="inlineStr">
        <is>
          <t>Total Equity Value</t>
        </is>
      </c>
      <c r="D41" s="20">
        <f>SUM(D39:D40)</f>
        <v>1</v>
      </c>
      <c r="E41" s="30">
        <f>SUM(E39:E40)</f>
        <v>141828403.030915</v>
      </c>
    </row>
    <row r="42">
      <c r="C42" s="29" t="inlineStr">
        <is>
          <t>Total Enterprise Value</t>
        </is>
      </c>
      <c r="E42" s="31">
        <f>E37+E41</f>
        <v>141508609.278942</v>
      </c>
    </row>
    <row r="44">
      <c r="C44" s="3" t="inlineStr">
        <is>
          <t>Post-Capitalization:</t>
        </is>
      </c>
    </row>
    <row r="45">
      <c r="C45" s="29" t="inlineStr">
        <is>
          <t>Adjusted Net Debt:</t>
        </is>
      </c>
    </row>
    <row r="46">
      <c r="C46" s="43" t="inlineStr">
        <is>
          <t>Gross Debt</t>
        </is>
      </c>
      <c r="E46" s="8">
        <f>E34</f>
        <v>3605600</v>
      </c>
    </row>
    <row r="47">
      <c r="C47" s="43" t="inlineStr">
        <is>
          <t>(-) Cash</t>
        </is>
      </c>
      <c r="E47" s="8">
        <f>E35</f>
        <v>-7555393.75197208</v>
      </c>
    </row>
    <row r="48">
      <c r="C48" s="43" t="inlineStr">
        <is>
          <t>(-)/(+) Adjustments</t>
        </is>
      </c>
      <c r="E48" s="8">
        <f>E36</f>
        <v>3630000</v>
      </c>
    </row>
    <row r="49">
      <c r="C49" s="44" t="inlineStr">
        <is>
          <t>Adjusted Net Debt</t>
        </is>
      </c>
      <c r="E49" s="30">
        <f>SUM(E46:E48)</f>
        <v>-319793.751972081</v>
      </c>
    </row>
    <row r="50">
      <c r="C50" s="29" t="inlineStr">
        <is>
          <t>Equity Value:</t>
        </is>
      </c>
    </row>
    <row r="51">
      <c r="C51" s="43" t="inlineStr">
        <is>
          <t>Dunecrest Continuation Fund (acquires the Fund II stake)</t>
        </is>
      </c>
      <c r="D51" s="20">
        <f>D39</f>
        <v>0.74</v>
      </c>
      <c r="E51" s="8">
        <f>E39</f>
        <v>104953018.242877</v>
      </c>
    </row>
    <row r="52">
      <c r="C52" s="43" t="inlineStr">
        <is>
          <t>Management</t>
        </is>
      </c>
      <c r="D52" s="20">
        <f>SUM(D40:D40)</f>
        <v>0.26</v>
      </c>
      <c r="E52" s="8">
        <f>SUM(E40:E40)</f>
        <v>36875384.7880378</v>
      </c>
    </row>
    <row r="53">
      <c r="C53" s="44" t="inlineStr">
        <is>
          <t>Total Equity Value</t>
        </is>
      </c>
      <c r="E53" s="30">
        <f>E51+E52</f>
        <v>141828403.030915</v>
      </c>
    </row>
    <row r="54">
      <c r="C54" s="29" t="inlineStr">
        <is>
          <t>Total Enterprise Value</t>
        </is>
      </c>
      <c r="E54" s="31">
        <f>E49+E53</f>
        <v>141508609.278942</v>
      </c>
    </row>
    <row r="55">
      <c r="C55" s="14" t="inlineStr">
        <is>
          <t>Check (Post – Pre TEV)</t>
        </is>
      </c>
      <c r="E55" s="8">
        <f>E54-E42</f>
        <v>0</v>
      </c>
    </row>
    <row r="57">
      <c r="C57" s="12" t="inlineStr">
        <is>
          <t>Exit Assumptions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</row>
    <row r="58">
      <c r="C58" s="25" t="inlineStr">
        <is>
          <t>A</t>
        </is>
      </c>
      <c r="D58" s="25" t="inlineStr">
        <is>
          <t>Exit Valuation</t>
        </is>
      </c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</row>
    <row r="59">
      <c r="C59" s="14" t="inlineStr">
        <is>
          <t>Exit Date</t>
        </is>
      </c>
      <c r="E59" s="15" t="n">
        <v>48213</v>
      </c>
    </row>
    <row r="60">
      <c r="C60" s="14" t="inlineStr">
        <is>
          <t>Exit Path</t>
        </is>
      </c>
      <c r="E60" s="26" t="inlineStr">
        <is>
          <t>M&amp;A</t>
        </is>
      </c>
    </row>
    <row r="61">
      <c r="C61" s="14" t="inlineStr">
        <is>
          <t>Exit EBITDA Multiple (x)</t>
        </is>
      </c>
      <c r="E61" s="21" t="n">
        <v>7.5</v>
      </c>
    </row>
    <row r="63">
      <c r="C63" s="3" t="inlineStr">
        <is>
          <t>Total Cash Flows (100% basis):</t>
        </is>
      </c>
    </row>
    <row r="64">
      <c r="C64" s="14" t="inlineStr">
        <is>
          <t>Exit EBITDA (2030E EBITDA grown at the 2030E growth rate) (2)</t>
        </is>
      </c>
      <c r="S64" s="32">
        <f>'2. Tallowick (Combined Entity)'!R208*(1+'2. Tallowick (Combined Entity)'!R200)</f>
        <v>31323256.7363076</v>
      </c>
    </row>
    <row r="65">
      <c r="C65" s="14" t="inlineStr">
        <is>
          <t>Exit Multiple (x)</t>
        </is>
      </c>
      <c r="S65" s="40">
        <f>$E$61</f>
        <v>7.5</v>
      </c>
    </row>
    <row r="66">
      <c r="C66" s="29" t="inlineStr">
        <is>
          <t>Exit TEV</t>
        </is>
      </c>
      <c r="S66" s="30">
        <f>S64*S65</f>
        <v>234924425.522307</v>
      </c>
    </row>
    <row r="67">
      <c r="C67" s="14" t="inlineStr">
        <is>
          <t>(-) Net Debt / (+) Net Cash (2030E balance) (2)</t>
        </is>
      </c>
      <c r="S67" s="32">
        <f>-'2. Tallowick (Combined Entity)'!R271</f>
        <v>30468350.791733</v>
      </c>
    </row>
    <row r="68">
      <c r="C68" s="29" t="inlineStr">
        <is>
          <t>Exit Equity Value</t>
        </is>
      </c>
      <c r="S68" s="31">
        <f>SUM(S66:S67)</f>
        <v>265392776.31404</v>
      </c>
    </row>
    <row r="70">
      <c r="C70" s="3" t="inlineStr">
        <is>
          <t>Total Cash Flows:</t>
        </is>
      </c>
    </row>
    <row r="71">
      <c r="C71" s="14" t="inlineStr">
        <is>
          <t>(-) Initial Investment</t>
        </is>
      </c>
      <c r="G71" s="32">
        <f>IF(G$7=YEAR(Control!$E$12),-$E$25,0)</f>
        <v>0</v>
      </c>
      <c r="H71" s="32">
        <f>IF(H$7=YEAR(Control!$E$12),-$E$25,0)</f>
        <v>0</v>
      </c>
      <c r="I71" s="32">
        <f>IF(I$7=YEAR(Control!$E$12),-$E$25,0)</f>
        <v>0</v>
      </c>
      <c r="J71" s="32">
        <f>IF(J$7=YEAR(Control!$E$12),-$E$25,0)</f>
        <v>0</v>
      </c>
      <c r="K71" s="32">
        <f>IF(K$7=YEAR(Control!$E$12),-$E$25,0)</f>
        <v>0</v>
      </c>
      <c r="L71" s="32">
        <f>IF(L$7=YEAR(Control!$E$12),-$E$25,0)</f>
        <v>0</v>
      </c>
      <c r="M71" s="32">
        <f>IF(M$7=YEAR(Control!$E$12),-$E$25,0)</f>
        <v>0</v>
      </c>
      <c r="N71" s="32">
        <f>IF(N$7=YEAR(Control!$E$12),-$E$25,0)</f>
        <v>-141828403.030915</v>
      </c>
      <c r="O71" s="32">
        <f>IF(O$7=YEAR(Control!$E$12),-$E$25,0)</f>
        <v>0</v>
      </c>
      <c r="P71" s="32">
        <f>IF(P$7=YEAR(Control!$E$12),-$E$25,0)</f>
        <v>0</v>
      </c>
      <c r="Q71" s="32">
        <f>IF(Q$7=YEAR(Control!$E$12),-$E$25,0)</f>
        <v>0</v>
      </c>
      <c r="R71" s="32">
        <f>IF(R$7=YEAR(Control!$E$12),-$E$25,0)</f>
        <v>0</v>
      </c>
      <c r="S71" s="32">
        <f>IF(S$7=YEAR(Control!$E$12),-$E$25,0)</f>
        <v>0</v>
      </c>
    </row>
    <row r="72">
      <c r="C72" s="14" t="inlineStr">
        <is>
          <t>(-) Follow-On Capital</t>
        </is>
      </c>
      <c r="G72" s="32">
        <f>IF(G$7&gt;YEAR(Control!$E$12),-'2. Tallowick (Combined Entity)'!G192,0)</f>
        <v>0</v>
      </c>
      <c r="H72" s="32">
        <f>IF(H$7&gt;YEAR(Control!$E$12),-'2. Tallowick (Combined Entity)'!H192,0)</f>
        <v>0</v>
      </c>
      <c r="I72" s="32">
        <f>IF(I$7&gt;YEAR(Control!$E$12),-'2. Tallowick (Combined Entity)'!I192,0)</f>
        <v>0</v>
      </c>
      <c r="J72" s="32">
        <f>IF(J$7&gt;YEAR(Control!$E$12),-'2. Tallowick (Combined Entity)'!J192,0)</f>
        <v>0</v>
      </c>
      <c r="K72" s="32">
        <f>IF(K$7&gt;YEAR(Control!$E$12),-'2. Tallowick (Combined Entity)'!K192,0)</f>
        <v>0</v>
      </c>
      <c r="L72" s="32">
        <f>IF(L$7&gt;YEAR(Control!$E$12),-'2. Tallowick (Combined Entity)'!L192,0)</f>
        <v>0</v>
      </c>
      <c r="M72" s="32">
        <f>IF(M$7&gt;YEAR(Control!$E$12),-'2. Tallowick (Combined Entity)'!M192,0)</f>
        <v>0</v>
      </c>
      <c r="N72" s="32">
        <f>IF(N$7&gt;YEAR(Control!$E$12),-'2. Tallowick (Combined Entity)'!N192,0)</f>
        <v>0</v>
      </c>
      <c r="O72" s="32">
        <f>IF(O$7&gt;YEAR(Control!$E$12),-'2. Tallowick (Combined Entity)'!O192,0)</f>
        <v>-1881600</v>
      </c>
      <c r="P72" s="32">
        <f>IF(P$7&gt;YEAR(Control!$E$12),-'2. Tallowick (Combined Entity)'!P192,0)</f>
        <v>-1809600</v>
      </c>
      <c r="Q72" s="32">
        <f>IF(Q$7&gt;YEAR(Control!$E$12),-'2. Tallowick (Combined Entity)'!Q192,0)</f>
        <v>-1004400</v>
      </c>
      <c r="R72" s="32">
        <f>IF(R$7&gt;YEAR(Control!$E$12),-'2. Tallowick (Combined Entity)'!R192,0)</f>
        <v>-0</v>
      </c>
      <c r="S72" s="26" t="n">
        <v>0</v>
      </c>
    </row>
    <row r="73">
      <c r="C73" s="14" t="inlineStr">
        <is>
          <t>(+) Interim Proceeds (Dividends)</t>
        </is>
      </c>
      <c r="G73" s="32">
        <f>IF(G$7&gt;YEAR(Control!$E$12),'2. Tallowick (Combined Entity)'!G279,0)</f>
        <v>0</v>
      </c>
      <c r="H73" s="32">
        <f>IF(H$7&gt;YEAR(Control!$E$12),'2. Tallowick (Combined Entity)'!H279,0)</f>
        <v>0</v>
      </c>
      <c r="I73" s="32">
        <f>IF(I$7&gt;YEAR(Control!$E$12),'2. Tallowick (Combined Entity)'!I279,0)</f>
        <v>0</v>
      </c>
      <c r="J73" s="32">
        <f>IF(J$7&gt;YEAR(Control!$E$12),'2. Tallowick (Combined Entity)'!J279,0)</f>
        <v>0</v>
      </c>
      <c r="K73" s="32">
        <f>IF(K$7&gt;YEAR(Control!$E$12),'2. Tallowick (Combined Entity)'!K279,0)</f>
        <v>0</v>
      </c>
      <c r="L73" s="32">
        <f>IF(L$7&gt;YEAR(Control!$E$12),'2. Tallowick (Combined Entity)'!L279,0)</f>
        <v>0</v>
      </c>
      <c r="M73" s="32">
        <f>IF(M$7&gt;YEAR(Control!$E$12),'2. Tallowick (Combined Entity)'!M279,0)</f>
        <v>0</v>
      </c>
      <c r="N73" s="32">
        <f>IF(N$7&gt;YEAR(Control!$E$12),'2. Tallowick (Combined Entity)'!N279,0)</f>
        <v>0</v>
      </c>
      <c r="O73" s="32">
        <f>IF(O$7&gt;YEAR(Control!$E$12),'2. Tallowick (Combined Entity)'!O279,0)</f>
        <v>6792531.67668468</v>
      </c>
      <c r="P73" s="32">
        <f>IF(P$7&gt;YEAR(Control!$E$12),'2. Tallowick (Combined Entity)'!P279,0)</f>
        <v>7680004.21408992</v>
      </c>
      <c r="Q73" s="32">
        <f>IF(Q$7&gt;YEAR(Control!$E$12),'2. Tallowick (Combined Entity)'!Q279,0)</f>
        <v>8451877.92474165</v>
      </c>
      <c r="R73" s="32">
        <f>IF(R$7&gt;YEAR(Control!$E$12),'2. Tallowick (Combined Entity)'!R279,0)</f>
        <v>8831828.05713222</v>
      </c>
      <c r="S73" s="26" t="n">
        <v>0</v>
      </c>
    </row>
    <row r="74">
      <c r="C74" s="14" t="inlineStr">
        <is>
          <t>(+) Exit Value</t>
        </is>
      </c>
      <c r="G74" s="8">
        <f>IF(G$6=$E$59,S68,0)</f>
        <v>0</v>
      </c>
      <c r="H74" s="8">
        <f>IF(H$6=$E$59,S68,0)</f>
        <v>0</v>
      </c>
      <c r="I74" s="8">
        <f>IF(I$6=$E$59,S68,0)</f>
        <v>0</v>
      </c>
      <c r="J74" s="8">
        <f>IF(J$6=$E$59,S68,0)</f>
        <v>0</v>
      </c>
      <c r="K74" s="8">
        <f>IF(K$6=$E$59,S68,0)</f>
        <v>0</v>
      </c>
      <c r="L74" s="8">
        <f>IF(L$6=$E$59,S68,0)</f>
        <v>0</v>
      </c>
      <c r="M74" s="8">
        <f>IF(M$6=$E$59,S68,0)</f>
        <v>0</v>
      </c>
      <c r="N74" s="8">
        <f>IF(N$6=$E$59,S68,0)</f>
        <v>0</v>
      </c>
      <c r="O74" s="8">
        <f>IF(O$6=$E$59,S68,0)</f>
        <v>0</v>
      </c>
      <c r="P74" s="8">
        <f>IF(P$6=$E$59,S68,0)</f>
        <v>0</v>
      </c>
      <c r="Q74" s="8">
        <f>IF(Q$6=$E$59,S68,0)</f>
        <v>0</v>
      </c>
      <c r="R74" s="8">
        <f>IF(R$6=$E$59,S68,0)</f>
        <v>0</v>
      </c>
      <c r="S74" s="8">
        <f>IF(S$6=$E$59,S68,0)</f>
        <v>265392776.31404</v>
      </c>
    </row>
    <row r="75">
      <c r="C75" s="29" t="inlineStr">
        <is>
          <t>Total Cash Flows</t>
        </is>
      </c>
      <c r="G75" s="30">
        <f>SUM(G71:G74)</f>
        <v>0</v>
      </c>
      <c r="H75" s="30">
        <f>SUM(H71:H74)</f>
        <v>0</v>
      </c>
      <c r="I75" s="30">
        <f>SUM(I71:I74)</f>
        <v>0</v>
      </c>
      <c r="J75" s="30">
        <f>SUM(J71:J74)</f>
        <v>0</v>
      </c>
      <c r="K75" s="30">
        <f>SUM(K71:K74)</f>
        <v>0</v>
      </c>
      <c r="L75" s="30">
        <f>SUM(L71:L74)</f>
        <v>0</v>
      </c>
      <c r="M75" s="30">
        <f>SUM(M71:M74)</f>
        <v>0</v>
      </c>
      <c r="N75" s="30">
        <f>SUM(N71:N74)</f>
        <v>-141828403.030915</v>
      </c>
      <c r="O75" s="30">
        <f>SUM(O71:O74)</f>
        <v>4910931.67668468</v>
      </c>
      <c r="P75" s="30">
        <f>SUM(P71:P74)</f>
        <v>5870404.21408992</v>
      </c>
      <c r="Q75" s="30">
        <f>SUM(Q71:Q74)</f>
        <v>7447477.92474165</v>
      </c>
      <c r="R75" s="30">
        <f>SUM(R71:R74)</f>
        <v>8831828.05713222</v>
      </c>
      <c r="S75" s="30">
        <f>SUM(S71:S74)</f>
        <v>265392776.31404</v>
      </c>
    </row>
    <row r="76">
      <c r="C76" s="29" t="inlineStr">
        <is>
          <t>Gross MoIC</t>
        </is>
      </c>
      <c r="E76" s="45">
        <f>IFERROR(SUMIF(G75:S75,"&gt;0")/-SUMIF(G75:S75,"&lt;0"),0)</f>
        <v>2.06202292303144</v>
      </c>
    </row>
    <row r="77">
      <c r="C77" s="29" t="inlineStr">
        <is>
          <t>Gross IRR</t>
        </is>
      </c>
      <c r="E77" s="46">
        <f>IFERROR(XIRR(G75:S75,G$6:S$6),0)</f>
        <v>0.164698785149597</v>
      </c>
    </row>
    <row r="79">
      <c r="C79" s="3" t="inlineStr">
        <is>
          <t>Total Investment:</t>
        </is>
      </c>
    </row>
    <row r="80">
      <c r="C80" s="14" t="inlineStr">
        <is>
          <t>Kessport Frontier Fund II</t>
        </is>
      </c>
      <c r="E80" s="8">
        <f>E39</f>
        <v>104953018.242877</v>
      </c>
    </row>
    <row r="81">
      <c r="C81" s="14" t="inlineStr">
        <is>
          <t>Owner 2 (Management)</t>
        </is>
      </c>
      <c r="E81" s="8">
        <f>E40</f>
        <v>36875384.7880378</v>
      </c>
    </row>
    <row r="82">
      <c r="C82" s="29" t="inlineStr">
        <is>
          <t>Total Investment</t>
        </is>
      </c>
      <c r="E82" s="30">
        <f>SUM(E80:E81)</f>
        <v>141828403.030915</v>
      </c>
    </row>
    <row r="84">
      <c r="C84" s="3" t="inlineStr">
        <is>
          <t>Continuation Fund Cash Flows:</t>
        </is>
      </c>
    </row>
    <row r="85">
      <c r="C85" s="14" t="inlineStr">
        <is>
          <t>(-) Initial Investment (Purchase Price at NAV Pricing)</t>
        </is>
      </c>
      <c r="G85" s="32">
        <f>IF(G$7=YEAR(Control!$E$12),-$E$28,0)</f>
        <v>0</v>
      </c>
      <c r="H85" s="32">
        <f>IF(H$7=YEAR(Control!$E$12),-$E$28,0)</f>
        <v>0</v>
      </c>
      <c r="I85" s="32">
        <f>IF(I$7=YEAR(Control!$E$12),-$E$28,0)</f>
        <v>0</v>
      </c>
      <c r="J85" s="32">
        <f>IF(J$7=YEAR(Control!$E$12),-$E$28,0)</f>
        <v>0</v>
      </c>
      <c r="K85" s="32">
        <f>IF(K$7=YEAR(Control!$E$12),-$E$28,0)</f>
        <v>0</v>
      </c>
      <c r="L85" s="32">
        <f>IF(L$7=YEAR(Control!$E$12),-$E$28,0)</f>
        <v>0</v>
      </c>
      <c r="M85" s="32">
        <f>IF(M$7=YEAR(Control!$E$12),-$E$28,0)</f>
        <v>0</v>
      </c>
      <c r="N85" s="32">
        <f>IF(N$7=YEAR(Control!$E$12),-$E$28,0)</f>
        <v>-97606306.9658754</v>
      </c>
      <c r="O85" s="32">
        <f>IF(O$7=YEAR(Control!$E$12),-$E$28,0)</f>
        <v>0</v>
      </c>
      <c r="P85" s="32">
        <f>IF(P$7=YEAR(Control!$E$12),-$E$28,0)</f>
        <v>0</v>
      </c>
      <c r="Q85" s="32">
        <f>IF(Q$7=YEAR(Control!$E$12),-$E$28,0)</f>
        <v>0</v>
      </c>
      <c r="R85" s="32">
        <f>IF(R$7=YEAR(Control!$E$12),-$E$28,0)</f>
        <v>0</v>
      </c>
      <c r="S85" s="32">
        <f>IF(S$7=YEAR(Control!$E$12),-$E$28,0)</f>
        <v>0</v>
      </c>
    </row>
    <row r="86">
      <c r="C86" s="14" t="inlineStr">
        <is>
          <t>(-) Follow-On Capital (fund share)</t>
        </is>
      </c>
      <c r="G86" s="8">
        <f>G72*$E$26</f>
        <v>0</v>
      </c>
      <c r="H86" s="8">
        <f>H72*$E$26</f>
        <v>0</v>
      </c>
      <c r="I86" s="8">
        <f>I72*$E$26</f>
        <v>0</v>
      </c>
      <c r="J86" s="8">
        <f>J72*$E$26</f>
        <v>0</v>
      </c>
      <c r="K86" s="8">
        <f>K72*$E$26</f>
        <v>0</v>
      </c>
      <c r="L86" s="8">
        <f>L72*$E$26</f>
        <v>0</v>
      </c>
      <c r="M86" s="8">
        <f>M72*$E$26</f>
        <v>0</v>
      </c>
      <c r="N86" s="8">
        <f>N72*$E$26</f>
        <v>0</v>
      </c>
      <c r="O86" s="8">
        <f>O72*$E$26</f>
        <v>-1392384</v>
      </c>
      <c r="P86" s="8">
        <f>P72*$E$26</f>
        <v>-1339104</v>
      </c>
      <c r="Q86" s="8">
        <f>Q72*$E$26</f>
        <v>-743256</v>
      </c>
      <c r="R86" s="8">
        <f>R72*$E$26</f>
        <v>-0</v>
      </c>
      <c r="S86" s="8">
        <f>S72*$E$26</f>
        <v>0</v>
      </c>
    </row>
    <row r="87">
      <c r="C87" s="14" t="inlineStr">
        <is>
          <t>(+) Interim Proceeds</t>
        </is>
      </c>
      <c r="G87" s="8">
        <f>G73*$E$26</f>
        <v>0</v>
      </c>
      <c r="H87" s="8">
        <f>H73*$E$26</f>
        <v>0</v>
      </c>
      <c r="I87" s="8">
        <f>I73*$E$26</f>
        <v>0</v>
      </c>
      <c r="J87" s="8">
        <f>J73*$E$26</f>
        <v>0</v>
      </c>
      <c r="K87" s="8">
        <f>K73*$E$26</f>
        <v>0</v>
      </c>
      <c r="L87" s="8">
        <f>L73*$E$26</f>
        <v>0</v>
      </c>
      <c r="M87" s="8">
        <f>M73*$E$26</f>
        <v>0</v>
      </c>
      <c r="N87" s="8">
        <f>N73*$E$26</f>
        <v>0</v>
      </c>
      <c r="O87" s="8">
        <f>O73*$E$26</f>
        <v>5026473.44074666</v>
      </c>
      <c r="P87" s="8">
        <f>P73*$E$26</f>
        <v>5683203.11842654</v>
      </c>
      <c r="Q87" s="8">
        <f>Q73*$E$26</f>
        <v>6254389.66430882</v>
      </c>
      <c r="R87" s="8">
        <f>R73*$E$26</f>
        <v>6535552.76227784</v>
      </c>
      <c r="S87" s="8">
        <f>S73*$E$26</f>
        <v>0</v>
      </c>
    </row>
    <row r="88">
      <c r="C88" s="14" t="inlineStr">
        <is>
          <t>(+) Exit Value</t>
        </is>
      </c>
      <c r="G88" s="8">
        <f>G74*$E$26</f>
        <v>0</v>
      </c>
      <c r="H88" s="8">
        <f>H74*$E$26</f>
        <v>0</v>
      </c>
      <c r="I88" s="8">
        <f>I74*$E$26</f>
        <v>0</v>
      </c>
      <c r="J88" s="8">
        <f>J74*$E$26</f>
        <v>0</v>
      </c>
      <c r="K88" s="8">
        <f>K74*$E$26</f>
        <v>0</v>
      </c>
      <c r="L88" s="8">
        <f>L74*$E$26</f>
        <v>0</v>
      </c>
      <c r="M88" s="8">
        <f>M74*$E$26</f>
        <v>0</v>
      </c>
      <c r="N88" s="8">
        <f>N74*$E$26</f>
        <v>0</v>
      </c>
      <c r="O88" s="8">
        <f>O74*$E$26</f>
        <v>0</v>
      </c>
      <c r="P88" s="8">
        <f>P74*$E$26</f>
        <v>0</v>
      </c>
      <c r="Q88" s="8">
        <f>Q74*$E$26</f>
        <v>0</v>
      </c>
      <c r="R88" s="8">
        <f>R74*$E$26</f>
        <v>0</v>
      </c>
      <c r="S88" s="8">
        <f>S74*$E$26</f>
        <v>196390654.472389</v>
      </c>
    </row>
    <row r="89">
      <c r="C89" s="29" t="inlineStr">
        <is>
          <t>Total Cash Flows</t>
        </is>
      </c>
      <c r="G89" s="30">
        <f>SUM(G85:G88)</f>
        <v>0</v>
      </c>
      <c r="H89" s="30">
        <f>SUM(H85:H88)</f>
        <v>0</v>
      </c>
      <c r="I89" s="30">
        <f>SUM(I85:I88)</f>
        <v>0</v>
      </c>
      <c r="J89" s="30">
        <f>SUM(J85:J88)</f>
        <v>0</v>
      </c>
      <c r="K89" s="30">
        <f>SUM(K85:K88)</f>
        <v>0</v>
      </c>
      <c r="L89" s="30">
        <f>SUM(L85:L88)</f>
        <v>0</v>
      </c>
      <c r="M89" s="30">
        <f>SUM(M85:M88)</f>
        <v>0</v>
      </c>
      <c r="N89" s="30">
        <f>SUM(N85:N88)</f>
        <v>-97606306.9658754</v>
      </c>
      <c r="O89" s="30">
        <f>SUM(O85:O88)</f>
        <v>3634089.44074666</v>
      </c>
      <c r="P89" s="30">
        <f>SUM(P85:P88)</f>
        <v>4344099.11842654</v>
      </c>
      <c r="Q89" s="30">
        <f>SUM(Q85:Q88)</f>
        <v>5511133.66430882</v>
      </c>
      <c r="R89" s="30">
        <f>SUM(R85:R88)</f>
        <v>6535552.76227784</v>
      </c>
      <c r="S89" s="30">
        <f>SUM(S85:S88)</f>
        <v>196390654.472389</v>
      </c>
    </row>
    <row r="90">
      <c r="C90" s="29" t="inlineStr">
        <is>
          <t>Gross MoIC</t>
        </is>
      </c>
      <c r="E90" s="45">
        <f>IFERROR(SUMIF(G89:S89,"&gt;0")/-SUMIF(G89:S89,"&lt;0"),0)</f>
        <v>2.21722894949618</v>
      </c>
    </row>
    <row r="91">
      <c r="C91" s="29" t="inlineStr">
        <is>
          <t>Gross IRR</t>
        </is>
      </c>
      <c r="E91" s="46">
        <f>IFERROR(XIRR(G89:S89,G$6:S$6),0)</f>
        <v>0.182878385546495</v>
      </c>
    </row>
    <row r="93">
      <c r="C93" s="3" t="inlineStr">
        <is>
          <t>Notes:</t>
        </is>
      </c>
    </row>
    <row r="94">
      <c r="C94" s="2" t="inlineStr">
        <is>
          <t>(1) LTM Q2'26 EBITDA approximated as the average of FY2025A and FY2026E EBITDA.</t>
        </is>
      </c>
    </row>
    <row r="95">
      <c r="C95" s="2" t="inlineStr">
        <is>
          <t>(2) Exit at 31-Dec-2031: exit EBITDA = FY2030E EBITDA grown one year at the FY2030E revenue growth rate; net debt and minorities at the FY2030E balance (last modelled year).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3:R81"/>
  <sheetViews>
    <sheetView showGridLines="0" zoomScale="85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44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Dunecrest Continuation Fund – Transaction Summary (USD)</t>
        </is>
      </c>
    </row>
    <row r="5">
      <c r="C5" s="10" t="str">
        <f>IF(Control!$E$5=1,"Circuit breaker: ON – model live","Circuit breaker: OFF – outputs suspended")</f>
        <v>Circuit breaker: ON – model live</v>
      </c>
    </row>
    <row r="6">
      <c r="C6" s="3" t="inlineStr">
        <is>
          <t>Fiscal Year Ending</t>
        </is>
      </c>
      <c r="G6" s="42">
        <f>Control!$E$12</f>
        <v>46387</v>
      </c>
      <c r="H6" s="22">
        <f>EOMONTH(G6,12)</f>
        <v>46752</v>
      </c>
      <c r="I6" s="22">
        <f>EOMONTH(H6,12)</f>
        <v>47118</v>
      </c>
      <c r="J6" s="22">
        <f>EOMONTH(I6,12)</f>
        <v>47483</v>
      </c>
      <c r="K6" s="22">
        <f>EOMONTH(J6,12)</f>
        <v>47848</v>
      </c>
      <c r="L6" s="22">
        <f>EOMONTH(K6,12)</f>
        <v>48213</v>
      </c>
    </row>
    <row r="7">
      <c r="C7" s="3" t="inlineStr">
        <is>
          <t>Fiscal Year</t>
        </is>
      </c>
      <c r="G7" s="49" t="str">
        <f>IF(G6=Control!$E$12,"Entry","FY"&amp;TEXT(YEAR(G6),"0")&amp;"E")</f>
        <v>Entry</v>
      </c>
      <c r="H7" s="49" t="str">
        <f>IF(H6=Control!$E$12,"Entry","FY"&amp;TEXT(YEAR(H6),"0")&amp;"E")</f>
        <v>FY2027E</v>
      </c>
      <c r="I7" s="49" t="str">
        <f>IF(I6=Control!$E$12,"Entry","FY"&amp;TEXT(YEAR(I6),"0")&amp;"E")</f>
        <v>FY2028E</v>
      </c>
      <c r="J7" s="49" t="str">
        <f>IF(J6=Control!$E$12,"Entry","FY"&amp;TEXT(YEAR(J6),"0")&amp;"E")</f>
        <v>FY2029E</v>
      </c>
      <c r="K7" s="49" t="str">
        <f>IF(K6=Control!$E$12,"Entry","FY"&amp;TEXT(YEAR(K6),"0")&amp;"E")</f>
        <v>FY2030E</v>
      </c>
      <c r="L7" s="49" t="str">
        <f>IF(L6=Control!$E$12,"Entry","FY"&amp;TEXT(YEAR(L6),"0")&amp;"E")</f>
        <v>FY2031E</v>
      </c>
    </row>
    <row r="8">
      <c r="C8" s="3" t="inlineStr">
        <is>
          <t>Year</t>
        </is>
      </c>
      <c r="G8" s="50">
        <f>YEAR(G6)</f>
        <v>2026</v>
      </c>
      <c r="H8" s="50">
        <f>YEAR(H6)</f>
        <v>2027</v>
      </c>
      <c r="I8" s="50">
        <f>YEAR(I6)</f>
        <v>2028</v>
      </c>
      <c r="J8" s="50">
        <f>YEAR(J6)</f>
        <v>2029</v>
      </c>
      <c r="K8" s="50">
        <f>YEAR(K6)</f>
        <v>2030</v>
      </c>
      <c r="L8" s="50">
        <f>YEAR(L6)</f>
        <v>2031</v>
      </c>
    </row>
    <row r="10">
      <c r="C10" s="12" t="inlineStr">
        <is>
          <t>Portfolio Summary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C11" s="25" t="inlineStr">
        <is>
          <t>A</t>
        </is>
      </c>
      <c r="D11" s="25" t="inlineStr">
        <is>
          <t>Portfolio Summary</t>
        </is>
      </c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C12" s="3" t="inlineStr">
        <is>
          <t>Investment Information:</t>
        </is>
      </c>
    </row>
    <row r="13">
      <c r="C13" s="51" t="inlineStr">
        <is>
          <t>Investment</t>
        </is>
      </c>
      <c r="E13" s="51" t="inlineStr">
        <is>
          <t>Entry Date</t>
        </is>
      </c>
      <c r="F13" s="51" t="inlineStr">
        <is>
          <t>Ownership (%)</t>
        </is>
      </c>
      <c r="G13" s="51" t="inlineStr">
        <is>
          <t>Currency</t>
        </is>
      </c>
    </row>
    <row r="14">
      <c r="C14" s="14" t="inlineStr">
        <is>
          <t>Arvenna Health Group</t>
        </is>
      </c>
      <c r="E14" s="52">
        <f>Control!$E$12</f>
        <v>46387</v>
      </c>
      <c r="F14" s="47">
        <f>'7. Entry &amp; Exit'!$E$26</f>
        <v>0.58</v>
      </c>
      <c r="G14" s="53" t="str">
        <f>Control!$E$16</f>
        <v>LCA</v>
      </c>
    </row>
    <row r="15">
      <c r="C15" s="14" t="inlineStr">
        <is>
          <t>Tallowick Consumer Products</t>
        </is>
      </c>
      <c r="E15" s="52">
        <f>Control!$E$12</f>
        <v>46387</v>
      </c>
      <c r="F15" s="47">
        <f>'3. Entry &amp; Exit'!$E$26</f>
        <v>0.74</v>
      </c>
      <c r="G15" s="53" t="str">
        <f>Control!$E$21</f>
        <v>LCB</v>
      </c>
    </row>
    <row r="17">
      <c r="C17" s="3" t="inlineStr">
        <is>
          <t>Investment Summary:</t>
        </is>
      </c>
    </row>
    <row r="18">
      <c r="C18" s="51" t="inlineStr">
        <is>
          <t>Investment</t>
        </is>
      </c>
      <c r="E18" s="51" t="inlineStr">
        <is>
          <t>Cost</t>
        </is>
      </c>
      <c r="F18" s="51" t="inlineStr">
        <is>
          <t>NAV</t>
        </is>
      </c>
      <c r="G18" s="51" t="inlineStr">
        <is>
          <t>Pricing (%)</t>
        </is>
      </c>
      <c r="H18" s="51" t="inlineStr">
        <is>
          <t>Acquired Equity</t>
        </is>
      </c>
    </row>
    <row r="19">
      <c r="C19" s="14" t="inlineStr">
        <is>
          <t>Arvenna Health Group</t>
        </is>
      </c>
      <c r="E19" s="26" t="n">
        <v>31420000</v>
      </c>
      <c r="F19" s="32">
        <f>'7. Entry &amp; Exit'!$E$27</f>
        <v>48955458.6909502</v>
      </c>
      <c r="G19" s="20">
        <f>IFERROR(H19/F19,0)</f>
        <v>0.94</v>
      </c>
      <c r="H19" s="32">
        <f>'7. Entry &amp; Exit'!$E$28</f>
        <v>46018131.1694932</v>
      </c>
    </row>
    <row r="20">
      <c r="C20" s="14" t="inlineStr">
        <is>
          <t>Tallowick Consumer Products</t>
        </is>
      </c>
      <c r="E20" s="26" t="n">
        <v>27860000</v>
      </c>
      <c r="F20" s="32">
        <f>'3. Entry &amp; Exit'!$E$27</f>
        <v>104953018.242877</v>
      </c>
      <c r="G20" s="20">
        <f>IFERROR(H20/F20,0)</f>
        <v>0.93</v>
      </c>
      <c r="H20" s="32">
        <f>'3. Entry &amp; Exit'!$E$28</f>
        <v>97606306.9658754</v>
      </c>
    </row>
    <row r="21">
      <c r="C21" s="3" t="inlineStr">
        <is>
          <t>Total</t>
        </is>
      </c>
      <c r="E21" s="30">
        <f>SUM(E19:E20)</f>
        <v>59280000</v>
      </c>
      <c r="F21" s="30">
        <f>SUM(F19:F20)</f>
        <v>153908476.933827</v>
      </c>
      <c r="G21" s="54">
        <f>IFERROR(H21/F21,0)</f>
        <v>0.93318081626602</v>
      </c>
      <c r="H21" s="30">
        <f>SUM(H19:H20)</f>
        <v>143624438.135369</v>
      </c>
    </row>
    <row r="23">
      <c r="C23" s="25" t="inlineStr">
        <is>
          <t>B</t>
        </is>
      </c>
      <c r="D23" s="25" t="inlineStr">
        <is>
          <t>Continuation Fund Sources &amp; Uses</t>
        </is>
      </c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>
      <c r="C24" s="3" t="inlineStr">
        <is>
          <t>Sources:</t>
        </is>
      </c>
    </row>
    <row r="25">
      <c r="C25" s="29" t="inlineStr">
        <is>
          <t>Continuation Fund:</t>
        </is>
      </c>
    </row>
    <row r="26">
      <c r="C26" s="43" t="inlineStr">
        <is>
          <t>Funded Equity</t>
        </is>
      </c>
      <c r="E26" s="8">
        <f>E36+E37+E42</f>
        <v>145060682.516722</v>
      </c>
    </row>
    <row r="27">
      <c r="C27" s="55" t="inlineStr">
        <is>
          <t>of which: Rolling LPs (Fund II investors rolling)</t>
        </is>
      </c>
      <c r="E27" s="32">
        <f>E26*Control!$E$30</f>
        <v>59474879.8318561</v>
      </c>
    </row>
    <row r="28">
      <c r="C28" s="55" t="inlineStr">
        <is>
          <t>of which: Reinvested GP Economics</t>
        </is>
      </c>
      <c r="E28" s="32">
        <f>Control!$E$29*1000000</f>
        <v>5200000</v>
      </c>
    </row>
    <row r="29">
      <c r="C29" s="55" t="inlineStr">
        <is>
          <t>of which: New LPs (secondary buyers)</t>
        </is>
      </c>
      <c r="E29" s="8">
        <f>E26-E27-E28</f>
        <v>80385802.6848661</v>
      </c>
    </row>
    <row r="30">
      <c r="C30" s="43" t="inlineStr">
        <is>
          <t>Follow-On Equity</t>
        </is>
      </c>
      <c r="E30" s="8">
        <f>E39+E40</f>
        <v>10223914</v>
      </c>
    </row>
    <row r="31">
      <c r="C31" s="43" t="inlineStr">
        <is>
          <t>Management Fees &amp; Expenses</t>
        </is>
      </c>
      <c r="E31" s="32">
        <f>SUM('SPV Waterfall'!$G$53:$AA$53)</f>
        <v>12430971.7628908</v>
      </c>
    </row>
    <row r="32">
      <c r="C32" s="29" t="inlineStr">
        <is>
          <t>Total Sources</t>
        </is>
      </c>
      <c r="E32" s="31">
        <f>E26+E30+E31</f>
        <v>167715568.279613</v>
      </c>
    </row>
    <row r="34">
      <c r="C34" s="3" t="inlineStr">
        <is>
          <t>Uses:</t>
        </is>
      </c>
    </row>
    <row r="35">
      <c r="C35" s="29" t="inlineStr">
        <is>
          <t>Acquired Equity:</t>
        </is>
      </c>
    </row>
    <row r="36">
      <c r="C36" s="43" t="inlineStr">
        <is>
          <t>Arvenna Health Group</t>
        </is>
      </c>
      <c r="E36" s="8">
        <f>H19</f>
        <v>46018131.1694932</v>
      </c>
    </row>
    <row r="37">
      <c r="C37" s="43" t="inlineStr">
        <is>
          <t>Tallowick Consumer Products</t>
        </is>
      </c>
      <c r="E37" s="8">
        <f>H20</f>
        <v>97606306.9658754</v>
      </c>
    </row>
    <row r="38">
      <c r="C38" s="29" t="inlineStr">
        <is>
          <t>Follow-On Capital:</t>
        </is>
      </c>
    </row>
    <row r="39">
      <c r="C39" s="43" t="inlineStr">
        <is>
          <t>Arvenna Health Group</t>
        </is>
      </c>
      <c r="E39" s="32">
        <f>-SUM('7. Entry &amp; Exit'!$G$91:$S$91)</f>
        <v>6749170</v>
      </c>
    </row>
    <row r="40">
      <c r="C40" s="43" t="inlineStr">
        <is>
          <t>Tallowick Consumer Products</t>
        </is>
      </c>
      <c r="E40" s="32">
        <f>-SUM('3. Entry &amp; Exit'!$G$86:$S$86)</f>
        <v>3474744</v>
      </c>
    </row>
    <row r="41">
      <c r="C41" s="14" t="inlineStr">
        <is>
          <t>Management Fees &amp; Expenses</t>
        </is>
      </c>
      <c r="E41" s="32">
        <f>SUM('SPV Waterfall'!$G$53:$AA$53)</f>
        <v>12430971.7628908</v>
      </c>
    </row>
    <row r="42">
      <c r="C42" s="14" t="inlineStr">
        <is>
          <t>Buy-Side Transaction Fees</t>
        </is>
      </c>
      <c r="D42" s="19" t="n">
        <v>0.01</v>
      </c>
      <c r="E42" s="8">
        <f>D42*(E36+E37)</f>
        <v>1436244.38135369</v>
      </c>
    </row>
    <row r="43">
      <c r="C43" s="29" t="inlineStr">
        <is>
          <t>Total Uses</t>
        </is>
      </c>
      <c r="E43" s="31">
        <f>SUM(E36:E42)</f>
        <v>167715568.279613</v>
      </c>
    </row>
    <row r="44">
      <c r="C44" s="14" t="inlineStr">
        <is>
          <t>Check (Sources – Uses)</t>
        </is>
      </c>
      <c r="E44" s="38">
        <f>ROUND(E32-E43,2)</f>
        <v>0</v>
      </c>
    </row>
    <row r="46">
      <c r="C46" s="12" t="inlineStr">
        <is>
          <t>Cash Flow Summary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C47" s="25" t="inlineStr">
        <is>
          <t>A</t>
        </is>
      </c>
      <c r="D47" s="25" t="inlineStr">
        <is>
          <t>Continuation Fund Cash Flows</t>
        </is>
      </c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</row>
    <row r="48">
      <c r="C48" s="3" t="inlineStr">
        <is>
          <t>Initial Investment:</t>
        </is>
      </c>
    </row>
    <row r="49">
      <c r="C49" s="14" t="inlineStr">
        <is>
          <t>Arvenna Health Group</t>
        </is>
      </c>
      <c r="G49" s="32">
        <f>SUMIFS('7. Entry &amp; Exit'!$G$90:$S$90,'7. Entry &amp; Exit'!$G$7:$S$7,G$8)</f>
        <v>-46018131.1694932</v>
      </c>
      <c r="H49" s="32">
        <f>SUMIFS('7. Entry &amp; Exit'!$G$90:$S$90,'7. Entry &amp; Exit'!$G$7:$S$7,H$8)</f>
        <v>0</v>
      </c>
      <c r="I49" s="32">
        <f>SUMIFS('7. Entry &amp; Exit'!$G$90:$S$90,'7. Entry &amp; Exit'!$G$7:$S$7,I$8)</f>
        <v>0</v>
      </c>
      <c r="J49" s="32">
        <f>SUMIFS('7. Entry &amp; Exit'!$G$90:$S$90,'7. Entry &amp; Exit'!$G$7:$S$7,J$8)</f>
        <v>0</v>
      </c>
      <c r="K49" s="32">
        <f>SUMIFS('7. Entry &amp; Exit'!$G$90:$S$90,'7. Entry &amp; Exit'!$G$7:$S$7,K$8)</f>
        <v>0</v>
      </c>
      <c r="L49" s="32">
        <f>SUMIFS('7. Entry &amp; Exit'!$G$90:$S$90,'7. Entry &amp; Exit'!$G$7:$S$7,L$8)</f>
        <v>0</v>
      </c>
    </row>
    <row r="50">
      <c r="C50" s="14" t="inlineStr">
        <is>
          <t>Tallowick Consumer Products</t>
        </is>
      </c>
      <c r="G50" s="32">
        <f>SUMIFS('3. Entry &amp; Exit'!$G$85:$S$85,'3. Entry &amp; Exit'!$G$7:$S$7,G$8)</f>
        <v>-97606306.9658754</v>
      </c>
      <c r="H50" s="32">
        <f>SUMIFS('3. Entry &amp; Exit'!$G$85:$S$85,'3. Entry &amp; Exit'!$G$7:$S$7,H$8)</f>
        <v>0</v>
      </c>
      <c r="I50" s="32">
        <f>SUMIFS('3. Entry &amp; Exit'!$G$85:$S$85,'3. Entry &amp; Exit'!$G$7:$S$7,I$8)</f>
        <v>0</v>
      </c>
      <c r="J50" s="32">
        <f>SUMIFS('3. Entry &amp; Exit'!$G$85:$S$85,'3. Entry &amp; Exit'!$G$7:$S$7,J$8)</f>
        <v>0</v>
      </c>
      <c r="K50" s="32">
        <f>SUMIFS('3. Entry &amp; Exit'!$G$85:$S$85,'3. Entry &amp; Exit'!$G$7:$S$7,K$8)</f>
        <v>0</v>
      </c>
      <c r="L50" s="32">
        <f>SUMIFS('3. Entry &amp; Exit'!$G$85:$S$85,'3. Entry &amp; Exit'!$G$7:$S$7,L$8)</f>
        <v>0</v>
      </c>
    </row>
    <row r="51">
      <c r="C51" s="14" t="inlineStr">
        <is>
          <t>Initial Transaction Fees</t>
        </is>
      </c>
      <c r="G51" s="32">
        <f>-IF(G$6=Control!$E$12,$E$42,0)</f>
        <v>-1436244.38135369</v>
      </c>
      <c r="H51" s="32">
        <f>-IF(H$6=Control!$E$12,$E$42,0)</f>
        <v>-0</v>
      </c>
      <c r="I51" s="32">
        <f>-IF(I$6=Control!$E$12,$E$42,0)</f>
        <v>-0</v>
      </c>
      <c r="J51" s="32">
        <f>-IF(J$6=Control!$E$12,$E$42,0)</f>
        <v>-0</v>
      </c>
      <c r="K51" s="32">
        <f>-IF(K$6=Control!$E$12,$E$42,0)</f>
        <v>-0</v>
      </c>
      <c r="L51" s="32">
        <f>-IF(L$6=Control!$E$12,$E$42,0)</f>
        <v>-0</v>
      </c>
    </row>
    <row r="52">
      <c r="C52" s="29" t="inlineStr">
        <is>
          <t>Total</t>
        </is>
      </c>
      <c r="G52" s="30">
        <f>SUM(G49:G51)</f>
        <v>-145060682.516722</v>
      </c>
      <c r="H52" s="30">
        <f>SUM(H49:H51)</f>
        <v>0</v>
      </c>
      <c r="I52" s="30">
        <f>SUM(I49:I51)</f>
        <v>0</v>
      </c>
      <c r="J52" s="30">
        <f>SUM(J49:J51)</f>
        <v>0</v>
      </c>
      <c r="K52" s="30">
        <f>SUM(K49:K51)</f>
        <v>0</v>
      </c>
      <c r="L52" s="30">
        <f>SUM(L49:L51)</f>
        <v>0</v>
      </c>
    </row>
    <row r="54">
      <c r="C54" s="3" t="inlineStr">
        <is>
          <t>Follow-On Capital Deployed:</t>
        </is>
      </c>
    </row>
    <row r="55">
      <c r="C55" s="14" t="inlineStr">
        <is>
          <t>Arvenna Health Group</t>
        </is>
      </c>
      <c r="G55" s="32">
        <f>SUMIFS('7. Entry &amp; Exit'!$G$91:$S$91,'7. Entry &amp; Exit'!$G$7:$S$7,G$8)</f>
        <v>0</v>
      </c>
      <c r="H55" s="32">
        <f>SUMIFS('7. Entry &amp; Exit'!$G$91:$S$91,'7. Entry &amp; Exit'!$G$7:$S$7,H$8)</f>
        <v>-2670030</v>
      </c>
      <c r="I55" s="32">
        <f>SUMIFS('7. Entry &amp; Exit'!$G$91:$S$91,'7. Entry &amp; Exit'!$G$7:$S$7,I$8)</f>
        <v>-2375100</v>
      </c>
      <c r="J55" s="32">
        <f>SUMIFS('7. Entry &amp; Exit'!$G$91:$S$91,'7. Entry &amp; Exit'!$G$7:$S$7,J$8)</f>
        <v>-1042840</v>
      </c>
      <c r="K55" s="32">
        <f>SUMIFS('7. Entry &amp; Exit'!$G$91:$S$91,'7. Entry &amp; Exit'!$G$7:$S$7,K$8)</f>
        <v>-661200</v>
      </c>
      <c r="L55" s="32">
        <f>SUMIFS('7. Entry &amp; Exit'!$G$91:$S$91,'7. Entry &amp; Exit'!$G$7:$S$7,L$8)</f>
        <v>0</v>
      </c>
    </row>
    <row r="56">
      <c r="C56" s="14" t="inlineStr">
        <is>
          <t>Tallowick Consumer Products</t>
        </is>
      </c>
      <c r="G56" s="32">
        <f>SUMIFS('3. Entry &amp; Exit'!$G$86:$S$86,'3. Entry &amp; Exit'!$G$7:$S$7,G$8)</f>
        <v>0</v>
      </c>
      <c r="H56" s="32">
        <f>SUMIFS('3. Entry &amp; Exit'!$G$86:$S$86,'3. Entry &amp; Exit'!$G$7:$S$7,H$8)</f>
        <v>-1392384</v>
      </c>
      <c r="I56" s="32">
        <f>SUMIFS('3. Entry &amp; Exit'!$G$86:$S$86,'3. Entry &amp; Exit'!$G$7:$S$7,I$8)</f>
        <v>-1339104</v>
      </c>
      <c r="J56" s="32">
        <f>SUMIFS('3. Entry &amp; Exit'!$G$86:$S$86,'3. Entry &amp; Exit'!$G$7:$S$7,J$8)</f>
        <v>-743256</v>
      </c>
      <c r="K56" s="32">
        <f>SUMIFS('3. Entry &amp; Exit'!$G$86:$S$86,'3. Entry &amp; Exit'!$G$7:$S$7,K$8)</f>
        <v>0</v>
      </c>
      <c r="L56" s="32">
        <f>SUMIFS('3. Entry &amp; Exit'!$G$86:$S$86,'3. Entry &amp; Exit'!$G$7:$S$7,L$8)</f>
        <v>0</v>
      </c>
    </row>
    <row r="57">
      <c r="C57" s="29" t="inlineStr">
        <is>
          <t>Total</t>
        </is>
      </c>
      <c r="G57" s="30">
        <f>SUM(G55:G56)</f>
        <v>0</v>
      </c>
      <c r="H57" s="30">
        <f>SUM(H55:H56)</f>
        <v>-4062414</v>
      </c>
      <c r="I57" s="30">
        <f>SUM(I55:I56)</f>
        <v>-3714204</v>
      </c>
      <c r="J57" s="30">
        <f>SUM(J55:J56)</f>
        <v>-1786096</v>
      </c>
      <c r="K57" s="30">
        <f>SUM(K55:K56)</f>
        <v>-661200</v>
      </c>
      <c r="L57" s="30">
        <f>SUM(L55:L56)</f>
        <v>0</v>
      </c>
    </row>
    <row r="59">
      <c r="C59" s="3" t="inlineStr">
        <is>
          <t>Interim Proceeds:</t>
        </is>
      </c>
    </row>
    <row r="60">
      <c r="C60" s="14" t="inlineStr">
        <is>
          <t>Arvenna Health Group</t>
        </is>
      </c>
      <c r="G60" s="32">
        <f>SUMIFS('7. Entry &amp; Exit'!$G$92:$S$92,'7. Entry &amp; Exit'!$G$7:$S$7,G$8)</f>
        <v>0</v>
      </c>
      <c r="H60" s="32">
        <f>SUMIFS('7. Entry &amp; Exit'!$G$92:$S$92,'7. Entry &amp; Exit'!$G$7:$S$7,H$8)</f>
        <v>1095516.07252604</v>
      </c>
      <c r="I60" s="32">
        <f>SUMIFS('7. Entry &amp; Exit'!$G$92:$S$92,'7. Entry &amp; Exit'!$G$7:$S$7,I$8)</f>
        <v>1466101.69184257</v>
      </c>
      <c r="J60" s="32">
        <f>SUMIFS('7. Entry &amp; Exit'!$G$92:$S$92,'7. Entry &amp; Exit'!$G$7:$S$7,J$8)</f>
        <v>1877338.22563289</v>
      </c>
      <c r="K60" s="32">
        <f>SUMIFS('7. Entry &amp; Exit'!$G$92:$S$92,'7. Entry &amp; Exit'!$G$7:$S$7,K$8)</f>
        <v>2177337.01962824</v>
      </c>
      <c r="L60" s="32">
        <f>SUMIFS('7. Entry &amp; Exit'!$G$92:$S$92,'7. Entry &amp; Exit'!$G$7:$S$7,L$8)</f>
        <v>0</v>
      </c>
    </row>
    <row r="61">
      <c r="C61" s="14" t="inlineStr">
        <is>
          <t>Tallowick Consumer Products</t>
        </is>
      </c>
      <c r="G61" s="32">
        <f>SUMIFS('3. Entry &amp; Exit'!$G$87:$S$87,'3. Entry &amp; Exit'!$G$7:$S$7,G$8)</f>
        <v>0</v>
      </c>
      <c r="H61" s="32">
        <f>SUMIFS('3. Entry &amp; Exit'!$G$87:$S$87,'3. Entry &amp; Exit'!$G$7:$S$7,H$8)</f>
        <v>5026473.44074666</v>
      </c>
      <c r="I61" s="32">
        <f>SUMIFS('3. Entry &amp; Exit'!$G$87:$S$87,'3. Entry &amp; Exit'!$G$7:$S$7,I$8)</f>
        <v>5683203.11842654</v>
      </c>
      <c r="J61" s="32">
        <f>SUMIFS('3. Entry &amp; Exit'!$G$87:$S$87,'3. Entry &amp; Exit'!$G$7:$S$7,J$8)</f>
        <v>6254389.66430882</v>
      </c>
      <c r="K61" s="32">
        <f>SUMIFS('3. Entry &amp; Exit'!$G$87:$S$87,'3. Entry &amp; Exit'!$G$7:$S$7,K$8)</f>
        <v>6535552.76227784</v>
      </c>
      <c r="L61" s="32">
        <f>SUMIFS('3. Entry &amp; Exit'!$G$87:$S$87,'3. Entry &amp; Exit'!$G$7:$S$7,L$8)</f>
        <v>0</v>
      </c>
    </row>
    <row r="62">
      <c r="C62" s="29" t="inlineStr">
        <is>
          <t>Total</t>
        </is>
      </c>
      <c r="G62" s="30">
        <f>SUM(G60:G61)</f>
        <v>0</v>
      </c>
      <c r="H62" s="30">
        <f>SUM(H60:H61)</f>
        <v>6121989.5132727</v>
      </c>
      <c r="I62" s="30">
        <f>SUM(I60:I61)</f>
        <v>7149304.81026911</v>
      </c>
      <c r="J62" s="30">
        <f>SUM(J60:J61)</f>
        <v>8131727.88994171</v>
      </c>
      <c r="K62" s="30">
        <f>SUM(K60:K61)</f>
        <v>8712889.78190609</v>
      </c>
      <c r="L62" s="30">
        <f>SUM(L60:L61)</f>
        <v>0</v>
      </c>
    </row>
    <row r="64">
      <c r="C64" s="3" t="inlineStr">
        <is>
          <t>Exit Proceeds:</t>
        </is>
      </c>
    </row>
    <row r="65">
      <c r="C65" s="14" t="inlineStr">
        <is>
          <t>Arvenna Health Group</t>
        </is>
      </c>
      <c r="G65" s="32">
        <f>SUMIFS('7. Entry &amp; Exit'!$G$93:$S$93,'7. Entry &amp; Exit'!$G$7:$S$7,G$8)</f>
        <v>0</v>
      </c>
      <c r="H65" s="32">
        <f>SUMIFS('7. Entry &amp; Exit'!$G$93:$S$93,'7. Entry &amp; Exit'!$G$7:$S$7,H$8)</f>
        <v>0</v>
      </c>
      <c r="I65" s="32">
        <f>SUMIFS('7. Entry &amp; Exit'!$G$93:$S$93,'7. Entry &amp; Exit'!$G$7:$S$7,I$8)</f>
        <v>0</v>
      </c>
      <c r="J65" s="32">
        <f>SUMIFS('7. Entry &amp; Exit'!$G$93:$S$93,'7. Entry &amp; Exit'!$G$7:$S$7,J$8)</f>
        <v>0</v>
      </c>
      <c r="K65" s="32">
        <f>SUMIFS('7. Entry &amp; Exit'!$G$93:$S$93,'7. Entry &amp; Exit'!$G$7:$S$7,K$8)</f>
        <v>0</v>
      </c>
      <c r="L65" s="32">
        <f>SUMIFS('7. Entry &amp; Exit'!$G$93:$S$93,'7. Entry &amp; Exit'!$G$7:$S$7,L$8)</f>
        <v>138237393.398927</v>
      </c>
    </row>
    <row r="66">
      <c r="C66" s="14" t="inlineStr">
        <is>
          <t>Tallowick Consumer Products</t>
        </is>
      </c>
      <c r="G66" s="32">
        <f>SUMIFS('3. Entry &amp; Exit'!$G$88:$S$88,'3. Entry &amp; Exit'!$G$7:$S$7,G$8)</f>
        <v>0</v>
      </c>
      <c r="H66" s="32">
        <f>SUMIFS('3. Entry &amp; Exit'!$G$88:$S$88,'3. Entry &amp; Exit'!$G$7:$S$7,H$8)</f>
        <v>0</v>
      </c>
      <c r="I66" s="32">
        <f>SUMIFS('3. Entry &amp; Exit'!$G$88:$S$88,'3. Entry &amp; Exit'!$G$7:$S$7,I$8)</f>
        <v>0</v>
      </c>
      <c r="J66" s="32">
        <f>SUMIFS('3. Entry &amp; Exit'!$G$88:$S$88,'3. Entry &amp; Exit'!$G$7:$S$7,J$8)</f>
        <v>0</v>
      </c>
      <c r="K66" s="32">
        <f>SUMIFS('3. Entry &amp; Exit'!$G$88:$S$88,'3. Entry &amp; Exit'!$G$7:$S$7,K$8)</f>
        <v>0</v>
      </c>
      <c r="L66" s="32">
        <f>SUMIFS('3. Entry &amp; Exit'!$G$88:$S$88,'3. Entry &amp; Exit'!$G$7:$S$7,L$8)</f>
        <v>196390654.472389</v>
      </c>
    </row>
    <row r="67">
      <c r="C67" s="29" t="inlineStr">
        <is>
          <t>Total</t>
        </is>
      </c>
      <c r="G67" s="30">
        <f>SUM(G65:G66)</f>
        <v>0</v>
      </c>
      <c r="H67" s="30">
        <f>SUM(H65:H66)</f>
        <v>0</v>
      </c>
      <c r="I67" s="30">
        <f>SUM(I65:I66)</f>
        <v>0</v>
      </c>
      <c r="J67" s="30">
        <f>SUM(J65:J66)</f>
        <v>0</v>
      </c>
      <c r="K67" s="30">
        <f>SUM(K65:K66)</f>
        <v>0</v>
      </c>
      <c r="L67" s="30">
        <f>SUM(L65:L66)</f>
        <v>334628047.871316</v>
      </c>
    </row>
    <row r="69">
      <c r="C69" s="3" t="inlineStr">
        <is>
          <t>Total Cash Flows:</t>
        </is>
      </c>
    </row>
    <row r="70">
      <c r="C70" s="14" t="inlineStr">
        <is>
          <t>Initial Investment</t>
        </is>
      </c>
      <c r="G70" s="8">
        <f>G52</f>
        <v>-145060682.516722</v>
      </c>
      <c r="H70" s="8">
        <f>H52</f>
        <v>0</v>
      </c>
      <c r="I70" s="8">
        <f>I52</f>
        <v>0</v>
      </c>
      <c r="J70" s="8">
        <f>J52</f>
        <v>0</v>
      </c>
      <c r="K70" s="8">
        <f>K52</f>
        <v>0</v>
      </c>
      <c r="L70" s="8">
        <f>L52</f>
        <v>0</v>
      </c>
    </row>
    <row r="71">
      <c r="C71" s="14" t="inlineStr">
        <is>
          <t>Follow-On Capital</t>
        </is>
      </c>
      <c r="G71" s="8">
        <f>G57</f>
        <v>0</v>
      </c>
      <c r="H71" s="8">
        <f>H57</f>
        <v>-4062414</v>
      </c>
      <c r="I71" s="8">
        <f>I57</f>
        <v>-3714204</v>
      </c>
      <c r="J71" s="8">
        <f>J57</f>
        <v>-1786096</v>
      </c>
      <c r="K71" s="8">
        <f>K57</f>
        <v>-661200</v>
      </c>
      <c r="L71" s="8">
        <f>L57</f>
        <v>0</v>
      </c>
    </row>
    <row r="72">
      <c r="C72" s="14" t="inlineStr">
        <is>
          <t>Interim Proceeds</t>
        </is>
      </c>
      <c r="G72" s="8">
        <f>G62</f>
        <v>0</v>
      </c>
      <c r="H72" s="8">
        <f>H62</f>
        <v>6121989.5132727</v>
      </c>
      <c r="I72" s="8">
        <f>I62</f>
        <v>7149304.81026911</v>
      </c>
      <c r="J72" s="8">
        <f>J62</f>
        <v>8131727.88994171</v>
      </c>
      <c r="K72" s="8">
        <f>K62</f>
        <v>8712889.78190609</v>
      </c>
      <c r="L72" s="8">
        <f>L62</f>
        <v>0</v>
      </c>
    </row>
    <row r="73">
      <c r="C73" s="14" t="inlineStr">
        <is>
          <t>Exit Proceeds</t>
        </is>
      </c>
      <c r="G73" s="8">
        <f>G67</f>
        <v>0</v>
      </c>
      <c r="H73" s="8">
        <f>H67</f>
        <v>0</v>
      </c>
      <c r="I73" s="8">
        <f>I67</f>
        <v>0</v>
      </c>
      <c r="J73" s="8">
        <f>J67</f>
        <v>0</v>
      </c>
      <c r="K73" s="8">
        <f>K67</f>
        <v>0</v>
      </c>
      <c r="L73" s="8">
        <f>L67</f>
        <v>334628047.871316</v>
      </c>
    </row>
    <row r="74">
      <c r="C74" s="3" t="inlineStr">
        <is>
          <t>Total Continuation Fund Cash Flows</t>
        </is>
      </c>
      <c r="G74" s="31">
        <f>SUM(G70:G73)</f>
        <v>-145060682.516722</v>
      </c>
      <c r="H74" s="31">
        <f>SUM(H70:H73)</f>
        <v>2059575.5132727</v>
      </c>
      <c r="I74" s="31">
        <f>SUM(I70:I73)</f>
        <v>3435100.81026911</v>
      </c>
      <c r="J74" s="31">
        <f>SUM(J70:J73)</f>
        <v>6345631.88994171</v>
      </c>
      <c r="K74" s="31">
        <f>SUM(K70:K73)</f>
        <v>8051689.78190609</v>
      </c>
      <c r="L74" s="31">
        <f>SUM(L70:L73)</f>
        <v>334628047.871316</v>
      </c>
    </row>
    <row r="76">
      <c r="C76" s="3" t="inlineStr">
        <is>
          <t>Gross MoIC</t>
        </is>
      </c>
      <c r="E76" s="45">
        <f>IFERROR(SUMIF(G74:L74,"&gt;0")/-SUMIF(G74:L74,"&lt;0"),0)</f>
        <v>2.44394304311809</v>
      </c>
    </row>
    <row r="77">
      <c r="C77" s="3" t="inlineStr">
        <is>
          <t>Gross IRR</t>
        </is>
      </c>
      <c r="E77" s="46">
        <f>IFERROR(XIRR(G74:L74,G$6:L$6),0)</f>
        <v>0.201714488598241</v>
      </c>
    </row>
    <row r="79">
      <c r="C79" s="3" t="inlineStr">
        <is>
          <t>Notes:</t>
        </is>
      </c>
    </row>
    <row r="80">
      <c r="C80" s="2" t="inlineStr">
        <is>
          <t>(1) Management fees &amp; expenses are shown as a source and a use (funded by LP contributions over the life of the SPV; see SPV Waterfall).</t>
        </is>
      </c>
    </row>
    <row r="81">
      <c r="C81" s="2" t="inlineStr">
        <is>
          <t>(2) Follow-on capital is funded pro rata to the Continuation Fund ownership; other shareholders fund their share.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3:AB301"/>
  <sheetViews>
    <sheetView showGridLines="0" zoomScale="85"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46" customWidth="1" min="3" max="3"/>
    <col width="10" customWidth="1" min="4" max="4"/>
    <col width="12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3">
      <c r="C3" s="9" t="str">
        <f>Cover!$C$3</f>
        <v>Project Dunecrest</v>
      </c>
      <c r="D3" s="10" t="inlineStr">
        <is>
          <t>Confidential</t>
        </is>
      </c>
    </row>
    <row r="4">
      <c r="C4" s="2" t="inlineStr">
        <is>
          <t>Dunecrest Continuation Fund – SPV Distribution Waterfall (USD, quarterly)</t>
        </is>
      </c>
    </row>
    <row r="6">
      <c r="C6" s="3" t="inlineStr">
        <is>
          <t>Quarter Ending</t>
        </is>
      </c>
      <c r="G6" s="42">
        <f>Control!$E$12</f>
        <v>46387</v>
      </c>
      <c r="H6" s="22">
        <f>EOMONTH(G6,3)</f>
        <v>46477</v>
      </c>
      <c r="I6" s="22">
        <f>EOMONTH(H6,3)</f>
        <v>46568</v>
      </c>
      <c r="J6" s="22">
        <f>EOMONTH(I6,3)</f>
        <v>46660</v>
      </c>
      <c r="K6" s="22">
        <f>EOMONTH(J6,3)</f>
        <v>46752</v>
      </c>
      <c r="L6" s="22">
        <f>EOMONTH(K6,3)</f>
        <v>46843</v>
      </c>
      <c r="M6" s="22">
        <f>EOMONTH(L6,3)</f>
        <v>46934</v>
      </c>
      <c r="N6" s="22">
        <f>EOMONTH(M6,3)</f>
        <v>47026</v>
      </c>
      <c r="O6" s="22">
        <f>EOMONTH(N6,3)</f>
        <v>47118</v>
      </c>
      <c r="P6" s="22">
        <f>EOMONTH(O6,3)</f>
        <v>47208</v>
      </c>
      <c r="Q6" s="22">
        <f>EOMONTH(P6,3)</f>
        <v>47299</v>
      </c>
      <c r="R6" s="22">
        <f>EOMONTH(Q6,3)</f>
        <v>47391</v>
      </c>
      <c r="S6" s="22">
        <f>EOMONTH(R6,3)</f>
        <v>47483</v>
      </c>
      <c r="T6" s="22">
        <f>EOMONTH(S6,3)</f>
        <v>47573</v>
      </c>
      <c r="U6" s="22">
        <f>EOMONTH(T6,3)</f>
        <v>47664</v>
      </c>
      <c r="V6" s="22">
        <f>EOMONTH(U6,3)</f>
        <v>47756</v>
      </c>
      <c r="W6" s="22">
        <f>EOMONTH(V6,3)</f>
        <v>47848</v>
      </c>
      <c r="X6" s="22">
        <f>EOMONTH(W6,3)</f>
        <v>47938</v>
      </c>
      <c r="Y6" s="22">
        <f>EOMONTH(X6,3)</f>
        <v>48029</v>
      </c>
      <c r="Z6" s="22">
        <f>EOMONTH(Y6,3)</f>
        <v>48121</v>
      </c>
      <c r="AA6" s="22">
        <f>EOMONTH(Z6,3)</f>
        <v>48213</v>
      </c>
    </row>
    <row r="7">
      <c r="C7" s="3" t="inlineStr">
        <is>
          <t>Period</t>
        </is>
      </c>
      <c r="G7" s="56" t="n">
        <v>0</v>
      </c>
      <c r="H7" s="23">
        <f>G7+1</f>
        <v>1</v>
      </c>
      <c r="I7" s="23">
        <f>H7+1</f>
        <v>2</v>
      </c>
      <c r="J7" s="23">
        <f>I7+1</f>
        <v>3</v>
      </c>
      <c r="K7" s="23">
        <f>J7+1</f>
        <v>4</v>
      </c>
      <c r="L7" s="23">
        <f>K7+1</f>
        <v>5</v>
      </c>
      <c r="M7" s="23">
        <f>L7+1</f>
        <v>6</v>
      </c>
      <c r="N7" s="23">
        <f>M7+1</f>
        <v>7</v>
      </c>
      <c r="O7" s="23">
        <f>N7+1</f>
        <v>8</v>
      </c>
      <c r="P7" s="23">
        <f>O7+1</f>
        <v>9</v>
      </c>
      <c r="Q7" s="23">
        <f>P7+1</f>
        <v>10</v>
      </c>
      <c r="R7" s="23">
        <f>Q7+1</f>
        <v>11</v>
      </c>
      <c r="S7" s="23">
        <f>R7+1</f>
        <v>12</v>
      </c>
      <c r="T7" s="23">
        <f>S7+1</f>
        <v>13</v>
      </c>
      <c r="U7" s="23">
        <f>T7+1</f>
        <v>14</v>
      </c>
      <c r="V7" s="23">
        <f>U7+1</f>
        <v>15</v>
      </c>
      <c r="W7" s="23">
        <f>V7+1</f>
        <v>16</v>
      </c>
      <c r="X7" s="23">
        <f>W7+1</f>
        <v>17</v>
      </c>
      <c r="Y7" s="23">
        <f>X7+1</f>
        <v>18</v>
      </c>
      <c r="Z7" s="23">
        <f>Y7+1</f>
        <v>19</v>
      </c>
      <c r="AA7" s="23">
        <f>Z7+1</f>
        <v>20</v>
      </c>
      <c r="AB7" s="57" t="inlineStr">
        <is>
          <t>Total</t>
        </is>
      </c>
    </row>
    <row r="8">
      <c r="C8" s="3" t="inlineStr">
        <is>
          <t>Calendar Year</t>
        </is>
      </c>
      <c r="G8" s="23">
        <f>YEAR(G6)</f>
        <v>2026</v>
      </c>
      <c r="H8" s="23">
        <f>YEAR(H6)</f>
        <v>2027</v>
      </c>
      <c r="I8" s="23">
        <f>YEAR(I6)</f>
        <v>2027</v>
      </c>
      <c r="J8" s="23">
        <f>YEAR(J6)</f>
        <v>2027</v>
      </c>
      <c r="K8" s="23">
        <f>YEAR(K6)</f>
        <v>2027</v>
      </c>
      <c r="L8" s="23">
        <f>YEAR(L6)</f>
        <v>2028</v>
      </c>
      <c r="M8" s="23">
        <f>YEAR(M6)</f>
        <v>2028</v>
      </c>
      <c r="N8" s="23">
        <f>YEAR(N6)</f>
        <v>2028</v>
      </c>
      <c r="O8" s="23">
        <f>YEAR(O6)</f>
        <v>2028</v>
      </c>
      <c r="P8" s="23">
        <f>YEAR(P6)</f>
        <v>2029</v>
      </c>
      <c r="Q8" s="23">
        <f>YEAR(Q6)</f>
        <v>2029</v>
      </c>
      <c r="R8" s="23">
        <f>YEAR(R6)</f>
        <v>2029</v>
      </c>
      <c r="S8" s="23">
        <f>YEAR(S6)</f>
        <v>2029</v>
      </c>
      <c r="T8" s="23">
        <f>YEAR(T6)</f>
        <v>2030</v>
      </c>
      <c r="U8" s="23">
        <f>YEAR(U6)</f>
        <v>2030</v>
      </c>
      <c r="V8" s="23">
        <f>YEAR(V6)</f>
        <v>2030</v>
      </c>
      <c r="W8" s="23">
        <f>YEAR(W6)</f>
        <v>2030</v>
      </c>
      <c r="X8" s="23">
        <f>YEAR(X6)</f>
        <v>2031</v>
      </c>
      <c r="Y8" s="23">
        <f>YEAR(Y6)</f>
        <v>2031</v>
      </c>
      <c r="Z8" s="23">
        <f>YEAR(Z6)</f>
        <v>2031</v>
      </c>
      <c r="AA8" s="23">
        <f>YEAR(AA6)</f>
        <v>2031</v>
      </c>
    </row>
    <row r="9">
      <c r="C9" s="3" t="inlineStr">
        <is>
          <t>Q4 Flag</t>
        </is>
      </c>
      <c r="G9" s="58">
        <f>IF(MONTH(G6)=12,1,0)</f>
        <v>1</v>
      </c>
      <c r="H9" s="58">
        <f>IF(MONTH(H6)=12,1,0)</f>
        <v>0</v>
      </c>
      <c r="I9" s="58">
        <f>IF(MONTH(I6)=12,1,0)</f>
        <v>0</v>
      </c>
      <c r="J9" s="58">
        <f>IF(MONTH(J6)=12,1,0)</f>
        <v>0</v>
      </c>
      <c r="K9" s="58">
        <f>IF(MONTH(K6)=12,1,0)</f>
        <v>1</v>
      </c>
      <c r="L9" s="58">
        <f>IF(MONTH(L6)=12,1,0)</f>
        <v>0</v>
      </c>
      <c r="M9" s="58">
        <f>IF(MONTH(M6)=12,1,0)</f>
        <v>0</v>
      </c>
      <c r="N9" s="58">
        <f>IF(MONTH(N6)=12,1,0)</f>
        <v>0</v>
      </c>
      <c r="O9" s="58">
        <f>IF(MONTH(O6)=12,1,0)</f>
        <v>1</v>
      </c>
      <c r="P9" s="58">
        <f>IF(MONTH(P6)=12,1,0)</f>
        <v>0</v>
      </c>
      <c r="Q9" s="58">
        <f>IF(MONTH(Q6)=12,1,0)</f>
        <v>0</v>
      </c>
      <c r="R9" s="58">
        <f>IF(MONTH(R6)=12,1,0)</f>
        <v>0</v>
      </c>
      <c r="S9" s="58">
        <f>IF(MONTH(S6)=12,1,0)</f>
        <v>1</v>
      </c>
      <c r="T9" s="58">
        <f>IF(MONTH(T6)=12,1,0)</f>
        <v>0</v>
      </c>
      <c r="U9" s="58">
        <f>IF(MONTH(U6)=12,1,0)</f>
        <v>0</v>
      </c>
      <c r="V9" s="58">
        <f>IF(MONTH(V6)=12,1,0)</f>
        <v>0</v>
      </c>
      <c r="W9" s="58">
        <f>IF(MONTH(W6)=12,1,0)</f>
        <v>1</v>
      </c>
      <c r="X9" s="58">
        <f>IF(MONTH(X6)=12,1,0)</f>
        <v>0</v>
      </c>
      <c r="Y9" s="58">
        <f>IF(MONTH(Y6)=12,1,0)</f>
        <v>0</v>
      </c>
      <c r="Z9" s="58">
        <f>IF(MONTH(Z6)=12,1,0)</f>
        <v>0</v>
      </c>
      <c r="AA9" s="58">
        <f>IF(MONTH(AA6)=12,1,0)</f>
        <v>1</v>
      </c>
      <c r="AB9" s="59" t="n"/>
    </row>
    <row r="11">
      <c r="C11" s="12" t="inlineStr">
        <is>
          <t>Contributions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C12" s="3" t="inlineStr">
        <is>
          <t>Capital Contributions:</t>
        </is>
      </c>
    </row>
    <row r="13">
      <c r="C13" s="29" t="inlineStr">
        <is>
          <t>Purchase Price:</t>
        </is>
      </c>
    </row>
    <row r="14">
      <c r="C14" s="43" t="inlineStr">
        <is>
          <t>Arvenna Health Group</t>
        </is>
      </c>
      <c r="G14" s="32">
        <f>-SUMIFS('7. Entry &amp; Exit'!$G$90:$S$90,'7. Entry &amp; Exit'!$G$7:$S$7,G$8)*G$9</f>
        <v>46018131.1694932</v>
      </c>
      <c r="H14" s="32">
        <f>-SUMIFS('7. Entry &amp; Exit'!$G$90:$S$90,'7. Entry &amp; Exit'!$G$7:$S$7,H$8)*H$9</f>
        <v>-0</v>
      </c>
      <c r="I14" s="32">
        <f>-SUMIFS('7. Entry &amp; Exit'!$G$90:$S$90,'7. Entry &amp; Exit'!$G$7:$S$7,I$8)*I$9</f>
        <v>-0</v>
      </c>
      <c r="J14" s="32">
        <f>-SUMIFS('7. Entry &amp; Exit'!$G$90:$S$90,'7. Entry &amp; Exit'!$G$7:$S$7,J$8)*J$9</f>
        <v>-0</v>
      </c>
      <c r="K14" s="32">
        <f>-SUMIFS('7. Entry &amp; Exit'!$G$90:$S$90,'7. Entry &amp; Exit'!$G$7:$S$7,K$8)*K$9</f>
        <v>-0</v>
      </c>
      <c r="L14" s="32">
        <f>-SUMIFS('7. Entry &amp; Exit'!$G$90:$S$90,'7. Entry &amp; Exit'!$G$7:$S$7,L$8)*L$9</f>
        <v>-0</v>
      </c>
      <c r="M14" s="32">
        <f>-SUMIFS('7. Entry &amp; Exit'!$G$90:$S$90,'7. Entry &amp; Exit'!$G$7:$S$7,M$8)*M$9</f>
        <v>-0</v>
      </c>
      <c r="N14" s="32">
        <f>-SUMIFS('7. Entry &amp; Exit'!$G$90:$S$90,'7. Entry &amp; Exit'!$G$7:$S$7,N$8)*N$9</f>
        <v>-0</v>
      </c>
      <c r="O14" s="32">
        <f>-SUMIFS('7. Entry &amp; Exit'!$G$90:$S$90,'7. Entry &amp; Exit'!$G$7:$S$7,O$8)*O$9</f>
        <v>-0</v>
      </c>
      <c r="P14" s="32">
        <f>-SUMIFS('7. Entry &amp; Exit'!$G$90:$S$90,'7. Entry &amp; Exit'!$G$7:$S$7,P$8)*P$9</f>
        <v>-0</v>
      </c>
      <c r="Q14" s="32">
        <f>-SUMIFS('7. Entry &amp; Exit'!$G$90:$S$90,'7. Entry &amp; Exit'!$G$7:$S$7,Q$8)*Q$9</f>
        <v>-0</v>
      </c>
      <c r="R14" s="32">
        <f>-SUMIFS('7. Entry &amp; Exit'!$G$90:$S$90,'7. Entry &amp; Exit'!$G$7:$S$7,R$8)*R$9</f>
        <v>-0</v>
      </c>
      <c r="S14" s="32">
        <f>-SUMIFS('7. Entry &amp; Exit'!$G$90:$S$90,'7. Entry &amp; Exit'!$G$7:$S$7,S$8)*S$9</f>
        <v>-0</v>
      </c>
      <c r="T14" s="32">
        <f>-SUMIFS('7. Entry &amp; Exit'!$G$90:$S$90,'7. Entry &amp; Exit'!$G$7:$S$7,T$8)*T$9</f>
        <v>-0</v>
      </c>
      <c r="U14" s="32">
        <f>-SUMIFS('7. Entry &amp; Exit'!$G$90:$S$90,'7. Entry &amp; Exit'!$G$7:$S$7,U$8)*U$9</f>
        <v>-0</v>
      </c>
      <c r="V14" s="32">
        <f>-SUMIFS('7. Entry &amp; Exit'!$G$90:$S$90,'7. Entry &amp; Exit'!$G$7:$S$7,V$8)*V$9</f>
        <v>-0</v>
      </c>
      <c r="W14" s="32">
        <f>-SUMIFS('7. Entry &amp; Exit'!$G$90:$S$90,'7. Entry &amp; Exit'!$G$7:$S$7,W$8)*W$9</f>
        <v>-0</v>
      </c>
      <c r="X14" s="32">
        <f>-SUMIFS('7. Entry &amp; Exit'!$G$90:$S$90,'7. Entry &amp; Exit'!$G$7:$S$7,X$8)*X$9</f>
        <v>-0</v>
      </c>
      <c r="Y14" s="32">
        <f>-SUMIFS('7. Entry &amp; Exit'!$G$90:$S$90,'7. Entry &amp; Exit'!$G$7:$S$7,Y$8)*Y$9</f>
        <v>-0</v>
      </c>
      <c r="Z14" s="32">
        <f>-SUMIFS('7. Entry &amp; Exit'!$G$90:$S$90,'7. Entry &amp; Exit'!$G$7:$S$7,Z$8)*Z$9</f>
        <v>-0</v>
      </c>
      <c r="AA14" s="32">
        <f>-SUMIFS('7. Entry &amp; Exit'!$G$90:$S$90,'7. Entry &amp; Exit'!$G$7:$S$7,AA$8)*AA$9</f>
        <v>-0</v>
      </c>
      <c r="AB14" s="39">
        <f>SUM(G14:AA14)</f>
        <v>46018131.1694932</v>
      </c>
    </row>
    <row r="15">
      <c r="C15" s="43" t="inlineStr">
        <is>
          <t>Tallowick Consumer Products</t>
        </is>
      </c>
      <c r="G15" s="32">
        <f>-SUMIFS('3. Entry &amp; Exit'!$G$85:$S$85,'3. Entry &amp; Exit'!$G$7:$S$7,G$8)*G$9</f>
        <v>97606306.9658754</v>
      </c>
      <c r="H15" s="32">
        <f>-SUMIFS('3. Entry &amp; Exit'!$G$85:$S$85,'3. Entry &amp; Exit'!$G$7:$S$7,H$8)*H$9</f>
        <v>-0</v>
      </c>
      <c r="I15" s="32">
        <f>-SUMIFS('3. Entry &amp; Exit'!$G$85:$S$85,'3. Entry &amp; Exit'!$G$7:$S$7,I$8)*I$9</f>
        <v>-0</v>
      </c>
      <c r="J15" s="32">
        <f>-SUMIFS('3. Entry &amp; Exit'!$G$85:$S$85,'3. Entry &amp; Exit'!$G$7:$S$7,J$8)*J$9</f>
        <v>-0</v>
      </c>
      <c r="K15" s="32">
        <f>-SUMIFS('3. Entry &amp; Exit'!$G$85:$S$85,'3. Entry &amp; Exit'!$G$7:$S$7,K$8)*K$9</f>
        <v>-0</v>
      </c>
      <c r="L15" s="32">
        <f>-SUMIFS('3. Entry &amp; Exit'!$G$85:$S$85,'3. Entry &amp; Exit'!$G$7:$S$7,L$8)*L$9</f>
        <v>-0</v>
      </c>
      <c r="M15" s="32">
        <f>-SUMIFS('3. Entry &amp; Exit'!$G$85:$S$85,'3. Entry &amp; Exit'!$G$7:$S$7,M$8)*M$9</f>
        <v>-0</v>
      </c>
      <c r="N15" s="32">
        <f>-SUMIFS('3. Entry &amp; Exit'!$G$85:$S$85,'3. Entry &amp; Exit'!$G$7:$S$7,N$8)*N$9</f>
        <v>-0</v>
      </c>
      <c r="O15" s="32">
        <f>-SUMIFS('3. Entry &amp; Exit'!$G$85:$S$85,'3. Entry &amp; Exit'!$G$7:$S$7,O$8)*O$9</f>
        <v>-0</v>
      </c>
      <c r="P15" s="32">
        <f>-SUMIFS('3. Entry &amp; Exit'!$G$85:$S$85,'3. Entry &amp; Exit'!$G$7:$S$7,P$8)*P$9</f>
        <v>-0</v>
      </c>
      <c r="Q15" s="32">
        <f>-SUMIFS('3. Entry &amp; Exit'!$G$85:$S$85,'3. Entry &amp; Exit'!$G$7:$S$7,Q$8)*Q$9</f>
        <v>-0</v>
      </c>
      <c r="R15" s="32">
        <f>-SUMIFS('3. Entry &amp; Exit'!$G$85:$S$85,'3. Entry &amp; Exit'!$G$7:$S$7,R$8)*R$9</f>
        <v>-0</v>
      </c>
      <c r="S15" s="32">
        <f>-SUMIFS('3. Entry &amp; Exit'!$G$85:$S$85,'3. Entry &amp; Exit'!$G$7:$S$7,S$8)*S$9</f>
        <v>-0</v>
      </c>
      <c r="T15" s="32">
        <f>-SUMIFS('3. Entry &amp; Exit'!$G$85:$S$85,'3. Entry &amp; Exit'!$G$7:$S$7,T$8)*T$9</f>
        <v>-0</v>
      </c>
      <c r="U15" s="32">
        <f>-SUMIFS('3. Entry &amp; Exit'!$G$85:$S$85,'3. Entry &amp; Exit'!$G$7:$S$7,U$8)*U$9</f>
        <v>-0</v>
      </c>
      <c r="V15" s="32">
        <f>-SUMIFS('3. Entry &amp; Exit'!$G$85:$S$85,'3. Entry &amp; Exit'!$G$7:$S$7,V$8)*V$9</f>
        <v>-0</v>
      </c>
      <c r="W15" s="32">
        <f>-SUMIFS('3. Entry &amp; Exit'!$G$85:$S$85,'3. Entry &amp; Exit'!$G$7:$S$7,W$8)*W$9</f>
        <v>-0</v>
      </c>
      <c r="X15" s="32">
        <f>-SUMIFS('3. Entry &amp; Exit'!$G$85:$S$85,'3. Entry &amp; Exit'!$G$7:$S$7,X$8)*X$9</f>
        <v>-0</v>
      </c>
      <c r="Y15" s="32">
        <f>-SUMIFS('3. Entry &amp; Exit'!$G$85:$S$85,'3. Entry &amp; Exit'!$G$7:$S$7,Y$8)*Y$9</f>
        <v>-0</v>
      </c>
      <c r="Z15" s="32">
        <f>-SUMIFS('3. Entry &amp; Exit'!$G$85:$S$85,'3. Entry &amp; Exit'!$G$7:$S$7,Z$8)*Z$9</f>
        <v>-0</v>
      </c>
      <c r="AA15" s="32">
        <f>-SUMIFS('3. Entry &amp; Exit'!$G$85:$S$85,'3. Entry &amp; Exit'!$G$7:$S$7,AA$8)*AA$9</f>
        <v>-0</v>
      </c>
      <c r="AB15" s="39">
        <f>SUM(G15:AA15)</f>
        <v>97606306.9658754</v>
      </c>
    </row>
    <row r="16">
      <c r="C16" s="29" t="inlineStr">
        <is>
          <t>Follow On Capital:</t>
        </is>
      </c>
    </row>
    <row r="17">
      <c r="C17" s="43" t="inlineStr">
        <is>
          <t>Arvenna Health Group</t>
        </is>
      </c>
      <c r="G17" s="32">
        <f>-SUMIFS('7. Entry &amp; Exit'!$G$91:$S$91,'7. Entry &amp; Exit'!$G$7:$S$7,G$8)*G$9</f>
        <v>-0</v>
      </c>
      <c r="H17" s="32">
        <f>-SUMIFS('7. Entry &amp; Exit'!$G$91:$S$91,'7. Entry &amp; Exit'!$G$7:$S$7,H$8)*H$9</f>
        <v>0</v>
      </c>
      <c r="I17" s="32">
        <f>-SUMIFS('7. Entry &amp; Exit'!$G$91:$S$91,'7. Entry &amp; Exit'!$G$7:$S$7,I$8)*I$9</f>
        <v>0</v>
      </c>
      <c r="J17" s="32">
        <f>-SUMIFS('7. Entry &amp; Exit'!$G$91:$S$91,'7. Entry &amp; Exit'!$G$7:$S$7,J$8)*J$9</f>
        <v>0</v>
      </c>
      <c r="K17" s="32">
        <f>-SUMIFS('7. Entry &amp; Exit'!$G$91:$S$91,'7. Entry &amp; Exit'!$G$7:$S$7,K$8)*K$9</f>
        <v>2670030</v>
      </c>
      <c r="L17" s="32">
        <f>-SUMIFS('7. Entry &amp; Exit'!$G$91:$S$91,'7. Entry &amp; Exit'!$G$7:$S$7,L$8)*L$9</f>
        <v>0</v>
      </c>
      <c r="M17" s="32">
        <f>-SUMIFS('7. Entry &amp; Exit'!$G$91:$S$91,'7. Entry &amp; Exit'!$G$7:$S$7,M$8)*M$9</f>
        <v>0</v>
      </c>
      <c r="N17" s="32">
        <f>-SUMIFS('7. Entry &amp; Exit'!$G$91:$S$91,'7. Entry &amp; Exit'!$G$7:$S$7,N$8)*N$9</f>
        <v>0</v>
      </c>
      <c r="O17" s="32">
        <f>-SUMIFS('7. Entry &amp; Exit'!$G$91:$S$91,'7. Entry &amp; Exit'!$G$7:$S$7,O$8)*O$9</f>
        <v>2375100</v>
      </c>
      <c r="P17" s="32">
        <f>-SUMIFS('7. Entry &amp; Exit'!$G$91:$S$91,'7. Entry &amp; Exit'!$G$7:$S$7,P$8)*P$9</f>
        <v>0</v>
      </c>
      <c r="Q17" s="32">
        <f>-SUMIFS('7. Entry &amp; Exit'!$G$91:$S$91,'7. Entry &amp; Exit'!$G$7:$S$7,Q$8)*Q$9</f>
        <v>0</v>
      </c>
      <c r="R17" s="32">
        <f>-SUMIFS('7. Entry &amp; Exit'!$G$91:$S$91,'7. Entry &amp; Exit'!$G$7:$S$7,R$8)*R$9</f>
        <v>0</v>
      </c>
      <c r="S17" s="32">
        <f>-SUMIFS('7. Entry &amp; Exit'!$G$91:$S$91,'7. Entry &amp; Exit'!$G$7:$S$7,S$8)*S$9</f>
        <v>1042840</v>
      </c>
      <c r="T17" s="32">
        <f>-SUMIFS('7. Entry &amp; Exit'!$G$91:$S$91,'7. Entry &amp; Exit'!$G$7:$S$7,T$8)*T$9</f>
        <v>0</v>
      </c>
      <c r="U17" s="32">
        <f>-SUMIFS('7. Entry &amp; Exit'!$G$91:$S$91,'7. Entry &amp; Exit'!$G$7:$S$7,U$8)*U$9</f>
        <v>0</v>
      </c>
      <c r="V17" s="32">
        <f>-SUMIFS('7. Entry &amp; Exit'!$G$91:$S$91,'7. Entry &amp; Exit'!$G$7:$S$7,V$8)*V$9</f>
        <v>0</v>
      </c>
      <c r="W17" s="32">
        <f>-SUMIFS('7. Entry &amp; Exit'!$G$91:$S$91,'7. Entry &amp; Exit'!$G$7:$S$7,W$8)*W$9</f>
        <v>661200</v>
      </c>
      <c r="X17" s="32">
        <f>-SUMIFS('7. Entry &amp; Exit'!$G$91:$S$91,'7. Entry &amp; Exit'!$G$7:$S$7,X$8)*X$9</f>
        <v>-0</v>
      </c>
      <c r="Y17" s="32">
        <f>-SUMIFS('7. Entry &amp; Exit'!$G$91:$S$91,'7. Entry &amp; Exit'!$G$7:$S$7,Y$8)*Y$9</f>
        <v>-0</v>
      </c>
      <c r="Z17" s="32">
        <f>-SUMIFS('7. Entry &amp; Exit'!$G$91:$S$91,'7. Entry &amp; Exit'!$G$7:$S$7,Z$8)*Z$9</f>
        <v>-0</v>
      </c>
      <c r="AA17" s="32">
        <f>-SUMIFS('7. Entry &amp; Exit'!$G$91:$S$91,'7. Entry &amp; Exit'!$G$7:$S$7,AA$8)*AA$9</f>
        <v>-0</v>
      </c>
      <c r="AB17" s="39">
        <f>SUM(G17:AA17)</f>
        <v>6749170</v>
      </c>
    </row>
    <row r="18">
      <c r="C18" s="43" t="inlineStr">
        <is>
          <t>Tallowick Consumer Products</t>
        </is>
      </c>
      <c r="G18" s="32">
        <f>-SUMIFS('3. Entry &amp; Exit'!$G$86:$S$86,'3. Entry &amp; Exit'!$G$7:$S$7,G$8)*G$9</f>
        <v>-0</v>
      </c>
      <c r="H18" s="32">
        <f>-SUMIFS('3. Entry &amp; Exit'!$G$86:$S$86,'3. Entry &amp; Exit'!$G$7:$S$7,H$8)*H$9</f>
        <v>0</v>
      </c>
      <c r="I18" s="32">
        <f>-SUMIFS('3. Entry &amp; Exit'!$G$86:$S$86,'3. Entry &amp; Exit'!$G$7:$S$7,I$8)*I$9</f>
        <v>0</v>
      </c>
      <c r="J18" s="32">
        <f>-SUMIFS('3. Entry &amp; Exit'!$G$86:$S$86,'3. Entry &amp; Exit'!$G$7:$S$7,J$8)*J$9</f>
        <v>0</v>
      </c>
      <c r="K18" s="32">
        <f>-SUMIFS('3. Entry &amp; Exit'!$G$86:$S$86,'3. Entry &amp; Exit'!$G$7:$S$7,K$8)*K$9</f>
        <v>1392384</v>
      </c>
      <c r="L18" s="32">
        <f>-SUMIFS('3. Entry &amp; Exit'!$G$86:$S$86,'3. Entry &amp; Exit'!$G$7:$S$7,L$8)*L$9</f>
        <v>0</v>
      </c>
      <c r="M18" s="32">
        <f>-SUMIFS('3. Entry &amp; Exit'!$G$86:$S$86,'3. Entry &amp; Exit'!$G$7:$S$7,M$8)*M$9</f>
        <v>0</v>
      </c>
      <c r="N18" s="32">
        <f>-SUMIFS('3. Entry &amp; Exit'!$G$86:$S$86,'3. Entry &amp; Exit'!$G$7:$S$7,N$8)*N$9</f>
        <v>0</v>
      </c>
      <c r="O18" s="32">
        <f>-SUMIFS('3. Entry &amp; Exit'!$G$86:$S$86,'3. Entry &amp; Exit'!$G$7:$S$7,O$8)*O$9</f>
        <v>1339104</v>
      </c>
      <c r="P18" s="32">
        <f>-SUMIFS('3. Entry &amp; Exit'!$G$86:$S$86,'3. Entry &amp; Exit'!$G$7:$S$7,P$8)*P$9</f>
        <v>0</v>
      </c>
      <c r="Q18" s="32">
        <f>-SUMIFS('3. Entry &amp; Exit'!$G$86:$S$86,'3. Entry &amp; Exit'!$G$7:$S$7,Q$8)*Q$9</f>
        <v>0</v>
      </c>
      <c r="R18" s="32">
        <f>-SUMIFS('3. Entry &amp; Exit'!$G$86:$S$86,'3. Entry &amp; Exit'!$G$7:$S$7,R$8)*R$9</f>
        <v>0</v>
      </c>
      <c r="S18" s="32">
        <f>-SUMIFS('3. Entry &amp; Exit'!$G$86:$S$86,'3. Entry &amp; Exit'!$G$7:$S$7,S$8)*S$9</f>
        <v>743256</v>
      </c>
      <c r="T18" s="32">
        <f>-SUMIFS('3. Entry &amp; Exit'!$G$86:$S$86,'3. Entry &amp; Exit'!$G$7:$S$7,T$8)*T$9</f>
        <v>-0</v>
      </c>
      <c r="U18" s="32">
        <f>-SUMIFS('3. Entry &amp; Exit'!$G$86:$S$86,'3. Entry &amp; Exit'!$G$7:$S$7,U$8)*U$9</f>
        <v>-0</v>
      </c>
      <c r="V18" s="32">
        <f>-SUMIFS('3. Entry &amp; Exit'!$G$86:$S$86,'3. Entry &amp; Exit'!$G$7:$S$7,V$8)*V$9</f>
        <v>-0</v>
      </c>
      <c r="W18" s="32">
        <f>-SUMIFS('3. Entry &amp; Exit'!$G$86:$S$86,'3. Entry &amp; Exit'!$G$7:$S$7,W$8)*W$9</f>
        <v>-0</v>
      </c>
      <c r="X18" s="32">
        <f>-SUMIFS('3. Entry &amp; Exit'!$G$86:$S$86,'3. Entry &amp; Exit'!$G$7:$S$7,X$8)*X$9</f>
        <v>-0</v>
      </c>
      <c r="Y18" s="32">
        <f>-SUMIFS('3. Entry &amp; Exit'!$G$86:$S$86,'3. Entry &amp; Exit'!$G$7:$S$7,Y$8)*Y$9</f>
        <v>-0</v>
      </c>
      <c r="Z18" s="32">
        <f>-SUMIFS('3. Entry &amp; Exit'!$G$86:$S$86,'3. Entry &amp; Exit'!$G$7:$S$7,Z$8)*Z$9</f>
        <v>-0</v>
      </c>
      <c r="AA18" s="32">
        <f>-SUMIFS('3. Entry &amp; Exit'!$G$86:$S$86,'3. Entry &amp; Exit'!$G$7:$S$7,AA$8)*AA$9</f>
        <v>-0</v>
      </c>
      <c r="AB18" s="39">
        <f>SUM(G18:AA18)</f>
        <v>3474744</v>
      </c>
    </row>
    <row r="19">
      <c r="C19" s="14" t="inlineStr">
        <is>
          <t>Buy-Side Transaction Fees</t>
        </is>
      </c>
      <c r="G19" s="32">
        <f>IF(G$7=0,'Transaction Summary'!$E$42,0)</f>
        <v>1436244.38135369</v>
      </c>
      <c r="H19" s="32">
        <f>IF(H$7=0,'Transaction Summary'!$E$42,0)</f>
        <v>0</v>
      </c>
      <c r="I19" s="32">
        <f>IF(I$7=0,'Transaction Summary'!$E$42,0)</f>
        <v>0</v>
      </c>
      <c r="J19" s="32">
        <f>IF(J$7=0,'Transaction Summary'!$E$42,0)</f>
        <v>0</v>
      </c>
      <c r="K19" s="32">
        <f>IF(K$7=0,'Transaction Summary'!$E$42,0)</f>
        <v>0</v>
      </c>
      <c r="L19" s="32">
        <f>IF(L$7=0,'Transaction Summary'!$E$42,0)</f>
        <v>0</v>
      </c>
      <c r="M19" s="32">
        <f>IF(M$7=0,'Transaction Summary'!$E$42,0)</f>
        <v>0</v>
      </c>
      <c r="N19" s="32">
        <f>IF(N$7=0,'Transaction Summary'!$E$42,0)</f>
        <v>0</v>
      </c>
      <c r="O19" s="32">
        <f>IF(O$7=0,'Transaction Summary'!$E$42,0)</f>
        <v>0</v>
      </c>
      <c r="P19" s="32">
        <f>IF(P$7=0,'Transaction Summary'!$E$42,0)</f>
        <v>0</v>
      </c>
      <c r="Q19" s="32">
        <f>IF(Q$7=0,'Transaction Summary'!$E$42,0)</f>
        <v>0</v>
      </c>
      <c r="R19" s="32">
        <f>IF(R$7=0,'Transaction Summary'!$E$42,0)</f>
        <v>0</v>
      </c>
      <c r="S19" s="32">
        <f>IF(S$7=0,'Transaction Summary'!$E$42,0)</f>
        <v>0</v>
      </c>
      <c r="T19" s="32">
        <f>IF(T$7=0,'Transaction Summary'!$E$42,0)</f>
        <v>0</v>
      </c>
      <c r="U19" s="32">
        <f>IF(U$7=0,'Transaction Summary'!$E$42,0)</f>
        <v>0</v>
      </c>
      <c r="V19" s="32">
        <f>IF(V$7=0,'Transaction Summary'!$E$42,0)</f>
        <v>0</v>
      </c>
      <c r="W19" s="32">
        <f>IF(W$7=0,'Transaction Summary'!$E$42,0)</f>
        <v>0</v>
      </c>
      <c r="X19" s="32">
        <f>IF(X$7=0,'Transaction Summary'!$E$42,0)</f>
        <v>0</v>
      </c>
      <c r="Y19" s="32">
        <f>IF(Y$7=0,'Transaction Summary'!$E$42,0)</f>
        <v>0</v>
      </c>
      <c r="Z19" s="32">
        <f>IF(Z$7=0,'Transaction Summary'!$E$42,0)</f>
        <v>0</v>
      </c>
      <c r="AA19" s="32">
        <f>IF(AA$7=0,'Transaction Summary'!$E$42,0)</f>
        <v>0</v>
      </c>
      <c r="AB19" s="39">
        <f>SUM(G19:AA19)</f>
        <v>1436244.38135369</v>
      </c>
    </row>
    <row r="20">
      <c r="C20" s="29" t="inlineStr">
        <is>
          <t>Total Capital Contributions</t>
        </is>
      </c>
      <c r="G20" s="30">
        <f>G14+G15+G17+G18+G19</f>
        <v>145060682.516722</v>
      </c>
      <c r="H20" s="30">
        <f>H14+H15+H17+H18+H19</f>
        <v>0</v>
      </c>
      <c r="I20" s="30">
        <f>I14+I15+I17+I18+I19</f>
        <v>0</v>
      </c>
      <c r="J20" s="30">
        <f>J14+J15+J17+J18+J19</f>
        <v>0</v>
      </c>
      <c r="K20" s="30">
        <f>K14+K15+K17+K18+K19</f>
        <v>4062414</v>
      </c>
      <c r="L20" s="30">
        <f>L14+L15+L17+L18+L19</f>
        <v>0</v>
      </c>
      <c r="M20" s="30">
        <f>M14+M15+M17+M18+M19</f>
        <v>0</v>
      </c>
      <c r="N20" s="30">
        <f>N14+N15+N17+N18+N19</f>
        <v>0</v>
      </c>
      <c r="O20" s="30">
        <f>O14+O15+O17+O18+O19</f>
        <v>3714204</v>
      </c>
      <c r="P20" s="30">
        <f>P14+P15+P17+P18+P19</f>
        <v>0</v>
      </c>
      <c r="Q20" s="30">
        <f>Q14+Q15+Q17+Q18+Q19</f>
        <v>0</v>
      </c>
      <c r="R20" s="30">
        <f>R14+R15+R17+R18+R19</f>
        <v>0</v>
      </c>
      <c r="S20" s="30">
        <f>S14+S15+S17+S18+S19</f>
        <v>1786096</v>
      </c>
      <c r="T20" s="30">
        <f>T14+T15+T17+T18+T19</f>
        <v>0</v>
      </c>
      <c r="U20" s="30">
        <f>U14+U15+U17+U18+U19</f>
        <v>0</v>
      </c>
      <c r="V20" s="30">
        <f>V14+V15+V17+V18+V19</f>
        <v>0</v>
      </c>
      <c r="W20" s="30">
        <f>W14+W15+W17+W18+W19</f>
        <v>661200</v>
      </c>
      <c r="X20" s="30">
        <f>X14+X15+X17+X18+X19</f>
        <v>0</v>
      </c>
      <c r="Y20" s="30">
        <f>Y14+Y15+Y17+Y18+Y19</f>
        <v>0</v>
      </c>
      <c r="Z20" s="30">
        <f>Z14+Z15+Z17+Z18+Z19</f>
        <v>0</v>
      </c>
      <c r="AA20" s="30">
        <f>AA14+AA15+AA17+AA18+AA19</f>
        <v>0</v>
      </c>
      <c r="AB20" s="30">
        <f>SUM(G20:AA20)</f>
        <v>155284596.516722</v>
      </c>
    </row>
    <row r="21">
      <c r="C21" s="14" t="inlineStr">
        <is>
          <t>LP Contributions</t>
        </is>
      </c>
      <c r="G21" s="32">
        <f>G20*Control!$E$34</f>
        <v>142159468.866388</v>
      </c>
      <c r="H21" s="32">
        <f>H20*Control!$E$34</f>
        <v>0</v>
      </c>
      <c r="I21" s="32">
        <f>I20*Control!$E$34</f>
        <v>0</v>
      </c>
      <c r="J21" s="32">
        <f>J20*Control!$E$34</f>
        <v>0</v>
      </c>
      <c r="K21" s="32">
        <f>K20*Control!$E$34</f>
        <v>3981165.72</v>
      </c>
      <c r="L21" s="32">
        <f>L20*Control!$E$34</f>
        <v>0</v>
      </c>
      <c r="M21" s="32">
        <f>M20*Control!$E$34</f>
        <v>0</v>
      </c>
      <c r="N21" s="32">
        <f>N20*Control!$E$34</f>
        <v>0</v>
      </c>
      <c r="O21" s="32">
        <f>O20*Control!$E$34</f>
        <v>3639919.92</v>
      </c>
      <c r="P21" s="32">
        <f>P20*Control!$E$34</f>
        <v>0</v>
      </c>
      <c r="Q21" s="32">
        <f>Q20*Control!$E$34</f>
        <v>0</v>
      </c>
      <c r="R21" s="32">
        <f>R20*Control!$E$34</f>
        <v>0</v>
      </c>
      <c r="S21" s="32">
        <f>S20*Control!$E$34</f>
        <v>1750374.08</v>
      </c>
      <c r="T21" s="32">
        <f>T20*Control!$E$34</f>
        <v>0</v>
      </c>
      <c r="U21" s="32">
        <f>U20*Control!$E$34</f>
        <v>0</v>
      </c>
      <c r="V21" s="32">
        <f>V20*Control!$E$34</f>
        <v>0</v>
      </c>
      <c r="W21" s="32">
        <f>W20*Control!$E$34</f>
        <v>647976</v>
      </c>
      <c r="X21" s="32">
        <f>X20*Control!$E$34</f>
        <v>0</v>
      </c>
      <c r="Y21" s="32">
        <f>Y20*Control!$E$34</f>
        <v>0</v>
      </c>
      <c r="Z21" s="32">
        <f>Z20*Control!$E$34</f>
        <v>0</v>
      </c>
      <c r="AA21" s="32">
        <f>AA20*Control!$E$34</f>
        <v>0</v>
      </c>
      <c r="AB21" s="39">
        <f>SUM(G21:AA21)</f>
        <v>152178904.586388</v>
      </c>
    </row>
    <row r="22">
      <c r="C22" s="14" t="inlineStr">
        <is>
          <t>GP Contributions</t>
        </is>
      </c>
      <c r="G22" s="32">
        <f>G20*Control!$E$33</f>
        <v>2901213.65033445</v>
      </c>
      <c r="H22" s="32">
        <f>H20*Control!$E$33</f>
        <v>0</v>
      </c>
      <c r="I22" s="32">
        <f>I20*Control!$E$33</f>
        <v>0</v>
      </c>
      <c r="J22" s="32">
        <f>J20*Control!$E$33</f>
        <v>0</v>
      </c>
      <c r="K22" s="32">
        <f>K20*Control!$E$33</f>
        <v>81248.28</v>
      </c>
      <c r="L22" s="32">
        <f>L20*Control!$E$33</f>
        <v>0</v>
      </c>
      <c r="M22" s="32">
        <f>M20*Control!$E$33</f>
        <v>0</v>
      </c>
      <c r="N22" s="32">
        <f>N20*Control!$E$33</f>
        <v>0</v>
      </c>
      <c r="O22" s="32">
        <f>O20*Control!$E$33</f>
        <v>74284.08</v>
      </c>
      <c r="P22" s="32">
        <f>P20*Control!$E$33</f>
        <v>0</v>
      </c>
      <c r="Q22" s="32">
        <f>Q20*Control!$E$33</f>
        <v>0</v>
      </c>
      <c r="R22" s="32">
        <f>R20*Control!$E$33</f>
        <v>0</v>
      </c>
      <c r="S22" s="32">
        <f>S20*Control!$E$33</f>
        <v>35721.92</v>
      </c>
      <c r="T22" s="32">
        <f>T20*Control!$E$33</f>
        <v>0</v>
      </c>
      <c r="U22" s="32">
        <f>U20*Control!$E$33</f>
        <v>0</v>
      </c>
      <c r="V22" s="32">
        <f>V20*Control!$E$33</f>
        <v>0</v>
      </c>
      <c r="W22" s="32">
        <f>W20*Control!$E$33</f>
        <v>13224</v>
      </c>
      <c r="X22" s="32">
        <f>X20*Control!$E$33</f>
        <v>0</v>
      </c>
      <c r="Y22" s="32">
        <f>Y20*Control!$E$33</f>
        <v>0</v>
      </c>
      <c r="Z22" s="32">
        <f>Z20*Control!$E$33</f>
        <v>0</v>
      </c>
      <c r="AA22" s="32">
        <f>AA20*Control!$E$33</f>
        <v>0</v>
      </c>
      <c r="AB22" s="39">
        <f>SUM(G22:AA22)</f>
        <v>3105691.93033444</v>
      </c>
    </row>
    <row r="24">
      <c r="C24" s="12" t="inlineStr">
        <is>
          <t>Distributions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C25" s="3" t="inlineStr">
        <is>
          <t>Projected Distributions:</t>
        </is>
      </c>
    </row>
    <row r="26">
      <c r="C26" s="29" t="inlineStr">
        <is>
          <t>Total Interim Proceeds:</t>
        </is>
      </c>
    </row>
    <row r="27">
      <c r="C27" s="43" t="inlineStr">
        <is>
          <t>Arvenna Health Group</t>
        </is>
      </c>
      <c r="G27" s="32">
        <f>SUMIFS('7. Entry &amp; Exit'!$G$92:$S$92,'7. Entry &amp; Exit'!$G$7:$S$7,G$8)*G$9</f>
        <v>0</v>
      </c>
      <c r="H27" s="32">
        <f>SUMIFS('7. Entry &amp; Exit'!$G$92:$S$92,'7. Entry &amp; Exit'!$G$7:$S$7,H$8)*H$9</f>
        <v>0</v>
      </c>
      <c r="I27" s="32">
        <f>SUMIFS('7. Entry &amp; Exit'!$G$92:$S$92,'7. Entry &amp; Exit'!$G$7:$S$7,I$8)*I$9</f>
        <v>0</v>
      </c>
      <c r="J27" s="32">
        <f>SUMIFS('7. Entry &amp; Exit'!$G$92:$S$92,'7. Entry &amp; Exit'!$G$7:$S$7,J$8)*J$9</f>
        <v>0</v>
      </c>
      <c r="K27" s="32">
        <f>SUMIFS('7. Entry &amp; Exit'!$G$92:$S$92,'7. Entry &amp; Exit'!$G$7:$S$7,K$8)*K$9</f>
        <v>1095516.07252604</v>
      </c>
      <c r="L27" s="32">
        <f>SUMIFS('7. Entry &amp; Exit'!$G$92:$S$92,'7. Entry &amp; Exit'!$G$7:$S$7,L$8)*L$9</f>
        <v>0</v>
      </c>
      <c r="M27" s="32">
        <f>SUMIFS('7. Entry &amp; Exit'!$G$92:$S$92,'7. Entry &amp; Exit'!$G$7:$S$7,M$8)*M$9</f>
        <v>0</v>
      </c>
      <c r="N27" s="32">
        <f>SUMIFS('7. Entry &amp; Exit'!$G$92:$S$92,'7. Entry &amp; Exit'!$G$7:$S$7,N$8)*N$9</f>
        <v>0</v>
      </c>
      <c r="O27" s="32">
        <f>SUMIFS('7. Entry &amp; Exit'!$G$92:$S$92,'7. Entry &amp; Exit'!$G$7:$S$7,O$8)*O$9</f>
        <v>1466101.69184257</v>
      </c>
      <c r="P27" s="32">
        <f>SUMIFS('7. Entry &amp; Exit'!$G$92:$S$92,'7. Entry &amp; Exit'!$G$7:$S$7,P$8)*P$9</f>
        <v>0</v>
      </c>
      <c r="Q27" s="32">
        <f>SUMIFS('7. Entry &amp; Exit'!$G$92:$S$92,'7. Entry &amp; Exit'!$G$7:$S$7,Q$8)*Q$9</f>
        <v>0</v>
      </c>
      <c r="R27" s="32">
        <f>SUMIFS('7. Entry &amp; Exit'!$G$92:$S$92,'7. Entry &amp; Exit'!$G$7:$S$7,R$8)*R$9</f>
        <v>0</v>
      </c>
      <c r="S27" s="32">
        <f>SUMIFS('7. Entry &amp; Exit'!$G$92:$S$92,'7. Entry &amp; Exit'!$G$7:$S$7,S$8)*S$9</f>
        <v>1877338.22563289</v>
      </c>
      <c r="T27" s="32">
        <f>SUMIFS('7. Entry &amp; Exit'!$G$92:$S$92,'7. Entry &amp; Exit'!$G$7:$S$7,T$8)*T$9</f>
        <v>0</v>
      </c>
      <c r="U27" s="32">
        <f>SUMIFS('7. Entry &amp; Exit'!$G$92:$S$92,'7. Entry &amp; Exit'!$G$7:$S$7,U$8)*U$9</f>
        <v>0</v>
      </c>
      <c r="V27" s="32">
        <f>SUMIFS('7. Entry &amp; Exit'!$G$92:$S$92,'7. Entry &amp; Exit'!$G$7:$S$7,V$8)*V$9</f>
        <v>0</v>
      </c>
      <c r="W27" s="32">
        <f>SUMIFS('7. Entry &amp; Exit'!$G$92:$S$92,'7. Entry &amp; Exit'!$G$7:$S$7,W$8)*W$9</f>
        <v>2177337.01962824</v>
      </c>
      <c r="X27" s="32">
        <f>SUMIFS('7. Entry &amp; Exit'!$G$92:$S$92,'7. Entry &amp; Exit'!$G$7:$S$7,X$8)*X$9</f>
        <v>0</v>
      </c>
      <c r="Y27" s="32">
        <f>SUMIFS('7. Entry &amp; Exit'!$G$92:$S$92,'7. Entry &amp; Exit'!$G$7:$S$7,Y$8)*Y$9</f>
        <v>0</v>
      </c>
      <c r="Z27" s="32">
        <f>SUMIFS('7. Entry &amp; Exit'!$G$92:$S$92,'7. Entry &amp; Exit'!$G$7:$S$7,Z$8)*Z$9</f>
        <v>0</v>
      </c>
      <c r="AA27" s="32">
        <f>SUMIFS('7. Entry &amp; Exit'!$G$92:$S$92,'7. Entry &amp; Exit'!$G$7:$S$7,AA$8)*AA$9</f>
        <v>0</v>
      </c>
      <c r="AB27" s="39">
        <f>SUM(G27:AA27)</f>
        <v>6616293.00962974</v>
      </c>
    </row>
    <row r="28">
      <c r="C28" s="43" t="inlineStr">
        <is>
          <t>Tallowick Consumer Products</t>
        </is>
      </c>
      <c r="G28" s="32">
        <f>SUMIFS('3. Entry &amp; Exit'!$G$87:$S$87,'3. Entry &amp; Exit'!$G$7:$S$7,G$8)*G$9</f>
        <v>0</v>
      </c>
      <c r="H28" s="32">
        <f>SUMIFS('3. Entry &amp; Exit'!$G$87:$S$87,'3. Entry &amp; Exit'!$G$7:$S$7,H$8)*H$9</f>
        <v>0</v>
      </c>
      <c r="I28" s="32">
        <f>SUMIFS('3. Entry &amp; Exit'!$G$87:$S$87,'3. Entry &amp; Exit'!$G$7:$S$7,I$8)*I$9</f>
        <v>0</v>
      </c>
      <c r="J28" s="32">
        <f>SUMIFS('3. Entry &amp; Exit'!$G$87:$S$87,'3. Entry &amp; Exit'!$G$7:$S$7,J$8)*J$9</f>
        <v>0</v>
      </c>
      <c r="K28" s="32">
        <f>SUMIFS('3. Entry &amp; Exit'!$G$87:$S$87,'3. Entry &amp; Exit'!$G$7:$S$7,K$8)*K$9</f>
        <v>5026473.44074666</v>
      </c>
      <c r="L28" s="32">
        <f>SUMIFS('3. Entry &amp; Exit'!$G$87:$S$87,'3. Entry &amp; Exit'!$G$7:$S$7,L$8)*L$9</f>
        <v>0</v>
      </c>
      <c r="M28" s="32">
        <f>SUMIFS('3. Entry &amp; Exit'!$G$87:$S$87,'3. Entry &amp; Exit'!$G$7:$S$7,M$8)*M$9</f>
        <v>0</v>
      </c>
      <c r="N28" s="32">
        <f>SUMIFS('3. Entry &amp; Exit'!$G$87:$S$87,'3. Entry &amp; Exit'!$G$7:$S$7,N$8)*N$9</f>
        <v>0</v>
      </c>
      <c r="O28" s="32">
        <f>SUMIFS('3. Entry &amp; Exit'!$G$87:$S$87,'3. Entry &amp; Exit'!$G$7:$S$7,O$8)*O$9</f>
        <v>5683203.11842654</v>
      </c>
      <c r="P28" s="32">
        <f>SUMIFS('3. Entry &amp; Exit'!$G$87:$S$87,'3. Entry &amp; Exit'!$G$7:$S$7,P$8)*P$9</f>
        <v>0</v>
      </c>
      <c r="Q28" s="32">
        <f>SUMIFS('3. Entry &amp; Exit'!$G$87:$S$87,'3. Entry &amp; Exit'!$G$7:$S$7,Q$8)*Q$9</f>
        <v>0</v>
      </c>
      <c r="R28" s="32">
        <f>SUMIFS('3. Entry &amp; Exit'!$G$87:$S$87,'3. Entry &amp; Exit'!$G$7:$S$7,R$8)*R$9</f>
        <v>0</v>
      </c>
      <c r="S28" s="32">
        <f>SUMIFS('3. Entry &amp; Exit'!$G$87:$S$87,'3. Entry &amp; Exit'!$G$7:$S$7,S$8)*S$9</f>
        <v>6254389.66430882</v>
      </c>
      <c r="T28" s="32">
        <f>SUMIFS('3. Entry &amp; Exit'!$G$87:$S$87,'3. Entry &amp; Exit'!$G$7:$S$7,T$8)*T$9</f>
        <v>0</v>
      </c>
      <c r="U28" s="32">
        <f>SUMIFS('3. Entry &amp; Exit'!$G$87:$S$87,'3. Entry &amp; Exit'!$G$7:$S$7,U$8)*U$9</f>
        <v>0</v>
      </c>
      <c r="V28" s="32">
        <f>SUMIFS('3. Entry &amp; Exit'!$G$87:$S$87,'3. Entry &amp; Exit'!$G$7:$S$7,V$8)*V$9</f>
        <v>0</v>
      </c>
      <c r="W28" s="32">
        <f>SUMIFS('3. Entry &amp; Exit'!$G$87:$S$87,'3. Entry &amp; Exit'!$G$7:$S$7,W$8)*W$9</f>
        <v>6535552.76227784</v>
      </c>
      <c r="X28" s="32">
        <f>SUMIFS('3. Entry &amp; Exit'!$G$87:$S$87,'3. Entry &amp; Exit'!$G$7:$S$7,X$8)*X$9</f>
        <v>0</v>
      </c>
      <c r="Y28" s="32">
        <f>SUMIFS('3. Entry &amp; Exit'!$G$87:$S$87,'3. Entry &amp; Exit'!$G$7:$S$7,Y$8)*Y$9</f>
        <v>0</v>
      </c>
      <c r="Z28" s="32">
        <f>SUMIFS('3. Entry &amp; Exit'!$G$87:$S$87,'3. Entry &amp; Exit'!$G$7:$S$7,Z$8)*Z$9</f>
        <v>0</v>
      </c>
      <c r="AA28" s="32">
        <f>SUMIFS('3. Entry &amp; Exit'!$G$87:$S$87,'3. Entry &amp; Exit'!$G$7:$S$7,AA$8)*AA$9</f>
        <v>0</v>
      </c>
      <c r="AB28" s="39">
        <f>SUM(G28:AA28)</f>
        <v>23499618.9857599</v>
      </c>
    </row>
    <row r="29">
      <c r="C29" s="29" t="inlineStr">
        <is>
          <t>Total Exit Proceeds:</t>
        </is>
      </c>
    </row>
    <row r="30">
      <c r="C30" s="43" t="inlineStr">
        <is>
          <t>Arvenna Health Group</t>
        </is>
      </c>
      <c r="G30" s="32">
        <f>SUMIFS('7. Entry &amp; Exit'!$G$93:$S$93,'7. Entry &amp; Exit'!$G$7:$S$7,G$8)*G$9</f>
        <v>0</v>
      </c>
      <c r="H30" s="32">
        <f>SUMIFS('7. Entry &amp; Exit'!$G$93:$S$93,'7. Entry &amp; Exit'!$G$7:$S$7,H$8)*H$9</f>
        <v>0</v>
      </c>
      <c r="I30" s="32">
        <f>SUMIFS('7. Entry &amp; Exit'!$G$93:$S$93,'7. Entry &amp; Exit'!$G$7:$S$7,I$8)*I$9</f>
        <v>0</v>
      </c>
      <c r="J30" s="32">
        <f>SUMIFS('7. Entry &amp; Exit'!$G$93:$S$93,'7. Entry &amp; Exit'!$G$7:$S$7,J$8)*J$9</f>
        <v>0</v>
      </c>
      <c r="K30" s="32">
        <f>SUMIFS('7. Entry &amp; Exit'!$G$93:$S$93,'7. Entry &amp; Exit'!$G$7:$S$7,K$8)*K$9</f>
        <v>0</v>
      </c>
      <c r="L30" s="32">
        <f>SUMIFS('7. Entry &amp; Exit'!$G$93:$S$93,'7. Entry &amp; Exit'!$G$7:$S$7,L$8)*L$9</f>
        <v>0</v>
      </c>
      <c r="M30" s="32">
        <f>SUMIFS('7. Entry &amp; Exit'!$G$93:$S$93,'7. Entry &amp; Exit'!$G$7:$S$7,M$8)*M$9</f>
        <v>0</v>
      </c>
      <c r="N30" s="32">
        <f>SUMIFS('7. Entry &amp; Exit'!$G$93:$S$93,'7. Entry &amp; Exit'!$G$7:$S$7,N$8)*N$9</f>
        <v>0</v>
      </c>
      <c r="O30" s="32">
        <f>SUMIFS('7. Entry &amp; Exit'!$G$93:$S$93,'7. Entry &amp; Exit'!$G$7:$S$7,O$8)*O$9</f>
        <v>0</v>
      </c>
      <c r="P30" s="32">
        <f>SUMIFS('7. Entry &amp; Exit'!$G$93:$S$93,'7. Entry &amp; Exit'!$G$7:$S$7,P$8)*P$9</f>
        <v>0</v>
      </c>
      <c r="Q30" s="32">
        <f>SUMIFS('7. Entry &amp; Exit'!$G$93:$S$93,'7. Entry &amp; Exit'!$G$7:$S$7,Q$8)*Q$9</f>
        <v>0</v>
      </c>
      <c r="R30" s="32">
        <f>SUMIFS('7. Entry &amp; Exit'!$G$93:$S$93,'7. Entry &amp; Exit'!$G$7:$S$7,R$8)*R$9</f>
        <v>0</v>
      </c>
      <c r="S30" s="32">
        <f>SUMIFS('7. Entry &amp; Exit'!$G$93:$S$93,'7. Entry &amp; Exit'!$G$7:$S$7,S$8)*S$9</f>
        <v>0</v>
      </c>
      <c r="T30" s="32">
        <f>SUMIFS('7. Entry &amp; Exit'!$G$93:$S$93,'7. Entry &amp; Exit'!$G$7:$S$7,T$8)*T$9</f>
        <v>0</v>
      </c>
      <c r="U30" s="32">
        <f>SUMIFS('7. Entry &amp; Exit'!$G$93:$S$93,'7. Entry &amp; Exit'!$G$7:$S$7,U$8)*U$9</f>
        <v>0</v>
      </c>
      <c r="V30" s="32">
        <f>SUMIFS('7. Entry &amp; Exit'!$G$93:$S$93,'7. Entry &amp; Exit'!$G$7:$S$7,V$8)*V$9</f>
        <v>0</v>
      </c>
      <c r="W30" s="32">
        <f>SUMIFS('7. Entry &amp; Exit'!$G$93:$S$93,'7. Entry &amp; Exit'!$G$7:$S$7,W$8)*W$9</f>
        <v>0</v>
      </c>
      <c r="X30" s="32">
        <f>SUMIFS('7. Entry &amp; Exit'!$G$93:$S$93,'7. Entry &amp; Exit'!$G$7:$S$7,X$8)*X$9</f>
        <v>0</v>
      </c>
      <c r="Y30" s="32">
        <f>SUMIFS('7. Entry &amp; Exit'!$G$93:$S$93,'7. Entry &amp; Exit'!$G$7:$S$7,Y$8)*Y$9</f>
        <v>0</v>
      </c>
      <c r="Z30" s="32">
        <f>SUMIFS('7. Entry &amp; Exit'!$G$93:$S$93,'7. Entry &amp; Exit'!$G$7:$S$7,Z$8)*Z$9</f>
        <v>0</v>
      </c>
      <c r="AA30" s="32">
        <f>SUMIFS('7. Entry &amp; Exit'!$G$93:$S$93,'7. Entry &amp; Exit'!$G$7:$S$7,AA$8)*AA$9</f>
        <v>138237393.398927</v>
      </c>
      <c r="AB30" s="39">
        <f>SUM(G30:AA30)</f>
        <v>138237393.398927</v>
      </c>
    </row>
    <row r="31">
      <c r="C31" s="43" t="inlineStr">
        <is>
          <t>Tallowick Consumer Products</t>
        </is>
      </c>
      <c r="G31" s="32">
        <f>SUMIFS('3. Entry &amp; Exit'!$G$88:$S$88,'3. Entry &amp; Exit'!$G$7:$S$7,G$8)*G$9</f>
        <v>0</v>
      </c>
      <c r="H31" s="32">
        <f>SUMIFS('3. Entry &amp; Exit'!$G$88:$S$88,'3. Entry &amp; Exit'!$G$7:$S$7,H$8)*H$9</f>
        <v>0</v>
      </c>
      <c r="I31" s="32">
        <f>SUMIFS('3. Entry &amp; Exit'!$G$88:$S$88,'3. Entry &amp; Exit'!$G$7:$S$7,I$8)*I$9</f>
        <v>0</v>
      </c>
      <c r="J31" s="32">
        <f>SUMIFS('3. Entry &amp; Exit'!$G$88:$S$88,'3. Entry &amp; Exit'!$G$7:$S$7,J$8)*J$9</f>
        <v>0</v>
      </c>
      <c r="K31" s="32">
        <f>SUMIFS('3. Entry &amp; Exit'!$G$88:$S$88,'3. Entry &amp; Exit'!$G$7:$S$7,K$8)*K$9</f>
        <v>0</v>
      </c>
      <c r="L31" s="32">
        <f>SUMIFS('3. Entry &amp; Exit'!$G$88:$S$88,'3. Entry &amp; Exit'!$G$7:$S$7,L$8)*L$9</f>
        <v>0</v>
      </c>
      <c r="M31" s="32">
        <f>SUMIFS('3. Entry &amp; Exit'!$G$88:$S$88,'3. Entry &amp; Exit'!$G$7:$S$7,M$8)*M$9</f>
        <v>0</v>
      </c>
      <c r="N31" s="32">
        <f>SUMIFS('3. Entry &amp; Exit'!$G$88:$S$88,'3. Entry &amp; Exit'!$G$7:$S$7,N$8)*N$9</f>
        <v>0</v>
      </c>
      <c r="O31" s="32">
        <f>SUMIFS('3. Entry &amp; Exit'!$G$88:$S$88,'3. Entry &amp; Exit'!$G$7:$S$7,O$8)*O$9</f>
        <v>0</v>
      </c>
      <c r="P31" s="32">
        <f>SUMIFS('3. Entry &amp; Exit'!$G$88:$S$88,'3. Entry &amp; Exit'!$G$7:$S$7,P$8)*P$9</f>
        <v>0</v>
      </c>
      <c r="Q31" s="32">
        <f>SUMIFS('3. Entry &amp; Exit'!$G$88:$S$88,'3. Entry &amp; Exit'!$G$7:$S$7,Q$8)*Q$9</f>
        <v>0</v>
      </c>
      <c r="R31" s="32">
        <f>SUMIFS('3. Entry &amp; Exit'!$G$88:$S$88,'3. Entry &amp; Exit'!$G$7:$S$7,R$8)*R$9</f>
        <v>0</v>
      </c>
      <c r="S31" s="32">
        <f>SUMIFS('3. Entry &amp; Exit'!$G$88:$S$88,'3. Entry &amp; Exit'!$G$7:$S$7,S$8)*S$9</f>
        <v>0</v>
      </c>
      <c r="T31" s="32">
        <f>SUMIFS('3. Entry &amp; Exit'!$G$88:$S$88,'3. Entry &amp; Exit'!$G$7:$S$7,T$8)*T$9</f>
        <v>0</v>
      </c>
      <c r="U31" s="32">
        <f>SUMIFS('3. Entry &amp; Exit'!$G$88:$S$88,'3. Entry &amp; Exit'!$G$7:$S$7,U$8)*U$9</f>
        <v>0</v>
      </c>
      <c r="V31" s="32">
        <f>SUMIFS('3. Entry &amp; Exit'!$G$88:$S$88,'3. Entry &amp; Exit'!$G$7:$S$7,V$8)*V$9</f>
        <v>0</v>
      </c>
      <c r="W31" s="32">
        <f>SUMIFS('3. Entry &amp; Exit'!$G$88:$S$88,'3. Entry &amp; Exit'!$G$7:$S$7,W$8)*W$9</f>
        <v>0</v>
      </c>
      <c r="X31" s="32">
        <f>SUMIFS('3. Entry &amp; Exit'!$G$88:$S$88,'3. Entry &amp; Exit'!$G$7:$S$7,X$8)*X$9</f>
        <v>0</v>
      </c>
      <c r="Y31" s="32">
        <f>SUMIFS('3. Entry &amp; Exit'!$G$88:$S$88,'3. Entry &amp; Exit'!$G$7:$S$7,Y$8)*Y$9</f>
        <v>0</v>
      </c>
      <c r="Z31" s="32">
        <f>SUMIFS('3. Entry &amp; Exit'!$G$88:$S$88,'3. Entry &amp; Exit'!$G$7:$S$7,Z$8)*Z$9</f>
        <v>0</v>
      </c>
      <c r="AA31" s="32">
        <f>SUMIFS('3. Entry &amp; Exit'!$G$88:$S$88,'3. Entry &amp; Exit'!$G$7:$S$7,AA$8)*AA$9</f>
        <v>196390654.472389</v>
      </c>
      <c r="AB31" s="39">
        <f>SUM(G31:AA31)</f>
        <v>196390654.472389</v>
      </c>
    </row>
    <row r="32">
      <c r="C32" s="29" t="inlineStr">
        <is>
          <t>Total Distributions to Fund</t>
        </is>
      </c>
      <c r="G32" s="30">
        <f>G27+G28+G30+G31</f>
        <v>0</v>
      </c>
      <c r="H32" s="30">
        <f>H27+H28+H30+H31</f>
        <v>0</v>
      </c>
      <c r="I32" s="30">
        <f>I27+I28+I30+I31</f>
        <v>0</v>
      </c>
      <c r="J32" s="30">
        <f>J27+J28+J30+J31</f>
        <v>0</v>
      </c>
      <c r="K32" s="30">
        <f>K27+K28+K30+K31</f>
        <v>6121989.5132727</v>
      </c>
      <c r="L32" s="30">
        <f>L27+L28+L30+L31</f>
        <v>0</v>
      </c>
      <c r="M32" s="30">
        <f>M27+M28+M30+M31</f>
        <v>0</v>
      </c>
      <c r="N32" s="30">
        <f>N27+N28+N30+N31</f>
        <v>0</v>
      </c>
      <c r="O32" s="30">
        <f>O27+O28+O30+O31</f>
        <v>7149304.81026911</v>
      </c>
      <c r="P32" s="30">
        <f>P27+P28+P30+P31</f>
        <v>0</v>
      </c>
      <c r="Q32" s="30">
        <f>Q27+Q28+Q30+Q31</f>
        <v>0</v>
      </c>
      <c r="R32" s="30">
        <f>R27+R28+R30+R31</f>
        <v>0</v>
      </c>
      <c r="S32" s="30">
        <f>S27+S28+S30+S31</f>
        <v>8131727.88994171</v>
      </c>
      <c r="T32" s="30">
        <f>T27+T28+T30+T31</f>
        <v>0</v>
      </c>
      <c r="U32" s="30">
        <f>U27+U28+U30+U31</f>
        <v>0</v>
      </c>
      <c r="V32" s="30">
        <f>V27+V28+V30+V31</f>
        <v>0</v>
      </c>
      <c r="W32" s="30">
        <f>W27+W28+W30+W31</f>
        <v>8712889.78190609</v>
      </c>
      <c r="X32" s="30">
        <f>X27+X28+X30+X31</f>
        <v>0</v>
      </c>
      <c r="Y32" s="30">
        <f>Y27+Y28+Y30+Y31</f>
        <v>0</v>
      </c>
      <c r="Z32" s="30">
        <f>Z27+Z28+Z30+Z31</f>
        <v>0</v>
      </c>
      <c r="AA32" s="30">
        <f>AA27+AA28+AA30+AA31</f>
        <v>334628047.871316</v>
      </c>
      <c r="AB32" s="30">
        <f>SUM(G32:AA32)</f>
        <v>364743959.866706</v>
      </c>
    </row>
    <row r="33">
      <c r="C33" s="14" t="inlineStr">
        <is>
          <t>LP Distributions (pro rata to commitment – memo)</t>
        </is>
      </c>
      <c r="G33" s="32">
        <f>G32*Control!$E$34</f>
        <v>0</v>
      </c>
      <c r="H33" s="32">
        <f>H32*Control!$E$34</f>
        <v>0</v>
      </c>
      <c r="I33" s="32">
        <f>I32*Control!$E$34</f>
        <v>0</v>
      </c>
      <c r="J33" s="32">
        <f>J32*Control!$E$34</f>
        <v>0</v>
      </c>
      <c r="K33" s="32">
        <f>K32*Control!$E$34</f>
        <v>5999549.72300725</v>
      </c>
      <c r="L33" s="32">
        <f>L32*Control!$E$34</f>
        <v>0</v>
      </c>
      <c r="M33" s="32">
        <f>M32*Control!$E$34</f>
        <v>0</v>
      </c>
      <c r="N33" s="32">
        <f>N32*Control!$E$34</f>
        <v>0</v>
      </c>
      <c r="O33" s="32">
        <f>O32*Control!$E$34</f>
        <v>7006318.71406373</v>
      </c>
      <c r="P33" s="32">
        <f>P32*Control!$E$34</f>
        <v>0</v>
      </c>
      <c r="Q33" s="32">
        <f>Q32*Control!$E$34</f>
        <v>0</v>
      </c>
      <c r="R33" s="32">
        <f>R32*Control!$E$34</f>
        <v>0</v>
      </c>
      <c r="S33" s="32">
        <f>S32*Control!$E$34</f>
        <v>7969093.33214287</v>
      </c>
      <c r="T33" s="32">
        <f>T32*Control!$E$34</f>
        <v>0</v>
      </c>
      <c r="U33" s="32">
        <f>U32*Control!$E$34</f>
        <v>0</v>
      </c>
      <c r="V33" s="32">
        <f>V32*Control!$E$34</f>
        <v>0</v>
      </c>
      <c r="W33" s="32">
        <f>W32*Control!$E$34</f>
        <v>8538631.98626797</v>
      </c>
      <c r="X33" s="32">
        <f>X32*Control!$E$34</f>
        <v>0</v>
      </c>
      <c r="Y33" s="32">
        <f>Y32*Control!$E$34</f>
        <v>0</v>
      </c>
      <c r="Z33" s="32">
        <f>Z32*Control!$E$34</f>
        <v>0</v>
      </c>
      <c r="AA33" s="32">
        <f>AA32*Control!$E$34</f>
        <v>327935486.91389</v>
      </c>
      <c r="AB33" s="39">
        <f>SUM(G33:AA33)</f>
        <v>357449080.669372</v>
      </c>
    </row>
    <row r="34">
      <c r="C34" s="14" t="inlineStr">
        <is>
          <t>GP Distributions (pro rata to commitment – memo)</t>
        </is>
      </c>
      <c r="G34" s="32">
        <f>G32*Control!$E$33</f>
        <v>0</v>
      </c>
      <c r="H34" s="32">
        <f>H32*Control!$E$33</f>
        <v>0</v>
      </c>
      <c r="I34" s="32">
        <f>I32*Control!$E$33</f>
        <v>0</v>
      </c>
      <c r="J34" s="32">
        <f>J32*Control!$E$33</f>
        <v>0</v>
      </c>
      <c r="K34" s="32">
        <f>K32*Control!$E$33</f>
        <v>122439.790265454</v>
      </c>
      <c r="L34" s="32">
        <f>L32*Control!$E$33</f>
        <v>0</v>
      </c>
      <c r="M34" s="32">
        <f>M32*Control!$E$33</f>
        <v>0</v>
      </c>
      <c r="N34" s="32">
        <f>N32*Control!$E$33</f>
        <v>0</v>
      </c>
      <c r="O34" s="32">
        <f>O32*Control!$E$33</f>
        <v>142986.096205382</v>
      </c>
      <c r="P34" s="32">
        <f>P32*Control!$E$33</f>
        <v>0</v>
      </c>
      <c r="Q34" s="32">
        <f>Q32*Control!$E$33</f>
        <v>0</v>
      </c>
      <c r="R34" s="32">
        <f>R32*Control!$E$33</f>
        <v>0</v>
      </c>
      <c r="S34" s="32">
        <f>S32*Control!$E$33</f>
        <v>162634.557798834</v>
      </c>
      <c r="T34" s="32">
        <f>T32*Control!$E$33</f>
        <v>0</v>
      </c>
      <c r="U34" s="32">
        <f>U32*Control!$E$33</f>
        <v>0</v>
      </c>
      <c r="V34" s="32">
        <f>V32*Control!$E$33</f>
        <v>0</v>
      </c>
      <c r="W34" s="32">
        <f>W32*Control!$E$33</f>
        <v>174257.795638122</v>
      </c>
      <c r="X34" s="32">
        <f>X32*Control!$E$33</f>
        <v>0</v>
      </c>
      <c r="Y34" s="32">
        <f>Y32*Control!$E$33</f>
        <v>0</v>
      </c>
      <c r="Z34" s="32">
        <f>Z32*Control!$E$33</f>
        <v>0</v>
      </c>
      <c r="AA34" s="32">
        <f>AA32*Control!$E$33</f>
        <v>6692560.95742632</v>
      </c>
      <c r="AB34" s="39">
        <f>SUM(G34:AA34)</f>
        <v>7294879.19733412</v>
      </c>
    </row>
    <row r="35">
      <c r="C35" s="14" t="inlineStr">
        <is>
          <t>Total Cumulative Distributions to Fund</t>
        </is>
      </c>
      <c r="G35" s="8">
        <f>SUM($G32:G32)</f>
        <v>0</v>
      </c>
      <c r="H35" s="8">
        <f>SUM($G32:H32)</f>
        <v>0</v>
      </c>
      <c r="I35" s="8">
        <f>SUM($G32:I32)</f>
        <v>0</v>
      </c>
      <c r="J35" s="8">
        <f>SUM($G32:J32)</f>
        <v>0</v>
      </c>
      <c r="K35" s="8">
        <f>SUM($G32:K32)</f>
        <v>6121989.5132727</v>
      </c>
      <c r="L35" s="8">
        <f>SUM($G32:L32)</f>
        <v>6121989.5132727</v>
      </c>
      <c r="M35" s="8">
        <f>SUM($G32:M32)</f>
        <v>6121989.5132727</v>
      </c>
      <c r="N35" s="8">
        <f>SUM($G32:N32)</f>
        <v>6121989.5132727</v>
      </c>
      <c r="O35" s="8">
        <f>SUM($G32:O32)</f>
        <v>13271294.3235418</v>
      </c>
      <c r="P35" s="8">
        <f>SUM($G32:P32)</f>
        <v>13271294.3235418</v>
      </c>
      <c r="Q35" s="8">
        <f>SUM($G32:Q32)</f>
        <v>13271294.3235418</v>
      </c>
      <c r="R35" s="8">
        <f>SUM($G32:R32)</f>
        <v>13271294.3235418</v>
      </c>
      <c r="S35" s="8">
        <f>SUM($G32:S32)</f>
        <v>21403022.2134835</v>
      </c>
      <c r="T35" s="8">
        <f>SUM($G32:T32)</f>
        <v>21403022.2134835</v>
      </c>
      <c r="U35" s="8">
        <f>SUM($G32:U32)</f>
        <v>21403022.2134835</v>
      </c>
      <c r="V35" s="8">
        <f>SUM($G32:V32)</f>
        <v>21403022.2134835</v>
      </c>
      <c r="W35" s="8">
        <f>SUM($G32:W32)</f>
        <v>30115911.9953896</v>
      </c>
      <c r="X35" s="8">
        <f>SUM($G32:X32)</f>
        <v>30115911.9953896</v>
      </c>
      <c r="Y35" s="8">
        <f>SUM($G32:Y32)</f>
        <v>30115911.9953896</v>
      </c>
      <c r="Z35" s="8">
        <f>SUM($G32:Z32)</f>
        <v>30115911.9953896</v>
      </c>
      <c r="AA35" s="8">
        <f>SUM($G32:AA32)</f>
        <v>364743959.866706</v>
      </c>
    </row>
    <row r="36">
      <c r="C36" s="14" t="inlineStr">
        <is>
          <t>Total Cumulative Contributions to Fund</t>
        </is>
      </c>
      <c r="G36" s="8">
        <f>SUM($G20:G20)</f>
        <v>145060682.516722</v>
      </c>
      <c r="H36" s="8">
        <f>SUM($G20:H20)</f>
        <v>145060682.516722</v>
      </c>
      <c r="I36" s="8">
        <f>SUM($G20:I20)</f>
        <v>145060682.516722</v>
      </c>
      <c r="J36" s="8">
        <f>SUM($G20:J20)</f>
        <v>145060682.516722</v>
      </c>
      <c r="K36" s="8">
        <f>SUM($G20:K20)</f>
        <v>149123096.516722</v>
      </c>
      <c r="L36" s="8">
        <f>SUM($G20:L20)</f>
        <v>149123096.516722</v>
      </c>
      <c r="M36" s="8">
        <f>SUM($G20:M20)</f>
        <v>149123096.516722</v>
      </c>
      <c r="N36" s="8">
        <f>SUM($G20:N20)</f>
        <v>149123096.516722</v>
      </c>
      <c r="O36" s="8">
        <f>SUM($G20:O20)</f>
        <v>152837300.516722</v>
      </c>
      <c r="P36" s="8">
        <f>SUM($G20:P20)</f>
        <v>152837300.516722</v>
      </c>
      <c r="Q36" s="8">
        <f>SUM($G20:Q20)</f>
        <v>152837300.516722</v>
      </c>
      <c r="R36" s="8">
        <f>SUM($G20:R20)</f>
        <v>152837300.516722</v>
      </c>
      <c r="S36" s="8">
        <f>SUM($G20:S20)</f>
        <v>154623396.516722</v>
      </c>
      <c r="T36" s="8">
        <f>SUM($G20:T20)</f>
        <v>154623396.516722</v>
      </c>
      <c r="U36" s="8">
        <f>SUM($G20:U20)</f>
        <v>154623396.516722</v>
      </c>
      <c r="V36" s="8">
        <f>SUM($G20:V20)</f>
        <v>154623396.516722</v>
      </c>
      <c r="W36" s="8">
        <f>SUM($G20:W20)</f>
        <v>155284596.516722</v>
      </c>
      <c r="X36" s="8">
        <f>SUM($G20:X20)</f>
        <v>155284596.516722</v>
      </c>
      <c r="Y36" s="8">
        <f>SUM($G20:Y20)</f>
        <v>155284596.516722</v>
      </c>
      <c r="Z36" s="8">
        <f>SUM($G20:Z20)</f>
        <v>155284596.516722</v>
      </c>
      <c r="AA36" s="8">
        <f>SUM($G20:AA20)</f>
        <v>155284596.516722</v>
      </c>
    </row>
    <row r="37">
      <c r="C37" s="14" t="inlineStr">
        <is>
          <t>Gross MoIC (cumulative)</t>
        </is>
      </c>
      <c r="G37" s="60">
        <f>IFERROR(G35/G36,0)</f>
        <v>0</v>
      </c>
      <c r="H37" s="60">
        <f>IFERROR(H35/H36,0)</f>
        <v>0</v>
      </c>
      <c r="I37" s="60">
        <f>IFERROR(I35/I36,0)</f>
        <v>0</v>
      </c>
      <c r="J37" s="60">
        <f>IFERROR(J35/J36,0)</f>
        <v>0</v>
      </c>
      <c r="K37" s="60">
        <f>IFERROR(K35/K36,0)</f>
        <v>0.0410532617433021</v>
      </c>
      <c r="L37" s="60">
        <f>IFERROR(L35/L36,0)</f>
        <v>0.0410532617433021</v>
      </c>
      <c r="M37" s="60">
        <f>IFERROR(M35/M36,0)</f>
        <v>0.0410532617433021</v>
      </c>
      <c r="N37" s="60">
        <f>IFERROR(N35/N36,0)</f>
        <v>0.0410532617433021</v>
      </c>
      <c r="O37" s="60">
        <f>IFERROR(O35/O36,0)</f>
        <v>0.0868328233924138</v>
      </c>
      <c r="P37" s="60">
        <f>IFERROR(P35/P36,0)</f>
        <v>0.0868328233924138</v>
      </c>
      <c r="Q37" s="60">
        <f>IFERROR(Q35/Q36,0)</f>
        <v>0.0868328233924138</v>
      </c>
      <c r="R37" s="60">
        <f>IFERROR(R35/R36,0)</f>
        <v>0.0868328233924138</v>
      </c>
      <c r="S37" s="60">
        <f>IFERROR(S35/S36,0)</f>
        <v>0.138420334151493</v>
      </c>
      <c r="T37" s="60">
        <f>IFERROR(T35/T36,0)</f>
        <v>0.138420334151493</v>
      </c>
      <c r="U37" s="60">
        <f>IFERROR(U35/U36,0)</f>
        <v>0.138420334151493</v>
      </c>
      <c r="V37" s="60">
        <f>IFERROR(V35/V36,0)</f>
        <v>0.138420334151493</v>
      </c>
      <c r="W37" s="60">
        <f>IFERROR(W35/W36,0)</f>
        <v>0.193940111710607</v>
      </c>
      <c r="X37" s="60">
        <f>IFERROR(X35/X36,0)</f>
        <v>0.193940111710607</v>
      </c>
      <c r="Y37" s="60">
        <f>IFERROR(Y35/Y36,0)</f>
        <v>0.193940111710607</v>
      </c>
      <c r="Z37" s="60">
        <f>IFERROR(Z35/Z36,0)</f>
        <v>0.193940111710607</v>
      </c>
      <c r="AA37" s="60">
        <f>IFERROR(AA35/AA36,0)</f>
        <v>2.34887405479028</v>
      </c>
    </row>
    <row r="39">
      <c r="C39" s="3" t="inlineStr">
        <is>
          <t>Return of GP Commitment:</t>
        </is>
      </c>
    </row>
    <row r="40">
      <c r="C40" s="14" t="inlineStr">
        <is>
          <t>Beg.</t>
        </is>
      </c>
      <c r="G40" s="8">
        <f>0</f>
        <v>0</v>
      </c>
      <c r="H40" s="8">
        <f>G43</f>
        <v>2901213.65033445</v>
      </c>
      <c r="I40" s="8">
        <f>H43</f>
        <v>2901213.65033445</v>
      </c>
      <c r="J40" s="8">
        <f>I43</f>
        <v>2901213.65033445</v>
      </c>
      <c r="K40" s="8">
        <f>J43</f>
        <v>2901213.65033445</v>
      </c>
      <c r="L40" s="8">
        <f>K43</f>
        <v>2860022.14006899</v>
      </c>
      <c r="M40" s="8">
        <f>L43</f>
        <v>2860022.14006899</v>
      </c>
      <c r="N40" s="8">
        <f>M43</f>
        <v>2860022.14006899</v>
      </c>
      <c r="O40" s="8">
        <f>N43</f>
        <v>2860022.14006899</v>
      </c>
      <c r="P40" s="8">
        <f>O43</f>
        <v>2791320.12386361</v>
      </c>
      <c r="Q40" s="8">
        <f>P43</f>
        <v>2791320.12386361</v>
      </c>
      <c r="R40" s="8">
        <f>Q43</f>
        <v>2791320.12386361</v>
      </c>
      <c r="S40" s="8">
        <f>R43</f>
        <v>2791320.12386361</v>
      </c>
      <c r="T40" s="8">
        <f>S43</f>
        <v>2664407.48606477</v>
      </c>
      <c r="U40" s="8">
        <f>T43</f>
        <v>2664407.48606477</v>
      </c>
      <c r="V40" s="8">
        <f>U43</f>
        <v>2664407.48606477</v>
      </c>
      <c r="W40" s="8">
        <f>V43</f>
        <v>2664407.48606477</v>
      </c>
      <c r="X40" s="8">
        <f>W43</f>
        <v>2503373.69042665</v>
      </c>
      <c r="Y40" s="8">
        <f>X43</f>
        <v>2503373.69042665</v>
      </c>
      <c r="Z40" s="8">
        <f>Y43</f>
        <v>2503373.69042665</v>
      </c>
      <c r="AA40" s="8">
        <f>Z43</f>
        <v>2503373.69042665</v>
      </c>
    </row>
    <row r="41">
      <c r="C41" s="14" t="inlineStr">
        <is>
          <t>Plus: Accrual (GP contributions)</t>
        </is>
      </c>
      <c r="G41" s="8">
        <f>G22</f>
        <v>2901213.65033445</v>
      </c>
      <c r="H41" s="8">
        <f>H22</f>
        <v>0</v>
      </c>
      <c r="I41" s="8">
        <f>I22</f>
        <v>0</v>
      </c>
      <c r="J41" s="8">
        <f>J22</f>
        <v>0</v>
      </c>
      <c r="K41" s="8">
        <f>K22</f>
        <v>81248.28</v>
      </c>
      <c r="L41" s="8">
        <f>L22</f>
        <v>0</v>
      </c>
      <c r="M41" s="8">
        <f>M22</f>
        <v>0</v>
      </c>
      <c r="N41" s="8">
        <f>N22</f>
        <v>0</v>
      </c>
      <c r="O41" s="8">
        <f>O22</f>
        <v>74284.08</v>
      </c>
      <c r="P41" s="8">
        <f>P22</f>
        <v>0</v>
      </c>
      <c r="Q41" s="8">
        <f>Q22</f>
        <v>0</v>
      </c>
      <c r="R41" s="8">
        <f>R22</f>
        <v>0</v>
      </c>
      <c r="S41" s="8">
        <f>S22</f>
        <v>35721.92</v>
      </c>
      <c r="T41" s="8">
        <f>T22</f>
        <v>0</v>
      </c>
      <c r="U41" s="8">
        <f>U22</f>
        <v>0</v>
      </c>
      <c r="V41" s="8">
        <f>V22</f>
        <v>0</v>
      </c>
      <c r="W41" s="8">
        <f>W22</f>
        <v>13224</v>
      </c>
      <c r="X41" s="8">
        <f>X22</f>
        <v>0</v>
      </c>
      <c r="Y41" s="8">
        <f>Y22</f>
        <v>0</v>
      </c>
      <c r="Z41" s="8">
        <f>Z22</f>
        <v>0</v>
      </c>
      <c r="AA41" s="8">
        <f>AA22</f>
        <v>0</v>
      </c>
      <c r="AB41" s="39">
        <f>SUM(G41:AA41)</f>
        <v>3105691.93033444</v>
      </c>
    </row>
    <row r="42">
      <c r="C42" s="14" t="inlineStr">
        <is>
          <t>Less: Payment</t>
        </is>
      </c>
      <c r="G42" s="8">
        <f>-MIN(G40+G41,G34)</f>
        <v>-0</v>
      </c>
      <c r="H42" s="8">
        <f>-MIN(H40+H41,H34)</f>
        <v>-0</v>
      </c>
      <c r="I42" s="8">
        <f>-MIN(I40+I41,I34)</f>
        <v>-0</v>
      </c>
      <c r="J42" s="8">
        <f>-MIN(J40+J41,J34)</f>
        <v>-0</v>
      </c>
      <c r="K42" s="8">
        <f>-MIN(K40+K41,K34)</f>
        <v>-122439.790265454</v>
      </c>
      <c r="L42" s="8">
        <f>-MIN(L40+L41,L34)</f>
        <v>-0</v>
      </c>
      <c r="M42" s="8">
        <f>-MIN(M40+M41,M34)</f>
        <v>-0</v>
      </c>
      <c r="N42" s="8">
        <f>-MIN(N40+N41,N34)</f>
        <v>-0</v>
      </c>
      <c r="O42" s="8">
        <f>-MIN(O40+O41,O34)</f>
        <v>-142986.096205382</v>
      </c>
      <c r="P42" s="8">
        <f>-MIN(P40+P41,P34)</f>
        <v>-0</v>
      </c>
      <c r="Q42" s="8">
        <f>-MIN(Q40+Q41,Q34)</f>
        <v>-0</v>
      </c>
      <c r="R42" s="8">
        <f>-MIN(R40+R41,R34)</f>
        <v>-0</v>
      </c>
      <c r="S42" s="8">
        <f>-MIN(S40+S41,S34)</f>
        <v>-162634.557798834</v>
      </c>
      <c r="T42" s="8">
        <f>-MIN(T40+T41,T34)</f>
        <v>-0</v>
      </c>
      <c r="U42" s="8">
        <f>-MIN(U40+U41,U34)</f>
        <v>-0</v>
      </c>
      <c r="V42" s="8">
        <f>-MIN(V40+V41,V34)</f>
        <v>-0</v>
      </c>
      <c r="W42" s="8">
        <f>-MIN(W40+W41,W34)</f>
        <v>-174257.795638122</v>
      </c>
      <c r="X42" s="8">
        <f>-MIN(X40+X41,X34)</f>
        <v>-0</v>
      </c>
      <c r="Y42" s="8">
        <f>-MIN(Y40+Y41,Y34)</f>
        <v>-0</v>
      </c>
      <c r="Z42" s="8">
        <f>-MIN(Z40+Z41,Z34)</f>
        <v>-0</v>
      </c>
      <c r="AA42" s="8">
        <f>-MIN(AA40+AA41,AA34)</f>
        <v>-2503373.69042665</v>
      </c>
      <c r="AB42" s="39">
        <f>SUM(G42:AA42)</f>
        <v>-3105691.93033445</v>
      </c>
    </row>
    <row r="43">
      <c r="C43" s="29" t="inlineStr">
        <is>
          <t>End.</t>
        </is>
      </c>
      <c r="G43" s="30">
        <f>G40+G41+G42</f>
        <v>2901213.65033445</v>
      </c>
      <c r="H43" s="30">
        <f>H40+H41+H42</f>
        <v>2901213.65033445</v>
      </c>
      <c r="I43" s="30">
        <f>I40+I41+I42</f>
        <v>2901213.65033445</v>
      </c>
      <c r="J43" s="30">
        <f>J40+J41+J42</f>
        <v>2901213.65033445</v>
      </c>
      <c r="K43" s="30">
        <f>K40+K41+K42</f>
        <v>2860022.14006899</v>
      </c>
      <c r="L43" s="30">
        <f>L40+L41+L42</f>
        <v>2860022.14006899</v>
      </c>
      <c r="M43" s="30">
        <f>M40+M41+M42</f>
        <v>2860022.14006899</v>
      </c>
      <c r="N43" s="30">
        <f>N40+N41+N42</f>
        <v>2860022.14006899</v>
      </c>
      <c r="O43" s="30">
        <f>O40+O41+O42</f>
        <v>2791320.12386361</v>
      </c>
      <c r="P43" s="30">
        <f>P40+P41+P42</f>
        <v>2791320.12386361</v>
      </c>
      <c r="Q43" s="30">
        <f>Q40+Q41+Q42</f>
        <v>2791320.12386361</v>
      </c>
      <c r="R43" s="30">
        <f>R40+R41+R42</f>
        <v>2791320.12386361</v>
      </c>
      <c r="S43" s="30">
        <f>S40+S41+S42</f>
        <v>2664407.48606477</v>
      </c>
      <c r="T43" s="30">
        <f>T40+T41+T42</f>
        <v>2664407.48606477</v>
      </c>
      <c r="U43" s="30">
        <f>U40+U41+U42</f>
        <v>2664407.48606477</v>
      </c>
      <c r="V43" s="30">
        <f>V40+V41+V42</f>
        <v>2664407.48606477</v>
      </c>
      <c r="W43" s="30">
        <f>W40+W41+W42</f>
        <v>2503373.69042665</v>
      </c>
      <c r="X43" s="30">
        <f>X40+X41+X42</f>
        <v>2503373.69042665</v>
      </c>
      <c r="Y43" s="30">
        <f>Y40+Y41+Y42</f>
        <v>2503373.69042665</v>
      </c>
      <c r="Z43" s="30">
        <f>Z40+Z41+Z42</f>
        <v>2503373.69042665</v>
      </c>
      <c r="AA43" s="30">
        <f>AA40+AA41+AA42</f>
        <v>0</v>
      </c>
    </row>
    <row r="45">
      <c r="C45" s="12" t="inlineStr">
        <is>
          <t>Management Fees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</row>
    <row r="46">
      <c r="C46" s="14" t="inlineStr">
        <is>
          <t>Total LP Contributions</t>
        </is>
      </c>
      <c r="G46" s="8">
        <f>G21</f>
        <v>142159468.866388</v>
      </c>
      <c r="H46" s="8">
        <f>H21</f>
        <v>0</v>
      </c>
      <c r="I46" s="8">
        <f>I21</f>
        <v>0</v>
      </c>
      <c r="J46" s="8">
        <f>J21</f>
        <v>0</v>
      </c>
      <c r="K46" s="8">
        <f>K21</f>
        <v>3981165.72</v>
      </c>
      <c r="L46" s="8">
        <f>L21</f>
        <v>0</v>
      </c>
      <c r="M46" s="8">
        <f>M21</f>
        <v>0</v>
      </c>
      <c r="N46" s="8">
        <f>N21</f>
        <v>0</v>
      </c>
      <c r="O46" s="8">
        <f>O21</f>
        <v>3639919.92</v>
      </c>
      <c r="P46" s="8">
        <f>P21</f>
        <v>0</v>
      </c>
      <c r="Q46" s="8">
        <f>Q21</f>
        <v>0</v>
      </c>
      <c r="R46" s="8">
        <f>R21</f>
        <v>0</v>
      </c>
      <c r="S46" s="8">
        <f>S21</f>
        <v>1750374.08</v>
      </c>
      <c r="T46" s="8">
        <f>T21</f>
        <v>0</v>
      </c>
      <c r="U46" s="8">
        <f>U21</f>
        <v>0</v>
      </c>
      <c r="V46" s="8">
        <f>V21</f>
        <v>0</v>
      </c>
      <c r="W46" s="8">
        <f>W21</f>
        <v>647976</v>
      </c>
      <c r="X46" s="8">
        <f>X21</f>
        <v>0</v>
      </c>
      <c r="Y46" s="8">
        <f>Y21</f>
        <v>0</v>
      </c>
      <c r="Z46" s="8">
        <f>Z21</f>
        <v>0</v>
      </c>
      <c r="AA46" s="8">
        <f>AA21</f>
        <v>0</v>
      </c>
      <c r="AB46" s="39">
        <f>SUM(G46:AA46)</f>
        <v>152178904.586388</v>
      </c>
    </row>
    <row r="47">
      <c r="C47" s="14" t="inlineStr">
        <is>
          <t>Beginning Net Invested Capital</t>
        </is>
      </c>
      <c r="G47" s="8">
        <f>0</f>
        <v>0</v>
      </c>
      <c r="H47" s="8">
        <f>G50</f>
        <v>142159468.866388</v>
      </c>
      <c r="I47" s="8">
        <f>H50</f>
        <v>142159468.866388</v>
      </c>
      <c r="J47" s="8">
        <f>I50</f>
        <v>142159468.866388</v>
      </c>
      <c r="K47" s="8">
        <f>J50</f>
        <v>142159468.866388</v>
      </c>
      <c r="L47" s="8">
        <f>K50</f>
        <v>140141084.863381</v>
      </c>
      <c r="M47" s="8">
        <f>L50</f>
        <v>140141084.863381</v>
      </c>
      <c r="N47" s="8">
        <f>M50</f>
        <v>140141084.863381</v>
      </c>
      <c r="O47" s="8">
        <f>N50</f>
        <v>140141084.863381</v>
      </c>
      <c r="P47" s="8">
        <f>O50</f>
        <v>136774686.069317</v>
      </c>
      <c r="Q47" s="8">
        <f>P50</f>
        <v>136774686.069317</v>
      </c>
      <c r="R47" s="8">
        <f>Q50</f>
        <v>136774686.069317</v>
      </c>
      <c r="S47" s="8">
        <f>R50</f>
        <v>136774686.069317</v>
      </c>
      <c r="T47" s="8">
        <f>S50</f>
        <v>130555966.817174</v>
      </c>
      <c r="U47" s="8">
        <f>T50</f>
        <v>130555966.817174</v>
      </c>
      <c r="V47" s="8">
        <f>U50</f>
        <v>130555966.817174</v>
      </c>
      <c r="W47" s="8">
        <f>V50</f>
        <v>130555966.817174</v>
      </c>
      <c r="X47" s="8">
        <f>W50</f>
        <v>122665310.830906</v>
      </c>
      <c r="Y47" s="8">
        <f>X50</f>
        <v>122665310.830906</v>
      </c>
      <c r="Z47" s="8">
        <f>Y50</f>
        <v>122665310.830906</v>
      </c>
      <c r="AA47" s="8">
        <f>Z50</f>
        <v>122665310.830906</v>
      </c>
    </row>
    <row r="48">
      <c r="C48" s="14" t="inlineStr">
        <is>
          <t>Plus: New Contributions</t>
        </is>
      </c>
      <c r="G48" s="8">
        <f>G21</f>
        <v>142159468.866388</v>
      </c>
      <c r="H48" s="8">
        <f>H21</f>
        <v>0</v>
      </c>
      <c r="I48" s="8">
        <f>I21</f>
        <v>0</v>
      </c>
      <c r="J48" s="8">
        <f>J21</f>
        <v>0</v>
      </c>
      <c r="K48" s="8">
        <f>K21</f>
        <v>3981165.72</v>
      </c>
      <c r="L48" s="8">
        <f>L21</f>
        <v>0</v>
      </c>
      <c r="M48" s="8">
        <f>M21</f>
        <v>0</v>
      </c>
      <c r="N48" s="8">
        <f>N21</f>
        <v>0</v>
      </c>
      <c r="O48" s="8">
        <f>O21</f>
        <v>3639919.92</v>
      </c>
      <c r="P48" s="8">
        <f>P21</f>
        <v>0</v>
      </c>
      <c r="Q48" s="8">
        <f>Q21</f>
        <v>0</v>
      </c>
      <c r="R48" s="8">
        <f>R21</f>
        <v>0</v>
      </c>
      <c r="S48" s="8">
        <f>S21</f>
        <v>1750374.08</v>
      </c>
      <c r="T48" s="8">
        <f>T21</f>
        <v>0</v>
      </c>
      <c r="U48" s="8">
        <f>U21</f>
        <v>0</v>
      </c>
      <c r="V48" s="8">
        <f>V21</f>
        <v>0</v>
      </c>
      <c r="W48" s="8">
        <f>W21</f>
        <v>647976</v>
      </c>
      <c r="X48" s="8">
        <f>X21</f>
        <v>0</v>
      </c>
      <c r="Y48" s="8">
        <f>Y21</f>
        <v>0</v>
      </c>
      <c r="Z48" s="8">
        <f>Z21</f>
        <v>0</v>
      </c>
      <c r="AA48" s="8">
        <f>AA21</f>
        <v>0</v>
      </c>
      <c r="AB48" s="39">
        <f>SUM(G48:AA48)</f>
        <v>152178904.586388</v>
      </c>
    </row>
    <row r="49">
      <c r="C49" s="14" t="inlineStr">
        <is>
          <t>Less: Return of Capital</t>
        </is>
      </c>
      <c r="G49" s="8">
        <f>-G67</f>
        <v>-0</v>
      </c>
      <c r="H49" s="8">
        <f>-H67</f>
        <v>-0</v>
      </c>
      <c r="I49" s="8">
        <f>-I67</f>
        <v>-0</v>
      </c>
      <c r="J49" s="8">
        <f>-J67</f>
        <v>-0</v>
      </c>
      <c r="K49" s="8">
        <f>-K67</f>
        <v>-5999549.72300725</v>
      </c>
      <c r="L49" s="8">
        <f>-L67</f>
        <v>-0</v>
      </c>
      <c r="M49" s="8">
        <f>-M67</f>
        <v>-0</v>
      </c>
      <c r="N49" s="8">
        <f>-N67</f>
        <v>-0</v>
      </c>
      <c r="O49" s="8">
        <f>-O67</f>
        <v>-7006318.71406373</v>
      </c>
      <c r="P49" s="8">
        <f>-P67</f>
        <v>-0</v>
      </c>
      <c r="Q49" s="8">
        <f>-Q67</f>
        <v>-0</v>
      </c>
      <c r="R49" s="8">
        <f>-R67</f>
        <v>-0</v>
      </c>
      <c r="S49" s="8">
        <f>-S67</f>
        <v>-7969093.33214287</v>
      </c>
      <c r="T49" s="8">
        <f>-T67</f>
        <v>-0</v>
      </c>
      <c r="U49" s="8">
        <f>-U67</f>
        <v>-0</v>
      </c>
      <c r="V49" s="8">
        <f>-V67</f>
        <v>-0</v>
      </c>
      <c r="W49" s="8">
        <f>-W67</f>
        <v>-8538631.98626797</v>
      </c>
      <c r="X49" s="8">
        <f>-X67</f>
        <v>-0</v>
      </c>
      <c r="Y49" s="8">
        <f>-Y67</f>
        <v>-0</v>
      </c>
      <c r="Z49" s="8">
        <f>-Z67</f>
        <v>-0</v>
      </c>
      <c r="AA49" s="8">
        <f>-AA67</f>
        <v>-135096282.593797</v>
      </c>
      <c r="AB49" s="39">
        <f>SUM(G49:AA49)</f>
        <v>-164609876.349279</v>
      </c>
    </row>
    <row r="50">
      <c r="C50" s="29" t="inlineStr">
        <is>
          <t>Ending Net Invested Capital</t>
        </is>
      </c>
      <c r="G50" s="30">
        <f>G47+G48+G49</f>
        <v>142159468.866388</v>
      </c>
      <c r="H50" s="30">
        <f>H47+H48+H49</f>
        <v>142159468.866388</v>
      </c>
      <c r="I50" s="30">
        <f>I47+I48+I49</f>
        <v>142159468.866388</v>
      </c>
      <c r="J50" s="30">
        <f>J47+J48+J49</f>
        <v>142159468.866388</v>
      </c>
      <c r="K50" s="30">
        <f>K47+K48+K49</f>
        <v>140141084.863381</v>
      </c>
      <c r="L50" s="30">
        <f>L47+L48+L49</f>
        <v>140141084.863381</v>
      </c>
      <c r="M50" s="30">
        <f>M47+M48+M49</f>
        <v>140141084.863381</v>
      </c>
      <c r="N50" s="30">
        <f>N47+N48+N49</f>
        <v>140141084.863381</v>
      </c>
      <c r="O50" s="30">
        <f>O47+O48+O49</f>
        <v>136774686.069317</v>
      </c>
      <c r="P50" s="30">
        <f>P47+P48+P49</f>
        <v>136774686.069317</v>
      </c>
      <c r="Q50" s="30">
        <f>Q47+Q48+Q49</f>
        <v>136774686.069317</v>
      </c>
      <c r="R50" s="30">
        <f>R47+R48+R49</f>
        <v>136774686.069317</v>
      </c>
      <c r="S50" s="30">
        <f>S47+S48+S49</f>
        <v>130555966.817174</v>
      </c>
      <c r="T50" s="30">
        <f>T47+T48+T49</f>
        <v>130555966.817174</v>
      </c>
      <c r="U50" s="30">
        <f>U47+U48+U49</f>
        <v>130555966.817174</v>
      </c>
      <c r="V50" s="30">
        <f>V47+V48+V49</f>
        <v>130555966.817174</v>
      </c>
      <c r="W50" s="30">
        <f>W47+W48+W49</f>
        <v>122665310.830906</v>
      </c>
      <c r="X50" s="30">
        <f>X47+X48+X49</f>
        <v>122665310.830906</v>
      </c>
      <c r="Y50" s="30">
        <f>Y47+Y48+Y49</f>
        <v>122665310.830906</v>
      </c>
      <c r="Z50" s="30">
        <f>Z47+Z48+Z49</f>
        <v>122665310.830906</v>
      </c>
      <c r="AA50" s="30">
        <f>AA47+AA48+AA49</f>
        <v>-12430971.7628909</v>
      </c>
    </row>
    <row r="51">
      <c r="C51" s="14" t="inlineStr">
        <is>
          <t>Management Fee Basis (Beginning + New Contributions)</t>
        </is>
      </c>
      <c r="G51" s="8">
        <f>G47+G48</f>
        <v>142159468.866388</v>
      </c>
      <c r="H51" s="8">
        <f>H47+H48</f>
        <v>142159468.866388</v>
      </c>
      <c r="I51" s="8">
        <f>I47+I48</f>
        <v>142159468.866388</v>
      </c>
      <c r="J51" s="8">
        <f>J47+J48</f>
        <v>142159468.866388</v>
      </c>
      <c r="K51" s="8">
        <f>K47+K48</f>
        <v>146140634.586388</v>
      </c>
      <c r="L51" s="8">
        <f>L47+L48</f>
        <v>140141084.863381</v>
      </c>
      <c r="M51" s="8">
        <f>M47+M48</f>
        <v>140141084.863381</v>
      </c>
      <c r="N51" s="8">
        <f>N47+N48</f>
        <v>140141084.863381</v>
      </c>
      <c r="O51" s="8">
        <f>O47+O48</f>
        <v>143781004.783381</v>
      </c>
      <c r="P51" s="8">
        <f>P47+P48</f>
        <v>136774686.069317</v>
      </c>
      <c r="Q51" s="8">
        <f>Q47+Q48</f>
        <v>136774686.069317</v>
      </c>
      <c r="R51" s="8">
        <f>R47+R48</f>
        <v>136774686.069317</v>
      </c>
      <c r="S51" s="8">
        <f>S47+S48</f>
        <v>138525060.149317</v>
      </c>
      <c r="T51" s="8">
        <f>T47+T48</f>
        <v>130555966.817174</v>
      </c>
      <c r="U51" s="8">
        <f>U47+U48</f>
        <v>130555966.817174</v>
      </c>
      <c r="V51" s="8">
        <f>V47+V48</f>
        <v>130555966.817174</v>
      </c>
      <c r="W51" s="8">
        <f>W47+W48</f>
        <v>131203942.817174</v>
      </c>
      <c r="X51" s="8">
        <f>X47+X48</f>
        <v>122665310.830906</v>
      </c>
      <c r="Y51" s="8">
        <f>Y47+Y48</f>
        <v>122665310.830906</v>
      </c>
      <c r="Z51" s="8">
        <f>Z47+Z48</f>
        <v>122665310.830906</v>
      </c>
      <c r="AA51" s="8">
        <f>AA47+AA48</f>
        <v>122665310.830906</v>
      </c>
    </row>
    <row r="52">
      <c r="C52" s="14" t="inlineStr">
        <is>
          <t>Management Fee (%) (quarterly)</t>
        </is>
      </c>
      <c r="G52" s="61">
        <f>Control!$E$27/4</f>
        <v>0.004375</v>
      </c>
      <c r="H52" s="61">
        <f>Control!$E$27/4</f>
        <v>0.004375</v>
      </c>
      <c r="I52" s="61">
        <f>Control!$E$27/4</f>
        <v>0.004375</v>
      </c>
      <c r="J52" s="61">
        <f>Control!$E$27/4</f>
        <v>0.004375</v>
      </c>
      <c r="K52" s="61">
        <f>Control!$E$27/4</f>
        <v>0.004375</v>
      </c>
      <c r="L52" s="61">
        <f>Control!$E$27/4</f>
        <v>0.004375</v>
      </c>
      <c r="M52" s="61">
        <f>Control!$E$27/4</f>
        <v>0.004375</v>
      </c>
      <c r="N52" s="61">
        <f>Control!$E$27/4</f>
        <v>0.004375</v>
      </c>
      <c r="O52" s="61">
        <f>Control!$E$27/4</f>
        <v>0.004375</v>
      </c>
      <c r="P52" s="61">
        <f>Control!$E$27/4</f>
        <v>0.004375</v>
      </c>
      <c r="Q52" s="61">
        <f>Control!$E$27/4</f>
        <v>0.004375</v>
      </c>
      <c r="R52" s="61">
        <f>Control!$E$27/4</f>
        <v>0.004375</v>
      </c>
      <c r="S52" s="61">
        <f>Control!$E$27/4</f>
        <v>0.004375</v>
      </c>
      <c r="T52" s="61">
        <f>Control!$E$27/4</f>
        <v>0.004375</v>
      </c>
      <c r="U52" s="61">
        <f>Control!$E$27/4</f>
        <v>0.004375</v>
      </c>
      <c r="V52" s="61">
        <f>Control!$E$27/4</f>
        <v>0.004375</v>
      </c>
      <c r="W52" s="61">
        <f>Control!$E$27/4</f>
        <v>0.004375</v>
      </c>
      <c r="X52" s="61">
        <f>Control!$E$27/4</f>
        <v>0.004375</v>
      </c>
      <c r="Y52" s="61">
        <f>Control!$E$27/4</f>
        <v>0.004375</v>
      </c>
      <c r="Z52" s="61">
        <f>Control!$E$27/4</f>
        <v>0.004375</v>
      </c>
      <c r="AA52" s="61">
        <f>Control!$E$27/4</f>
        <v>0.004375</v>
      </c>
    </row>
    <row r="53">
      <c r="C53" s="29" t="inlineStr">
        <is>
          <t>Management Fee ($)</t>
        </is>
      </c>
      <c r="G53" s="39">
        <f>G51*G52</f>
        <v>621947.676290447</v>
      </c>
      <c r="H53" s="39">
        <f>H51*H52</f>
        <v>621947.676290447</v>
      </c>
      <c r="I53" s="39">
        <f>I51*I52</f>
        <v>621947.676290447</v>
      </c>
      <c r="J53" s="39">
        <f>J51*J52</f>
        <v>621947.676290447</v>
      </c>
      <c r="K53" s="39">
        <f>K51*K52</f>
        <v>639365.276315447</v>
      </c>
      <c r="L53" s="39">
        <f>L51*L52</f>
        <v>613117.24627729</v>
      </c>
      <c r="M53" s="39">
        <f>M51*M52</f>
        <v>613117.24627729</v>
      </c>
      <c r="N53" s="39">
        <f>N51*N52</f>
        <v>613117.24627729</v>
      </c>
      <c r="O53" s="39">
        <f>O51*O52</f>
        <v>629041.89592729</v>
      </c>
      <c r="P53" s="39">
        <f>P51*P52</f>
        <v>598389.251553261</v>
      </c>
      <c r="Q53" s="39">
        <f>Q51*Q52</f>
        <v>598389.251553261</v>
      </c>
      <c r="R53" s="39">
        <f>R51*R52</f>
        <v>598389.251553261</v>
      </c>
      <c r="S53" s="39">
        <f>S51*S52</f>
        <v>606047.138153261</v>
      </c>
      <c r="T53" s="39">
        <f>T51*T52</f>
        <v>571182.354825136</v>
      </c>
      <c r="U53" s="39">
        <f>U51*U52</f>
        <v>571182.354825136</v>
      </c>
      <c r="V53" s="39">
        <f>V51*V52</f>
        <v>571182.354825136</v>
      </c>
      <c r="W53" s="39">
        <f>W51*W52</f>
        <v>574017.249825136</v>
      </c>
      <c r="X53" s="39">
        <f>X51*X52</f>
        <v>536660.734885214</v>
      </c>
      <c r="Y53" s="39">
        <f>Y51*Y52</f>
        <v>536660.734885214</v>
      </c>
      <c r="Z53" s="39">
        <f>Z51*Z52</f>
        <v>536660.734885214</v>
      </c>
      <c r="AA53" s="39">
        <f>AA51*AA52</f>
        <v>536660.734885214</v>
      </c>
      <c r="AB53" s="39">
        <f>SUM(G53:AA53)</f>
        <v>12430971.7628908</v>
      </c>
    </row>
    <row r="55">
      <c r="C55" s="12" t="inlineStr">
        <is>
          <t>Tier 1: Return of Capital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</row>
    <row r="56">
      <c r="C56" s="3" t="inlineStr">
        <is>
          <t>Total Proceeds:</t>
        </is>
      </c>
    </row>
    <row r="57">
      <c r="C57" s="14" t="inlineStr">
        <is>
          <t>Total Distributions to Fund</t>
        </is>
      </c>
      <c r="G57" s="8">
        <f>G32</f>
        <v>0</v>
      </c>
      <c r="H57" s="8">
        <f>H32</f>
        <v>0</v>
      </c>
      <c r="I57" s="8">
        <f>I32</f>
        <v>0</v>
      </c>
      <c r="J57" s="8">
        <f>J32</f>
        <v>0</v>
      </c>
      <c r="K57" s="8">
        <f>K32</f>
        <v>6121989.5132727</v>
      </c>
      <c r="L57" s="8">
        <f>L32</f>
        <v>0</v>
      </c>
      <c r="M57" s="8">
        <f>M32</f>
        <v>0</v>
      </c>
      <c r="N57" s="8">
        <f>N32</f>
        <v>0</v>
      </c>
      <c r="O57" s="8">
        <f>O32</f>
        <v>7149304.81026911</v>
      </c>
      <c r="P57" s="8">
        <f>P32</f>
        <v>0</v>
      </c>
      <c r="Q57" s="8">
        <f>Q32</f>
        <v>0</v>
      </c>
      <c r="R57" s="8">
        <f>R32</f>
        <v>0</v>
      </c>
      <c r="S57" s="8">
        <f>S32</f>
        <v>8131727.88994171</v>
      </c>
      <c r="T57" s="8">
        <f>T32</f>
        <v>0</v>
      </c>
      <c r="U57" s="8">
        <f>U32</f>
        <v>0</v>
      </c>
      <c r="V57" s="8">
        <f>V32</f>
        <v>0</v>
      </c>
      <c r="W57" s="8">
        <f>W32</f>
        <v>8712889.78190609</v>
      </c>
      <c r="X57" s="8">
        <f>X32</f>
        <v>0</v>
      </c>
      <c r="Y57" s="8">
        <f>Y32</f>
        <v>0</v>
      </c>
      <c r="Z57" s="8">
        <f>Z32</f>
        <v>0</v>
      </c>
      <c r="AA57" s="8">
        <f>AA32</f>
        <v>334628047.871316</v>
      </c>
      <c r="AB57" s="39">
        <f>SUM(G57:AA57)</f>
        <v>364743959.866706</v>
      </c>
    </row>
    <row r="58">
      <c r="C58" s="14" t="inlineStr">
        <is>
          <t>Less: GP Commitment / Return (pro rata)</t>
        </is>
      </c>
      <c r="G58" s="8">
        <f>-G34</f>
        <v>-0</v>
      </c>
      <c r="H58" s="8">
        <f>-H34</f>
        <v>-0</v>
      </c>
      <c r="I58" s="8">
        <f>-I34</f>
        <v>-0</v>
      </c>
      <c r="J58" s="8">
        <f>-J34</f>
        <v>-0</v>
      </c>
      <c r="K58" s="8">
        <f>-K34</f>
        <v>-122439.790265454</v>
      </c>
      <c r="L58" s="8">
        <f>-L34</f>
        <v>-0</v>
      </c>
      <c r="M58" s="8">
        <f>-M34</f>
        <v>-0</v>
      </c>
      <c r="N58" s="8">
        <f>-N34</f>
        <v>-0</v>
      </c>
      <c r="O58" s="8">
        <f>-O34</f>
        <v>-142986.096205382</v>
      </c>
      <c r="P58" s="8">
        <f>-P34</f>
        <v>-0</v>
      </c>
      <c r="Q58" s="8">
        <f>-Q34</f>
        <v>-0</v>
      </c>
      <c r="R58" s="8">
        <f>-R34</f>
        <v>-0</v>
      </c>
      <c r="S58" s="8">
        <f>-S34</f>
        <v>-162634.557798834</v>
      </c>
      <c r="T58" s="8">
        <f>-T34</f>
        <v>-0</v>
      </c>
      <c r="U58" s="8">
        <f>-U34</f>
        <v>-0</v>
      </c>
      <c r="V58" s="8">
        <f>-V34</f>
        <v>-0</v>
      </c>
      <c r="W58" s="8">
        <f>-W34</f>
        <v>-174257.795638122</v>
      </c>
      <c r="X58" s="8">
        <f>-X34</f>
        <v>-0</v>
      </c>
      <c r="Y58" s="8">
        <f>-Y34</f>
        <v>-0</v>
      </c>
      <c r="Z58" s="8">
        <f>-Z34</f>
        <v>-0</v>
      </c>
      <c r="AA58" s="8">
        <f>-AA34</f>
        <v>-6692560.95742632</v>
      </c>
      <c r="AB58" s="39">
        <f>SUM(G58:AA58)</f>
        <v>-7294879.19733412</v>
      </c>
    </row>
    <row r="59">
      <c r="C59" s="29" t="inlineStr">
        <is>
          <t>Total Distributions to LPs</t>
        </is>
      </c>
      <c r="G59" s="30">
        <f>G57+G58</f>
        <v>0</v>
      </c>
      <c r="H59" s="30">
        <f>H57+H58</f>
        <v>0</v>
      </c>
      <c r="I59" s="30">
        <f>I57+I58</f>
        <v>0</v>
      </c>
      <c r="J59" s="30">
        <f>J57+J58</f>
        <v>0</v>
      </c>
      <c r="K59" s="30">
        <f>K57+K58</f>
        <v>5999549.72300725</v>
      </c>
      <c r="L59" s="30">
        <f>L57+L58</f>
        <v>0</v>
      </c>
      <c r="M59" s="30">
        <f>M57+M58</f>
        <v>0</v>
      </c>
      <c r="N59" s="30">
        <f>N57+N58</f>
        <v>0</v>
      </c>
      <c r="O59" s="30">
        <f>O57+O58</f>
        <v>7006318.71406373</v>
      </c>
      <c r="P59" s="30">
        <f>P57+P58</f>
        <v>0</v>
      </c>
      <c r="Q59" s="30">
        <f>Q57+Q58</f>
        <v>0</v>
      </c>
      <c r="R59" s="30">
        <f>R57+R58</f>
        <v>0</v>
      </c>
      <c r="S59" s="30">
        <f>S57+S58</f>
        <v>7969093.33214287</v>
      </c>
      <c r="T59" s="30">
        <f>T57+T58</f>
        <v>0</v>
      </c>
      <c r="U59" s="30">
        <f>U57+U58</f>
        <v>0</v>
      </c>
      <c r="V59" s="30">
        <f>V57+V58</f>
        <v>0</v>
      </c>
      <c r="W59" s="30">
        <f>W57+W58</f>
        <v>8538631.98626797</v>
      </c>
      <c r="X59" s="30">
        <f>X57+X58</f>
        <v>0</v>
      </c>
      <c r="Y59" s="30">
        <f>Y57+Y58</f>
        <v>0</v>
      </c>
      <c r="Z59" s="30">
        <f>Z57+Z58</f>
        <v>0</v>
      </c>
      <c r="AA59" s="30">
        <f>AA57+AA58</f>
        <v>327935486.91389</v>
      </c>
      <c r="AB59" s="30">
        <f>SUM(G59:AA59)</f>
        <v>357449080.669372</v>
      </c>
    </row>
    <row r="60">
      <c r="C60" s="3" t="inlineStr">
        <is>
          <t>LP Proceeds:</t>
        </is>
      </c>
    </row>
    <row r="61">
      <c r="C61" s="14" t="inlineStr">
        <is>
          <t>Beginning Balance</t>
        </is>
      </c>
      <c r="G61" s="8">
        <f>0</f>
        <v>0</v>
      </c>
      <c r="H61" s="8">
        <f>G65</f>
        <v>142781416.542678</v>
      </c>
      <c r="I61" s="8">
        <f>H65</f>
        <v>143403364.218969</v>
      </c>
      <c r="J61" s="8">
        <f>I65</f>
        <v>144025311.895259</v>
      </c>
      <c r="K61" s="8">
        <f>J65</f>
        <v>144647259.57155</v>
      </c>
      <c r="L61" s="8">
        <f>K65</f>
        <v>143268240.844858</v>
      </c>
      <c r="M61" s="8">
        <f>L65</f>
        <v>143881358.091135</v>
      </c>
      <c r="N61" s="8">
        <f>M65</f>
        <v>144494475.337412</v>
      </c>
      <c r="O61" s="8">
        <f>N65</f>
        <v>145107592.58369</v>
      </c>
      <c r="P61" s="8">
        <f>O65</f>
        <v>142370235.685553</v>
      </c>
      <c r="Q61" s="8">
        <f>P65</f>
        <v>142968624.937107</v>
      </c>
      <c r="R61" s="8">
        <f>Q65</f>
        <v>143567014.18866</v>
      </c>
      <c r="S61" s="8">
        <f>R65</f>
        <v>144165403.440213</v>
      </c>
      <c r="T61" s="8">
        <f>S65</f>
        <v>138552731.326223</v>
      </c>
      <c r="U61" s="8">
        <f>T65</f>
        <v>139123913.681049</v>
      </c>
      <c r="V61" s="8">
        <f>U65</f>
        <v>139695096.035874</v>
      </c>
      <c r="W61" s="8">
        <f>V65</f>
        <v>140266278.390699</v>
      </c>
      <c r="X61" s="8">
        <f>W65</f>
        <v>132949639.654256</v>
      </c>
      <c r="Y61" s="8">
        <f>X65</f>
        <v>133486300.389141</v>
      </c>
      <c r="Z61" s="8">
        <f>Y65</f>
        <v>134022961.124026</v>
      </c>
      <c r="AA61" s="8">
        <f>Z65</f>
        <v>134559621.858912</v>
      </c>
    </row>
    <row r="62">
      <c r="C62" s="14" t="inlineStr">
        <is>
          <t>Plus: Contribution</t>
        </is>
      </c>
      <c r="G62" s="8">
        <f>G21</f>
        <v>142159468.866388</v>
      </c>
      <c r="H62" s="8">
        <f>H21</f>
        <v>0</v>
      </c>
      <c r="I62" s="8">
        <f>I21</f>
        <v>0</v>
      </c>
      <c r="J62" s="8">
        <f>J21</f>
        <v>0</v>
      </c>
      <c r="K62" s="8">
        <f>K21</f>
        <v>3981165.72</v>
      </c>
      <c r="L62" s="8">
        <f>L21</f>
        <v>0</v>
      </c>
      <c r="M62" s="8">
        <f>M21</f>
        <v>0</v>
      </c>
      <c r="N62" s="8">
        <f>N21</f>
        <v>0</v>
      </c>
      <c r="O62" s="8">
        <f>O21</f>
        <v>3639919.92</v>
      </c>
      <c r="P62" s="8">
        <f>P21</f>
        <v>0</v>
      </c>
      <c r="Q62" s="8">
        <f>Q21</f>
        <v>0</v>
      </c>
      <c r="R62" s="8">
        <f>R21</f>
        <v>0</v>
      </c>
      <c r="S62" s="8">
        <f>S21</f>
        <v>1750374.08</v>
      </c>
      <c r="T62" s="8">
        <f>T21</f>
        <v>0</v>
      </c>
      <c r="U62" s="8">
        <f>U21</f>
        <v>0</v>
      </c>
      <c r="V62" s="8">
        <f>V21</f>
        <v>0</v>
      </c>
      <c r="W62" s="8">
        <f>W21</f>
        <v>647976</v>
      </c>
      <c r="X62" s="8">
        <f>X21</f>
        <v>0</v>
      </c>
      <c r="Y62" s="8">
        <f>Y21</f>
        <v>0</v>
      </c>
      <c r="Z62" s="8">
        <f>Z21</f>
        <v>0</v>
      </c>
      <c r="AA62" s="8">
        <f>AA21</f>
        <v>0</v>
      </c>
      <c r="AB62" s="39">
        <f>SUM(G62:AA62)</f>
        <v>152178904.586388</v>
      </c>
    </row>
    <row r="63">
      <c r="C63" s="14" t="inlineStr">
        <is>
          <t>Plus: Management Fee</t>
        </is>
      </c>
      <c r="G63" s="8">
        <f>G53</f>
        <v>621947.676290447</v>
      </c>
      <c r="H63" s="8">
        <f>H53</f>
        <v>621947.676290447</v>
      </c>
      <c r="I63" s="8">
        <f>I53</f>
        <v>621947.676290447</v>
      </c>
      <c r="J63" s="8">
        <f>J53</f>
        <v>621947.676290447</v>
      </c>
      <c r="K63" s="8">
        <f>K53</f>
        <v>639365.276315447</v>
      </c>
      <c r="L63" s="8">
        <f>L53</f>
        <v>613117.24627729</v>
      </c>
      <c r="M63" s="8">
        <f>M53</f>
        <v>613117.24627729</v>
      </c>
      <c r="N63" s="8">
        <f>N53</f>
        <v>613117.24627729</v>
      </c>
      <c r="O63" s="8">
        <f>O53</f>
        <v>629041.89592729</v>
      </c>
      <c r="P63" s="8">
        <f>P53</f>
        <v>598389.251553261</v>
      </c>
      <c r="Q63" s="8">
        <f>Q53</f>
        <v>598389.251553261</v>
      </c>
      <c r="R63" s="8">
        <f>R53</f>
        <v>598389.251553261</v>
      </c>
      <c r="S63" s="8">
        <f>S53</f>
        <v>606047.138153261</v>
      </c>
      <c r="T63" s="8">
        <f>T53</f>
        <v>571182.354825136</v>
      </c>
      <c r="U63" s="8">
        <f>U53</f>
        <v>571182.354825136</v>
      </c>
      <c r="V63" s="8">
        <f>V53</f>
        <v>571182.354825136</v>
      </c>
      <c r="W63" s="8">
        <f>W53</f>
        <v>574017.249825136</v>
      </c>
      <c r="X63" s="8">
        <f>X53</f>
        <v>536660.734885214</v>
      </c>
      <c r="Y63" s="8">
        <f>Y53</f>
        <v>536660.734885214</v>
      </c>
      <c r="Z63" s="8">
        <f>Z53</f>
        <v>536660.734885214</v>
      </c>
      <c r="AA63" s="8">
        <f>AA53</f>
        <v>536660.734885214</v>
      </c>
      <c r="AB63" s="39">
        <f>SUM(G63:AA63)</f>
        <v>12430971.7628908</v>
      </c>
    </row>
    <row r="64">
      <c r="C64" s="14" t="inlineStr">
        <is>
          <t>Less: Return of Capital</t>
        </is>
      </c>
      <c r="G64" s="8">
        <f>-MIN(G61+G62+G63,G59)</f>
        <v>-0</v>
      </c>
      <c r="H64" s="8">
        <f>-MIN(H61+H62+H63,H59)</f>
        <v>-0</v>
      </c>
      <c r="I64" s="8">
        <f>-MIN(I61+I62+I63,I59)</f>
        <v>-0</v>
      </c>
      <c r="J64" s="8">
        <f>-MIN(J61+J62+J63,J59)</f>
        <v>-0</v>
      </c>
      <c r="K64" s="8">
        <f>-MIN(K61+K62+K63,K59)</f>
        <v>-5999549.72300725</v>
      </c>
      <c r="L64" s="8">
        <f>-MIN(L61+L62+L63,L59)</f>
        <v>-0</v>
      </c>
      <c r="M64" s="8">
        <f>-MIN(M61+M62+M63,M59)</f>
        <v>-0</v>
      </c>
      <c r="N64" s="8">
        <f>-MIN(N61+N62+N63,N59)</f>
        <v>-0</v>
      </c>
      <c r="O64" s="8">
        <f>-MIN(O61+O62+O63,O59)</f>
        <v>-7006318.71406373</v>
      </c>
      <c r="P64" s="8">
        <f>-MIN(P61+P62+P63,P59)</f>
        <v>-0</v>
      </c>
      <c r="Q64" s="8">
        <f>-MIN(Q61+Q62+Q63,Q59)</f>
        <v>-0</v>
      </c>
      <c r="R64" s="8">
        <f>-MIN(R61+R62+R63,R59)</f>
        <v>-0</v>
      </c>
      <c r="S64" s="8">
        <f>-MIN(S61+S62+S63,S59)</f>
        <v>-7969093.33214287</v>
      </c>
      <c r="T64" s="8">
        <f>-MIN(T61+T62+T63,T59)</f>
        <v>-0</v>
      </c>
      <c r="U64" s="8">
        <f>-MIN(U61+U62+U63,U59)</f>
        <v>-0</v>
      </c>
      <c r="V64" s="8">
        <f>-MIN(V61+V62+V63,V59)</f>
        <v>-0</v>
      </c>
      <c r="W64" s="8">
        <f>-MIN(W61+W62+W63,W59)</f>
        <v>-8538631.98626797</v>
      </c>
      <c r="X64" s="8">
        <f>-MIN(X61+X62+X63,X59)</f>
        <v>-0</v>
      </c>
      <c r="Y64" s="8">
        <f>-MIN(Y61+Y62+Y63,Y59)</f>
        <v>-0</v>
      </c>
      <c r="Z64" s="8">
        <f>-MIN(Z61+Z62+Z63,Z59)</f>
        <v>-0</v>
      </c>
      <c r="AA64" s="8">
        <f>-MIN(AA61+AA62+AA63,AA59)</f>
        <v>-135096282.593797</v>
      </c>
      <c r="AB64" s="39">
        <f>SUM(G64:AA64)</f>
        <v>-164609876.349279</v>
      </c>
    </row>
    <row r="65">
      <c r="C65" s="29" t="inlineStr">
        <is>
          <t>Ending Balance</t>
        </is>
      </c>
      <c r="G65" s="30">
        <f>G61+G62+G63+G64</f>
        <v>142781416.542678</v>
      </c>
      <c r="H65" s="30">
        <f>H61+H62+H63+H64</f>
        <v>143403364.218969</v>
      </c>
      <c r="I65" s="30">
        <f>I61+I62+I63+I64</f>
        <v>144025311.895259</v>
      </c>
      <c r="J65" s="30">
        <f>J61+J62+J63+J64</f>
        <v>144647259.57155</v>
      </c>
      <c r="K65" s="30">
        <f>K61+K62+K63+K64</f>
        <v>143268240.844858</v>
      </c>
      <c r="L65" s="30">
        <f>L61+L62+L63+L64</f>
        <v>143881358.091135</v>
      </c>
      <c r="M65" s="30">
        <f>M61+M62+M63+M64</f>
        <v>144494475.337412</v>
      </c>
      <c r="N65" s="30">
        <f>N61+N62+N63+N64</f>
        <v>145107592.58369</v>
      </c>
      <c r="O65" s="30">
        <f>O61+O62+O63+O64</f>
        <v>142370235.685553</v>
      </c>
      <c r="P65" s="30">
        <f>P61+P62+P63+P64</f>
        <v>142968624.937107</v>
      </c>
      <c r="Q65" s="30">
        <f>Q61+Q62+Q63+Q64</f>
        <v>143567014.18866</v>
      </c>
      <c r="R65" s="30">
        <f>R61+R62+R63+R64</f>
        <v>144165403.440213</v>
      </c>
      <c r="S65" s="30">
        <f>S61+S62+S63+S64</f>
        <v>138552731.326223</v>
      </c>
      <c r="T65" s="30">
        <f>T61+T62+T63+T64</f>
        <v>139123913.681049</v>
      </c>
      <c r="U65" s="30">
        <f>U61+U62+U63+U64</f>
        <v>139695096.035874</v>
      </c>
      <c r="V65" s="30">
        <f>V61+V62+V63+V64</f>
        <v>140266278.390699</v>
      </c>
      <c r="W65" s="30">
        <f>W61+W62+W63+W64</f>
        <v>132949639.654256</v>
      </c>
      <c r="X65" s="30">
        <f>X61+X62+X63+X64</f>
        <v>133486300.389141</v>
      </c>
      <c r="Y65" s="30">
        <f>Y61+Y62+Y63+Y64</f>
        <v>134022961.124026</v>
      </c>
      <c r="Z65" s="30">
        <f>Z61+Z62+Z63+Z64</f>
        <v>134559621.858912</v>
      </c>
      <c r="AA65" s="30">
        <f>AA61+AA62+AA63+AA64</f>
        <v>0</v>
      </c>
    </row>
    <row r="66">
      <c r="C66" s="14" t="inlineStr">
        <is>
          <t>GP Cash Flows</t>
        </is>
      </c>
      <c r="G66" s="8">
        <f>0</f>
        <v>0</v>
      </c>
      <c r="H66" s="8">
        <f>0</f>
        <v>0</v>
      </c>
      <c r="I66" s="8">
        <f>0</f>
        <v>0</v>
      </c>
      <c r="J66" s="8">
        <f>0</f>
        <v>0</v>
      </c>
      <c r="K66" s="8">
        <f>0</f>
        <v>0</v>
      </c>
      <c r="L66" s="8">
        <f>0</f>
        <v>0</v>
      </c>
      <c r="M66" s="8">
        <f>0</f>
        <v>0</v>
      </c>
      <c r="N66" s="8">
        <f>0</f>
        <v>0</v>
      </c>
      <c r="O66" s="8">
        <f>0</f>
        <v>0</v>
      </c>
      <c r="P66" s="8">
        <f>0</f>
        <v>0</v>
      </c>
      <c r="Q66" s="8">
        <f>0</f>
        <v>0</v>
      </c>
      <c r="R66" s="8">
        <f>0</f>
        <v>0</v>
      </c>
      <c r="S66" s="8">
        <f>0</f>
        <v>0</v>
      </c>
      <c r="T66" s="8">
        <f>0</f>
        <v>0</v>
      </c>
      <c r="U66" s="8">
        <f>0</f>
        <v>0</v>
      </c>
      <c r="V66" s="8">
        <f>0</f>
        <v>0</v>
      </c>
      <c r="W66" s="8">
        <f>0</f>
        <v>0</v>
      </c>
      <c r="X66" s="8">
        <f>0</f>
        <v>0</v>
      </c>
      <c r="Y66" s="8">
        <f>0</f>
        <v>0</v>
      </c>
      <c r="Z66" s="8">
        <f>0</f>
        <v>0</v>
      </c>
      <c r="AA66" s="8">
        <f>0</f>
        <v>0</v>
      </c>
      <c r="AB66" s="39">
        <f>SUM(G66:AA66)</f>
        <v>0</v>
      </c>
    </row>
    <row r="67">
      <c r="C67" s="14" t="inlineStr">
        <is>
          <t>LP Cash Flows</t>
        </is>
      </c>
      <c r="G67" s="8">
        <f>-G64</f>
        <v>0</v>
      </c>
      <c r="H67" s="8">
        <f>-H64</f>
        <v>0</v>
      </c>
      <c r="I67" s="8">
        <f>-I64</f>
        <v>0</v>
      </c>
      <c r="J67" s="8">
        <f>-J64</f>
        <v>0</v>
      </c>
      <c r="K67" s="8">
        <f>-K64</f>
        <v>5999549.72300725</v>
      </c>
      <c r="L67" s="8">
        <f>-L64</f>
        <v>0</v>
      </c>
      <c r="M67" s="8">
        <f>-M64</f>
        <v>0</v>
      </c>
      <c r="N67" s="8">
        <f>-N64</f>
        <v>0</v>
      </c>
      <c r="O67" s="8">
        <f>-O64</f>
        <v>7006318.71406373</v>
      </c>
      <c r="P67" s="8">
        <f>-P64</f>
        <v>0</v>
      </c>
      <c r="Q67" s="8">
        <f>-Q64</f>
        <v>0</v>
      </c>
      <c r="R67" s="8">
        <f>-R64</f>
        <v>0</v>
      </c>
      <c r="S67" s="8">
        <f>-S64</f>
        <v>7969093.33214287</v>
      </c>
      <c r="T67" s="8">
        <f>-T64</f>
        <v>0</v>
      </c>
      <c r="U67" s="8">
        <f>-U64</f>
        <v>0</v>
      </c>
      <c r="V67" s="8">
        <f>-V64</f>
        <v>0</v>
      </c>
      <c r="W67" s="8">
        <f>-W64</f>
        <v>8538631.98626797</v>
      </c>
      <c r="X67" s="8">
        <f>-X64</f>
        <v>0</v>
      </c>
      <c r="Y67" s="8">
        <f>-Y64</f>
        <v>0</v>
      </c>
      <c r="Z67" s="8">
        <f>-Z64</f>
        <v>0</v>
      </c>
      <c r="AA67" s="8">
        <f>-AA64</f>
        <v>135096282.593797</v>
      </c>
      <c r="AB67" s="39">
        <f>SUM(G67:AA67)</f>
        <v>164609876.349279</v>
      </c>
    </row>
    <row r="68">
      <c r="C68" s="29" t="inlineStr">
        <is>
          <t>Proceeds Available for Next Tier</t>
        </is>
      </c>
      <c r="G68" s="39">
        <f>G59-G67</f>
        <v>0</v>
      </c>
      <c r="H68" s="39">
        <f>H59-H67</f>
        <v>0</v>
      </c>
      <c r="I68" s="39">
        <f>I59-I67</f>
        <v>0</v>
      </c>
      <c r="J68" s="39">
        <f>J59-J67</f>
        <v>0</v>
      </c>
      <c r="K68" s="39">
        <f>K59-K67</f>
        <v>0</v>
      </c>
      <c r="L68" s="39">
        <f>L59-L67</f>
        <v>0</v>
      </c>
      <c r="M68" s="39">
        <f>M59-M67</f>
        <v>0</v>
      </c>
      <c r="N68" s="39">
        <f>N59-N67</f>
        <v>0</v>
      </c>
      <c r="O68" s="39">
        <f>O59-O67</f>
        <v>0</v>
      </c>
      <c r="P68" s="39">
        <f>P59-P67</f>
        <v>0</v>
      </c>
      <c r="Q68" s="39">
        <f>Q59-Q67</f>
        <v>0</v>
      </c>
      <c r="R68" s="39">
        <f>R59-R67</f>
        <v>0</v>
      </c>
      <c r="S68" s="39">
        <f>S59-S67</f>
        <v>0</v>
      </c>
      <c r="T68" s="39">
        <f>T59-T67</f>
        <v>0</v>
      </c>
      <c r="U68" s="39">
        <f>U59-U67</f>
        <v>0</v>
      </c>
      <c r="V68" s="39">
        <f>V59-V67</f>
        <v>0</v>
      </c>
      <c r="W68" s="39">
        <f>W59-W67</f>
        <v>0</v>
      </c>
      <c r="X68" s="39">
        <f>X59-X67</f>
        <v>0</v>
      </c>
      <c r="Y68" s="39">
        <f>Y59-Y67</f>
        <v>0</v>
      </c>
      <c r="Z68" s="39">
        <f>Z59-Z67</f>
        <v>0</v>
      </c>
      <c r="AA68" s="39">
        <f>AA59-AA67</f>
        <v>192839204.320093</v>
      </c>
      <c r="AB68" s="39">
        <f>SUM(G68:AA68)</f>
        <v>192839204.320093</v>
      </c>
    </row>
    <row r="70">
      <c r="C70" s="12" t="inlineStr">
        <is>
          <t>Tier 2: Preferred Return to LPs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</row>
    <row r="71">
      <c r="C71" s="14" t="inlineStr">
        <is>
          <t>Allocation to GP (%)</t>
        </is>
      </c>
      <c r="E71" s="47">
        <f>Control!$E$37</f>
        <v>0</v>
      </c>
    </row>
    <row r="72">
      <c r="C72" s="14" t="inlineStr">
        <is>
          <t>IRR Hurdle (%)</t>
        </is>
      </c>
      <c r="E72" s="47">
        <f>Control!$E$39</f>
        <v>0.08</v>
      </c>
    </row>
    <row r="73">
      <c r="C73" s="14" t="inlineStr">
        <is>
          <t>Multiple (x)</t>
        </is>
      </c>
      <c r="E73" s="62">
        <f>Control!$E$40</f>
        <v>1</v>
      </c>
    </row>
    <row r="74">
      <c r="C74" s="3" t="inlineStr">
        <is>
          <t>Distribution of Proceeds:</t>
        </is>
      </c>
    </row>
    <row r="75">
      <c r="C75" s="14" t="inlineStr">
        <is>
          <t>GP Distribution</t>
        </is>
      </c>
      <c r="G75" s="8">
        <f>IF($E$71&lt;1,G76/(1-$E$71)*$E$71,0)</f>
        <v>0</v>
      </c>
      <c r="H75" s="8">
        <f>IF($E$71&lt;1,H76/(1-$E$71)*$E$71,0)</f>
        <v>0</v>
      </c>
      <c r="I75" s="8">
        <f>IF($E$71&lt;1,I76/(1-$E$71)*$E$71,0)</f>
        <v>0</v>
      </c>
      <c r="J75" s="8">
        <f>IF($E$71&lt;1,J76/(1-$E$71)*$E$71,0)</f>
        <v>0</v>
      </c>
      <c r="K75" s="8">
        <f>IF($E$71&lt;1,K76/(1-$E$71)*$E$71,0)</f>
        <v>0</v>
      </c>
      <c r="L75" s="8">
        <f>IF($E$71&lt;1,L76/(1-$E$71)*$E$71,0)</f>
        <v>0</v>
      </c>
      <c r="M75" s="8">
        <f>IF($E$71&lt;1,M76/(1-$E$71)*$E$71,0)</f>
        <v>0</v>
      </c>
      <c r="N75" s="8">
        <f>IF($E$71&lt;1,N76/(1-$E$71)*$E$71,0)</f>
        <v>0</v>
      </c>
      <c r="O75" s="8">
        <f>IF($E$71&lt;1,O76/(1-$E$71)*$E$71,0)</f>
        <v>0</v>
      </c>
      <c r="P75" s="8">
        <f>IF($E$71&lt;1,P76/(1-$E$71)*$E$71,0)</f>
        <v>0</v>
      </c>
      <c r="Q75" s="8">
        <f>IF($E$71&lt;1,Q76/(1-$E$71)*$E$71,0)</f>
        <v>0</v>
      </c>
      <c r="R75" s="8">
        <f>IF($E$71&lt;1,R76/(1-$E$71)*$E$71,0)</f>
        <v>0</v>
      </c>
      <c r="S75" s="8">
        <f>IF($E$71&lt;1,S76/(1-$E$71)*$E$71,0)</f>
        <v>0</v>
      </c>
      <c r="T75" s="8">
        <f>IF($E$71&lt;1,T76/(1-$E$71)*$E$71,0)</f>
        <v>0</v>
      </c>
      <c r="U75" s="8">
        <f>IF($E$71&lt;1,U76/(1-$E$71)*$E$71,0)</f>
        <v>0</v>
      </c>
      <c r="V75" s="8">
        <f>IF($E$71&lt;1,V76/(1-$E$71)*$E$71,0)</f>
        <v>0</v>
      </c>
      <c r="W75" s="8">
        <f>IF($E$71&lt;1,W76/(1-$E$71)*$E$71,0)</f>
        <v>0</v>
      </c>
      <c r="X75" s="8">
        <f>IF($E$71&lt;1,X76/(1-$E$71)*$E$71,0)</f>
        <v>0</v>
      </c>
      <c r="Y75" s="8">
        <f>IF($E$71&lt;1,Y76/(1-$E$71)*$E$71,0)</f>
        <v>0</v>
      </c>
      <c r="Z75" s="8">
        <f>IF($E$71&lt;1,Z76/(1-$E$71)*$E$71,0)</f>
        <v>0</v>
      </c>
      <c r="AA75" s="8">
        <f>IF($E$71&lt;1,AA76/(1-$E$71)*$E$71,0)</f>
        <v>0</v>
      </c>
      <c r="AB75" s="39">
        <f>SUM(G75:AA75)</f>
        <v>0</v>
      </c>
    </row>
    <row r="76">
      <c r="C76" s="14" t="inlineStr">
        <is>
          <t>LP Distribution (Preferred Return)</t>
        </is>
      </c>
      <c r="G76" s="8">
        <f>MIN(G68*(1-$E$71),MAX(G86,G97))</f>
        <v>0</v>
      </c>
      <c r="H76" s="8">
        <f>MIN(H68*(1-$E$71),MAX(H86,H97))</f>
        <v>0</v>
      </c>
      <c r="I76" s="8">
        <f>MIN(I68*(1-$E$71),MAX(I86,I97))</f>
        <v>0</v>
      </c>
      <c r="J76" s="8">
        <f>MIN(J68*(1-$E$71),MAX(J86,J97))</f>
        <v>0</v>
      </c>
      <c r="K76" s="8">
        <f>MIN(K68*(1-$E$71),MAX(K86,K97))</f>
        <v>0</v>
      </c>
      <c r="L76" s="8">
        <f>MIN(L68*(1-$E$71),MAX(L86,L97))</f>
        <v>0</v>
      </c>
      <c r="M76" s="8">
        <f>MIN(M68*(1-$E$71),MAX(M86,M97))</f>
        <v>0</v>
      </c>
      <c r="N76" s="8">
        <f>MIN(N68*(1-$E$71),MAX(N86,N97))</f>
        <v>0</v>
      </c>
      <c r="O76" s="8">
        <f>MIN(O68*(1-$E$71),MAX(O86,O97))</f>
        <v>0</v>
      </c>
      <c r="P76" s="8">
        <f>MIN(P68*(1-$E$71),MAX(P86,P97))</f>
        <v>0</v>
      </c>
      <c r="Q76" s="8">
        <f>MIN(Q68*(1-$E$71),MAX(Q86,Q97))</f>
        <v>0</v>
      </c>
      <c r="R76" s="8">
        <f>MIN(R68*(1-$E$71),MAX(R86,R97))</f>
        <v>0</v>
      </c>
      <c r="S76" s="8">
        <f>MIN(S68*(1-$E$71),MAX(S86,S97))</f>
        <v>0</v>
      </c>
      <c r="T76" s="8">
        <f>MIN(T68*(1-$E$71),MAX(T86,T97))</f>
        <v>0</v>
      </c>
      <c r="U76" s="8">
        <f>MIN(U68*(1-$E$71),MAX(U86,U97))</f>
        <v>0</v>
      </c>
      <c r="V76" s="8">
        <f>MIN(V68*(1-$E$71),MAX(V86,V97))</f>
        <v>0</v>
      </c>
      <c r="W76" s="8">
        <f>MIN(W68*(1-$E$71),MAX(W86,W97))</f>
        <v>0</v>
      </c>
      <c r="X76" s="8">
        <f>MIN(X68*(1-$E$71),MAX(X86,X97))</f>
        <v>0</v>
      </c>
      <c r="Y76" s="8">
        <f>MIN(Y68*(1-$E$71),MAX(Y86,Y97))</f>
        <v>0</v>
      </c>
      <c r="Z76" s="8">
        <f>MIN(Z68*(1-$E$71),MAX(Z86,Z97))</f>
        <v>0</v>
      </c>
      <c r="AA76" s="8">
        <f>MIN(AA68*(1-$E$71),MAX(AA86,AA97))</f>
        <v>66279844.3242502</v>
      </c>
      <c r="AB76" s="39">
        <f>SUM(G76:AA76)</f>
        <v>66279844.3242502</v>
      </c>
    </row>
    <row r="77">
      <c r="C77" s="3" t="inlineStr">
        <is>
          <t>IRR Test:</t>
        </is>
      </c>
    </row>
    <row r="78">
      <c r="C78" s="29" t="inlineStr">
        <is>
          <t>Net Cash Flows:</t>
        </is>
      </c>
    </row>
    <row r="79">
      <c r="C79" s="43" t="inlineStr">
        <is>
          <t>Plus: LP Contributions (Exc. Management Fees)</t>
        </is>
      </c>
      <c r="G79" s="8">
        <f>-G21</f>
        <v>-142159468.866388</v>
      </c>
      <c r="H79" s="8">
        <f>-H21</f>
        <v>-0</v>
      </c>
      <c r="I79" s="8">
        <f>-I21</f>
        <v>-0</v>
      </c>
      <c r="J79" s="8">
        <f>-J21</f>
        <v>-0</v>
      </c>
      <c r="K79" s="8">
        <f>-K21</f>
        <v>-3981165.72</v>
      </c>
      <c r="L79" s="8">
        <f>-L21</f>
        <v>-0</v>
      </c>
      <c r="M79" s="8">
        <f>-M21</f>
        <v>-0</v>
      </c>
      <c r="N79" s="8">
        <f>-N21</f>
        <v>-0</v>
      </c>
      <c r="O79" s="8">
        <f>-O21</f>
        <v>-3639919.92</v>
      </c>
      <c r="P79" s="8">
        <f>-P21</f>
        <v>-0</v>
      </c>
      <c r="Q79" s="8">
        <f>-Q21</f>
        <v>-0</v>
      </c>
      <c r="R79" s="8">
        <f>-R21</f>
        <v>-0</v>
      </c>
      <c r="S79" s="8">
        <f>-S21</f>
        <v>-1750374.08</v>
      </c>
      <c r="T79" s="8">
        <f>-T21</f>
        <v>-0</v>
      </c>
      <c r="U79" s="8">
        <f>-U21</f>
        <v>-0</v>
      </c>
      <c r="V79" s="8">
        <f>-V21</f>
        <v>-0</v>
      </c>
      <c r="W79" s="8">
        <f>-W21</f>
        <v>-647976</v>
      </c>
      <c r="X79" s="8">
        <f>-X21</f>
        <v>-0</v>
      </c>
      <c r="Y79" s="8">
        <f>-Y21</f>
        <v>-0</v>
      </c>
      <c r="Z79" s="8">
        <f>-Z21</f>
        <v>-0</v>
      </c>
      <c r="AA79" s="8">
        <f>-AA21</f>
        <v>-0</v>
      </c>
      <c r="AB79" s="39">
        <f>SUM(G79:AA79)</f>
        <v>-152178904.586388</v>
      </c>
    </row>
    <row r="80">
      <c r="C80" s="43" t="inlineStr">
        <is>
          <t>Plus: Management Fees</t>
        </is>
      </c>
      <c r="G80" s="8">
        <f>-G53</f>
        <v>-621947.676290447</v>
      </c>
      <c r="H80" s="8">
        <f>-H53</f>
        <v>-621947.676290447</v>
      </c>
      <c r="I80" s="8">
        <f>-I53</f>
        <v>-621947.676290447</v>
      </c>
      <c r="J80" s="8">
        <f>-J53</f>
        <v>-621947.676290447</v>
      </c>
      <c r="K80" s="8">
        <f>-K53</f>
        <v>-639365.276315447</v>
      </c>
      <c r="L80" s="8">
        <f>-L53</f>
        <v>-613117.24627729</v>
      </c>
      <c r="M80" s="8">
        <f>-M53</f>
        <v>-613117.24627729</v>
      </c>
      <c r="N80" s="8">
        <f>-N53</f>
        <v>-613117.24627729</v>
      </c>
      <c r="O80" s="8">
        <f>-O53</f>
        <v>-629041.89592729</v>
      </c>
      <c r="P80" s="8">
        <f>-P53</f>
        <v>-598389.251553261</v>
      </c>
      <c r="Q80" s="8">
        <f>-Q53</f>
        <v>-598389.251553261</v>
      </c>
      <c r="R80" s="8">
        <f>-R53</f>
        <v>-598389.251553261</v>
      </c>
      <c r="S80" s="8">
        <f>-S53</f>
        <v>-606047.138153261</v>
      </c>
      <c r="T80" s="8">
        <f>-T53</f>
        <v>-571182.354825136</v>
      </c>
      <c r="U80" s="8">
        <f>-U53</f>
        <v>-571182.354825136</v>
      </c>
      <c r="V80" s="8">
        <f>-V53</f>
        <v>-571182.354825136</v>
      </c>
      <c r="W80" s="8">
        <f>-W53</f>
        <v>-574017.249825136</v>
      </c>
      <c r="X80" s="8">
        <f>-X53</f>
        <v>-536660.734885214</v>
      </c>
      <c r="Y80" s="8">
        <f>-Y53</f>
        <v>-536660.734885214</v>
      </c>
      <c r="Z80" s="8">
        <f>-Z53</f>
        <v>-536660.734885214</v>
      </c>
      <c r="AA80" s="8">
        <f>-AA53</f>
        <v>-536660.734885214</v>
      </c>
      <c r="AB80" s="39">
        <f>SUM(G80:AA80)</f>
        <v>-12430971.7628908</v>
      </c>
    </row>
    <row r="81">
      <c r="C81" s="43" t="inlineStr">
        <is>
          <t>Less: Return of Capital</t>
        </is>
      </c>
      <c r="G81" s="8">
        <f>G67</f>
        <v>0</v>
      </c>
      <c r="H81" s="8">
        <f>H67</f>
        <v>0</v>
      </c>
      <c r="I81" s="8">
        <f>I67</f>
        <v>0</v>
      </c>
      <c r="J81" s="8">
        <f>J67</f>
        <v>0</v>
      </c>
      <c r="K81" s="8">
        <f>K67</f>
        <v>5999549.72300725</v>
      </c>
      <c r="L81" s="8">
        <f>L67</f>
        <v>0</v>
      </c>
      <c r="M81" s="8">
        <f>M67</f>
        <v>0</v>
      </c>
      <c r="N81" s="8">
        <f>N67</f>
        <v>0</v>
      </c>
      <c r="O81" s="8">
        <f>O67</f>
        <v>7006318.71406373</v>
      </c>
      <c r="P81" s="8">
        <f>P67</f>
        <v>0</v>
      </c>
      <c r="Q81" s="8">
        <f>Q67</f>
        <v>0</v>
      </c>
      <c r="R81" s="8">
        <f>R67</f>
        <v>0</v>
      </c>
      <c r="S81" s="8">
        <f>S67</f>
        <v>7969093.33214287</v>
      </c>
      <c r="T81" s="8">
        <f>T67</f>
        <v>0</v>
      </c>
      <c r="U81" s="8">
        <f>U67</f>
        <v>0</v>
      </c>
      <c r="V81" s="8">
        <f>V67</f>
        <v>0</v>
      </c>
      <c r="W81" s="8">
        <f>W67</f>
        <v>8538631.98626797</v>
      </c>
      <c r="X81" s="8">
        <f>X67</f>
        <v>0</v>
      </c>
      <c r="Y81" s="8">
        <f>Y67</f>
        <v>0</v>
      </c>
      <c r="Z81" s="8">
        <f>Z67</f>
        <v>0</v>
      </c>
      <c r="AA81" s="8">
        <f>AA67</f>
        <v>135096282.593797</v>
      </c>
      <c r="AB81" s="39">
        <f>SUM(G81:AA81)</f>
        <v>164609876.349279</v>
      </c>
    </row>
    <row r="82">
      <c r="C82" s="43" t="inlineStr">
        <is>
          <t>Less: Preferred Return</t>
        </is>
      </c>
      <c r="G82" s="8">
        <f>G76</f>
        <v>0</v>
      </c>
      <c r="H82" s="8">
        <f>H76</f>
        <v>0</v>
      </c>
      <c r="I82" s="8">
        <f>I76</f>
        <v>0</v>
      </c>
      <c r="J82" s="8">
        <f>J76</f>
        <v>0</v>
      </c>
      <c r="K82" s="8">
        <f>K76</f>
        <v>0</v>
      </c>
      <c r="L82" s="8">
        <f>L76</f>
        <v>0</v>
      </c>
      <c r="M82" s="8">
        <f>M76</f>
        <v>0</v>
      </c>
      <c r="N82" s="8">
        <f>N76</f>
        <v>0</v>
      </c>
      <c r="O82" s="8">
        <f>O76</f>
        <v>0</v>
      </c>
      <c r="P82" s="8">
        <f>P76</f>
        <v>0</v>
      </c>
      <c r="Q82" s="8">
        <f>Q76</f>
        <v>0</v>
      </c>
      <c r="R82" s="8">
        <f>R76</f>
        <v>0</v>
      </c>
      <c r="S82" s="8">
        <f>S76</f>
        <v>0</v>
      </c>
      <c r="T82" s="8">
        <f>T76</f>
        <v>0</v>
      </c>
      <c r="U82" s="8">
        <f>U76</f>
        <v>0</v>
      </c>
      <c r="V82" s="8">
        <f>V76</f>
        <v>0</v>
      </c>
      <c r="W82" s="8">
        <f>W76</f>
        <v>0</v>
      </c>
      <c r="X82" s="8">
        <f>X76</f>
        <v>0</v>
      </c>
      <c r="Y82" s="8">
        <f>Y76</f>
        <v>0</v>
      </c>
      <c r="Z82" s="8">
        <f>Z76</f>
        <v>0</v>
      </c>
      <c r="AA82" s="8">
        <f>AA76</f>
        <v>66279844.3242502</v>
      </c>
      <c r="AB82" s="39">
        <f>SUM(G82:AA82)</f>
        <v>66279844.3242502</v>
      </c>
    </row>
    <row r="83">
      <c r="C83" s="44" t="inlineStr">
        <is>
          <t>Net Cash Flows</t>
        </is>
      </c>
      <c r="G83" s="30">
        <f>SUM(G79:G82)</f>
        <v>-142781416.542678</v>
      </c>
      <c r="H83" s="30">
        <f>SUM(H79:H82)</f>
        <v>-621947.676290447</v>
      </c>
      <c r="I83" s="30">
        <f>SUM(I79:I82)</f>
        <v>-621947.676290447</v>
      </c>
      <c r="J83" s="30">
        <f>SUM(J79:J82)</f>
        <v>-621947.676290447</v>
      </c>
      <c r="K83" s="30">
        <f>SUM(K79:K82)</f>
        <v>1379018.7266918</v>
      </c>
      <c r="L83" s="30">
        <f>SUM(L79:L82)</f>
        <v>-613117.24627729</v>
      </c>
      <c r="M83" s="30">
        <f>SUM(M79:M82)</f>
        <v>-613117.24627729</v>
      </c>
      <c r="N83" s="30">
        <f>SUM(N79:N82)</f>
        <v>-613117.24627729</v>
      </c>
      <c r="O83" s="30">
        <f>SUM(O79:O82)</f>
        <v>2737356.89813644</v>
      </c>
      <c r="P83" s="30">
        <f>SUM(P79:P82)</f>
        <v>-598389.251553261</v>
      </c>
      <c r="Q83" s="30">
        <f>SUM(Q79:Q82)</f>
        <v>-598389.251553261</v>
      </c>
      <c r="R83" s="30">
        <f>SUM(R79:R82)</f>
        <v>-598389.251553261</v>
      </c>
      <c r="S83" s="30">
        <f>SUM(S79:S82)</f>
        <v>5612672.11398961</v>
      </c>
      <c r="T83" s="30">
        <f>SUM(T79:T82)</f>
        <v>-571182.354825136</v>
      </c>
      <c r="U83" s="30">
        <f>SUM(U79:U82)</f>
        <v>-571182.354825136</v>
      </c>
      <c r="V83" s="30">
        <f>SUM(V79:V82)</f>
        <v>-571182.354825136</v>
      </c>
      <c r="W83" s="30">
        <f>SUM(W79:W82)</f>
        <v>7316638.73644283</v>
      </c>
      <c r="X83" s="30">
        <f>SUM(X79:X82)</f>
        <v>-536660.734885214</v>
      </c>
      <c r="Y83" s="30">
        <f>SUM(Y79:Y82)</f>
        <v>-536660.734885214</v>
      </c>
      <c r="Z83" s="30">
        <f>SUM(Z79:Z82)</f>
        <v>-536660.734885214</v>
      </c>
      <c r="AA83" s="30">
        <f>SUM(AA79:AA82)</f>
        <v>200839466.183162</v>
      </c>
      <c r="AB83" s="30">
        <f>SUM(G83:AA83)</f>
        <v>66279844.3242503</v>
      </c>
    </row>
    <row r="84">
      <c r="C84" s="43" t="inlineStr">
        <is>
          <t>PV Discount Factor</t>
        </is>
      </c>
      <c r="G84" s="63">
        <f>1/(1+$E$72)^(G$7/4)</f>
        <v>1</v>
      </c>
      <c r="H84" s="63">
        <f>1/(1+$E$72)^(H$7/4)</f>
        <v>0.980943652127571</v>
      </c>
      <c r="I84" s="63">
        <f>1/(1+$E$72)^(I$7/4)</f>
        <v>0.962250448649376</v>
      </c>
      <c r="J84" s="63">
        <f>1/(1+$E$72)^(J$7/4)</f>
        <v>0.943913469359513</v>
      </c>
      <c r="K84" s="63">
        <f>1/(1+$E$72)^(K$7/4)</f>
        <v>0.925925925925926</v>
      </c>
      <c r="L84" s="63">
        <f>1/(1+$E$72)^(L$7/4)</f>
        <v>0.90828115937738</v>
      </c>
      <c r="M84" s="63">
        <f>1/(1+$E$72)^(M$7/4)</f>
        <v>0.890972637638311</v>
      </c>
      <c r="N84" s="63">
        <f>1/(1+$E$72)^(N$7/4)</f>
        <v>0.87399395311066</v>
      </c>
      <c r="O84" s="63">
        <f>1/(1+$E$72)^(O$7/4)</f>
        <v>0.857338820301783</v>
      </c>
      <c r="P84" s="63">
        <f>1/(1+$E$72)^(P$7/4)</f>
        <v>0.841001073497574</v>
      </c>
      <c r="Q84" s="63">
        <f>1/(1+$E$72)^(Q$7/4)</f>
        <v>0.824974664479918</v>
      </c>
      <c r="R84" s="63">
        <f>1/(1+$E$72)^(R$7/4)</f>
        <v>0.809253660287648</v>
      </c>
      <c r="S84" s="63">
        <f>1/(1+$E$72)^(S$7/4)</f>
        <v>0.79383224102017</v>
      </c>
      <c r="T84" s="63">
        <f>1/(1+$E$72)^(T$7/4)</f>
        <v>0.778704697682939</v>
      </c>
      <c r="U84" s="63">
        <f>1/(1+$E$72)^(U$7/4)</f>
        <v>0.763865430073998</v>
      </c>
      <c r="V84" s="63">
        <f>1/(1+$E$72)^(V$7/4)</f>
        <v>0.749308944710785</v>
      </c>
      <c r="W84" s="63">
        <f>1/(1+$E$72)^(W$7/4)</f>
        <v>0.735029852796453</v>
      </c>
      <c r="X84" s="63">
        <f>1/(1+$E$72)^(X$7/4)</f>
        <v>0.721022868224943</v>
      </c>
      <c r="Y84" s="63">
        <f>1/(1+$E$72)^(Y$7/4)</f>
        <v>0.707282805624072</v>
      </c>
      <c r="Z84" s="63">
        <f>1/(1+$E$72)^(Z$7/4)</f>
        <v>0.693804578435912</v>
      </c>
      <c r="AA84" s="63">
        <f>1/(1+$E$72)^(AA$7/4)</f>
        <v>0.680583197033753</v>
      </c>
    </row>
    <row r="85">
      <c r="C85" s="43" t="inlineStr">
        <is>
          <t>PV of Net Cash Flows</t>
        </is>
      </c>
      <c r="G85" s="8">
        <f>G83*G84</f>
        <v>-142781416.542678</v>
      </c>
      <c r="H85" s="8">
        <f>H83*H84</f>
        <v>-610095.625012607</v>
      </c>
      <c r="I85" s="8">
        <f>I83*I84</f>
        <v>-598469.430546919</v>
      </c>
      <c r="J85" s="8">
        <f>J83*J84</f>
        <v>-587064.788887403</v>
      </c>
      <c r="K85" s="8">
        <f>K83*K84</f>
        <v>1276869.1913813</v>
      </c>
      <c r="L85" s="8">
        <f>L83*L84</f>
        <v>-556882.843283003</v>
      </c>
      <c r="M85" s="8">
        <f>M83*M84</f>
        <v>-546270.690097215</v>
      </c>
      <c r="N85" s="8">
        <f>N83*N84</f>
        <v>-535860.76579421</v>
      </c>
      <c r="O85" s="8">
        <f>O83*O84</f>
        <v>2346842.33379324</v>
      </c>
      <c r="P85" s="8">
        <f>P83*P84</f>
        <v>-503246.002925702</v>
      </c>
      <c r="Q85" s="8">
        <f>Q83*Q84</f>
        <v>-493655.972028541</v>
      </c>
      <c r="R85" s="8">
        <f>R83*R84</f>
        <v>-484248.692096262</v>
      </c>
      <c r="S85" s="8">
        <f>S83*S84</f>
        <v>4455520.08235979</v>
      </c>
      <c r="T85" s="8">
        <f>T83*T84</f>
        <v>-444782.382935937</v>
      </c>
      <c r="U85" s="8">
        <f>U83*U84</f>
        <v>-436306.455119181</v>
      </c>
      <c r="V85" s="8">
        <f>V83*V84</f>
        <v>-427992.047531444</v>
      </c>
      <c r="W85" s="8">
        <f>W83*W84</f>
        <v>5377947.8934124</v>
      </c>
      <c r="X85" s="8">
        <f>X83*X84</f>
        <v>-386944.662330643</v>
      </c>
      <c r="Y85" s="8">
        <f>Y83*Y84</f>
        <v>-379570.91023789</v>
      </c>
      <c r="Z85" s="8">
        <f>Z83*Z84</f>
        <v>-372337.674930142</v>
      </c>
      <c r="AA85" s="8">
        <f>AA83*AA84</f>
        <v>136687965.985489</v>
      </c>
      <c r="AB85" s="39">
        <f>SUM(G85:AA85)</f>
        <v>1.43772922456265E-008</v>
      </c>
    </row>
    <row r="86">
      <c r="C86" s="43" t="inlineStr">
        <is>
          <t>Preferred Threshold (amount payable this quarter to reach the hurdle)</t>
        </is>
      </c>
      <c r="G86" s="8">
        <f>MAX(0,-((G79+G80+G81)*G84)/G84)</f>
        <v>142781416.542678</v>
      </c>
      <c r="H86" s="8">
        <f>MAX(0,-(SUM($G85:G85)+(H79+H80+H81)*H84)/H84)</f>
        <v>146177114.105065</v>
      </c>
      <c r="I86" s="8">
        <f>MAX(0,-(SUM($G85:H85)+(I79+I80+I81)*I84)/I84)</f>
        <v>149638778.345433</v>
      </c>
      <c r="J86" s="8">
        <f>MAX(0,-(SUM($G85:I85)+(J79+J80+J81)*J84)/J84)</f>
        <v>153167690.768548</v>
      </c>
      <c r="K86" s="8">
        <f>MAX(0,-(SUM($G85:J85)+(K79+K80+K81)*K84)/K84)</f>
        <v>154764191.371403</v>
      </c>
      <c r="L86" s="8">
        <f>MAX(0,-(SUM($G85:K85)+(L79+L80+L81)*L84)/L84)</f>
        <v>158383842.441078</v>
      </c>
      <c r="M86" s="8">
        <f>MAX(0,-(SUM($G85:L85)+(M79+M80+M81)*M84)/M84)</f>
        <v>162073810.83205</v>
      </c>
      <c r="N86" s="8">
        <f>MAX(0,-(SUM($G85:M85)+(N79+N80+N81)*N84)/N84)</f>
        <v>165835462.567059</v>
      </c>
      <c r="O86" s="8">
        <f>MAX(0,-(SUM($G85:N85)+(O79+O80+O81)*O84)/O84)</f>
        <v>166319716.061536</v>
      </c>
      <c r="P86" s="8">
        <f>MAX(0,-(SUM($G85:O85)+(P79+P80+P81)*P84)/P84)</f>
        <v>170149123.07893</v>
      </c>
      <c r="Q86" s="8">
        <f>MAX(0,-(SUM($G85:P85)+(Q79+Q80+Q81)*Q84)/Q84)</f>
        <v>174052922.251377</v>
      </c>
      <c r="R86" s="8">
        <f>MAX(0,-(SUM($G85:Q85)+(R79+R80+R81)*R84)/R84)</f>
        <v>178032558.761569</v>
      </c>
      <c r="S86" s="8">
        <f>MAX(0,-(SUM($G85:R85)+(S79+S80+S81)*S84)/S84)</f>
        <v>175878444.501561</v>
      </c>
      <c r="T86" s="8">
        <f>MAX(0,-(SUM($G85:S85)+(T79+T80+T81)*T84)/T84)</f>
        <v>179866337.70865</v>
      </c>
      <c r="U86" s="8">
        <f>MAX(0,-(SUM($G85:T85)+(U79+U80+U81)*U84)/U84)</f>
        <v>183931701.910192</v>
      </c>
      <c r="V86" s="8">
        <f>MAX(0,-(SUM($G85:U85)+(V79+V80+V81)*V84)/V84)</f>
        <v>188076042.100094</v>
      </c>
      <c r="W86" s="8">
        <f>MAX(0,-(SUM($G85:V85)+(W79+W80+W81)*W84)/W84)</f>
        <v>184413071.417831</v>
      </c>
      <c r="X86" s="8">
        <f>MAX(0,-(SUM($G85:W85)+(X79+X80+X81)*X84)/X84)</f>
        <v>188532241.335113</v>
      </c>
      <c r="Y86" s="8">
        <f>MAX(0,-(SUM($G85:X85)+(Y79+Y80+Y81)*Y84)/Y84)</f>
        <v>192731432.500017</v>
      </c>
      <c r="Z86" s="8">
        <f>MAX(0,-(SUM($G85:Y85)+(Z79+Z80+Z81)*Z84)/Z84)</f>
        <v>197012199.449063</v>
      </c>
      <c r="AA86" s="8">
        <f>MAX(0,-(SUM($G85:Z85)+(AA79+AA80+AA81)*AA84)/AA84)</f>
        <v>66279844.3242502</v>
      </c>
    </row>
    <row r="87">
      <c r="C87" s="43" t="inlineStr">
        <is>
          <t>LP Net Cash Flows (memo)</t>
        </is>
      </c>
      <c r="G87" s="8">
        <f>G83</f>
        <v>-142781416.542678</v>
      </c>
      <c r="H87" s="8">
        <f>H83</f>
        <v>-621947.676290447</v>
      </c>
      <c r="I87" s="8">
        <f>I83</f>
        <v>-621947.676290447</v>
      </c>
      <c r="J87" s="8">
        <f>J83</f>
        <v>-621947.676290447</v>
      </c>
      <c r="K87" s="8">
        <f>K83</f>
        <v>1379018.7266918</v>
      </c>
      <c r="L87" s="8">
        <f>L83</f>
        <v>-613117.24627729</v>
      </c>
      <c r="M87" s="8">
        <f>M83</f>
        <v>-613117.24627729</v>
      </c>
      <c r="N87" s="8">
        <f>N83</f>
        <v>-613117.24627729</v>
      </c>
      <c r="O87" s="8">
        <f>O83</f>
        <v>2737356.89813644</v>
      </c>
      <c r="P87" s="8">
        <f>P83</f>
        <v>-598389.251553261</v>
      </c>
      <c r="Q87" s="8">
        <f>Q83</f>
        <v>-598389.251553261</v>
      </c>
      <c r="R87" s="8">
        <f>R83</f>
        <v>-598389.251553261</v>
      </c>
      <c r="S87" s="8">
        <f>S83</f>
        <v>5612672.11398961</v>
      </c>
      <c r="T87" s="8">
        <f>T83</f>
        <v>-571182.354825136</v>
      </c>
      <c r="U87" s="8">
        <f>U83</f>
        <v>-571182.354825136</v>
      </c>
      <c r="V87" s="8">
        <f>V83</f>
        <v>-571182.354825136</v>
      </c>
      <c r="W87" s="8">
        <f>W83</f>
        <v>7316638.73644283</v>
      </c>
      <c r="X87" s="8">
        <f>X83</f>
        <v>-536660.734885214</v>
      </c>
      <c r="Y87" s="8">
        <f>Y83</f>
        <v>-536660.734885214</v>
      </c>
      <c r="Z87" s="8">
        <f>Z83</f>
        <v>-536660.734885214</v>
      </c>
      <c r="AA87" s="8">
        <f>AA83</f>
        <v>200839466.183162</v>
      </c>
      <c r="AB87" s="39">
        <f>SUM(G87:AA87)</f>
        <v>66279844.3242503</v>
      </c>
    </row>
    <row r="88">
      <c r="C88" s="43" t="inlineStr">
        <is>
          <t>Net IRR Test</t>
        </is>
      </c>
      <c r="G88" s="20">
        <f>IFERROR(XIRR($G87:G87,$G$6:G$6),0)</f>
        <v>0</v>
      </c>
      <c r="H88" s="20">
        <f>IFERROR(XIRR($G87:H87,$G$6:H$6),0)</f>
        <v>0</v>
      </c>
      <c r="I88" s="20">
        <f>IFERROR(XIRR($G87:I87,$G$6:I$6),0)</f>
        <v>0</v>
      </c>
      <c r="J88" s="20">
        <f>IFERROR(XIRR($G87:J87,$G$6:J$6),0)</f>
        <v>0</v>
      </c>
      <c r="K88" s="20">
        <f>IFERROR(XIRR($G87:K87,$G$6:K$6),0)</f>
        <v>-0.99211914507185</v>
      </c>
      <c r="L88" s="20">
        <f>IFERROR(XIRR($G87:L87,$G$6:L$6),0)</f>
        <v>0</v>
      </c>
      <c r="M88" s="20">
        <f>IFERROR(XIRR($G87:M87,$G$6:M$6),0)</f>
        <v>0</v>
      </c>
      <c r="N88" s="20">
        <f>IFERROR(XIRR($G87:N87,$G$6:N$6),0)</f>
        <v>0</v>
      </c>
      <c r="O88" s="20">
        <f>IFERROR(XIRR($G87:O87,$G$6:O$6),0)</f>
        <v>-0.877810847506398</v>
      </c>
      <c r="P88" s="20">
        <f>IFERROR(XIRR($G87:P87,$G$6:P$6),0)</f>
        <v>-0.911783460183306</v>
      </c>
      <c r="Q88" s="20">
        <f>IFERROR(XIRR($G87:Q87,$G$6:Q$6),0)</f>
        <v>0</v>
      </c>
      <c r="R88" s="20">
        <f>IFERROR(XIRR($G87:R87,$G$6:R$6),0)</f>
        <v>0</v>
      </c>
      <c r="S88" s="20">
        <f>IFERROR(XIRR($G87:S87,$G$6:S$6),0)</f>
        <v>-0.669563213332486</v>
      </c>
      <c r="T88" s="20">
        <f>IFERROR(XIRR($G87:T87,$G$6:T$6),0)</f>
        <v>-0.686626027025099</v>
      </c>
      <c r="U88" s="20">
        <f>IFERROR(XIRR($G87:U87,$G$6:U$6),0)</f>
        <v>-0.978593045699436</v>
      </c>
      <c r="V88" s="20">
        <f>IFERROR(XIRR($G87:V87,$G$6:V$6),0)</f>
        <v>-0.845002615159991</v>
      </c>
      <c r="W88" s="20">
        <f>IFERROR(XIRR($G87:W87,$G$6:W$6),0)</f>
        <v>-0.504219251503697</v>
      </c>
      <c r="X88" s="20">
        <f>IFERROR(XIRR($G87:X87,$G$6:X$6),0)</f>
        <v>-0.514262735371286</v>
      </c>
      <c r="Y88" s="20">
        <f>IFERROR(XIRR($G87:Y87,$G$6:Y$6),0)</f>
        <v>-0.990579957132558</v>
      </c>
      <c r="Z88" s="20">
        <f>IFERROR(XIRR($G87:Z87,$G$6:Z$6),0)</f>
        <v>-0.933095294509605</v>
      </c>
      <c r="AA88" s="20">
        <f>IFERROR(XIRR($G87:AA87,$G$6:AA$6),0)</f>
        <v>0.0799511367005777</v>
      </c>
    </row>
    <row r="89">
      <c r="C89" s="43" t="inlineStr">
        <is>
          <t>Test</t>
        </is>
      </c>
      <c r="G89" s="7" t="b">
        <f>G88&gt;=$E$72-0.002</f>
        <v>0</v>
      </c>
      <c r="H89" s="7" t="b">
        <f>H88&gt;=$E$72-0.002</f>
        <v>0</v>
      </c>
      <c r="I89" s="7" t="b">
        <f>I88&gt;=$E$72-0.002</f>
        <v>0</v>
      </c>
      <c r="J89" s="7" t="b">
        <f>J88&gt;=$E$72-0.002</f>
        <v>0</v>
      </c>
      <c r="K89" s="7" t="b">
        <f>K88&gt;=$E$72-0.002</f>
        <v>0</v>
      </c>
      <c r="L89" s="7" t="b">
        <f>L88&gt;=$E$72-0.002</f>
        <v>0</v>
      </c>
      <c r="M89" s="7" t="b">
        <f>M88&gt;=$E$72-0.002</f>
        <v>0</v>
      </c>
      <c r="N89" s="7" t="b">
        <f>N88&gt;=$E$72-0.002</f>
        <v>0</v>
      </c>
      <c r="O89" s="7" t="b">
        <f>O88&gt;=$E$72-0.002</f>
        <v>0</v>
      </c>
      <c r="P89" s="7" t="b">
        <f>P88&gt;=$E$72-0.002</f>
        <v>0</v>
      </c>
      <c r="Q89" s="7" t="b">
        <f>Q88&gt;=$E$72-0.002</f>
        <v>0</v>
      </c>
      <c r="R89" s="7" t="b">
        <f>R88&gt;=$E$72-0.002</f>
        <v>0</v>
      </c>
      <c r="S89" s="7" t="b">
        <f>S88&gt;=$E$72-0.002</f>
        <v>0</v>
      </c>
      <c r="T89" s="7" t="b">
        <f>T88&gt;=$E$72-0.002</f>
        <v>0</v>
      </c>
      <c r="U89" s="7" t="b">
        <f>U88&gt;=$E$72-0.002</f>
        <v>0</v>
      </c>
      <c r="V89" s="7" t="b">
        <f>V88&gt;=$E$72-0.002</f>
        <v>0</v>
      </c>
      <c r="W89" s="7" t="b">
        <f>W88&gt;=$E$72-0.002</f>
        <v>0</v>
      </c>
      <c r="X89" s="7" t="b">
        <f>X88&gt;=$E$72-0.002</f>
        <v>0</v>
      </c>
      <c r="Y89" s="7" t="b">
        <f>Y88&gt;=$E$72-0.002</f>
        <v>0</v>
      </c>
      <c r="Z89" s="7" t="b">
        <f>Z88&gt;=$E$72-0.002</f>
        <v>0</v>
      </c>
      <c r="AA89" s="7" t="b">
        <f>AA88&gt;=$E$72-0.002</f>
        <v>1</v>
      </c>
    </row>
    <row r="90">
      <c r="C90" s="3" t="inlineStr">
        <is>
          <t>MOIC Test:</t>
        </is>
      </c>
    </row>
    <row r="91">
      <c r="C91" s="43" t="inlineStr">
        <is>
          <t>Beginning Balance</t>
        </is>
      </c>
      <c r="G91" s="8">
        <f>0</f>
        <v>0</v>
      </c>
      <c r="H91" s="8">
        <f>G96</f>
        <v>142781416.542678</v>
      </c>
      <c r="I91" s="8">
        <f>H96</f>
        <v>143403364.218969</v>
      </c>
      <c r="J91" s="8">
        <f>I96</f>
        <v>144025311.895259</v>
      </c>
      <c r="K91" s="8">
        <f>J96</f>
        <v>144647259.57155</v>
      </c>
      <c r="L91" s="8">
        <f>K96</f>
        <v>143268240.844858</v>
      </c>
      <c r="M91" s="8">
        <f>L96</f>
        <v>143881358.091135</v>
      </c>
      <c r="N91" s="8">
        <f>M96</f>
        <v>144494475.337412</v>
      </c>
      <c r="O91" s="8">
        <f>N96</f>
        <v>145107592.58369</v>
      </c>
      <c r="P91" s="8">
        <f>O96</f>
        <v>142370235.685553</v>
      </c>
      <c r="Q91" s="8">
        <f>P96</f>
        <v>142968624.937107</v>
      </c>
      <c r="R91" s="8">
        <f>Q96</f>
        <v>143567014.18866</v>
      </c>
      <c r="S91" s="8">
        <f>R96</f>
        <v>144165403.440213</v>
      </c>
      <c r="T91" s="8">
        <f>S96</f>
        <v>138552731.326223</v>
      </c>
      <c r="U91" s="8">
        <f>T96</f>
        <v>139123913.681049</v>
      </c>
      <c r="V91" s="8">
        <f>U96</f>
        <v>139695096.035874</v>
      </c>
      <c r="W91" s="8">
        <f>V96</f>
        <v>140266278.390699</v>
      </c>
      <c r="X91" s="8">
        <f>W96</f>
        <v>132949639.654256</v>
      </c>
      <c r="Y91" s="8">
        <f>X96</f>
        <v>133486300.389141</v>
      </c>
      <c r="Z91" s="8">
        <f>Y96</f>
        <v>134022961.124026</v>
      </c>
      <c r="AA91" s="8">
        <f>Z96</f>
        <v>134559621.858912</v>
      </c>
    </row>
    <row r="92">
      <c r="C92" s="43" t="inlineStr">
        <is>
          <t>Plus: New Contributions (x Multiple)</t>
        </is>
      </c>
      <c r="G92" s="8">
        <f>G21*$E$73</f>
        <v>142159468.866388</v>
      </c>
      <c r="H92" s="8">
        <f>H21*$E$73</f>
        <v>0</v>
      </c>
      <c r="I92" s="8">
        <f>I21*$E$73</f>
        <v>0</v>
      </c>
      <c r="J92" s="8">
        <f>J21*$E$73</f>
        <v>0</v>
      </c>
      <c r="K92" s="8">
        <f>K21*$E$73</f>
        <v>3981165.72</v>
      </c>
      <c r="L92" s="8">
        <f>L21*$E$73</f>
        <v>0</v>
      </c>
      <c r="M92" s="8">
        <f>M21*$E$73</f>
        <v>0</v>
      </c>
      <c r="N92" s="8">
        <f>N21*$E$73</f>
        <v>0</v>
      </c>
      <c r="O92" s="8">
        <f>O21*$E$73</f>
        <v>3639919.92</v>
      </c>
      <c r="P92" s="8">
        <f>P21*$E$73</f>
        <v>0</v>
      </c>
      <c r="Q92" s="8">
        <f>Q21*$E$73</f>
        <v>0</v>
      </c>
      <c r="R92" s="8">
        <f>R21*$E$73</f>
        <v>0</v>
      </c>
      <c r="S92" s="8">
        <f>S21*$E$73</f>
        <v>1750374.08</v>
      </c>
      <c r="T92" s="8">
        <f>T21*$E$73</f>
        <v>0</v>
      </c>
      <c r="U92" s="8">
        <f>U21*$E$73</f>
        <v>0</v>
      </c>
      <c r="V92" s="8">
        <f>V21*$E$73</f>
        <v>0</v>
      </c>
      <c r="W92" s="8">
        <f>W21*$E$73</f>
        <v>647976</v>
      </c>
      <c r="X92" s="8">
        <f>X21*$E$73</f>
        <v>0</v>
      </c>
      <c r="Y92" s="8">
        <f>Y21*$E$73</f>
        <v>0</v>
      </c>
      <c r="Z92" s="8">
        <f>Z21*$E$73</f>
        <v>0</v>
      </c>
      <c r="AA92" s="8">
        <f>AA21*$E$73</f>
        <v>0</v>
      </c>
      <c r="AB92" s="39">
        <f>SUM(G92:AA92)</f>
        <v>152178904.586388</v>
      </c>
    </row>
    <row r="93">
      <c r="C93" s="43" t="inlineStr">
        <is>
          <t>Plus: Management Fee (x Multiple)</t>
        </is>
      </c>
      <c r="G93" s="8">
        <f>G53*$E$73</f>
        <v>621947.676290447</v>
      </c>
      <c r="H93" s="8">
        <f>H53*$E$73</f>
        <v>621947.676290447</v>
      </c>
      <c r="I93" s="8">
        <f>I53*$E$73</f>
        <v>621947.676290447</v>
      </c>
      <c r="J93" s="8">
        <f>J53*$E$73</f>
        <v>621947.676290447</v>
      </c>
      <c r="K93" s="8">
        <f>K53*$E$73</f>
        <v>639365.276315447</v>
      </c>
      <c r="L93" s="8">
        <f>L53*$E$73</f>
        <v>613117.24627729</v>
      </c>
      <c r="M93" s="8">
        <f>M53*$E$73</f>
        <v>613117.24627729</v>
      </c>
      <c r="N93" s="8">
        <f>N53*$E$73</f>
        <v>613117.24627729</v>
      </c>
      <c r="O93" s="8">
        <f>O53*$E$73</f>
        <v>629041.89592729</v>
      </c>
      <c r="P93" s="8">
        <f>P53*$E$73</f>
        <v>598389.251553261</v>
      </c>
      <c r="Q93" s="8">
        <f>Q53*$E$73</f>
        <v>598389.251553261</v>
      </c>
      <c r="R93" s="8">
        <f>R53*$E$73</f>
        <v>598389.251553261</v>
      </c>
      <c r="S93" s="8">
        <f>S53*$E$73</f>
        <v>606047.138153261</v>
      </c>
      <c r="T93" s="8">
        <f>T53*$E$73</f>
        <v>571182.354825136</v>
      </c>
      <c r="U93" s="8">
        <f>U53*$E$73</f>
        <v>571182.354825136</v>
      </c>
      <c r="V93" s="8">
        <f>V53*$E$73</f>
        <v>571182.354825136</v>
      </c>
      <c r="W93" s="8">
        <f>W53*$E$73</f>
        <v>574017.249825136</v>
      </c>
      <c r="X93" s="8">
        <f>X53*$E$73</f>
        <v>536660.734885214</v>
      </c>
      <c r="Y93" s="8">
        <f>Y53*$E$73</f>
        <v>536660.734885214</v>
      </c>
      <c r="Z93" s="8">
        <f>Z53*$E$73</f>
        <v>536660.734885214</v>
      </c>
      <c r="AA93" s="8">
        <f>AA53*$E$73</f>
        <v>536660.734885214</v>
      </c>
      <c r="AB93" s="39">
        <f>SUM(G93:AA93)</f>
        <v>12430971.7628908</v>
      </c>
    </row>
    <row r="94">
      <c r="C94" s="43" t="inlineStr">
        <is>
          <t>Less: Return of Capital</t>
        </is>
      </c>
      <c r="G94" s="8">
        <f>-G67</f>
        <v>-0</v>
      </c>
      <c r="H94" s="8">
        <f>-H67</f>
        <v>-0</v>
      </c>
      <c r="I94" s="8">
        <f>-I67</f>
        <v>-0</v>
      </c>
      <c r="J94" s="8">
        <f>-J67</f>
        <v>-0</v>
      </c>
      <c r="K94" s="8">
        <f>-K67</f>
        <v>-5999549.72300725</v>
      </c>
      <c r="L94" s="8">
        <f>-L67</f>
        <v>-0</v>
      </c>
      <c r="M94" s="8">
        <f>-M67</f>
        <v>-0</v>
      </c>
      <c r="N94" s="8">
        <f>-N67</f>
        <v>-0</v>
      </c>
      <c r="O94" s="8">
        <f>-O67</f>
        <v>-7006318.71406373</v>
      </c>
      <c r="P94" s="8">
        <f>-P67</f>
        <v>-0</v>
      </c>
      <c r="Q94" s="8">
        <f>-Q67</f>
        <v>-0</v>
      </c>
      <c r="R94" s="8">
        <f>-R67</f>
        <v>-0</v>
      </c>
      <c r="S94" s="8">
        <f>-S67</f>
        <v>-7969093.33214287</v>
      </c>
      <c r="T94" s="8">
        <f>-T67</f>
        <v>-0</v>
      </c>
      <c r="U94" s="8">
        <f>-U67</f>
        <v>-0</v>
      </c>
      <c r="V94" s="8">
        <f>-V67</f>
        <v>-0</v>
      </c>
      <c r="W94" s="8">
        <f>-W67</f>
        <v>-8538631.98626797</v>
      </c>
      <c r="X94" s="8">
        <f>-X67</f>
        <v>-0</v>
      </c>
      <c r="Y94" s="8">
        <f>-Y67</f>
        <v>-0</v>
      </c>
      <c r="Z94" s="8">
        <f>-Z67</f>
        <v>-0</v>
      </c>
      <c r="AA94" s="8">
        <f>-AA67</f>
        <v>-135096282.593797</v>
      </c>
      <c r="AB94" s="39">
        <f>SUM(G94:AA94)</f>
        <v>-164609876.349279</v>
      </c>
    </row>
    <row r="95">
      <c r="C95" s="43" t="inlineStr">
        <is>
          <t>Less: Preferred Return</t>
        </is>
      </c>
      <c r="G95" s="8">
        <f>-G76</f>
        <v>-0</v>
      </c>
      <c r="H95" s="8">
        <f>-H76</f>
        <v>-0</v>
      </c>
      <c r="I95" s="8">
        <f>-I76</f>
        <v>-0</v>
      </c>
      <c r="J95" s="8">
        <f>-J76</f>
        <v>-0</v>
      </c>
      <c r="K95" s="8">
        <f>-K76</f>
        <v>-0</v>
      </c>
      <c r="L95" s="8">
        <f>-L76</f>
        <v>-0</v>
      </c>
      <c r="M95" s="8">
        <f>-M76</f>
        <v>-0</v>
      </c>
      <c r="N95" s="8">
        <f>-N76</f>
        <v>-0</v>
      </c>
      <c r="O95" s="8">
        <f>-O76</f>
        <v>-0</v>
      </c>
      <c r="P95" s="8">
        <f>-P76</f>
        <v>-0</v>
      </c>
      <c r="Q95" s="8">
        <f>-Q76</f>
        <v>-0</v>
      </c>
      <c r="R95" s="8">
        <f>-R76</f>
        <v>-0</v>
      </c>
      <c r="S95" s="8">
        <f>-S76</f>
        <v>-0</v>
      </c>
      <c r="T95" s="8">
        <f>-T76</f>
        <v>-0</v>
      </c>
      <c r="U95" s="8">
        <f>-U76</f>
        <v>-0</v>
      </c>
      <c r="V95" s="8">
        <f>-V76</f>
        <v>-0</v>
      </c>
      <c r="W95" s="8">
        <f>-W76</f>
        <v>-0</v>
      </c>
      <c r="X95" s="8">
        <f>-X76</f>
        <v>-0</v>
      </c>
      <c r="Y95" s="8">
        <f>-Y76</f>
        <v>-0</v>
      </c>
      <c r="Z95" s="8">
        <f>-Z76</f>
        <v>-0</v>
      </c>
      <c r="AA95" s="8">
        <f>-AA76</f>
        <v>-66279844.3242502</v>
      </c>
      <c r="AB95" s="39">
        <f>SUM(G95:AA95)</f>
        <v>-66279844.3242502</v>
      </c>
    </row>
    <row r="96">
      <c r="C96" s="44" t="inlineStr">
        <is>
          <t>Ending Balance</t>
        </is>
      </c>
      <c r="G96" s="30">
        <f>SUM(G91:G95)</f>
        <v>142781416.542678</v>
      </c>
      <c r="H96" s="30">
        <f>SUM(H91:H95)</f>
        <v>143403364.218969</v>
      </c>
      <c r="I96" s="30">
        <f>SUM(I91:I95)</f>
        <v>144025311.895259</v>
      </c>
      <c r="J96" s="30">
        <f>SUM(J91:J95)</f>
        <v>144647259.57155</v>
      </c>
      <c r="K96" s="30">
        <f>SUM(K91:K95)</f>
        <v>143268240.844858</v>
      </c>
      <c r="L96" s="30">
        <f>SUM(L91:L95)</f>
        <v>143881358.091135</v>
      </c>
      <c r="M96" s="30">
        <f>SUM(M91:M95)</f>
        <v>144494475.337412</v>
      </c>
      <c r="N96" s="30">
        <f>SUM(N91:N95)</f>
        <v>145107592.58369</v>
      </c>
      <c r="O96" s="30">
        <f>SUM(O91:O95)</f>
        <v>142370235.685553</v>
      </c>
      <c r="P96" s="30">
        <f>SUM(P91:P95)</f>
        <v>142968624.937107</v>
      </c>
      <c r="Q96" s="30">
        <f>SUM(Q91:Q95)</f>
        <v>143567014.18866</v>
      </c>
      <c r="R96" s="30">
        <f>SUM(R91:R95)</f>
        <v>144165403.440213</v>
      </c>
      <c r="S96" s="30">
        <f>SUM(S91:S95)</f>
        <v>138552731.326223</v>
      </c>
      <c r="T96" s="30">
        <f>SUM(T91:T95)</f>
        <v>139123913.681049</v>
      </c>
      <c r="U96" s="30">
        <f>SUM(U91:U95)</f>
        <v>139695096.035874</v>
      </c>
      <c r="V96" s="30">
        <f>SUM(V91:V95)</f>
        <v>140266278.390699</v>
      </c>
      <c r="W96" s="30">
        <f>SUM(W91:W95)</f>
        <v>132949639.654256</v>
      </c>
      <c r="X96" s="30">
        <f>SUM(X91:X95)</f>
        <v>133486300.389141</v>
      </c>
      <c r="Y96" s="30">
        <f>SUM(Y91:Y95)</f>
        <v>134022961.124026</v>
      </c>
      <c r="Z96" s="30">
        <f>SUM(Z91:Z95)</f>
        <v>134559621.858912</v>
      </c>
      <c r="AA96" s="30">
        <f>SUM(AA91:AA95)</f>
        <v>-66279844.3242502</v>
      </c>
    </row>
    <row r="97">
      <c r="C97" s="43" t="inlineStr">
        <is>
          <t>MOIC Threshold (amount payable this quarter to reach the multiple)</t>
        </is>
      </c>
      <c r="G97" s="8">
        <f>MAX(0,G91+G92+G93+G94)</f>
        <v>142781416.542678</v>
      </c>
      <c r="H97" s="8">
        <f>MAX(0,H91+H92+H93+H94)</f>
        <v>143403364.218969</v>
      </c>
      <c r="I97" s="8">
        <f>MAX(0,I91+I92+I93+I94)</f>
        <v>144025311.895259</v>
      </c>
      <c r="J97" s="8">
        <f>MAX(0,J91+J92+J93+J94)</f>
        <v>144647259.57155</v>
      </c>
      <c r="K97" s="8">
        <f>MAX(0,K91+K92+K93+K94)</f>
        <v>143268240.844858</v>
      </c>
      <c r="L97" s="8">
        <f>MAX(0,L91+L92+L93+L94)</f>
        <v>143881358.091135</v>
      </c>
      <c r="M97" s="8">
        <f>MAX(0,M91+M92+M93+M94)</f>
        <v>144494475.337412</v>
      </c>
      <c r="N97" s="8">
        <f>MAX(0,N91+N92+N93+N94)</f>
        <v>145107592.58369</v>
      </c>
      <c r="O97" s="8">
        <f>MAX(0,O91+O92+O93+O94)</f>
        <v>142370235.685553</v>
      </c>
      <c r="P97" s="8">
        <f>MAX(0,P91+P92+P93+P94)</f>
        <v>142968624.937107</v>
      </c>
      <c r="Q97" s="8">
        <f>MAX(0,Q91+Q92+Q93+Q94)</f>
        <v>143567014.18866</v>
      </c>
      <c r="R97" s="8">
        <f>MAX(0,R91+R92+R93+R94)</f>
        <v>144165403.440213</v>
      </c>
      <c r="S97" s="8">
        <f>MAX(0,S91+S92+S93+S94)</f>
        <v>138552731.326223</v>
      </c>
      <c r="T97" s="8">
        <f>MAX(0,T91+T92+T93+T94)</f>
        <v>139123913.681049</v>
      </c>
      <c r="U97" s="8">
        <f>MAX(0,U91+U92+U93+U94)</f>
        <v>139695096.035874</v>
      </c>
      <c r="V97" s="8">
        <f>MAX(0,V91+V92+V93+V94)</f>
        <v>140266278.390699</v>
      </c>
      <c r="W97" s="8">
        <f>MAX(0,W91+W92+W93+W94)</f>
        <v>132949639.654256</v>
      </c>
      <c r="X97" s="8">
        <f>MAX(0,X91+X92+X93+X94)</f>
        <v>133486300.389141</v>
      </c>
      <c r="Y97" s="8">
        <f>MAX(0,Y91+Y92+Y93+Y94)</f>
        <v>134022961.124026</v>
      </c>
      <c r="Z97" s="8">
        <f>MAX(0,Z91+Z92+Z93+Z94)</f>
        <v>134559621.858912</v>
      </c>
      <c r="AA97" s="8">
        <f>MAX(0,AA91+AA92+AA93+AA94)</f>
        <v>0</v>
      </c>
    </row>
    <row r="98">
      <c r="C98" s="43" t="inlineStr">
        <is>
          <t>Cumulative LP Distributions (memo)</t>
        </is>
      </c>
      <c r="G98" s="8">
        <f>SUM($G67:G67,$G76:G76)</f>
        <v>0</v>
      </c>
      <c r="H98" s="8">
        <f>SUM($G67:H67,$G76:H76)</f>
        <v>0</v>
      </c>
      <c r="I98" s="8">
        <f>SUM($G67:I67,$G76:I76)</f>
        <v>0</v>
      </c>
      <c r="J98" s="8">
        <f>SUM($G67:J67,$G76:J76)</f>
        <v>0</v>
      </c>
      <c r="K98" s="8">
        <f>SUM($G67:K67,$G76:K76)</f>
        <v>5999549.72300725</v>
      </c>
      <c r="L98" s="8">
        <f>SUM($G67:L67,$G76:L76)</f>
        <v>5999549.72300725</v>
      </c>
      <c r="M98" s="8">
        <f>SUM($G67:M67,$G76:M76)</f>
        <v>5999549.72300725</v>
      </c>
      <c r="N98" s="8">
        <f>SUM($G67:N67,$G76:N76)</f>
        <v>5999549.72300725</v>
      </c>
      <c r="O98" s="8">
        <f>SUM($G67:O67,$G76:O76)</f>
        <v>13005868.437071</v>
      </c>
      <c r="P98" s="8">
        <f>SUM($G67:P67,$G76:P76)</f>
        <v>13005868.437071</v>
      </c>
      <c r="Q98" s="8">
        <f>SUM($G67:Q67,$G76:Q76)</f>
        <v>13005868.437071</v>
      </c>
      <c r="R98" s="8">
        <f>SUM($G67:R67,$G76:R76)</f>
        <v>13005868.437071</v>
      </c>
      <c r="S98" s="8">
        <f>SUM($G67:S67,$G76:S76)</f>
        <v>20974961.7692138</v>
      </c>
      <c r="T98" s="8">
        <f>SUM($G67:T67,$G76:T76)</f>
        <v>20974961.7692138</v>
      </c>
      <c r="U98" s="8">
        <f>SUM($G67:U67,$G76:U76)</f>
        <v>20974961.7692138</v>
      </c>
      <c r="V98" s="8">
        <f>SUM($G67:V67,$G76:V76)</f>
        <v>20974961.7692138</v>
      </c>
      <c r="W98" s="8">
        <f>SUM($G67:W67,$G76:W76)</f>
        <v>29513593.7554818</v>
      </c>
      <c r="X98" s="8">
        <f>SUM($G67:X67,$G76:X76)</f>
        <v>29513593.7554818</v>
      </c>
      <c r="Y98" s="8">
        <f>SUM($G67:Y67,$G76:Y76)</f>
        <v>29513593.7554818</v>
      </c>
      <c r="Z98" s="8">
        <f>SUM($G67:Z67,$G76:Z76)</f>
        <v>29513593.7554818</v>
      </c>
      <c r="AA98" s="8">
        <f>SUM($G67:AA67,$G76:AA76)</f>
        <v>230889720.673529</v>
      </c>
    </row>
    <row r="99">
      <c r="C99" s="43" t="inlineStr">
        <is>
          <t>Cumulative LP Contributions incl. Fees (memo)</t>
        </is>
      </c>
      <c r="G99" s="8">
        <f>SUM($G21:G21)+SUM($G53:G53)</f>
        <v>142781416.542678</v>
      </c>
      <c r="H99" s="8">
        <f>SUM($G21:H21)+SUM($G53:H53)</f>
        <v>143403364.218969</v>
      </c>
      <c r="I99" s="8">
        <f>SUM($G21:I21)+SUM($G53:I53)</f>
        <v>144025311.895259</v>
      </c>
      <c r="J99" s="8">
        <f>SUM($G21:J21)+SUM($G53:J53)</f>
        <v>144647259.57155</v>
      </c>
      <c r="K99" s="8">
        <f>SUM($G21:K21)+SUM($G53:K53)</f>
        <v>149267790.567865</v>
      </c>
      <c r="L99" s="8">
        <f>SUM($G21:L21)+SUM($G53:L53)</f>
        <v>149880907.814142</v>
      </c>
      <c r="M99" s="8">
        <f>SUM($G21:M21)+SUM($G53:M53)</f>
        <v>150494025.06042</v>
      </c>
      <c r="N99" s="8">
        <f>SUM($G21:N21)+SUM($G53:N53)</f>
        <v>151107142.306697</v>
      </c>
      <c r="O99" s="8">
        <f>SUM($G21:O21)+SUM($G53:O53)</f>
        <v>155376104.122624</v>
      </c>
      <c r="P99" s="8">
        <f>SUM($G21:P21)+SUM($G53:P53)</f>
        <v>155974493.374177</v>
      </c>
      <c r="Q99" s="8">
        <f>SUM($G21:Q21)+SUM($G53:Q53)</f>
        <v>156572882.625731</v>
      </c>
      <c r="R99" s="8">
        <f>SUM($G21:R21)+SUM($G53:R53)</f>
        <v>157171271.877284</v>
      </c>
      <c r="S99" s="8">
        <f>SUM($G21:S21)+SUM($G53:S53)</f>
        <v>159527693.095437</v>
      </c>
      <c r="T99" s="8">
        <f>SUM($G21:T21)+SUM($G53:T53)</f>
        <v>160098875.450262</v>
      </c>
      <c r="U99" s="8">
        <f>SUM($G21:U21)+SUM($G53:U53)</f>
        <v>160670057.805088</v>
      </c>
      <c r="V99" s="8">
        <f>SUM($G21:V21)+SUM($G53:V53)</f>
        <v>161241240.159913</v>
      </c>
      <c r="W99" s="8">
        <f>SUM($G21:W21)+SUM($G53:W53)</f>
        <v>162463233.409738</v>
      </c>
      <c r="X99" s="8">
        <f>SUM($G21:X21)+SUM($G53:X53)</f>
        <v>162999894.144623</v>
      </c>
      <c r="Y99" s="8">
        <f>SUM($G21:Y21)+SUM($G53:Y53)</f>
        <v>163536554.879508</v>
      </c>
      <c r="Z99" s="8">
        <f>SUM($G21:Z21)+SUM($G53:Z53)</f>
        <v>164073215.614393</v>
      </c>
      <c r="AA99" s="8">
        <f>SUM($G21:AA21)+SUM($G53:AA53)</f>
        <v>164609876.349279</v>
      </c>
    </row>
    <row r="100">
      <c r="C100" s="43" t="inlineStr">
        <is>
          <t>Net MOIC Test</t>
        </is>
      </c>
      <c r="G100" s="60">
        <f>IFERROR(G98/G99,0)</f>
        <v>0</v>
      </c>
      <c r="H100" s="60">
        <f>IFERROR(H98/H99,0)</f>
        <v>0</v>
      </c>
      <c r="I100" s="60">
        <f>IFERROR(I98/I99,0)</f>
        <v>0</v>
      </c>
      <c r="J100" s="60">
        <f>IFERROR(J98/J99,0)</f>
        <v>0</v>
      </c>
      <c r="K100" s="60">
        <f>IFERROR(K98/K99,0)</f>
        <v>0.0401931970734138</v>
      </c>
      <c r="L100" s="60">
        <f>IFERROR(L98/L99,0)</f>
        <v>0.0400287789185725</v>
      </c>
      <c r="M100" s="60">
        <f>IFERROR(M98/M99,0)</f>
        <v>0.0398657004528823</v>
      </c>
      <c r="N100" s="60">
        <f>IFERROR(N98/N99,0)</f>
        <v>0.0397039453689765</v>
      </c>
      <c r="O100" s="60">
        <f>IFERROR(O98/O99,0)</f>
        <v>0.083705718524173</v>
      </c>
      <c r="P100" s="60">
        <f>IFERROR(P98/P99,0)</f>
        <v>0.083384585233884</v>
      </c>
      <c r="Q100" s="60">
        <f>IFERROR(Q98/Q99,0)</f>
        <v>0.0830659065539465</v>
      </c>
      <c r="R100" s="60">
        <f>IFERROR(R98/R99,0)</f>
        <v>0.0827496544484649</v>
      </c>
      <c r="S100" s="60">
        <f>IFERROR(S98/S99,0)</f>
        <v>0.131481634080082</v>
      </c>
      <c r="T100" s="60">
        <f>IFERROR(T98/T99,0)</f>
        <v>0.131012549027742</v>
      </c>
      <c r="U100" s="60">
        <f>IFERROR(U98/U99,0)</f>
        <v>0.130546799171872</v>
      </c>
      <c r="V100" s="60">
        <f>IFERROR(V98/V99,0)</f>
        <v>0.130084349068586</v>
      </c>
      <c r="W100" s="60">
        <f>IFERROR(W98/W99,0)</f>
        <v>0.18166321780047</v>
      </c>
      <c r="X100" s="60">
        <f>IFERROR(X98/X99,0)</f>
        <v>0.181065109952131</v>
      </c>
      <c r="Y100" s="60">
        <f>IFERROR(Y98/Y99,0)</f>
        <v>0.180470927599197</v>
      </c>
      <c r="Z100" s="60">
        <f>IFERROR(Z98/Z99,0)</f>
        <v>0.179880632222416</v>
      </c>
      <c r="AA100" s="60">
        <f>IFERROR(AA98/AA99,0)</f>
        <v>1.40264804150399</v>
      </c>
    </row>
    <row r="101">
      <c r="C101" s="43" t="inlineStr">
        <is>
          <t>Test</t>
        </is>
      </c>
      <c r="G101" s="7" t="b">
        <f>G100&gt;=$E$73-0.00001</f>
        <v>0</v>
      </c>
      <c r="H101" s="7" t="b">
        <f>H100&gt;=$E$73-0.00001</f>
        <v>0</v>
      </c>
      <c r="I101" s="7" t="b">
        <f>I100&gt;=$E$73-0.00001</f>
        <v>0</v>
      </c>
      <c r="J101" s="7" t="b">
        <f>J100&gt;=$E$73-0.00001</f>
        <v>0</v>
      </c>
      <c r="K101" s="7" t="b">
        <f>K100&gt;=$E$73-0.00001</f>
        <v>0</v>
      </c>
      <c r="L101" s="7" t="b">
        <f>L100&gt;=$E$73-0.00001</f>
        <v>0</v>
      </c>
      <c r="M101" s="7" t="b">
        <f>M100&gt;=$E$73-0.00001</f>
        <v>0</v>
      </c>
      <c r="N101" s="7" t="b">
        <f>N100&gt;=$E$73-0.00001</f>
        <v>0</v>
      </c>
      <c r="O101" s="7" t="b">
        <f>O100&gt;=$E$73-0.00001</f>
        <v>0</v>
      </c>
      <c r="P101" s="7" t="b">
        <f>P100&gt;=$E$73-0.00001</f>
        <v>0</v>
      </c>
      <c r="Q101" s="7" t="b">
        <f>Q100&gt;=$E$73-0.00001</f>
        <v>0</v>
      </c>
      <c r="R101" s="7" t="b">
        <f>R100&gt;=$E$73-0.00001</f>
        <v>0</v>
      </c>
      <c r="S101" s="7" t="b">
        <f>S100&gt;=$E$73-0.00001</f>
        <v>0</v>
      </c>
      <c r="T101" s="7" t="b">
        <f>T100&gt;=$E$73-0.00001</f>
        <v>0</v>
      </c>
      <c r="U101" s="7" t="b">
        <f>U100&gt;=$E$73-0.00001</f>
        <v>0</v>
      </c>
      <c r="V101" s="7" t="b">
        <f>V100&gt;=$E$73-0.00001</f>
        <v>0</v>
      </c>
      <c r="W101" s="7" t="b">
        <f>W100&gt;=$E$73-0.00001</f>
        <v>0</v>
      </c>
      <c r="X101" s="7" t="b">
        <f>X100&gt;=$E$73-0.00001</f>
        <v>0</v>
      </c>
      <c r="Y101" s="7" t="b">
        <f>Y100&gt;=$E$73-0.00001</f>
        <v>0</v>
      </c>
      <c r="Z101" s="7" t="b">
        <f>Z100&gt;=$E$73-0.00001</f>
        <v>0</v>
      </c>
      <c r="AA101" s="7" t="b">
        <f>AA100&gt;=$E$73-0.00001</f>
        <v>1</v>
      </c>
    </row>
    <row r="102">
      <c r="C102" s="14" t="inlineStr">
        <is>
          <t>GP Cash Flows</t>
        </is>
      </c>
      <c r="G102" s="8">
        <f>G75</f>
        <v>0</v>
      </c>
      <c r="H102" s="8">
        <f>H75</f>
        <v>0</v>
      </c>
      <c r="I102" s="8">
        <f>I75</f>
        <v>0</v>
      </c>
      <c r="J102" s="8">
        <f>J75</f>
        <v>0</v>
      </c>
      <c r="K102" s="8">
        <f>K75</f>
        <v>0</v>
      </c>
      <c r="L102" s="8">
        <f>L75</f>
        <v>0</v>
      </c>
      <c r="M102" s="8">
        <f>M75</f>
        <v>0</v>
      </c>
      <c r="N102" s="8">
        <f>N75</f>
        <v>0</v>
      </c>
      <c r="O102" s="8">
        <f>O75</f>
        <v>0</v>
      </c>
      <c r="P102" s="8">
        <f>P75</f>
        <v>0</v>
      </c>
      <c r="Q102" s="8">
        <f>Q75</f>
        <v>0</v>
      </c>
      <c r="R102" s="8">
        <f>R75</f>
        <v>0</v>
      </c>
      <c r="S102" s="8">
        <f>S75</f>
        <v>0</v>
      </c>
      <c r="T102" s="8">
        <f>T75</f>
        <v>0</v>
      </c>
      <c r="U102" s="8">
        <f>U75</f>
        <v>0</v>
      </c>
      <c r="V102" s="8">
        <f>V75</f>
        <v>0</v>
      </c>
      <c r="W102" s="8">
        <f>W75</f>
        <v>0</v>
      </c>
      <c r="X102" s="8">
        <f>X75</f>
        <v>0</v>
      </c>
      <c r="Y102" s="8">
        <f>Y75</f>
        <v>0</v>
      </c>
      <c r="Z102" s="8">
        <f>Z75</f>
        <v>0</v>
      </c>
      <c r="AA102" s="8">
        <f>AA75</f>
        <v>0</v>
      </c>
      <c r="AB102" s="39">
        <f>SUM(G102:AA102)</f>
        <v>0</v>
      </c>
    </row>
    <row r="103">
      <c r="C103" s="14" t="inlineStr">
        <is>
          <t>LP Cash Flows</t>
        </is>
      </c>
      <c r="G103" s="8">
        <f>G76</f>
        <v>0</v>
      </c>
      <c r="H103" s="8">
        <f>H76</f>
        <v>0</v>
      </c>
      <c r="I103" s="8">
        <f>I76</f>
        <v>0</v>
      </c>
      <c r="J103" s="8">
        <f>J76</f>
        <v>0</v>
      </c>
      <c r="K103" s="8">
        <f>K76</f>
        <v>0</v>
      </c>
      <c r="L103" s="8">
        <f>L76</f>
        <v>0</v>
      </c>
      <c r="M103" s="8">
        <f>M76</f>
        <v>0</v>
      </c>
      <c r="N103" s="8">
        <f>N76</f>
        <v>0</v>
      </c>
      <c r="O103" s="8">
        <f>O76</f>
        <v>0</v>
      </c>
      <c r="P103" s="8">
        <f>P76</f>
        <v>0</v>
      </c>
      <c r="Q103" s="8">
        <f>Q76</f>
        <v>0</v>
      </c>
      <c r="R103" s="8">
        <f>R76</f>
        <v>0</v>
      </c>
      <c r="S103" s="8">
        <f>S76</f>
        <v>0</v>
      </c>
      <c r="T103" s="8">
        <f>T76</f>
        <v>0</v>
      </c>
      <c r="U103" s="8">
        <f>U76</f>
        <v>0</v>
      </c>
      <c r="V103" s="8">
        <f>V76</f>
        <v>0</v>
      </c>
      <c r="W103" s="8">
        <f>W76</f>
        <v>0</v>
      </c>
      <c r="X103" s="8">
        <f>X76</f>
        <v>0</v>
      </c>
      <c r="Y103" s="8">
        <f>Y76</f>
        <v>0</v>
      </c>
      <c r="Z103" s="8">
        <f>Z76</f>
        <v>0</v>
      </c>
      <c r="AA103" s="8">
        <f>AA76</f>
        <v>66279844.3242502</v>
      </c>
      <c r="AB103" s="39">
        <f>SUM(G103:AA103)</f>
        <v>66279844.3242502</v>
      </c>
    </row>
    <row r="104">
      <c r="C104" s="29" t="inlineStr">
        <is>
          <t>Proceeds Available for Next Tier</t>
        </is>
      </c>
      <c r="G104" s="39">
        <f>G68-G102-G103</f>
        <v>0</v>
      </c>
      <c r="H104" s="39">
        <f>H68-H102-H103</f>
        <v>0</v>
      </c>
      <c r="I104" s="39">
        <f>I68-I102-I103</f>
        <v>0</v>
      </c>
      <c r="J104" s="39">
        <f>J68-J102-J103</f>
        <v>0</v>
      </c>
      <c r="K104" s="39">
        <f>K68-K102-K103</f>
        <v>0</v>
      </c>
      <c r="L104" s="39">
        <f>L68-L102-L103</f>
        <v>0</v>
      </c>
      <c r="M104" s="39">
        <f>M68-M102-M103</f>
        <v>0</v>
      </c>
      <c r="N104" s="39">
        <f>N68-N102-N103</f>
        <v>0</v>
      </c>
      <c r="O104" s="39">
        <f>O68-O102-O103</f>
        <v>0</v>
      </c>
      <c r="P104" s="39">
        <f>P68-P102-P103</f>
        <v>0</v>
      </c>
      <c r="Q104" s="39">
        <f>Q68-Q102-Q103</f>
        <v>0</v>
      </c>
      <c r="R104" s="39">
        <f>R68-R102-R103</f>
        <v>0</v>
      </c>
      <c r="S104" s="39">
        <f>S68-S102-S103</f>
        <v>0</v>
      </c>
      <c r="T104" s="39">
        <f>T68-T102-T103</f>
        <v>0</v>
      </c>
      <c r="U104" s="39">
        <f>U68-U102-U103</f>
        <v>0</v>
      </c>
      <c r="V104" s="39">
        <f>V68-V102-V103</f>
        <v>0</v>
      </c>
      <c r="W104" s="39">
        <f>W68-W102-W103</f>
        <v>0</v>
      </c>
      <c r="X104" s="39">
        <f>X68-X102-X103</f>
        <v>0</v>
      </c>
      <c r="Y104" s="39">
        <f>Y68-Y102-Y103</f>
        <v>0</v>
      </c>
      <c r="Z104" s="39">
        <f>Z68-Z102-Z103</f>
        <v>0</v>
      </c>
      <c r="AA104" s="39">
        <f>AA68-AA102-AA103</f>
        <v>126559359.995843</v>
      </c>
      <c r="AB104" s="39">
        <f>SUM(G104:AA104)</f>
        <v>126559359.995843</v>
      </c>
    </row>
    <row r="106">
      <c r="C106" s="12" t="inlineStr">
        <is>
          <t>Tier 3: GP Catch-Up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</row>
    <row r="107">
      <c r="C107" s="14" t="inlineStr">
        <is>
          <t>Catch-Up to GP (%)</t>
        </is>
      </c>
      <c r="E107" s="47">
        <f>Control!$E$43</f>
        <v>1</v>
      </c>
    </row>
    <row r="108">
      <c r="C108" s="14" t="inlineStr">
        <is>
          <t>Allocation to GP (Carried Interest %)</t>
        </is>
      </c>
      <c r="E108" s="47">
        <f>Control!$E$44</f>
        <v>0.1</v>
      </c>
    </row>
    <row r="109">
      <c r="C109" s="3" t="inlineStr">
        <is>
          <t>Profit Distributions:</t>
        </is>
      </c>
    </row>
    <row r="110">
      <c r="C110" s="14" t="inlineStr">
        <is>
          <t>to GPs</t>
        </is>
      </c>
      <c r="G110" s="8">
        <f>-G115*$E$107</f>
        <v>0</v>
      </c>
      <c r="H110" s="8">
        <f>-H115*$E$107</f>
        <v>0</v>
      </c>
      <c r="I110" s="8">
        <f>-I115*$E$107</f>
        <v>0</v>
      </c>
      <c r="J110" s="8">
        <f>-J115*$E$107</f>
        <v>0</v>
      </c>
      <c r="K110" s="8">
        <f>-K115*$E$107</f>
        <v>0</v>
      </c>
      <c r="L110" s="8">
        <f>-L115*$E$107</f>
        <v>0</v>
      </c>
      <c r="M110" s="8">
        <f>-M115*$E$107</f>
        <v>0</v>
      </c>
      <c r="N110" s="8">
        <f>-N115*$E$107</f>
        <v>0</v>
      </c>
      <c r="O110" s="8">
        <f>-O115*$E$107</f>
        <v>0</v>
      </c>
      <c r="P110" s="8">
        <f>-P115*$E$107</f>
        <v>0</v>
      </c>
      <c r="Q110" s="8">
        <f>-Q115*$E$107</f>
        <v>0</v>
      </c>
      <c r="R110" s="8">
        <f>-R115*$E$107</f>
        <v>0</v>
      </c>
      <c r="S110" s="8">
        <f>-S115*$E$107</f>
        <v>0</v>
      </c>
      <c r="T110" s="8">
        <f>-T115*$E$107</f>
        <v>0</v>
      </c>
      <c r="U110" s="8">
        <f>-U115*$E$107</f>
        <v>0</v>
      </c>
      <c r="V110" s="8">
        <f>-V115*$E$107</f>
        <v>0</v>
      </c>
      <c r="W110" s="8">
        <f>-W115*$E$107</f>
        <v>0</v>
      </c>
      <c r="X110" s="8">
        <f>-X115*$E$107</f>
        <v>0</v>
      </c>
      <c r="Y110" s="8">
        <f>-Y115*$E$107</f>
        <v>0</v>
      </c>
      <c r="Z110" s="8">
        <f>-Z115*$E$107</f>
        <v>0</v>
      </c>
      <c r="AA110" s="8">
        <f>-AA115*$E$107</f>
        <v>7364427.14713891</v>
      </c>
      <c r="AB110" s="39">
        <f>SUM(G110:AA110)</f>
        <v>7364427.14713891</v>
      </c>
    </row>
    <row r="111">
      <c r="C111" s="14" t="inlineStr">
        <is>
          <t>to LPs</t>
        </is>
      </c>
      <c r="G111" s="8">
        <f>-G115*(1-$E$107)</f>
        <v>0</v>
      </c>
      <c r="H111" s="8">
        <f>-H115*(1-$E$107)</f>
        <v>0</v>
      </c>
      <c r="I111" s="8">
        <f>-I115*(1-$E$107)</f>
        <v>0</v>
      </c>
      <c r="J111" s="8">
        <f>-J115*(1-$E$107)</f>
        <v>0</v>
      </c>
      <c r="K111" s="8">
        <f>-K115*(1-$E$107)</f>
        <v>0</v>
      </c>
      <c r="L111" s="8">
        <f>-L115*(1-$E$107)</f>
        <v>0</v>
      </c>
      <c r="M111" s="8">
        <f>-M115*(1-$E$107)</f>
        <v>0</v>
      </c>
      <c r="N111" s="8">
        <f>-N115*(1-$E$107)</f>
        <v>0</v>
      </c>
      <c r="O111" s="8">
        <f>-O115*(1-$E$107)</f>
        <v>0</v>
      </c>
      <c r="P111" s="8">
        <f>-P115*(1-$E$107)</f>
        <v>0</v>
      </c>
      <c r="Q111" s="8">
        <f>-Q115*(1-$E$107)</f>
        <v>0</v>
      </c>
      <c r="R111" s="8">
        <f>-R115*(1-$E$107)</f>
        <v>0</v>
      </c>
      <c r="S111" s="8">
        <f>-S115*(1-$E$107)</f>
        <v>0</v>
      </c>
      <c r="T111" s="8">
        <f>-T115*(1-$E$107)</f>
        <v>0</v>
      </c>
      <c r="U111" s="8">
        <f>-U115*(1-$E$107)</f>
        <v>0</v>
      </c>
      <c r="V111" s="8">
        <f>-V115*(1-$E$107)</f>
        <v>0</v>
      </c>
      <c r="W111" s="8">
        <f>-W115*(1-$E$107)</f>
        <v>0</v>
      </c>
      <c r="X111" s="8">
        <f>-X115*(1-$E$107)</f>
        <v>0</v>
      </c>
      <c r="Y111" s="8">
        <f>-Y115*(1-$E$107)</f>
        <v>0</v>
      </c>
      <c r="Z111" s="8">
        <f>-Z115*(1-$E$107)</f>
        <v>0</v>
      </c>
      <c r="AA111" s="8">
        <f>-AA115*(1-$E$107)</f>
        <v>0</v>
      </c>
      <c r="AB111" s="39">
        <f>SUM(G111:AA111)</f>
        <v>0</v>
      </c>
    </row>
    <row r="112">
      <c r="C112" s="3" t="inlineStr">
        <is>
          <t>Catch-Up to GP:</t>
        </is>
      </c>
    </row>
    <row r="113">
      <c r="C113" s="14" t="inlineStr">
        <is>
          <t>Beginning</t>
        </is>
      </c>
      <c r="G113" s="8">
        <f>0</f>
        <v>0</v>
      </c>
      <c r="H113" s="8">
        <f>G116</f>
        <v>0</v>
      </c>
      <c r="I113" s="8">
        <f>H116</f>
        <v>0</v>
      </c>
      <c r="J113" s="8">
        <f>I116</f>
        <v>0</v>
      </c>
      <c r="K113" s="8">
        <f>J116</f>
        <v>0</v>
      </c>
      <c r="L113" s="8">
        <f>K116</f>
        <v>0</v>
      </c>
      <c r="M113" s="8">
        <f>L116</f>
        <v>0</v>
      </c>
      <c r="N113" s="8">
        <f>M116</f>
        <v>0</v>
      </c>
      <c r="O113" s="8">
        <f>N116</f>
        <v>0</v>
      </c>
      <c r="P113" s="8">
        <f>O116</f>
        <v>0</v>
      </c>
      <c r="Q113" s="8">
        <f>P116</f>
        <v>0</v>
      </c>
      <c r="R113" s="8">
        <f>Q116</f>
        <v>0</v>
      </c>
      <c r="S113" s="8">
        <f>R116</f>
        <v>0</v>
      </c>
      <c r="T113" s="8">
        <f>S116</f>
        <v>0</v>
      </c>
      <c r="U113" s="8">
        <f>T116</f>
        <v>0</v>
      </c>
      <c r="V113" s="8">
        <f>U116</f>
        <v>0</v>
      </c>
      <c r="W113" s="8">
        <f>V116</f>
        <v>0</v>
      </c>
      <c r="X113" s="8">
        <f>W116</f>
        <v>0</v>
      </c>
      <c r="Y113" s="8">
        <f>X116</f>
        <v>0</v>
      </c>
      <c r="Z113" s="8">
        <f>Y116</f>
        <v>0</v>
      </c>
      <c r="AA113" s="8">
        <f>Z116</f>
        <v>0</v>
      </c>
    </row>
    <row r="114">
      <c r="C114" s="14" t="inlineStr">
        <is>
          <t>Plus: Accrual (carry % / (1 – carry %) x LP profit distributions, less GP profit received)</t>
        </is>
      </c>
      <c r="G114" s="8">
        <f>$E$108/(1-$E$108)*(G103)-(G102)</f>
        <v>0</v>
      </c>
      <c r="H114" s="8">
        <f>$E$108/(1-$E$108)*(H103)-(H102)</f>
        <v>0</v>
      </c>
      <c r="I114" s="8">
        <f>$E$108/(1-$E$108)*(I103)-(I102)</f>
        <v>0</v>
      </c>
      <c r="J114" s="8">
        <f>$E$108/(1-$E$108)*(J103)-(J102)</f>
        <v>0</v>
      </c>
      <c r="K114" s="8">
        <f>$E$108/(1-$E$108)*(K103)-(K102)</f>
        <v>0</v>
      </c>
      <c r="L114" s="8">
        <f>$E$108/(1-$E$108)*(L103)-(L102)</f>
        <v>0</v>
      </c>
      <c r="M114" s="8">
        <f>$E$108/(1-$E$108)*(M103)-(M102)</f>
        <v>0</v>
      </c>
      <c r="N114" s="8">
        <f>$E$108/(1-$E$108)*(N103)-(N102)</f>
        <v>0</v>
      </c>
      <c r="O114" s="8">
        <f>$E$108/(1-$E$108)*(O103)-(O102)</f>
        <v>0</v>
      </c>
      <c r="P114" s="8">
        <f>$E$108/(1-$E$108)*(P103)-(P102)</f>
        <v>0</v>
      </c>
      <c r="Q114" s="8">
        <f>$E$108/(1-$E$108)*(Q103)-(Q102)</f>
        <v>0</v>
      </c>
      <c r="R114" s="8">
        <f>$E$108/(1-$E$108)*(R103)-(R102)</f>
        <v>0</v>
      </c>
      <c r="S114" s="8">
        <f>$E$108/(1-$E$108)*(S103)-(S102)</f>
        <v>0</v>
      </c>
      <c r="T114" s="8">
        <f>$E$108/(1-$E$108)*(T103)-(T102)</f>
        <v>0</v>
      </c>
      <c r="U114" s="8">
        <f>$E$108/(1-$E$108)*(U103)-(U102)</f>
        <v>0</v>
      </c>
      <c r="V114" s="8">
        <f>$E$108/(1-$E$108)*(V103)-(V102)</f>
        <v>0</v>
      </c>
      <c r="W114" s="8">
        <f>$E$108/(1-$E$108)*(W103)-(W102)</f>
        <v>0</v>
      </c>
      <c r="X114" s="8">
        <f>$E$108/(1-$E$108)*(X103)-(X102)</f>
        <v>0</v>
      </c>
      <c r="Y114" s="8">
        <f>$E$108/(1-$E$108)*(Y103)-(Y102)</f>
        <v>0</v>
      </c>
      <c r="Z114" s="8">
        <f>$E$108/(1-$E$108)*(Z103)-(Z102)</f>
        <v>0</v>
      </c>
      <c r="AA114" s="8">
        <f>$E$108/(1-$E$108)*(AA103)-(AA102)</f>
        <v>7364427.14713891</v>
      </c>
      <c r="AB114" s="39">
        <f>SUM(G114:AA114)</f>
        <v>7364427.14713891</v>
      </c>
    </row>
    <row r="115">
      <c r="C115" s="14" t="inlineStr">
        <is>
          <t>Less: Payment</t>
        </is>
      </c>
      <c r="G115" s="8">
        <f>-MIN(MAX(0,G113+G114),G104)</f>
        <v>-0</v>
      </c>
      <c r="H115" s="8">
        <f>-MIN(MAX(0,H113+H114),H104)</f>
        <v>-0</v>
      </c>
      <c r="I115" s="8">
        <f>-MIN(MAX(0,I113+I114),I104)</f>
        <v>-0</v>
      </c>
      <c r="J115" s="8">
        <f>-MIN(MAX(0,J113+J114),J104)</f>
        <v>-0</v>
      </c>
      <c r="K115" s="8">
        <f>-MIN(MAX(0,K113+K114),K104)</f>
        <v>-0</v>
      </c>
      <c r="L115" s="8">
        <f>-MIN(MAX(0,L113+L114),L104)</f>
        <v>-0</v>
      </c>
      <c r="M115" s="8">
        <f>-MIN(MAX(0,M113+M114),M104)</f>
        <v>-0</v>
      </c>
      <c r="N115" s="8">
        <f>-MIN(MAX(0,N113+N114),N104)</f>
        <v>-0</v>
      </c>
      <c r="O115" s="8">
        <f>-MIN(MAX(0,O113+O114),O104)</f>
        <v>-0</v>
      </c>
      <c r="P115" s="8">
        <f>-MIN(MAX(0,P113+P114),P104)</f>
        <v>-0</v>
      </c>
      <c r="Q115" s="8">
        <f>-MIN(MAX(0,Q113+Q114),Q104)</f>
        <v>-0</v>
      </c>
      <c r="R115" s="8">
        <f>-MIN(MAX(0,R113+R114),R104)</f>
        <v>-0</v>
      </c>
      <c r="S115" s="8">
        <f>-MIN(MAX(0,S113+S114),S104)</f>
        <v>-0</v>
      </c>
      <c r="T115" s="8">
        <f>-MIN(MAX(0,T113+T114),T104)</f>
        <v>-0</v>
      </c>
      <c r="U115" s="8">
        <f>-MIN(MAX(0,U113+U114),U104)</f>
        <v>-0</v>
      </c>
      <c r="V115" s="8">
        <f>-MIN(MAX(0,V113+V114),V104)</f>
        <v>-0</v>
      </c>
      <c r="W115" s="8">
        <f>-MIN(MAX(0,W113+W114),W104)</f>
        <v>-0</v>
      </c>
      <c r="X115" s="8">
        <f>-MIN(MAX(0,X113+X114),X104)</f>
        <v>-0</v>
      </c>
      <c r="Y115" s="8">
        <f>-MIN(MAX(0,Y113+Y114),Y104)</f>
        <v>-0</v>
      </c>
      <c r="Z115" s="8">
        <f>-MIN(MAX(0,Z113+Z114),Z104)</f>
        <v>-0</v>
      </c>
      <c r="AA115" s="8">
        <f>-MIN(MAX(0,AA113+AA114),AA104)</f>
        <v>-7364427.14713891</v>
      </c>
      <c r="AB115" s="39">
        <f>SUM(G115:AA115)</f>
        <v>-7364427.14713891</v>
      </c>
    </row>
    <row r="116">
      <c r="C116" s="29" t="inlineStr">
        <is>
          <t>Ending</t>
        </is>
      </c>
      <c r="G116" s="30">
        <f>G113+G114+G115</f>
        <v>0</v>
      </c>
      <c r="H116" s="30">
        <f>H113+H114+H115</f>
        <v>0</v>
      </c>
      <c r="I116" s="30">
        <f>I113+I114+I115</f>
        <v>0</v>
      </c>
      <c r="J116" s="30">
        <f>J113+J114+J115</f>
        <v>0</v>
      </c>
      <c r="K116" s="30">
        <f>K113+K114+K115</f>
        <v>0</v>
      </c>
      <c r="L116" s="30">
        <f>L113+L114+L115</f>
        <v>0</v>
      </c>
      <c r="M116" s="30">
        <f>M113+M114+M115</f>
        <v>0</v>
      </c>
      <c r="N116" s="30">
        <f>N113+N114+N115</f>
        <v>0</v>
      </c>
      <c r="O116" s="30">
        <f>O113+O114+O115</f>
        <v>0</v>
      </c>
      <c r="P116" s="30">
        <f>P113+P114+P115</f>
        <v>0</v>
      </c>
      <c r="Q116" s="30">
        <f>Q113+Q114+Q115</f>
        <v>0</v>
      </c>
      <c r="R116" s="30">
        <f>R113+R114+R115</f>
        <v>0</v>
      </c>
      <c r="S116" s="30">
        <f>S113+S114+S115</f>
        <v>0</v>
      </c>
      <c r="T116" s="30">
        <f>T113+T114+T115</f>
        <v>0</v>
      </c>
      <c r="U116" s="30">
        <f>U113+U114+U115</f>
        <v>0</v>
      </c>
      <c r="V116" s="30">
        <f>V113+V114+V115</f>
        <v>0</v>
      </c>
      <c r="W116" s="30">
        <f>W113+W114+W115</f>
        <v>0</v>
      </c>
      <c r="X116" s="30">
        <f>X113+X114+X115</f>
        <v>0</v>
      </c>
      <c r="Y116" s="30">
        <f>Y113+Y114+Y115</f>
        <v>0</v>
      </c>
      <c r="Z116" s="30">
        <f>Z113+Z114+Z115</f>
        <v>0</v>
      </c>
      <c r="AA116" s="30">
        <f>AA113+AA114+AA115</f>
        <v>0</v>
      </c>
    </row>
    <row r="117">
      <c r="C117" s="14" t="inlineStr">
        <is>
          <t>GP Cash Flows</t>
        </is>
      </c>
      <c r="G117" s="8">
        <f>G110</f>
        <v>0</v>
      </c>
      <c r="H117" s="8">
        <f>H110</f>
        <v>0</v>
      </c>
      <c r="I117" s="8">
        <f>I110</f>
        <v>0</v>
      </c>
      <c r="J117" s="8">
        <f>J110</f>
        <v>0</v>
      </c>
      <c r="K117" s="8">
        <f>K110</f>
        <v>0</v>
      </c>
      <c r="L117" s="8">
        <f>L110</f>
        <v>0</v>
      </c>
      <c r="M117" s="8">
        <f>M110</f>
        <v>0</v>
      </c>
      <c r="N117" s="8">
        <f>N110</f>
        <v>0</v>
      </c>
      <c r="O117" s="8">
        <f>O110</f>
        <v>0</v>
      </c>
      <c r="P117" s="8">
        <f>P110</f>
        <v>0</v>
      </c>
      <c r="Q117" s="8">
        <f>Q110</f>
        <v>0</v>
      </c>
      <c r="R117" s="8">
        <f>R110</f>
        <v>0</v>
      </c>
      <c r="S117" s="8">
        <f>S110</f>
        <v>0</v>
      </c>
      <c r="T117" s="8">
        <f>T110</f>
        <v>0</v>
      </c>
      <c r="U117" s="8">
        <f>U110</f>
        <v>0</v>
      </c>
      <c r="V117" s="8">
        <f>V110</f>
        <v>0</v>
      </c>
      <c r="W117" s="8">
        <f>W110</f>
        <v>0</v>
      </c>
      <c r="X117" s="8">
        <f>X110</f>
        <v>0</v>
      </c>
      <c r="Y117" s="8">
        <f>Y110</f>
        <v>0</v>
      </c>
      <c r="Z117" s="8">
        <f>Z110</f>
        <v>0</v>
      </c>
      <c r="AA117" s="8">
        <f>AA110</f>
        <v>7364427.14713891</v>
      </c>
      <c r="AB117" s="39">
        <f>SUM(G117:AA117)</f>
        <v>7364427.14713891</v>
      </c>
    </row>
    <row r="118">
      <c r="C118" s="14" t="inlineStr">
        <is>
          <t>LP Cash Flows</t>
        </is>
      </c>
      <c r="G118" s="8">
        <f>G111</f>
        <v>0</v>
      </c>
      <c r="H118" s="8">
        <f>H111</f>
        <v>0</v>
      </c>
      <c r="I118" s="8">
        <f>I111</f>
        <v>0</v>
      </c>
      <c r="J118" s="8">
        <f>J111</f>
        <v>0</v>
      </c>
      <c r="K118" s="8">
        <f>K111</f>
        <v>0</v>
      </c>
      <c r="L118" s="8">
        <f>L111</f>
        <v>0</v>
      </c>
      <c r="M118" s="8">
        <f>M111</f>
        <v>0</v>
      </c>
      <c r="N118" s="8">
        <f>N111</f>
        <v>0</v>
      </c>
      <c r="O118" s="8">
        <f>O111</f>
        <v>0</v>
      </c>
      <c r="P118" s="8">
        <f>P111</f>
        <v>0</v>
      </c>
      <c r="Q118" s="8">
        <f>Q111</f>
        <v>0</v>
      </c>
      <c r="R118" s="8">
        <f>R111</f>
        <v>0</v>
      </c>
      <c r="S118" s="8">
        <f>S111</f>
        <v>0</v>
      </c>
      <c r="T118" s="8">
        <f>T111</f>
        <v>0</v>
      </c>
      <c r="U118" s="8">
        <f>U111</f>
        <v>0</v>
      </c>
      <c r="V118" s="8">
        <f>V111</f>
        <v>0</v>
      </c>
      <c r="W118" s="8">
        <f>W111</f>
        <v>0</v>
      </c>
      <c r="X118" s="8">
        <f>X111</f>
        <v>0</v>
      </c>
      <c r="Y118" s="8">
        <f>Y111</f>
        <v>0</v>
      </c>
      <c r="Z118" s="8">
        <f>Z111</f>
        <v>0</v>
      </c>
      <c r="AA118" s="8">
        <f>AA111</f>
        <v>0</v>
      </c>
      <c r="AB118" s="39">
        <f>SUM(G118:AA118)</f>
        <v>0</v>
      </c>
    </row>
    <row r="119">
      <c r="C119" s="29" t="inlineStr">
        <is>
          <t>Proceeds Available for Next Tier</t>
        </is>
      </c>
      <c r="G119" s="39">
        <f>G104+G115</f>
        <v>0</v>
      </c>
      <c r="H119" s="39">
        <f>H104+H115</f>
        <v>0</v>
      </c>
      <c r="I119" s="39">
        <f>I104+I115</f>
        <v>0</v>
      </c>
      <c r="J119" s="39">
        <f>J104+J115</f>
        <v>0</v>
      </c>
      <c r="K119" s="39">
        <f>K104+K115</f>
        <v>0</v>
      </c>
      <c r="L119" s="39">
        <f>L104+L115</f>
        <v>0</v>
      </c>
      <c r="M119" s="39">
        <f>M104+M115</f>
        <v>0</v>
      </c>
      <c r="N119" s="39">
        <f>N104+N115</f>
        <v>0</v>
      </c>
      <c r="O119" s="39">
        <f>O104+O115</f>
        <v>0</v>
      </c>
      <c r="P119" s="39">
        <f>P104+P115</f>
        <v>0</v>
      </c>
      <c r="Q119" s="39">
        <f>Q104+Q115</f>
        <v>0</v>
      </c>
      <c r="R119" s="39">
        <f>R104+R115</f>
        <v>0</v>
      </c>
      <c r="S119" s="39">
        <f>S104+S115</f>
        <v>0</v>
      </c>
      <c r="T119" s="39">
        <f>T104+T115</f>
        <v>0</v>
      </c>
      <c r="U119" s="39">
        <f>U104+U115</f>
        <v>0</v>
      </c>
      <c r="V119" s="39">
        <f>V104+V115</f>
        <v>0</v>
      </c>
      <c r="W119" s="39">
        <f>W104+W115</f>
        <v>0</v>
      </c>
      <c r="X119" s="39">
        <f>X104+X115</f>
        <v>0</v>
      </c>
      <c r="Y119" s="39">
        <f>Y104+Y115</f>
        <v>0</v>
      </c>
      <c r="Z119" s="39">
        <f>Z104+Z115</f>
        <v>0</v>
      </c>
      <c r="AA119" s="39">
        <f>AA104+AA115</f>
        <v>119194932.848704</v>
      </c>
      <c r="AB119" s="39">
        <f>SUM(G119:AA119)</f>
        <v>119194932.848704</v>
      </c>
    </row>
    <row r="121">
      <c r="C121" s="12" t="inlineStr">
        <is>
          <t>Tier 3: Carried Interest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</row>
    <row r="122">
      <c r="C122" s="14" t="inlineStr">
        <is>
          <t>Allocation to GP (%)</t>
        </is>
      </c>
      <c r="E122" s="47">
        <f>Control!$E$44</f>
        <v>0.1</v>
      </c>
    </row>
    <row r="123">
      <c r="C123" s="14" t="inlineStr">
        <is>
          <t>IRR Hurdle (%) (next tier)</t>
        </is>
      </c>
      <c r="E123" s="47">
        <f>Control!$E$51</f>
        <v>0.15</v>
      </c>
    </row>
    <row r="124">
      <c r="C124" s="14" t="inlineStr">
        <is>
          <t>Multiple (x) (next tier)</t>
        </is>
      </c>
      <c r="E124" s="62">
        <f>Control!$E$52</f>
        <v>2</v>
      </c>
    </row>
    <row r="125">
      <c r="C125" s="3" t="inlineStr">
        <is>
          <t>Distribution of Proceeds:</t>
        </is>
      </c>
    </row>
    <row r="126">
      <c r="C126" s="14" t="inlineStr">
        <is>
          <t>Proceeds to GP</t>
        </is>
      </c>
      <c r="G126" s="8">
        <f>G127/(1-$E$122)*$E$122</f>
        <v>0</v>
      </c>
      <c r="H126" s="8">
        <f>H127/(1-$E$122)*$E$122</f>
        <v>0</v>
      </c>
      <c r="I126" s="8">
        <f>I127/(1-$E$122)*$E$122</f>
        <v>0</v>
      </c>
      <c r="J126" s="8">
        <f>J127/(1-$E$122)*$E$122</f>
        <v>0</v>
      </c>
      <c r="K126" s="8">
        <f>K127/(1-$E$122)*$E$122</f>
        <v>0</v>
      </c>
      <c r="L126" s="8">
        <f>L127/(1-$E$122)*$E$122</f>
        <v>0</v>
      </c>
      <c r="M126" s="8">
        <f>M127/(1-$E$122)*$E$122</f>
        <v>0</v>
      </c>
      <c r="N126" s="8">
        <f>N127/(1-$E$122)*$E$122</f>
        <v>0</v>
      </c>
      <c r="O126" s="8">
        <f>O127/(1-$E$122)*$E$122</f>
        <v>0</v>
      </c>
      <c r="P126" s="8">
        <f>P127/(1-$E$122)*$E$122</f>
        <v>0</v>
      </c>
      <c r="Q126" s="8">
        <f>Q127/(1-$E$122)*$E$122</f>
        <v>0</v>
      </c>
      <c r="R126" s="8">
        <f>R127/(1-$E$122)*$E$122</f>
        <v>0</v>
      </c>
      <c r="S126" s="8">
        <f>S127/(1-$E$122)*$E$122</f>
        <v>0</v>
      </c>
      <c r="T126" s="8">
        <f>T127/(1-$E$122)*$E$122</f>
        <v>0</v>
      </c>
      <c r="U126" s="8">
        <f>U127/(1-$E$122)*$E$122</f>
        <v>0</v>
      </c>
      <c r="V126" s="8">
        <f>V127/(1-$E$122)*$E$122</f>
        <v>0</v>
      </c>
      <c r="W126" s="8">
        <f>W127/(1-$E$122)*$E$122</f>
        <v>0</v>
      </c>
      <c r="X126" s="8">
        <f>X127/(1-$E$122)*$E$122</f>
        <v>0</v>
      </c>
      <c r="Y126" s="8">
        <f>Y127/(1-$E$122)*$E$122</f>
        <v>0</v>
      </c>
      <c r="Z126" s="8">
        <f>Z127/(1-$E$122)*$E$122</f>
        <v>0</v>
      </c>
      <c r="AA126" s="8">
        <f>AA127/(1-$E$122)*$E$122</f>
        <v>10925559.1138921</v>
      </c>
      <c r="AB126" s="39">
        <f>SUM(G126:AA126)</f>
        <v>10925559.1138921</v>
      </c>
    </row>
    <row r="127">
      <c r="C127" s="14" t="inlineStr">
        <is>
          <t>Proceeds to LPs</t>
        </is>
      </c>
      <c r="G127" s="8">
        <f>MIN(G119*(1-$E$122),MAX(G139,G152))</f>
        <v>0</v>
      </c>
      <c r="H127" s="8">
        <f>MIN(H119*(1-$E$122),MAX(H139,H152))</f>
        <v>0</v>
      </c>
      <c r="I127" s="8">
        <f>MIN(I119*(1-$E$122),MAX(I139,I152))</f>
        <v>0</v>
      </c>
      <c r="J127" s="8">
        <f>MIN(J119*(1-$E$122),MAX(J139,J152))</f>
        <v>0</v>
      </c>
      <c r="K127" s="8">
        <f>MIN(K119*(1-$E$122),MAX(K139,K152))</f>
        <v>0</v>
      </c>
      <c r="L127" s="8">
        <f>MIN(L119*(1-$E$122),MAX(L139,L152))</f>
        <v>0</v>
      </c>
      <c r="M127" s="8">
        <f>MIN(M119*(1-$E$122),MAX(M139,M152))</f>
        <v>0</v>
      </c>
      <c r="N127" s="8">
        <f>MIN(N119*(1-$E$122),MAX(N139,N152))</f>
        <v>0</v>
      </c>
      <c r="O127" s="8">
        <f>MIN(O119*(1-$E$122),MAX(O139,O152))</f>
        <v>0</v>
      </c>
      <c r="P127" s="8">
        <f>MIN(P119*(1-$E$122),MAX(P139,P152))</f>
        <v>0</v>
      </c>
      <c r="Q127" s="8">
        <f>MIN(Q119*(1-$E$122),MAX(Q139,Q152))</f>
        <v>0</v>
      </c>
      <c r="R127" s="8">
        <f>MIN(R119*(1-$E$122),MAX(R139,R152))</f>
        <v>0</v>
      </c>
      <c r="S127" s="8">
        <f>MIN(S119*(1-$E$122),MAX(S139,S152))</f>
        <v>0</v>
      </c>
      <c r="T127" s="8">
        <f>MIN(T119*(1-$E$122),MAX(T139,T152))</f>
        <v>0</v>
      </c>
      <c r="U127" s="8">
        <f>MIN(U119*(1-$E$122),MAX(U139,U152))</f>
        <v>0</v>
      </c>
      <c r="V127" s="8">
        <f>MIN(V119*(1-$E$122),MAX(V139,V152))</f>
        <v>0</v>
      </c>
      <c r="W127" s="8">
        <f>MIN(W119*(1-$E$122),MAX(W139,W152))</f>
        <v>0</v>
      </c>
      <c r="X127" s="8">
        <f>MIN(X119*(1-$E$122),MAX(X139,X152))</f>
        <v>0</v>
      </c>
      <c r="Y127" s="8">
        <f>MIN(Y119*(1-$E$122),MAX(Y139,Y152))</f>
        <v>0</v>
      </c>
      <c r="Z127" s="8">
        <f>MIN(Z119*(1-$E$122),MAX(Z139,Z152))</f>
        <v>0</v>
      </c>
      <c r="AA127" s="8">
        <f>MIN(AA119*(1-$E$122),MAX(AA139,AA152))</f>
        <v>98330032.0250285</v>
      </c>
      <c r="AB127" s="39">
        <f>SUM(G127:AA127)</f>
        <v>98330032.0250285</v>
      </c>
    </row>
    <row r="128">
      <c r="C128" s="3" t="inlineStr">
        <is>
          <t>IRR Test:</t>
        </is>
      </c>
    </row>
    <row r="129">
      <c r="C129" s="29" t="inlineStr">
        <is>
          <t>Net Cash Flows:</t>
        </is>
      </c>
    </row>
    <row r="130">
      <c r="C130" s="43" t="inlineStr">
        <is>
          <t>Plus: LP Contributions (Exc. Management Fees)</t>
        </is>
      </c>
      <c r="G130" s="8">
        <f>-G21</f>
        <v>-142159468.866388</v>
      </c>
      <c r="H130" s="8">
        <f>-H21</f>
        <v>-0</v>
      </c>
      <c r="I130" s="8">
        <f>-I21</f>
        <v>-0</v>
      </c>
      <c r="J130" s="8">
        <f>-J21</f>
        <v>-0</v>
      </c>
      <c r="K130" s="8">
        <f>-K21</f>
        <v>-3981165.72</v>
      </c>
      <c r="L130" s="8">
        <f>-L21</f>
        <v>-0</v>
      </c>
      <c r="M130" s="8">
        <f>-M21</f>
        <v>-0</v>
      </c>
      <c r="N130" s="8">
        <f>-N21</f>
        <v>-0</v>
      </c>
      <c r="O130" s="8">
        <f>-O21</f>
        <v>-3639919.92</v>
      </c>
      <c r="P130" s="8">
        <f>-P21</f>
        <v>-0</v>
      </c>
      <c r="Q130" s="8">
        <f>-Q21</f>
        <v>-0</v>
      </c>
      <c r="R130" s="8">
        <f>-R21</f>
        <v>-0</v>
      </c>
      <c r="S130" s="8">
        <f>-S21</f>
        <v>-1750374.08</v>
      </c>
      <c r="T130" s="8">
        <f>-T21</f>
        <v>-0</v>
      </c>
      <c r="U130" s="8">
        <f>-U21</f>
        <v>-0</v>
      </c>
      <c r="V130" s="8">
        <f>-V21</f>
        <v>-0</v>
      </c>
      <c r="W130" s="8">
        <f>-W21</f>
        <v>-647976</v>
      </c>
      <c r="X130" s="8">
        <f>-X21</f>
        <v>-0</v>
      </c>
      <c r="Y130" s="8">
        <f>-Y21</f>
        <v>-0</v>
      </c>
      <c r="Z130" s="8">
        <f>-Z21</f>
        <v>-0</v>
      </c>
      <c r="AA130" s="8">
        <f>-AA21</f>
        <v>-0</v>
      </c>
      <c r="AB130" s="39">
        <f>SUM(G130:AA130)</f>
        <v>-152178904.586388</v>
      </c>
    </row>
    <row r="131">
      <c r="C131" s="43" t="inlineStr">
        <is>
          <t>Plus: Management Fees</t>
        </is>
      </c>
      <c r="G131" s="8">
        <f>-G53</f>
        <v>-621947.676290447</v>
      </c>
      <c r="H131" s="8">
        <f>-H53</f>
        <v>-621947.676290447</v>
      </c>
      <c r="I131" s="8">
        <f>-I53</f>
        <v>-621947.676290447</v>
      </c>
      <c r="J131" s="8">
        <f>-J53</f>
        <v>-621947.676290447</v>
      </c>
      <c r="K131" s="8">
        <f>-K53</f>
        <v>-639365.276315447</v>
      </c>
      <c r="L131" s="8">
        <f>-L53</f>
        <v>-613117.24627729</v>
      </c>
      <c r="M131" s="8">
        <f>-M53</f>
        <v>-613117.24627729</v>
      </c>
      <c r="N131" s="8">
        <f>-N53</f>
        <v>-613117.24627729</v>
      </c>
      <c r="O131" s="8">
        <f>-O53</f>
        <v>-629041.89592729</v>
      </c>
      <c r="P131" s="8">
        <f>-P53</f>
        <v>-598389.251553261</v>
      </c>
      <c r="Q131" s="8">
        <f>-Q53</f>
        <v>-598389.251553261</v>
      </c>
      <c r="R131" s="8">
        <f>-R53</f>
        <v>-598389.251553261</v>
      </c>
      <c r="S131" s="8">
        <f>-S53</f>
        <v>-606047.138153261</v>
      </c>
      <c r="T131" s="8">
        <f>-T53</f>
        <v>-571182.354825136</v>
      </c>
      <c r="U131" s="8">
        <f>-U53</f>
        <v>-571182.354825136</v>
      </c>
      <c r="V131" s="8">
        <f>-V53</f>
        <v>-571182.354825136</v>
      </c>
      <c r="W131" s="8">
        <f>-W53</f>
        <v>-574017.249825136</v>
      </c>
      <c r="X131" s="8">
        <f>-X53</f>
        <v>-536660.734885214</v>
      </c>
      <c r="Y131" s="8">
        <f>-Y53</f>
        <v>-536660.734885214</v>
      </c>
      <c r="Z131" s="8">
        <f>-Z53</f>
        <v>-536660.734885214</v>
      </c>
      <c r="AA131" s="8">
        <f>-AA53</f>
        <v>-536660.734885214</v>
      </c>
      <c r="AB131" s="39">
        <f>SUM(G131:AA131)</f>
        <v>-12430971.7628908</v>
      </c>
    </row>
    <row r="132">
      <c r="C132" s="43" t="inlineStr">
        <is>
          <t>Less: Return of Capital</t>
        </is>
      </c>
      <c r="G132" s="8">
        <f>G67</f>
        <v>0</v>
      </c>
      <c r="H132" s="8">
        <f>H67</f>
        <v>0</v>
      </c>
      <c r="I132" s="8">
        <f>I67</f>
        <v>0</v>
      </c>
      <c r="J132" s="8">
        <f>J67</f>
        <v>0</v>
      </c>
      <c r="K132" s="8">
        <f>K67</f>
        <v>5999549.72300725</v>
      </c>
      <c r="L132" s="8">
        <f>L67</f>
        <v>0</v>
      </c>
      <c r="M132" s="8">
        <f>M67</f>
        <v>0</v>
      </c>
      <c r="N132" s="8">
        <f>N67</f>
        <v>0</v>
      </c>
      <c r="O132" s="8">
        <f>O67</f>
        <v>7006318.71406373</v>
      </c>
      <c r="P132" s="8">
        <f>P67</f>
        <v>0</v>
      </c>
      <c r="Q132" s="8">
        <f>Q67</f>
        <v>0</v>
      </c>
      <c r="R132" s="8">
        <f>R67</f>
        <v>0</v>
      </c>
      <c r="S132" s="8">
        <f>S67</f>
        <v>7969093.33214287</v>
      </c>
      <c r="T132" s="8">
        <f>T67</f>
        <v>0</v>
      </c>
      <c r="U132" s="8">
        <f>U67</f>
        <v>0</v>
      </c>
      <c r="V132" s="8">
        <f>V67</f>
        <v>0</v>
      </c>
      <c r="W132" s="8">
        <f>W67</f>
        <v>8538631.98626797</v>
      </c>
      <c r="X132" s="8">
        <f>X67</f>
        <v>0</v>
      </c>
      <c r="Y132" s="8">
        <f>Y67</f>
        <v>0</v>
      </c>
      <c r="Z132" s="8">
        <f>Z67</f>
        <v>0</v>
      </c>
      <c r="AA132" s="8">
        <f>AA67</f>
        <v>135096282.593797</v>
      </c>
      <c r="AB132" s="39">
        <f>SUM(G132:AA132)</f>
        <v>164609876.349279</v>
      </c>
    </row>
    <row r="133">
      <c r="C133" s="43" t="inlineStr">
        <is>
          <t>Less: Preferred Return</t>
        </is>
      </c>
      <c r="G133" s="8">
        <f>G103</f>
        <v>0</v>
      </c>
      <c r="H133" s="8">
        <f>H103</f>
        <v>0</v>
      </c>
      <c r="I133" s="8">
        <f>I103</f>
        <v>0</v>
      </c>
      <c r="J133" s="8">
        <f>J103</f>
        <v>0</v>
      </c>
      <c r="K133" s="8">
        <f>K103</f>
        <v>0</v>
      </c>
      <c r="L133" s="8">
        <f>L103</f>
        <v>0</v>
      </c>
      <c r="M133" s="8">
        <f>M103</f>
        <v>0</v>
      </c>
      <c r="N133" s="8">
        <f>N103</f>
        <v>0</v>
      </c>
      <c r="O133" s="8">
        <f>O103</f>
        <v>0</v>
      </c>
      <c r="P133" s="8">
        <f>P103</f>
        <v>0</v>
      </c>
      <c r="Q133" s="8">
        <f>Q103</f>
        <v>0</v>
      </c>
      <c r="R133" s="8">
        <f>R103</f>
        <v>0</v>
      </c>
      <c r="S133" s="8">
        <f>S103</f>
        <v>0</v>
      </c>
      <c r="T133" s="8">
        <f>T103</f>
        <v>0</v>
      </c>
      <c r="U133" s="8">
        <f>U103</f>
        <v>0</v>
      </c>
      <c r="V133" s="8">
        <f>V103</f>
        <v>0</v>
      </c>
      <c r="W133" s="8">
        <f>W103</f>
        <v>0</v>
      </c>
      <c r="X133" s="8">
        <f>X103</f>
        <v>0</v>
      </c>
      <c r="Y133" s="8">
        <f>Y103</f>
        <v>0</v>
      </c>
      <c r="Z133" s="8">
        <f>Z103</f>
        <v>0</v>
      </c>
      <c r="AA133" s="8">
        <f>AA103</f>
        <v>66279844.3242502</v>
      </c>
      <c r="AB133" s="39">
        <f>SUM(G133:AA133)</f>
        <v>66279844.3242502</v>
      </c>
    </row>
    <row r="134">
      <c r="C134" s="43" t="inlineStr">
        <is>
          <t>Less: Catch-Up (Tier 3)</t>
        </is>
      </c>
      <c r="G134" s="8">
        <f>G118</f>
        <v>0</v>
      </c>
      <c r="H134" s="8">
        <f>H118</f>
        <v>0</v>
      </c>
      <c r="I134" s="8">
        <f>I118</f>
        <v>0</v>
      </c>
      <c r="J134" s="8">
        <f>J118</f>
        <v>0</v>
      </c>
      <c r="K134" s="8">
        <f>K118</f>
        <v>0</v>
      </c>
      <c r="L134" s="8">
        <f>L118</f>
        <v>0</v>
      </c>
      <c r="M134" s="8">
        <f>M118</f>
        <v>0</v>
      </c>
      <c r="N134" s="8">
        <f>N118</f>
        <v>0</v>
      </c>
      <c r="O134" s="8">
        <f>O118</f>
        <v>0</v>
      </c>
      <c r="P134" s="8">
        <f>P118</f>
        <v>0</v>
      </c>
      <c r="Q134" s="8">
        <f>Q118</f>
        <v>0</v>
      </c>
      <c r="R134" s="8">
        <f>R118</f>
        <v>0</v>
      </c>
      <c r="S134" s="8">
        <f>S118</f>
        <v>0</v>
      </c>
      <c r="T134" s="8">
        <f>T118</f>
        <v>0</v>
      </c>
      <c r="U134" s="8">
        <f>U118</f>
        <v>0</v>
      </c>
      <c r="V134" s="8">
        <f>V118</f>
        <v>0</v>
      </c>
      <c r="W134" s="8">
        <f>W118</f>
        <v>0</v>
      </c>
      <c r="X134" s="8">
        <f>X118</f>
        <v>0</v>
      </c>
      <c r="Y134" s="8">
        <f>Y118</f>
        <v>0</v>
      </c>
      <c r="Z134" s="8">
        <f>Z118</f>
        <v>0</v>
      </c>
      <c r="AA134" s="8">
        <f>AA118</f>
        <v>0</v>
      </c>
      <c r="AB134" s="39">
        <f>SUM(G134:AA134)</f>
        <v>0</v>
      </c>
    </row>
    <row r="135">
      <c r="C135" s="43" t="inlineStr">
        <is>
          <t>Less: Proceeds to LPs</t>
        </is>
      </c>
      <c r="G135" s="8">
        <f>G127</f>
        <v>0</v>
      </c>
      <c r="H135" s="8">
        <f>H127</f>
        <v>0</v>
      </c>
      <c r="I135" s="8">
        <f>I127</f>
        <v>0</v>
      </c>
      <c r="J135" s="8">
        <f>J127</f>
        <v>0</v>
      </c>
      <c r="K135" s="8">
        <f>K127</f>
        <v>0</v>
      </c>
      <c r="L135" s="8">
        <f>L127</f>
        <v>0</v>
      </c>
      <c r="M135" s="8">
        <f>M127</f>
        <v>0</v>
      </c>
      <c r="N135" s="8">
        <f>N127</f>
        <v>0</v>
      </c>
      <c r="O135" s="8">
        <f>O127</f>
        <v>0</v>
      </c>
      <c r="P135" s="8">
        <f>P127</f>
        <v>0</v>
      </c>
      <c r="Q135" s="8">
        <f>Q127</f>
        <v>0</v>
      </c>
      <c r="R135" s="8">
        <f>R127</f>
        <v>0</v>
      </c>
      <c r="S135" s="8">
        <f>S127</f>
        <v>0</v>
      </c>
      <c r="T135" s="8">
        <f>T127</f>
        <v>0</v>
      </c>
      <c r="U135" s="8">
        <f>U127</f>
        <v>0</v>
      </c>
      <c r="V135" s="8">
        <f>V127</f>
        <v>0</v>
      </c>
      <c r="W135" s="8">
        <f>W127</f>
        <v>0</v>
      </c>
      <c r="X135" s="8">
        <f>X127</f>
        <v>0</v>
      </c>
      <c r="Y135" s="8">
        <f>Y127</f>
        <v>0</v>
      </c>
      <c r="Z135" s="8">
        <f>Z127</f>
        <v>0</v>
      </c>
      <c r="AA135" s="8">
        <f>AA127</f>
        <v>98330032.0250285</v>
      </c>
      <c r="AB135" s="39">
        <f>SUM(G135:AA135)</f>
        <v>98330032.0250285</v>
      </c>
    </row>
    <row r="136">
      <c r="C136" s="44" t="inlineStr">
        <is>
          <t>Net Cash Flows</t>
        </is>
      </c>
      <c r="G136" s="30">
        <f>SUM(G130:G135)</f>
        <v>-142781416.542678</v>
      </c>
      <c r="H136" s="30">
        <f>SUM(H130:H135)</f>
        <v>-621947.676290447</v>
      </c>
      <c r="I136" s="30">
        <f>SUM(I130:I135)</f>
        <v>-621947.676290447</v>
      </c>
      <c r="J136" s="30">
        <f>SUM(J130:J135)</f>
        <v>-621947.676290447</v>
      </c>
      <c r="K136" s="30">
        <f>SUM(K130:K135)</f>
        <v>1379018.7266918</v>
      </c>
      <c r="L136" s="30">
        <f>SUM(L130:L135)</f>
        <v>-613117.24627729</v>
      </c>
      <c r="M136" s="30">
        <f>SUM(M130:M135)</f>
        <v>-613117.24627729</v>
      </c>
      <c r="N136" s="30">
        <f>SUM(N130:N135)</f>
        <v>-613117.24627729</v>
      </c>
      <c r="O136" s="30">
        <f>SUM(O130:O135)</f>
        <v>2737356.89813644</v>
      </c>
      <c r="P136" s="30">
        <f>SUM(P130:P135)</f>
        <v>-598389.251553261</v>
      </c>
      <c r="Q136" s="30">
        <f>SUM(Q130:Q135)</f>
        <v>-598389.251553261</v>
      </c>
      <c r="R136" s="30">
        <f>SUM(R130:R135)</f>
        <v>-598389.251553261</v>
      </c>
      <c r="S136" s="30">
        <f>SUM(S130:S135)</f>
        <v>5612672.11398961</v>
      </c>
      <c r="T136" s="30">
        <f>SUM(T130:T135)</f>
        <v>-571182.354825136</v>
      </c>
      <c r="U136" s="30">
        <f>SUM(U130:U135)</f>
        <v>-571182.354825136</v>
      </c>
      <c r="V136" s="30">
        <f>SUM(V130:V135)</f>
        <v>-571182.354825136</v>
      </c>
      <c r="W136" s="30">
        <f>SUM(W130:W135)</f>
        <v>7316638.73644283</v>
      </c>
      <c r="X136" s="30">
        <f>SUM(X130:X135)</f>
        <v>-536660.734885214</v>
      </c>
      <c r="Y136" s="30">
        <f>SUM(Y130:Y135)</f>
        <v>-536660.734885214</v>
      </c>
      <c r="Z136" s="30">
        <f>SUM(Z130:Z135)</f>
        <v>-536660.734885214</v>
      </c>
      <c r="AA136" s="30">
        <f>SUM(AA130:AA135)</f>
        <v>299169498.20819</v>
      </c>
      <c r="AB136" s="30">
        <f>SUM(G136:AA136)</f>
        <v>164609876.349279</v>
      </c>
    </row>
    <row r="137">
      <c r="C137" s="43" t="inlineStr">
        <is>
          <t>PV Discount Factor</t>
        </is>
      </c>
      <c r="G137" s="63">
        <f>1/(1+$E$123)^(G$7/4)</f>
        <v>1</v>
      </c>
      <c r="H137" s="63">
        <f>1/(1+$E$123)^(H$7/4)</f>
        <v>0.965662885400653</v>
      </c>
      <c r="I137" s="63">
        <f>1/(1+$E$123)^(I$7/4)</f>
        <v>0.932504808240314</v>
      </c>
      <c r="J137" s="63">
        <f>1/(1+$E$123)^(J$7/4)</f>
        <v>0.900485283775324</v>
      </c>
      <c r="K137" s="63">
        <f>1/(1+$E$123)^(K$7/4)</f>
        <v>0.869565217391304</v>
      </c>
      <c r="L137" s="63">
        <f>1/(1+$E$123)^(L$7/4)</f>
        <v>0.839706856870133</v>
      </c>
      <c r="M137" s="63">
        <f>1/(1+$E$123)^(M$7/4)</f>
        <v>0.810873746295925</v>
      </c>
      <c r="N137" s="63">
        <f>1/(1+$E$123)^(N$7/4)</f>
        <v>0.78303068154376</v>
      </c>
      <c r="O137" s="63">
        <f>1/(1+$E$123)^(O$7/4)</f>
        <v>0.756143667296787</v>
      </c>
      <c r="P137" s="63">
        <f>1/(1+$E$123)^(P$7/4)</f>
        <v>0.730179875539246</v>
      </c>
      <c r="Q137" s="63">
        <f>1/(1+$E$123)^(Q$7/4)</f>
        <v>0.705107605474718</v>
      </c>
      <c r="R137" s="63">
        <f>1/(1+$E$123)^(R$7/4)</f>
        <v>0.680896244820661</v>
      </c>
      <c r="S137" s="63">
        <f>1/(1+$E$123)^(S$7/4)</f>
        <v>0.657516232431988</v>
      </c>
      <c r="T137" s="63">
        <f>1/(1+$E$123)^(T$7/4)</f>
        <v>0.63493902220804</v>
      </c>
      <c r="U137" s="63">
        <f>1/(1+$E$123)^(U$7/4)</f>
        <v>0.613137048238885</v>
      </c>
      <c r="V137" s="63">
        <f>1/(1+$E$123)^(V$7/4)</f>
        <v>0.592083691148401</v>
      </c>
      <c r="W137" s="63">
        <f>1/(1+$E$123)^(W$7/4)</f>
        <v>0.571753245593033</v>
      </c>
      <c r="X137" s="63">
        <f>1/(1+$E$123)^(X$7/4)</f>
        <v>0.552120888876557</v>
      </c>
      <c r="Y137" s="63">
        <f>1/(1+$E$123)^(Y$7/4)</f>
        <v>0.533162650642509</v>
      </c>
      <c r="Z137" s="63">
        <f>1/(1+$E$123)^(Z$7/4)</f>
        <v>0.514855383607305</v>
      </c>
      <c r="AA137" s="63">
        <f>1/(1+$E$123)^(AA$7/4)</f>
        <v>0.49717673529829</v>
      </c>
    </row>
    <row r="138">
      <c r="C138" s="43" t="inlineStr">
        <is>
          <t>PV of Net Cash Flows</t>
        </is>
      </c>
      <c r="G138" s="8">
        <f>G136*G137</f>
        <v>-142781416.542678</v>
      </c>
      <c r="H138" s="8">
        <f>H136*H137</f>
        <v>-600591.787654864</v>
      </c>
      <c r="I138" s="8">
        <f>I136*I137</f>
        <v>-579969.198614732</v>
      </c>
      <c r="J138" s="8">
        <f>J136*J137</f>
        <v>-560054.729777806</v>
      </c>
      <c r="K138" s="8">
        <f>K136*K137</f>
        <v>1199146.71886244</v>
      </c>
      <c r="L138" s="8">
        <f>L136*L137</f>
        <v>-514838.755764374</v>
      </c>
      <c r="M138" s="8">
        <f>M136*M137</f>
        <v>-497160.678407507</v>
      </c>
      <c r="N138" s="8">
        <f>N136*N137</f>
        <v>-480089.615218739</v>
      </c>
      <c r="O138" s="8">
        <f>O136*O137</f>
        <v>2069835.08365704</v>
      </c>
      <c r="P138" s="8">
        <f>P136*P137</f>
        <v>-436931.789223183</v>
      </c>
      <c r="Q138" s="8">
        <f>Q136*Q137</f>
        <v>-421928.812304528</v>
      </c>
      <c r="R138" s="8">
        <f>R136*R137</f>
        <v>-407440.994323661</v>
      </c>
      <c r="S138" s="8">
        <f>S136*S137</f>
        <v>3690423.02226653</v>
      </c>
      <c r="T138" s="8">
        <f>T136*T137</f>
        <v>-362665.965875158</v>
      </c>
      <c r="U138" s="8">
        <f>U136*U137</f>
        <v>-350213.063043619</v>
      </c>
      <c r="V138" s="8">
        <f>V136*V137</f>
        <v>-338187.756963702</v>
      </c>
      <c r="W138" s="8">
        <f>W136*W137</f>
        <v>4183311.9443929</v>
      </c>
      <c r="X138" s="8">
        <f>X136*X137</f>
        <v>-296301.60196997</v>
      </c>
      <c r="Y138" s="8">
        <f>Y136*Y137</f>
        <v>-286127.459907157</v>
      </c>
      <c r="Z138" s="8">
        <f>Z136*Z137</f>
        <v>-276302.668526305</v>
      </c>
      <c r="AA138" s="8">
        <f>AA136*AA137</f>
        <v>148740114.419976</v>
      </c>
      <c r="AB138" s="39">
        <f>SUM(G138:AA138)</f>
        <v>10692609.768901</v>
      </c>
    </row>
    <row r="139">
      <c r="C139" s="43" t="inlineStr">
        <is>
          <t>Preferred Threshold (amount payable this quarter to reach the hurdle)</t>
        </is>
      </c>
      <c r="G139" s="8">
        <f>MAX(0,-((G130+G131+G132+G133+G134)*G137)/G137)</f>
        <v>142781416.542678</v>
      </c>
      <c r="H139" s="8">
        <f>MAX(0,-(SUM($G138:G138)+(H130+H131+H132+H133+H134)*H137)/H137)</f>
        <v>148480396.728558</v>
      </c>
      <c r="I139" s="8">
        <f>MAX(0,-(SUM($G138:H138)+(I130+I131+I132+I133+I134)*I137)/I137)</f>
        <v>154382021.686957</v>
      </c>
      <c r="J139" s="8">
        <f>MAX(0,-(SUM($G138:I138)+(J130+J131+J132+J133+J134)*J137)/J137)</f>
        <v>160493497.076166</v>
      </c>
      <c r="K139" s="8">
        <f>MAX(0,-(SUM($G138:J138)+(K130+K131+K132+K133+K134)*K137)/K137)</f>
        <v>164821318.370843</v>
      </c>
      <c r="L139" s="8">
        <f>MAX(0,-(SUM($G138:K138)+(L130+L131+L132+L133+L134)*L137)/L137)</f>
        <v>171295164.638477</v>
      </c>
      <c r="M139" s="8">
        <f>MAX(0,-(SUM($G138:L138)+(M130+M131+M132+M133+M134)*M137)/M137)</f>
        <v>177999208.42592</v>
      </c>
      <c r="N139" s="8">
        <f>MAX(0,-(SUM($G138:M138)+(N130+N131+N132+N133+N134)*N137)/N137)</f>
        <v>184941635.114155</v>
      </c>
      <c r="O139" s="8">
        <f>MAX(0,-(SUM($G138:N138)+(O130+O131+O132+O133+O134)*O137)/O137)</f>
        <v>188780446.996152</v>
      </c>
      <c r="P139" s="8">
        <f>MAX(0,-(SUM($G138:O138)+(P130+P131+P132+P133+P134)*P137)/P137)</f>
        <v>196091505.7938</v>
      </c>
      <c r="Q139" s="8">
        <f>MAX(0,-(SUM($G138:P138)+(Q130+Q131+Q132+Q133+Q134)*Q137)/Q137)</f>
        <v>203662531.778312</v>
      </c>
      <c r="R139" s="8">
        <f>MAX(0,-(SUM($G138:Q138)+(R130+R131+R132+R133+R134)*R137)/R137)</f>
        <v>211502768.882767</v>
      </c>
      <c r="S139" s="8">
        <f>MAX(0,-(SUM($G138:R138)+(S130+S131+S132+S133+S134)*S137)/S137)</f>
        <v>213410728.371175</v>
      </c>
      <c r="T139" s="8">
        <f>MAX(0,-(SUM($G138:S138)+(T130+T131+T132+T133+T134)*T137)/T137)</f>
        <v>221570385.697544</v>
      </c>
      <c r="U139" s="8">
        <f>MAX(0,-(SUM($G138:T138)+(U130+U131+U132+U133+U134)*U137)/U137)</f>
        <v>230020184.742045</v>
      </c>
      <c r="V139" s="8">
        <f>MAX(0,-(SUM($G138:U138)+(V130+V131+V132+V133+V134)*V137)/V137)</f>
        <v>238770442.386042</v>
      </c>
      <c r="W139" s="8">
        <f>MAX(0,-(SUM($G138:V138)+(W130+W131+W132+W133+W134)*W137)/W137)</f>
        <v>239944021.268085</v>
      </c>
      <c r="X139" s="8">
        <f>MAX(0,-(SUM($G138:W138)+(X130+X131+X132+X133+X134)*X137)/X137)</f>
        <v>249012629.828936</v>
      </c>
      <c r="Y139" s="8">
        <f>MAX(0,-(SUM($G138:X138)+(Y130+Y131+Y132+Y133+Y134)*Y137)/Y137)</f>
        <v>258403700.665307</v>
      </c>
      <c r="Z139" s="8">
        <f>MAX(0,-(SUM($G138:Y138)+(Z130+Z131+Z132+Z133+Z134)*Z137)/Z137)</f>
        <v>268128699.915407</v>
      </c>
      <c r="AA139" s="8">
        <f>MAX(0,-(SUM($G138:Z138)+(AA130+AA131+AA132+AA133+AA134)*AA137)/AA137)</f>
        <v>76823374.5132166</v>
      </c>
    </row>
    <row r="140">
      <c r="C140" s="43" t="inlineStr">
        <is>
          <t>LP Net Cash Flows (memo)</t>
        </is>
      </c>
      <c r="G140" s="8">
        <f>G136</f>
        <v>-142781416.542678</v>
      </c>
      <c r="H140" s="8">
        <f>H136</f>
        <v>-621947.676290447</v>
      </c>
      <c r="I140" s="8">
        <f>I136</f>
        <v>-621947.676290447</v>
      </c>
      <c r="J140" s="8">
        <f>J136</f>
        <v>-621947.676290447</v>
      </c>
      <c r="K140" s="8">
        <f>K136</f>
        <v>1379018.7266918</v>
      </c>
      <c r="L140" s="8">
        <f>L136</f>
        <v>-613117.24627729</v>
      </c>
      <c r="M140" s="8">
        <f>M136</f>
        <v>-613117.24627729</v>
      </c>
      <c r="N140" s="8">
        <f>N136</f>
        <v>-613117.24627729</v>
      </c>
      <c r="O140" s="8">
        <f>O136</f>
        <v>2737356.89813644</v>
      </c>
      <c r="P140" s="8">
        <f>P136</f>
        <v>-598389.251553261</v>
      </c>
      <c r="Q140" s="8">
        <f>Q136</f>
        <v>-598389.251553261</v>
      </c>
      <c r="R140" s="8">
        <f>R136</f>
        <v>-598389.251553261</v>
      </c>
      <c r="S140" s="8">
        <f>S136</f>
        <v>5612672.11398961</v>
      </c>
      <c r="T140" s="8">
        <f>T136</f>
        <v>-571182.354825136</v>
      </c>
      <c r="U140" s="8">
        <f>U136</f>
        <v>-571182.354825136</v>
      </c>
      <c r="V140" s="8">
        <f>V136</f>
        <v>-571182.354825136</v>
      </c>
      <c r="W140" s="8">
        <f>W136</f>
        <v>7316638.73644283</v>
      </c>
      <c r="X140" s="8">
        <f>X136</f>
        <v>-536660.734885214</v>
      </c>
      <c r="Y140" s="8">
        <f>Y136</f>
        <v>-536660.734885214</v>
      </c>
      <c r="Z140" s="8">
        <f>Z136</f>
        <v>-536660.734885214</v>
      </c>
      <c r="AA140" s="8">
        <f>AA136</f>
        <v>299169498.20819</v>
      </c>
      <c r="AB140" s="39">
        <f>SUM(G140:AA140)</f>
        <v>164609876.349279</v>
      </c>
    </row>
    <row r="141">
      <c r="C141" s="43" t="inlineStr">
        <is>
          <t>Net IRR Test</t>
        </is>
      </c>
      <c r="G141" s="20">
        <f>IFERROR(XIRR($G140:G140,$G$6:G$6),0)</f>
        <v>0</v>
      </c>
      <c r="H141" s="20">
        <f>IFERROR(XIRR($G140:H140,$G$6:H$6),0)</f>
        <v>0</v>
      </c>
      <c r="I141" s="20">
        <f>IFERROR(XIRR($G140:I140,$G$6:I$6),0)</f>
        <v>0</v>
      </c>
      <c r="J141" s="20">
        <f>IFERROR(XIRR($G140:J140,$G$6:J$6),0)</f>
        <v>0</v>
      </c>
      <c r="K141" s="20">
        <f>IFERROR(XIRR($G140:K140,$G$6:K$6),0)</f>
        <v>-0.99211914507185</v>
      </c>
      <c r="L141" s="20">
        <f>IFERROR(XIRR($G140:L140,$G$6:L$6),0)</f>
        <v>0</v>
      </c>
      <c r="M141" s="20">
        <f>IFERROR(XIRR($G140:M140,$G$6:M$6),0)</f>
        <v>0</v>
      </c>
      <c r="N141" s="20">
        <f>IFERROR(XIRR($G140:N140,$G$6:N$6),0)</f>
        <v>0</v>
      </c>
      <c r="O141" s="20">
        <f>IFERROR(XIRR($G140:O140,$G$6:O$6),0)</f>
        <v>-0.877810847506398</v>
      </c>
      <c r="P141" s="20">
        <f>IFERROR(XIRR($G140:P140,$G$6:P$6),0)</f>
        <v>-0.911783460183306</v>
      </c>
      <c r="Q141" s="20">
        <f>IFERROR(XIRR($G140:Q140,$G$6:Q$6),0)</f>
        <v>0</v>
      </c>
      <c r="R141" s="20">
        <f>IFERROR(XIRR($G140:R140,$G$6:R$6),0)</f>
        <v>0</v>
      </c>
      <c r="S141" s="20">
        <f>IFERROR(XIRR($G140:S140,$G$6:S$6),0)</f>
        <v>-0.669563213332486</v>
      </c>
      <c r="T141" s="20">
        <f>IFERROR(XIRR($G140:T140,$G$6:T$6),0)</f>
        <v>-0.686626027025099</v>
      </c>
      <c r="U141" s="20">
        <f>IFERROR(XIRR($G140:U140,$G$6:U$6),0)</f>
        <v>-0.978593045699436</v>
      </c>
      <c r="V141" s="20">
        <f>IFERROR(XIRR($G140:V140,$G$6:V$6),0)</f>
        <v>-0.845002615159991</v>
      </c>
      <c r="W141" s="20">
        <f>IFERROR(XIRR($G140:W140,$G$6:W$6),0)</f>
        <v>-0.504219251503697</v>
      </c>
      <c r="X141" s="20">
        <f>IFERROR(XIRR($G140:X140,$G$6:X$6),0)</f>
        <v>-0.514262735371286</v>
      </c>
      <c r="Y141" s="20">
        <f>IFERROR(XIRR($G140:Y140,$G$6:Y$6),0)</f>
        <v>-0.990579957132558</v>
      </c>
      <c r="Z141" s="20">
        <f>IFERROR(XIRR($G140:Z140,$G$6:Z$6),0)</f>
        <v>-0.933095294509605</v>
      </c>
      <c r="AA141" s="20">
        <f>IFERROR(XIRR($G140:AA140,$G$6:AA$6),0)</f>
        <v>0.16671951563276</v>
      </c>
    </row>
    <row r="142">
      <c r="C142" s="43" t="inlineStr">
        <is>
          <t>Test</t>
        </is>
      </c>
      <c r="G142" s="7" t="b">
        <f>G141&gt;=$E$123-0.002</f>
        <v>0</v>
      </c>
      <c r="H142" s="7" t="b">
        <f>H141&gt;=$E$123-0.002</f>
        <v>0</v>
      </c>
      <c r="I142" s="7" t="b">
        <f>I141&gt;=$E$123-0.002</f>
        <v>0</v>
      </c>
      <c r="J142" s="7" t="b">
        <f>J141&gt;=$E$123-0.002</f>
        <v>0</v>
      </c>
      <c r="K142" s="7" t="b">
        <f>K141&gt;=$E$123-0.002</f>
        <v>0</v>
      </c>
      <c r="L142" s="7" t="b">
        <f>L141&gt;=$E$123-0.002</f>
        <v>0</v>
      </c>
      <c r="M142" s="7" t="b">
        <f>M141&gt;=$E$123-0.002</f>
        <v>0</v>
      </c>
      <c r="N142" s="7" t="b">
        <f>N141&gt;=$E$123-0.002</f>
        <v>0</v>
      </c>
      <c r="O142" s="7" t="b">
        <f>O141&gt;=$E$123-0.002</f>
        <v>0</v>
      </c>
      <c r="P142" s="7" t="b">
        <f>P141&gt;=$E$123-0.002</f>
        <v>0</v>
      </c>
      <c r="Q142" s="7" t="b">
        <f>Q141&gt;=$E$123-0.002</f>
        <v>0</v>
      </c>
      <c r="R142" s="7" t="b">
        <f>R141&gt;=$E$123-0.002</f>
        <v>0</v>
      </c>
      <c r="S142" s="7" t="b">
        <f>S141&gt;=$E$123-0.002</f>
        <v>0</v>
      </c>
      <c r="T142" s="7" t="b">
        <f>T141&gt;=$E$123-0.002</f>
        <v>0</v>
      </c>
      <c r="U142" s="7" t="b">
        <f>U141&gt;=$E$123-0.002</f>
        <v>0</v>
      </c>
      <c r="V142" s="7" t="b">
        <f>V141&gt;=$E$123-0.002</f>
        <v>0</v>
      </c>
      <c r="W142" s="7" t="b">
        <f>W141&gt;=$E$123-0.002</f>
        <v>0</v>
      </c>
      <c r="X142" s="7" t="b">
        <f>X141&gt;=$E$123-0.002</f>
        <v>0</v>
      </c>
      <c r="Y142" s="7" t="b">
        <f>Y141&gt;=$E$123-0.002</f>
        <v>0</v>
      </c>
      <c r="Z142" s="7" t="b">
        <f>Z141&gt;=$E$123-0.002</f>
        <v>0</v>
      </c>
      <c r="AA142" s="7" t="b">
        <f>AA141&gt;=$E$123-0.002</f>
        <v>1</v>
      </c>
    </row>
    <row r="143">
      <c r="C143" s="3" t="inlineStr">
        <is>
          <t>MOIC Test:</t>
        </is>
      </c>
    </row>
    <row r="144">
      <c r="C144" s="43" t="inlineStr">
        <is>
          <t>Beginning Balance</t>
        </is>
      </c>
      <c r="G144" s="8">
        <f>0</f>
        <v>0</v>
      </c>
      <c r="H144" s="8">
        <f>G151</f>
        <v>285562833.085357</v>
      </c>
      <c r="I144" s="8">
        <f>H151</f>
        <v>286806728.437937</v>
      </c>
      <c r="J144" s="8">
        <f>I151</f>
        <v>288050623.790518</v>
      </c>
      <c r="K144" s="8">
        <f>J151</f>
        <v>289294519.143099</v>
      </c>
      <c r="L144" s="8">
        <f>K151</f>
        <v>292536031.412723</v>
      </c>
      <c r="M144" s="8">
        <f>L151</f>
        <v>293762265.905277</v>
      </c>
      <c r="N144" s="8">
        <f>M151</f>
        <v>294988500.397832</v>
      </c>
      <c r="O144" s="8">
        <f>N151</f>
        <v>296214734.890387</v>
      </c>
      <c r="P144" s="8">
        <f>O151</f>
        <v>297746339.808178</v>
      </c>
      <c r="Q144" s="8">
        <f>P151</f>
        <v>298943118.311284</v>
      </c>
      <c r="R144" s="8">
        <f>Q151</f>
        <v>300139896.814391</v>
      </c>
      <c r="S144" s="8">
        <f>R151</f>
        <v>301336675.317497</v>
      </c>
      <c r="T144" s="8">
        <f>S151</f>
        <v>298080424.421661</v>
      </c>
      <c r="U144" s="8">
        <f>T151</f>
        <v>299222789.131311</v>
      </c>
      <c r="V144" s="8">
        <f>U151</f>
        <v>300365153.840961</v>
      </c>
      <c r="W144" s="8">
        <f>V151</f>
        <v>301507518.550612</v>
      </c>
      <c r="X144" s="8">
        <f>W151</f>
        <v>295412873.063994</v>
      </c>
      <c r="Y144" s="8">
        <f>X151</f>
        <v>296486194.533764</v>
      </c>
      <c r="Z144" s="8">
        <f>Y151</f>
        <v>297559516.003535</v>
      </c>
      <c r="AA144" s="8">
        <f>Z151</f>
        <v>298632837.473305</v>
      </c>
    </row>
    <row r="145">
      <c r="C145" s="43" t="inlineStr">
        <is>
          <t>Plus: New Contributions (x Multiple)</t>
        </is>
      </c>
      <c r="G145" s="8">
        <f>G21*$E$124</f>
        <v>284318937.732776</v>
      </c>
      <c r="H145" s="8">
        <f>H21*$E$124</f>
        <v>0</v>
      </c>
      <c r="I145" s="8">
        <f>I21*$E$124</f>
        <v>0</v>
      </c>
      <c r="J145" s="8">
        <f>J21*$E$124</f>
        <v>0</v>
      </c>
      <c r="K145" s="8">
        <f>K21*$E$124</f>
        <v>7962331.44</v>
      </c>
      <c r="L145" s="8">
        <f>L21*$E$124</f>
        <v>0</v>
      </c>
      <c r="M145" s="8">
        <f>M21*$E$124</f>
        <v>0</v>
      </c>
      <c r="N145" s="8">
        <f>N21*$E$124</f>
        <v>0</v>
      </c>
      <c r="O145" s="8">
        <f>O21*$E$124</f>
        <v>7279839.84</v>
      </c>
      <c r="P145" s="8">
        <f>P21*$E$124</f>
        <v>0</v>
      </c>
      <c r="Q145" s="8">
        <f>Q21*$E$124</f>
        <v>0</v>
      </c>
      <c r="R145" s="8">
        <f>R21*$E$124</f>
        <v>0</v>
      </c>
      <c r="S145" s="8">
        <f>S21*$E$124</f>
        <v>3500748.16</v>
      </c>
      <c r="T145" s="8">
        <f>T21*$E$124</f>
        <v>0</v>
      </c>
      <c r="U145" s="8">
        <f>U21*$E$124</f>
        <v>0</v>
      </c>
      <c r="V145" s="8">
        <f>V21*$E$124</f>
        <v>0</v>
      </c>
      <c r="W145" s="8">
        <f>W21*$E$124</f>
        <v>1295952</v>
      </c>
      <c r="X145" s="8">
        <f>X21*$E$124</f>
        <v>0</v>
      </c>
      <c r="Y145" s="8">
        <f>Y21*$E$124</f>
        <v>0</v>
      </c>
      <c r="Z145" s="8">
        <f>Z21*$E$124</f>
        <v>0</v>
      </c>
      <c r="AA145" s="8">
        <f>AA21*$E$124</f>
        <v>0</v>
      </c>
      <c r="AB145" s="39">
        <f>SUM(G145:AA145)</f>
        <v>304357809.172776</v>
      </c>
    </row>
    <row r="146">
      <c r="C146" s="43" t="inlineStr">
        <is>
          <t>Plus: Management Fee (x Multiple)</t>
        </is>
      </c>
      <c r="G146" s="8">
        <f>G53*$E$124</f>
        <v>1243895.35258089</v>
      </c>
      <c r="H146" s="8">
        <f>H53*$E$124</f>
        <v>1243895.35258089</v>
      </c>
      <c r="I146" s="8">
        <f>I53*$E$124</f>
        <v>1243895.35258089</v>
      </c>
      <c r="J146" s="8">
        <f>J53*$E$124</f>
        <v>1243895.35258089</v>
      </c>
      <c r="K146" s="8">
        <f>K53*$E$124</f>
        <v>1278730.55263089</v>
      </c>
      <c r="L146" s="8">
        <f>L53*$E$124</f>
        <v>1226234.49255458</v>
      </c>
      <c r="M146" s="8">
        <f>M53*$E$124</f>
        <v>1226234.49255458</v>
      </c>
      <c r="N146" s="8">
        <f>N53*$E$124</f>
        <v>1226234.49255458</v>
      </c>
      <c r="O146" s="8">
        <f>O53*$E$124</f>
        <v>1258083.79185458</v>
      </c>
      <c r="P146" s="8">
        <f>P53*$E$124</f>
        <v>1196778.50310652</v>
      </c>
      <c r="Q146" s="8">
        <f>Q53*$E$124</f>
        <v>1196778.50310652</v>
      </c>
      <c r="R146" s="8">
        <f>R53*$E$124</f>
        <v>1196778.50310652</v>
      </c>
      <c r="S146" s="8">
        <f>S53*$E$124</f>
        <v>1212094.27630652</v>
      </c>
      <c r="T146" s="8">
        <f>T53*$E$124</f>
        <v>1142364.70965027</v>
      </c>
      <c r="U146" s="8">
        <f>U53*$E$124</f>
        <v>1142364.70965027</v>
      </c>
      <c r="V146" s="8">
        <f>V53*$E$124</f>
        <v>1142364.70965027</v>
      </c>
      <c r="W146" s="8">
        <f>W53*$E$124</f>
        <v>1148034.49965027</v>
      </c>
      <c r="X146" s="8">
        <f>X53*$E$124</f>
        <v>1073321.46977043</v>
      </c>
      <c r="Y146" s="8">
        <f>Y53*$E$124</f>
        <v>1073321.46977043</v>
      </c>
      <c r="Z146" s="8">
        <f>Z53*$E$124</f>
        <v>1073321.46977043</v>
      </c>
      <c r="AA146" s="8">
        <f>AA53*$E$124</f>
        <v>1073321.46977043</v>
      </c>
      <c r="AB146" s="39">
        <f>SUM(G146:AA146)</f>
        <v>24861943.5257817</v>
      </c>
    </row>
    <row r="147">
      <c r="C147" s="43" t="inlineStr">
        <is>
          <t>Less: Return of Capital</t>
        </is>
      </c>
      <c r="G147" s="8">
        <f>-G67</f>
        <v>-0</v>
      </c>
      <c r="H147" s="8">
        <f>-H67</f>
        <v>-0</v>
      </c>
      <c r="I147" s="8">
        <f>-I67</f>
        <v>-0</v>
      </c>
      <c r="J147" s="8">
        <f>-J67</f>
        <v>-0</v>
      </c>
      <c r="K147" s="8">
        <f>-K67</f>
        <v>-5999549.72300725</v>
      </c>
      <c r="L147" s="8">
        <f>-L67</f>
        <v>-0</v>
      </c>
      <c r="M147" s="8">
        <f>-M67</f>
        <v>-0</v>
      </c>
      <c r="N147" s="8">
        <f>-N67</f>
        <v>-0</v>
      </c>
      <c r="O147" s="8">
        <f>-O67</f>
        <v>-7006318.71406373</v>
      </c>
      <c r="P147" s="8">
        <f>-P67</f>
        <v>-0</v>
      </c>
      <c r="Q147" s="8">
        <f>-Q67</f>
        <v>-0</v>
      </c>
      <c r="R147" s="8">
        <f>-R67</f>
        <v>-0</v>
      </c>
      <c r="S147" s="8">
        <f>-S67</f>
        <v>-7969093.33214287</v>
      </c>
      <c r="T147" s="8">
        <f>-T67</f>
        <v>-0</v>
      </c>
      <c r="U147" s="8">
        <f>-U67</f>
        <v>-0</v>
      </c>
      <c r="V147" s="8">
        <f>-V67</f>
        <v>-0</v>
      </c>
      <c r="W147" s="8">
        <f>-W67</f>
        <v>-8538631.98626797</v>
      </c>
      <c r="X147" s="8">
        <f>-X67</f>
        <v>-0</v>
      </c>
      <c r="Y147" s="8">
        <f>-Y67</f>
        <v>-0</v>
      </c>
      <c r="Z147" s="8">
        <f>-Z67</f>
        <v>-0</v>
      </c>
      <c r="AA147" s="8">
        <f>-AA67</f>
        <v>-135096282.593797</v>
      </c>
      <c r="AB147" s="39">
        <f>SUM(G147:AA147)</f>
        <v>-164609876.349279</v>
      </c>
    </row>
    <row r="148">
      <c r="C148" s="43" t="inlineStr">
        <is>
          <t>Less: Preferred Return</t>
        </is>
      </c>
      <c r="G148" s="8">
        <f>-G103</f>
        <v>-0</v>
      </c>
      <c r="H148" s="8">
        <f>-H103</f>
        <v>-0</v>
      </c>
      <c r="I148" s="8">
        <f>-I103</f>
        <v>-0</v>
      </c>
      <c r="J148" s="8">
        <f>-J103</f>
        <v>-0</v>
      </c>
      <c r="K148" s="8">
        <f>-K103</f>
        <v>-0</v>
      </c>
      <c r="L148" s="8">
        <f>-L103</f>
        <v>-0</v>
      </c>
      <c r="M148" s="8">
        <f>-M103</f>
        <v>-0</v>
      </c>
      <c r="N148" s="8">
        <f>-N103</f>
        <v>-0</v>
      </c>
      <c r="O148" s="8">
        <f>-O103</f>
        <v>-0</v>
      </c>
      <c r="P148" s="8">
        <f>-P103</f>
        <v>-0</v>
      </c>
      <c r="Q148" s="8">
        <f>-Q103</f>
        <v>-0</v>
      </c>
      <c r="R148" s="8">
        <f>-R103</f>
        <v>-0</v>
      </c>
      <c r="S148" s="8">
        <f>-S103</f>
        <v>-0</v>
      </c>
      <c r="T148" s="8">
        <f>-T103</f>
        <v>-0</v>
      </c>
      <c r="U148" s="8">
        <f>-U103</f>
        <v>-0</v>
      </c>
      <c r="V148" s="8">
        <f>-V103</f>
        <v>-0</v>
      </c>
      <c r="W148" s="8">
        <f>-W103</f>
        <v>-0</v>
      </c>
      <c r="X148" s="8">
        <f>-X103</f>
        <v>-0</v>
      </c>
      <c r="Y148" s="8">
        <f>-Y103</f>
        <v>-0</v>
      </c>
      <c r="Z148" s="8">
        <f>-Z103</f>
        <v>-0</v>
      </c>
      <c r="AA148" s="8">
        <f>-AA103</f>
        <v>-66279844.3242502</v>
      </c>
      <c r="AB148" s="39">
        <f>SUM(G148:AA148)</f>
        <v>-66279844.3242502</v>
      </c>
    </row>
    <row r="149">
      <c r="C149" s="43" t="inlineStr">
        <is>
          <t>Less: Catch-Up (Tier 3)</t>
        </is>
      </c>
      <c r="G149" s="8">
        <f>-G118</f>
        <v>-0</v>
      </c>
      <c r="H149" s="8">
        <f>-H118</f>
        <v>-0</v>
      </c>
      <c r="I149" s="8">
        <f>-I118</f>
        <v>-0</v>
      </c>
      <c r="J149" s="8">
        <f>-J118</f>
        <v>-0</v>
      </c>
      <c r="K149" s="8">
        <f>-K118</f>
        <v>-0</v>
      </c>
      <c r="L149" s="8">
        <f>-L118</f>
        <v>-0</v>
      </c>
      <c r="M149" s="8">
        <f>-M118</f>
        <v>-0</v>
      </c>
      <c r="N149" s="8">
        <f>-N118</f>
        <v>-0</v>
      </c>
      <c r="O149" s="8">
        <f>-O118</f>
        <v>-0</v>
      </c>
      <c r="P149" s="8">
        <f>-P118</f>
        <v>-0</v>
      </c>
      <c r="Q149" s="8">
        <f>-Q118</f>
        <v>-0</v>
      </c>
      <c r="R149" s="8">
        <f>-R118</f>
        <v>-0</v>
      </c>
      <c r="S149" s="8">
        <f>-S118</f>
        <v>-0</v>
      </c>
      <c r="T149" s="8">
        <f>-T118</f>
        <v>-0</v>
      </c>
      <c r="U149" s="8">
        <f>-U118</f>
        <v>-0</v>
      </c>
      <c r="V149" s="8">
        <f>-V118</f>
        <v>-0</v>
      </c>
      <c r="W149" s="8">
        <f>-W118</f>
        <v>-0</v>
      </c>
      <c r="X149" s="8">
        <f>-X118</f>
        <v>-0</v>
      </c>
      <c r="Y149" s="8">
        <f>-Y118</f>
        <v>-0</v>
      </c>
      <c r="Z149" s="8">
        <f>-Z118</f>
        <v>-0</v>
      </c>
      <c r="AA149" s="8">
        <f>-AA118</f>
        <v>-0</v>
      </c>
      <c r="AB149" s="39">
        <f>SUM(G149:AA149)</f>
        <v>0</v>
      </c>
    </row>
    <row r="150">
      <c r="C150" s="43" t="inlineStr">
        <is>
          <t>Less: Proceeds to LPs</t>
        </is>
      </c>
      <c r="G150" s="8">
        <f>-G127</f>
        <v>-0</v>
      </c>
      <c r="H150" s="8">
        <f>-H127</f>
        <v>-0</v>
      </c>
      <c r="I150" s="8">
        <f>-I127</f>
        <v>-0</v>
      </c>
      <c r="J150" s="8">
        <f>-J127</f>
        <v>-0</v>
      </c>
      <c r="K150" s="8">
        <f>-K127</f>
        <v>-0</v>
      </c>
      <c r="L150" s="8">
        <f>-L127</f>
        <v>-0</v>
      </c>
      <c r="M150" s="8">
        <f>-M127</f>
        <v>-0</v>
      </c>
      <c r="N150" s="8">
        <f>-N127</f>
        <v>-0</v>
      </c>
      <c r="O150" s="8">
        <f>-O127</f>
        <v>-0</v>
      </c>
      <c r="P150" s="8">
        <f>-P127</f>
        <v>-0</v>
      </c>
      <c r="Q150" s="8">
        <f>-Q127</f>
        <v>-0</v>
      </c>
      <c r="R150" s="8">
        <f>-R127</f>
        <v>-0</v>
      </c>
      <c r="S150" s="8">
        <f>-S127</f>
        <v>-0</v>
      </c>
      <c r="T150" s="8">
        <f>-T127</f>
        <v>-0</v>
      </c>
      <c r="U150" s="8">
        <f>-U127</f>
        <v>-0</v>
      </c>
      <c r="V150" s="8">
        <f>-V127</f>
        <v>-0</v>
      </c>
      <c r="W150" s="8">
        <f>-W127</f>
        <v>-0</v>
      </c>
      <c r="X150" s="8">
        <f>-X127</f>
        <v>-0</v>
      </c>
      <c r="Y150" s="8">
        <f>-Y127</f>
        <v>-0</v>
      </c>
      <c r="Z150" s="8">
        <f>-Z127</f>
        <v>-0</v>
      </c>
      <c r="AA150" s="8">
        <f>-AA127</f>
        <v>-98330032.0250285</v>
      </c>
      <c r="AB150" s="39">
        <f>SUM(G150:AA150)</f>
        <v>-98330032.0250285</v>
      </c>
    </row>
    <row r="151">
      <c r="C151" s="44" t="inlineStr">
        <is>
          <t>Ending Balance</t>
        </is>
      </c>
      <c r="G151" s="30">
        <f>SUM(G144:G150)</f>
        <v>285562833.085357</v>
      </c>
      <c r="H151" s="30">
        <f>SUM(H144:H150)</f>
        <v>286806728.437937</v>
      </c>
      <c r="I151" s="30">
        <f>SUM(I144:I150)</f>
        <v>288050623.790518</v>
      </c>
      <c r="J151" s="30">
        <f>SUM(J144:J150)</f>
        <v>289294519.143099</v>
      </c>
      <c r="K151" s="30">
        <f>SUM(K144:K150)</f>
        <v>292536031.412723</v>
      </c>
      <c r="L151" s="30">
        <f>SUM(L144:L150)</f>
        <v>293762265.905277</v>
      </c>
      <c r="M151" s="30">
        <f>SUM(M144:M150)</f>
        <v>294988500.397832</v>
      </c>
      <c r="N151" s="30">
        <f>SUM(N144:N150)</f>
        <v>296214734.890387</v>
      </c>
      <c r="O151" s="30">
        <f>SUM(O144:O150)</f>
        <v>297746339.808178</v>
      </c>
      <c r="P151" s="30">
        <f>SUM(P144:P150)</f>
        <v>298943118.311284</v>
      </c>
      <c r="Q151" s="30">
        <f>SUM(Q144:Q150)</f>
        <v>300139896.814391</v>
      </c>
      <c r="R151" s="30">
        <f>SUM(R144:R150)</f>
        <v>301336675.317497</v>
      </c>
      <c r="S151" s="30">
        <f>SUM(S144:S150)</f>
        <v>298080424.421661</v>
      </c>
      <c r="T151" s="30">
        <f>SUM(T144:T150)</f>
        <v>299222789.131311</v>
      </c>
      <c r="U151" s="30">
        <f>SUM(U144:U150)</f>
        <v>300365153.840961</v>
      </c>
      <c r="V151" s="30">
        <f>SUM(V144:V150)</f>
        <v>301507518.550612</v>
      </c>
      <c r="W151" s="30">
        <f>SUM(W144:W150)</f>
        <v>295412873.063994</v>
      </c>
      <c r="X151" s="30">
        <f>SUM(X144:X150)</f>
        <v>296486194.533764</v>
      </c>
      <c r="Y151" s="30">
        <f>SUM(Y144:Y150)</f>
        <v>297559516.003535</v>
      </c>
      <c r="Z151" s="30">
        <f>SUM(Z144:Z150)</f>
        <v>298632837.473305</v>
      </c>
      <c r="AA151" s="30">
        <f>SUM(AA144:AA150)</f>
        <v>3.02679836750031E-009</v>
      </c>
    </row>
    <row r="152">
      <c r="C152" s="43" t="inlineStr">
        <is>
          <t>MOIC Threshold (amount payable this quarter to reach the multiple)</t>
        </is>
      </c>
      <c r="G152" s="8">
        <f>MAX(0,G144+G145+G146+G147+G148+G149)</f>
        <v>285562833.085357</v>
      </c>
      <c r="H152" s="8">
        <f>MAX(0,H144+H145+H146+H147+H148+H149)</f>
        <v>286806728.437937</v>
      </c>
      <c r="I152" s="8">
        <f>MAX(0,I144+I145+I146+I147+I148+I149)</f>
        <v>288050623.790518</v>
      </c>
      <c r="J152" s="8">
        <f>MAX(0,J144+J145+J146+J147+J148+J149)</f>
        <v>289294519.143099</v>
      </c>
      <c r="K152" s="8">
        <f>MAX(0,K144+K145+K146+K147+K148+K149)</f>
        <v>292536031.412723</v>
      </c>
      <c r="L152" s="8">
        <f>MAX(0,L144+L145+L146+L147+L148+L149)</f>
        <v>293762265.905277</v>
      </c>
      <c r="M152" s="8">
        <f>MAX(0,M144+M145+M146+M147+M148+M149)</f>
        <v>294988500.397832</v>
      </c>
      <c r="N152" s="8">
        <f>MAX(0,N144+N145+N146+N147+N148+N149)</f>
        <v>296214734.890387</v>
      </c>
      <c r="O152" s="8">
        <f>MAX(0,O144+O145+O146+O147+O148+O149)</f>
        <v>297746339.808178</v>
      </c>
      <c r="P152" s="8">
        <f>MAX(0,P144+P145+P146+P147+P148+P149)</f>
        <v>298943118.311284</v>
      </c>
      <c r="Q152" s="8">
        <f>MAX(0,Q144+Q145+Q146+Q147+Q148+Q149)</f>
        <v>300139896.814391</v>
      </c>
      <c r="R152" s="8">
        <f>MAX(0,R144+R145+R146+R147+R148+R149)</f>
        <v>301336675.317497</v>
      </c>
      <c r="S152" s="8">
        <f>MAX(0,S144+S145+S146+S147+S148+S149)</f>
        <v>298080424.421661</v>
      </c>
      <c r="T152" s="8">
        <f>MAX(0,T144+T145+T146+T147+T148+T149)</f>
        <v>299222789.131311</v>
      </c>
      <c r="U152" s="8">
        <f>MAX(0,U144+U145+U146+U147+U148+U149)</f>
        <v>300365153.840961</v>
      </c>
      <c r="V152" s="8">
        <f>MAX(0,V144+V145+V146+V147+V148+V149)</f>
        <v>301507518.550612</v>
      </c>
      <c r="W152" s="8">
        <f>MAX(0,W144+W145+W146+W147+W148+W149)</f>
        <v>295412873.063994</v>
      </c>
      <c r="X152" s="8">
        <f>MAX(0,X144+X145+X146+X147+X148+X149)</f>
        <v>296486194.533764</v>
      </c>
      <c r="Y152" s="8">
        <f>MAX(0,Y144+Y145+Y146+Y147+Y148+Y149)</f>
        <v>297559516.003535</v>
      </c>
      <c r="Z152" s="8">
        <f>MAX(0,Z144+Z145+Z146+Z147+Z148+Z149)</f>
        <v>298632837.473305</v>
      </c>
      <c r="AA152" s="8">
        <f>MAX(0,AA144+AA145+AA146+AA147+AA148+AA149)</f>
        <v>98330032.0250285</v>
      </c>
    </row>
    <row r="153">
      <c r="C153" s="43" t="inlineStr">
        <is>
          <t>Cumulative LP Distributions (memo)</t>
        </is>
      </c>
      <c r="G153" s="8">
        <f>SUM($G67:G67,$G103:G103,$G118:G118,$G127:G127)</f>
        <v>0</v>
      </c>
      <c r="H153" s="8">
        <f>SUM($G67:H67,$G103:H103,$G118:H118,$G127:H127)</f>
        <v>0</v>
      </c>
      <c r="I153" s="8">
        <f>SUM($G67:I67,$G103:I103,$G118:I118,$G127:I127)</f>
        <v>0</v>
      </c>
      <c r="J153" s="8">
        <f>SUM($G67:J67,$G103:J103,$G118:J118,$G127:J127)</f>
        <v>0</v>
      </c>
      <c r="K153" s="8">
        <f>SUM($G67:K67,$G103:K103,$G118:K118,$G127:K127)</f>
        <v>5999549.72300725</v>
      </c>
      <c r="L153" s="8">
        <f>SUM($G67:L67,$G103:L103,$G118:L118,$G127:L127)</f>
        <v>5999549.72300725</v>
      </c>
      <c r="M153" s="8">
        <f>SUM($G67:M67,$G103:M103,$G118:M118,$G127:M127)</f>
        <v>5999549.72300725</v>
      </c>
      <c r="N153" s="8">
        <f>SUM($G67:N67,$G103:N103,$G118:N118,$G127:N127)</f>
        <v>5999549.72300725</v>
      </c>
      <c r="O153" s="8">
        <f>SUM($G67:O67,$G103:O103,$G118:O118,$G127:O127)</f>
        <v>13005868.437071</v>
      </c>
      <c r="P153" s="8">
        <f>SUM($G67:P67,$G103:P103,$G118:P118,$G127:P127)</f>
        <v>13005868.437071</v>
      </c>
      <c r="Q153" s="8">
        <f>SUM($G67:Q67,$G103:Q103,$G118:Q118,$G127:Q127)</f>
        <v>13005868.437071</v>
      </c>
      <c r="R153" s="8">
        <f>SUM($G67:R67,$G103:R103,$G118:R118,$G127:R127)</f>
        <v>13005868.437071</v>
      </c>
      <c r="S153" s="8">
        <f>SUM($G67:S67,$G103:S103,$G118:S118,$G127:S127)</f>
        <v>20974961.7692138</v>
      </c>
      <c r="T153" s="8">
        <f>SUM($G67:T67,$G103:T103,$G118:T118,$G127:T127)</f>
        <v>20974961.7692138</v>
      </c>
      <c r="U153" s="8">
        <f>SUM($G67:U67,$G103:U103,$G118:U118,$G127:U127)</f>
        <v>20974961.7692138</v>
      </c>
      <c r="V153" s="8">
        <f>SUM($G67:V67,$G103:V103,$G118:V118,$G127:V127)</f>
        <v>20974961.7692138</v>
      </c>
      <c r="W153" s="8">
        <f>SUM($G67:W67,$G103:W103,$G118:W118,$G127:W127)</f>
        <v>29513593.7554818</v>
      </c>
      <c r="X153" s="8">
        <f>SUM($G67:X67,$G103:X103,$G118:X118,$G127:X127)</f>
        <v>29513593.7554818</v>
      </c>
      <c r="Y153" s="8">
        <f>SUM($G67:Y67,$G103:Y103,$G118:Y118,$G127:Y127)</f>
        <v>29513593.7554818</v>
      </c>
      <c r="Z153" s="8">
        <f>SUM($G67:Z67,$G103:Z103,$G118:Z118,$G127:Z127)</f>
        <v>29513593.7554818</v>
      </c>
      <c r="AA153" s="8">
        <f>SUM($G67:AA67,$G103:AA103,$G118:AA118,$G127:AA127)</f>
        <v>329219752.698557</v>
      </c>
    </row>
    <row r="154">
      <c r="C154" s="43" t="inlineStr">
        <is>
          <t>Cumulative LP Contributions incl. Fees (memo)</t>
        </is>
      </c>
      <c r="G154" s="8">
        <f>SUM($G21:G21)+SUM($G53:G53)</f>
        <v>142781416.542678</v>
      </c>
      <c r="H154" s="8">
        <f>SUM($G21:H21)+SUM($G53:H53)</f>
        <v>143403364.218969</v>
      </c>
      <c r="I154" s="8">
        <f>SUM($G21:I21)+SUM($G53:I53)</f>
        <v>144025311.895259</v>
      </c>
      <c r="J154" s="8">
        <f>SUM($G21:J21)+SUM($G53:J53)</f>
        <v>144647259.57155</v>
      </c>
      <c r="K154" s="8">
        <f>SUM($G21:K21)+SUM($G53:K53)</f>
        <v>149267790.567865</v>
      </c>
      <c r="L154" s="8">
        <f>SUM($G21:L21)+SUM($G53:L53)</f>
        <v>149880907.814142</v>
      </c>
      <c r="M154" s="8">
        <f>SUM($G21:M21)+SUM($G53:M53)</f>
        <v>150494025.06042</v>
      </c>
      <c r="N154" s="8">
        <f>SUM($G21:N21)+SUM($G53:N53)</f>
        <v>151107142.306697</v>
      </c>
      <c r="O154" s="8">
        <f>SUM($G21:O21)+SUM($G53:O53)</f>
        <v>155376104.122624</v>
      </c>
      <c r="P154" s="8">
        <f>SUM($G21:P21)+SUM($G53:P53)</f>
        <v>155974493.374177</v>
      </c>
      <c r="Q154" s="8">
        <f>SUM($G21:Q21)+SUM($G53:Q53)</f>
        <v>156572882.625731</v>
      </c>
      <c r="R154" s="8">
        <f>SUM($G21:R21)+SUM($G53:R53)</f>
        <v>157171271.877284</v>
      </c>
      <c r="S154" s="8">
        <f>SUM($G21:S21)+SUM($G53:S53)</f>
        <v>159527693.095437</v>
      </c>
      <c r="T154" s="8">
        <f>SUM($G21:T21)+SUM($G53:T53)</f>
        <v>160098875.450262</v>
      </c>
      <c r="U154" s="8">
        <f>SUM($G21:U21)+SUM($G53:U53)</f>
        <v>160670057.805088</v>
      </c>
      <c r="V154" s="8">
        <f>SUM($G21:V21)+SUM($G53:V53)</f>
        <v>161241240.159913</v>
      </c>
      <c r="W154" s="8">
        <f>SUM($G21:W21)+SUM($G53:W53)</f>
        <v>162463233.409738</v>
      </c>
      <c r="X154" s="8">
        <f>SUM($G21:X21)+SUM($G53:X53)</f>
        <v>162999894.144623</v>
      </c>
      <c r="Y154" s="8">
        <f>SUM($G21:Y21)+SUM($G53:Y53)</f>
        <v>163536554.879508</v>
      </c>
      <c r="Z154" s="8">
        <f>SUM($G21:Z21)+SUM($G53:Z53)</f>
        <v>164073215.614393</v>
      </c>
      <c r="AA154" s="8">
        <f>SUM($G21:AA21)+SUM($G53:AA53)</f>
        <v>164609876.349279</v>
      </c>
    </row>
    <row r="155">
      <c r="C155" s="43" t="inlineStr">
        <is>
          <t>Net MOIC Test</t>
        </is>
      </c>
      <c r="G155" s="60">
        <f>IFERROR(G153/G154,0)</f>
        <v>0</v>
      </c>
      <c r="H155" s="60">
        <f>IFERROR(H153/H154,0)</f>
        <v>0</v>
      </c>
      <c r="I155" s="60">
        <f>IFERROR(I153/I154,0)</f>
        <v>0</v>
      </c>
      <c r="J155" s="60">
        <f>IFERROR(J153/J154,0)</f>
        <v>0</v>
      </c>
      <c r="K155" s="60">
        <f>IFERROR(K153/K154,0)</f>
        <v>0.0401931970734138</v>
      </c>
      <c r="L155" s="60">
        <f>IFERROR(L153/L154,0)</f>
        <v>0.0400287789185725</v>
      </c>
      <c r="M155" s="60">
        <f>IFERROR(M153/M154,0)</f>
        <v>0.0398657004528823</v>
      </c>
      <c r="N155" s="60">
        <f>IFERROR(N153/N154,0)</f>
        <v>0.0397039453689765</v>
      </c>
      <c r="O155" s="60">
        <f>IFERROR(O153/O154,0)</f>
        <v>0.083705718524173</v>
      </c>
      <c r="P155" s="60">
        <f>IFERROR(P153/P154,0)</f>
        <v>0.083384585233884</v>
      </c>
      <c r="Q155" s="60">
        <f>IFERROR(Q153/Q154,0)</f>
        <v>0.0830659065539465</v>
      </c>
      <c r="R155" s="60">
        <f>IFERROR(R153/R154,0)</f>
        <v>0.0827496544484649</v>
      </c>
      <c r="S155" s="60">
        <f>IFERROR(S153/S154,0)</f>
        <v>0.131481634080082</v>
      </c>
      <c r="T155" s="60">
        <f>IFERROR(T153/T154,0)</f>
        <v>0.131012549027742</v>
      </c>
      <c r="U155" s="60">
        <f>IFERROR(U153/U154,0)</f>
        <v>0.130546799171872</v>
      </c>
      <c r="V155" s="60">
        <f>IFERROR(V153/V154,0)</f>
        <v>0.130084349068586</v>
      </c>
      <c r="W155" s="60">
        <f>IFERROR(W153/W154,0)</f>
        <v>0.18166321780047</v>
      </c>
      <c r="X155" s="60">
        <f>IFERROR(X153/X154,0)</f>
        <v>0.181065109952131</v>
      </c>
      <c r="Y155" s="60">
        <f>IFERROR(Y153/Y154,0)</f>
        <v>0.180470927599197</v>
      </c>
      <c r="Z155" s="60">
        <f>IFERROR(Z153/Z154,0)</f>
        <v>0.179880632222416</v>
      </c>
      <c r="AA155" s="60">
        <f>IFERROR(AA153/AA154,0)</f>
        <v>2</v>
      </c>
    </row>
    <row r="156">
      <c r="C156" s="43" t="inlineStr">
        <is>
          <t>Test</t>
        </is>
      </c>
      <c r="G156" s="7" t="b">
        <f>G155&gt;=$E$124-0.00001</f>
        <v>0</v>
      </c>
      <c r="H156" s="7" t="b">
        <f>H155&gt;=$E$124-0.00001</f>
        <v>0</v>
      </c>
      <c r="I156" s="7" t="b">
        <f>I155&gt;=$E$124-0.00001</f>
        <v>0</v>
      </c>
      <c r="J156" s="7" t="b">
        <f>J155&gt;=$E$124-0.00001</f>
        <v>0</v>
      </c>
      <c r="K156" s="7" t="b">
        <f>K155&gt;=$E$124-0.00001</f>
        <v>0</v>
      </c>
      <c r="L156" s="7" t="b">
        <f>L155&gt;=$E$124-0.00001</f>
        <v>0</v>
      </c>
      <c r="M156" s="7" t="b">
        <f>M155&gt;=$E$124-0.00001</f>
        <v>0</v>
      </c>
      <c r="N156" s="7" t="b">
        <f>N155&gt;=$E$124-0.00001</f>
        <v>0</v>
      </c>
      <c r="O156" s="7" t="b">
        <f>O155&gt;=$E$124-0.00001</f>
        <v>0</v>
      </c>
      <c r="P156" s="7" t="b">
        <f>P155&gt;=$E$124-0.00001</f>
        <v>0</v>
      </c>
      <c r="Q156" s="7" t="b">
        <f>Q155&gt;=$E$124-0.00001</f>
        <v>0</v>
      </c>
      <c r="R156" s="7" t="b">
        <f>R155&gt;=$E$124-0.00001</f>
        <v>0</v>
      </c>
      <c r="S156" s="7" t="b">
        <f>S155&gt;=$E$124-0.00001</f>
        <v>0</v>
      </c>
      <c r="T156" s="7" t="b">
        <f>T155&gt;=$E$124-0.00001</f>
        <v>0</v>
      </c>
      <c r="U156" s="7" t="b">
        <f>U155&gt;=$E$124-0.00001</f>
        <v>0</v>
      </c>
      <c r="V156" s="7" t="b">
        <f>V155&gt;=$E$124-0.00001</f>
        <v>0</v>
      </c>
      <c r="W156" s="7" t="b">
        <f>W155&gt;=$E$124-0.00001</f>
        <v>0</v>
      </c>
      <c r="X156" s="7" t="b">
        <f>X155&gt;=$E$124-0.00001</f>
        <v>0</v>
      </c>
      <c r="Y156" s="7" t="b">
        <f>Y155&gt;=$E$124-0.00001</f>
        <v>0</v>
      </c>
      <c r="Z156" s="7" t="b">
        <f>Z155&gt;=$E$124-0.00001</f>
        <v>0</v>
      </c>
      <c r="AA156" s="7" t="b">
        <f>AA155&gt;=$E$124-0.00001</f>
        <v>1</v>
      </c>
    </row>
    <row r="157">
      <c r="C157" s="14" t="inlineStr">
        <is>
          <t>GP Cash Flows</t>
        </is>
      </c>
      <c r="G157" s="8">
        <f>G126</f>
        <v>0</v>
      </c>
      <c r="H157" s="8">
        <f>H126</f>
        <v>0</v>
      </c>
      <c r="I157" s="8">
        <f>I126</f>
        <v>0</v>
      </c>
      <c r="J157" s="8">
        <f>J126</f>
        <v>0</v>
      </c>
      <c r="K157" s="8">
        <f>K126</f>
        <v>0</v>
      </c>
      <c r="L157" s="8">
        <f>L126</f>
        <v>0</v>
      </c>
      <c r="M157" s="8">
        <f>M126</f>
        <v>0</v>
      </c>
      <c r="N157" s="8">
        <f>N126</f>
        <v>0</v>
      </c>
      <c r="O157" s="8">
        <f>O126</f>
        <v>0</v>
      </c>
      <c r="P157" s="8">
        <f>P126</f>
        <v>0</v>
      </c>
      <c r="Q157" s="8">
        <f>Q126</f>
        <v>0</v>
      </c>
      <c r="R157" s="8">
        <f>R126</f>
        <v>0</v>
      </c>
      <c r="S157" s="8">
        <f>S126</f>
        <v>0</v>
      </c>
      <c r="T157" s="8">
        <f>T126</f>
        <v>0</v>
      </c>
      <c r="U157" s="8">
        <f>U126</f>
        <v>0</v>
      </c>
      <c r="V157" s="8">
        <f>V126</f>
        <v>0</v>
      </c>
      <c r="W157" s="8">
        <f>W126</f>
        <v>0</v>
      </c>
      <c r="X157" s="8">
        <f>X126</f>
        <v>0</v>
      </c>
      <c r="Y157" s="8">
        <f>Y126</f>
        <v>0</v>
      </c>
      <c r="Z157" s="8">
        <f>Z126</f>
        <v>0</v>
      </c>
      <c r="AA157" s="8">
        <f>AA126</f>
        <v>10925559.1138921</v>
      </c>
      <c r="AB157" s="39">
        <f>SUM(G157:AA157)</f>
        <v>10925559.1138921</v>
      </c>
    </row>
    <row r="158">
      <c r="C158" s="14" t="inlineStr">
        <is>
          <t>LP Cash Flows</t>
        </is>
      </c>
      <c r="G158" s="8">
        <f>G127</f>
        <v>0</v>
      </c>
      <c r="H158" s="8">
        <f>H127</f>
        <v>0</v>
      </c>
      <c r="I158" s="8">
        <f>I127</f>
        <v>0</v>
      </c>
      <c r="J158" s="8">
        <f>J127</f>
        <v>0</v>
      </c>
      <c r="K158" s="8">
        <f>K127</f>
        <v>0</v>
      </c>
      <c r="L158" s="8">
        <f>L127</f>
        <v>0</v>
      </c>
      <c r="M158" s="8">
        <f>M127</f>
        <v>0</v>
      </c>
      <c r="N158" s="8">
        <f>N127</f>
        <v>0</v>
      </c>
      <c r="O158" s="8">
        <f>O127</f>
        <v>0</v>
      </c>
      <c r="P158" s="8">
        <f>P127</f>
        <v>0</v>
      </c>
      <c r="Q158" s="8">
        <f>Q127</f>
        <v>0</v>
      </c>
      <c r="R158" s="8">
        <f>R127</f>
        <v>0</v>
      </c>
      <c r="S158" s="8">
        <f>S127</f>
        <v>0</v>
      </c>
      <c r="T158" s="8">
        <f>T127</f>
        <v>0</v>
      </c>
      <c r="U158" s="8">
        <f>U127</f>
        <v>0</v>
      </c>
      <c r="V158" s="8">
        <f>V127</f>
        <v>0</v>
      </c>
      <c r="W158" s="8">
        <f>W127</f>
        <v>0</v>
      </c>
      <c r="X158" s="8">
        <f>X127</f>
        <v>0</v>
      </c>
      <c r="Y158" s="8">
        <f>Y127</f>
        <v>0</v>
      </c>
      <c r="Z158" s="8">
        <f>Z127</f>
        <v>0</v>
      </c>
      <c r="AA158" s="8">
        <f>AA127</f>
        <v>98330032.0250285</v>
      </c>
      <c r="AB158" s="39">
        <f>SUM(G158:AA158)</f>
        <v>98330032.0250285</v>
      </c>
    </row>
    <row r="159">
      <c r="C159" s="29" t="inlineStr">
        <is>
          <t>Proceeds Available for Next Tier</t>
        </is>
      </c>
      <c r="G159" s="39">
        <f>G119-G157-G158</f>
        <v>0</v>
      </c>
      <c r="H159" s="39">
        <f>H119-H157-H158</f>
        <v>0</v>
      </c>
      <c r="I159" s="39">
        <f>I119-I157-I158</f>
        <v>0</v>
      </c>
      <c r="J159" s="39">
        <f>J119-J157-J158</f>
        <v>0</v>
      </c>
      <c r="K159" s="39">
        <f>K119-K157-K158</f>
        <v>0</v>
      </c>
      <c r="L159" s="39">
        <f>L119-L157-L158</f>
        <v>0</v>
      </c>
      <c r="M159" s="39">
        <f>M119-M157-M158</f>
        <v>0</v>
      </c>
      <c r="N159" s="39">
        <f>N119-N157-N158</f>
        <v>0</v>
      </c>
      <c r="O159" s="39">
        <f>O119-O157-O158</f>
        <v>0</v>
      </c>
      <c r="P159" s="39">
        <f>P119-P157-P158</f>
        <v>0</v>
      </c>
      <c r="Q159" s="39">
        <f>Q119-Q157-Q158</f>
        <v>0</v>
      </c>
      <c r="R159" s="39">
        <f>R119-R157-R158</f>
        <v>0</v>
      </c>
      <c r="S159" s="39">
        <f>S119-S157-S158</f>
        <v>0</v>
      </c>
      <c r="T159" s="39">
        <f>T119-T157-T158</f>
        <v>0</v>
      </c>
      <c r="U159" s="39">
        <f>U119-U157-U158</f>
        <v>0</v>
      </c>
      <c r="V159" s="39">
        <f>V119-V157-V158</f>
        <v>0</v>
      </c>
      <c r="W159" s="39">
        <f>W119-W157-W158</f>
        <v>0</v>
      </c>
      <c r="X159" s="39">
        <f>X119-X157-X158</f>
        <v>0</v>
      </c>
      <c r="Y159" s="39">
        <f>Y119-Y157-Y158</f>
        <v>0</v>
      </c>
      <c r="Z159" s="39">
        <f>Z119-Z157-Z158</f>
        <v>0</v>
      </c>
      <c r="AA159" s="39">
        <f>AA119-AA157-AA158</f>
        <v>9939341.70978332</v>
      </c>
      <c r="AB159" s="39">
        <f>SUM(G159:AA159)</f>
        <v>9939341.70978332</v>
      </c>
    </row>
    <row r="161">
      <c r="C161" s="12" t="inlineStr">
        <is>
          <t>Tier 4: GP Catch-Up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</row>
    <row r="162">
      <c r="C162" s="14" t="inlineStr">
        <is>
          <t>Catch-Up to GP (%)</t>
        </is>
      </c>
      <c r="E162" s="47">
        <f>Control!$E$49</f>
        <v>1</v>
      </c>
    </row>
    <row r="163">
      <c r="C163" s="14" t="inlineStr">
        <is>
          <t>Allocation to GP (Carried Interest %)</t>
        </is>
      </c>
      <c r="E163" s="47">
        <f>Control!$E$50</f>
        <v>0.15</v>
      </c>
    </row>
    <row r="164">
      <c r="C164" s="3" t="inlineStr">
        <is>
          <t>Profit Distributions:</t>
        </is>
      </c>
    </row>
    <row r="165">
      <c r="C165" s="14" t="inlineStr">
        <is>
          <t>to GPs</t>
        </is>
      </c>
      <c r="G165" s="8">
        <f>-G170*$E$162</f>
        <v>0</v>
      </c>
      <c r="H165" s="8">
        <f>-H170*$E$162</f>
        <v>0</v>
      </c>
      <c r="I165" s="8">
        <f>-I170*$E$162</f>
        <v>0</v>
      </c>
      <c r="J165" s="8">
        <f>-J170*$E$162</f>
        <v>0</v>
      </c>
      <c r="K165" s="8">
        <f>-K170*$E$162</f>
        <v>0</v>
      </c>
      <c r="L165" s="8">
        <f>-L170*$E$162</f>
        <v>0</v>
      </c>
      <c r="M165" s="8">
        <f>-M170*$E$162</f>
        <v>0</v>
      </c>
      <c r="N165" s="8">
        <f>-N170*$E$162</f>
        <v>0</v>
      </c>
      <c r="O165" s="8">
        <f>-O170*$E$162</f>
        <v>0</v>
      </c>
      <c r="P165" s="8">
        <f>-P170*$E$162</f>
        <v>0</v>
      </c>
      <c r="Q165" s="8">
        <f>-Q170*$E$162</f>
        <v>0</v>
      </c>
      <c r="R165" s="8">
        <f>-R170*$E$162</f>
        <v>0</v>
      </c>
      <c r="S165" s="8">
        <f>-S170*$E$162</f>
        <v>0</v>
      </c>
      <c r="T165" s="8">
        <f>-T170*$E$162</f>
        <v>0</v>
      </c>
      <c r="U165" s="8">
        <f>-U170*$E$162</f>
        <v>0</v>
      </c>
      <c r="V165" s="8">
        <f>-V170*$E$162</f>
        <v>0</v>
      </c>
      <c r="W165" s="8">
        <f>-W170*$E$162</f>
        <v>0</v>
      </c>
      <c r="X165" s="8">
        <f>-X170*$E$162</f>
        <v>0</v>
      </c>
      <c r="Y165" s="8">
        <f>-Y170*$E$162</f>
        <v>0</v>
      </c>
      <c r="Z165" s="8">
        <f>-Z170*$E$162</f>
        <v>0</v>
      </c>
      <c r="AA165" s="8">
        <f>-AA170*$E$162</f>
        <v>9939341.70978332</v>
      </c>
      <c r="AB165" s="39">
        <f>SUM(G165:AA165)</f>
        <v>9939341.70978332</v>
      </c>
    </row>
    <row r="166">
      <c r="C166" s="14" t="inlineStr">
        <is>
          <t>to LPs</t>
        </is>
      </c>
      <c r="G166" s="8">
        <f>-G170*(1-$E$162)</f>
        <v>0</v>
      </c>
      <c r="H166" s="8">
        <f>-H170*(1-$E$162)</f>
        <v>0</v>
      </c>
      <c r="I166" s="8">
        <f>-I170*(1-$E$162)</f>
        <v>0</v>
      </c>
      <c r="J166" s="8">
        <f>-J170*(1-$E$162)</f>
        <v>0</v>
      </c>
      <c r="K166" s="8">
        <f>-K170*(1-$E$162)</f>
        <v>0</v>
      </c>
      <c r="L166" s="8">
        <f>-L170*(1-$E$162)</f>
        <v>0</v>
      </c>
      <c r="M166" s="8">
        <f>-M170*(1-$E$162)</f>
        <v>0</v>
      </c>
      <c r="N166" s="8">
        <f>-N170*(1-$E$162)</f>
        <v>0</v>
      </c>
      <c r="O166" s="8">
        <f>-O170*(1-$E$162)</f>
        <v>0</v>
      </c>
      <c r="P166" s="8">
        <f>-P170*(1-$E$162)</f>
        <v>0</v>
      </c>
      <c r="Q166" s="8">
        <f>-Q170*(1-$E$162)</f>
        <v>0</v>
      </c>
      <c r="R166" s="8">
        <f>-R170*(1-$E$162)</f>
        <v>0</v>
      </c>
      <c r="S166" s="8">
        <f>-S170*(1-$E$162)</f>
        <v>0</v>
      </c>
      <c r="T166" s="8">
        <f>-T170*(1-$E$162)</f>
        <v>0</v>
      </c>
      <c r="U166" s="8">
        <f>-U170*(1-$E$162)</f>
        <v>0</v>
      </c>
      <c r="V166" s="8">
        <f>-V170*(1-$E$162)</f>
        <v>0</v>
      </c>
      <c r="W166" s="8">
        <f>-W170*(1-$E$162)</f>
        <v>0</v>
      </c>
      <c r="X166" s="8">
        <f>-X170*(1-$E$162)</f>
        <v>0</v>
      </c>
      <c r="Y166" s="8">
        <f>-Y170*(1-$E$162)</f>
        <v>0</v>
      </c>
      <c r="Z166" s="8">
        <f>-Z170*(1-$E$162)</f>
        <v>0</v>
      </c>
      <c r="AA166" s="8">
        <f>-AA170*(1-$E$162)</f>
        <v>0</v>
      </c>
      <c r="AB166" s="39">
        <f>SUM(G166:AA166)</f>
        <v>0</v>
      </c>
    </row>
    <row r="167">
      <c r="C167" s="3" t="inlineStr">
        <is>
          <t>Catch-Up to GP:</t>
        </is>
      </c>
    </row>
    <row r="168">
      <c r="C168" s="14" t="inlineStr">
        <is>
          <t>Beginning</t>
        </is>
      </c>
      <c r="G168" s="8">
        <f>0</f>
        <v>0</v>
      </c>
      <c r="H168" s="8">
        <f>G171</f>
        <v>0</v>
      </c>
      <c r="I168" s="8">
        <f>H171</f>
        <v>0</v>
      </c>
      <c r="J168" s="8">
        <f>I171</f>
        <v>0</v>
      </c>
      <c r="K168" s="8">
        <f>J171</f>
        <v>0</v>
      </c>
      <c r="L168" s="8">
        <f>K171</f>
        <v>0</v>
      </c>
      <c r="M168" s="8">
        <f>L171</f>
        <v>0</v>
      </c>
      <c r="N168" s="8">
        <f>M171</f>
        <v>0</v>
      </c>
      <c r="O168" s="8">
        <f>N171</f>
        <v>0</v>
      </c>
      <c r="P168" s="8">
        <f>O171</f>
        <v>0</v>
      </c>
      <c r="Q168" s="8">
        <f>P171</f>
        <v>0</v>
      </c>
      <c r="R168" s="8">
        <f>Q171</f>
        <v>0</v>
      </c>
      <c r="S168" s="8">
        <f>R171</f>
        <v>0</v>
      </c>
      <c r="T168" s="8">
        <f>S171</f>
        <v>0</v>
      </c>
      <c r="U168" s="8">
        <f>T171</f>
        <v>0</v>
      </c>
      <c r="V168" s="8">
        <f>U171</f>
        <v>0</v>
      </c>
      <c r="W168" s="8">
        <f>V171</f>
        <v>0</v>
      </c>
      <c r="X168" s="8">
        <f>W171</f>
        <v>0</v>
      </c>
      <c r="Y168" s="8">
        <f>X171</f>
        <v>0</v>
      </c>
      <c r="Z168" s="8">
        <f>Y171</f>
        <v>0</v>
      </c>
      <c r="AA168" s="8">
        <f>Z171</f>
        <v>0</v>
      </c>
    </row>
    <row r="169">
      <c r="C169" s="14" t="inlineStr">
        <is>
          <t>Plus: Accrual (carry % / (1 – carry %) x LP profit distributions, less GP profit received)</t>
        </is>
      </c>
      <c r="G169" s="8">
        <f>$E$163/(1-$E$163)*(G103+G118+G158)-(G102+G117+G157)</f>
        <v>0</v>
      </c>
      <c r="H169" s="8">
        <f>$E$163/(1-$E$163)*(H103+H118+H158)-(H102+H117+H157)</f>
        <v>0</v>
      </c>
      <c r="I169" s="8">
        <f>$E$163/(1-$E$163)*(I103+I118+I158)-(I102+I117+I157)</f>
        <v>0</v>
      </c>
      <c r="J169" s="8">
        <f>$E$163/(1-$E$163)*(J103+J118+J158)-(J102+J117+J157)</f>
        <v>0</v>
      </c>
      <c r="K169" s="8">
        <f>$E$163/(1-$E$163)*(K103+K118+K158)-(K102+K117+K157)</f>
        <v>0</v>
      </c>
      <c r="L169" s="8">
        <f>$E$163/(1-$E$163)*(L103+L118+L158)-(L102+L117+L157)</f>
        <v>0</v>
      </c>
      <c r="M169" s="8">
        <f>$E$163/(1-$E$163)*(M103+M118+M158)-(M102+M117+M157)</f>
        <v>0</v>
      </c>
      <c r="N169" s="8">
        <f>$E$163/(1-$E$163)*(N103+N118+N158)-(N102+N117+N157)</f>
        <v>0</v>
      </c>
      <c r="O169" s="8">
        <f>$E$163/(1-$E$163)*(O103+O118+O158)-(O102+O117+O157)</f>
        <v>0</v>
      </c>
      <c r="P169" s="8">
        <f>$E$163/(1-$E$163)*(P103+P118+P158)-(P102+P117+P157)</f>
        <v>0</v>
      </c>
      <c r="Q169" s="8">
        <f>$E$163/(1-$E$163)*(Q103+Q118+Q158)-(Q102+Q117+Q157)</f>
        <v>0</v>
      </c>
      <c r="R169" s="8">
        <f>$E$163/(1-$E$163)*(R103+R118+R158)-(R102+R117+R157)</f>
        <v>0</v>
      </c>
      <c r="S169" s="8">
        <f>$E$163/(1-$E$163)*(S103+S118+S158)-(S102+S117+S157)</f>
        <v>0</v>
      </c>
      <c r="T169" s="8">
        <f>$E$163/(1-$E$163)*(T103+T118+T158)-(T102+T117+T157)</f>
        <v>0</v>
      </c>
      <c r="U169" s="8">
        <f>$E$163/(1-$E$163)*(U103+U118+U158)-(U102+U117+U157)</f>
        <v>0</v>
      </c>
      <c r="V169" s="8">
        <f>$E$163/(1-$E$163)*(V103+V118+V158)-(V102+V117+V157)</f>
        <v>0</v>
      </c>
      <c r="W169" s="8">
        <f>$E$163/(1-$E$163)*(W103+W118+W158)-(W102+W117+W157)</f>
        <v>0</v>
      </c>
      <c r="X169" s="8">
        <f>$E$163/(1-$E$163)*(X103+X118+X158)-(X102+X117+X157)</f>
        <v>0</v>
      </c>
      <c r="Y169" s="8">
        <f>$E$163/(1-$E$163)*(Y103+Y118+Y158)-(Y102+Y117+Y157)</f>
        <v>0</v>
      </c>
      <c r="Z169" s="8">
        <f>$E$163/(1-$E$163)*(Z103+Z118+Z158)-(Z102+Z117+Z157)</f>
        <v>0</v>
      </c>
      <c r="AA169" s="8">
        <f>$E$163/(1-$E$163)*(AA103+AA118+AA158)-(AA102+AA117+AA157)</f>
        <v>10758815.4476653</v>
      </c>
      <c r="AB169" s="39">
        <f>SUM(G169:AA169)</f>
        <v>10758815.4476653</v>
      </c>
    </row>
    <row r="170">
      <c r="C170" s="14" t="inlineStr">
        <is>
          <t>Less: Payment</t>
        </is>
      </c>
      <c r="G170" s="8">
        <f>-MIN(MAX(0,G168+G169),G159)</f>
        <v>-0</v>
      </c>
      <c r="H170" s="8">
        <f>-MIN(MAX(0,H168+H169),H159)</f>
        <v>-0</v>
      </c>
      <c r="I170" s="8">
        <f>-MIN(MAX(0,I168+I169),I159)</f>
        <v>-0</v>
      </c>
      <c r="J170" s="8">
        <f>-MIN(MAX(0,J168+J169),J159)</f>
        <v>-0</v>
      </c>
      <c r="K170" s="8">
        <f>-MIN(MAX(0,K168+K169),K159)</f>
        <v>-0</v>
      </c>
      <c r="L170" s="8">
        <f>-MIN(MAX(0,L168+L169),L159)</f>
        <v>-0</v>
      </c>
      <c r="M170" s="8">
        <f>-MIN(MAX(0,M168+M169),M159)</f>
        <v>-0</v>
      </c>
      <c r="N170" s="8">
        <f>-MIN(MAX(0,N168+N169),N159)</f>
        <v>-0</v>
      </c>
      <c r="O170" s="8">
        <f>-MIN(MAX(0,O168+O169),O159)</f>
        <v>-0</v>
      </c>
      <c r="P170" s="8">
        <f>-MIN(MAX(0,P168+P169),P159)</f>
        <v>-0</v>
      </c>
      <c r="Q170" s="8">
        <f>-MIN(MAX(0,Q168+Q169),Q159)</f>
        <v>-0</v>
      </c>
      <c r="R170" s="8">
        <f>-MIN(MAX(0,R168+R169),R159)</f>
        <v>-0</v>
      </c>
      <c r="S170" s="8">
        <f>-MIN(MAX(0,S168+S169),S159)</f>
        <v>-0</v>
      </c>
      <c r="T170" s="8">
        <f>-MIN(MAX(0,T168+T169),T159)</f>
        <v>-0</v>
      </c>
      <c r="U170" s="8">
        <f>-MIN(MAX(0,U168+U169),U159)</f>
        <v>-0</v>
      </c>
      <c r="V170" s="8">
        <f>-MIN(MAX(0,V168+V169),V159)</f>
        <v>-0</v>
      </c>
      <c r="W170" s="8">
        <f>-MIN(MAX(0,W168+W169),W159)</f>
        <v>-0</v>
      </c>
      <c r="X170" s="8">
        <f>-MIN(MAX(0,X168+X169),X159)</f>
        <v>-0</v>
      </c>
      <c r="Y170" s="8">
        <f>-MIN(MAX(0,Y168+Y169),Y159)</f>
        <v>-0</v>
      </c>
      <c r="Z170" s="8">
        <f>-MIN(MAX(0,Z168+Z169),Z159)</f>
        <v>-0</v>
      </c>
      <c r="AA170" s="8">
        <f>-MIN(MAX(0,AA168+AA169),AA159)</f>
        <v>-9939341.70978332</v>
      </c>
      <c r="AB170" s="39">
        <f>SUM(G170:AA170)</f>
        <v>-9939341.70978332</v>
      </c>
    </row>
    <row r="171">
      <c r="C171" s="29" t="inlineStr">
        <is>
          <t>Ending</t>
        </is>
      </c>
      <c r="G171" s="30">
        <f>G168+G169+G170</f>
        <v>0</v>
      </c>
      <c r="H171" s="30">
        <f>H168+H169+H170</f>
        <v>0</v>
      </c>
      <c r="I171" s="30">
        <f>I168+I169+I170</f>
        <v>0</v>
      </c>
      <c r="J171" s="30">
        <f>J168+J169+J170</f>
        <v>0</v>
      </c>
      <c r="K171" s="30">
        <f>K168+K169+K170</f>
        <v>0</v>
      </c>
      <c r="L171" s="30">
        <f>L168+L169+L170</f>
        <v>0</v>
      </c>
      <c r="M171" s="30">
        <f>M168+M169+M170</f>
        <v>0</v>
      </c>
      <c r="N171" s="30">
        <f>N168+N169+N170</f>
        <v>0</v>
      </c>
      <c r="O171" s="30">
        <f>O168+O169+O170</f>
        <v>0</v>
      </c>
      <c r="P171" s="30">
        <f>P168+P169+P170</f>
        <v>0</v>
      </c>
      <c r="Q171" s="30">
        <f>Q168+Q169+Q170</f>
        <v>0</v>
      </c>
      <c r="R171" s="30">
        <f>R168+R169+R170</f>
        <v>0</v>
      </c>
      <c r="S171" s="30">
        <f>S168+S169+S170</f>
        <v>0</v>
      </c>
      <c r="T171" s="30">
        <f>T168+T169+T170</f>
        <v>0</v>
      </c>
      <c r="U171" s="30">
        <f>U168+U169+U170</f>
        <v>0</v>
      </c>
      <c r="V171" s="30">
        <f>V168+V169+V170</f>
        <v>0</v>
      </c>
      <c r="W171" s="30">
        <f>W168+W169+W170</f>
        <v>0</v>
      </c>
      <c r="X171" s="30">
        <f>X168+X169+X170</f>
        <v>0</v>
      </c>
      <c r="Y171" s="30">
        <f>Y168+Y169+Y170</f>
        <v>0</v>
      </c>
      <c r="Z171" s="30">
        <f>Z168+Z169+Z170</f>
        <v>0</v>
      </c>
      <c r="AA171" s="30">
        <f>AA168+AA169+AA170</f>
        <v>819473.737881962</v>
      </c>
    </row>
    <row r="172">
      <c r="C172" s="14" t="inlineStr">
        <is>
          <t>GP Cash Flows</t>
        </is>
      </c>
      <c r="G172" s="8">
        <f>G165</f>
        <v>0</v>
      </c>
      <c r="H172" s="8">
        <f>H165</f>
        <v>0</v>
      </c>
      <c r="I172" s="8">
        <f>I165</f>
        <v>0</v>
      </c>
      <c r="J172" s="8">
        <f>J165</f>
        <v>0</v>
      </c>
      <c r="K172" s="8">
        <f>K165</f>
        <v>0</v>
      </c>
      <c r="L172" s="8">
        <f>L165</f>
        <v>0</v>
      </c>
      <c r="M172" s="8">
        <f>M165</f>
        <v>0</v>
      </c>
      <c r="N172" s="8">
        <f>N165</f>
        <v>0</v>
      </c>
      <c r="O172" s="8">
        <f>O165</f>
        <v>0</v>
      </c>
      <c r="P172" s="8">
        <f>P165</f>
        <v>0</v>
      </c>
      <c r="Q172" s="8">
        <f>Q165</f>
        <v>0</v>
      </c>
      <c r="R172" s="8">
        <f>R165</f>
        <v>0</v>
      </c>
      <c r="S172" s="8">
        <f>S165</f>
        <v>0</v>
      </c>
      <c r="T172" s="8">
        <f>T165</f>
        <v>0</v>
      </c>
      <c r="U172" s="8">
        <f>U165</f>
        <v>0</v>
      </c>
      <c r="V172" s="8">
        <f>V165</f>
        <v>0</v>
      </c>
      <c r="W172" s="8">
        <f>W165</f>
        <v>0</v>
      </c>
      <c r="X172" s="8">
        <f>X165</f>
        <v>0</v>
      </c>
      <c r="Y172" s="8">
        <f>Y165</f>
        <v>0</v>
      </c>
      <c r="Z172" s="8">
        <f>Z165</f>
        <v>0</v>
      </c>
      <c r="AA172" s="8">
        <f>AA165</f>
        <v>9939341.70978332</v>
      </c>
      <c r="AB172" s="39">
        <f>SUM(G172:AA172)</f>
        <v>9939341.70978332</v>
      </c>
    </row>
    <row r="173">
      <c r="C173" s="14" t="inlineStr">
        <is>
          <t>LP Cash Flows</t>
        </is>
      </c>
      <c r="G173" s="8">
        <f>G166</f>
        <v>0</v>
      </c>
      <c r="H173" s="8">
        <f>H166</f>
        <v>0</v>
      </c>
      <c r="I173" s="8">
        <f>I166</f>
        <v>0</v>
      </c>
      <c r="J173" s="8">
        <f>J166</f>
        <v>0</v>
      </c>
      <c r="K173" s="8">
        <f>K166</f>
        <v>0</v>
      </c>
      <c r="L173" s="8">
        <f>L166</f>
        <v>0</v>
      </c>
      <c r="M173" s="8">
        <f>M166</f>
        <v>0</v>
      </c>
      <c r="N173" s="8">
        <f>N166</f>
        <v>0</v>
      </c>
      <c r="O173" s="8">
        <f>O166</f>
        <v>0</v>
      </c>
      <c r="P173" s="8">
        <f>P166</f>
        <v>0</v>
      </c>
      <c r="Q173" s="8">
        <f>Q166</f>
        <v>0</v>
      </c>
      <c r="R173" s="8">
        <f>R166</f>
        <v>0</v>
      </c>
      <c r="S173" s="8">
        <f>S166</f>
        <v>0</v>
      </c>
      <c r="T173" s="8">
        <f>T166</f>
        <v>0</v>
      </c>
      <c r="U173" s="8">
        <f>U166</f>
        <v>0</v>
      </c>
      <c r="V173" s="8">
        <f>V166</f>
        <v>0</v>
      </c>
      <c r="W173" s="8">
        <f>W166</f>
        <v>0</v>
      </c>
      <c r="X173" s="8">
        <f>X166</f>
        <v>0</v>
      </c>
      <c r="Y173" s="8">
        <f>Y166</f>
        <v>0</v>
      </c>
      <c r="Z173" s="8">
        <f>Z166</f>
        <v>0</v>
      </c>
      <c r="AA173" s="8">
        <f>AA166</f>
        <v>0</v>
      </c>
      <c r="AB173" s="39">
        <f>SUM(G173:AA173)</f>
        <v>0</v>
      </c>
    </row>
    <row r="174">
      <c r="C174" s="29" t="inlineStr">
        <is>
          <t>Proceeds Available for Next Tier</t>
        </is>
      </c>
      <c r="G174" s="39">
        <f>G159+G170</f>
        <v>0</v>
      </c>
      <c r="H174" s="39">
        <f>H159+H170</f>
        <v>0</v>
      </c>
      <c r="I174" s="39">
        <f>I159+I170</f>
        <v>0</v>
      </c>
      <c r="J174" s="39">
        <f>J159+J170</f>
        <v>0</v>
      </c>
      <c r="K174" s="39">
        <f>K159+K170</f>
        <v>0</v>
      </c>
      <c r="L174" s="39">
        <f>L159+L170</f>
        <v>0</v>
      </c>
      <c r="M174" s="39">
        <f>M159+M170</f>
        <v>0</v>
      </c>
      <c r="N174" s="39">
        <f>N159+N170</f>
        <v>0</v>
      </c>
      <c r="O174" s="39">
        <f>O159+O170</f>
        <v>0</v>
      </c>
      <c r="P174" s="39">
        <f>P159+P170</f>
        <v>0</v>
      </c>
      <c r="Q174" s="39">
        <f>Q159+Q170</f>
        <v>0</v>
      </c>
      <c r="R174" s="39">
        <f>R159+R170</f>
        <v>0</v>
      </c>
      <c r="S174" s="39">
        <f>S159+S170</f>
        <v>0</v>
      </c>
      <c r="T174" s="39">
        <f>T159+T170</f>
        <v>0</v>
      </c>
      <c r="U174" s="39">
        <f>U159+U170</f>
        <v>0</v>
      </c>
      <c r="V174" s="39">
        <f>V159+V170</f>
        <v>0</v>
      </c>
      <c r="W174" s="39">
        <f>W159+W170</f>
        <v>0</v>
      </c>
      <c r="X174" s="39">
        <f>X159+X170</f>
        <v>0</v>
      </c>
      <c r="Y174" s="39">
        <f>Y159+Y170</f>
        <v>0</v>
      </c>
      <c r="Z174" s="39">
        <f>Z159+Z170</f>
        <v>0</v>
      </c>
      <c r="AA174" s="39">
        <f>AA159+AA170</f>
        <v>0</v>
      </c>
      <c r="AB174" s="39">
        <f>SUM(G174:AA174)</f>
        <v>0</v>
      </c>
    </row>
    <row r="176">
      <c r="C176" s="12" t="inlineStr">
        <is>
          <t>Tier 4: Carried Interest</t>
        </is>
      </c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</row>
    <row r="177">
      <c r="C177" s="14" t="inlineStr">
        <is>
          <t>Allocation to GP (%)</t>
        </is>
      </c>
      <c r="E177" s="47">
        <f>Control!$E$50</f>
        <v>0.15</v>
      </c>
    </row>
    <row r="178">
      <c r="C178" s="14" t="inlineStr">
        <is>
          <t>IRR Hurdle (%) (next tier)</t>
        </is>
      </c>
      <c r="E178" s="47">
        <f>Control!$E$57</f>
        <v>0.2</v>
      </c>
    </row>
    <row r="179">
      <c r="C179" s="14" t="inlineStr">
        <is>
          <t>Multiple (x) (next tier)</t>
        </is>
      </c>
      <c r="E179" s="62">
        <f>Control!$E$58</f>
        <v>2.5</v>
      </c>
    </row>
    <row r="180">
      <c r="C180" s="3" t="inlineStr">
        <is>
          <t>Distribution of Proceeds:</t>
        </is>
      </c>
    </row>
    <row r="181">
      <c r="C181" s="14" t="inlineStr">
        <is>
          <t>Proceeds to GP</t>
        </is>
      </c>
      <c r="G181" s="8">
        <f>G182/(1-$E$177)*$E$177</f>
        <v>0</v>
      </c>
      <c r="H181" s="8">
        <f>H182/(1-$E$177)*$E$177</f>
        <v>0</v>
      </c>
      <c r="I181" s="8">
        <f>I182/(1-$E$177)*$E$177</f>
        <v>0</v>
      </c>
      <c r="J181" s="8">
        <f>J182/(1-$E$177)*$E$177</f>
        <v>0</v>
      </c>
      <c r="K181" s="8">
        <f>K182/(1-$E$177)*$E$177</f>
        <v>0</v>
      </c>
      <c r="L181" s="8">
        <f>L182/(1-$E$177)*$E$177</f>
        <v>0</v>
      </c>
      <c r="M181" s="8">
        <f>M182/(1-$E$177)*$E$177</f>
        <v>0</v>
      </c>
      <c r="N181" s="8">
        <f>N182/(1-$E$177)*$E$177</f>
        <v>0</v>
      </c>
      <c r="O181" s="8">
        <f>O182/(1-$E$177)*$E$177</f>
        <v>0</v>
      </c>
      <c r="P181" s="8">
        <f>P182/(1-$E$177)*$E$177</f>
        <v>0</v>
      </c>
      <c r="Q181" s="8">
        <f>Q182/(1-$E$177)*$E$177</f>
        <v>0</v>
      </c>
      <c r="R181" s="8">
        <f>R182/(1-$E$177)*$E$177</f>
        <v>0</v>
      </c>
      <c r="S181" s="8">
        <f>S182/(1-$E$177)*$E$177</f>
        <v>0</v>
      </c>
      <c r="T181" s="8">
        <f>T182/(1-$E$177)*$E$177</f>
        <v>0</v>
      </c>
      <c r="U181" s="8">
        <f>U182/(1-$E$177)*$E$177</f>
        <v>0</v>
      </c>
      <c r="V181" s="8">
        <f>V182/(1-$E$177)*$E$177</f>
        <v>0</v>
      </c>
      <c r="W181" s="8">
        <f>W182/(1-$E$177)*$E$177</f>
        <v>0</v>
      </c>
      <c r="X181" s="8">
        <f>X182/(1-$E$177)*$E$177</f>
        <v>0</v>
      </c>
      <c r="Y181" s="8">
        <f>Y182/(1-$E$177)*$E$177</f>
        <v>0</v>
      </c>
      <c r="Z181" s="8">
        <f>Z182/(1-$E$177)*$E$177</f>
        <v>0</v>
      </c>
      <c r="AA181" s="8">
        <f>AA182/(1-$E$177)*$E$177</f>
        <v>0</v>
      </c>
      <c r="AB181" s="39">
        <f>SUM(G181:AA181)</f>
        <v>0</v>
      </c>
    </row>
    <row r="182">
      <c r="C182" s="14" t="inlineStr">
        <is>
          <t>Proceeds to LPs</t>
        </is>
      </c>
      <c r="G182" s="8">
        <f>MIN(G174*(1-$E$177),MAX(G196,G211))</f>
        <v>0</v>
      </c>
      <c r="H182" s="8">
        <f>MIN(H174*(1-$E$177),MAX(H196,H211))</f>
        <v>0</v>
      </c>
      <c r="I182" s="8">
        <f>MIN(I174*(1-$E$177),MAX(I196,I211))</f>
        <v>0</v>
      </c>
      <c r="J182" s="8">
        <f>MIN(J174*(1-$E$177),MAX(J196,J211))</f>
        <v>0</v>
      </c>
      <c r="K182" s="8">
        <f>MIN(K174*(1-$E$177),MAX(K196,K211))</f>
        <v>0</v>
      </c>
      <c r="L182" s="8">
        <f>MIN(L174*(1-$E$177),MAX(L196,L211))</f>
        <v>0</v>
      </c>
      <c r="M182" s="8">
        <f>MIN(M174*(1-$E$177),MAX(M196,M211))</f>
        <v>0</v>
      </c>
      <c r="N182" s="8">
        <f>MIN(N174*(1-$E$177),MAX(N196,N211))</f>
        <v>0</v>
      </c>
      <c r="O182" s="8">
        <f>MIN(O174*(1-$E$177),MAX(O196,O211))</f>
        <v>0</v>
      </c>
      <c r="P182" s="8">
        <f>MIN(P174*(1-$E$177),MAX(P196,P211))</f>
        <v>0</v>
      </c>
      <c r="Q182" s="8">
        <f>MIN(Q174*(1-$E$177),MAX(Q196,Q211))</f>
        <v>0</v>
      </c>
      <c r="R182" s="8">
        <f>MIN(R174*(1-$E$177),MAX(R196,R211))</f>
        <v>0</v>
      </c>
      <c r="S182" s="8">
        <f>MIN(S174*(1-$E$177),MAX(S196,S211))</f>
        <v>0</v>
      </c>
      <c r="T182" s="8">
        <f>MIN(T174*(1-$E$177),MAX(T196,T211))</f>
        <v>0</v>
      </c>
      <c r="U182" s="8">
        <f>MIN(U174*(1-$E$177),MAX(U196,U211))</f>
        <v>0</v>
      </c>
      <c r="V182" s="8">
        <f>MIN(V174*(1-$E$177),MAX(V196,V211))</f>
        <v>0</v>
      </c>
      <c r="W182" s="8">
        <f>MIN(W174*(1-$E$177),MAX(W196,W211))</f>
        <v>0</v>
      </c>
      <c r="X182" s="8">
        <f>MIN(X174*(1-$E$177),MAX(X196,X211))</f>
        <v>0</v>
      </c>
      <c r="Y182" s="8">
        <f>MIN(Y174*(1-$E$177),MAX(Y196,Y211))</f>
        <v>0</v>
      </c>
      <c r="Z182" s="8">
        <f>MIN(Z174*(1-$E$177),MAX(Z196,Z211))</f>
        <v>0</v>
      </c>
      <c r="AA182" s="8">
        <f>MIN(AA174*(1-$E$177),MAX(AA196,AA211))</f>
        <v>0</v>
      </c>
      <c r="AB182" s="39">
        <f>SUM(G182:AA182)</f>
        <v>0</v>
      </c>
    </row>
    <row r="183">
      <c r="C183" s="3" t="inlineStr">
        <is>
          <t>IRR Test:</t>
        </is>
      </c>
    </row>
    <row r="184">
      <c r="C184" s="29" t="inlineStr">
        <is>
          <t>Net Cash Flows:</t>
        </is>
      </c>
    </row>
    <row r="185">
      <c r="C185" s="43" t="inlineStr">
        <is>
          <t>Plus: LP Contributions (Exc. Management Fees)</t>
        </is>
      </c>
      <c r="G185" s="8">
        <f>-G21</f>
        <v>-142159468.866388</v>
      </c>
      <c r="H185" s="8">
        <f>-H21</f>
        <v>-0</v>
      </c>
      <c r="I185" s="8">
        <f>-I21</f>
        <v>-0</v>
      </c>
      <c r="J185" s="8">
        <f>-J21</f>
        <v>-0</v>
      </c>
      <c r="K185" s="8">
        <f>-K21</f>
        <v>-3981165.72</v>
      </c>
      <c r="L185" s="8">
        <f>-L21</f>
        <v>-0</v>
      </c>
      <c r="M185" s="8">
        <f>-M21</f>
        <v>-0</v>
      </c>
      <c r="N185" s="8">
        <f>-N21</f>
        <v>-0</v>
      </c>
      <c r="O185" s="8">
        <f>-O21</f>
        <v>-3639919.92</v>
      </c>
      <c r="P185" s="8">
        <f>-P21</f>
        <v>-0</v>
      </c>
      <c r="Q185" s="8">
        <f>-Q21</f>
        <v>-0</v>
      </c>
      <c r="R185" s="8">
        <f>-R21</f>
        <v>-0</v>
      </c>
      <c r="S185" s="8">
        <f>-S21</f>
        <v>-1750374.08</v>
      </c>
      <c r="T185" s="8">
        <f>-T21</f>
        <v>-0</v>
      </c>
      <c r="U185" s="8">
        <f>-U21</f>
        <v>-0</v>
      </c>
      <c r="V185" s="8">
        <f>-V21</f>
        <v>-0</v>
      </c>
      <c r="W185" s="8">
        <f>-W21</f>
        <v>-647976</v>
      </c>
      <c r="X185" s="8">
        <f>-X21</f>
        <v>-0</v>
      </c>
      <c r="Y185" s="8">
        <f>-Y21</f>
        <v>-0</v>
      </c>
      <c r="Z185" s="8">
        <f>-Z21</f>
        <v>-0</v>
      </c>
      <c r="AA185" s="8">
        <f>-AA21</f>
        <v>-0</v>
      </c>
      <c r="AB185" s="39">
        <f>SUM(G185:AA185)</f>
        <v>-152178904.586388</v>
      </c>
    </row>
    <row r="186">
      <c r="C186" s="43" t="inlineStr">
        <is>
          <t>Plus: Management Fees</t>
        </is>
      </c>
      <c r="G186" s="8">
        <f>-G53</f>
        <v>-621947.676290447</v>
      </c>
      <c r="H186" s="8">
        <f>-H53</f>
        <v>-621947.676290447</v>
      </c>
      <c r="I186" s="8">
        <f>-I53</f>
        <v>-621947.676290447</v>
      </c>
      <c r="J186" s="8">
        <f>-J53</f>
        <v>-621947.676290447</v>
      </c>
      <c r="K186" s="8">
        <f>-K53</f>
        <v>-639365.276315447</v>
      </c>
      <c r="L186" s="8">
        <f>-L53</f>
        <v>-613117.24627729</v>
      </c>
      <c r="M186" s="8">
        <f>-M53</f>
        <v>-613117.24627729</v>
      </c>
      <c r="N186" s="8">
        <f>-N53</f>
        <v>-613117.24627729</v>
      </c>
      <c r="O186" s="8">
        <f>-O53</f>
        <v>-629041.89592729</v>
      </c>
      <c r="P186" s="8">
        <f>-P53</f>
        <v>-598389.251553261</v>
      </c>
      <c r="Q186" s="8">
        <f>-Q53</f>
        <v>-598389.251553261</v>
      </c>
      <c r="R186" s="8">
        <f>-R53</f>
        <v>-598389.251553261</v>
      </c>
      <c r="S186" s="8">
        <f>-S53</f>
        <v>-606047.138153261</v>
      </c>
      <c r="T186" s="8">
        <f>-T53</f>
        <v>-571182.354825136</v>
      </c>
      <c r="U186" s="8">
        <f>-U53</f>
        <v>-571182.354825136</v>
      </c>
      <c r="V186" s="8">
        <f>-V53</f>
        <v>-571182.354825136</v>
      </c>
      <c r="W186" s="8">
        <f>-W53</f>
        <v>-574017.249825136</v>
      </c>
      <c r="X186" s="8">
        <f>-X53</f>
        <v>-536660.734885214</v>
      </c>
      <c r="Y186" s="8">
        <f>-Y53</f>
        <v>-536660.734885214</v>
      </c>
      <c r="Z186" s="8">
        <f>-Z53</f>
        <v>-536660.734885214</v>
      </c>
      <c r="AA186" s="8">
        <f>-AA53</f>
        <v>-536660.734885214</v>
      </c>
      <c r="AB186" s="39">
        <f>SUM(G186:AA186)</f>
        <v>-12430971.7628908</v>
      </c>
    </row>
    <row r="187">
      <c r="C187" s="43" t="inlineStr">
        <is>
          <t>Less: Return of Capital</t>
        </is>
      </c>
      <c r="G187" s="8">
        <f>G67</f>
        <v>0</v>
      </c>
      <c r="H187" s="8">
        <f>H67</f>
        <v>0</v>
      </c>
      <c r="I187" s="8">
        <f>I67</f>
        <v>0</v>
      </c>
      <c r="J187" s="8">
        <f>J67</f>
        <v>0</v>
      </c>
      <c r="K187" s="8">
        <f>K67</f>
        <v>5999549.72300725</v>
      </c>
      <c r="L187" s="8">
        <f>L67</f>
        <v>0</v>
      </c>
      <c r="M187" s="8">
        <f>M67</f>
        <v>0</v>
      </c>
      <c r="N187" s="8">
        <f>N67</f>
        <v>0</v>
      </c>
      <c r="O187" s="8">
        <f>O67</f>
        <v>7006318.71406373</v>
      </c>
      <c r="P187" s="8">
        <f>P67</f>
        <v>0</v>
      </c>
      <c r="Q187" s="8">
        <f>Q67</f>
        <v>0</v>
      </c>
      <c r="R187" s="8">
        <f>R67</f>
        <v>0</v>
      </c>
      <c r="S187" s="8">
        <f>S67</f>
        <v>7969093.33214287</v>
      </c>
      <c r="T187" s="8">
        <f>T67</f>
        <v>0</v>
      </c>
      <c r="U187" s="8">
        <f>U67</f>
        <v>0</v>
      </c>
      <c r="V187" s="8">
        <f>V67</f>
        <v>0</v>
      </c>
      <c r="W187" s="8">
        <f>W67</f>
        <v>8538631.98626797</v>
      </c>
      <c r="X187" s="8">
        <f>X67</f>
        <v>0</v>
      </c>
      <c r="Y187" s="8">
        <f>Y67</f>
        <v>0</v>
      </c>
      <c r="Z187" s="8">
        <f>Z67</f>
        <v>0</v>
      </c>
      <c r="AA187" s="8">
        <f>AA67</f>
        <v>135096282.593797</v>
      </c>
      <c r="AB187" s="39">
        <f>SUM(G187:AA187)</f>
        <v>164609876.349279</v>
      </c>
    </row>
    <row r="188">
      <c r="C188" s="43" t="inlineStr">
        <is>
          <t>Less: Preferred Return</t>
        </is>
      </c>
      <c r="G188" s="8">
        <f>G103</f>
        <v>0</v>
      </c>
      <c r="H188" s="8">
        <f>H103</f>
        <v>0</v>
      </c>
      <c r="I188" s="8">
        <f>I103</f>
        <v>0</v>
      </c>
      <c r="J188" s="8">
        <f>J103</f>
        <v>0</v>
      </c>
      <c r="K188" s="8">
        <f>K103</f>
        <v>0</v>
      </c>
      <c r="L188" s="8">
        <f>L103</f>
        <v>0</v>
      </c>
      <c r="M188" s="8">
        <f>M103</f>
        <v>0</v>
      </c>
      <c r="N188" s="8">
        <f>N103</f>
        <v>0</v>
      </c>
      <c r="O188" s="8">
        <f>O103</f>
        <v>0</v>
      </c>
      <c r="P188" s="8">
        <f>P103</f>
        <v>0</v>
      </c>
      <c r="Q188" s="8">
        <f>Q103</f>
        <v>0</v>
      </c>
      <c r="R188" s="8">
        <f>R103</f>
        <v>0</v>
      </c>
      <c r="S188" s="8">
        <f>S103</f>
        <v>0</v>
      </c>
      <c r="T188" s="8">
        <f>T103</f>
        <v>0</v>
      </c>
      <c r="U188" s="8">
        <f>U103</f>
        <v>0</v>
      </c>
      <c r="V188" s="8">
        <f>V103</f>
        <v>0</v>
      </c>
      <c r="W188" s="8">
        <f>W103</f>
        <v>0</v>
      </c>
      <c r="X188" s="8">
        <f>X103</f>
        <v>0</v>
      </c>
      <c r="Y188" s="8">
        <f>Y103</f>
        <v>0</v>
      </c>
      <c r="Z188" s="8">
        <f>Z103</f>
        <v>0</v>
      </c>
      <c r="AA188" s="8">
        <f>AA103</f>
        <v>66279844.3242502</v>
      </c>
      <c r="AB188" s="39">
        <f>SUM(G188:AA188)</f>
        <v>66279844.3242502</v>
      </c>
    </row>
    <row r="189">
      <c r="C189" s="43" t="inlineStr">
        <is>
          <t>Less: Catch-Up (Tier 3)</t>
        </is>
      </c>
      <c r="G189" s="8">
        <f>G118</f>
        <v>0</v>
      </c>
      <c r="H189" s="8">
        <f>H118</f>
        <v>0</v>
      </c>
      <c r="I189" s="8">
        <f>I118</f>
        <v>0</v>
      </c>
      <c r="J189" s="8">
        <f>J118</f>
        <v>0</v>
      </c>
      <c r="K189" s="8">
        <f>K118</f>
        <v>0</v>
      </c>
      <c r="L189" s="8">
        <f>L118</f>
        <v>0</v>
      </c>
      <c r="M189" s="8">
        <f>M118</f>
        <v>0</v>
      </c>
      <c r="N189" s="8">
        <f>N118</f>
        <v>0</v>
      </c>
      <c r="O189" s="8">
        <f>O118</f>
        <v>0</v>
      </c>
      <c r="P189" s="8">
        <f>P118</f>
        <v>0</v>
      </c>
      <c r="Q189" s="8">
        <f>Q118</f>
        <v>0</v>
      </c>
      <c r="R189" s="8">
        <f>R118</f>
        <v>0</v>
      </c>
      <c r="S189" s="8">
        <f>S118</f>
        <v>0</v>
      </c>
      <c r="T189" s="8">
        <f>T118</f>
        <v>0</v>
      </c>
      <c r="U189" s="8">
        <f>U118</f>
        <v>0</v>
      </c>
      <c r="V189" s="8">
        <f>V118</f>
        <v>0</v>
      </c>
      <c r="W189" s="8">
        <f>W118</f>
        <v>0</v>
      </c>
      <c r="X189" s="8">
        <f>X118</f>
        <v>0</v>
      </c>
      <c r="Y189" s="8">
        <f>Y118</f>
        <v>0</v>
      </c>
      <c r="Z189" s="8">
        <f>Z118</f>
        <v>0</v>
      </c>
      <c r="AA189" s="8">
        <f>AA118</f>
        <v>0</v>
      </c>
      <c r="AB189" s="39">
        <f>SUM(G189:AA189)</f>
        <v>0</v>
      </c>
    </row>
    <row r="190">
      <c r="C190" s="43" t="inlineStr">
        <is>
          <t>Less: Carried Interest Tier 3 – Proceeds to LPs</t>
        </is>
      </c>
      <c r="G190" s="8">
        <f>G158</f>
        <v>0</v>
      </c>
      <c r="H190" s="8">
        <f>H158</f>
        <v>0</v>
      </c>
      <c r="I190" s="8">
        <f>I158</f>
        <v>0</v>
      </c>
      <c r="J190" s="8">
        <f>J158</f>
        <v>0</v>
      </c>
      <c r="K190" s="8">
        <f>K158</f>
        <v>0</v>
      </c>
      <c r="L190" s="8">
        <f>L158</f>
        <v>0</v>
      </c>
      <c r="M190" s="8">
        <f>M158</f>
        <v>0</v>
      </c>
      <c r="N190" s="8">
        <f>N158</f>
        <v>0</v>
      </c>
      <c r="O190" s="8">
        <f>O158</f>
        <v>0</v>
      </c>
      <c r="P190" s="8">
        <f>P158</f>
        <v>0</v>
      </c>
      <c r="Q190" s="8">
        <f>Q158</f>
        <v>0</v>
      </c>
      <c r="R190" s="8">
        <f>R158</f>
        <v>0</v>
      </c>
      <c r="S190" s="8">
        <f>S158</f>
        <v>0</v>
      </c>
      <c r="T190" s="8">
        <f>T158</f>
        <v>0</v>
      </c>
      <c r="U190" s="8">
        <f>U158</f>
        <v>0</v>
      </c>
      <c r="V190" s="8">
        <f>V158</f>
        <v>0</v>
      </c>
      <c r="W190" s="8">
        <f>W158</f>
        <v>0</v>
      </c>
      <c r="X190" s="8">
        <f>X158</f>
        <v>0</v>
      </c>
      <c r="Y190" s="8">
        <f>Y158</f>
        <v>0</v>
      </c>
      <c r="Z190" s="8">
        <f>Z158</f>
        <v>0</v>
      </c>
      <c r="AA190" s="8">
        <f>AA158</f>
        <v>98330032.0250285</v>
      </c>
      <c r="AB190" s="39">
        <f>SUM(G190:AA190)</f>
        <v>98330032.0250285</v>
      </c>
    </row>
    <row r="191">
      <c r="C191" s="43" t="inlineStr">
        <is>
          <t>Less: Catch-Up (Tier 4)</t>
        </is>
      </c>
      <c r="G191" s="8">
        <f>G173</f>
        <v>0</v>
      </c>
      <c r="H191" s="8">
        <f>H173</f>
        <v>0</v>
      </c>
      <c r="I191" s="8">
        <f>I173</f>
        <v>0</v>
      </c>
      <c r="J191" s="8">
        <f>J173</f>
        <v>0</v>
      </c>
      <c r="K191" s="8">
        <f>K173</f>
        <v>0</v>
      </c>
      <c r="L191" s="8">
        <f>L173</f>
        <v>0</v>
      </c>
      <c r="M191" s="8">
        <f>M173</f>
        <v>0</v>
      </c>
      <c r="N191" s="8">
        <f>N173</f>
        <v>0</v>
      </c>
      <c r="O191" s="8">
        <f>O173</f>
        <v>0</v>
      </c>
      <c r="P191" s="8">
        <f>P173</f>
        <v>0</v>
      </c>
      <c r="Q191" s="8">
        <f>Q173</f>
        <v>0</v>
      </c>
      <c r="R191" s="8">
        <f>R173</f>
        <v>0</v>
      </c>
      <c r="S191" s="8">
        <f>S173</f>
        <v>0</v>
      </c>
      <c r="T191" s="8">
        <f>T173</f>
        <v>0</v>
      </c>
      <c r="U191" s="8">
        <f>U173</f>
        <v>0</v>
      </c>
      <c r="V191" s="8">
        <f>V173</f>
        <v>0</v>
      </c>
      <c r="W191" s="8">
        <f>W173</f>
        <v>0</v>
      </c>
      <c r="X191" s="8">
        <f>X173</f>
        <v>0</v>
      </c>
      <c r="Y191" s="8">
        <f>Y173</f>
        <v>0</v>
      </c>
      <c r="Z191" s="8">
        <f>Z173</f>
        <v>0</v>
      </c>
      <c r="AA191" s="8">
        <f>AA173</f>
        <v>0</v>
      </c>
      <c r="AB191" s="39">
        <f>SUM(G191:AA191)</f>
        <v>0</v>
      </c>
    </row>
    <row r="192">
      <c r="C192" s="43" t="inlineStr">
        <is>
          <t>Less: Proceeds to LPs</t>
        </is>
      </c>
      <c r="G192" s="8">
        <f>G182</f>
        <v>0</v>
      </c>
      <c r="H192" s="8">
        <f>H182</f>
        <v>0</v>
      </c>
      <c r="I192" s="8">
        <f>I182</f>
        <v>0</v>
      </c>
      <c r="J192" s="8">
        <f>J182</f>
        <v>0</v>
      </c>
      <c r="K192" s="8">
        <f>K182</f>
        <v>0</v>
      </c>
      <c r="L192" s="8">
        <f>L182</f>
        <v>0</v>
      </c>
      <c r="M192" s="8">
        <f>M182</f>
        <v>0</v>
      </c>
      <c r="N192" s="8">
        <f>N182</f>
        <v>0</v>
      </c>
      <c r="O192" s="8">
        <f>O182</f>
        <v>0</v>
      </c>
      <c r="P192" s="8">
        <f>P182</f>
        <v>0</v>
      </c>
      <c r="Q192" s="8">
        <f>Q182</f>
        <v>0</v>
      </c>
      <c r="R192" s="8">
        <f>R182</f>
        <v>0</v>
      </c>
      <c r="S192" s="8">
        <f>S182</f>
        <v>0</v>
      </c>
      <c r="T192" s="8">
        <f>T182</f>
        <v>0</v>
      </c>
      <c r="U192" s="8">
        <f>U182</f>
        <v>0</v>
      </c>
      <c r="V192" s="8">
        <f>V182</f>
        <v>0</v>
      </c>
      <c r="W192" s="8">
        <f>W182</f>
        <v>0</v>
      </c>
      <c r="X192" s="8">
        <f>X182</f>
        <v>0</v>
      </c>
      <c r="Y192" s="8">
        <f>Y182</f>
        <v>0</v>
      </c>
      <c r="Z192" s="8">
        <f>Z182</f>
        <v>0</v>
      </c>
      <c r="AA192" s="8">
        <f>AA182</f>
        <v>0</v>
      </c>
      <c r="AB192" s="39">
        <f>SUM(G192:AA192)</f>
        <v>0</v>
      </c>
    </row>
    <row r="193">
      <c r="C193" s="44" t="inlineStr">
        <is>
          <t>Net Cash Flows</t>
        </is>
      </c>
      <c r="G193" s="30">
        <f>SUM(G185:G192)</f>
        <v>-142781416.542678</v>
      </c>
      <c r="H193" s="30">
        <f>SUM(H185:H192)</f>
        <v>-621947.676290447</v>
      </c>
      <c r="I193" s="30">
        <f>SUM(I185:I192)</f>
        <v>-621947.676290447</v>
      </c>
      <c r="J193" s="30">
        <f>SUM(J185:J192)</f>
        <v>-621947.676290447</v>
      </c>
      <c r="K193" s="30">
        <f>SUM(K185:K192)</f>
        <v>1379018.7266918</v>
      </c>
      <c r="L193" s="30">
        <f>SUM(L185:L192)</f>
        <v>-613117.24627729</v>
      </c>
      <c r="M193" s="30">
        <f>SUM(M185:M192)</f>
        <v>-613117.24627729</v>
      </c>
      <c r="N193" s="30">
        <f>SUM(N185:N192)</f>
        <v>-613117.24627729</v>
      </c>
      <c r="O193" s="30">
        <f>SUM(O185:O192)</f>
        <v>2737356.89813644</v>
      </c>
      <c r="P193" s="30">
        <f>SUM(P185:P192)</f>
        <v>-598389.251553261</v>
      </c>
      <c r="Q193" s="30">
        <f>SUM(Q185:Q192)</f>
        <v>-598389.251553261</v>
      </c>
      <c r="R193" s="30">
        <f>SUM(R185:R192)</f>
        <v>-598389.251553261</v>
      </c>
      <c r="S193" s="30">
        <f>SUM(S185:S192)</f>
        <v>5612672.11398961</v>
      </c>
      <c r="T193" s="30">
        <f>SUM(T185:T192)</f>
        <v>-571182.354825136</v>
      </c>
      <c r="U193" s="30">
        <f>SUM(U185:U192)</f>
        <v>-571182.354825136</v>
      </c>
      <c r="V193" s="30">
        <f>SUM(V185:V192)</f>
        <v>-571182.354825136</v>
      </c>
      <c r="W193" s="30">
        <f>SUM(W185:W192)</f>
        <v>7316638.73644283</v>
      </c>
      <c r="X193" s="30">
        <f>SUM(X185:X192)</f>
        <v>-536660.734885214</v>
      </c>
      <c r="Y193" s="30">
        <f>SUM(Y185:Y192)</f>
        <v>-536660.734885214</v>
      </c>
      <c r="Z193" s="30">
        <f>SUM(Z185:Z192)</f>
        <v>-536660.734885214</v>
      </c>
      <c r="AA193" s="30">
        <f>SUM(AA185:AA192)</f>
        <v>299169498.20819</v>
      </c>
      <c r="AB193" s="30">
        <f>SUM(G193:AA193)</f>
        <v>164609876.349279</v>
      </c>
    </row>
    <row r="194">
      <c r="C194" s="43" t="inlineStr">
        <is>
          <t>PV Discount Factor</t>
        </is>
      </c>
      <c r="G194" s="63">
        <f>1/(1+$E$178)^(G$7/4)</f>
        <v>1</v>
      </c>
      <c r="H194" s="63">
        <f>1/(1+$E$178)^(H$7/4)</f>
        <v>0.955442792204367</v>
      </c>
      <c r="I194" s="63">
        <f>1/(1+$E$178)^(I$7/4)</f>
        <v>0.912870929175277</v>
      </c>
      <c r="J194" s="63">
        <f>1/(1+$E$178)^(J$7/4)</f>
        <v>0.872195949493421</v>
      </c>
      <c r="K194" s="63">
        <f>1/(1+$E$178)^(K$7/4)</f>
        <v>0.833333333333333</v>
      </c>
      <c r="L194" s="63">
        <f>1/(1+$E$178)^(L$7/4)</f>
        <v>0.796202326836973</v>
      </c>
      <c r="M194" s="63">
        <f>1/(1+$E$178)^(M$7/4)</f>
        <v>0.760725774312731</v>
      </c>
      <c r="N194" s="63">
        <f>1/(1+$E$178)^(N$7/4)</f>
        <v>0.726829957911184</v>
      </c>
      <c r="O194" s="63">
        <f>1/(1+$E$178)^(O$7/4)</f>
        <v>0.694444444444444</v>
      </c>
      <c r="P194" s="63">
        <f>1/(1+$E$178)^(P$7/4)</f>
        <v>0.66350193903081</v>
      </c>
      <c r="Q194" s="63">
        <f>1/(1+$E$178)^(Q$7/4)</f>
        <v>0.633938145260609</v>
      </c>
      <c r="R194" s="63">
        <f>1/(1+$E$178)^(R$7/4)</f>
        <v>0.605691631592654</v>
      </c>
      <c r="S194" s="63">
        <f>1/(1+$E$178)^(S$7/4)</f>
        <v>0.578703703703704</v>
      </c>
      <c r="T194" s="63">
        <f>1/(1+$E$178)^(T$7/4)</f>
        <v>0.552918282525675</v>
      </c>
      <c r="U194" s="63">
        <f>1/(1+$E$178)^(U$7/4)</f>
        <v>0.528281787717174</v>
      </c>
      <c r="V194" s="63">
        <f>1/(1+$E$178)^(V$7/4)</f>
        <v>0.504743026327212</v>
      </c>
      <c r="W194" s="63">
        <f>1/(1+$E$178)^(W$7/4)</f>
        <v>0.482253086419753</v>
      </c>
      <c r="X194" s="63">
        <f>1/(1+$E$178)^(X$7/4)</f>
        <v>0.460765235438063</v>
      </c>
      <c r="Y194" s="63">
        <f>1/(1+$E$178)^(Y$7/4)</f>
        <v>0.440234823097645</v>
      </c>
      <c r="Z194" s="63">
        <f>1/(1+$E$178)^(Z$7/4)</f>
        <v>0.42061918860601</v>
      </c>
      <c r="AA194" s="63">
        <f>1/(1+$E$178)^(AA$7/4)</f>
        <v>0.401877572016461</v>
      </c>
    </row>
    <row r="195">
      <c r="C195" s="43" t="inlineStr">
        <is>
          <t>PV of Net Cash Flows</t>
        </is>
      </c>
      <c r="G195" s="8">
        <f>G193*G194</f>
        <v>-142781416.542678</v>
      </c>
      <c r="H195" s="8">
        <f>H193*H194</f>
        <v>-594235.424439962</v>
      </c>
      <c r="I195" s="8">
        <f>I193*I194</f>
        <v>-567757.953153664</v>
      </c>
      <c r="J195" s="8">
        <f>J193*J194</f>
        <v>-542460.244057373</v>
      </c>
      <c r="K195" s="8">
        <f>K193*K194</f>
        <v>1149182.27224317</v>
      </c>
      <c r="L195" s="8">
        <f>L193*L194</f>
        <v>-488165.378109855</v>
      </c>
      <c r="M195" s="8">
        <f>M193*M194</f>
        <v>-466414.091918781</v>
      </c>
      <c r="N195" s="8">
        <f>N193*N194</f>
        <v>-445631.982306344</v>
      </c>
      <c r="O195" s="8">
        <f>O193*O194</f>
        <v>1900942.29037253</v>
      </c>
      <c r="P195" s="8">
        <f>P193*P194</f>
        <v>-397032.428700784</v>
      </c>
      <c r="Q195" s="8">
        <f>Q193*Q194</f>
        <v>-379341.772273558</v>
      </c>
      <c r="R195" s="8">
        <f>R193*R194</f>
        <v>-362439.362100802</v>
      </c>
      <c r="S195" s="8">
        <f>S193*S194</f>
        <v>3248074.14004029</v>
      </c>
      <c r="T195" s="8">
        <f>T193*T194</f>
        <v>-315817.166638885</v>
      </c>
      <c r="U195" s="8">
        <f>U193*U194</f>
        <v>-301745.235519528</v>
      </c>
      <c r="V195" s="8">
        <f>V193*V194</f>
        <v>-288300.310359142</v>
      </c>
      <c r="W195" s="8">
        <f>W193*W194</f>
        <v>3528471.61286788</v>
      </c>
      <c r="X195" s="8">
        <f>X193*X194</f>
        <v>-247274.609859749</v>
      </c>
      <c r="Y195" s="8">
        <f>Y193*Y194</f>
        <v>-236256.743685644</v>
      </c>
      <c r="Z195" s="8">
        <f>Z193*Z194</f>
        <v>-225729.802864123</v>
      </c>
      <c r="AA195" s="8">
        <f>AA193*AA194</f>
        <v>120229511.561291</v>
      </c>
      <c r="AB195" s="39">
        <f>SUM(G195:AA195)</f>
        <v>-18583837.171852</v>
      </c>
    </row>
    <row r="196">
      <c r="C196" s="43" t="inlineStr">
        <is>
          <t>Preferred Threshold (amount payable this quarter to reach the hurdle)</t>
        </is>
      </c>
      <c r="G196" s="8">
        <f>MAX(0,-((G185+G186+G187+G188+G189+G190+G191)*G194)/G194)</f>
        <v>142781416.542678</v>
      </c>
      <c r="H196" s="8">
        <f>MAX(0,-(SUM($G195:G195)+(H185+H186+H187+H188+H189+H190+H191)*H194)/H194)</f>
        <v>150061995.482039</v>
      </c>
      <c r="I196" s="8">
        <f>MAX(0,-(SUM($G195:H195)+(I185+I186+I187+I188+I189+I190+I191)*I194)/I194)</f>
        <v>157682105.235092</v>
      </c>
      <c r="J196" s="8">
        <f>MAX(0,-(SUM($G195:I195)+(J185+J186+J187+J188+J189+J190+J191)*J194)/J194)</f>
        <v>165657579.868661</v>
      </c>
      <c r="K196" s="8">
        <f>MAX(0,-(SUM($G195:J195)+(K185+K186+K187+K188+K189+K190+K191)*K194)/K194)</f>
        <v>172004025.470503</v>
      </c>
      <c r="L196" s="8">
        <f>MAX(0,-(SUM($G195:K195)+(L185+L186+L187+L188+L189+L190+L191)*L194)/L194)</f>
        <v>180638574.420601</v>
      </c>
      <c r="M196" s="8">
        <f>MAX(0,-(SUM($G195:L195)+(M185+M186+M187+M188+M189+M190+M191)*M194)/M194)</f>
        <v>189675796.764574</v>
      </c>
      <c r="N196" s="8">
        <f>MAX(0,-(SUM($G195:M195)+(N185+N186+N187+N188+N189+N190+N191)*N194)/N194)</f>
        <v>199134471.232276</v>
      </c>
      <c r="O196" s="8">
        <f>MAX(0,-(SUM($G195:N195)+(O185+O186+O187+O188+O189+O190+O191)*O194)/O194)</f>
        <v>205683778.15783</v>
      </c>
      <c r="P196" s="8">
        <f>MAX(0,-(SUM($G195:O195)+(P185+P186+P187+P188+P189+P190+P191)*P194)/P194)</f>
        <v>215874259.074468</v>
      </c>
      <c r="Q196" s="8">
        <f>MAX(0,-(SUM($G195:P195)+(Q185+Q186+Q187+Q188+Q189+Q190+Q191)*Q194)/Q194)</f>
        <v>226539974.489127</v>
      </c>
      <c r="R196" s="8">
        <f>MAX(0,-(SUM($G195:Q195)+(R185+R186+R187+R188+R189+R190+R191)*R194)/R194)</f>
        <v>237703087.028865</v>
      </c>
      <c r="S196" s="8">
        <f>MAX(0,-(SUM($G195:R195)+(S185+S186+S187+S188+S189+S190+S191)*S194)/S194)</f>
        <v>243175731.5124</v>
      </c>
      <c r="T196" s="8">
        <f>MAX(0,-(SUM($G195:S195)+(T185+T186+T187+T188+T189+T190+T191)*T194)/T194)</f>
        <v>255087448.003083</v>
      </c>
      <c r="U196" s="8">
        <f>MAX(0,-(SUM($G195:T195)+(U185+U186+U187+U188+U189+U190+U191)*U194)/U194)</f>
        <v>267554669.052709</v>
      </c>
      <c r="V196" s="8">
        <f>MAX(0,-(SUM($G195:U195)+(V185+V186+V187+V188+V189+V190+V191)*V194)/V194)</f>
        <v>280603300.693815</v>
      </c>
      <c r="W196" s="8">
        <f>MAX(0,-(SUM($G195:V195)+(W185+W186+W187+W188+W189+W190+W191)*W194)/W194)</f>
        <v>286372635.999114</v>
      </c>
      <c r="X196" s="8">
        <f>MAX(0,-(SUM($G195:W195)+(X185+X186+X187+X188+X189+X190+X191)*X194)/X194)</f>
        <v>300264324.531902</v>
      </c>
      <c r="Y196" s="8">
        <f>MAX(0,-(SUM($G195:X195)+(Y185+Y186+Y187+Y188+Y189+Y190+Y191)*Y194)/Y194)</f>
        <v>314803853.895809</v>
      </c>
      <c r="Z196" s="8">
        <f>MAX(0,-(SUM($G195:Y195)+(Z185+Z186+Z187+Z188+Z189+Z190+Z191)*Z194)/Z194)</f>
        <v>330021436.238297</v>
      </c>
      <c r="AA196" s="8">
        <f>MAX(0,-(SUM($G195:Z195)+(AA185+AA186+AA187+AA188+AA189+AA190+AA191)*AA194)/AA194)</f>
        <v>46242533.7114629</v>
      </c>
    </row>
    <row r="197">
      <c r="C197" s="43" t="inlineStr">
        <is>
          <t>LP Net Cash Flows (memo)</t>
        </is>
      </c>
      <c r="G197" s="8">
        <f>G193</f>
        <v>-142781416.542678</v>
      </c>
      <c r="H197" s="8">
        <f>H193</f>
        <v>-621947.676290447</v>
      </c>
      <c r="I197" s="8">
        <f>I193</f>
        <v>-621947.676290447</v>
      </c>
      <c r="J197" s="8">
        <f>J193</f>
        <v>-621947.676290447</v>
      </c>
      <c r="K197" s="8">
        <f>K193</f>
        <v>1379018.7266918</v>
      </c>
      <c r="L197" s="8">
        <f>L193</f>
        <v>-613117.24627729</v>
      </c>
      <c r="M197" s="8">
        <f>M193</f>
        <v>-613117.24627729</v>
      </c>
      <c r="N197" s="8">
        <f>N193</f>
        <v>-613117.24627729</v>
      </c>
      <c r="O197" s="8">
        <f>O193</f>
        <v>2737356.89813644</v>
      </c>
      <c r="P197" s="8">
        <f>P193</f>
        <v>-598389.251553261</v>
      </c>
      <c r="Q197" s="8">
        <f>Q193</f>
        <v>-598389.251553261</v>
      </c>
      <c r="R197" s="8">
        <f>R193</f>
        <v>-598389.251553261</v>
      </c>
      <c r="S197" s="8">
        <f>S193</f>
        <v>5612672.11398961</v>
      </c>
      <c r="T197" s="8">
        <f>T193</f>
        <v>-571182.354825136</v>
      </c>
      <c r="U197" s="8">
        <f>U193</f>
        <v>-571182.354825136</v>
      </c>
      <c r="V197" s="8">
        <f>V193</f>
        <v>-571182.354825136</v>
      </c>
      <c r="W197" s="8">
        <f>W193</f>
        <v>7316638.73644283</v>
      </c>
      <c r="X197" s="8">
        <f>X193</f>
        <v>-536660.734885214</v>
      </c>
      <c r="Y197" s="8">
        <f>Y193</f>
        <v>-536660.734885214</v>
      </c>
      <c r="Z197" s="8">
        <f>Z193</f>
        <v>-536660.734885214</v>
      </c>
      <c r="AA197" s="8">
        <f>AA193</f>
        <v>299169498.20819</v>
      </c>
      <c r="AB197" s="39">
        <f>SUM(G197:AA197)</f>
        <v>164609876.349279</v>
      </c>
    </row>
    <row r="198">
      <c r="C198" s="43" t="inlineStr">
        <is>
          <t>Net IRR Test</t>
        </is>
      </c>
      <c r="G198" s="20">
        <f>IFERROR(XIRR($G197:G197,$G$6:G$6),0)</f>
        <v>0</v>
      </c>
      <c r="H198" s="20">
        <f>IFERROR(XIRR($G197:H197,$G$6:H$6),0)</f>
        <v>0</v>
      </c>
      <c r="I198" s="20">
        <f>IFERROR(XIRR($G197:I197,$G$6:I$6),0)</f>
        <v>0</v>
      </c>
      <c r="J198" s="20">
        <f>IFERROR(XIRR($G197:J197,$G$6:J$6),0)</f>
        <v>0</v>
      </c>
      <c r="K198" s="20">
        <f>IFERROR(XIRR($G197:K197,$G$6:K$6),0)</f>
        <v>-0.99211914507185</v>
      </c>
      <c r="L198" s="20">
        <f>IFERROR(XIRR($G197:L197,$G$6:L$6),0)</f>
        <v>0</v>
      </c>
      <c r="M198" s="20">
        <f>IFERROR(XIRR($G197:M197,$G$6:M$6),0)</f>
        <v>0</v>
      </c>
      <c r="N198" s="20">
        <f>IFERROR(XIRR($G197:N197,$G$6:N$6),0)</f>
        <v>0</v>
      </c>
      <c r="O198" s="20">
        <f>IFERROR(XIRR($G197:O197,$G$6:O$6),0)</f>
        <v>-0.877810847506398</v>
      </c>
      <c r="P198" s="20">
        <f>IFERROR(XIRR($G197:P197,$G$6:P$6),0)</f>
        <v>-0.911783460183306</v>
      </c>
      <c r="Q198" s="20">
        <f>IFERROR(XIRR($G197:Q197,$G$6:Q$6),0)</f>
        <v>0</v>
      </c>
      <c r="R198" s="20">
        <f>IFERROR(XIRR($G197:R197,$G$6:R$6),0)</f>
        <v>0</v>
      </c>
      <c r="S198" s="20">
        <f>IFERROR(XIRR($G197:S197,$G$6:S$6),0)</f>
        <v>-0.669563213332486</v>
      </c>
      <c r="T198" s="20">
        <f>IFERROR(XIRR($G197:T197,$G$6:T$6),0)</f>
        <v>-0.686626027025099</v>
      </c>
      <c r="U198" s="20">
        <f>IFERROR(XIRR($G197:U197,$G$6:U$6),0)</f>
        <v>-0.978593045699436</v>
      </c>
      <c r="V198" s="20">
        <f>IFERROR(XIRR($G197:V197,$G$6:V$6),0)</f>
        <v>-0.845002615159991</v>
      </c>
      <c r="W198" s="20">
        <f>IFERROR(XIRR($G197:W197,$G$6:W$6),0)</f>
        <v>-0.504219251503697</v>
      </c>
      <c r="X198" s="20">
        <f>IFERROR(XIRR($G197:X197,$G$6:X$6),0)</f>
        <v>-0.514262735371286</v>
      </c>
      <c r="Y198" s="20">
        <f>IFERROR(XIRR($G197:Y197,$G$6:Y$6),0)</f>
        <v>-0.990579957132558</v>
      </c>
      <c r="Z198" s="20">
        <f>IFERROR(XIRR($G197:Z197,$G$6:Z$6),0)</f>
        <v>-0.933095294509605</v>
      </c>
      <c r="AA198" s="20">
        <f>IFERROR(XIRR($G197:AA197,$G$6:AA$6),0)</f>
        <v>0.16671951563276</v>
      </c>
    </row>
    <row r="199">
      <c r="C199" s="43" t="inlineStr">
        <is>
          <t>Test</t>
        </is>
      </c>
      <c r="G199" s="7" t="b">
        <f>G198&gt;=$E$178-0.002</f>
        <v>0</v>
      </c>
      <c r="H199" s="7" t="b">
        <f>H198&gt;=$E$178-0.002</f>
        <v>0</v>
      </c>
      <c r="I199" s="7" t="b">
        <f>I198&gt;=$E$178-0.002</f>
        <v>0</v>
      </c>
      <c r="J199" s="7" t="b">
        <f>J198&gt;=$E$178-0.002</f>
        <v>0</v>
      </c>
      <c r="K199" s="7" t="b">
        <f>K198&gt;=$E$178-0.002</f>
        <v>0</v>
      </c>
      <c r="L199" s="7" t="b">
        <f>L198&gt;=$E$178-0.002</f>
        <v>0</v>
      </c>
      <c r="M199" s="7" t="b">
        <f>M198&gt;=$E$178-0.002</f>
        <v>0</v>
      </c>
      <c r="N199" s="7" t="b">
        <f>N198&gt;=$E$178-0.002</f>
        <v>0</v>
      </c>
      <c r="O199" s="7" t="b">
        <f>O198&gt;=$E$178-0.002</f>
        <v>0</v>
      </c>
      <c r="P199" s="7" t="b">
        <f>P198&gt;=$E$178-0.002</f>
        <v>0</v>
      </c>
      <c r="Q199" s="7" t="b">
        <f>Q198&gt;=$E$178-0.002</f>
        <v>0</v>
      </c>
      <c r="R199" s="7" t="b">
        <f>R198&gt;=$E$178-0.002</f>
        <v>0</v>
      </c>
      <c r="S199" s="7" t="b">
        <f>S198&gt;=$E$178-0.002</f>
        <v>0</v>
      </c>
      <c r="T199" s="7" t="b">
        <f>T198&gt;=$E$178-0.002</f>
        <v>0</v>
      </c>
      <c r="U199" s="7" t="b">
        <f>U198&gt;=$E$178-0.002</f>
        <v>0</v>
      </c>
      <c r="V199" s="7" t="b">
        <f>V198&gt;=$E$178-0.002</f>
        <v>0</v>
      </c>
      <c r="W199" s="7" t="b">
        <f>W198&gt;=$E$178-0.002</f>
        <v>0</v>
      </c>
      <c r="X199" s="7" t="b">
        <f>X198&gt;=$E$178-0.002</f>
        <v>0</v>
      </c>
      <c r="Y199" s="7" t="b">
        <f>Y198&gt;=$E$178-0.002</f>
        <v>0</v>
      </c>
      <c r="Z199" s="7" t="b">
        <f>Z198&gt;=$E$178-0.002</f>
        <v>0</v>
      </c>
      <c r="AA199" s="7" t="b">
        <f>AA198&gt;=$E$178-0.002</f>
        <v>0</v>
      </c>
    </row>
    <row r="200">
      <c r="C200" s="3" t="inlineStr">
        <is>
          <t>MOIC Test:</t>
        </is>
      </c>
    </row>
    <row r="201">
      <c r="C201" s="43" t="inlineStr">
        <is>
          <t>Beginning Balance</t>
        </is>
      </c>
      <c r="G201" s="8">
        <f>0</f>
        <v>0</v>
      </c>
      <c r="H201" s="8">
        <f>G210</f>
        <v>356953541.356696</v>
      </c>
      <c r="I201" s="8">
        <f>H210</f>
        <v>358508410.547422</v>
      </c>
      <c r="J201" s="8">
        <f>I210</f>
        <v>360063279.738148</v>
      </c>
      <c r="K201" s="8">
        <f>J210</f>
        <v>361618148.928874</v>
      </c>
      <c r="L201" s="8">
        <f>K210</f>
        <v>367169926.696655</v>
      </c>
      <c r="M201" s="8">
        <f>L210</f>
        <v>368702719.812349</v>
      </c>
      <c r="N201" s="8">
        <f>M210</f>
        <v>370235512.928042</v>
      </c>
      <c r="O201" s="8">
        <f>N210</f>
        <v>371768306.043735</v>
      </c>
      <c r="P201" s="8">
        <f>O210</f>
        <v>375434391.869489</v>
      </c>
      <c r="Q201" s="8">
        <f>P210</f>
        <v>376930364.998373</v>
      </c>
      <c r="R201" s="8">
        <f>Q210</f>
        <v>378426338.127256</v>
      </c>
      <c r="S201" s="8">
        <f>R210</f>
        <v>379922311.256139</v>
      </c>
      <c r="T201" s="8">
        <f>S210</f>
        <v>377844270.969379</v>
      </c>
      <c r="U201" s="8">
        <f>T210</f>
        <v>379272226.856442</v>
      </c>
      <c r="V201" s="8">
        <f>U210</f>
        <v>380700182.743505</v>
      </c>
      <c r="W201" s="8">
        <f>V210</f>
        <v>382128138.630568</v>
      </c>
      <c r="X201" s="8">
        <f>W210</f>
        <v>376644489.768863</v>
      </c>
      <c r="Y201" s="8">
        <f>X210</f>
        <v>377986141.606076</v>
      </c>
      <c r="Z201" s="8">
        <f>Y210</f>
        <v>379327793.443289</v>
      </c>
      <c r="AA201" s="8">
        <f>Z210</f>
        <v>380669445.280502</v>
      </c>
    </row>
    <row r="202">
      <c r="C202" s="43" t="inlineStr">
        <is>
          <t>Plus: New Contributions (x Multiple)</t>
        </is>
      </c>
      <c r="G202" s="8">
        <f>G21*$E$179</f>
        <v>355398672.16597</v>
      </c>
      <c r="H202" s="8">
        <f>H21*$E$179</f>
        <v>0</v>
      </c>
      <c r="I202" s="8">
        <f>I21*$E$179</f>
        <v>0</v>
      </c>
      <c r="J202" s="8">
        <f>J21*$E$179</f>
        <v>0</v>
      </c>
      <c r="K202" s="8">
        <f>K21*$E$179</f>
        <v>9952914.3</v>
      </c>
      <c r="L202" s="8">
        <f>L21*$E$179</f>
        <v>0</v>
      </c>
      <c r="M202" s="8">
        <f>M21*$E$179</f>
        <v>0</v>
      </c>
      <c r="N202" s="8">
        <f>N21*$E$179</f>
        <v>0</v>
      </c>
      <c r="O202" s="8">
        <f>O21*$E$179</f>
        <v>9099799.8</v>
      </c>
      <c r="P202" s="8">
        <f>P21*$E$179</f>
        <v>0</v>
      </c>
      <c r="Q202" s="8">
        <f>Q21*$E$179</f>
        <v>0</v>
      </c>
      <c r="R202" s="8">
        <f>R21*$E$179</f>
        <v>0</v>
      </c>
      <c r="S202" s="8">
        <f>S21*$E$179</f>
        <v>4375935.2</v>
      </c>
      <c r="T202" s="8">
        <f>T21*$E$179</f>
        <v>0</v>
      </c>
      <c r="U202" s="8">
        <f>U21*$E$179</f>
        <v>0</v>
      </c>
      <c r="V202" s="8">
        <f>V21*$E$179</f>
        <v>0</v>
      </c>
      <c r="W202" s="8">
        <f>W21*$E$179</f>
        <v>1619940</v>
      </c>
      <c r="X202" s="8">
        <f>X21*$E$179</f>
        <v>0</v>
      </c>
      <c r="Y202" s="8">
        <f>Y21*$E$179</f>
        <v>0</v>
      </c>
      <c r="Z202" s="8">
        <f>Z21*$E$179</f>
        <v>0</v>
      </c>
      <c r="AA202" s="8">
        <f>AA21*$E$179</f>
        <v>0</v>
      </c>
      <c r="AB202" s="39">
        <f>SUM(G202:AA202)</f>
        <v>380447261.46597</v>
      </c>
    </row>
    <row r="203">
      <c r="C203" s="43" t="inlineStr">
        <is>
          <t>Plus: Management Fee (x Multiple)</t>
        </is>
      </c>
      <c r="G203" s="8">
        <f>G53*$E$179</f>
        <v>1554869.19072612</v>
      </c>
      <c r="H203" s="8">
        <f>H53*$E$179</f>
        <v>1554869.19072612</v>
      </c>
      <c r="I203" s="8">
        <f>I53*$E$179</f>
        <v>1554869.19072612</v>
      </c>
      <c r="J203" s="8">
        <f>J53*$E$179</f>
        <v>1554869.19072612</v>
      </c>
      <c r="K203" s="8">
        <f>K53*$E$179</f>
        <v>1598413.19078862</v>
      </c>
      <c r="L203" s="8">
        <f>L53*$E$179</f>
        <v>1532793.11569322</v>
      </c>
      <c r="M203" s="8">
        <f>M53*$E$179</f>
        <v>1532793.11569322</v>
      </c>
      <c r="N203" s="8">
        <f>N53*$E$179</f>
        <v>1532793.11569322</v>
      </c>
      <c r="O203" s="8">
        <f>O53*$E$179</f>
        <v>1572604.73981822</v>
      </c>
      <c r="P203" s="8">
        <f>P53*$E$179</f>
        <v>1495973.12888315</v>
      </c>
      <c r="Q203" s="8">
        <f>Q53*$E$179</f>
        <v>1495973.12888315</v>
      </c>
      <c r="R203" s="8">
        <f>R53*$E$179</f>
        <v>1495973.12888315</v>
      </c>
      <c r="S203" s="8">
        <f>S53*$E$179</f>
        <v>1515117.84538315</v>
      </c>
      <c r="T203" s="8">
        <f>T53*$E$179</f>
        <v>1427955.88706284</v>
      </c>
      <c r="U203" s="8">
        <f>U53*$E$179</f>
        <v>1427955.88706284</v>
      </c>
      <c r="V203" s="8">
        <f>V53*$E$179</f>
        <v>1427955.88706284</v>
      </c>
      <c r="W203" s="8">
        <f>W53*$E$179</f>
        <v>1435043.12456284</v>
      </c>
      <c r="X203" s="8">
        <f>X53*$E$179</f>
        <v>1341651.83721303</v>
      </c>
      <c r="Y203" s="8">
        <f>Y53*$E$179</f>
        <v>1341651.83721303</v>
      </c>
      <c r="Z203" s="8">
        <f>Z53*$E$179</f>
        <v>1341651.83721303</v>
      </c>
      <c r="AA203" s="8">
        <f>AA53*$E$179</f>
        <v>1341651.83721303</v>
      </c>
      <c r="AB203" s="39">
        <f>SUM(G203:AA203)</f>
        <v>31077429.4072271</v>
      </c>
    </row>
    <row r="204">
      <c r="C204" s="43" t="inlineStr">
        <is>
          <t>Less: Return of Capital</t>
        </is>
      </c>
      <c r="G204" s="8">
        <f>-G67</f>
        <v>-0</v>
      </c>
      <c r="H204" s="8">
        <f>-H67</f>
        <v>-0</v>
      </c>
      <c r="I204" s="8">
        <f>-I67</f>
        <v>-0</v>
      </c>
      <c r="J204" s="8">
        <f>-J67</f>
        <v>-0</v>
      </c>
      <c r="K204" s="8">
        <f>-K67</f>
        <v>-5999549.72300725</v>
      </c>
      <c r="L204" s="8">
        <f>-L67</f>
        <v>-0</v>
      </c>
      <c r="M204" s="8">
        <f>-M67</f>
        <v>-0</v>
      </c>
      <c r="N204" s="8">
        <f>-N67</f>
        <v>-0</v>
      </c>
      <c r="O204" s="8">
        <f>-O67</f>
        <v>-7006318.71406373</v>
      </c>
      <c r="P204" s="8">
        <f>-P67</f>
        <v>-0</v>
      </c>
      <c r="Q204" s="8">
        <f>-Q67</f>
        <v>-0</v>
      </c>
      <c r="R204" s="8">
        <f>-R67</f>
        <v>-0</v>
      </c>
      <c r="S204" s="8">
        <f>-S67</f>
        <v>-7969093.33214287</v>
      </c>
      <c r="T204" s="8">
        <f>-T67</f>
        <v>-0</v>
      </c>
      <c r="U204" s="8">
        <f>-U67</f>
        <v>-0</v>
      </c>
      <c r="V204" s="8">
        <f>-V67</f>
        <v>-0</v>
      </c>
      <c r="W204" s="8">
        <f>-W67</f>
        <v>-8538631.98626797</v>
      </c>
      <c r="X204" s="8">
        <f>-X67</f>
        <v>-0</v>
      </c>
      <c r="Y204" s="8">
        <f>-Y67</f>
        <v>-0</v>
      </c>
      <c r="Z204" s="8">
        <f>-Z67</f>
        <v>-0</v>
      </c>
      <c r="AA204" s="8">
        <f>-AA67</f>
        <v>-135096282.593797</v>
      </c>
      <c r="AB204" s="39">
        <f>SUM(G204:AA204)</f>
        <v>-164609876.349279</v>
      </c>
    </row>
    <row r="205">
      <c r="C205" s="43" t="inlineStr">
        <is>
          <t>Less: Preferred Return</t>
        </is>
      </c>
      <c r="G205" s="8">
        <f>-G103</f>
        <v>-0</v>
      </c>
      <c r="H205" s="8">
        <f>-H103</f>
        <v>-0</v>
      </c>
      <c r="I205" s="8">
        <f>-I103</f>
        <v>-0</v>
      </c>
      <c r="J205" s="8">
        <f>-J103</f>
        <v>-0</v>
      </c>
      <c r="K205" s="8">
        <f>-K103</f>
        <v>-0</v>
      </c>
      <c r="L205" s="8">
        <f>-L103</f>
        <v>-0</v>
      </c>
      <c r="M205" s="8">
        <f>-M103</f>
        <v>-0</v>
      </c>
      <c r="N205" s="8">
        <f>-N103</f>
        <v>-0</v>
      </c>
      <c r="O205" s="8">
        <f>-O103</f>
        <v>-0</v>
      </c>
      <c r="P205" s="8">
        <f>-P103</f>
        <v>-0</v>
      </c>
      <c r="Q205" s="8">
        <f>-Q103</f>
        <v>-0</v>
      </c>
      <c r="R205" s="8">
        <f>-R103</f>
        <v>-0</v>
      </c>
      <c r="S205" s="8">
        <f>-S103</f>
        <v>-0</v>
      </c>
      <c r="T205" s="8">
        <f>-T103</f>
        <v>-0</v>
      </c>
      <c r="U205" s="8">
        <f>-U103</f>
        <v>-0</v>
      </c>
      <c r="V205" s="8">
        <f>-V103</f>
        <v>-0</v>
      </c>
      <c r="W205" s="8">
        <f>-W103</f>
        <v>-0</v>
      </c>
      <c r="X205" s="8">
        <f>-X103</f>
        <v>-0</v>
      </c>
      <c r="Y205" s="8">
        <f>-Y103</f>
        <v>-0</v>
      </c>
      <c r="Z205" s="8">
        <f>-Z103</f>
        <v>-0</v>
      </c>
      <c r="AA205" s="8">
        <f>-AA103</f>
        <v>-66279844.3242502</v>
      </c>
      <c r="AB205" s="39">
        <f>SUM(G205:AA205)</f>
        <v>-66279844.3242502</v>
      </c>
    </row>
    <row r="206">
      <c r="C206" s="43" t="inlineStr">
        <is>
          <t>Less: Catch-Up (Tier 3)</t>
        </is>
      </c>
      <c r="G206" s="8">
        <f>-G118</f>
        <v>-0</v>
      </c>
      <c r="H206" s="8">
        <f>-H118</f>
        <v>-0</v>
      </c>
      <c r="I206" s="8">
        <f>-I118</f>
        <v>-0</v>
      </c>
      <c r="J206" s="8">
        <f>-J118</f>
        <v>-0</v>
      </c>
      <c r="K206" s="8">
        <f>-K118</f>
        <v>-0</v>
      </c>
      <c r="L206" s="8">
        <f>-L118</f>
        <v>-0</v>
      </c>
      <c r="M206" s="8">
        <f>-M118</f>
        <v>-0</v>
      </c>
      <c r="N206" s="8">
        <f>-N118</f>
        <v>-0</v>
      </c>
      <c r="O206" s="8">
        <f>-O118</f>
        <v>-0</v>
      </c>
      <c r="P206" s="8">
        <f>-P118</f>
        <v>-0</v>
      </c>
      <c r="Q206" s="8">
        <f>-Q118</f>
        <v>-0</v>
      </c>
      <c r="R206" s="8">
        <f>-R118</f>
        <v>-0</v>
      </c>
      <c r="S206" s="8">
        <f>-S118</f>
        <v>-0</v>
      </c>
      <c r="T206" s="8">
        <f>-T118</f>
        <v>-0</v>
      </c>
      <c r="U206" s="8">
        <f>-U118</f>
        <v>-0</v>
      </c>
      <c r="V206" s="8">
        <f>-V118</f>
        <v>-0</v>
      </c>
      <c r="W206" s="8">
        <f>-W118</f>
        <v>-0</v>
      </c>
      <c r="X206" s="8">
        <f>-X118</f>
        <v>-0</v>
      </c>
      <c r="Y206" s="8">
        <f>-Y118</f>
        <v>-0</v>
      </c>
      <c r="Z206" s="8">
        <f>-Z118</f>
        <v>-0</v>
      </c>
      <c r="AA206" s="8">
        <f>-AA118</f>
        <v>-0</v>
      </c>
      <c r="AB206" s="39">
        <f>SUM(G206:AA206)</f>
        <v>0</v>
      </c>
    </row>
    <row r="207">
      <c r="C207" s="43" t="inlineStr">
        <is>
          <t>Less: Carried Interest Tier 3 – Proceeds to LPs</t>
        </is>
      </c>
      <c r="G207" s="8">
        <f>-G158</f>
        <v>-0</v>
      </c>
      <c r="H207" s="8">
        <f>-H158</f>
        <v>-0</v>
      </c>
      <c r="I207" s="8">
        <f>-I158</f>
        <v>-0</v>
      </c>
      <c r="J207" s="8">
        <f>-J158</f>
        <v>-0</v>
      </c>
      <c r="K207" s="8">
        <f>-K158</f>
        <v>-0</v>
      </c>
      <c r="L207" s="8">
        <f>-L158</f>
        <v>-0</v>
      </c>
      <c r="M207" s="8">
        <f>-M158</f>
        <v>-0</v>
      </c>
      <c r="N207" s="8">
        <f>-N158</f>
        <v>-0</v>
      </c>
      <c r="O207" s="8">
        <f>-O158</f>
        <v>-0</v>
      </c>
      <c r="P207" s="8">
        <f>-P158</f>
        <v>-0</v>
      </c>
      <c r="Q207" s="8">
        <f>-Q158</f>
        <v>-0</v>
      </c>
      <c r="R207" s="8">
        <f>-R158</f>
        <v>-0</v>
      </c>
      <c r="S207" s="8">
        <f>-S158</f>
        <v>-0</v>
      </c>
      <c r="T207" s="8">
        <f>-T158</f>
        <v>-0</v>
      </c>
      <c r="U207" s="8">
        <f>-U158</f>
        <v>-0</v>
      </c>
      <c r="V207" s="8">
        <f>-V158</f>
        <v>-0</v>
      </c>
      <c r="W207" s="8">
        <f>-W158</f>
        <v>-0</v>
      </c>
      <c r="X207" s="8">
        <f>-X158</f>
        <v>-0</v>
      </c>
      <c r="Y207" s="8">
        <f>-Y158</f>
        <v>-0</v>
      </c>
      <c r="Z207" s="8">
        <f>-Z158</f>
        <v>-0</v>
      </c>
      <c r="AA207" s="8">
        <f>-AA158</f>
        <v>-98330032.0250285</v>
      </c>
      <c r="AB207" s="39">
        <f>SUM(G207:AA207)</f>
        <v>-98330032.0250285</v>
      </c>
    </row>
    <row r="208">
      <c r="C208" s="43" t="inlineStr">
        <is>
          <t>Less: Catch-Up (Tier 4)</t>
        </is>
      </c>
      <c r="G208" s="8">
        <f>-G173</f>
        <v>-0</v>
      </c>
      <c r="H208" s="8">
        <f>-H173</f>
        <v>-0</v>
      </c>
      <c r="I208" s="8">
        <f>-I173</f>
        <v>-0</v>
      </c>
      <c r="J208" s="8">
        <f>-J173</f>
        <v>-0</v>
      </c>
      <c r="K208" s="8">
        <f>-K173</f>
        <v>-0</v>
      </c>
      <c r="L208" s="8">
        <f>-L173</f>
        <v>-0</v>
      </c>
      <c r="M208" s="8">
        <f>-M173</f>
        <v>-0</v>
      </c>
      <c r="N208" s="8">
        <f>-N173</f>
        <v>-0</v>
      </c>
      <c r="O208" s="8">
        <f>-O173</f>
        <v>-0</v>
      </c>
      <c r="P208" s="8">
        <f>-P173</f>
        <v>-0</v>
      </c>
      <c r="Q208" s="8">
        <f>-Q173</f>
        <v>-0</v>
      </c>
      <c r="R208" s="8">
        <f>-R173</f>
        <v>-0</v>
      </c>
      <c r="S208" s="8">
        <f>-S173</f>
        <v>-0</v>
      </c>
      <c r="T208" s="8">
        <f>-T173</f>
        <v>-0</v>
      </c>
      <c r="U208" s="8">
        <f>-U173</f>
        <v>-0</v>
      </c>
      <c r="V208" s="8">
        <f>-V173</f>
        <v>-0</v>
      </c>
      <c r="W208" s="8">
        <f>-W173</f>
        <v>-0</v>
      </c>
      <c r="X208" s="8">
        <f>-X173</f>
        <v>-0</v>
      </c>
      <c r="Y208" s="8">
        <f>-Y173</f>
        <v>-0</v>
      </c>
      <c r="Z208" s="8">
        <f>-Z173</f>
        <v>-0</v>
      </c>
      <c r="AA208" s="8">
        <f>-AA173</f>
        <v>-0</v>
      </c>
      <c r="AB208" s="39">
        <f>SUM(G208:AA208)</f>
        <v>0</v>
      </c>
    </row>
    <row r="209">
      <c r="C209" s="43" t="inlineStr">
        <is>
          <t>Less: Proceeds to LPs</t>
        </is>
      </c>
      <c r="G209" s="8">
        <f>-G182</f>
        <v>-0</v>
      </c>
      <c r="H209" s="8">
        <f>-H182</f>
        <v>-0</v>
      </c>
      <c r="I209" s="8">
        <f>-I182</f>
        <v>-0</v>
      </c>
      <c r="J209" s="8">
        <f>-J182</f>
        <v>-0</v>
      </c>
      <c r="K209" s="8">
        <f>-K182</f>
        <v>-0</v>
      </c>
      <c r="L209" s="8">
        <f>-L182</f>
        <v>-0</v>
      </c>
      <c r="M209" s="8">
        <f>-M182</f>
        <v>-0</v>
      </c>
      <c r="N209" s="8">
        <f>-N182</f>
        <v>-0</v>
      </c>
      <c r="O209" s="8">
        <f>-O182</f>
        <v>-0</v>
      </c>
      <c r="P209" s="8">
        <f>-P182</f>
        <v>-0</v>
      </c>
      <c r="Q209" s="8">
        <f>-Q182</f>
        <v>-0</v>
      </c>
      <c r="R209" s="8">
        <f>-R182</f>
        <v>-0</v>
      </c>
      <c r="S209" s="8">
        <f>-S182</f>
        <v>-0</v>
      </c>
      <c r="T209" s="8">
        <f>-T182</f>
        <v>-0</v>
      </c>
      <c r="U209" s="8">
        <f>-U182</f>
        <v>-0</v>
      </c>
      <c r="V209" s="8">
        <f>-V182</f>
        <v>-0</v>
      </c>
      <c r="W209" s="8">
        <f>-W182</f>
        <v>-0</v>
      </c>
      <c r="X209" s="8">
        <f>-X182</f>
        <v>-0</v>
      </c>
      <c r="Y209" s="8">
        <f>-Y182</f>
        <v>-0</v>
      </c>
      <c r="Z209" s="8">
        <f>-Z182</f>
        <v>-0</v>
      </c>
      <c r="AA209" s="8">
        <f>-AA182</f>
        <v>-0</v>
      </c>
      <c r="AB209" s="39">
        <f>SUM(G209:AA209)</f>
        <v>0</v>
      </c>
    </row>
    <row r="210">
      <c r="C210" s="44" t="inlineStr">
        <is>
          <t>Ending Balance</t>
        </is>
      </c>
      <c r="G210" s="30">
        <f>SUM(G201:G209)</f>
        <v>356953541.356696</v>
      </c>
      <c r="H210" s="30">
        <f>SUM(H201:H209)</f>
        <v>358508410.547422</v>
      </c>
      <c r="I210" s="30">
        <f>SUM(I201:I209)</f>
        <v>360063279.738148</v>
      </c>
      <c r="J210" s="30">
        <f>SUM(J201:J209)</f>
        <v>361618148.928874</v>
      </c>
      <c r="K210" s="30">
        <f>SUM(K201:K209)</f>
        <v>367169926.696655</v>
      </c>
      <c r="L210" s="30">
        <f>SUM(L201:L209)</f>
        <v>368702719.812349</v>
      </c>
      <c r="M210" s="30">
        <f>SUM(M201:M209)</f>
        <v>370235512.928042</v>
      </c>
      <c r="N210" s="30">
        <f>SUM(N201:N209)</f>
        <v>371768306.043735</v>
      </c>
      <c r="O210" s="30">
        <f>SUM(O201:O209)</f>
        <v>375434391.869489</v>
      </c>
      <c r="P210" s="30">
        <f>SUM(P201:P209)</f>
        <v>376930364.998373</v>
      </c>
      <c r="Q210" s="30">
        <f>SUM(Q201:Q209)</f>
        <v>378426338.127256</v>
      </c>
      <c r="R210" s="30">
        <f>SUM(R201:R209)</f>
        <v>379922311.256139</v>
      </c>
      <c r="S210" s="30">
        <f>SUM(S201:S209)</f>
        <v>377844270.969379</v>
      </c>
      <c r="T210" s="30">
        <f>SUM(T201:T209)</f>
        <v>379272226.856442</v>
      </c>
      <c r="U210" s="30">
        <f>SUM(U201:U209)</f>
        <v>380700182.743505</v>
      </c>
      <c r="V210" s="30">
        <f>SUM(V201:V209)</f>
        <v>382128138.630568</v>
      </c>
      <c r="W210" s="30">
        <f>SUM(W201:W209)</f>
        <v>376644489.768863</v>
      </c>
      <c r="X210" s="30">
        <f>SUM(X201:X209)</f>
        <v>377986141.606076</v>
      </c>
      <c r="Y210" s="30">
        <f>SUM(Y201:Y209)</f>
        <v>379327793.443289</v>
      </c>
      <c r="Z210" s="30">
        <f>SUM(Z201:Z209)</f>
        <v>380669445.280502</v>
      </c>
      <c r="AA210" s="30">
        <f>SUM(AA201:AA209)</f>
        <v>82304938.1746391</v>
      </c>
    </row>
    <row r="211">
      <c r="C211" s="43" t="inlineStr">
        <is>
          <t>MOIC Threshold (amount payable this quarter to reach the multiple)</t>
        </is>
      </c>
      <c r="G211" s="8">
        <f>MAX(0,G201+G202+G203+G204+G205+G206+G207+G208)</f>
        <v>356953541.356696</v>
      </c>
      <c r="H211" s="8">
        <f>MAX(0,H201+H202+H203+H204+H205+H206+H207+H208)</f>
        <v>358508410.547422</v>
      </c>
      <c r="I211" s="8">
        <f>MAX(0,I201+I202+I203+I204+I205+I206+I207+I208)</f>
        <v>360063279.738148</v>
      </c>
      <c r="J211" s="8">
        <f>MAX(0,J201+J202+J203+J204+J205+J206+J207+J208)</f>
        <v>361618148.928874</v>
      </c>
      <c r="K211" s="8">
        <f>MAX(0,K201+K202+K203+K204+K205+K206+K207+K208)</f>
        <v>367169926.696655</v>
      </c>
      <c r="L211" s="8">
        <f>MAX(0,L201+L202+L203+L204+L205+L206+L207+L208)</f>
        <v>368702719.812349</v>
      </c>
      <c r="M211" s="8">
        <f>MAX(0,M201+M202+M203+M204+M205+M206+M207+M208)</f>
        <v>370235512.928042</v>
      </c>
      <c r="N211" s="8">
        <f>MAX(0,N201+N202+N203+N204+N205+N206+N207+N208)</f>
        <v>371768306.043735</v>
      </c>
      <c r="O211" s="8">
        <f>MAX(0,O201+O202+O203+O204+O205+O206+O207+O208)</f>
        <v>375434391.869489</v>
      </c>
      <c r="P211" s="8">
        <f>MAX(0,P201+P202+P203+P204+P205+P206+P207+P208)</f>
        <v>376930364.998373</v>
      </c>
      <c r="Q211" s="8">
        <f>MAX(0,Q201+Q202+Q203+Q204+Q205+Q206+Q207+Q208)</f>
        <v>378426338.127256</v>
      </c>
      <c r="R211" s="8">
        <f>MAX(0,R201+R202+R203+R204+R205+R206+R207+R208)</f>
        <v>379922311.256139</v>
      </c>
      <c r="S211" s="8">
        <f>MAX(0,S201+S202+S203+S204+S205+S206+S207+S208)</f>
        <v>377844270.969379</v>
      </c>
      <c r="T211" s="8">
        <f>MAX(0,T201+T202+T203+T204+T205+T206+T207+T208)</f>
        <v>379272226.856442</v>
      </c>
      <c r="U211" s="8">
        <f>MAX(0,U201+U202+U203+U204+U205+U206+U207+U208)</f>
        <v>380700182.743505</v>
      </c>
      <c r="V211" s="8">
        <f>MAX(0,V201+V202+V203+V204+V205+V206+V207+V208)</f>
        <v>382128138.630568</v>
      </c>
      <c r="W211" s="8">
        <f>MAX(0,W201+W202+W203+W204+W205+W206+W207+W208)</f>
        <v>376644489.768863</v>
      </c>
      <c r="X211" s="8">
        <f>MAX(0,X201+X202+X203+X204+X205+X206+X207+X208)</f>
        <v>377986141.606076</v>
      </c>
      <c r="Y211" s="8">
        <f>MAX(0,Y201+Y202+Y203+Y204+Y205+Y206+Y207+Y208)</f>
        <v>379327793.443289</v>
      </c>
      <c r="Z211" s="8">
        <f>MAX(0,Z201+Z202+Z203+Z204+Z205+Z206+Z207+Z208)</f>
        <v>380669445.280502</v>
      </c>
      <c r="AA211" s="8">
        <f>MAX(0,AA201+AA202+AA203+AA204+AA205+AA206+AA207+AA208)</f>
        <v>82304938.1746391</v>
      </c>
    </row>
    <row r="212">
      <c r="C212" s="43" t="inlineStr">
        <is>
          <t>Cumulative LP Distributions (memo)</t>
        </is>
      </c>
      <c r="G212" s="8">
        <f>SUM($G67:G67,$G103:G103,$G118:G118,$G158:G158,$G173:G173,$G182:G182)</f>
        <v>0</v>
      </c>
      <c r="H212" s="8">
        <f>SUM($G67:H67,$G103:H103,$G118:H118,$G158:H158,$G173:H173,$G182:H182)</f>
        <v>0</v>
      </c>
      <c r="I212" s="8">
        <f>SUM($G67:I67,$G103:I103,$G118:I118,$G158:I158,$G173:I173,$G182:I182)</f>
        <v>0</v>
      </c>
      <c r="J212" s="8">
        <f>SUM($G67:J67,$G103:J103,$G118:J118,$G158:J158,$G173:J173,$G182:J182)</f>
        <v>0</v>
      </c>
      <c r="K212" s="8">
        <f>SUM($G67:K67,$G103:K103,$G118:K118,$G158:K158,$G173:K173,$G182:K182)</f>
        <v>5999549.72300725</v>
      </c>
      <c r="L212" s="8">
        <f>SUM($G67:L67,$G103:L103,$G118:L118,$G158:L158,$G173:L173,$G182:L182)</f>
        <v>5999549.72300725</v>
      </c>
      <c r="M212" s="8">
        <f>SUM($G67:M67,$G103:M103,$G118:M118,$G158:M158,$G173:M173,$G182:M182)</f>
        <v>5999549.72300725</v>
      </c>
      <c r="N212" s="8">
        <f>SUM($G67:N67,$G103:N103,$G118:N118,$G158:N158,$G173:N173,$G182:N182)</f>
        <v>5999549.72300725</v>
      </c>
      <c r="O212" s="8">
        <f>SUM($G67:O67,$G103:O103,$G118:O118,$G158:O158,$G173:O173,$G182:O182)</f>
        <v>13005868.437071</v>
      </c>
      <c r="P212" s="8">
        <f>SUM($G67:P67,$G103:P103,$G118:P118,$G158:P158,$G173:P173,$G182:P182)</f>
        <v>13005868.437071</v>
      </c>
      <c r="Q212" s="8">
        <f>SUM($G67:Q67,$G103:Q103,$G118:Q118,$G158:Q158,$G173:Q173,$G182:Q182)</f>
        <v>13005868.437071</v>
      </c>
      <c r="R212" s="8">
        <f>SUM($G67:R67,$G103:R103,$G118:R118,$G158:R158,$G173:R173,$G182:R182)</f>
        <v>13005868.437071</v>
      </c>
      <c r="S212" s="8">
        <f>SUM($G67:S67,$G103:S103,$G118:S118,$G158:S158,$G173:S173,$G182:S182)</f>
        <v>20974961.7692138</v>
      </c>
      <c r="T212" s="8">
        <f>SUM($G67:T67,$G103:T103,$G118:T118,$G158:T158,$G173:T173,$G182:T182)</f>
        <v>20974961.7692138</v>
      </c>
      <c r="U212" s="8">
        <f>SUM($G67:U67,$G103:U103,$G118:U118,$G158:U158,$G173:U173,$G182:U182)</f>
        <v>20974961.7692138</v>
      </c>
      <c r="V212" s="8">
        <f>SUM($G67:V67,$G103:V103,$G118:V118,$G158:V158,$G173:V173,$G182:V182)</f>
        <v>20974961.7692138</v>
      </c>
      <c r="W212" s="8">
        <f>SUM($G67:W67,$G103:W103,$G118:W118,$G158:W158,$G173:W173,$G182:W182)</f>
        <v>29513593.7554818</v>
      </c>
      <c r="X212" s="8">
        <f>SUM($G67:X67,$G103:X103,$G118:X118,$G158:X158,$G173:X173,$G182:X182)</f>
        <v>29513593.7554818</v>
      </c>
      <c r="Y212" s="8">
        <f>SUM($G67:Y67,$G103:Y103,$G118:Y118,$G158:Y158,$G173:Y173,$G182:Y182)</f>
        <v>29513593.7554818</v>
      </c>
      <c r="Z212" s="8">
        <f>SUM($G67:Z67,$G103:Z103,$G118:Z118,$G158:Z158,$G173:Z173,$G182:Z182)</f>
        <v>29513593.7554818</v>
      </c>
      <c r="AA212" s="8">
        <f>SUM($G67:AA67,$G103:AA103,$G118:AA118,$G158:AA158,$G173:AA173,$G182:AA182)</f>
        <v>329219752.698557</v>
      </c>
    </row>
    <row r="213">
      <c r="C213" s="43" t="inlineStr">
        <is>
          <t>Cumulative LP Contributions incl. Fees (memo)</t>
        </is>
      </c>
      <c r="G213" s="8">
        <f>SUM($G21:G21)+SUM($G53:G53)</f>
        <v>142781416.542678</v>
      </c>
      <c r="H213" s="8">
        <f>SUM($G21:H21)+SUM($G53:H53)</f>
        <v>143403364.218969</v>
      </c>
      <c r="I213" s="8">
        <f>SUM($G21:I21)+SUM($G53:I53)</f>
        <v>144025311.895259</v>
      </c>
      <c r="J213" s="8">
        <f>SUM($G21:J21)+SUM($G53:J53)</f>
        <v>144647259.57155</v>
      </c>
      <c r="K213" s="8">
        <f>SUM($G21:K21)+SUM($G53:K53)</f>
        <v>149267790.567865</v>
      </c>
      <c r="L213" s="8">
        <f>SUM($G21:L21)+SUM($G53:L53)</f>
        <v>149880907.814142</v>
      </c>
      <c r="M213" s="8">
        <f>SUM($G21:M21)+SUM($G53:M53)</f>
        <v>150494025.06042</v>
      </c>
      <c r="N213" s="8">
        <f>SUM($G21:N21)+SUM($G53:N53)</f>
        <v>151107142.306697</v>
      </c>
      <c r="O213" s="8">
        <f>SUM($G21:O21)+SUM($G53:O53)</f>
        <v>155376104.122624</v>
      </c>
      <c r="P213" s="8">
        <f>SUM($G21:P21)+SUM($G53:P53)</f>
        <v>155974493.374177</v>
      </c>
      <c r="Q213" s="8">
        <f>SUM($G21:Q21)+SUM($G53:Q53)</f>
        <v>156572882.625731</v>
      </c>
      <c r="R213" s="8">
        <f>SUM($G21:R21)+SUM($G53:R53)</f>
        <v>157171271.877284</v>
      </c>
      <c r="S213" s="8">
        <f>SUM($G21:S21)+SUM($G53:S53)</f>
        <v>159527693.095437</v>
      </c>
      <c r="T213" s="8">
        <f>SUM($G21:T21)+SUM($G53:T53)</f>
        <v>160098875.450262</v>
      </c>
      <c r="U213" s="8">
        <f>SUM($G21:U21)+SUM($G53:U53)</f>
        <v>160670057.805088</v>
      </c>
      <c r="V213" s="8">
        <f>SUM($G21:V21)+SUM($G53:V53)</f>
        <v>161241240.159913</v>
      </c>
      <c r="W213" s="8">
        <f>SUM($G21:W21)+SUM($G53:W53)</f>
        <v>162463233.409738</v>
      </c>
      <c r="X213" s="8">
        <f>SUM($G21:X21)+SUM($G53:X53)</f>
        <v>162999894.144623</v>
      </c>
      <c r="Y213" s="8">
        <f>SUM($G21:Y21)+SUM($G53:Y53)</f>
        <v>163536554.879508</v>
      </c>
      <c r="Z213" s="8">
        <f>SUM($G21:Z21)+SUM($G53:Z53)</f>
        <v>164073215.614393</v>
      </c>
      <c r="AA213" s="8">
        <f>SUM($G21:AA21)+SUM($G53:AA53)</f>
        <v>164609876.349279</v>
      </c>
    </row>
    <row r="214">
      <c r="C214" s="43" t="inlineStr">
        <is>
          <t>Net MOIC Test</t>
        </is>
      </c>
      <c r="G214" s="60">
        <f>IFERROR(G212/G213,0)</f>
        <v>0</v>
      </c>
      <c r="H214" s="60">
        <f>IFERROR(H212/H213,0)</f>
        <v>0</v>
      </c>
      <c r="I214" s="60">
        <f>IFERROR(I212/I213,0)</f>
        <v>0</v>
      </c>
      <c r="J214" s="60">
        <f>IFERROR(J212/J213,0)</f>
        <v>0</v>
      </c>
      <c r="K214" s="60">
        <f>IFERROR(K212/K213,0)</f>
        <v>0.0401931970734138</v>
      </c>
      <c r="L214" s="60">
        <f>IFERROR(L212/L213,0)</f>
        <v>0.0400287789185725</v>
      </c>
      <c r="M214" s="60">
        <f>IFERROR(M212/M213,0)</f>
        <v>0.0398657004528823</v>
      </c>
      <c r="N214" s="60">
        <f>IFERROR(N212/N213,0)</f>
        <v>0.0397039453689765</v>
      </c>
      <c r="O214" s="60">
        <f>IFERROR(O212/O213,0)</f>
        <v>0.083705718524173</v>
      </c>
      <c r="P214" s="60">
        <f>IFERROR(P212/P213,0)</f>
        <v>0.083384585233884</v>
      </c>
      <c r="Q214" s="60">
        <f>IFERROR(Q212/Q213,0)</f>
        <v>0.0830659065539465</v>
      </c>
      <c r="R214" s="60">
        <f>IFERROR(R212/R213,0)</f>
        <v>0.0827496544484649</v>
      </c>
      <c r="S214" s="60">
        <f>IFERROR(S212/S213,0)</f>
        <v>0.131481634080082</v>
      </c>
      <c r="T214" s="60">
        <f>IFERROR(T212/T213,0)</f>
        <v>0.131012549027742</v>
      </c>
      <c r="U214" s="60">
        <f>IFERROR(U212/U213,0)</f>
        <v>0.130546799171872</v>
      </c>
      <c r="V214" s="60">
        <f>IFERROR(V212/V213,0)</f>
        <v>0.130084349068586</v>
      </c>
      <c r="W214" s="60">
        <f>IFERROR(W212/W213,0)</f>
        <v>0.18166321780047</v>
      </c>
      <c r="X214" s="60">
        <f>IFERROR(X212/X213,0)</f>
        <v>0.181065109952131</v>
      </c>
      <c r="Y214" s="60">
        <f>IFERROR(Y212/Y213,0)</f>
        <v>0.180470927599197</v>
      </c>
      <c r="Z214" s="60">
        <f>IFERROR(Z212/Z213,0)</f>
        <v>0.179880632222416</v>
      </c>
      <c r="AA214" s="60">
        <f>IFERROR(AA212/AA213,0)</f>
        <v>2</v>
      </c>
    </row>
    <row r="215">
      <c r="C215" s="43" t="inlineStr">
        <is>
          <t>Test</t>
        </is>
      </c>
      <c r="G215" s="7" t="b">
        <f>G214&gt;=$E$179-0.00001</f>
        <v>0</v>
      </c>
      <c r="H215" s="7" t="b">
        <f>H214&gt;=$E$179-0.00001</f>
        <v>0</v>
      </c>
      <c r="I215" s="7" t="b">
        <f>I214&gt;=$E$179-0.00001</f>
        <v>0</v>
      </c>
      <c r="J215" s="7" t="b">
        <f>J214&gt;=$E$179-0.00001</f>
        <v>0</v>
      </c>
      <c r="K215" s="7" t="b">
        <f>K214&gt;=$E$179-0.00001</f>
        <v>0</v>
      </c>
      <c r="L215" s="7" t="b">
        <f>L214&gt;=$E$179-0.00001</f>
        <v>0</v>
      </c>
      <c r="M215" s="7" t="b">
        <f>M214&gt;=$E$179-0.00001</f>
        <v>0</v>
      </c>
      <c r="N215" s="7" t="b">
        <f>N214&gt;=$E$179-0.00001</f>
        <v>0</v>
      </c>
      <c r="O215" s="7" t="b">
        <f>O214&gt;=$E$179-0.00001</f>
        <v>0</v>
      </c>
      <c r="P215" s="7" t="b">
        <f>P214&gt;=$E$179-0.00001</f>
        <v>0</v>
      </c>
      <c r="Q215" s="7" t="b">
        <f>Q214&gt;=$E$179-0.00001</f>
        <v>0</v>
      </c>
      <c r="R215" s="7" t="b">
        <f>R214&gt;=$E$179-0.00001</f>
        <v>0</v>
      </c>
      <c r="S215" s="7" t="b">
        <f>S214&gt;=$E$179-0.00001</f>
        <v>0</v>
      </c>
      <c r="T215" s="7" t="b">
        <f>T214&gt;=$E$179-0.00001</f>
        <v>0</v>
      </c>
      <c r="U215" s="7" t="b">
        <f>U214&gt;=$E$179-0.00001</f>
        <v>0</v>
      </c>
      <c r="V215" s="7" t="b">
        <f>V214&gt;=$E$179-0.00001</f>
        <v>0</v>
      </c>
      <c r="W215" s="7" t="b">
        <f>W214&gt;=$E$179-0.00001</f>
        <v>0</v>
      </c>
      <c r="X215" s="7" t="b">
        <f>X214&gt;=$E$179-0.00001</f>
        <v>0</v>
      </c>
      <c r="Y215" s="7" t="b">
        <f>Y214&gt;=$E$179-0.00001</f>
        <v>0</v>
      </c>
      <c r="Z215" s="7" t="b">
        <f>Z214&gt;=$E$179-0.00001</f>
        <v>0</v>
      </c>
      <c r="AA215" s="7" t="b">
        <f>AA214&gt;=$E$179-0.00001</f>
        <v>0</v>
      </c>
    </row>
    <row r="216">
      <c r="C216" s="14" t="inlineStr">
        <is>
          <t>GP Cash Flows</t>
        </is>
      </c>
      <c r="G216" s="8">
        <f>G181</f>
        <v>0</v>
      </c>
      <c r="H216" s="8">
        <f>H181</f>
        <v>0</v>
      </c>
      <c r="I216" s="8">
        <f>I181</f>
        <v>0</v>
      </c>
      <c r="J216" s="8">
        <f>J181</f>
        <v>0</v>
      </c>
      <c r="K216" s="8">
        <f>K181</f>
        <v>0</v>
      </c>
      <c r="L216" s="8">
        <f>L181</f>
        <v>0</v>
      </c>
      <c r="M216" s="8">
        <f>M181</f>
        <v>0</v>
      </c>
      <c r="N216" s="8">
        <f>N181</f>
        <v>0</v>
      </c>
      <c r="O216" s="8">
        <f>O181</f>
        <v>0</v>
      </c>
      <c r="P216" s="8">
        <f>P181</f>
        <v>0</v>
      </c>
      <c r="Q216" s="8">
        <f>Q181</f>
        <v>0</v>
      </c>
      <c r="R216" s="8">
        <f>R181</f>
        <v>0</v>
      </c>
      <c r="S216" s="8">
        <f>S181</f>
        <v>0</v>
      </c>
      <c r="T216" s="8">
        <f>T181</f>
        <v>0</v>
      </c>
      <c r="U216" s="8">
        <f>U181</f>
        <v>0</v>
      </c>
      <c r="V216" s="8">
        <f>V181</f>
        <v>0</v>
      </c>
      <c r="W216" s="8">
        <f>W181</f>
        <v>0</v>
      </c>
      <c r="X216" s="8">
        <f>X181</f>
        <v>0</v>
      </c>
      <c r="Y216" s="8">
        <f>Y181</f>
        <v>0</v>
      </c>
      <c r="Z216" s="8">
        <f>Z181</f>
        <v>0</v>
      </c>
      <c r="AA216" s="8">
        <f>AA181</f>
        <v>0</v>
      </c>
      <c r="AB216" s="39">
        <f>SUM(G216:AA216)</f>
        <v>0</v>
      </c>
    </row>
    <row r="217">
      <c r="C217" s="14" t="inlineStr">
        <is>
          <t>LP Cash Flows</t>
        </is>
      </c>
      <c r="G217" s="8">
        <f>G182</f>
        <v>0</v>
      </c>
      <c r="H217" s="8">
        <f>H182</f>
        <v>0</v>
      </c>
      <c r="I217" s="8">
        <f>I182</f>
        <v>0</v>
      </c>
      <c r="J217" s="8">
        <f>J182</f>
        <v>0</v>
      </c>
      <c r="K217" s="8">
        <f>K182</f>
        <v>0</v>
      </c>
      <c r="L217" s="8">
        <f>L182</f>
        <v>0</v>
      </c>
      <c r="M217" s="8">
        <f>M182</f>
        <v>0</v>
      </c>
      <c r="N217" s="8">
        <f>N182</f>
        <v>0</v>
      </c>
      <c r="O217" s="8">
        <f>O182</f>
        <v>0</v>
      </c>
      <c r="P217" s="8">
        <f>P182</f>
        <v>0</v>
      </c>
      <c r="Q217" s="8">
        <f>Q182</f>
        <v>0</v>
      </c>
      <c r="R217" s="8">
        <f>R182</f>
        <v>0</v>
      </c>
      <c r="S217" s="8">
        <f>S182</f>
        <v>0</v>
      </c>
      <c r="T217" s="8">
        <f>T182</f>
        <v>0</v>
      </c>
      <c r="U217" s="8">
        <f>U182</f>
        <v>0</v>
      </c>
      <c r="V217" s="8">
        <f>V182</f>
        <v>0</v>
      </c>
      <c r="W217" s="8">
        <f>W182</f>
        <v>0</v>
      </c>
      <c r="X217" s="8">
        <f>X182</f>
        <v>0</v>
      </c>
      <c r="Y217" s="8">
        <f>Y182</f>
        <v>0</v>
      </c>
      <c r="Z217" s="8">
        <f>Z182</f>
        <v>0</v>
      </c>
      <c r="AA217" s="8">
        <f>AA182</f>
        <v>0</v>
      </c>
      <c r="AB217" s="39">
        <f>SUM(G217:AA217)</f>
        <v>0</v>
      </c>
    </row>
    <row r="218">
      <c r="C218" s="29" t="inlineStr">
        <is>
          <t>Proceeds Available for Next Tier</t>
        </is>
      </c>
      <c r="G218" s="39">
        <f>G174-G216-G217</f>
        <v>0</v>
      </c>
      <c r="H218" s="39">
        <f>H174-H216-H217</f>
        <v>0</v>
      </c>
      <c r="I218" s="39">
        <f>I174-I216-I217</f>
        <v>0</v>
      </c>
      <c r="J218" s="39">
        <f>J174-J216-J217</f>
        <v>0</v>
      </c>
      <c r="K218" s="39">
        <f>K174-K216-K217</f>
        <v>0</v>
      </c>
      <c r="L218" s="39">
        <f>L174-L216-L217</f>
        <v>0</v>
      </c>
      <c r="M218" s="39">
        <f>M174-M216-M217</f>
        <v>0</v>
      </c>
      <c r="N218" s="39">
        <f>N174-N216-N217</f>
        <v>0</v>
      </c>
      <c r="O218" s="39">
        <f>O174-O216-O217</f>
        <v>0</v>
      </c>
      <c r="P218" s="39">
        <f>P174-P216-P217</f>
        <v>0</v>
      </c>
      <c r="Q218" s="39">
        <f>Q174-Q216-Q217</f>
        <v>0</v>
      </c>
      <c r="R218" s="39">
        <f>R174-R216-R217</f>
        <v>0</v>
      </c>
      <c r="S218" s="39">
        <f>S174-S216-S217</f>
        <v>0</v>
      </c>
      <c r="T218" s="39">
        <f>T174-T216-T217</f>
        <v>0</v>
      </c>
      <c r="U218" s="39">
        <f>U174-U216-U217</f>
        <v>0</v>
      </c>
      <c r="V218" s="39">
        <f>V174-V216-V217</f>
        <v>0</v>
      </c>
      <c r="W218" s="39">
        <f>W174-W216-W217</f>
        <v>0</v>
      </c>
      <c r="X218" s="39">
        <f>X174-X216-X217</f>
        <v>0</v>
      </c>
      <c r="Y218" s="39">
        <f>Y174-Y216-Y217</f>
        <v>0</v>
      </c>
      <c r="Z218" s="39">
        <f>Z174-Z216-Z217</f>
        <v>0</v>
      </c>
      <c r="AA218" s="39">
        <f>AA174-AA216-AA217</f>
        <v>0</v>
      </c>
      <c r="AB218" s="39">
        <f>SUM(G218:AA218)</f>
        <v>0</v>
      </c>
    </row>
    <row r="220">
      <c r="C220" s="12" t="inlineStr">
        <is>
          <t>Tier 5: GP Catch-Up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</row>
    <row r="221">
      <c r="C221" s="14" t="inlineStr">
        <is>
          <t>Catch-Up to GP (%)</t>
        </is>
      </c>
      <c r="E221" s="47">
        <f>Control!$E$55</f>
        <v>1</v>
      </c>
    </row>
    <row r="222">
      <c r="C222" s="14" t="inlineStr">
        <is>
          <t>Allocation to GP (Carried Interest %)</t>
        </is>
      </c>
      <c r="E222" s="47">
        <f>Control!$E$56</f>
        <v>0.2</v>
      </c>
    </row>
    <row r="223">
      <c r="C223" s="3" t="inlineStr">
        <is>
          <t>Profit Distributions:</t>
        </is>
      </c>
    </row>
    <row r="224">
      <c r="C224" s="14" t="inlineStr">
        <is>
          <t>to GPs</t>
        </is>
      </c>
      <c r="G224" s="8">
        <f>-G229*$E$221</f>
        <v>0</v>
      </c>
      <c r="H224" s="8">
        <f>-H229*$E$221</f>
        <v>0</v>
      </c>
      <c r="I224" s="8">
        <f>-I229*$E$221</f>
        <v>0</v>
      </c>
      <c r="J224" s="8">
        <f>-J229*$E$221</f>
        <v>0</v>
      </c>
      <c r="K224" s="8">
        <f>-K229*$E$221</f>
        <v>0</v>
      </c>
      <c r="L224" s="8">
        <f>-L229*$E$221</f>
        <v>0</v>
      </c>
      <c r="M224" s="8">
        <f>-M229*$E$221</f>
        <v>0</v>
      </c>
      <c r="N224" s="8">
        <f>-N229*$E$221</f>
        <v>0</v>
      </c>
      <c r="O224" s="8">
        <f>-O229*$E$221</f>
        <v>0</v>
      </c>
      <c r="P224" s="8">
        <f>-P229*$E$221</f>
        <v>0</v>
      </c>
      <c r="Q224" s="8">
        <f>-Q229*$E$221</f>
        <v>0</v>
      </c>
      <c r="R224" s="8">
        <f>-R229*$E$221</f>
        <v>0</v>
      </c>
      <c r="S224" s="8">
        <f>-S229*$E$221</f>
        <v>0</v>
      </c>
      <c r="T224" s="8">
        <f>-T229*$E$221</f>
        <v>0</v>
      </c>
      <c r="U224" s="8">
        <f>-U229*$E$221</f>
        <v>0</v>
      </c>
      <c r="V224" s="8">
        <f>-V229*$E$221</f>
        <v>0</v>
      </c>
      <c r="W224" s="8">
        <f>-W229*$E$221</f>
        <v>0</v>
      </c>
      <c r="X224" s="8">
        <f>-X229*$E$221</f>
        <v>0</v>
      </c>
      <c r="Y224" s="8">
        <f>-Y229*$E$221</f>
        <v>0</v>
      </c>
      <c r="Z224" s="8">
        <f>-Z229*$E$221</f>
        <v>0</v>
      </c>
      <c r="AA224" s="8">
        <f>-AA229*$E$221</f>
        <v>0</v>
      </c>
      <c r="AB224" s="39">
        <f>SUM(G224:AA224)</f>
        <v>0</v>
      </c>
    </row>
    <row r="225">
      <c r="C225" s="14" t="inlineStr">
        <is>
          <t>to LPs</t>
        </is>
      </c>
      <c r="G225" s="8">
        <f>-G229*(1-$E$221)</f>
        <v>0</v>
      </c>
      <c r="H225" s="8">
        <f>-H229*(1-$E$221)</f>
        <v>0</v>
      </c>
      <c r="I225" s="8">
        <f>-I229*(1-$E$221)</f>
        <v>0</v>
      </c>
      <c r="J225" s="8">
        <f>-J229*(1-$E$221)</f>
        <v>0</v>
      </c>
      <c r="K225" s="8">
        <f>-K229*(1-$E$221)</f>
        <v>0</v>
      </c>
      <c r="L225" s="8">
        <f>-L229*(1-$E$221)</f>
        <v>0</v>
      </c>
      <c r="M225" s="8">
        <f>-M229*(1-$E$221)</f>
        <v>0</v>
      </c>
      <c r="N225" s="8">
        <f>-N229*(1-$E$221)</f>
        <v>0</v>
      </c>
      <c r="O225" s="8">
        <f>-O229*(1-$E$221)</f>
        <v>0</v>
      </c>
      <c r="P225" s="8">
        <f>-P229*(1-$E$221)</f>
        <v>0</v>
      </c>
      <c r="Q225" s="8">
        <f>-Q229*(1-$E$221)</f>
        <v>0</v>
      </c>
      <c r="R225" s="8">
        <f>-R229*(1-$E$221)</f>
        <v>0</v>
      </c>
      <c r="S225" s="8">
        <f>-S229*(1-$E$221)</f>
        <v>0</v>
      </c>
      <c r="T225" s="8">
        <f>-T229*(1-$E$221)</f>
        <v>0</v>
      </c>
      <c r="U225" s="8">
        <f>-U229*(1-$E$221)</f>
        <v>0</v>
      </c>
      <c r="V225" s="8">
        <f>-V229*(1-$E$221)</f>
        <v>0</v>
      </c>
      <c r="W225" s="8">
        <f>-W229*(1-$E$221)</f>
        <v>0</v>
      </c>
      <c r="X225" s="8">
        <f>-X229*(1-$E$221)</f>
        <v>0</v>
      </c>
      <c r="Y225" s="8">
        <f>-Y229*(1-$E$221)</f>
        <v>0</v>
      </c>
      <c r="Z225" s="8">
        <f>-Z229*(1-$E$221)</f>
        <v>0</v>
      </c>
      <c r="AA225" s="8">
        <f>-AA229*(1-$E$221)</f>
        <v>0</v>
      </c>
      <c r="AB225" s="39">
        <f>SUM(G225:AA225)</f>
        <v>0</v>
      </c>
    </row>
    <row r="226">
      <c r="C226" s="3" t="inlineStr">
        <is>
          <t>Catch-Up to GP:</t>
        </is>
      </c>
    </row>
    <row r="227">
      <c r="C227" s="14" t="inlineStr">
        <is>
          <t>Beginning</t>
        </is>
      </c>
      <c r="G227" s="8">
        <f>0</f>
        <v>0</v>
      </c>
      <c r="H227" s="8">
        <f>G230</f>
        <v>0</v>
      </c>
      <c r="I227" s="8">
        <f>H230</f>
        <v>0</v>
      </c>
      <c r="J227" s="8">
        <f>I230</f>
        <v>0</v>
      </c>
      <c r="K227" s="8">
        <f>J230</f>
        <v>0</v>
      </c>
      <c r="L227" s="8">
        <f>K230</f>
        <v>0</v>
      </c>
      <c r="M227" s="8">
        <f>L230</f>
        <v>0</v>
      </c>
      <c r="N227" s="8">
        <f>M230</f>
        <v>0</v>
      </c>
      <c r="O227" s="8">
        <f>N230</f>
        <v>0</v>
      </c>
      <c r="P227" s="8">
        <f>O230</f>
        <v>0</v>
      </c>
      <c r="Q227" s="8">
        <f>P230</f>
        <v>0</v>
      </c>
      <c r="R227" s="8">
        <f>Q230</f>
        <v>0</v>
      </c>
      <c r="S227" s="8">
        <f>R230</f>
        <v>0</v>
      </c>
      <c r="T227" s="8">
        <f>S230</f>
        <v>0</v>
      </c>
      <c r="U227" s="8">
        <f>T230</f>
        <v>0</v>
      </c>
      <c r="V227" s="8">
        <f>U230</f>
        <v>0</v>
      </c>
      <c r="W227" s="8">
        <f>V230</f>
        <v>0</v>
      </c>
      <c r="X227" s="8">
        <f>W230</f>
        <v>0</v>
      </c>
      <c r="Y227" s="8">
        <f>X230</f>
        <v>0</v>
      </c>
      <c r="Z227" s="8">
        <f>Y230</f>
        <v>0</v>
      </c>
      <c r="AA227" s="8">
        <f>Z230</f>
        <v>0</v>
      </c>
    </row>
    <row r="228">
      <c r="C228" s="14" t="inlineStr">
        <is>
          <t>Plus: Accrual (carry % / (1 – carry %) x LP profit distributions, less GP profit received)</t>
        </is>
      </c>
      <c r="G228" s="8">
        <f>$E$222/(1-$E$222)*(G103+G118+G158+G173+G217)-(G102+G117+G157+G172+G216)</f>
        <v>0</v>
      </c>
      <c r="H228" s="8">
        <f>$E$222/(1-$E$222)*(H103+H118+H158+H173+H217)-(H102+H117+H157+H172+H216)</f>
        <v>0</v>
      </c>
      <c r="I228" s="8">
        <f>$E$222/(1-$E$222)*(I103+I118+I158+I173+I217)-(I102+I117+I157+I172+I216)</f>
        <v>0</v>
      </c>
      <c r="J228" s="8">
        <f>$E$222/(1-$E$222)*(J103+J118+J158+J173+J217)-(J102+J117+J157+J172+J216)</f>
        <v>0</v>
      </c>
      <c r="K228" s="8">
        <f>$E$222/(1-$E$222)*(K103+K118+K158+K173+K217)-(K102+K117+K157+K172+K216)</f>
        <v>0</v>
      </c>
      <c r="L228" s="8">
        <f>$E$222/(1-$E$222)*(L103+L118+L158+L173+L217)-(L102+L117+L157+L172+L216)</f>
        <v>0</v>
      </c>
      <c r="M228" s="8">
        <f>$E$222/(1-$E$222)*(M103+M118+M158+M173+M217)-(M102+M117+M157+M172+M216)</f>
        <v>0</v>
      </c>
      <c r="N228" s="8">
        <f>$E$222/(1-$E$222)*(N103+N118+N158+N173+N217)-(N102+N117+N157+N172+N216)</f>
        <v>0</v>
      </c>
      <c r="O228" s="8">
        <f>$E$222/(1-$E$222)*(O103+O118+O158+O173+O217)-(O102+O117+O157+O172+O216)</f>
        <v>0</v>
      </c>
      <c r="P228" s="8">
        <f>$E$222/(1-$E$222)*(P103+P118+P158+P173+P217)-(P102+P117+P157+P172+P216)</f>
        <v>0</v>
      </c>
      <c r="Q228" s="8">
        <f>$E$222/(1-$E$222)*(Q103+Q118+Q158+Q173+Q217)-(Q102+Q117+Q157+Q172+Q216)</f>
        <v>0</v>
      </c>
      <c r="R228" s="8">
        <f>$E$222/(1-$E$222)*(R103+R118+R158+R173+R217)-(R102+R117+R157+R172+R216)</f>
        <v>0</v>
      </c>
      <c r="S228" s="8">
        <f>$E$222/(1-$E$222)*(S103+S118+S158+S173+S217)-(S102+S117+S157+S172+S216)</f>
        <v>0</v>
      </c>
      <c r="T228" s="8">
        <f>$E$222/(1-$E$222)*(T103+T118+T158+T173+T217)-(T102+T117+T157+T172+T216)</f>
        <v>0</v>
      </c>
      <c r="U228" s="8">
        <f>$E$222/(1-$E$222)*(U103+U118+U158+U173+U217)-(U102+U117+U157+U172+U216)</f>
        <v>0</v>
      </c>
      <c r="V228" s="8">
        <f>$E$222/(1-$E$222)*(V103+V118+V158+V173+V217)-(V102+V117+V157+V172+V216)</f>
        <v>0</v>
      </c>
      <c r="W228" s="8">
        <f>$E$222/(1-$E$222)*(W103+W118+W158+W173+W217)-(W102+W117+W157+W172+W216)</f>
        <v>0</v>
      </c>
      <c r="X228" s="8">
        <f>$E$222/(1-$E$222)*(X103+X118+X158+X173+X217)-(X102+X117+X157+X172+X216)</f>
        <v>0</v>
      </c>
      <c r="Y228" s="8">
        <f>$E$222/(1-$E$222)*(Y103+Y118+Y158+Y173+Y217)-(Y102+Y117+Y157+Y172+Y216)</f>
        <v>0</v>
      </c>
      <c r="Z228" s="8">
        <f>$E$222/(1-$E$222)*(Z103+Z118+Z158+Z173+Z217)-(Z102+Z117+Z157+Z172+Z216)</f>
        <v>0</v>
      </c>
      <c r="AA228" s="8">
        <f>$E$222/(1-$E$222)*(AA103+AA118+AA158+AA173+AA217)-(AA102+AA117+AA157+AA172+AA216)</f>
        <v>12923141.1165054</v>
      </c>
      <c r="AB228" s="39">
        <f>SUM(G228:AA228)</f>
        <v>12923141.1165054</v>
      </c>
    </row>
    <row r="229">
      <c r="C229" s="14" t="inlineStr">
        <is>
          <t>Less: Payment</t>
        </is>
      </c>
      <c r="G229" s="8">
        <f>-MIN(MAX(0,G227+G228),G218)</f>
        <v>-0</v>
      </c>
      <c r="H229" s="8">
        <f>-MIN(MAX(0,H227+H228),H218)</f>
        <v>-0</v>
      </c>
      <c r="I229" s="8">
        <f>-MIN(MAX(0,I227+I228),I218)</f>
        <v>-0</v>
      </c>
      <c r="J229" s="8">
        <f>-MIN(MAX(0,J227+J228),J218)</f>
        <v>-0</v>
      </c>
      <c r="K229" s="8">
        <f>-MIN(MAX(0,K227+K228),K218)</f>
        <v>-0</v>
      </c>
      <c r="L229" s="8">
        <f>-MIN(MAX(0,L227+L228),L218)</f>
        <v>-0</v>
      </c>
      <c r="M229" s="8">
        <f>-MIN(MAX(0,M227+M228),M218)</f>
        <v>-0</v>
      </c>
      <c r="N229" s="8">
        <f>-MIN(MAX(0,N227+N228),N218)</f>
        <v>-0</v>
      </c>
      <c r="O229" s="8">
        <f>-MIN(MAX(0,O227+O228),O218)</f>
        <v>-0</v>
      </c>
      <c r="P229" s="8">
        <f>-MIN(MAX(0,P227+P228),P218)</f>
        <v>-0</v>
      </c>
      <c r="Q229" s="8">
        <f>-MIN(MAX(0,Q227+Q228),Q218)</f>
        <v>-0</v>
      </c>
      <c r="R229" s="8">
        <f>-MIN(MAX(0,R227+R228),R218)</f>
        <v>-0</v>
      </c>
      <c r="S229" s="8">
        <f>-MIN(MAX(0,S227+S228),S218)</f>
        <v>-0</v>
      </c>
      <c r="T229" s="8">
        <f>-MIN(MAX(0,T227+T228),T218)</f>
        <v>-0</v>
      </c>
      <c r="U229" s="8">
        <f>-MIN(MAX(0,U227+U228),U218)</f>
        <v>-0</v>
      </c>
      <c r="V229" s="8">
        <f>-MIN(MAX(0,V227+V228),V218)</f>
        <v>-0</v>
      </c>
      <c r="W229" s="8">
        <f>-MIN(MAX(0,W227+W228),W218)</f>
        <v>-0</v>
      </c>
      <c r="X229" s="8">
        <f>-MIN(MAX(0,X227+X228),X218)</f>
        <v>-0</v>
      </c>
      <c r="Y229" s="8">
        <f>-MIN(MAX(0,Y227+Y228),Y218)</f>
        <v>-0</v>
      </c>
      <c r="Z229" s="8">
        <f>-MIN(MAX(0,Z227+Z228),Z218)</f>
        <v>-0</v>
      </c>
      <c r="AA229" s="8">
        <f>-MIN(MAX(0,AA227+AA228),AA218)</f>
        <v>-0</v>
      </c>
      <c r="AB229" s="39">
        <f>SUM(G229:AA229)</f>
        <v>0</v>
      </c>
    </row>
    <row r="230">
      <c r="C230" s="29" t="inlineStr">
        <is>
          <t>Ending</t>
        </is>
      </c>
      <c r="G230" s="30">
        <f>G227+G228+G229</f>
        <v>0</v>
      </c>
      <c r="H230" s="30">
        <f>H227+H228+H229</f>
        <v>0</v>
      </c>
      <c r="I230" s="30">
        <f>I227+I228+I229</f>
        <v>0</v>
      </c>
      <c r="J230" s="30">
        <f>J227+J228+J229</f>
        <v>0</v>
      </c>
      <c r="K230" s="30">
        <f>K227+K228+K229</f>
        <v>0</v>
      </c>
      <c r="L230" s="30">
        <f>L227+L228+L229</f>
        <v>0</v>
      </c>
      <c r="M230" s="30">
        <f>M227+M228+M229</f>
        <v>0</v>
      </c>
      <c r="N230" s="30">
        <f>N227+N228+N229</f>
        <v>0</v>
      </c>
      <c r="O230" s="30">
        <f>O227+O228+O229</f>
        <v>0</v>
      </c>
      <c r="P230" s="30">
        <f>P227+P228+P229</f>
        <v>0</v>
      </c>
      <c r="Q230" s="30">
        <f>Q227+Q228+Q229</f>
        <v>0</v>
      </c>
      <c r="R230" s="30">
        <f>R227+R228+R229</f>
        <v>0</v>
      </c>
      <c r="S230" s="30">
        <f>S227+S228+S229</f>
        <v>0</v>
      </c>
      <c r="T230" s="30">
        <f>T227+T228+T229</f>
        <v>0</v>
      </c>
      <c r="U230" s="30">
        <f>U227+U228+U229</f>
        <v>0</v>
      </c>
      <c r="V230" s="30">
        <f>V227+V228+V229</f>
        <v>0</v>
      </c>
      <c r="W230" s="30">
        <f>W227+W228+W229</f>
        <v>0</v>
      </c>
      <c r="X230" s="30">
        <f>X227+X228+X229</f>
        <v>0</v>
      </c>
      <c r="Y230" s="30">
        <f>Y227+Y228+Y229</f>
        <v>0</v>
      </c>
      <c r="Z230" s="30">
        <f>Z227+Z228+Z229</f>
        <v>0</v>
      </c>
      <c r="AA230" s="30">
        <f>AA227+AA228+AA229</f>
        <v>12923141.1165054</v>
      </c>
    </row>
    <row r="231">
      <c r="C231" s="14" t="inlineStr">
        <is>
          <t>GP Cash Flows</t>
        </is>
      </c>
      <c r="G231" s="8">
        <f>G224</f>
        <v>0</v>
      </c>
      <c r="H231" s="8">
        <f>H224</f>
        <v>0</v>
      </c>
      <c r="I231" s="8">
        <f>I224</f>
        <v>0</v>
      </c>
      <c r="J231" s="8">
        <f>J224</f>
        <v>0</v>
      </c>
      <c r="K231" s="8">
        <f>K224</f>
        <v>0</v>
      </c>
      <c r="L231" s="8">
        <f>L224</f>
        <v>0</v>
      </c>
      <c r="M231" s="8">
        <f>M224</f>
        <v>0</v>
      </c>
      <c r="N231" s="8">
        <f>N224</f>
        <v>0</v>
      </c>
      <c r="O231" s="8">
        <f>O224</f>
        <v>0</v>
      </c>
      <c r="P231" s="8">
        <f>P224</f>
        <v>0</v>
      </c>
      <c r="Q231" s="8">
        <f>Q224</f>
        <v>0</v>
      </c>
      <c r="R231" s="8">
        <f>R224</f>
        <v>0</v>
      </c>
      <c r="S231" s="8">
        <f>S224</f>
        <v>0</v>
      </c>
      <c r="T231" s="8">
        <f>T224</f>
        <v>0</v>
      </c>
      <c r="U231" s="8">
        <f>U224</f>
        <v>0</v>
      </c>
      <c r="V231" s="8">
        <f>V224</f>
        <v>0</v>
      </c>
      <c r="W231" s="8">
        <f>W224</f>
        <v>0</v>
      </c>
      <c r="X231" s="8">
        <f>X224</f>
        <v>0</v>
      </c>
      <c r="Y231" s="8">
        <f>Y224</f>
        <v>0</v>
      </c>
      <c r="Z231" s="8">
        <f>Z224</f>
        <v>0</v>
      </c>
      <c r="AA231" s="8">
        <f>AA224</f>
        <v>0</v>
      </c>
      <c r="AB231" s="39">
        <f>SUM(G231:AA231)</f>
        <v>0</v>
      </c>
    </row>
    <row r="232">
      <c r="C232" s="14" t="inlineStr">
        <is>
          <t>LP Cash Flows</t>
        </is>
      </c>
      <c r="G232" s="8">
        <f>G225</f>
        <v>0</v>
      </c>
      <c r="H232" s="8">
        <f>H225</f>
        <v>0</v>
      </c>
      <c r="I232" s="8">
        <f>I225</f>
        <v>0</v>
      </c>
      <c r="J232" s="8">
        <f>J225</f>
        <v>0</v>
      </c>
      <c r="K232" s="8">
        <f>K225</f>
        <v>0</v>
      </c>
      <c r="L232" s="8">
        <f>L225</f>
        <v>0</v>
      </c>
      <c r="M232" s="8">
        <f>M225</f>
        <v>0</v>
      </c>
      <c r="N232" s="8">
        <f>N225</f>
        <v>0</v>
      </c>
      <c r="O232" s="8">
        <f>O225</f>
        <v>0</v>
      </c>
      <c r="P232" s="8">
        <f>P225</f>
        <v>0</v>
      </c>
      <c r="Q232" s="8">
        <f>Q225</f>
        <v>0</v>
      </c>
      <c r="R232" s="8">
        <f>R225</f>
        <v>0</v>
      </c>
      <c r="S232" s="8">
        <f>S225</f>
        <v>0</v>
      </c>
      <c r="T232" s="8">
        <f>T225</f>
        <v>0</v>
      </c>
      <c r="U232" s="8">
        <f>U225</f>
        <v>0</v>
      </c>
      <c r="V232" s="8">
        <f>V225</f>
        <v>0</v>
      </c>
      <c r="W232" s="8">
        <f>W225</f>
        <v>0</v>
      </c>
      <c r="X232" s="8">
        <f>X225</f>
        <v>0</v>
      </c>
      <c r="Y232" s="8">
        <f>Y225</f>
        <v>0</v>
      </c>
      <c r="Z232" s="8">
        <f>Z225</f>
        <v>0</v>
      </c>
      <c r="AA232" s="8">
        <f>AA225</f>
        <v>0</v>
      </c>
      <c r="AB232" s="39">
        <f>SUM(G232:AA232)</f>
        <v>0</v>
      </c>
    </row>
    <row r="233">
      <c r="C233" s="29" t="inlineStr">
        <is>
          <t>Proceeds Available for Next Tier</t>
        </is>
      </c>
      <c r="G233" s="39">
        <f>G218+G229</f>
        <v>0</v>
      </c>
      <c r="H233" s="39">
        <f>H218+H229</f>
        <v>0</v>
      </c>
      <c r="I233" s="39">
        <f>I218+I229</f>
        <v>0</v>
      </c>
      <c r="J233" s="39">
        <f>J218+J229</f>
        <v>0</v>
      </c>
      <c r="K233" s="39">
        <f>K218+K229</f>
        <v>0</v>
      </c>
      <c r="L233" s="39">
        <f>L218+L229</f>
        <v>0</v>
      </c>
      <c r="M233" s="39">
        <f>M218+M229</f>
        <v>0</v>
      </c>
      <c r="N233" s="39">
        <f>N218+N229</f>
        <v>0</v>
      </c>
      <c r="O233" s="39">
        <f>O218+O229</f>
        <v>0</v>
      </c>
      <c r="P233" s="39">
        <f>P218+P229</f>
        <v>0</v>
      </c>
      <c r="Q233" s="39">
        <f>Q218+Q229</f>
        <v>0</v>
      </c>
      <c r="R233" s="39">
        <f>R218+R229</f>
        <v>0</v>
      </c>
      <c r="S233" s="39">
        <f>S218+S229</f>
        <v>0</v>
      </c>
      <c r="T233" s="39">
        <f>T218+T229</f>
        <v>0</v>
      </c>
      <c r="U233" s="39">
        <f>U218+U229</f>
        <v>0</v>
      </c>
      <c r="V233" s="39">
        <f>V218+V229</f>
        <v>0</v>
      </c>
      <c r="W233" s="39">
        <f>W218+W229</f>
        <v>0</v>
      </c>
      <c r="X233" s="39">
        <f>X218+X229</f>
        <v>0</v>
      </c>
      <c r="Y233" s="39">
        <f>Y218+Y229</f>
        <v>0</v>
      </c>
      <c r="Z233" s="39">
        <f>Z218+Z229</f>
        <v>0</v>
      </c>
      <c r="AA233" s="39">
        <f>AA218+AA229</f>
        <v>0</v>
      </c>
      <c r="AB233" s="39">
        <f>SUM(G233:AA233)</f>
        <v>0</v>
      </c>
    </row>
    <row r="235">
      <c r="C235" s="12" t="inlineStr">
        <is>
          <t>Tier 5: Carried Interest</t>
        </is>
      </c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</row>
    <row r="236">
      <c r="C236" s="14" t="inlineStr">
        <is>
          <t>Allocation to GP (%)</t>
        </is>
      </c>
      <c r="E236" s="47">
        <f>Control!$E$56</f>
        <v>0.2</v>
      </c>
    </row>
    <row r="237">
      <c r="C237" s="14" t="inlineStr">
        <is>
          <t>IRR Hurdle (%)</t>
        </is>
      </c>
      <c r="E237" s="47">
        <f>Control!$E$57</f>
        <v>0.2</v>
      </c>
    </row>
    <row r="238">
      <c r="C238" s="14" t="inlineStr">
        <is>
          <t>Multiple (x)</t>
        </is>
      </c>
      <c r="E238" s="62">
        <f>Control!$E$58</f>
        <v>2.5</v>
      </c>
    </row>
    <row r="239">
      <c r="C239" s="3" t="inlineStr">
        <is>
          <t>Distribution of Proceeds:</t>
        </is>
      </c>
    </row>
    <row r="240">
      <c r="C240" s="14" t="inlineStr">
        <is>
          <t>Proceeds to GP</t>
        </is>
      </c>
      <c r="G240" s="8">
        <f>G241/(1-$E$236)*$E$236</f>
        <v>0</v>
      </c>
      <c r="H240" s="8">
        <f>H241/(1-$E$236)*$E$236</f>
        <v>0</v>
      </c>
      <c r="I240" s="8">
        <f>I241/(1-$E$236)*$E$236</f>
        <v>0</v>
      </c>
      <c r="J240" s="8">
        <f>J241/(1-$E$236)*$E$236</f>
        <v>0</v>
      </c>
      <c r="K240" s="8">
        <f>K241/(1-$E$236)*$E$236</f>
        <v>0</v>
      </c>
      <c r="L240" s="8">
        <f>L241/(1-$E$236)*$E$236</f>
        <v>0</v>
      </c>
      <c r="M240" s="8">
        <f>M241/(1-$E$236)*$E$236</f>
        <v>0</v>
      </c>
      <c r="N240" s="8">
        <f>N241/(1-$E$236)*$E$236</f>
        <v>0</v>
      </c>
      <c r="O240" s="8">
        <f>O241/(1-$E$236)*$E$236</f>
        <v>0</v>
      </c>
      <c r="P240" s="8">
        <f>P241/(1-$E$236)*$E$236</f>
        <v>0</v>
      </c>
      <c r="Q240" s="8">
        <f>Q241/(1-$E$236)*$E$236</f>
        <v>0</v>
      </c>
      <c r="R240" s="8">
        <f>R241/(1-$E$236)*$E$236</f>
        <v>0</v>
      </c>
      <c r="S240" s="8">
        <f>S241/(1-$E$236)*$E$236</f>
        <v>0</v>
      </c>
      <c r="T240" s="8">
        <f>T241/(1-$E$236)*$E$236</f>
        <v>0</v>
      </c>
      <c r="U240" s="8">
        <f>U241/(1-$E$236)*$E$236</f>
        <v>0</v>
      </c>
      <c r="V240" s="8">
        <f>V241/(1-$E$236)*$E$236</f>
        <v>0</v>
      </c>
      <c r="W240" s="8">
        <f>W241/(1-$E$236)*$E$236</f>
        <v>0</v>
      </c>
      <c r="X240" s="8">
        <f>X241/(1-$E$236)*$E$236</f>
        <v>0</v>
      </c>
      <c r="Y240" s="8">
        <f>Y241/(1-$E$236)*$E$236</f>
        <v>0</v>
      </c>
      <c r="Z240" s="8">
        <f>Z241/(1-$E$236)*$E$236</f>
        <v>0</v>
      </c>
      <c r="AA240" s="8">
        <f>AA241/(1-$E$236)*$E$236</f>
        <v>0</v>
      </c>
      <c r="AB240" s="39">
        <f>SUM(G240:AA240)</f>
        <v>0</v>
      </c>
    </row>
    <row r="241">
      <c r="C241" s="14" t="inlineStr">
        <is>
          <t>Proceeds to LPs</t>
        </is>
      </c>
      <c r="G241" s="8">
        <f>G233*(1-$E$236)</f>
        <v>0</v>
      </c>
      <c r="H241" s="8">
        <f>H233*(1-$E$236)</f>
        <v>0</v>
      </c>
      <c r="I241" s="8">
        <f>I233*(1-$E$236)</f>
        <v>0</v>
      </c>
      <c r="J241" s="8">
        <f>J233*(1-$E$236)</f>
        <v>0</v>
      </c>
      <c r="K241" s="8">
        <f>K233*(1-$E$236)</f>
        <v>0</v>
      </c>
      <c r="L241" s="8">
        <f>L233*(1-$E$236)</f>
        <v>0</v>
      </c>
      <c r="M241" s="8">
        <f>M233*(1-$E$236)</f>
        <v>0</v>
      </c>
      <c r="N241" s="8">
        <f>N233*(1-$E$236)</f>
        <v>0</v>
      </c>
      <c r="O241" s="8">
        <f>O233*(1-$E$236)</f>
        <v>0</v>
      </c>
      <c r="P241" s="8">
        <f>P233*(1-$E$236)</f>
        <v>0</v>
      </c>
      <c r="Q241" s="8">
        <f>Q233*(1-$E$236)</f>
        <v>0</v>
      </c>
      <c r="R241" s="8">
        <f>R233*(1-$E$236)</f>
        <v>0</v>
      </c>
      <c r="S241" s="8">
        <f>S233*(1-$E$236)</f>
        <v>0</v>
      </c>
      <c r="T241" s="8">
        <f>T233*(1-$E$236)</f>
        <v>0</v>
      </c>
      <c r="U241" s="8">
        <f>U233*(1-$E$236)</f>
        <v>0</v>
      </c>
      <c r="V241" s="8">
        <f>V233*(1-$E$236)</f>
        <v>0</v>
      </c>
      <c r="W241" s="8">
        <f>W233*(1-$E$236)</f>
        <v>0</v>
      </c>
      <c r="X241" s="8">
        <f>X233*(1-$E$236)</f>
        <v>0</v>
      </c>
      <c r="Y241" s="8">
        <f>Y233*(1-$E$236)</f>
        <v>0</v>
      </c>
      <c r="Z241" s="8">
        <f>Z233*(1-$E$236)</f>
        <v>0</v>
      </c>
      <c r="AA241" s="8">
        <f>AA233*(1-$E$236)</f>
        <v>0</v>
      </c>
      <c r="AB241" s="39">
        <f>SUM(G241:AA241)</f>
        <v>0</v>
      </c>
    </row>
    <row r="242">
      <c r="C242" s="3" t="inlineStr">
        <is>
          <t>IRR Test:</t>
        </is>
      </c>
    </row>
    <row r="243">
      <c r="C243" s="29" t="inlineStr">
        <is>
          <t>Net Cash Flows:</t>
        </is>
      </c>
    </row>
    <row r="244">
      <c r="C244" s="43" t="inlineStr">
        <is>
          <t>Plus: LP Contributions (Exc. Management Fees)</t>
        </is>
      </c>
      <c r="G244" s="8">
        <f>-G21</f>
        <v>-142159468.866388</v>
      </c>
      <c r="H244" s="8">
        <f>-H21</f>
        <v>-0</v>
      </c>
      <c r="I244" s="8">
        <f>-I21</f>
        <v>-0</v>
      </c>
      <c r="J244" s="8">
        <f>-J21</f>
        <v>-0</v>
      </c>
      <c r="K244" s="8">
        <f>-K21</f>
        <v>-3981165.72</v>
      </c>
      <c r="L244" s="8">
        <f>-L21</f>
        <v>-0</v>
      </c>
      <c r="M244" s="8">
        <f>-M21</f>
        <v>-0</v>
      </c>
      <c r="N244" s="8">
        <f>-N21</f>
        <v>-0</v>
      </c>
      <c r="O244" s="8">
        <f>-O21</f>
        <v>-3639919.92</v>
      </c>
      <c r="P244" s="8">
        <f>-P21</f>
        <v>-0</v>
      </c>
      <c r="Q244" s="8">
        <f>-Q21</f>
        <v>-0</v>
      </c>
      <c r="R244" s="8">
        <f>-R21</f>
        <v>-0</v>
      </c>
      <c r="S244" s="8">
        <f>-S21</f>
        <v>-1750374.08</v>
      </c>
      <c r="T244" s="8">
        <f>-T21</f>
        <v>-0</v>
      </c>
      <c r="U244" s="8">
        <f>-U21</f>
        <v>-0</v>
      </c>
      <c r="V244" s="8">
        <f>-V21</f>
        <v>-0</v>
      </c>
      <c r="W244" s="8">
        <f>-W21</f>
        <v>-647976</v>
      </c>
      <c r="X244" s="8">
        <f>-X21</f>
        <v>-0</v>
      </c>
      <c r="Y244" s="8">
        <f>-Y21</f>
        <v>-0</v>
      </c>
      <c r="Z244" s="8">
        <f>-Z21</f>
        <v>-0</v>
      </c>
      <c r="AA244" s="8">
        <f>-AA21</f>
        <v>-0</v>
      </c>
      <c r="AB244" s="39">
        <f>SUM(G244:AA244)</f>
        <v>-152178904.586388</v>
      </c>
    </row>
    <row r="245">
      <c r="C245" s="43" t="inlineStr">
        <is>
          <t>Plus: Management Fees</t>
        </is>
      </c>
      <c r="G245" s="8">
        <f>-G53</f>
        <v>-621947.676290447</v>
      </c>
      <c r="H245" s="8">
        <f>-H53</f>
        <v>-621947.676290447</v>
      </c>
      <c r="I245" s="8">
        <f>-I53</f>
        <v>-621947.676290447</v>
      </c>
      <c r="J245" s="8">
        <f>-J53</f>
        <v>-621947.676290447</v>
      </c>
      <c r="K245" s="8">
        <f>-K53</f>
        <v>-639365.276315447</v>
      </c>
      <c r="L245" s="8">
        <f>-L53</f>
        <v>-613117.24627729</v>
      </c>
      <c r="M245" s="8">
        <f>-M53</f>
        <v>-613117.24627729</v>
      </c>
      <c r="N245" s="8">
        <f>-N53</f>
        <v>-613117.24627729</v>
      </c>
      <c r="O245" s="8">
        <f>-O53</f>
        <v>-629041.89592729</v>
      </c>
      <c r="P245" s="8">
        <f>-P53</f>
        <v>-598389.251553261</v>
      </c>
      <c r="Q245" s="8">
        <f>-Q53</f>
        <v>-598389.251553261</v>
      </c>
      <c r="R245" s="8">
        <f>-R53</f>
        <v>-598389.251553261</v>
      </c>
      <c r="S245" s="8">
        <f>-S53</f>
        <v>-606047.138153261</v>
      </c>
      <c r="T245" s="8">
        <f>-T53</f>
        <v>-571182.354825136</v>
      </c>
      <c r="U245" s="8">
        <f>-U53</f>
        <v>-571182.354825136</v>
      </c>
      <c r="V245" s="8">
        <f>-V53</f>
        <v>-571182.354825136</v>
      </c>
      <c r="W245" s="8">
        <f>-W53</f>
        <v>-574017.249825136</v>
      </c>
      <c r="X245" s="8">
        <f>-X53</f>
        <v>-536660.734885214</v>
      </c>
      <c r="Y245" s="8">
        <f>-Y53</f>
        <v>-536660.734885214</v>
      </c>
      <c r="Z245" s="8">
        <f>-Z53</f>
        <v>-536660.734885214</v>
      </c>
      <c r="AA245" s="8">
        <f>-AA53</f>
        <v>-536660.734885214</v>
      </c>
      <c r="AB245" s="39">
        <f>SUM(G245:AA245)</f>
        <v>-12430971.7628908</v>
      </c>
    </row>
    <row r="246">
      <c r="C246" s="43" t="inlineStr">
        <is>
          <t>Less: Return of Capital</t>
        </is>
      </c>
      <c r="G246" s="8">
        <f>G67</f>
        <v>0</v>
      </c>
      <c r="H246" s="8">
        <f>H67</f>
        <v>0</v>
      </c>
      <c r="I246" s="8">
        <f>I67</f>
        <v>0</v>
      </c>
      <c r="J246" s="8">
        <f>J67</f>
        <v>0</v>
      </c>
      <c r="K246" s="8">
        <f>K67</f>
        <v>5999549.72300725</v>
      </c>
      <c r="L246" s="8">
        <f>L67</f>
        <v>0</v>
      </c>
      <c r="M246" s="8">
        <f>M67</f>
        <v>0</v>
      </c>
      <c r="N246" s="8">
        <f>N67</f>
        <v>0</v>
      </c>
      <c r="O246" s="8">
        <f>O67</f>
        <v>7006318.71406373</v>
      </c>
      <c r="P246" s="8">
        <f>P67</f>
        <v>0</v>
      </c>
      <c r="Q246" s="8">
        <f>Q67</f>
        <v>0</v>
      </c>
      <c r="R246" s="8">
        <f>R67</f>
        <v>0</v>
      </c>
      <c r="S246" s="8">
        <f>S67</f>
        <v>7969093.33214287</v>
      </c>
      <c r="T246" s="8">
        <f>T67</f>
        <v>0</v>
      </c>
      <c r="U246" s="8">
        <f>U67</f>
        <v>0</v>
      </c>
      <c r="V246" s="8">
        <f>V67</f>
        <v>0</v>
      </c>
      <c r="W246" s="8">
        <f>W67</f>
        <v>8538631.98626797</v>
      </c>
      <c r="X246" s="8">
        <f>X67</f>
        <v>0</v>
      </c>
      <c r="Y246" s="8">
        <f>Y67</f>
        <v>0</v>
      </c>
      <c r="Z246" s="8">
        <f>Z67</f>
        <v>0</v>
      </c>
      <c r="AA246" s="8">
        <f>AA67</f>
        <v>135096282.593797</v>
      </c>
      <c r="AB246" s="39">
        <f>SUM(G246:AA246)</f>
        <v>164609876.349279</v>
      </c>
    </row>
    <row r="247">
      <c r="C247" s="43" t="inlineStr">
        <is>
          <t>Less: Preferred Return</t>
        </is>
      </c>
      <c r="G247" s="8">
        <f>G103</f>
        <v>0</v>
      </c>
      <c r="H247" s="8">
        <f>H103</f>
        <v>0</v>
      </c>
      <c r="I247" s="8">
        <f>I103</f>
        <v>0</v>
      </c>
      <c r="J247" s="8">
        <f>J103</f>
        <v>0</v>
      </c>
      <c r="K247" s="8">
        <f>K103</f>
        <v>0</v>
      </c>
      <c r="L247" s="8">
        <f>L103</f>
        <v>0</v>
      </c>
      <c r="M247" s="8">
        <f>M103</f>
        <v>0</v>
      </c>
      <c r="N247" s="8">
        <f>N103</f>
        <v>0</v>
      </c>
      <c r="O247" s="8">
        <f>O103</f>
        <v>0</v>
      </c>
      <c r="P247" s="8">
        <f>P103</f>
        <v>0</v>
      </c>
      <c r="Q247" s="8">
        <f>Q103</f>
        <v>0</v>
      </c>
      <c r="R247" s="8">
        <f>R103</f>
        <v>0</v>
      </c>
      <c r="S247" s="8">
        <f>S103</f>
        <v>0</v>
      </c>
      <c r="T247" s="8">
        <f>T103</f>
        <v>0</v>
      </c>
      <c r="U247" s="8">
        <f>U103</f>
        <v>0</v>
      </c>
      <c r="V247" s="8">
        <f>V103</f>
        <v>0</v>
      </c>
      <c r="W247" s="8">
        <f>W103</f>
        <v>0</v>
      </c>
      <c r="X247" s="8">
        <f>X103</f>
        <v>0</v>
      </c>
      <c r="Y247" s="8">
        <f>Y103</f>
        <v>0</v>
      </c>
      <c r="Z247" s="8">
        <f>Z103</f>
        <v>0</v>
      </c>
      <c r="AA247" s="8">
        <f>AA103</f>
        <v>66279844.3242502</v>
      </c>
      <c r="AB247" s="39">
        <f>SUM(G247:AA247)</f>
        <v>66279844.3242502</v>
      </c>
    </row>
    <row r="248">
      <c r="C248" s="43" t="inlineStr">
        <is>
          <t>Less: Catch-Up (Tier 3)</t>
        </is>
      </c>
      <c r="G248" s="8">
        <f>G118</f>
        <v>0</v>
      </c>
      <c r="H248" s="8">
        <f>H118</f>
        <v>0</v>
      </c>
      <c r="I248" s="8">
        <f>I118</f>
        <v>0</v>
      </c>
      <c r="J248" s="8">
        <f>J118</f>
        <v>0</v>
      </c>
      <c r="K248" s="8">
        <f>K118</f>
        <v>0</v>
      </c>
      <c r="L248" s="8">
        <f>L118</f>
        <v>0</v>
      </c>
      <c r="M248" s="8">
        <f>M118</f>
        <v>0</v>
      </c>
      <c r="N248" s="8">
        <f>N118</f>
        <v>0</v>
      </c>
      <c r="O248" s="8">
        <f>O118</f>
        <v>0</v>
      </c>
      <c r="P248" s="8">
        <f>P118</f>
        <v>0</v>
      </c>
      <c r="Q248" s="8">
        <f>Q118</f>
        <v>0</v>
      </c>
      <c r="R248" s="8">
        <f>R118</f>
        <v>0</v>
      </c>
      <c r="S248" s="8">
        <f>S118</f>
        <v>0</v>
      </c>
      <c r="T248" s="8">
        <f>T118</f>
        <v>0</v>
      </c>
      <c r="U248" s="8">
        <f>U118</f>
        <v>0</v>
      </c>
      <c r="V248" s="8">
        <f>V118</f>
        <v>0</v>
      </c>
      <c r="W248" s="8">
        <f>W118</f>
        <v>0</v>
      </c>
      <c r="X248" s="8">
        <f>X118</f>
        <v>0</v>
      </c>
      <c r="Y248" s="8">
        <f>Y118</f>
        <v>0</v>
      </c>
      <c r="Z248" s="8">
        <f>Z118</f>
        <v>0</v>
      </c>
      <c r="AA248" s="8">
        <f>AA118</f>
        <v>0</v>
      </c>
      <c r="AB248" s="39">
        <f>SUM(G248:AA248)</f>
        <v>0</v>
      </c>
    </row>
    <row r="249">
      <c r="C249" s="43" t="inlineStr">
        <is>
          <t>Less: Carried Interest Tier 3 – Proceeds to LPs</t>
        </is>
      </c>
      <c r="G249" s="8">
        <f>G158</f>
        <v>0</v>
      </c>
      <c r="H249" s="8">
        <f>H158</f>
        <v>0</v>
      </c>
      <c r="I249" s="8">
        <f>I158</f>
        <v>0</v>
      </c>
      <c r="J249" s="8">
        <f>J158</f>
        <v>0</v>
      </c>
      <c r="K249" s="8">
        <f>K158</f>
        <v>0</v>
      </c>
      <c r="L249" s="8">
        <f>L158</f>
        <v>0</v>
      </c>
      <c r="M249" s="8">
        <f>M158</f>
        <v>0</v>
      </c>
      <c r="N249" s="8">
        <f>N158</f>
        <v>0</v>
      </c>
      <c r="O249" s="8">
        <f>O158</f>
        <v>0</v>
      </c>
      <c r="P249" s="8">
        <f>P158</f>
        <v>0</v>
      </c>
      <c r="Q249" s="8">
        <f>Q158</f>
        <v>0</v>
      </c>
      <c r="R249" s="8">
        <f>R158</f>
        <v>0</v>
      </c>
      <c r="S249" s="8">
        <f>S158</f>
        <v>0</v>
      </c>
      <c r="T249" s="8">
        <f>T158</f>
        <v>0</v>
      </c>
      <c r="U249" s="8">
        <f>U158</f>
        <v>0</v>
      </c>
      <c r="V249" s="8">
        <f>V158</f>
        <v>0</v>
      </c>
      <c r="W249" s="8">
        <f>W158</f>
        <v>0</v>
      </c>
      <c r="X249" s="8">
        <f>X158</f>
        <v>0</v>
      </c>
      <c r="Y249" s="8">
        <f>Y158</f>
        <v>0</v>
      </c>
      <c r="Z249" s="8">
        <f>Z158</f>
        <v>0</v>
      </c>
      <c r="AA249" s="8">
        <f>AA158</f>
        <v>98330032.0250285</v>
      </c>
      <c r="AB249" s="39">
        <f>SUM(G249:AA249)</f>
        <v>98330032.0250285</v>
      </c>
    </row>
    <row r="250">
      <c r="C250" s="43" t="inlineStr">
        <is>
          <t>Less: Catch-Up (Tier 4)</t>
        </is>
      </c>
      <c r="G250" s="8">
        <f>G173</f>
        <v>0</v>
      </c>
      <c r="H250" s="8">
        <f>H173</f>
        <v>0</v>
      </c>
      <c r="I250" s="8">
        <f>I173</f>
        <v>0</v>
      </c>
      <c r="J250" s="8">
        <f>J173</f>
        <v>0</v>
      </c>
      <c r="K250" s="8">
        <f>K173</f>
        <v>0</v>
      </c>
      <c r="L250" s="8">
        <f>L173</f>
        <v>0</v>
      </c>
      <c r="M250" s="8">
        <f>M173</f>
        <v>0</v>
      </c>
      <c r="N250" s="8">
        <f>N173</f>
        <v>0</v>
      </c>
      <c r="O250" s="8">
        <f>O173</f>
        <v>0</v>
      </c>
      <c r="P250" s="8">
        <f>P173</f>
        <v>0</v>
      </c>
      <c r="Q250" s="8">
        <f>Q173</f>
        <v>0</v>
      </c>
      <c r="R250" s="8">
        <f>R173</f>
        <v>0</v>
      </c>
      <c r="S250" s="8">
        <f>S173</f>
        <v>0</v>
      </c>
      <c r="T250" s="8">
        <f>T173</f>
        <v>0</v>
      </c>
      <c r="U250" s="8">
        <f>U173</f>
        <v>0</v>
      </c>
      <c r="V250" s="8">
        <f>V173</f>
        <v>0</v>
      </c>
      <c r="W250" s="8">
        <f>W173</f>
        <v>0</v>
      </c>
      <c r="X250" s="8">
        <f>X173</f>
        <v>0</v>
      </c>
      <c r="Y250" s="8">
        <f>Y173</f>
        <v>0</v>
      </c>
      <c r="Z250" s="8">
        <f>Z173</f>
        <v>0</v>
      </c>
      <c r="AA250" s="8">
        <f>AA173</f>
        <v>0</v>
      </c>
      <c r="AB250" s="39">
        <f>SUM(G250:AA250)</f>
        <v>0</v>
      </c>
    </row>
    <row r="251">
      <c r="C251" s="43" t="inlineStr">
        <is>
          <t>Less: Carried Interest Tier 4 – Proceeds to LPs</t>
        </is>
      </c>
      <c r="G251" s="8">
        <f>G217</f>
        <v>0</v>
      </c>
      <c r="H251" s="8">
        <f>H217</f>
        <v>0</v>
      </c>
      <c r="I251" s="8">
        <f>I217</f>
        <v>0</v>
      </c>
      <c r="J251" s="8">
        <f>J217</f>
        <v>0</v>
      </c>
      <c r="K251" s="8">
        <f>K217</f>
        <v>0</v>
      </c>
      <c r="L251" s="8">
        <f>L217</f>
        <v>0</v>
      </c>
      <c r="M251" s="8">
        <f>M217</f>
        <v>0</v>
      </c>
      <c r="N251" s="8">
        <f>N217</f>
        <v>0</v>
      </c>
      <c r="O251" s="8">
        <f>O217</f>
        <v>0</v>
      </c>
      <c r="P251" s="8">
        <f>P217</f>
        <v>0</v>
      </c>
      <c r="Q251" s="8">
        <f>Q217</f>
        <v>0</v>
      </c>
      <c r="R251" s="8">
        <f>R217</f>
        <v>0</v>
      </c>
      <c r="S251" s="8">
        <f>S217</f>
        <v>0</v>
      </c>
      <c r="T251" s="8">
        <f>T217</f>
        <v>0</v>
      </c>
      <c r="U251" s="8">
        <f>U217</f>
        <v>0</v>
      </c>
      <c r="V251" s="8">
        <f>V217</f>
        <v>0</v>
      </c>
      <c r="W251" s="8">
        <f>W217</f>
        <v>0</v>
      </c>
      <c r="X251" s="8">
        <f>X217</f>
        <v>0</v>
      </c>
      <c r="Y251" s="8">
        <f>Y217</f>
        <v>0</v>
      </c>
      <c r="Z251" s="8">
        <f>Z217</f>
        <v>0</v>
      </c>
      <c r="AA251" s="8">
        <f>AA217</f>
        <v>0</v>
      </c>
      <c r="AB251" s="39">
        <f>SUM(G251:AA251)</f>
        <v>0</v>
      </c>
    </row>
    <row r="252">
      <c r="C252" s="43" t="inlineStr">
        <is>
          <t>Less: Catch-Up (Tier 5)</t>
        </is>
      </c>
      <c r="G252" s="8">
        <f>G232</f>
        <v>0</v>
      </c>
      <c r="H252" s="8">
        <f>H232</f>
        <v>0</v>
      </c>
      <c r="I252" s="8">
        <f>I232</f>
        <v>0</v>
      </c>
      <c r="J252" s="8">
        <f>J232</f>
        <v>0</v>
      </c>
      <c r="K252" s="8">
        <f>K232</f>
        <v>0</v>
      </c>
      <c r="L252" s="8">
        <f>L232</f>
        <v>0</v>
      </c>
      <c r="M252" s="8">
        <f>M232</f>
        <v>0</v>
      </c>
      <c r="N252" s="8">
        <f>N232</f>
        <v>0</v>
      </c>
      <c r="O252" s="8">
        <f>O232</f>
        <v>0</v>
      </c>
      <c r="P252" s="8">
        <f>P232</f>
        <v>0</v>
      </c>
      <c r="Q252" s="8">
        <f>Q232</f>
        <v>0</v>
      </c>
      <c r="R252" s="8">
        <f>R232</f>
        <v>0</v>
      </c>
      <c r="S252" s="8">
        <f>S232</f>
        <v>0</v>
      </c>
      <c r="T252" s="8">
        <f>T232</f>
        <v>0</v>
      </c>
      <c r="U252" s="8">
        <f>U232</f>
        <v>0</v>
      </c>
      <c r="V252" s="8">
        <f>V232</f>
        <v>0</v>
      </c>
      <c r="W252" s="8">
        <f>W232</f>
        <v>0</v>
      </c>
      <c r="X252" s="8">
        <f>X232</f>
        <v>0</v>
      </c>
      <c r="Y252" s="8">
        <f>Y232</f>
        <v>0</v>
      </c>
      <c r="Z252" s="8">
        <f>Z232</f>
        <v>0</v>
      </c>
      <c r="AA252" s="8">
        <f>AA232</f>
        <v>0</v>
      </c>
      <c r="AB252" s="39">
        <f>SUM(G252:AA252)</f>
        <v>0</v>
      </c>
    </row>
    <row r="253">
      <c r="C253" s="43" t="inlineStr">
        <is>
          <t>Less: Proceeds to LPs</t>
        </is>
      </c>
      <c r="G253" s="8">
        <f>G241</f>
        <v>0</v>
      </c>
      <c r="H253" s="8">
        <f>H241</f>
        <v>0</v>
      </c>
      <c r="I253" s="8">
        <f>I241</f>
        <v>0</v>
      </c>
      <c r="J253" s="8">
        <f>J241</f>
        <v>0</v>
      </c>
      <c r="K253" s="8">
        <f>K241</f>
        <v>0</v>
      </c>
      <c r="L253" s="8">
        <f>L241</f>
        <v>0</v>
      </c>
      <c r="M253" s="8">
        <f>M241</f>
        <v>0</v>
      </c>
      <c r="N253" s="8">
        <f>N241</f>
        <v>0</v>
      </c>
      <c r="O253" s="8">
        <f>O241</f>
        <v>0</v>
      </c>
      <c r="P253" s="8">
        <f>P241</f>
        <v>0</v>
      </c>
      <c r="Q253" s="8">
        <f>Q241</f>
        <v>0</v>
      </c>
      <c r="R253" s="8">
        <f>R241</f>
        <v>0</v>
      </c>
      <c r="S253" s="8">
        <f>S241</f>
        <v>0</v>
      </c>
      <c r="T253" s="8">
        <f>T241</f>
        <v>0</v>
      </c>
      <c r="U253" s="8">
        <f>U241</f>
        <v>0</v>
      </c>
      <c r="V253" s="8">
        <f>V241</f>
        <v>0</v>
      </c>
      <c r="W253" s="8">
        <f>W241</f>
        <v>0</v>
      </c>
      <c r="X253" s="8">
        <f>X241</f>
        <v>0</v>
      </c>
      <c r="Y253" s="8">
        <f>Y241</f>
        <v>0</v>
      </c>
      <c r="Z253" s="8">
        <f>Z241</f>
        <v>0</v>
      </c>
      <c r="AA253" s="8">
        <f>AA241</f>
        <v>0</v>
      </c>
      <c r="AB253" s="39">
        <f>SUM(G253:AA253)</f>
        <v>0</v>
      </c>
    </row>
    <row r="254">
      <c r="C254" s="44" t="inlineStr">
        <is>
          <t>Net Cash Flows</t>
        </is>
      </c>
      <c r="G254" s="30">
        <f>SUM(G244:G253)</f>
        <v>-142781416.542678</v>
      </c>
      <c r="H254" s="30">
        <f>SUM(H244:H253)</f>
        <v>-621947.676290447</v>
      </c>
      <c r="I254" s="30">
        <f>SUM(I244:I253)</f>
        <v>-621947.676290447</v>
      </c>
      <c r="J254" s="30">
        <f>SUM(J244:J253)</f>
        <v>-621947.676290447</v>
      </c>
      <c r="K254" s="30">
        <f>SUM(K244:K253)</f>
        <v>1379018.7266918</v>
      </c>
      <c r="L254" s="30">
        <f>SUM(L244:L253)</f>
        <v>-613117.24627729</v>
      </c>
      <c r="M254" s="30">
        <f>SUM(M244:M253)</f>
        <v>-613117.24627729</v>
      </c>
      <c r="N254" s="30">
        <f>SUM(N244:N253)</f>
        <v>-613117.24627729</v>
      </c>
      <c r="O254" s="30">
        <f>SUM(O244:O253)</f>
        <v>2737356.89813644</v>
      </c>
      <c r="P254" s="30">
        <f>SUM(P244:P253)</f>
        <v>-598389.251553261</v>
      </c>
      <c r="Q254" s="30">
        <f>SUM(Q244:Q253)</f>
        <v>-598389.251553261</v>
      </c>
      <c r="R254" s="30">
        <f>SUM(R244:R253)</f>
        <v>-598389.251553261</v>
      </c>
      <c r="S254" s="30">
        <f>SUM(S244:S253)</f>
        <v>5612672.11398961</v>
      </c>
      <c r="T254" s="30">
        <f>SUM(T244:T253)</f>
        <v>-571182.354825136</v>
      </c>
      <c r="U254" s="30">
        <f>SUM(U244:U253)</f>
        <v>-571182.354825136</v>
      </c>
      <c r="V254" s="30">
        <f>SUM(V244:V253)</f>
        <v>-571182.354825136</v>
      </c>
      <c r="W254" s="30">
        <f>SUM(W244:W253)</f>
        <v>7316638.73644283</v>
      </c>
      <c r="X254" s="30">
        <f>SUM(X244:X253)</f>
        <v>-536660.734885214</v>
      </c>
      <c r="Y254" s="30">
        <f>SUM(Y244:Y253)</f>
        <v>-536660.734885214</v>
      </c>
      <c r="Z254" s="30">
        <f>SUM(Z244:Z253)</f>
        <v>-536660.734885214</v>
      </c>
      <c r="AA254" s="30">
        <f>SUM(AA244:AA253)</f>
        <v>299169498.20819</v>
      </c>
      <c r="AB254" s="30">
        <f>SUM(G254:AA254)</f>
        <v>164609876.349279</v>
      </c>
    </row>
    <row r="255">
      <c r="C255" s="43" t="inlineStr">
        <is>
          <t>PV Discount Factor</t>
        </is>
      </c>
      <c r="G255" s="63">
        <f>1/(1+$E$237)^(G$7/4)</f>
        <v>1</v>
      </c>
      <c r="H255" s="63">
        <f>1/(1+$E$237)^(H$7/4)</f>
        <v>0.955442792204367</v>
      </c>
      <c r="I255" s="63">
        <f>1/(1+$E$237)^(I$7/4)</f>
        <v>0.912870929175277</v>
      </c>
      <c r="J255" s="63">
        <f>1/(1+$E$237)^(J$7/4)</f>
        <v>0.872195949493421</v>
      </c>
      <c r="K255" s="63">
        <f>1/(1+$E$237)^(K$7/4)</f>
        <v>0.833333333333333</v>
      </c>
      <c r="L255" s="63">
        <f>1/(1+$E$237)^(L$7/4)</f>
        <v>0.796202326836973</v>
      </c>
      <c r="M255" s="63">
        <f>1/(1+$E$237)^(M$7/4)</f>
        <v>0.760725774312731</v>
      </c>
      <c r="N255" s="63">
        <f>1/(1+$E$237)^(N$7/4)</f>
        <v>0.726829957911184</v>
      </c>
      <c r="O255" s="63">
        <f>1/(1+$E$237)^(O$7/4)</f>
        <v>0.694444444444444</v>
      </c>
      <c r="P255" s="63">
        <f>1/(1+$E$237)^(P$7/4)</f>
        <v>0.66350193903081</v>
      </c>
      <c r="Q255" s="63">
        <f>1/(1+$E$237)^(Q$7/4)</f>
        <v>0.633938145260609</v>
      </c>
      <c r="R255" s="63">
        <f>1/(1+$E$237)^(R$7/4)</f>
        <v>0.605691631592654</v>
      </c>
      <c r="S255" s="63">
        <f>1/(1+$E$237)^(S$7/4)</f>
        <v>0.578703703703704</v>
      </c>
      <c r="T255" s="63">
        <f>1/(1+$E$237)^(T$7/4)</f>
        <v>0.552918282525675</v>
      </c>
      <c r="U255" s="63">
        <f>1/(1+$E$237)^(U$7/4)</f>
        <v>0.528281787717174</v>
      </c>
      <c r="V255" s="63">
        <f>1/(1+$E$237)^(V$7/4)</f>
        <v>0.504743026327212</v>
      </c>
      <c r="W255" s="63">
        <f>1/(1+$E$237)^(W$7/4)</f>
        <v>0.482253086419753</v>
      </c>
      <c r="X255" s="63">
        <f>1/(1+$E$237)^(X$7/4)</f>
        <v>0.460765235438063</v>
      </c>
      <c r="Y255" s="63">
        <f>1/(1+$E$237)^(Y$7/4)</f>
        <v>0.440234823097645</v>
      </c>
      <c r="Z255" s="63">
        <f>1/(1+$E$237)^(Z$7/4)</f>
        <v>0.42061918860601</v>
      </c>
      <c r="AA255" s="63">
        <f>1/(1+$E$237)^(AA$7/4)</f>
        <v>0.401877572016461</v>
      </c>
    </row>
    <row r="256">
      <c r="C256" s="43" t="inlineStr">
        <is>
          <t>PV of Net Cash Flows</t>
        </is>
      </c>
      <c r="G256" s="8">
        <f>G254*G255</f>
        <v>-142781416.542678</v>
      </c>
      <c r="H256" s="8">
        <f>H254*H255</f>
        <v>-594235.424439962</v>
      </c>
      <c r="I256" s="8">
        <f>I254*I255</f>
        <v>-567757.953153664</v>
      </c>
      <c r="J256" s="8">
        <f>J254*J255</f>
        <v>-542460.244057373</v>
      </c>
      <c r="K256" s="8">
        <f>K254*K255</f>
        <v>1149182.27224317</v>
      </c>
      <c r="L256" s="8">
        <f>L254*L255</f>
        <v>-488165.378109855</v>
      </c>
      <c r="M256" s="8">
        <f>M254*M255</f>
        <v>-466414.091918781</v>
      </c>
      <c r="N256" s="8">
        <f>N254*N255</f>
        <v>-445631.982306344</v>
      </c>
      <c r="O256" s="8">
        <f>O254*O255</f>
        <v>1900942.29037253</v>
      </c>
      <c r="P256" s="8">
        <f>P254*P255</f>
        <v>-397032.428700784</v>
      </c>
      <c r="Q256" s="8">
        <f>Q254*Q255</f>
        <v>-379341.772273558</v>
      </c>
      <c r="R256" s="8">
        <f>R254*R255</f>
        <v>-362439.362100802</v>
      </c>
      <c r="S256" s="8">
        <f>S254*S255</f>
        <v>3248074.14004029</v>
      </c>
      <c r="T256" s="8">
        <f>T254*T255</f>
        <v>-315817.166638885</v>
      </c>
      <c r="U256" s="8">
        <f>U254*U255</f>
        <v>-301745.235519528</v>
      </c>
      <c r="V256" s="8">
        <f>V254*V255</f>
        <v>-288300.310359142</v>
      </c>
      <c r="W256" s="8">
        <f>W254*W255</f>
        <v>3528471.61286788</v>
      </c>
      <c r="X256" s="8">
        <f>X254*X255</f>
        <v>-247274.609859749</v>
      </c>
      <c r="Y256" s="8">
        <f>Y254*Y255</f>
        <v>-236256.743685644</v>
      </c>
      <c r="Z256" s="8">
        <f>Z254*Z255</f>
        <v>-225729.802864123</v>
      </c>
      <c r="AA256" s="8">
        <f>AA254*AA255</f>
        <v>120229511.561291</v>
      </c>
      <c r="AB256" s="39">
        <f>SUM(G256:AA256)</f>
        <v>-18583837.171852</v>
      </c>
    </row>
    <row r="257">
      <c r="C257" s="43" t="inlineStr">
        <is>
          <t>Preferred Threshold (amount payable this quarter to reach the hurdle)</t>
        </is>
      </c>
      <c r="G257" s="8">
        <f>MAX(0,-((G244+G245+G246+G247+G248+G249+G250+G251+G252)*G255)/G255)</f>
        <v>142781416.542678</v>
      </c>
      <c r="H257" s="8">
        <f>MAX(0,-(SUM($G256:G256)+(H244+H245+H246+H247+H248+H249+H250+H251+H252)*H255)/H255)</f>
        <v>150061995.482039</v>
      </c>
      <c r="I257" s="8">
        <f>MAX(0,-(SUM($G256:H256)+(I244+I245+I246+I247+I248+I249+I250+I251+I252)*I255)/I255)</f>
        <v>157682105.235092</v>
      </c>
      <c r="J257" s="8">
        <f>MAX(0,-(SUM($G256:I256)+(J244+J245+J246+J247+J248+J249+J250+J251+J252)*J255)/J255)</f>
        <v>165657579.868661</v>
      </c>
      <c r="K257" s="8">
        <f>MAX(0,-(SUM($G256:J256)+(K244+K245+K246+K247+K248+K249+K250+K251+K252)*K255)/K255)</f>
        <v>172004025.470503</v>
      </c>
      <c r="L257" s="8">
        <f>MAX(0,-(SUM($G256:K256)+(L244+L245+L246+L247+L248+L249+L250+L251+L252)*L255)/L255)</f>
        <v>180638574.420601</v>
      </c>
      <c r="M257" s="8">
        <f>MAX(0,-(SUM($G256:L256)+(M244+M245+M246+M247+M248+M249+M250+M251+M252)*M255)/M255)</f>
        <v>189675796.764574</v>
      </c>
      <c r="N257" s="8">
        <f>MAX(0,-(SUM($G256:M256)+(N244+N245+N246+N247+N248+N249+N250+N251+N252)*N255)/N255)</f>
        <v>199134471.232276</v>
      </c>
      <c r="O257" s="8">
        <f>MAX(0,-(SUM($G256:N256)+(O244+O245+O246+O247+O248+O249+O250+O251+O252)*O255)/O255)</f>
        <v>205683778.15783</v>
      </c>
      <c r="P257" s="8">
        <f>MAX(0,-(SUM($G256:O256)+(P244+P245+P246+P247+P248+P249+P250+P251+P252)*P255)/P255)</f>
        <v>215874259.074468</v>
      </c>
      <c r="Q257" s="8">
        <f>MAX(0,-(SUM($G256:P256)+(Q244+Q245+Q246+Q247+Q248+Q249+Q250+Q251+Q252)*Q255)/Q255)</f>
        <v>226539974.489127</v>
      </c>
      <c r="R257" s="8">
        <f>MAX(0,-(SUM($G256:Q256)+(R244+R245+R246+R247+R248+R249+R250+R251+R252)*R255)/R255)</f>
        <v>237703087.028865</v>
      </c>
      <c r="S257" s="8">
        <f>MAX(0,-(SUM($G256:R256)+(S244+S245+S246+S247+S248+S249+S250+S251+S252)*S255)/S255)</f>
        <v>243175731.5124</v>
      </c>
      <c r="T257" s="8">
        <f>MAX(0,-(SUM($G256:S256)+(T244+T245+T246+T247+T248+T249+T250+T251+T252)*T255)/T255)</f>
        <v>255087448.003083</v>
      </c>
      <c r="U257" s="8">
        <f>MAX(0,-(SUM($G256:T256)+(U244+U245+U246+U247+U248+U249+U250+U251+U252)*U255)/U255)</f>
        <v>267554669.052709</v>
      </c>
      <c r="V257" s="8">
        <f>MAX(0,-(SUM($G256:U256)+(V244+V245+V246+V247+V248+V249+V250+V251+V252)*V255)/V255)</f>
        <v>280603300.693815</v>
      </c>
      <c r="W257" s="8">
        <f>MAX(0,-(SUM($G256:V256)+(W244+W245+W246+W247+W248+W249+W250+W251+W252)*W255)/W255)</f>
        <v>286372635.999114</v>
      </c>
      <c r="X257" s="8">
        <f>MAX(0,-(SUM($G256:W256)+(X244+X245+X246+X247+X248+X249+X250+X251+X252)*X255)/X255)</f>
        <v>300264324.531902</v>
      </c>
      <c r="Y257" s="8">
        <f>MAX(0,-(SUM($G256:X256)+(Y244+Y245+Y246+Y247+Y248+Y249+Y250+Y251+Y252)*Y255)/Y255)</f>
        <v>314803853.895809</v>
      </c>
      <c r="Z257" s="8">
        <f>MAX(0,-(SUM($G256:Y256)+(Z244+Z245+Z246+Z247+Z248+Z249+Z250+Z251+Z252)*Z255)/Z255)</f>
        <v>330021436.238297</v>
      </c>
      <c r="AA257" s="8">
        <f>MAX(0,-(SUM($G256:Z256)+(AA244+AA245+AA246+AA247+AA248+AA249+AA250+AA251+AA252)*AA255)/AA255)</f>
        <v>46242533.7114629</v>
      </c>
    </row>
    <row r="258">
      <c r="C258" s="43" t="inlineStr">
        <is>
          <t>LP Net Cash Flows (memo)</t>
        </is>
      </c>
      <c r="G258" s="8">
        <f>G254</f>
        <v>-142781416.542678</v>
      </c>
      <c r="H258" s="8">
        <f>H254</f>
        <v>-621947.676290447</v>
      </c>
      <c r="I258" s="8">
        <f>I254</f>
        <v>-621947.676290447</v>
      </c>
      <c r="J258" s="8">
        <f>J254</f>
        <v>-621947.676290447</v>
      </c>
      <c r="K258" s="8">
        <f>K254</f>
        <v>1379018.7266918</v>
      </c>
      <c r="L258" s="8">
        <f>L254</f>
        <v>-613117.24627729</v>
      </c>
      <c r="M258" s="8">
        <f>M254</f>
        <v>-613117.24627729</v>
      </c>
      <c r="N258" s="8">
        <f>N254</f>
        <v>-613117.24627729</v>
      </c>
      <c r="O258" s="8">
        <f>O254</f>
        <v>2737356.89813644</v>
      </c>
      <c r="P258" s="8">
        <f>P254</f>
        <v>-598389.251553261</v>
      </c>
      <c r="Q258" s="8">
        <f>Q254</f>
        <v>-598389.251553261</v>
      </c>
      <c r="R258" s="8">
        <f>R254</f>
        <v>-598389.251553261</v>
      </c>
      <c r="S258" s="8">
        <f>S254</f>
        <v>5612672.11398961</v>
      </c>
      <c r="T258" s="8">
        <f>T254</f>
        <v>-571182.354825136</v>
      </c>
      <c r="U258" s="8">
        <f>U254</f>
        <v>-571182.354825136</v>
      </c>
      <c r="V258" s="8">
        <f>V254</f>
        <v>-571182.354825136</v>
      </c>
      <c r="W258" s="8">
        <f>W254</f>
        <v>7316638.73644283</v>
      </c>
      <c r="X258" s="8">
        <f>X254</f>
        <v>-536660.734885214</v>
      </c>
      <c r="Y258" s="8">
        <f>Y254</f>
        <v>-536660.734885214</v>
      </c>
      <c r="Z258" s="8">
        <f>Z254</f>
        <v>-536660.734885214</v>
      </c>
      <c r="AA258" s="8">
        <f>AA254</f>
        <v>299169498.20819</v>
      </c>
      <c r="AB258" s="39">
        <f>SUM(G258:AA258)</f>
        <v>164609876.349279</v>
      </c>
    </row>
    <row r="259">
      <c r="C259" s="43" t="inlineStr">
        <is>
          <t>Net IRR Test</t>
        </is>
      </c>
      <c r="G259" s="20">
        <f>IFERROR(XIRR($G258:G258,$G$6:G$6),0)</f>
        <v>0</v>
      </c>
      <c r="H259" s="20">
        <f>IFERROR(XIRR($G258:H258,$G$6:H$6),0)</f>
        <v>0</v>
      </c>
      <c r="I259" s="20">
        <f>IFERROR(XIRR($G258:I258,$G$6:I$6),0)</f>
        <v>0</v>
      </c>
      <c r="J259" s="20">
        <f>IFERROR(XIRR($G258:J258,$G$6:J$6),0)</f>
        <v>0</v>
      </c>
      <c r="K259" s="20">
        <f>IFERROR(XIRR($G258:K258,$G$6:K$6),0)</f>
        <v>-0.99211914507185</v>
      </c>
      <c r="L259" s="20">
        <f>IFERROR(XIRR($G258:L258,$G$6:L$6),0)</f>
        <v>0</v>
      </c>
      <c r="M259" s="20">
        <f>IFERROR(XIRR($G258:M258,$G$6:M$6),0)</f>
        <v>0</v>
      </c>
      <c r="N259" s="20">
        <f>IFERROR(XIRR($G258:N258,$G$6:N$6),0)</f>
        <v>0</v>
      </c>
      <c r="O259" s="20">
        <f>IFERROR(XIRR($G258:O258,$G$6:O$6),0)</f>
        <v>-0.877810847506398</v>
      </c>
      <c r="P259" s="20">
        <f>IFERROR(XIRR($G258:P258,$G$6:P$6),0)</f>
        <v>-0.911783460183306</v>
      </c>
      <c r="Q259" s="20">
        <f>IFERROR(XIRR($G258:Q258,$G$6:Q$6),0)</f>
        <v>0</v>
      </c>
      <c r="R259" s="20">
        <f>IFERROR(XIRR($G258:R258,$G$6:R$6),0)</f>
        <v>0</v>
      </c>
      <c r="S259" s="20">
        <f>IFERROR(XIRR($G258:S258,$G$6:S$6),0)</f>
        <v>-0.669563213332486</v>
      </c>
      <c r="T259" s="20">
        <f>IFERROR(XIRR($G258:T258,$G$6:T$6),0)</f>
        <v>-0.686626027025099</v>
      </c>
      <c r="U259" s="20">
        <f>IFERROR(XIRR($G258:U258,$G$6:U$6),0)</f>
        <v>-0.978593045699436</v>
      </c>
      <c r="V259" s="20">
        <f>IFERROR(XIRR($G258:V258,$G$6:V$6),0)</f>
        <v>-0.845002615159991</v>
      </c>
      <c r="W259" s="20">
        <f>IFERROR(XIRR($G258:W258,$G$6:W$6),0)</f>
        <v>-0.504219251503697</v>
      </c>
      <c r="X259" s="20">
        <f>IFERROR(XIRR($G258:X258,$G$6:X$6),0)</f>
        <v>-0.514262735371286</v>
      </c>
      <c r="Y259" s="20">
        <f>IFERROR(XIRR($G258:Y258,$G$6:Y$6),0)</f>
        <v>-0.990579957132558</v>
      </c>
      <c r="Z259" s="20">
        <f>IFERROR(XIRR($G258:Z258,$G$6:Z$6),0)</f>
        <v>-0.933095294509605</v>
      </c>
      <c r="AA259" s="20">
        <f>IFERROR(XIRR($G258:AA258,$G$6:AA$6),0)</f>
        <v>0.16671951563276</v>
      </c>
    </row>
    <row r="260">
      <c r="C260" s="43" t="inlineStr">
        <is>
          <t>Test</t>
        </is>
      </c>
      <c r="G260" s="7" t="b">
        <f>G259&gt;=$E$237-0.002</f>
        <v>0</v>
      </c>
      <c r="H260" s="7" t="b">
        <f>H259&gt;=$E$237-0.002</f>
        <v>0</v>
      </c>
      <c r="I260" s="7" t="b">
        <f>I259&gt;=$E$237-0.002</f>
        <v>0</v>
      </c>
      <c r="J260" s="7" t="b">
        <f>J259&gt;=$E$237-0.002</f>
        <v>0</v>
      </c>
      <c r="K260" s="7" t="b">
        <f>K259&gt;=$E$237-0.002</f>
        <v>0</v>
      </c>
      <c r="L260" s="7" t="b">
        <f>L259&gt;=$E$237-0.002</f>
        <v>0</v>
      </c>
      <c r="M260" s="7" t="b">
        <f>M259&gt;=$E$237-0.002</f>
        <v>0</v>
      </c>
      <c r="N260" s="7" t="b">
        <f>N259&gt;=$E$237-0.002</f>
        <v>0</v>
      </c>
      <c r="O260" s="7" t="b">
        <f>O259&gt;=$E$237-0.002</f>
        <v>0</v>
      </c>
      <c r="P260" s="7" t="b">
        <f>P259&gt;=$E$237-0.002</f>
        <v>0</v>
      </c>
      <c r="Q260" s="7" t="b">
        <f>Q259&gt;=$E$237-0.002</f>
        <v>0</v>
      </c>
      <c r="R260" s="7" t="b">
        <f>R259&gt;=$E$237-0.002</f>
        <v>0</v>
      </c>
      <c r="S260" s="7" t="b">
        <f>S259&gt;=$E$237-0.002</f>
        <v>0</v>
      </c>
      <c r="T260" s="7" t="b">
        <f>T259&gt;=$E$237-0.002</f>
        <v>0</v>
      </c>
      <c r="U260" s="7" t="b">
        <f>U259&gt;=$E$237-0.002</f>
        <v>0</v>
      </c>
      <c r="V260" s="7" t="b">
        <f>V259&gt;=$E$237-0.002</f>
        <v>0</v>
      </c>
      <c r="W260" s="7" t="b">
        <f>W259&gt;=$E$237-0.002</f>
        <v>0</v>
      </c>
      <c r="X260" s="7" t="b">
        <f>X259&gt;=$E$237-0.002</f>
        <v>0</v>
      </c>
      <c r="Y260" s="7" t="b">
        <f>Y259&gt;=$E$237-0.002</f>
        <v>0</v>
      </c>
      <c r="Z260" s="7" t="b">
        <f>Z259&gt;=$E$237-0.002</f>
        <v>0</v>
      </c>
      <c r="AA260" s="7" t="b">
        <f>AA259&gt;=$E$237-0.002</f>
        <v>0</v>
      </c>
    </row>
    <row r="261">
      <c r="C261" s="3" t="inlineStr">
        <is>
          <t>MOIC Test:</t>
        </is>
      </c>
    </row>
    <row r="262">
      <c r="C262" s="43" t="inlineStr">
        <is>
          <t>Beginning Balance</t>
        </is>
      </c>
      <c r="G262" s="8">
        <f>0</f>
        <v>0</v>
      </c>
      <c r="H262" s="8">
        <f>G273</f>
        <v>356953541.356696</v>
      </c>
      <c r="I262" s="8">
        <f>H273</f>
        <v>358508410.547422</v>
      </c>
      <c r="J262" s="8">
        <f>I273</f>
        <v>360063279.738148</v>
      </c>
      <c r="K262" s="8">
        <f>J273</f>
        <v>361618148.928874</v>
      </c>
      <c r="L262" s="8">
        <f>K273</f>
        <v>367169926.696655</v>
      </c>
      <c r="M262" s="8">
        <f>L273</f>
        <v>368702719.812349</v>
      </c>
      <c r="N262" s="8">
        <f>M273</f>
        <v>370235512.928042</v>
      </c>
      <c r="O262" s="8">
        <f>N273</f>
        <v>371768306.043735</v>
      </c>
      <c r="P262" s="8">
        <f>O273</f>
        <v>375434391.869489</v>
      </c>
      <c r="Q262" s="8">
        <f>P273</f>
        <v>376930364.998373</v>
      </c>
      <c r="R262" s="8">
        <f>Q273</f>
        <v>378426338.127256</v>
      </c>
      <c r="S262" s="8">
        <f>R273</f>
        <v>379922311.256139</v>
      </c>
      <c r="T262" s="8">
        <f>S273</f>
        <v>377844270.969379</v>
      </c>
      <c r="U262" s="8">
        <f>T273</f>
        <v>379272226.856442</v>
      </c>
      <c r="V262" s="8">
        <f>U273</f>
        <v>380700182.743505</v>
      </c>
      <c r="W262" s="8">
        <f>V273</f>
        <v>382128138.630568</v>
      </c>
      <c r="X262" s="8">
        <f>W273</f>
        <v>376644489.768863</v>
      </c>
      <c r="Y262" s="8">
        <f>X273</f>
        <v>377986141.606076</v>
      </c>
      <c r="Z262" s="8">
        <f>Y273</f>
        <v>379327793.443289</v>
      </c>
      <c r="AA262" s="8">
        <f>Z273</f>
        <v>380669445.280502</v>
      </c>
    </row>
    <row r="263">
      <c r="C263" s="43" t="inlineStr">
        <is>
          <t>Plus: New Contributions (x Multiple)</t>
        </is>
      </c>
      <c r="G263" s="8">
        <f>G21*$E$238</f>
        <v>355398672.16597</v>
      </c>
      <c r="H263" s="8">
        <f>H21*$E$238</f>
        <v>0</v>
      </c>
      <c r="I263" s="8">
        <f>I21*$E$238</f>
        <v>0</v>
      </c>
      <c r="J263" s="8">
        <f>J21*$E$238</f>
        <v>0</v>
      </c>
      <c r="K263" s="8">
        <f>K21*$E$238</f>
        <v>9952914.3</v>
      </c>
      <c r="L263" s="8">
        <f>L21*$E$238</f>
        <v>0</v>
      </c>
      <c r="M263" s="8">
        <f>M21*$E$238</f>
        <v>0</v>
      </c>
      <c r="N263" s="8">
        <f>N21*$E$238</f>
        <v>0</v>
      </c>
      <c r="O263" s="8">
        <f>O21*$E$238</f>
        <v>9099799.8</v>
      </c>
      <c r="P263" s="8">
        <f>P21*$E$238</f>
        <v>0</v>
      </c>
      <c r="Q263" s="8">
        <f>Q21*$E$238</f>
        <v>0</v>
      </c>
      <c r="R263" s="8">
        <f>R21*$E$238</f>
        <v>0</v>
      </c>
      <c r="S263" s="8">
        <f>S21*$E$238</f>
        <v>4375935.2</v>
      </c>
      <c r="T263" s="8">
        <f>T21*$E$238</f>
        <v>0</v>
      </c>
      <c r="U263" s="8">
        <f>U21*$E$238</f>
        <v>0</v>
      </c>
      <c r="V263" s="8">
        <f>V21*$E$238</f>
        <v>0</v>
      </c>
      <c r="W263" s="8">
        <f>W21*$E$238</f>
        <v>1619940</v>
      </c>
      <c r="X263" s="8">
        <f>X21*$E$238</f>
        <v>0</v>
      </c>
      <c r="Y263" s="8">
        <f>Y21*$E$238</f>
        <v>0</v>
      </c>
      <c r="Z263" s="8">
        <f>Z21*$E$238</f>
        <v>0</v>
      </c>
      <c r="AA263" s="8">
        <f>AA21*$E$238</f>
        <v>0</v>
      </c>
      <c r="AB263" s="39">
        <f>SUM(G263:AA263)</f>
        <v>380447261.46597</v>
      </c>
    </row>
    <row r="264">
      <c r="C264" s="43" t="inlineStr">
        <is>
          <t>Plus: Management Fee (x Multiple)</t>
        </is>
      </c>
      <c r="G264" s="8">
        <f>G53*$E$238</f>
        <v>1554869.19072612</v>
      </c>
      <c r="H264" s="8">
        <f>H53*$E$238</f>
        <v>1554869.19072612</v>
      </c>
      <c r="I264" s="8">
        <f>I53*$E$238</f>
        <v>1554869.19072612</v>
      </c>
      <c r="J264" s="8">
        <f>J53*$E$238</f>
        <v>1554869.19072612</v>
      </c>
      <c r="K264" s="8">
        <f>K53*$E$238</f>
        <v>1598413.19078862</v>
      </c>
      <c r="L264" s="8">
        <f>L53*$E$238</f>
        <v>1532793.11569322</v>
      </c>
      <c r="M264" s="8">
        <f>M53*$E$238</f>
        <v>1532793.11569322</v>
      </c>
      <c r="N264" s="8">
        <f>N53*$E$238</f>
        <v>1532793.11569322</v>
      </c>
      <c r="O264" s="8">
        <f>O53*$E$238</f>
        <v>1572604.73981822</v>
      </c>
      <c r="P264" s="8">
        <f>P53*$E$238</f>
        <v>1495973.12888315</v>
      </c>
      <c r="Q264" s="8">
        <f>Q53*$E$238</f>
        <v>1495973.12888315</v>
      </c>
      <c r="R264" s="8">
        <f>R53*$E$238</f>
        <v>1495973.12888315</v>
      </c>
      <c r="S264" s="8">
        <f>S53*$E$238</f>
        <v>1515117.84538315</v>
      </c>
      <c r="T264" s="8">
        <f>T53*$E$238</f>
        <v>1427955.88706284</v>
      </c>
      <c r="U264" s="8">
        <f>U53*$E$238</f>
        <v>1427955.88706284</v>
      </c>
      <c r="V264" s="8">
        <f>V53*$E$238</f>
        <v>1427955.88706284</v>
      </c>
      <c r="W264" s="8">
        <f>W53*$E$238</f>
        <v>1435043.12456284</v>
      </c>
      <c r="X264" s="8">
        <f>X53*$E$238</f>
        <v>1341651.83721303</v>
      </c>
      <c r="Y264" s="8">
        <f>Y53*$E$238</f>
        <v>1341651.83721303</v>
      </c>
      <c r="Z264" s="8">
        <f>Z53*$E$238</f>
        <v>1341651.83721303</v>
      </c>
      <c r="AA264" s="8">
        <f>AA53*$E$238</f>
        <v>1341651.83721303</v>
      </c>
      <c r="AB264" s="39">
        <f>SUM(G264:AA264)</f>
        <v>31077429.4072271</v>
      </c>
    </row>
    <row r="265">
      <c r="C265" s="43" t="inlineStr">
        <is>
          <t>Less: Return of Capital</t>
        </is>
      </c>
      <c r="G265" s="8">
        <f>-G67</f>
        <v>-0</v>
      </c>
      <c r="H265" s="8">
        <f>-H67</f>
        <v>-0</v>
      </c>
      <c r="I265" s="8">
        <f>-I67</f>
        <v>-0</v>
      </c>
      <c r="J265" s="8">
        <f>-J67</f>
        <v>-0</v>
      </c>
      <c r="K265" s="8">
        <f>-K67</f>
        <v>-5999549.72300725</v>
      </c>
      <c r="L265" s="8">
        <f>-L67</f>
        <v>-0</v>
      </c>
      <c r="M265" s="8">
        <f>-M67</f>
        <v>-0</v>
      </c>
      <c r="N265" s="8">
        <f>-N67</f>
        <v>-0</v>
      </c>
      <c r="O265" s="8">
        <f>-O67</f>
        <v>-7006318.71406373</v>
      </c>
      <c r="P265" s="8">
        <f>-P67</f>
        <v>-0</v>
      </c>
      <c r="Q265" s="8">
        <f>-Q67</f>
        <v>-0</v>
      </c>
      <c r="R265" s="8">
        <f>-R67</f>
        <v>-0</v>
      </c>
      <c r="S265" s="8">
        <f>-S67</f>
        <v>-7969093.33214287</v>
      </c>
      <c r="T265" s="8">
        <f>-T67</f>
        <v>-0</v>
      </c>
      <c r="U265" s="8">
        <f>-U67</f>
        <v>-0</v>
      </c>
      <c r="V265" s="8">
        <f>-V67</f>
        <v>-0</v>
      </c>
      <c r="W265" s="8">
        <f>-W67</f>
        <v>-8538631.98626797</v>
      </c>
      <c r="X265" s="8">
        <f>-X67</f>
        <v>-0</v>
      </c>
      <c r="Y265" s="8">
        <f>-Y67</f>
        <v>-0</v>
      </c>
      <c r="Z265" s="8">
        <f>-Z67</f>
        <v>-0</v>
      </c>
      <c r="AA265" s="8">
        <f>-AA67</f>
        <v>-135096282.593797</v>
      </c>
      <c r="AB265" s="39">
        <f>SUM(G265:AA265)</f>
        <v>-164609876.349279</v>
      </c>
    </row>
    <row r="266">
      <c r="C266" s="43" t="inlineStr">
        <is>
          <t>Less: Preferred Return</t>
        </is>
      </c>
      <c r="G266" s="8">
        <f>-G103</f>
        <v>-0</v>
      </c>
      <c r="H266" s="8">
        <f>-H103</f>
        <v>-0</v>
      </c>
      <c r="I266" s="8">
        <f>-I103</f>
        <v>-0</v>
      </c>
      <c r="J266" s="8">
        <f>-J103</f>
        <v>-0</v>
      </c>
      <c r="K266" s="8">
        <f>-K103</f>
        <v>-0</v>
      </c>
      <c r="L266" s="8">
        <f>-L103</f>
        <v>-0</v>
      </c>
      <c r="M266" s="8">
        <f>-M103</f>
        <v>-0</v>
      </c>
      <c r="N266" s="8">
        <f>-N103</f>
        <v>-0</v>
      </c>
      <c r="O266" s="8">
        <f>-O103</f>
        <v>-0</v>
      </c>
      <c r="P266" s="8">
        <f>-P103</f>
        <v>-0</v>
      </c>
      <c r="Q266" s="8">
        <f>-Q103</f>
        <v>-0</v>
      </c>
      <c r="R266" s="8">
        <f>-R103</f>
        <v>-0</v>
      </c>
      <c r="S266" s="8">
        <f>-S103</f>
        <v>-0</v>
      </c>
      <c r="T266" s="8">
        <f>-T103</f>
        <v>-0</v>
      </c>
      <c r="U266" s="8">
        <f>-U103</f>
        <v>-0</v>
      </c>
      <c r="V266" s="8">
        <f>-V103</f>
        <v>-0</v>
      </c>
      <c r="W266" s="8">
        <f>-W103</f>
        <v>-0</v>
      </c>
      <c r="X266" s="8">
        <f>-X103</f>
        <v>-0</v>
      </c>
      <c r="Y266" s="8">
        <f>-Y103</f>
        <v>-0</v>
      </c>
      <c r="Z266" s="8">
        <f>-Z103</f>
        <v>-0</v>
      </c>
      <c r="AA266" s="8">
        <f>-AA103</f>
        <v>-66279844.3242502</v>
      </c>
      <c r="AB266" s="39">
        <f>SUM(G266:AA266)</f>
        <v>-66279844.3242502</v>
      </c>
    </row>
    <row r="267">
      <c r="C267" s="43" t="inlineStr">
        <is>
          <t>Less: Catch-Up (Tier 3)</t>
        </is>
      </c>
      <c r="G267" s="8">
        <f>-G118</f>
        <v>-0</v>
      </c>
      <c r="H267" s="8">
        <f>-H118</f>
        <v>-0</v>
      </c>
      <c r="I267" s="8">
        <f>-I118</f>
        <v>-0</v>
      </c>
      <c r="J267" s="8">
        <f>-J118</f>
        <v>-0</v>
      </c>
      <c r="K267" s="8">
        <f>-K118</f>
        <v>-0</v>
      </c>
      <c r="L267" s="8">
        <f>-L118</f>
        <v>-0</v>
      </c>
      <c r="M267" s="8">
        <f>-M118</f>
        <v>-0</v>
      </c>
      <c r="N267" s="8">
        <f>-N118</f>
        <v>-0</v>
      </c>
      <c r="O267" s="8">
        <f>-O118</f>
        <v>-0</v>
      </c>
      <c r="P267" s="8">
        <f>-P118</f>
        <v>-0</v>
      </c>
      <c r="Q267" s="8">
        <f>-Q118</f>
        <v>-0</v>
      </c>
      <c r="R267" s="8">
        <f>-R118</f>
        <v>-0</v>
      </c>
      <c r="S267" s="8">
        <f>-S118</f>
        <v>-0</v>
      </c>
      <c r="T267" s="8">
        <f>-T118</f>
        <v>-0</v>
      </c>
      <c r="U267" s="8">
        <f>-U118</f>
        <v>-0</v>
      </c>
      <c r="V267" s="8">
        <f>-V118</f>
        <v>-0</v>
      </c>
      <c r="W267" s="8">
        <f>-W118</f>
        <v>-0</v>
      </c>
      <c r="X267" s="8">
        <f>-X118</f>
        <v>-0</v>
      </c>
      <c r="Y267" s="8">
        <f>-Y118</f>
        <v>-0</v>
      </c>
      <c r="Z267" s="8">
        <f>-Z118</f>
        <v>-0</v>
      </c>
      <c r="AA267" s="8">
        <f>-AA118</f>
        <v>-0</v>
      </c>
      <c r="AB267" s="39">
        <f>SUM(G267:AA267)</f>
        <v>0</v>
      </c>
    </row>
    <row r="268">
      <c r="C268" s="43" t="inlineStr">
        <is>
          <t>Less: Carried Interest Tier 3 – Proceeds to LPs</t>
        </is>
      </c>
      <c r="G268" s="8">
        <f>-G158</f>
        <v>-0</v>
      </c>
      <c r="H268" s="8">
        <f>-H158</f>
        <v>-0</v>
      </c>
      <c r="I268" s="8">
        <f>-I158</f>
        <v>-0</v>
      </c>
      <c r="J268" s="8">
        <f>-J158</f>
        <v>-0</v>
      </c>
      <c r="K268" s="8">
        <f>-K158</f>
        <v>-0</v>
      </c>
      <c r="L268" s="8">
        <f>-L158</f>
        <v>-0</v>
      </c>
      <c r="M268" s="8">
        <f>-M158</f>
        <v>-0</v>
      </c>
      <c r="N268" s="8">
        <f>-N158</f>
        <v>-0</v>
      </c>
      <c r="O268" s="8">
        <f>-O158</f>
        <v>-0</v>
      </c>
      <c r="P268" s="8">
        <f>-P158</f>
        <v>-0</v>
      </c>
      <c r="Q268" s="8">
        <f>-Q158</f>
        <v>-0</v>
      </c>
      <c r="R268" s="8">
        <f>-R158</f>
        <v>-0</v>
      </c>
      <c r="S268" s="8">
        <f>-S158</f>
        <v>-0</v>
      </c>
      <c r="T268" s="8">
        <f>-T158</f>
        <v>-0</v>
      </c>
      <c r="U268" s="8">
        <f>-U158</f>
        <v>-0</v>
      </c>
      <c r="V268" s="8">
        <f>-V158</f>
        <v>-0</v>
      </c>
      <c r="W268" s="8">
        <f>-W158</f>
        <v>-0</v>
      </c>
      <c r="X268" s="8">
        <f>-X158</f>
        <v>-0</v>
      </c>
      <c r="Y268" s="8">
        <f>-Y158</f>
        <v>-0</v>
      </c>
      <c r="Z268" s="8">
        <f>-Z158</f>
        <v>-0</v>
      </c>
      <c r="AA268" s="8">
        <f>-AA158</f>
        <v>-98330032.0250285</v>
      </c>
      <c r="AB268" s="39">
        <f>SUM(G268:AA268)</f>
        <v>-98330032.0250285</v>
      </c>
    </row>
    <row r="269">
      <c r="C269" s="43" t="inlineStr">
        <is>
          <t>Less: Catch-Up (Tier 4)</t>
        </is>
      </c>
      <c r="G269" s="8">
        <f>-G173</f>
        <v>-0</v>
      </c>
      <c r="H269" s="8">
        <f>-H173</f>
        <v>-0</v>
      </c>
      <c r="I269" s="8">
        <f>-I173</f>
        <v>-0</v>
      </c>
      <c r="J269" s="8">
        <f>-J173</f>
        <v>-0</v>
      </c>
      <c r="K269" s="8">
        <f>-K173</f>
        <v>-0</v>
      </c>
      <c r="L269" s="8">
        <f>-L173</f>
        <v>-0</v>
      </c>
      <c r="M269" s="8">
        <f>-M173</f>
        <v>-0</v>
      </c>
      <c r="N269" s="8">
        <f>-N173</f>
        <v>-0</v>
      </c>
      <c r="O269" s="8">
        <f>-O173</f>
        <v>-0</v>
      </c>
      <c r="P269" s="8">
        <f>-P173</f>
        <v>-0</v>
      </c>
      <c r="Q269" s="8">
        <f>-Q173</f>
        <v>-0</v>
      </c>
      <c r="R269" s="8">
        <f>-R173</f>
        <v>-0</v>
      </c>
      <c r="S269" s="8">
        <f>-S173</f>
        <v>-0</v>
      </c>
      <c r="T269" s="8">
        <f>-T173</f>
        <v>-0</v>
      </c>
      <c r="U269" s="8">
        <f>-U173</f>
        <v>-0</v>
      </c>
      <c r="V269" s="8">
        <f>-V173</f>
        <v>-0</v>
      </c>
      <c r="W269" s="8">
        <f>-W173</f>
        <v>-0</v>
      </c>
      <c r="X269" s="8">
        <f>-X173</f>
        <v>-0</v>
      </c>
      <c r="Y269" s="8">
        <f>-Y173</f>
        <v>-0</v>
      </c>
      <c r="Z269" s="8">
        <f>-Z173</f>
        <v>-0</v>
      </c>
      <c r="AA269" s="8">
        <f>-AA173</f>
        <v>-0</v>
      </c>
      <c r="AB269" s="39">
        <f>SUM(G269:AA269)</f>
        <v>0</v>
      </c>
    </row>
    <row r="270">
      <c r="C270" s="43" t="inlineStr">
        <is>
          <t>Less: Carried Interest Tier 4 – Proceeds to LPs</t>
        </is>
      </c>
      <c r="G270" s="8">
        <f>-G217</f>
        <v>-0</v>
      </c>
      <c r="H270" s="8">
        <f>-H217</f>
        <v>-0</v>
      </c>
      <c r="I270" s="8">
        <f>-I217</f>
        <v>-0</v>
      </c>
      <c r="J270" s="8">
        <f>-J217</f>
        <v>-0</v>
      </c>
      <c r="K270" s="8">
        <f>-K217</f>
        <v>-0</v>
      </c>
      <c r="L270" s="8">
        <f>-L217</f>
        <v>-0</v>
      </c>
      <c r="M270" s="8">
        <f>-M217</f>
        <v>-0</v>
      </c>
      <c r="N270" s="8">
        <f>-N217</f>
        <v>-0</v>
      </c>
      <c r="O270" s="8">
        <f>-O217</f>
        <v>-0</v>
      </c>
      <c r="P270" s="8">
        <f>-P217</f>
        <v>-0</v>
      </c>
      <c r="Q270" s="8">
        <f>-Q217</f>
        <v>-0</v>
      </c>
      <c r="R270" s="8">
        <f>-R217</f>
        <v>-0</v>
      </c>
      <c r="S270" s="8">
        <f>-S217</f>
        <v>-0</v>
      </c>
      <c r="T270" s="8">
        <f>-T217</f>
        <v>-0</v>
      </c>
      <c r="U270" s="8">
        <f>-U217</f>
        <v>-0</v>
      </c>
      <c r="V270" s="8">
        <f>-V217</f>
        <v>-0</v>
      </c>
      <c r="W270" s="8">
        <f>-W217</f>
        <v>-0</v>
      </c>
      <c r="X270" s="8">
        <f>-X217</f>
        <v>-0</v>
      </c>
      <c r="Y270" s="8">
        <f>-Y217</f>
        <v>-0</v>
      </c>
      <c r="Z270" s="8">
        <f>-Z217</f>
        <v>-0</v>
      </c>
      <c r="AA270" s="8">
        <f>-AA217</f>
        <v>-0</v>
      </c>
      <c r="AB270" s="39">
        <f>SUM(G270:AA270)</f>
        <v>0</v>
      </c>
    </row>
    <row r="271">
      <c r="C271" s="43" t="inlineStr">
        <is>
          <t>Less: Catch-Up (Tier 5)</t>
        </is>
      </c>
      <c r="G271" s="8">
        <f>-G232</f>
        <v>-0</v>
      </c>
      <c r="H271" s="8">
        <f>-H232</f>
        <v>-0</v>
      </c>
      <c r="I271" s="8">
        <f>-I232</f>
        <v>-0</v>
      </c>
      <c r="J271" s="8">
        <f>-J232</f>
        <v>-0</v>
      </c>
      <c r="K271" s="8">
        <f>-K232</f>
        <v>-0</v>
      </c>
      <c r="L271" s="8">
        <f>-L232</f>
        <v>-0</v>
      </c>
      <c r="M271" s="8">
        <f>-M232</f>
        <v>-0</v>
      </c>
      <c r="N271" s="8">
        <f>-N232</f>
        <v>-0</v>
      </c>
      <c r="O271" s="8">
        <f>-O232</f>
        <v>-0</v>
      </c>
      <c r="P271" s="8">
        <f>-P232</f>
        <v>-0</v>
      </c>
      <c r="Q271" s="8">
        <f>-Q232</f>
        <v>-0</v>
      </c>
      <c r="R271" s="8">
        <f>-R232</f>
        <v>-0</v>
      </c>
      <c r="S271" s="8">
        <f>-S232</f>
        <v>-0</v>
      </c>
      <c r="T271" s="8">
        <f>-T232</f>
        <v>-0</v>
      </c>
      <c r="U271" s="8">
        <f>-U232</f>
        <v>-0</v>
      </c>
      <c r="V271" s="8">
        <f>-V232</f>
        <v>-0</v>
      </c>
      <c r="W271" s="8">
        <f>-W232</f>
        <v>-0</v>
      </c>
      <c r="X271" s="8">
        <f>-X232</f>
        <v>-0</v>
      </c>
      <c r="Y271" s="8">
        <f>-Y232</f>
        <v>-0</v>
      </c>
      <c r="Z271" s="8">
        <f>-Z232</f>
        <v>-0</v>
      </c>
      <c r="AA271" s="8">
        <f>-AA232</f>
        <v>-0</v>
      </c>
      <c r="AB271" s="39">
        <f>SUM(G271:AA271)</f>
        <v>0</v>
      </c>
    </row>
    <row r="272">
      <c r="C272" s="43" t="inlineStr">
        <is>
          <t>Less: Proceeds to LPs</t>
        </is>
      </c>
      <c r="G272" s="8">
        <f>-G241</f>
        <v>-0</v>
      </c>
      <c r="H272" s="8">
        <f>-H241</f>
        <v>-0</v>
      </c>
      <c r="I272" s="8">
        <f>-I241</f>
        <v>-0</v>
      </c>
      <c r="J272" s="8">
        <f>-J241</f>
        <v>-0</v>
      </c>
      <c r="K272" s="8">
        <f>-K241</f>
        <v>-0</v>
      </c>
      <c r="L272" s="8">
        <f>-L241</f>
        <v>-0</v>
      </c>
      <c r="M272" s="8">
        <f>-M241</f>
        <v>-0</v>
      </c>
      <c r="N272" s="8">
        <f>-N241</f>
        <v>-0</v>
      </c>
      <c r="O272" s="8">
        <f>-O241</f>
        <v>-0</v>
      </c>
      <c r="P272" s="8">
        <f>-P241</f>
        <v>-0</v>
      </c>
      <c r="Q272" s="8">
        <f>-Q241</f>
        <v>-0</v>
      </c>
      <c r="R272" s="8">
        <f>-R241</f>
        <v>-0</v>
      </c>
      <c r="S272" s="8">
        <f>-S241</f>
        <v>-0</v>
      </c>
      <c r="T272" s="8">
        <f>-T241</f>
        <v>-0</v>
      </c>
      <c r="U272" s="8">
        <f>-U241</f>
        <v>-0</v>
      </c>
      <c r="V272" s="8">
        <f>-V241</f>
        <v>-0</v>
      </c>
      <c r="W272" s="8">
        <f>-W241</f>
        <v>-0</v>
      </c>
      <c r="X272" s="8">
        <f>-X241</f>
        <v>-0</v>
      </c>
      <c r="Y272" s="8">
        <f>-Y241</f>
        <v>-0</v>
      </c>
      <c r="Z272" s="8">
        <f>-Z241</f>
        <v>-0</v>
      </c>
      <c r="AA272" s="8">
        <f>-AA241</f>
        <v>-0</v>
      </c>
      <c r="AB272" s="39">
        <f>SUM(G272:AA272)</f>
        <v>0</v>
      </c>
    </row>
    <row r="273">
      <c r="C273" s="44" t="inlineStr">
        <is>
          <t>Ending Balance</t>
        </is>
      </c>
      <c r="G273" s="30">
        <f>SUM(G262:G272)</f>
        <v>356953541.356696</v>
      </c>
      <c r="H273" s="30">
        <f>SUM(H262:H272)</f>
        <v>358508410.547422</v>
      </c>
      <c r="I273" s="30">
        <f>SUM(I262:I272)</f>
        <v>360063279.738148</v>
      </c>
      <c r="J273" s="30">
        <f>SUM(J262:J272)</f>
        <v>361618148.928874</v>
      </c>
      <c r="K273" s="30">
        <f>SUM(K262:K272)</f>
        <v>367169926.696655</v>
      </c>
      <c r="L273" s="30">
        <f>SUM(L262:L272)</f>
        <v>368702719.812349</v>
      </c>
      <c r="M273" s="30">
        <f>SUM(M262:M272)</f>
        <v>370235512.928042</v>
      </c>
      <c r="N273" s="30">
        <f>SUM(N262:N272)</f>
        <v>371768306.043735</v>
      </c>
      <c r="O273" s="30">
        <f>SUM(O262:O272)</f>
        <v>375434391.869489</v>
      </c>
      <c r="P273" s="30">
        <f>SUM(P262:P272)</f>
        <v>376930364.998373</v>
      </c>
      <c r="Q273" s="30">
        <f>SUM(Q262:Q272)</f>
        <v>378426338.127256</v>
      </c>
      <c r="R273" s="30">
        <f>SUM(R262:R272)</f>
        <v>379922311.256139</v>
      </c>
      <c r="S273" s="30">
        <f>SUM(S262:S272)</f>
        <v>377844270.969379</v>
      </c>
      <c r="T273" s="30">
        <f>SUM(T262:T272)</f>
        <v>379272226.856442</v>
      </c>
      <c r="U273" s="30">
        <f>SUM(U262:U272)</f>
        <v>380700182.743505</v>
      </c>
      <c r="V273" s="30">
        <f>SUM(V262:V272)</f>
        <v>382128138.630568</v>
      </c>
      <c r="W273" s="30">
        <f>SUM(W262:W272)</f>
        <v>376644489.768863</v>
      </c>
      <c r="X273" s="30">
        <f>SUM(X262:X272)</f>
        <v>377986141.606076</v>
      </c>
      <c r="Y273" s="30">
        <f>SUM(Y262:Y272)</f>
        <v>379327793.443289</v>
      </c>
      <c r="Z273" s="30">
        <f>SUM(Z262:Z272)</f>
        <v>380669445.280502</v>
      </c>
      <c r="AA273" s="30">
        <f>SUM(AA262:AA272)</f>
        <v>82304938.1746391</v>
      </c>
    </row>
    <row r="274">
      <c r="C274" s="43" t="inlineStr">
        <is>
          <t>MOIC Threshold (amount payable this quarter to reach the multiple)</t>
        </is>
      </c>
      <c r="G274" s="8">
        <f>MAX(0,G262+G263+G264+G265+G266+G267+G268+G269+G270+G271)</f>
        <v>356953541.356696</v>
      </c>
      <c r="H274" s="8">
        <f>MAX(0,H262+H263+H264+H265+H266+H267+H268+H269+H270+H271)</f>
        <v>358508410.547422</v>
      </c>
      <c r="I274" s="8">
        <f>MAX(0,I262+I263+I264+I265+I266+I267+I268+I269+I270+I271)</f>
        <v>360063279.738148</v>
      </c>
      <c r="J274" s="8">
        <f>MAX(0,J262+J263+J264+J265+J266+J267+J268+J269+J270+J271)</f>
        <v>361618148.928874</v>
      </c>
      <c r="K274" s="8">
        <f>MAX(0,K262+K263+K264+K265+K266+K267+K268+K269+K270+K271)</f>
        <v>367169926.696655</v>
      </c>
      <c r="L274" s="8">
        <f>MAX(0,L262+L263+L264+L265+L266+L267+L268+L269+L270+L271)</f>
        <v>368702719.812349</v>
      </c>
      <c r="M274" s="8">
        <f>MAX(0,M262+M263+M264+M265+M266+M267+M268+M269+M270+M271)</f>
        <v>370235512.928042</v>
      </c>
      <c r="N274" s="8">
        <f>MAX(0,N262+N263+N264+N265+N266+N267+N268+N269+N270+N271)</f>
        <v>371768306.043735</v>
      </c>
      <c r="O274" s="8">
        <f>MAX(0,O262+O263+O264+O265+O266+O267+O268+O269+O270+O271)</f>
        <v>375434391.869489</v>
      </c>
      <c r="P274" s="8">
        <f>MAX(0,P262+P263+P264+P265+P266+P267+P268+P269+P270+P271)</f>
        <v>376930364.998373</v>
      </c>
      <c r="Q274" s="8">
        <f>MAX(0,Q262+Q263+Q264+Q265+Q266+Q267+Q268+Q269+Q270+Q271)</f>
        <v>378426338.127256</v>
      </c>
      <c r="R274" s="8">
        <f>MAX(0,R262+R263+R264+R265+R266+R267+R268+R269+R270+R271)</f>
        <v>379922311.256139</v>
      </c>
      <c r="S274" s="8">
        <f>MAX(0,S262+S263+S264+S265+S266+S267+S268+S269+S270+S271)</f>
        <v>377844270.969379</v>
      </c>
      <c r="T274" s="8">
        <f>MAX(0,T262+T263+T264+T265+T266+T267+T268+T269+T270+T271)</f>
        <v>379272226.856442</v>
      </c>
      <c r="U274" s="8">
        <f>MAX(0,U262+U263+U264+U265+U266+U267+U268+U269+U270+U271)</f>
        <v>380700182.743505</v>
      </c>
      <c r="V274" s="8">
        <f>MAX(0,V262+V263+V264+V265+V266+V267+V268+V269+V270+V271)</f>
        <v>382128138.630568</v>
      </c>
      <c r="W274" s="8">
        <f>MAX(0,W262+W263+W264+W265+W266+W267+W268+W269+W270+W271)</f>
        <v>376644489.768863</v>
      </c>
      <c r="X274" s="8">
        <f>MAX(0,X262+X263+X264+X265+X266+X267+X268+X269+X270+X271)</f>
        <v>377986141.606076</v>
      </c>
      <c r="Y274" s="8">
        <f>MAX(0,Y262+Y263+Y264+Y265+Y266+Y267+Y268+Y269+Y270+Y271)</f>
        <v>379327793.443289</v>
      </c>
      <c r="Z274" s="8">
        <f>MAX(0,Z262+Z263+Z264+Z265+Z266+Z267+Z268+Z269+Z270+Z271)</f>
        <v>380669445.280502</v>
      </c>
      <c r="AA274" s="8">
        <f>MAX(0,AA262+AA263+AA264+AA265+AA266+AA267+AA268+AA269+AA270+AA271)</f>
        <v>82304938.1746391</v>
      </c>
    </row>
    <row r="275">
      <c r="C275" s="43" t="inlineStr">
        <is>
          <t>Cumulative LP Distributions (memo)</t>
        </is>
      </c>
      <c r="G275" s="8">
        <f>SUM($G67:G67,$G103:G103,$G118:G118,$G158:G158,$G173:G173,$G217:G217,$G232:G232,$G241:G241)</f>
        <v>0</v>
      </c>
      <c r="H275" s="8">
        <f>SUM($G67:H67,$G103:H103,$G118:H118,$G158:H158,$G173:H173,$G217:H217,$G232:H232,$G241:H241)</f>
        <v>0</v>
      </c>
      <c r="I275" s="8">
        <f>SUM($G67:I67,$G103:I103,$G118:I118,$G158:I158,$G173:I173,$G217:I217,$G232:I232,$G241:I241)</f>
        <v>0</v>
      </c>
      <c r="J275" s="8">
        <f>SUM($G67:J67,$G103:J103,$G118:J118,$G158:J158,$G173:J173,$G217:J217,$G232:J232,$G241:J241)</f>
        <v>0</v>
      </c>
      <c r="K275" s="8">
        <f>SUM($G67:K67,$G103:K103,$G118:K118,$G158:K158,$G173:K173,$G217:K217,$G232:K232,$G241:K241)</f>
        <v>5999549.72300725</v>
      </c>
      <c r="L275" s="8">
        <f>SUM($G67:L67,$G103:L103,$G118:L118,$G158:L158,$G173:L173,$G217:L217,$G232:L232,$G241:L241)</f>
        <v>5999549.72300725</v>
      </c>
      <c r="M275" s="8">
        <f>SUM($G67:M67,$G103:M103,$G118:M118,$G158:M158,$G173:M173,$G217:M217,$G232:M232,$G241:M241)</f>
        <v>5999549.72300725</v>
      </c>
      <c r="N275" s="8">
        <f>SUM($G67:N67,$G103:N103,$G118:N118,$G158:N158,$G173:N173,$G217:N217,$G232:N232,$G241:N241)</f>
        <v>5999549.72300725</v>
      </c>
      <c r="O275" s="8">
        <f>SUM($G67:O67,$G103:O103,$G118:O118,$G158:O158,$G173:O173,$G217:O217,$G232:O232,$G241:O241)</f>
        <v>13005868.437071</v>
      </c>
      <c r="P275" s="8">
        <f>SUM($G67:P67,$G103:P103,$G118:P118,$G158:P158,$G173:P173,$G217:P217,$G232:P232,$G241:P241)</f>
        <v>13005868.437071</v>
      </c>
      <c r="Q275" s="8">
        <f>SUM($G67:Q67,$G103:Q103,$G118:Q118,$G158:Q158,$G173:Q173,$G217:Q217,$G232:Q232,$G241:Q241)</f>
        <v>13005868.437071</v>
      </c>
      <c r="R275" s="8">
        <f>SUM($G67:R67,$G103:R103,$G118:R118,$G158:R158,$G173:R173,$G217:R217,$G232:R232,$G241:R241)</f>
        <v>13005868.437071</v>
      </c>
      <c r="S275" s="8">
        <f>SUM($G67:S67,$G103:S103,$G118:S118,$G158:S158,$G173:S173,$G217:S217,$G232:S232,$G241:S241)</f>
        <v>20974961.7692138</v>
      </c>
      <c r="T275" s="8">
        <f>SUM($G67:T67,$G103:T103,$G118:T118,$G158:T158,$G173:T173,$G217:T217,$G232:T232,$G241:T241)</f>
        <v>20974961.7692138</v>
      </c>
      <c r="U275" s="8">
        <f>SUM($G67:U67,$G103:U103,$G118:U118,$G158:U158,$G173:U173,$G217:U217,$G232:U232,$G241:U241)</f>
        <v>20974961.7692138</v>
      </c>
      <c r="V275" s="8">
        <f>SUM($G67:V67,$G103:V103,$G118:V118,$G158:V158,$G173:V173,$G217:V217,$G232:V232,$G241:V241)</f>
        <v>20974961.7692138</v>
      </c>
      <c r="W275" s="8">
        <f>SUM($G67:W67,$G103:W103,$G118:W118,$G158:W158,$G173:W173,$G217:W217,$G232:W232,$G241:W241)</f>
        <v>29513593.7554818</v>
      </c>
      <c r="X275" s="8">
        <f>SUM($G67:X67,$G103:X103,$G118:X118,$G158:X158,$G173:X173,$G217:X217,$G232:X232,$G241:X241)</f>
        <v>29513593.7554818</v>
      </c>
      <c r="Y275" s="8">
        <f>SUM($G67:Y67,$G103:Y103,$G118:Y118,$G158:Y158,$G173:Y173,$G217:Y217,$G232:Y232,$G241:Y241)</f>
        <v>29513593.7554818</v>
      </c>
      <c r="Z275" s="8">
        <f>SUM($G67:Z67,$G103:Z103,$G118:Z118,$G158:Z158,$G173:Z173,$G217:Z217,$G232:Z232,$G241:Z241)</f>
        <v>29513593.7554818</v>
      </c>
      <c r="AA275" s="8">
        <f>SUM($G67:AA67,$G103:AA103,$G118:AA118,$G158:AA158,$G173:AA173,$G217:AA217,$G232:AA232,$G241:AA241)</f>
        <v>329219752.698557</v>
      </c>
    </row>
    <row r="276">
      <c r="C276" s="43" t="inlineStr">
        <is>
          <t>Cumulative LP Contributions incl. Fees (memo)</t>
        </is>
      </c>
      <c r="G276" s="8">
        <f>SUM($G21:G21)+SUM($G53:G53)</f>
        <v>142781416.542678</v>
      </c>
      <c r="H276" s="8">
        <f>SUM($G21:H21)+SUM($G53:H53)</f>
        <v>143403364.218969</v>
      </c>
      <c r="I276" s="8">
        <f>SUM($G21:I21)+SUM($G53:I53)</f>
        <v>144025311.895259</v>
      </c>
      <c r="J276" s="8">
        <f>SUM($G21:J21)+SUM($G53:J53)</f>
        <v>144647259.57155</v>
      </c>
      <c r="K276" s="8">
        <f>SUM($G21:K21)+SUM($G53:K53)</f>
        <v>149267790.567865</v>
      </c>
      <c r="L276" s="8">
        <f>SUM($G21:L21)+SUM($G53:L53)</f>
        <v>149880907.814142</v>
      </c>
      <c r="M276" s="8">
        <f>SUM($G21:M21)+SUM($G53:M53)</f>
        <v>150494025.06042</v>
      </c>
      <c r="N276" s="8">
        <f>SUM($G21:N21)+SUM($G53:N53)</f>
        <v>151107142.306697</v>
      </c>
      <c r="O276" s="8">
        <f>SUM($G21:O21)+SUM($G53:O53)</f>
        <v>155376104.122624</v>
      </c>
      <c r="P276" s="8">
        <f>SUM($G21:P21)+SUM($G53:P53)</f>
        <v>155974493.374177</v>
      </c>
      <c r="Q276" s="8">
        <f>SUM($G21:Q21)+SUM($G53:Q53)</f>
        <v>156572882.625731</v>
      </c>
      <c r="R276" s="8">
        <f>SUM($G21:R21)+SUM($G53:R53)</f>
        <v>157171271.877284</v>
      </c>
      <c r="S276" s="8">
        <f>SUM($G21:S21)+SUM($G53:S53)</f>
        <v>159527693.095437</v>
      </c>
      <c r="T276" s="8">
        <f>SUM($G21:T21)+SUM($G53:T53)</f>
        <v>160098875.450262</v>
      </c>
      <c r="U276" s="8">
        <f>SUM($G21:U21)+SUM($G53:U53)</f>
        <v>160670057.805088</v>
      </c>
      <c r="V276" s="8">
        <f>SUM($G21:V21)+SUM($G53:V53)</f>
        <v>161241240.159913</v>
      </c>
      <c r="W276" s="8">
        <f>SUM($G21:W21)+SUM($G53:W53)</f>
        <v>162463233.409738</v>
      </c>
      <c r="X276" s="8">
        <f>SUM($G21:X21)+SUM($G53:X53)</f>
        <v>162999894.144623</v>
      </c>
      <c r="Y276" s="8">
        <f>SUM($G21:Y21)+SUM($G53:Y53)</f>
        <v>163536554.879508</v>
      </c>
      <c r="Z276" s="8">
        <f>SUM($G21:Z21)+SUM($G53:Z53)</f>
        <v>164073215.614393</v>
      </c>
      <c r="AA276" s="8">
        <f>SUM($G21:AA21)+SUM($G53:AA53)</f>
        <v>164609876.349279</v>
      </c>
    </row>
    <row r="277">
      <c r="C277" s="43" t="inlineStr">
        <is>
          <t>Net MOIC Test</t>
        </is>
      </c>
      <c r="G277" s="60">
        <f>IFERROR(G275/G276,0)</f>
        <v>0</v>
      </c>
      <c r="H277" s="60">
        <f>IFERROR(H275/H276,0)</f>
        <v>0</v>
      </c>
      <c r="I277" s="60">
        <f>IFERROR(I275/I276,0)</f>
        <v>0</v>
      </c>
      <c r="J277" s="60">
        <f>IFERROR(J275/J276,0)</f>
        <v>0</v>
      </c>
      <c r="K277" s="60">
        <f>IFERROR(K275/K276,0)</f>
        <v>0.0401931970734138</v>
      </c>
      <c r="L277" s="60">
        <f>IFERROR(L275/L276,0)</f>
        <v>0.0400287789185725</v>
      </c>
      <c r="M277" s="60">
        <f>IFERROR(M275/M276,0)</f>
        <v>0.0398657004528823</v>
      </c>
      <c r="N277" s="60">
        <f>IFERROR(N275/N276,0)</f>
        <v>0.0397039453689765</v>
      </c>
      <c r="O277" s="60">
        <f>IFERROR(O275/O276,0)</f>
        <v>0.083705718524173</v>
      </c>
      <c r="P277" s="60">
        <f>IFERROR(P275/P276,0)</f>
        <v>0.083384585233884</v>
      </c>
      <c r="Q277" s="60">
        <f>IFERROR(Q275/Q276,0)</f>
        <v>0.0830659065539465</v>
      </c>
      <c r="R277" s="60">
        <f>IFERROR(R275/R276,0)</f>
        <v>0.0827496544484649</v>
      </c>
      <c r="S277" s="60">
        <f>IFERROR(S275/S276,0)</f>
        <v>0.131481634080082</v>
      </c>
      <c r="T277" s="60">
        <f>IFERROR(T275/T276,0)</f>
        <v>0.131012549027742</v>
      </c>
      <c r="U277" s="60">
        <f>IFERROR(U275/U276,0)</f>
        <v>0.130546799171872</v>
      </c>
      <c r="V277" s="60">
        <f>IFERROR(V275/V276,0)</f>
        <v>0.130084349068586</v>
      </c>
      <c r="W277" s="60">
        <f>IFERROR(W275/W276,0)</f>
        <v>0.18166321780047</v>
      </c>
      <c r="X277" s="60">
        <f>IFERROR(X275/X276,0)</f>
        <v>0.181065109952131</v>
      </c>
      <c r="Y277" s="60">
        <f>IFERROR(Y275/Y276,0)</f>
        <v>0.180470927599197</v>
      </c>
      <c r="Z277" s="60">
        <f>IFERROR(Z275/Z276,0)</f>
        <v>0.179880632222416</v>
      </c>
      <c r="AA277" s="60">
        <f>IFERROR(AA275/AA276,0)</f>
        <v>2</v>
      </c>
    </row>
    <row r="278">
      <c r="C278" s="43" t="inlineStr">
        <is>
          <t>Test</t>
        </is>
      </c>
      <c r="G278" s="7" t="b">
        <f>G277&gt;=$E$238-0.00001</f>
        <v>0</v>
      </c>
      <c r="H278" s="7" t="b">
        <f>H277&gt;=$E$238-0.00001</f>
        <v>0</v>
      </c>
      <c r="I278" s="7" t="b">
        <f>I277&gt;=$E$238-0.00001</f>
        <v>0</v>
      </c>
      <c r="J278" s="7" t="b">
        <f>J277&gt;=$E$238-0.00001</f>
        <v>0</v>
      </c>
      <c r="K278" s="7" t="b">
        <f>K277&gt;=$E$238-0.00001</f>
        <v>0</v>
      </c>
      <c r="L278" s="7" t="b">
        <f>L277&gt;=$E$238-0.00001</f>
        <v>0</v>
      </c>
      <c r="M278" s="7" t="b">
        <f>M277&gt;=$E$238-0.00001</f>
        <v>0</v>
      </c>
      <c r="N278" s="7" t="b">
        <f>N277&gt;=$E$238-0.00001</f>
        <v>0</v>
      </c>
      <c r="O278" s="7" t="b">
        <f>O277&gt;=$E$238-0.00001</f>
        <v>0</v>
      </c>
      <c r="P278" s="7" t="b">
        <f>P277&gt;=$E$238-0.00001</f>
        <v>0</v>
      </c>
      <c r="Q278" s="7" t="b">
        <f>Q277&gt;=$E$238-0.00001</f>
        <v>0</v>
      </c>
      <c r="R278" s="7" t="b">
        <f>R277&gt;=$E$238-0.00001</f>
        <v>0</v>
      </c>
      <c r="S278" s="7" t="b">
        <f>S277&gt;=$E$238-0.00001</f>
        <v>0</v>
      </c>
      <c r="T278" s="7" t="b">
        <f>T277&gt;=$E$238-0.00001</f>
        <v>0</v>
      </c>
      <c r="U278" s="7" t="b">
        <f>U277&gt;=$E$238-0.00001</f>
        <v>0</v>
      </c>
      <c r="V278" s="7" t="b">
        <f>V277&gt;=$E$238-0.00001</f>
        <v>0</v>
      </c>
      <c r="W278" s="7" t="b">
        <f>W277&gt;=$E$238-0.00001</f>
        <v>0</v>
      </c>
      <c r="X278" s="7" t="b">
        <f>X277&gt;=$E$238-0.00001</f>
        <v>0</v>
      </c>
      <c r="Y278" s="7" t="b">
        <f>Y277&gt;=$E$238-0.00001</f>
        <v>0</v>
      </c>
      <c r="Z278" s="7" t="b">
        <f>Z277&gt;=$E$238-0.00001</f>
        <v>0</v>
      </c>
      <c r="AA278" s="7" t="b">
        <f>AA277&gt;=$E$238-0.00001</f>
        <v>0</v>
      </c>
    </row>
    <row r="279">
      <c r="C279" s="14" t="inlineStr">
        <is>
          <t>GP Cash Flows</t>
        </is>
      </c>
      <c r="G279" s="8">
        <f>G240</f>
        <v>0</v>
      </c>
      <c r="H279" s="8">
        <f>H240</f>
        <v>0</v>
      </c>
      <c r="I279" s="8">
        <f>I240</f>
        <v>0</v>
      </c>
      <c r="J279" s="8">
        <f>J240</f>
        <v>0</v>
      </c>
      <c r="K279" s="8">
        <f>K240</f>
        <v>0</v>
      </c>
      <c r="L279" s="8">
        <f>L240</f>
        <v>0</v>
      </c>
      <c r="M279" s="8">
        <f>M240</f>
        <v>0</v>
      </c>
      <c r="N279" s="8">
        <f>N240</f>
        <v>0</v>
      </c>
      <c r="O279" s="8">
        <f>O240</f>
        <v>0</v>
      </c>
      <c r="P279" s="8">
        <f>P240</f>
        <v>0</v>
      </c>
      <c r="Q279" s="8">
        <f>Q240</f>
        <v>0</v>
      </c>
      <c r="R279" s="8">
        <f>R240</f>
        <v>0</v>
      </c>
      <c r="S279" s="8">
        <f>S240</f>
        <v>0</v>
      </c>
      <c r="T279" s="8">
        <f>T240</f>
        <v>0</v>
      </c>
      <c r="U279" s="8">
        <f>U240</f>
        <v>0</v>
      </c>
      <c r="V279" s="8">
        <f>V240</f>
        <v>0</v>
      </c>
      <c r="W279" s="8">
        <f>W240</f>
        <v>0</v>
      </c>
      <c r="X279" s="8">
        <f>X240</f>
        <v>0</v>
      </c>
      <c r="Y279" s="8">
        <f>Y240</f>
        <v>0</v>
      </c>
      <c r="Z279" s="8">
        <f>Z240</f>
        <v>0</v>
      </c>
      <c r="AA279" s="8">
        <f>AA240</f>
        <v>0</v>
      </c>
      <c r="AB279" s="39">
        <f>SUM(G279:AA279)</f>
        <v>0</v>
      </c>
    </row>
    <row r="280">
      <c r="C280" s="14" t="inlineStr">
        <is>
          <t>LP Cash Flows</t>
        </is>
      </c>
      <c r="G280" s="8">
        <f>G241</f>
        <v>0</v>
      </c>
      <c r="H280" s="8">
        <f>H241</f>
        <v>0</v>
      </c>
      <c r="I280" s="8">
        <f>I241</f>
        <v>0</v>
      </c>
      <c r="J280" s="8">
        <f>J241</f>
        <v>0</v>
      </c>
      <c r="K280" s="8">
        <f>K241</f>
        <v>0</v>
      </c>
      <c r="L280" s="8">
        <f>L241</f>
        <v>0</v>
      </c>
      <c r="M280" s="8">
        <f>M241</f>
        <v>0</v>
      </c>
      <c r="N280" s="8">
        <f>N241</f>
        <v>0</v>
      </c>
      <c r="O280" s="8">
        <f>O241</f>
        <v>0</v>
      </c>
      <c r="P280" s="8">
        <f>P241</f>
        <v>0</v>
      </c>
      <c r="Q280" s="8">
        <f>Q241</f>
        <v>0</v>
      </c>
      <c r="R280" s="8">
        <f>R241</f>
        <v>0</v>
      </c>
      <c r="S280" s="8">
        <f>S241</f>
        <v>0</v>
      </c>
      <c r="T280" s="8">
        <f>T241</f>
        <v>0</v>
      </c>
      <c r="U280" s="8">
        <f>U241</f>
        <v>0</v>
      </c>
      <c r="V280" s="8">
        <f>V241</f>
        <v>0</v>
      </c>
      <c r="W280" s="8">
        <f>W241</f>
        <v>0</v>
      </c>
      <c r="X280" s="8">
        <f>X241</f>
        <v>0</v>
      </c>
      <c r="Y280" s="8">
        <f>Y241</f>
        <v>0</v>
      </c>
      <c r="Z280" s="8">
        <f>Z241</f>
        <v>0</v>
      </c>
      <c r="AA280" s="8">
        <f>AA241</f>
        <v>0</v>
      </c>
      <c r="AB280" s="39">
        <f>SUM(G280:AA280)</f>
        <v>0</v>
      </c>
    </row>
    <row r="281">
      <c r="C281" s="29" t="inlineStr">
        <is>
          <t>Proceeds Remaining (check = 0)</t>
        </is>
      </c>
      <c r="G281" s="39">
        <f>G233-G279-G280</f>
        <v>0</v>
      </c>
      <c r="H281" s="39">
        <f>H233-H279-H280</f>
        <v>0</v>
      </c>
      <c r="I281" s="39">
        <f>I233-I279-I280</f>
        <v>0</v>
      </c>
      <c r="J281" s="39">
        <f>J233-J279-J280</f>
        <v>0</v>
      </c>
      <c r="K281" s="39">
        <f>K233-K279-K280</f>
        <v>0</v>
      </c>
      <c r="L281" s="39">
        <f>L233-L279-L280</f>
        <v>0</v>
      </c>
      <c r="M281" s="39">
        <f>M233-M279-M280</f>
        <v>0</v>
      </c>
      <c r="N281" s="39">
        <f>N233-N279-N280</f>
        <v>0</v>
      </c>
      <c r="O281" s="39">
        <f>O233-O279-O280</f>
        <v>0</v>
      </c>
      <c r="P281" s="39">
        <f>P233-P279-P280</f>
        <v>0</v>
      </c>
      <c r="Q281" s="39">
        <f>Q233-Q279-Q280</f>
        <v>0</v>
      </c>
      <c r="R281" s="39">
        <f>R233-R279-R280</f>
        <v>0</v>
      </c>
      <c r="S281" s="39">
        <f>S233-S279-S280</f>
        <v>0</v>
      </c>
      <c r="T281" s="39">
        <f>T233-T279-T280</f>
        <v>0</v>
      </c>
      <c r="U281" s="39">
        <f>U233-U279-U280</f>
        <v>0</v>
      </c>
      <c r="V281" s="39">
        <f>V233-V279-V280</f>
        <v>0</v>
      </c>
      <c r="W281" s="39">
        <f>W233-W279-W280</f>
        <v>0</v>
      </c>
      <c r="X281" s="39">
        <f>X233-X279-X280</f>
        <v>0</v>
      </c>
      <c r="Y281" s="39">
        <f>Y233-Y279-Y280</f>
        <v>0</v>
      </c>
      <c r="Z281" s="39">
        <f>Z233-Z279-Z280</f>
        <v>0</v>
      </c>
      <c r="AA281" s="39">
        <f>AA233-AA279-AA280</f>
        <v>0</v>
      </c>
      <c r="AB281" s="39">
        <f>SUM(G281:AA281)</f>
        <v>0</v>
      </c>
    </row>
    <row r="283">
      <c r="C283" s="12" t="inlineStr">
        <is>
          <t>Summary</t>
        </is>
      </c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</row>
    <row r="284">
      <c r="C284" s="29" t="inlineStr">
        <is>
          <t>Total GP Cash Flows (commitment flows + catch-up + carried interest)</t>
        </is>
      </c>
      <c r="G284" s="39">
        <f>-G22+G34+G102+G117+G157+G172+G216+G231+G279</f>
        <v>-2901213.65033445</v>
      </c>
      <c r="H284" s="39">
        <f>-H22+H34+H102+H117+H157+H172+H216+H231+H279</f>
        <v>0</v>
      </c>
      <c r="I284" s="39">
        <f>-I22+I34+I102+I117+I157+I172+I216+I231+I279</f>
        <v>0</v>
      </c>
      <c r="J284" s="39">
        <f>-J22+J34+J102+J117+J157+J172+J216+J231+J279</f>
        <v>0</v>
      </c>
      <c r="K284" s="39">
        <f>-K22+K34+K102+K117+K157+K172+K216+K231+K279</f>
        <v>41191.5102654541</v>
      </c>
      <c r="L284" s="39">
        <f>-L22+L34+L102+L117+L157+L172+L216+L231+L279</f>
        <v>0</v>
      </c>
      <c r="M284" s="39">
        <f>-M22+M34+M102+M117+M157+M172+M216+M231+M279</f>
        <v>0</v>
      </c>
      <c r="N284" s="39">
        <f>-N22+N34+N102+N117+N157+N172+N216+N231+N279</f>
        <v>0</v>
      </c>
      <c r="O284" s="39">
        <f>-O22+O34+O102+O117+O157+O172+O216+O231+O279</f>
        <v>68702.0162053822</v>
      </c>
      <c r="P284" s="39">
        <f>-P22+P34+P102+P117+P157+P172+P216+P231+P279</f>
        <v>0</v>
      </c>
      <c r="Q284" s="39">
        <f>-Q22+Q34+Q102+Q117+Q157+Q172+Q216+Q231+Q279</f>
        <v>0</v>
      </c>
      <c r="R284" s="39">
        <f>-R22+R34+R102+R117+R157+R172+R216+R231+R279</f>
        <v>0</v>
      </c>
      <c r="S284" s="39">
        <f>-S22+S34+S102+S117+S157+S172+S216+S231+S279</f>
        <v>126912.637798834</v>
      </c>
      <c r="T284" s="39">
        <f>-T22+T34+T102+T117+T157+T172+T216+T231+T279</f>
        <v>0</v>
      </c>
      <c r="U284" s="39">
        <f>-U22+U34+U102+U117+U157+U172+U216+U231+U279</f>
        <v>0</v>
      </c>
      <c r="V284" s="39">
        <f>-V22+V34+V102+V117+V157+V172+V216+V231+V279</f>
        <v>0</v>
      </c>
      <c r="W284" s="39">
        <f>-W22+W34+W102+W117+W157+W172+W216+W231+W279</f>
        <v>161033.795638122</v>
      </c>
      <c r="X284" s="39">
        <f>-X22+X34+X102+X117+X157+X172+X216+X231+X279</f>
        <v>0</v>
      </c>
      <c r="Y284" s="39">
        <f>-Y22+Y34+Y102+Y117+Y157+Y172+Y216+Y231+Y279</f>
        <v>0</v>
      </c>
      <c r="Z284" s="39">
        <f>-Z22+Z34+Z102+Z117+Z157+Z172+Z216+Z231+Z279</f>
        <v>0</v>
      </c>
      <c r="AA284" s="39">
        <f>-AA22+AA34+AA102+AA117+AA157+AA172+AA216+AA231+AA279</f>
        <v>34921888.9282406</v>
      </c>
      <c r="AB284" s="39">
        <f>SUM(G284:AA284)</f>
        <v>32418515.237814</v>
      </c>
    </row>
    <row r="285">
      <c r="C285" s="29" t="inlineStr">
        <is>
          <t>Total LP Cash Flows (net of fees)</t>
        </is>
      </c>
      <c r="G285" s="39">
        <f>-G21-G53+G67+G103+G118+G158+G173+G217+G232+G280</f>
        <v>-142781416.542678</v>
      </c>
      <c r="H285" s="39">
        <f>-H21-H53+H67+H103+H118+H158+H173+H217+H232+H280</f>
        <v>-621947.676290447</v>
      </c>
      <c r="I285" s="39">
        <f>-I21-I53+I67+I103+I118+I158+I173+I217+I232+I280</f>
        <v>-621947.676290447</v>
      </c>
      <c r="J285" s="39">
        <f>-J21-J53+J67+J103+J118+J158+J173+J217+J232+J280</f>
        <v>-621947.676290447</v>
      </c>
      <c r="K285" s="39">
        <f>-K21-K53+K67+K103+K118+K158+K173+K217+K232+K280</f>
        <v>1379018.7266918</v>
      </c>
      <c r="L285" s="39">
        <f>-L21-L53+L67+L103+L118+L158+L173+L217+L232+L280</f>
        <v>-613117.24627729</v>
      </c>
      <c r="M285" s="39">
        <f>-M21-M53+M67+M103+M118+M158+M173+M217+M232+M280</f>
        <v>-613117.24627729</v>
      </c>
      <c r="N285" s="39">
        <f>-N21-N53+N67+N103+N118+N158+N173+N217+N232+N280</f>
        <v>-613117.24627729</v>
      </c>
      <c r="O285" s="39">
        <f>-O21-O53+O67+O103+O118+O158+O173+O217+O232+O280</f>
        <v>2737356.89813644</v>
      </c>
      <c r="P285" s="39">
        <f>-P21-P53+P67+P103+P118+P158+P173+P217+P232+P280</f>
        <v>-598389.251553261</v>
      </c>
      <c r="Q285" s="39">
        <f>-Q21-Q53+Q67+Q103+Q118+Q158+Q173+Q217+Q232+Q280</f>
        <v>-598389.251553261</v>
      </c>
      <c r="R285" s="39">
        <f>-R21-R53+R67+R103+R118+R158+R173+R217+R232+R280</f>
        <v>-598389.251553261</v>
      </c>
      <c r="S285" s="39">
        <f>-S21-S53+S67+S103+S118+S158+S173+S217+S232+S280</f>
        <v>5612672.11398961</v>
      </c>
      <c r="T285" s="39">
        <f>-T21-T53+T67+T103+T118+T158+T173+T217+T232+T280</f>
        <v>-571182.354825136</v>
      </c>
      <c r="U285" s="39">
        <f>-U21-U53+U67+U103+U118+U158+U173+U217+U232+U280</f>
        <v>-571182.354825136</v>
      </c>
      <c r="V285" s="39">
        <f>-V21-V53+V67+V103+V118+V158+V173+V217+V232+V280</f>
        <v>-571182.354825136</v>
      </c>
      <c r="W285" s="39">
        <f>-W21-W53+W67+W103+W118+W158+W173+W217+W232+W280</f>
        <v>7316638.73644283</v>
      </c>
      <c r="X285" s="39">
        <f>-X21-X53+X67+X103+X118+X158+X173+X217+X232+X280</f>
        <v>-536660.734885214</v>
      </c>
      <c r="Y285" s="39">
        <f>-Y21-Y53+Y67+Y103+Y118+Y158+Y173+Y217+Y232+Y280</f>
        <v>-536660.734885214</v>
      </c>
      <c r="Z285" s="39">
        <f>-Z21-Z53+Z67+Z103+Z118+Z158+Z173+Z217+Z232+Z280</f>
        <v>-536660.734885214</v>
      </c>
      <c r="AA285" s="39">
        <f>-AA21-AA53+AA67+AA103+AA118+AA158+AA173+AA217+AA232+AA280</f>
        <v>299169498.20819</v>
      </c>
      <c r="AB285" s="39">
        <f>SUM(G285:AA285)</f>
        <v>164609876.349279</v>
      </c>
    </row>
    <row r="286">
      <c r="C286" s="14" t="inlineStr">
        <is>
          <t>Total LP Distributions</t>
        </is>
      </c>
      <c r="G286" s="8">
        <f>G67+G103+G118+G158+G173+G217+G232+G280</f>
        <v>0</v>
      </c>
      <c r="H286" s="8">
        <f>H67+H103+H118+H158+H173+H217+H232+H280</f>
        <v>0</v>
      </c>
      <c r="I286" s="8">
        <f>I67+I103+I118+I158+I173+I217+I232+I280</f>
        <v>0</v>
      </c>
      <c r="J286" s="8">
        <f>J67+J103+J118+J158+J173+J217+J232+J280</f>
        <v>0</v>
      </c>
      <c r="K286" s="8">
        <f>K67+K103+K118+K158+K173+K217+K232+K280</f>
        <v>5999549.72300725</v>
      </c>
      <c r="L286" s="8">
        <f>L67+L103+L118+L158+L173+L217+L232+L280</f>
        <v>0</v>
      </c>
      <c r="M286" s="8">
        <f>M67+M103+M118+M158+M173+M217+M232+M280</f>
        <v>0</v>
      </c>
      <c r="N286" s="8">
        <f>N67+N103+N118+N158+N173+N217+N232+N280</f>
        <v>0</v>
      </c>
      <c r="O286" s="8">
        <f>O67+O103+O118+O158+O173+O217+O232+O280</f>
        <v>7006318.71406373</v>
      </c>
      <c r="P286" s="8">
        <f>P67+P103+P118+P158+P173+P217+P232+P280</f>
        <v>0</v>
      </c>
      <c r="Q286" s="8">
        <f>Q67+Q103+Q118+Q158+Q173+Q217+Q232+Q280</f>
        <v>0</v>
      </c>
      <c r="R286" s="8">
        <f>R67+R103+R118+R158+R173+R217+R232+R280</f>
        <v>0</v>
      </c>
      <c r="S286" s="8">
        <f>S67+S103+S118+S158+S173+S217+S232+S280</f>
        <v>7969093.33214287</v>
      </c>
      <c r="T286" s="8">
        <f>T67+T103+T118+T158+T173+T217+T232+T280</f>
        <v>0</v>
      </c>
      <c r="U286" s="8">
        <f>U67+U103+U118+U158+U173+U217+U232+U280</f>
        <v>0</v>
      </c>
      <c r="V286" s="8">
        <f>V67+V103+V118+V158+V173+V217+V232+V280</f>
        <v>0</v>
      </c>
      <c r="W286" s="8">
        <f>W67+W103+W118+W158+W173+W217+W232+W280</f>
        <v>8538631.98626797</v>
      </c>
      <c r="X286" s="8">
        <f>X67+X103+X118+X158+X173+X217+X232+X280</f>
        <v>0</v>
      </c>
      <c r="Y286" s="8">
        <f>Y67+Y103+Y118+Y158+Y173+Y217+Y232+Y280</f>
        <v>0</v>
      </c>
      <c r="Z286" s="8">
        <f>Z67+Z103+Z118+Z158+Z173+Z217+Z232+Z280</f>
        <v>0</v>
      </c>
      <c r="AA286" s="8">
        <f>AA67+AA103+AA118+AA158+AA173+AA217+AA232+AA280</f>
        <v>299706158.943076</v>
      </c>
      <c r="AB286" s="39">
        <f>SUM(G286:AA286)</f>
        <v>329219752.698557</v>
      </c>
    </row>
    <row r="287">
      <c r="C287" s="14" t="inlineStr">
        <is>
          <t>Total GP Distributions</t>
        </is>
      </c>
      <c r="G287" s="8">
        <f>G34+G102+G117+G157+G172+G216+G231+G279</f>
        <v>0</v>
      </c>
      <c r="H287" s="8">
        <f>H34+H102+H117+H157+H172+H216+H231+H279</f>
        <v>0</v>
      </c>
      <c r="I287" s="8">
        <f>I34+I102+I117+I157+I172+I216+I231+I279</f>
        <v>0</v>
      </c>
      <c r="J287" s="8">
        <f>J34+J102+J117+J157+J172+J216+J231+J279</f>
        <v>0</v>
      </c>
      <c r="K287" s="8">
        <f>K34+K102+K117+K157+K172+K216+K231+K279</f>
        <v>122439.790265454</v>
      </c>
      <c r="L287" s="8">
        <f>L34+L102+L117+L157+L172+L216+L231+L279</f>
        <v>0</v>
      </c>
      <c r="M287" s="8">
        <f>M34+M102+M117+M157+M172+M216+M231+M279</f>
        <v>0</v>
      </c>
      <c r="N287" s="8">
        <f>N34+N102+N117+N157+N172+N216+N231+N279</f>
        <v>0</v>
      </c>
      <c r="O287" s="8">
        <f>O34+O102+O117+O157+O172+O216+O231+O279</f>
        <v>142986.096205382</v>
      </c>
      <c r="P287" s="8">
        <f>P34+P102+P117+P157+P172+P216+P231+P279</f>
        <v>0</v>
      </c>
      <c r="Q287" s="8">
        <f>Q34+Q102+Q117+Q157+Q172+Q216+Q231+Q279</f>
        <v>0</v>
      </c>
      <c r="R287" s="8">
        <f>R34+R102+R117+R157+R172+R216+R231+R279</f>
        <v>0</v>
      </c>
      <c r="S287" s="8">
        <f>S34+S102+S117+S157+S172+S216+S231+S279</f>
        <v>162634.557798834</v>
      </c>
      <c r="T287" s="8">
        <f>T34+T102+T117+T157+T172+T216+T231+T279</f>
        <v>0</v>
      </c>
      <c r="U287" s="8">
        <f>U34+U102+U117+U157+U172+U216+U231+U279</f>
        <v>0</v>
      </c>
      <c r="V287" s="8">
        <f>V34+V102+V117+V157+V172+V216+V231+V279</f>
        <v>0</v>
      </c>
      <c r="W287" s="8">
        <f>W34+W102+W117+W157+W172+W216+W231+W279</f>
        <v>174257.795638122</v>
      </c>
      <c r="X287" s="8">
        <f>X34+X102+X117+X157+X172+X216+X231+X279</f>
        <v>0</v>
      </c>
      <c r="Y287" s="8">
        <f>Y34+Y102+Y117+Y157+Y172+Y216+Y231+Y279</f>
        <v>0</v>
      </c>
      <c r="Z287" s="8">
        <f>Z34+Z102+Z117+Z157+Z172+Z216+Z231+Z279</f>
        <v>0</v>
      </c>
      <c r="AA287" s="8">
        <f>AA34+AA102+AA117+AA157+AA172+AA216+AA231+AA279</f>
        <v>34921888.9282406</v>
      </c>
      <c r="AB287" s="39">
        <f>SUM(G287:AA287)</f>
        <v>35524207.1681484</v>
      </c>
    </row>
    <row r="288">
      <c r="C288" s="14" t="inlineStr">
        <is>
          <t>Check: GP + LP distributions – Total Distributions to Fund</t>
        </is>
      </c>
      <c r="G288" s="8">
        <f>ROUND(G286+G287-G32,2)</f>
        <v>0</v>
      </c>
      <c r="H288" s="8">
        <f>ROUND(H286+H287-H32,2)</f>
        <v>0</v>
      </c>
      <c r="I288" s="8">
        <f>ROUND(I286+I287-I32,2)</f>
        <v>0</v>
      </c>
      <c r="J288" s="8">
        <f>ROUND(J286+J287-J32,2)</f>
        <v>0</v>
      </c>
      <c r="K288" s="8">
        <f>ROUND(K286+K287-K32,2)</f>
        <v>0</v>
      </c>
      <c r="L288" s="8">
        <f>ROUND(L286+L287-L32,2)</f>
        <v>0</v>
      </c>
      <c r="M288" s="8">
        <f>ROUND(M286+M287-M32,2)</f>
        <v>0</v>
      </c>
      <c r="N288" s="8">
        <f>ROUND(N286+N287-N32,2)</f>
        <v>0</v>
      </c>
      <c r="O288" s="8">
        <f>ROUND(O286+O287-O32,2)</f>
        <v>0</v>
      </c>
      <c r="P288" s="8">
        <f>ROUND(P286+P287-P32,2)</f>
        <v>0</v>
      </c>
      <c r="Q288" s="8">
        <f>ROUND(Q286+Q287-Q32,2)</f>
        <v>0</v>
      </c>
      <c r="R288" s="8">
        <f>ROUND(R286+R287-R32,2)</f>
        <v>0</v>
      </c>
      <c r="S288" s="8">
        <f>ROUND(S286+S287-S32,2)</f>
        <v>0</v>
      </c>
      <c r="T288" s="8">
        <f>ROUND(T286+T287-T32,2)</f>
        <v>0</v>
      </c>
      <c r="U288" s="8">
        <f>ROUND(U286+U287-U32,2)</f>
        <v>0</v>
      </c>
      <c r="V288" s="8">
        <f>ROUND(V286+V287-V32,2)</f>
        <v>0</v>
      </c>
      <c r="W288" s="8">
        <f>ROUND(W286+W287-W32,2)</f>
        <v>0</v>
      </c>
      <c r="X288" s="8">
        <f>ROUND(X286+X287-X32,2)</f>
        <v>0</v>
      </c>
      <c r="Y288" s="8">
        <f>ROUND(Y286+Y287-Y32,2)</f>
        <v>0</v>
      </c>
      <c r="Z288" s="8">
        <f>ROUND(Z286+Z287-Z32,2)</f>
        <v>0</v>
      </c>
      <c r="AA288" s="8">
        <f>ROUND(AA286+AA287-AA32,2)</f>
        <v>0</v>
      </c>
      <c r="AB288" s="38">
        <f>SUM(G288:AA288)</f>
        <v>0</v>
      </c>
    </row>
    <row r="289">
      <c r="C289" s="14" t="inlineStr">
        <is>
          <t>GP Carried Interest (catch-up + carry)</t>
        </is>
      </c>
      <c r="G289" s="8">
        <f>G102+G117+G157+G172+G216+G231+G279</f>
        <v>0</v>
      </c>
      <c r="H289" s="8">
        <f>H102+H117+H157+H172+H216+H231+H279</f>
        <v>0</v>
      </c>
      <c r="I289" s="8">
        <f>I102+I117+I157+I172+I216+I231+I279</f>
        <v>0</v>
      </c>
      <c r="J289" s="8">
        <f>J102+J117+J157+J172+J216+J231+J279</f>
        <v>0</v>
      </c>
      <c r="K289" s="8">
        <f>K102+K117+K157+K172+K216+K231+K279</f>
        <v>0</v>
      </c>
      <c r="L289" s="8">
        <f>L102+L117+L157+L172+L216+L231+L279</f>
        <v>0</v>
      </c>
      <c r="M289" s="8">
        <f>M102+M117+M157+M172+M216+M231+M279</f>
        <v>0</v>
      </c>
      <c r="N289" s="8">
        <f>N102+N117+N157+N172+N216+N231+N279</f>
        <v>0</v>
      </c>
      <c r="O289" s="8">
        <f>O102+O117+O157+O172+O216+O231+O279</f>
        <v>0</v>
      </c>
      <c r="P289" s="8">
        <f>P102+P117+P157+P172+P216+P231+P279</f>
        <v>0</v>
      </c>
      <c r="Q289" s="8">
        <f>Q102+Q117+Q157+Q172+Q216+Q231+Q279</f>
        <v>0</v>
      </c>
      <c r="R289" s="8">
        <f>R102+R117+R157+R172+R216+R231+R279</f>
        <v>0</v>
      </c>
      <c r="S289" s="8">
        <f>S102+S117+S157+S172+S216+S231+S279</f>
        <v>0</v>
      </c>
      <c r="T289" s="8">
        <f>T102+T117+T157+T172+T216+T231+T279</f>
        <v>0</v>
      </c>
      <c r="U289" s="8">
        <f>U102+U117+U157+U172+U216+U231+U279</f>
        <v>0</v>
      </c>
      <c r="V289" s="8">
        <f>V102+V117+V157+V172+V216+V231+V279</f>
        <v>0</v>
      </c>
      <c r="W289" s="8">
        <f>W102+W117+W157+W172+W216+W231+W279</f>
        <v>0</v>
      </c>
      <c r="X289" s="8">
        <f>X102+X117+X157+X172+X216+X231+X279</f>
        <v>0</v>
      </c>
      <c r="Y289" s="8">
        <f>Y102+Y117+Y157+Y172+Y216+Y231+Y279</f>
        <v>0</v>
      </c>
      <c r="Z289" s="8">
        <f>Z102+Z117+Z157+Z172+Z216+Z231+Z279</f>
        <v>0</v>
      </c>
      <c r="AA289" s="8">
        <f>AA102+AA117+AA157+AA172+AA216+AA231+AA279</f>
        <v>28229327.9708143</v>
      </c>
      <c r="AB289" s="39">
        <f>SUM(G289:AA289)</f>
        <v>28229327.9708143</v>
      </c>
    </row>
    <row r="291">
      <c r="C291" s="14" t="inlineStr">
        <is>
          <t>LP Net IRR</t>
        </is>
      </c>
      <c r="E291" s="20">
        <f>IFERROR(XIRR(G285:AA285,G$6:AA$6),0)</f>
        <v>0.16671951563276</v>
      </c>
    </row>
    <row r="292">
      <c r="C292" s="14" t="inlineStr">
        <is>
          <t>LP Net MoIC</t>
        </is>
      </c>
      <c r="E292" s="60">
        <f>IFERROR(AB286/(AB21+AB53),0)</f>
        <v>2</v>
      </c>
    </row>
    <row r="293">
      <c r="C293" s="14" t="inlineStr">
        <is>
          <t>GP Carried Interest Total ($)</t>
        </is>
      </c>
      <c r="E293" s="8">
        <f>AB289</f>
        <v>28229327.9708143</v>
      </c>
    </row>
    <row r="294">
      <c r="C294" s="14" t="inlineStr">
        <is>
          <t>Total Profits (LP profit + carried interest) ($)</t>
        </is>
      </c>
      <c r="E294" s="8">
        <f>AB286-AB21-AB53+AB289</f>
        <v>192839204.320093</v>
      </c>
    </row>
    <row r="295">
      <c r="C295" s="14" t="inlineStr">
        <is>
          <t>Effective Carry (% of Profits)</t>
        </is>
      </c>
      <c r="E295" s="20">
        <f>IFERROR(E293/E294,0)</f>
        <v>0.146387909400189</v>
      </c>
    </row>
    <row r="296">
      <c r="C296" s="14" t="inlineStr">
        <is>
          <t>Check (sum of quarterly checks)</t>
        </is>
      </c>
      <c r="E296" s="8">
        <f>AB288</f>
        <v>0</v>
      </c>
    </row>
    <row r="298">
      <c r="C298" s="3" t="inlineStr">
        <is>
          <t>Notes:</t>
        </is>
      </c>
    </row>
    <row r="299">
      <c r="C299" s="2" t="inlineStr">
        <is>
          <t>Preferred thresholds are computed on the PV of LP net cash flows at the hurdle rate (quarterly discounting); the amount payable brings cumulative PV to zero.</t>
        </is>
      </c>
    </row>
    <row r="300">
      <c r="C300" s="2" t="inlineStr">
        <is>
          <t>Each carried-interest tier distributes until LPs reach the next tier hurdle (IRR and MOIC tests, whichever binds); the final tier takes all remaining proceeds.</t>
        </is>
      </c>
    </row>
    <row r="301">
      <c r="C301" s="2" t="inlineStr">
        <is>
          <t>GP commitment (2%) participates pro rata outside the carry waterfall; management fees are funded by LP contributions on net invested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Deal Team</dc:creator>
  <dc:title xmlns:dc="http://purl.org/dc/elements/1.1/">Project Dunecrest</dc:title>
  <dcterms:created xmlns:dcterms="http://purl.org/dc/terms/" xmlns:xsi="http://www.w3.org/2001/XMLSchema-instance" xsi:type="dcterms:W3CDTF">2026-09-10T23:49:04Z</dcterms:created>
  <dcterms:modified xmlns:dcterms="http://purl.org/dc/terms/" xmlns:xsi="http://www.w3.org/2001/XMLSchema-instance" xsi:type="dcterms:W3CDTF">2026-09-10T23:49:04Z</dcterms:modified>
  <cp:lastModifiedBy>Deal Team</cp:lastModifiedBy>
</cp:coreProperties>
</file>