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ources and Uses-Live" sheetId="2" state="visible" r:id="rId2"/>
    <sheet xmlns:r="http://schemas.openxmlformats.org/officeDocument/2006/relationships" name="Live Sheet" sheetId="3" state="visible" r:id="rId3"/>
    <sheet xmlns:r="http://schemas.openxmlformats.org/officeDocument/2006/relationships" name="Returns  Exhibit-7.5x" sheetId="4" state="visible" r:id="rId4"/>
    <sheet xmlns:r="http://schemas.openxmlformats.org/officeDocument/2006/relationships" name="Returns  Exhibit-6.5x" sheetId="5" state="visible" r:id="rId5"/>
    <sheet xmlns:r="http://schemas.openxmlformats.org/officeDocument/2006/relationships" name="Returns  Exhibit-8.5x" sheetId="6" state="visible" r:id="rId6"/>
    <sheet xmlns:r="http://schemas.openxmlformats.org/officeDocument/2006/relationships" name="Sources and Uses-DETAIL" sheetId="7" state="visible" r:id="rId7"/>
    <sheet xmlns:r="http://schemas.openxmlformats.org/officeDocument/2006/relationships" name="Sources and Uses-SUMMARY" sheetId="8" state="visible" r:id="rId8"/>
    <sheet xmlns:r="http://schemas.openxmlformats.org/officeDocument/2006/relationships" name="Consideration" sheetId="9" state="visible" r:id="rId9"/>
    <sheet xmlns:r="http://schemas.openxmlformats.org/officeDocument/2006/relationships" name="Model--&gt;" sheetId="10" state="visible" r:id="rId10"/>
    <sheet xmlns:r="http://schemas.openxmlformats.org/officeDocument/2006/relationships" name="Model" sheetId="11" state="visible" r:id="rId11"/>
    <sheet xmlns:r="http://schemas.openxmlformats.org/officeDocument/2006/relationships" name="Assump_CapStructure" sheetId="12" state="visible" r:id="rId12"/>
    <sheet xmlns:r="http://schemas.openxmlformats.org/officeDocument/2006/relationships" name="Debt Schedules" sheetId="13" state="visible" r:id="rId13"/>
    <sheet xmlns:r="http://schemas.openxmlformats.org/officeDocument/2006/relationships" name="Operating Backup--&gt;" sheetId="14" state="visible" r:id="rId14"/>
    <sheet xmlns:r="http://schemas.openxmlformats.org/officeDocument/2006/relationships" name="Assump_Operating" sheetId="15" state="visible" r:id="rId15"/>
    <sheet xmlns:r="http://schemas.openxmlformats.org/officeDocument/2006/relationships" name="Bid Materials--&gt;" sheetId="16" state="visible" r:id="rId16"/>
    <sheet xmlns:r="http://schemas.openxmlformats.org/officeDocument/2006/relationships" name="Summary_to delete" sheetId="17" state="hidden" r:id="rId17"/>
    <sheet xmlns:r="http://schemas.openxmlformats.org/officeDocument/2006/relationships" name="Ownership_" sheetId="18" state="visible" r:id="rId18"/>
    <sheet xmlns:r="http://schemas.openxmlformats.org/officeDocument/2006/relationships" name="Sources &amp; Uses" sheetId="19" state="visible" r:id="rId19"/>
    <sheet xmlns:r="http://schemas.openxmlformats.org/officeDocument/2006/relationships" name="Capitalization" sheetId="20" state="visible" r:id="rId20"/>
    <sheet xmlns:r="http://schemas.openxmlformats.org/officeDocument/2006/relationships" name="Ownership" sheetId="21" state="visible" r:id="rId21"/>
    <sheet xmlns:r="http://schemas.openxmlformats.org/officeDocument/2006/relationships" name="Mgmt Equity" sheetId="22" state="visible" r:id="rId22"/>
  </sheets>
  <definedNames>
    <definedName name="\a">Model!$A$1</definedName>
    <definedName name="\b">Model!$D$15</definedName>
    <definedName name="\p">Model!$A$1:$N$60</definedName>
    <definedName name="Print_Area_MI">Model!$A$1:$N$111</definedName>
    <definedName name="wrn.Model">Model!$A$1:$N$343</definedName>
    <definedName name="wrn.Summary">'Summary_to delete'!$B$3:$K$32</definedName>
    <definedName name="Kestrel_EBITDA">Model!$E$85</definedName>
    <definedName name="Kestrel_Rev">Model!$E$75</definedName>
    <definedName name="Osprey_Rev">'Summary_to delete'!$C$6:$K$6</definedName>
    <definedName name="Osprey_EBITDA">'Summary_to delete'!$C$10:$K$10</definedName>
    <definedName name="TEV">Assump_CapStructure!$D$72</definedName>
    <definedName name="EqPP">Assump_CapStructure!$D$80</definedName>
    <definedName name="MinCash">Assump_CapStructure!$F$19</definedName>
    <definedName name="TaxRate">Assump_CapStructure!$F$23</definedName>
    <definedName name="SweepPct">Assump_CapStructure!$F$18</definedName>
    <definedName name="Case_Op">Assump_CapStructure!$K$5</definedName>
    <definedName name="Case_Fin">Assump_CapStructure!$K$15</definedName>
    <definedName name="IS_Rev">Model!$B$75:$M$75</definedName>
    <definedName name="IS_EBITDA">Model!$B$85:$M$85</definedName>
    <definedName name="IS_NI">Model!$F$110:$M$110</definedName>
    <definedName name="BS_Check">Model!$B$156:$M$156</definedName>
    <definedName name="CF_Cash">Model!$F$209:$M$209</definedName>
    <definedName name="Debt_Total">Model!$E$62:$M$62</definedName>
    <definedName name="Pfd_End">'Debt Schedules'!$F$103:$M$103</definedName>
    <definedName name="IRR_Common">Model!$D$242:$H$242</definedName>
    <definedName name="IRR_Strip">Model!$D$282:$H$282</definedName>
    <definedName name="MoIC_Common">Model!$D$243:$H$243</definedName>
    <definedName name="Rollover">Model!$K$17</definedName>
    <definedName name="SponsorEq">Model!$K$20</definedName>
    <definedName name="TotalEq">Model!$E$331</definedName>
    <definedName name="Goodwill">Model!$D$325</definedName>
    <definedName name="NWC">Model!$B$306:$M$306</definedName>
    <definedName name="Capex_Row">Model!$B$35:$M$35</definedName>
    <definedName name="DA_Row">Model!$B$88:$M$88</definedName>
    <definedName name="Hist_Rev">Model!$B$75:$E$75</definedName>
    <definedName name="Proj_Rev">Model!$F$75:$M$75</definedName>
    <definedName name="FYE_Label">Assump_CapStructure!$F$9</definedName>
    <definedName name="Units">Assump_CapStructure!$F$11</definedName>
    <definedName name="Exit_Mults">Model!$D$214:$H$214</definedName>
    <definedName name="ExitEBITDA">Model!$D$213</definedName>
    <definedName name="Osprey_IRR">'Summary_to delete'!$C$22</definedName>
    <definedName name="_xlnm.Print_Area" localSheetId="1">'Sources and Uses-Live'!$A$1:$O$36</definedName>
    <definedName name="_xlnm.Print_Area" localSheetId="2">'Live Sheet'!$A$1:$O$202</definedName>
    <definedName name="_xlnm.Print_Area" localSheetId="3">'Returns  Exhibit-7.5x'!$A$1:$H$54</definedName>
    <definedName name="_xlnm.Print_Area" localSheetId="4">'Returns  Exhibit-6.5x'!$A$1:$H$54</definedName>
    <definedName name="_xlnm.Print_Area" localSheetId="5">'Returns  Exhibit-8.5x'!$A$1:$H$54</definedName>
    <definedName name="_xlnm.Print_Area" localSheetId="6">'Sources and Uses-DETAIL'!$A$1:$Z$46</definedName>
    <definedName name="_xlnm.Print_Area" localSheetId="7">'Sources and Uses-SUMMARY'!$A$1:$Z$44</definedName>
    <definedName name="_xlnm.Print_Area" localSheetId="8">'Consideration'!$A$1:$M$50</definedName>
    <definedName name="_xlnm.Print_Area" localSheetId="10">'Model'!$A$1:$N$343</definedName>
    <definedName name="_xlnm.Print_Area" localSheetId="11">'Assump_CapStructure'!$A$1:$Z$102</definedName>
    <definedName name="_xlnm.Print_Area" localSheetId="12">'Debt Schedules'!$A$1:$M$134</definedName>
    <definedName name="_xlnm.Print_Area" localSheetId="14">'Assump_Operating'!$A$1:$M$161</definedName>
    <definedName name="_xlnm.Print_Area" localSheetId="17">'Ownership_'!$A$1:$I$63</definedName>
    <definedName name="_xlnm.Print_Area" localSheetId="18">'Sources &amp; Uses'!$A$1:$H$31</definedName>
    <definedName name="_xlnm.Print_Area" localSheetId="19">'Capitalization'!$A$1:$H$33</definedName>
    <definedName name="_xlnm.Print_Area" localSheetId="20">'Ownership'!$A$1:$D$17</definedName>
    <definedName name="_xlnm.Print_Area" localSheetId="21">'Mgmt Equity'!$A$1:$F$42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_);(0.0%);&quot;-&quot;_)"/>
    <numFmt numFmtId="165" formatCode="#,##0_);(#,##0);&quot;-&quot;_)"/>
    <numFmt numFmtId="166" formatCode="0.0x"/>
    <numFmt numFmtId="167" formatCode="#,##0.00_);(#,##0.00);&quot;-&quot;_)"/>
    <numFmt numFmtId="168" formatCode="#,##0.0_);(#,##0.0);&quot;-&quot;_)"/>
    <numFmt numFmtId="169" formatCode="0.00x"/>
    <numFmt numFmtId="170" formatCode="0.000;(0.000);0.000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8000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color rgb="00008000"/>
      <sz val="9"/>
    </font>
    <font>
      <name val="Arial"/>
      <i val="1"/>
      <sz val="9"/>
    </font>
    <font>
      <name val="Arial"/>
      <i val="1"/>
      <color rgb="007F7F7F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6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right"/>
    </xf>
    <xf numFmtId="164" fontId="2" fillId="0" borderId="0" pivotButton="0" quotePrefix="0" xfId="0"/>
    <xf numFmtId="0" fontId="8" fillId="0" borderId="0" applyAlignment="1" pivotButton="0" quotePrefix="0" xfId="0">
      <alignment horizontal="right"/>
    </xf>
    <xf numFmtId="0" fontId="7" fillId="0" borderId="0" pivotButton="0" quotePrefix="0" xfId="0"/>
    <xf numFmtId="165" fontId="1" fillId="0" borderId="1" pivotButton="0" quotePrefix="0" xfId="0"/>
    <xf numFmtId="165" fontId="1" fillId="0" borderId="2" pivotButton="0" quotePrefix="0" xfId="0"/>
    <xf numFmtId="167" fontId="2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66" fontId="6" fillId="3" borderId="0" pivotButton="0" quotePrefix="0" xfId="0"/>
    <xf numFmtId="165" fontId="2" fillId="0" borderId="0" pivotButton="0" quotePrefix="0" xfId="0"/>
    <xf numFmtId="166" fontId="6" fillId="0" borderId="0" pivotButton="0" quotePrefix="0" xfId="0"/>
    <xf numFmtId="166" fontId="2" fillId="0" borderId="0" pivotButton="0" quotePrefix="0" xfId="0"/>
    <xf numFmtId="169" fontId="2" fillId="0" borderId="0" pivotButton="0" quotePrefix="0" xfId="0"/>
    <xf numFmtId="0" fontId="1" fillId="0" borderId="0" applyAlignment="1" pivotButton="0" quotePrefix="0" xfId="0">
      <alignment horizontal="right"/>
    </xf>
    <xf numFmtId="164" fontId="6" fillId="0" borderId="0" pivotButton="0" quotePrefix="0" xfId="0"/>
    <xf numFmtId="165" fontId="6" fillId="0" borderId="0" pivotButton="0" quotePrefix="0" xfId="0"/>
    <xf numFmtId="165" fontId="3" fillId="0" borderId="1" pivotButton="0" quotePrefix="0" xfId="0"/>
    <xf numFmtId="0" fontId="2" fillId="0" borderId="0" applyAlignment="1" pivotButton="0" quotePrefix="0" xfId="0">
      <alignment horizontal="right"/>
    </xf>
    <xf numFmtId="165" fontId="1" fillId="0" borderId="0" pivotButton="0" quotePrefix="0" xfId="0"/>
    <xf numFmtId="10" fontId="2" fillId="0" borderId="0" pivotButton="0" quotePrefix="0" xfId="0"/>
    <xf numFmtId="0" fontId="4" fillId="2" borderId="0" pivotButton="0" quotePrefix="0" xfId="0"/>
    <xf numFmtId="1" fontId="2" fillId="0" borderId="0" pivotButton="0" quotePrefix="0" xfId="0"/>
    <xf numFmtId="1" fontId="8" fillId="0" borderId="0" pivotButton="0" quotePrefix="0" xfId="0"/>
    <xf numFmtId="0" fontId="3" fillId="0" borderId="3" applyAlignment="1" pivotButton="0" quotePrefix="0" xfId="0">
      <alignment horizontal="right"/>
    </xf>
    <xf numFmtId="0" fontId="7" fillId="2" borderId="0" pivotButton="0" quotePrefix="0" xfId="0"/>
    <xf numFmtId="169" fontId="8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pivotButton="0" quotePrefix="0" xfId="0"/>
    <xf numFmtId="165" fontId="10" fillId="0" borderId="0" pivotButton="0" quotePrefix="0" xfId="0"/>
    <xf numFmtId="170" fontId="2" fillId="0" borderId="0" pivotButton="0" quotePrefix="0" xfId="0"/>
    <xf numFmtId="164" fontId="1" fillId="0" borderId="0" pivotButton="0" quotePrefix="0" xfId="0"/>
    <xf numFmtId="169" fontId="1" fillId="0" borderId="0" pivotButton="0" quotePrefix="0" xfId="0"/>
    <xf numFmtId="164" fontId="1" fillId="0" borderId="1" pivotButton="0" quotePrefix="0" xfId="0"/>
    <xf numFmtId="166" fontId="1" fillId="0" borderId="0" pivotButton="0" quotePrefix="0" xfId="0"/>
    <xf numFmtId="168" fontId="8" fillId="0" borderId="0" pivotButton="0" quotePrefix="0" xfId="0"/>
    <xf numFmtId="1" fontId="6" fillId="3" borderId="0" pivotButton="0" quotePrefix="0" xfId="0"/>
    <xf numFmtId="1" fontId="6" fillId="0" borderId="0" pivotButton="0" quotePrefix="0" xfId="0"/>
    <xf numFmtId="164" fontId="2" fillId="0" borderId="1" pivotButton="0" quotePrefix="0" xfId="0"/>
    <xf numFmtId="10" fontId="6" fillId="0" borderId="0" pivotButton="0" quotePrefix="0" xfId="0"/>
    <xf numFmtId="10" fontId="8" fillId="0" borderId="0" pivotButton="0" quotePrefix="0" xfId="0"/>
    <xf numFmtId="1" fontId="3" fillId="0" borderId="0" pivotButton="0" quotePrefix="0" xfId="0"/>
    <xf numFmtId="168" fontId="2" fillId="0" borderId="0" pivotButton="0" quotePrefix="0" xfId="0"/>
    <xf numFmtId="168" fontId="6" fillId="0" borderId="0" pivotButton="0" quotePrefix="0" xfId="0"/>
    <xf numFmtId="165" fontId="2" fillId="0" borderId="1" pivotButton="0" quotePrefix="0" xfId="0"/>
    <xf numFmtId="168" fontId="1" fillId="0" borderId="1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Halvern</author>
  </authors>
  <commentList>
    <comment ref="C40" authorId="0" shapeId="0">
      <text>
        <t>hardcoded input - per LOI</t>
      </text>
    </comment>
    <comment ref="D40" authorId="0" shapeId="0">
      <text>
        <t>hardcoded input - per LOI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zoomScale="85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str">
        <f>Assump_CapStructure!$F$7</f>
        <v>Project Kestrel</v>
      </c>
    </row>
    <row r="5">
      <c r="B5" s="2" t="inlineStr">
        <is>
          <t>Model Notes</t>
        </is>
      </c>
    </row>
    <row r="7">
      <c r="B7" s="3" t="str">
        <f>"(1) Equity amounts reflect the upsized sponsor equity ticket of $"&amp;TEXT(Model!$K$18+Model!$K$19,"#,##0")&amp;"k (90% preferred / 10% common) plus seller rollover."</f>
        <v>(1) Equity amounts reflect the upsized sponsor equity ticket of $14,239k (90% preferred / 10% common) plus seller rollover.</v>
      </c>
    </row>
    <row r="8">
      <c r="B8" s="3" t="str">
        <f>"(2) Debt amounts reflect full draw of the $"&amp;TEXT(Model!$K$8,"#,##0")&amp;"k term loan A at close; the $8.0M revolver is undrawn at close."</f>
        <v>(2) Debt amounts reflect full draw of the $23,607k term loan A at close; the $8.0M revolver is undrawn at close.</v>
      </c>
    </row>
    <row r="9">
      <c r="B9" s="4" t="inlineStr">
        <is>
          <t>(3) FY2026E reflects management estimates from the LOI; FY2026E is treated as a full year of ownership (closing 31-Jul-2026 stub period ignored).</t>
        </is>
      </c>
    </row>
    <row r="10">
      <c r="B10" s="4" t="inlineStr">
        <is>
          <t>(4) Closing balance sheet reflects balances as of 31-Jul-2026 (sponsor estimate) adjusted for the transaction.</t>
        </is>
      </c>
    </row>
    <row r="11">
      <c r="B11" s="4" t="inlineStr">
        <is>
          <t>(5) Although the Company is structured as a flow-through entity, taxes are reflected at 26% for conservatism ("No Taxes" operating cases switch the rate off).</t>
        </is>
      </c>
    </row>
    <row r="12">
      <c r="B12" s="4" t="inlineStr">
        <is>
          <t>(6) Reflects 50% excess cash flow sweep (switch on Assump_CapStructure); sweep applied to revolver, then term loans, then mezzanine, then the seller note.</t>
        </is>
      </c>
    </row>
    <row r="13">
      <c r="B13" s="4" t="inlineStr">
        <is>
          <t>(7) Equity returns are net of the 10% Management Equity Incentive Program (MEIP), which participates in common profits only.</t>
        </is>
      </c>
    </row>
    <row r="14">
      <c r="B14" s="4" t="inlineStr">
        <is>
          <t>(8) Interest and preferred accretion are computed on beginning-of-period balances to avoid circular references (no iteration required).</t>
        </is>
      </c>
    </row>
    <row r="15">
      <c r="B15" s="4" t="inlineStr">
        <is>
          <t>(9) Returns exhibits hold the entry multiple fixed (per tab) and vary the exit multiple; net debt at exit is the base-case net debt from the Model tab.</t>
        </is>
      </c>
    </row>
    <row r="16">
      <c r="B16" s="4" t="inlineStr">
        <is>
          <t>(10) Preferred equity accretion is a memo item for returns and is not booked on the projected balance sheet; intangible assets are held flat pending PPA.</t>
        </is>
      </c>
    </row>
    <row r="17">
      <c r="B17" s="4" t="inlineStr">
        <is>
          <t>(11) Sources and Uses-DETAIL / -SUMMARY carry a stale LTM 7/31/26 EBITDA input used only for the "x LTM EBITDA" column.</t>
        </is>
      </c>
    </row>
    <row r="20">
      <c r="B20" s="5" t="inlineStr">
        <is>
          <t>Prepared by: Halvern Capital Partners - for internal discussion purposes only. All figures illustrative.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" customWidth="1" min="3" max="3"/>
    <col width="3" customWidth="1" min="4" max="4"/>
    <col width="13" customWidth="1" min="5" max="5"/>
    <col width="11" customWidth="1" min="6" max="6"/>
    <col width="13" customWidth="1" min="7" max="7"/>
    <col width="3" customWidth="1" min="8" max="8"/>
    <col width="34" customWidth="1" min="9" max="9"/>
    <col width="12" customWidth="1" min="10" max="10"/>
    <col width="3" customWidth="1" min="11" max="11"/>
    <col width="13" customWidth="1" min="12" max="12"/>
    <col width="11" customWidth="1" min="13" max="13"/>
    <col width="11" customWidth="1" min="14" max="14"/>
    <col width="22" customWidth="1" min="15" max="15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Transaction Summary</t>
        </is>
      </c>
    </row>
    <row r="6">
      <c r="B6" s="3" t="str">
        <f>Assump_CapStructure!$F$11</f>
        <v>($ in 000s)</v>
      </c>
    </row>
    <row r="8">
      <c r="B8" s="6" t="inlineStr">
        <is>
          <t>Total Enterprise Value</t>
        </is>
      </c>
      <c r="E8" s="7">
        <f>Assump_CapStructure!$D$72</f>
        <v>55083</v>
      </c>
      <c r="I8" s="8">
        <f>E8/Model!$E$85</f>
        <v>7</v>
      </c>
      <c r="J8" s="6" t="inlineStr">
        <is>
          <t>x FY2025A Adj. EBITDA</t>
        </is>
      </c>
    </row>
    <row r="9">
      <c r="B9" s="6" t="inlineStr">
        <is>
          <t>Investor Entry Multiple (FY2025A)</t>
        </is>
      </c>
      <c r="E9" s="8">
        <f>Assump_CapStructure!$D$73</f>
        <v>7</v>
      </c>
    </row>
    <row r="10">
      <c r="B10" s="6" t="inlineStr">
        <is>
          <t>Investor Entry Multiple (FY2026E)</t>
        </is>
      </c>
      <c r="E10" s="8">
        <f>Assump_CapStructure!$D$74</f>
        <v>6.2977588333948</v>
      </c>
    </row>
    <row r="11">
      <c r="B11" s="6" t="inlineStr">
        <is>
          <t>Operating Case:</t>
        </is>
      </c>
      <c r="E11" s="3" t="str">
        <f>CHOOSE(Assump_CapStructure!$K$5,"Management Case","Case II - No Growth, No Taxes","Case III - Downside Case, No Taxes","Upside Case","Flat Case")</f>
        <v>Management Case</v>
      </c>
    </row>
    <row r="12">
      <c r="B12" s="6" t="inlineStr">
        <is>
          <t>Financing Case:</t>
        </is>
      </c>
      <c r="E12" s="3" t="str">
        <f>CHOOSE(Assump_CapStructure!$K$15,"Base Case - Senior + Mezz","Senior Only","Senior + Seller Note Upsized","All Equity","Unitranche","Case 6","Case 7","Case 8","Case 9","Case 10")</f>
        <v>Base Case - Senior + Mezz</v>
      </c>
      <c r="I12" s="9" t="inlineStr">
        <is>
          <t>NO</t>
        </is>
      </c>
      <c r="J12" s="6" t="inlineStr">
        <is>
          <t>Revolver drawn at close?</t>
        </is>
      </c>
    </row>
    <row r="13">
      <c r="B13" s="6" t="inlineStr">
        <is>
          <t>Step Up in Basis</t>
        </is>
      </c>
      <c r="E13" s="3" t="str">
        <f>IF(Assump_CapStructure!$F$22=1,"Yes","No")</f>
        <v>Yes</v>
      </c>
    </row>
    <row r="14">
      <c r="B14" s="6" t="inlineStr">
        <is>
          <t>Rollover % of Proceeds</t>
        </is>
      </c>
      <c r="E14" s="10">
        <f>Model!$K$17/Assump_CapStructure!$D$80</f>
        <v>0.183450900891583</v>
      </c>
    </row>
    <row r="15">
      <c r="B15" s="6" t="inlineStr">
        <is>
          <t>Exit:</t>
        </is>
      </c>
      <c r="E15" s="9" t="inlineStr">
        <is>
          <t>5 Years</t>
        </is>
      </c>
    </row>
    <row r="17">
      <c r="B17" s="11" t="inlineStr">
        <is>
          <t>(1) Fixed Charge Coverage = (EBITDA - Mgmt Fee - Capex - Cash Taxes) / (Scheduled Principal + Cash Interest).</t>
        </is>
      </c>
    </row>
    <row r="19">
      <c r="B19" s="12" t="inlineStr">
        <is>
          <t>Sources and Uses of Funds ($ in 000's)</t>
        </is>
      </c>
    </row>
    <row r="20">
      <c r="B20" s="13" t="inlineStr">
        <is>
          <t>Uses</t>
        </is>
      </c>
      <c r="E20" s="14" t="inlineStr">
        <is>
          <t>Amount</t>
        </is>
      </c>
      <c r="F20" s="14" t="inlineStr">
        <is>
          <t>% of Total</t>
        </is>
      </c>
      <c r="G20" s="14" t="inlineStr">
        <is>
          <t>x FY2026E EBITDA</t>
        </is>
      </c>
      <c r="I20" s="13" t="inlineStr">
        <is>
          <t>Sources</t>
        </is>
      </c>
      <c r="L20" s="14" t="inlineStr">
        <is>
          <t>Amount</t>
        </is>
      </c>
      <c r="M20" s="14" t="inlineStr">
        <is>
          <t>% of Total</t>
        </is>
      </c>
      <c r="N20" s="14" t="inlineStr">
        <is>
          <t>x EBITDA</t>
        </is>
      </c>
      <c r="O20" s="14" t="inlineStr">
        <is>
          <t>Pricing</t>
        </is>
      </c>
    </row>
    <row r="21">
      <c r="B21" s="6" t="inlineStr">
        <is>
          <t>Cash Consideration</t>
        </is>
      </c>
      <c r="E21" s="7">
        <f>Model!$D$7-Model!$K$13</f>
        <v>35472.8</v>
      </c>
      <c r="F21" s="15">
        <f>E21/$E$28</f>
        <v>0.605513544885035</v>
      </c>
      <c r="G21" s="8">
        <f>E21/Model!$F$85</f>
        <v>4.05568214413244</v>
      </c>
      <c r="I21" s="6" t="inlineStr">
        <is>
          <t>Revolver (undrawn) (1)</t>
        </is>
      </c>
      <c r="L21" s="7">
        <f>Model!$K$7</f>
        <v>0</v>
      </c>
      <c r="M21" s="15">
        <f>L21/$L$28</f>
        <v>0</v>
      </c>
      <c r="N21" s="8">
        <f>L21/Model!$F$85</f>
        <v>0</v>
      </c>
      <c r="O21" s="16" t="str">
        <f>"Base + "&amp;TEXT(Assump_CapStructure!$U$36,"0.00%")</f>
        <v>Base + 3.00%</v>
      </c>
    </row>
    <row r="22">
      <c r="B22" s="6" t="inlineStr">
        <is>
          <t>Repay Existing Debt</t>
        </is>
      </c>
      <c r="E22" s="7">
        <f>Model!$D$8</f>
        <v>6842</v>
      </c>
      <c r="F22" s="15">
        <f>E22/$E$28</f>
        <v>0.116791560691668</v>
      </c>
      <c r="G22" s="8">
        <f>E22/Model!$F$85</f>
        <v>0.782260696368884</v>
      </c>
      <c r="I22" s="6" t="inlineStr">
        <is>
          <t>Term Loan A (2)</t>
        </is>
      </c>
      <c r="L22" s="7">
        <f>Model!$K$8</f>
        <v>23607</v>
      </c>
      <c r="M22" s="15">
        <f>L22/$L$28</f>
        <v>0.402966730962907</v>
      </c>
      <c r="N22" s="8">
        <f>L22/Model!$F$85</f>
        <v>2.69903950002634</v>
      </c>
      <c r="O22" s="16" t="str">
        <f>"Base + "&amp;TEXT(Assump_CapStructure!$U$37,"0.00%")</f>
        <v>Base + 3.25%</v>
      </c>
    </row>
    <row r="23">
      <c r="B23" s="6" t="inlineStr">
        <is>
          <t>Seller Note</t>
        </is>
      </c>
      <c r="E23" s="7">
        <f>Model!$K$13</f>
        <v>4000</v>
      </c>
      <c r="F23" s="15">
        <f>E23/$E$28</f>
        <v>0.0682791936227233</v>
      </c>
      <c r="G23" s="8">
        <f>E23/Model!$F$85</f>
        <v>0.457328673702943</v>
      </c>
      <c r="I23" s="6" t="inlineStr">
        <is>
          <t>Mezzanine Debt</t>
        </is>
      </c>
      <c r="L23" s="7">
        <f>Model!$K$12</f>
        <v>7869</v>
      </c>
      <c r="M23" s="15">
        <f>L23/$L$28</f>
        <v>0.134322243654302</v>
      </c>
      <c r="N23" s="8">
        <f>L23/Model!$F$85</f>
        <v>0.899679833342114</v>
      </c>
      <c r="O23" s="16" t="str">
        <f>TEXT(Assump_CapStructure!$U$41,"0.00%")&amp;" cash + "&amp;TEXT(Assump_CapStructure!$V$41,"0.00%")&amp;" PIK"</f>
        <v>11.00% cash + 2.00% PIK</v>
      </c>
    </row>
    <row r="24">
      <c r="B24" s="6" t="inlineStr">
        <is>
          <t>Rollover Equity</t>
        </is>
      </c>
      <c r="E24" s="7">
        <f>Model!$K$17</f>
        <v>8868.2</v>
      </c>
      <c r="F24" s="15">
        <f>E24/$E$28</f>
        <v>0.151378386221259</v>
      </c>
      <c r="G24" s="8">
        <f>E24/Model!$F$85</f>
        <v>1.01392053603311</v>
      </c>
      <c r="I24" s="6" t="inlineStr">
        <is>
          <t>Seller Note</t>
        </is>
      </c>
      <c r="L24" s="7">
        <f>Model!$K$13</f>
        <v>4000</v>
      </c>
      <c r="M24" s="15">
        <f>L24/$L$28</f>
        <v>0.0682791936227233</v>
      </c>
      <c r="N24" s="8">
        <f>L24/Model!$F$85</f>
        <v>0.457328673702943</v>
      </c>
      <c r="O24" s="16" t="str">
        <f>TEXT(Assump_CapStructure!$V$42,"0.00%")&amp;" PIK"</f>
        <v>6.00% PIK</v>
      </c>
    </row>
    <row r="25">
      <c r="B25" s="17" t="inlineStr">
        <is>
          <t>Purchase Price</t>
        </is>
      </c>
      <c r="E25" s="18">
        <f>SUM(E21:E24)</f>
        <v>55183</v>
      </c>
      <c r="F25" s="15">
        <f>E25/$E$28</f>
        <v>0.941962685420685</v>
      </c>
      <c r="G25" s="8">
        <f>E25/Model!$F$85</f>
        <v>6.30919205023737</v>
      </c>
      <c r="I25" s="6" t="inlineStr">
        <is>
          <t>Rollover Equity</t>
        </is>
      </c>
      <c r="L25" s="7">
        <f>Model!$K$17</f>
        <v>8868.2</v>
      </c>
      <c r="M25" s="15">
        <f>L25/$L$28</f>
        <v>0.151378386221259</v>
      </c>
      <c r="N25" s="8">
        <f>L25/Model!$F$85</f>
        <v>1.01392053603311</v>
      </c>
    </row>
    <row r="26">
      <c r="B26" s="6" t="inlineStr">
        <is>
          <t>Cash on Balance Sheet at Close</t>
        </is>
      </c>
      <c r="E26" s="7">
        <f>Model!$D$13</f>
        <v>1000</v>
      </c>
      <c r="F26" s="15">
        <f>E26/$E$28</f>
        <v>0.0170697984056808</v>
      </c>
      <c r="G26" s="8">
        <f>E26/Model!$F$85</f>
        <v>0.114332168425736</v>
      </c>
      <c r="I26" s="6" t="inlineStr">
        <is>
          <t>Sponsor Preferred Equity (3)(4)</t>
        </is>
      </c>
      <c r="L26" s="7">
        <f>Model!$K$18</f>
        <v>12814.92</v>
      </c>
      <c r="M26" s="15">
        <f>L26/$L$28</f>
        <v>0.218748100984927</v>
      </c>
      <c r="N26" s="8">
        <f>L26/Model!$F$85</f>
        <v>1.46515759180233</v>
      </c>
      <c r="O26" s="16" t="str">
        <f>TEXT(Assump_CapStructure!$F$28,"0.00%")&amp;" accreting"</f>
        <v>8.00% accreting</v>
      </c>
    </row>
    <row r="27">
      <c r="B27" s="6" t="inlineStr">
        <is>
          <t>Transaction Costs / Excess Cash</t>
        </is>
      </c>
      <c r="E27" s="7">
        <f>Model!$D$14</f>
        <v>2400</v>
      </c>
      <c r="F27" s="15">
        <f>E27/$E$28</f>
        <v>0.040967516173634</v>
      </c>
      <c r="G27" s="8">
        <f>E27/Model!$F$85</f>
        <v>0.274397204221766</v>
      </c>
      <c r="I27" s="6" t="inlineStr">
        <is>
          <t>Sponsor Common Equity (3)(4)</t>
        </is>
      </c>
      <c r="L27" s="7">
        <f>Model!$K$19</f>
        <v>1423.88</v>
      </c>
      <c r="M27" s="15">
        <f>L27/$L$28</f>
        <v>0.0243053445538808</v>
      </c>
      <c r="N27" s="8">
        <f>L27/Model!$F$85</f>
        <v>0.162795287978036</v>
      </c>
    </row>
    <row r="28">
      <c r="B28" s="17" t="inlineStr">
        <is>
          <t>Total Uses</t>
        </is>
      </c>
      <c r="E28" s="19">
        <f>E25+SUM(E26:E27)</f>
        <v>58583</v>
      </c>
      <c r="F28" s="15">
        <f>E28/$E$28</f>
        <v>1</v>
      </c>
      <c r="G28" s="8">
        <f>E28/Model!$F$85</f>
        <v>6.69792142288488</v>
      </c>
      <c r="I28" s="17" t="inlineStr">
        <is>
          <t>Total Sources</t>
        </is>
      </c>
      <c r="L28" s="19">
        <f>SUM(L21:L27)</f>
        <v>58583</v>
      </c>
      <c r="M28" s="15">
        <f>SUM(M21:M27)</f>
        <v>1</v>
      </c>
      <c r="N28" s="8">
        <f>L28/Model!$F$85</f>
        <v>6.69792142288488</v>
      </c>
    </row>
    <row r="30">
      <c r="B30" s="11" t="inlineStr">
        <is>
          <t>Check: Total Sources - Total Uses (must be 0)</t>
        </is>
      </c>
      <c r="E30" s="20">
        <f>L28-E28</f>
        <v>0</v>
      </c>
    </row>
    <row r="32">
      <c r="B32" s="5" t="inlineStr">
        <is>
          <t>(1) $8.0M revolving credit facility, undrawn at close; commitment fee on the unused portion.</t>
        </is>
      </c>
    </row>
    <row r="33">
      <c r="B33" s="5" t="str">
        <f>"(2) Senior leverage of "&amp;TEXT(Model!$M$8,"0.0x")&amp;" FY2025A Adj. EBITDA; full draw of the term loan A at close."</f>
        <v>(2) Senior leverage of 3.0x FY2025A Adj. EBITDA; full draw of the term loan A at close.</v>
      </c>
    </row>
    <row r="34">
      <c r="B34" s="5" t="inlineStr">
        <is>
          <t>(3) Sponsor equity is 90% preferred (8% accreting) / 10% common; common is subject to 10% MEIP dilution.</t>
        </is>
      </c>
    </row>
    <row r="35">
      <c r="B35" s="5" t="inlineStr">
        <is>
          <t>(4) Sponsor equity may be syndicated to a co-investor consortium; Halvern retains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2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  <col width="12" customWidth="1" min="12" max="12"/>
    <col width="11" customWidth="1" min="13" max="13"/>
    <col width="11" customWidth="1" min="14" max="14"/>
    <col width="20" customWidth="1" min="15" max="15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Transaction Summary</t>
        </is>
      </c>
    </row>
    <row r="6">
      <c r="B6" s="3" t="str">
        <f>Assump_CapStructure!$F$11</f>
        <v>($ in 000s)</v>
      </c>
    </row>
    <row r="8">
      <c r="B8" s="6" t="inlineStr">
        <is>
          <t>Total Enterprise Value</t>
        </is>
      </c>
      <c r="E8" s="7">
        <f>Assump_CapStructure!$D$72</f>
        <v>55083</v>
      </c>
      <c r="I8" s="8">
        <f>E8/Model!$E$85</f>
        <v>7</v>
      </c>
      <c r="J8" s="6" t="inlineStr">
        <is>
          <t>x FY2025A Adj. EBITDA</t>
        </is>
      </c>
    </row>
    <row r="9">
      <c r="B9" s="6" t="inlineStr">
        <is>
          <t>Investor Entry Multiple (FY2025A)</t>
        </is>
      </c>
      <c r="E9" s="8">
        <f>Assump_CapStructure!$D$73</f>
        <v>7</v>
      </c>
    </row>
    <row r="10">
      <c r="B10" s="6" t="inlineStr">
        <is>
          <t>Investor Entry Multiple (FY2026E)</t>
        </is>
      </c>
      <c r="E10" s="8">
        <f>Assump_CapStructure!$D$74</f>
        <v>6.2977588333948</v>
      </c>
    </row>
    <row r="11">
      <c r="B11" s="6" t="inlineStr">
        <is>
          <t>Operating Case:</t>
        </is>
      </c>
      <c r="E11" s="3" t="str">
        <f>CHOOSE(Assump_CapStructure!$K$5,"Management Case","Case II - No Growth, No Taxes","Case III - Downside Case, No Taxes","Upside Case","Flat Case")</f>
        <v>Management Case</v>
      </c>
    </row>
    <row r="12">
      <c r="B12" s="6" t="inlineStr">
        <is>
          <t>Financing Case:</t>
        </is>
      </c>
      <c r="E12" s="3" t="str">
        <f>CHOOSE(Assump_CapStructure!$K$15,"Base Case - Senior + Mezz","Senior Only","Senior + Seller Note Upsized","All Equity","Unitranche","Case 6","Case 7","Case 8","Case 9","Case 10")</f>
        <v>Base Case - Senior + Mezz</v>
      </c>
      <c r="I12" s="9" t="inlineStr">
        <is>
          <t>NO</t>
        </is>
      </c>
      <c r="J12" s="6" t="inlineStr">
        <is>
          <t>Revolver drawn at close?</t>
        </is>
      </c>
    </row>
    <row r="13">
      <c r="B13" s="6" t="inlineStr">
        <is>
          <t>Step Up in Basis</t>
        </is>
      </c>
      <c r="E13" s="3" t="str">
        <f>IF(Assump_CapStructure!$F$22=1,"Yes","No")</f>
        <v>Yes</v>
      </c>
    </row>
    <row r="14">
      <c r="B14" s="6" t="inlineStr">
        <is>
          <t>Rollover % of Proceeds</t>
        </is>
      </c>
      <c r="E14" s="10">
        <f>Model!$K$17/Assump_CapStructure!$D$80</f>
        <v>0.183450900891583</v>
      </c>
    </row>
    <row r="15">
      <c r="B15" s="6" t="inlineStr">
        <is>
          <t>Exit:</t>
        </is>
      </c>
      <c r="E15" s="9" t="inlineStr">
        <is>
          <t>5 Years</t>
        </is>
      </c>
    </row>
    <row r="17">
      <c r="B17" s="11" t="inlineStr">
        <is>
          <t>(1) Fixed Charge Coverage = (EBITDA - Mgmt Fee - Capex - Cash Taxes) / (Scheduled Principal + Cash Interest).</t>
        </is>
      </c>
    </row>
    <row r="19">
      <c r="B19" s="12" t="inlineStr">
        <is>
          <t>Sources and Uses of Funds ($ in 000's)</t>
        </is>
      </c>
    </row>
    <row r="20">
      <c r="B20" s="13" t="inlineStr">
        <is>
          <t>Uses</t>
        </is>
      </c>
      <c r="E20" s="14" t="inlineStr">
        <is>
          <t>Amount</t>
        </is>
      </c>
      <c r="F20" s="14" t="inlineStr">
        <is>
          <t>% of Total</t>
        </is>
      </c>
      <c r="G20" s="14" t="inlineStr">
        <is>
          <t>x FY2026E EBITDA</t>
        </is>
      </c>
      <c r="I20" s="13" t="inlineStr">
        <is>
          <t>Sources</t>
        </is>
      </c>
      <c r="L20" s="14" t="inlineStr">
        <is>
          <t>Amount</t>
        </is>
      </c>
      <c r="M20" s="14" t="inlineStr">
        <is>
          <t>% of Total</t>
        </is>
      </c>
      <c r="N20" s="14" t="inlineStr">
        <is>
          <t>x EBITDA</t>
        </is>
      </c>
      <c r="O20" s="14" t="inlineStr">
        <is>
          <t>Pricing</t>
        </is>
      </c>
    </row>
    <row r="21">
      <c r="B21" s="6" t="inlineStr">
        <is>
          <t>Cash Consideration</t>
        </is>
      </c>
      <c r="E21" s="7">
        <f>Model!$D$7-Model!$K$13</f>
        <v>35472.8</v>
      </c>
      <c r="F21" s="15">
        <f>E21/$E$28</f>
        <v>0.605513544885035</v>
      </c>
      <c r="G21" s="8">
        <f>E21/Model!$F$85</f>
        <v>4.05568214413244</v>
      </c>
      <c r="I21" s="6" t="inlineStr">
        <is>
          <t>Revolver (undrawn) (1)</t>
        </is>
      </c>
      <c r="L21" s="7">
        <f>Model!$K$7</f>
        <v>0</v>
      </c>
      <c r="M21" s="15">
        <f>L21/$L$28</f>
        <v>0</v>
      </c>
      <c r="N21" s="8">
        <f>L21/Model!$F$85</f>
        <v>0</v>
      </c>
      <c r="O21" s="16" t="str">
        <f>"Base + "&amp;TEXT(Assump_CapStructure!$U$36,"0.00%")</f>
        <v>Base + 3.00%</v>
      </c>
    </row>
    <row r="22">
      <c r="B22" s="6" t="inlineStr">
        <is>
          <t>Repay Existing Debt</t>
        </is>
      </c>
      <c r="E22" s="7">
        <f>Model!$D$8</f>
        <v>6842</v>
      </c>
      <c r="F22" s="15">
        <f>E22/$E$28</f>
        <v>0.116791560691668</v>
      </c>
      <c r="G22" s="8">
        <f>E22/Model!$F$85</f>
        <v>0.782260696368884</v>
      </c>
      <c r="I22" s="6" t="inlineStr">
        <is>
          <t>Term Loan A (2)</t>
        </is>
      </c>
      <c r="L22" s="7">
        <f>Model!$K$8</f>
        <v>23607</v>
      </c>
      <c r="M22" s="15">
        <f>L22/$L$28</f>
        <v>0.402966730962907</v>
      </c>
      <c r="N22" s="8">
        <f>L22/Model!$F$85</f>
        <v>2.69903950002634</v>
      </c>
      <c r="O22" s="16" t="str">
        <f>"Base + "&amp;TEXT(Assump_CapStructure!$U$37,"0.00%")</f>
        <v>Base + 3.25%</v>
      </c>
    </row>
    <row r="23">
      <c r="B23" s="6" t="inlineStr">
        <is>
          <t>Seller Note</t>
        </is>
      </c>
      <c r="E23" s="7">
        <f>Model!$K$13</f>
        <v>4000</v>
      </c>
      <c r="F23" s="15">
        <f>E23/$E$28</f>
        <v>0.0682791936227233</v>
      </c>
      <c r="G23" s="8">
        <f>E23/Model!$F$85</f>
        <v>0.457328673702943</v>
      </c>
      <c r="I23" s="6" t="inlineStr">
        <is>
          <t>Mezzanine Debt</t>
        </is>
      </c>
      <c r="L23" s="7">
        <f>Model!$K$12</f>
        <v>7869</v>
      </c>
      <c r="M23" s="15">
        <f>L23/$L$28</f>
        <v>0.134322243654302</v>
      </c>
      <c r="N23" s="8">
        <f>L23/Model!$F$85</f>
        <v>0.899679833342114</v>
      </c>
      <c r="O23" s="16" t="str">
        <f>TEXT(Assump_CapStructure!$U$41,"0.00%")&amp;" cash + "&amp;TEXT(Assump_CapStructure!$V$41,"0.00%")&amp;" PIK"</f>
        <v>11.00% cash + 2.00% PIK</v>
      </c>
    </row>
    <row r="24">
      <c r="B24" s="6" t="inlineStr">
        <is>
          <t>Rollover Equity</t>
        </is>
      </c>
      <c r="E24" s="7">
        <f>Model!$K$17</f>
        <v>8868.2</v>
      </c>
      <c r="F24" s="15">
        <f>E24/$E$28</f>
        <v>0.151378386221259</v>
      </c>
      <c r="G24" s="8">
        <f>E24/Model!$F$85</f>
        <v>1.01392053603311</v>
      </c>
      <c r="I24" s="6" t="inlineStr">
        <is>
          <t>Seller Note</t>
        </is>
      </c>
      <c r="L24" s="7">
        <f>Model!$K$13</f>
        <v>4000</v>
      </c>
      <c r="M24" s="15">
        <f>L24/$L$28</f>
        <v>0.0682791936227233</v>
      </c>
      <c r="N24" s="8">
        <f>L24/Model!$F$85</f>
        <v>0.457328673702943</v>
      </c>
      <c r="O24" s="16" t="str">
        <f>TEXT(Assump_CapStructure!$V$42,"0.00%")&amp;" PIK"</f>
        <v>6.00% PIK</v>
      </c>
    </row>
    <row r="25">
      <c r="B25" s="17" t="inlineStr">
        <is>
          <t>Purchase Price</t>
        </is>
      </c>
      <c r="E25" s="18">
        <f>SUM(E21:E24)</f>
        <v>55183</v>
      </c>
      <c r="F25" s="15">
        <f>E25/$E$28</f>
        <v>0.941962685420685</v>
      </c>
      <c r="G25" s="8">
        <f>E25/Model!$F$85</f>
        <v>6.30919205023737</v>
      </c>
      <c r="I25" s="6" t="inlineStr">
        <is>
          <t>Rollover Equity</t>
        </is>
      </c>
      <c r="L25" s="7">
        <f>Model!$K$17</f>
        <v>8868.2</v>
      </c>
      <c r="M25" s="15">
        <f>L25/$L$28</f>
        <v>0.151378386221259</v>
      </c>
      <c r="N25" s="8">
        <f>L25/Model!$F$85</f>
        <v>1.01392053603311</v>
      </c>
    </row>
    <row r="26">
      <c r="B26" s="6" t="inlineStr">
        <is>
          <t>Cash on Balance Sheet at Close</t>
        </is>
      </c>
      <c r="E26" s="7">
        <f>Model!$D$13</f>
        <v>1000</v>
      </c>
      <c r="F26" s="15">
        <f>E26/$E$28</f>
        <v>0.0170697984056808</v>
      </c>
      <c r="G26" s="8">
        <f>E26/Model!$F$85</f>
        <v>0.114332168425736</v>
      </c>
      <c r="I26" s="6" t="inlineStr">
        <is>
          <t>Sponsor Preferred Equity (3)(4)</t>
        </is>
      </c>
      <c r="L26" s="7">
        <f>Model!$K$18</f>
        <v>12814.92</v>
      </c>
      <c r="M26" s="15">
        <f>L26/$L$28</f>
        <v>0.218748100984927</v>
      </c>
      <c r="N26" s="8">
        <f>L26/Model!$F$85</f>
        <v>1.46515759180233</v>
      </c>
      <c r="O26" s="16" t="str">
        <f>TEXT(Assump_CapStructure!$F$28,"0.00%")&amp;" accreting"</f>
        <v>8.00% accreting</v>
      </c>
    </row>
    <row r="27">
      <c r="B27" s="6" t="inlineStr">
        <is>
          <t>Transaction Costs / Excess Cash</t>
        </is>
      </c>
      <c r="E27" s="7">
        <f>Model!$D$14</f>
        <v>2400</v>
      </c>
      <c r="F27" s="15">
        <f>E27/$E$28</f>
        <v>0.040967516173634</v>
      </c>
      <c r="G27" s="8">
        <f>E27/Model!$F$85</f>
        <v>0.274397204221766</v>
      </c>
      <c r="I27" s="6" t="inlineStr">
        <is>
          <t>Sponsor Common Equity (3)(4)</t>
        </is>
      </c>
      <c r="L27" s="7">
        <f>Model!$K$19</f>
        <v>1423.88</v>
      </c>
      <c r="M27" s="15">
        <f>L27/$L$28</f>
        <v>0.0243053445538808</v>
      </c>
      <c r="N27" s="8">
        <f>L27/Model!$F$85</f>
        <v>0.162795287978036</v>
      </c>
    </row>
    <row r="28">
      <c r="B28" s="17" t="inlineStr">
        <is>
          <t>Total Uses</t>
        </is>
      </c>
      <c r="E28" s="19">
        <f>E25+SUM(E26:E27)</f>
        <v>58583</v>
      </c>
      <c r="F28" s="15">
        <f>E28/$E$28</f>
        <v>1</v>
      </c>
      <c r="G28" s="8">
        <f>E28/Model!$F$85</f>
        <v>6.69792142288488</v>
      </c>
      <c r="I28" s="17" t="inlineStr">
        <is>
          <t>Total Sources</t>
        </is>
      </c>
      <c r="L28" s="19">
        <f>SUM(L21:L27)</f>
        <v>58583</v>
      </c>
      <c r="M28" s="15">
        <f>SUM(M21:M27)</f>
        <v>1</v>
      </c>
      <c r="N28" s="8">
        <f>L28/Model!$F$85</f>
        <v>6.69792142288488</v>
      </c>
    </row>
    <row r="30">
      <c r="B30" s="11" t="inlineStr">
        <is>
          <t>Check: Total Sources - Total Uses (must be 0)</t>
        </is>
      </c>
      <c r="E30" s="20">
        <f>L28-E28</f>
        <v>0</v>
      </c>
    </row>
    <row r="32">
      <c r="B32" s="2" t="inlineStr">
        <is>
          <t>Illustrative Five Year Gross Return Profile - IRR and Multiple of Invested Capital</t>
        </is>
      </c>
    </row>
    <row r="34">
      <c r="B34" s="17" t="inlineStr">
        <is>
          <t>Returns Inputs (linked to Model / Assump_CapStructure)</t>
        </is>
      </c>
    </row>
    <row r="35">
      <c r="B35" s="6" t="inlineStr">
        <is>
          <t>FY2025A Adj. EBITDA</t>
        </is>
      </c>
      <c r="E35" s="7">
        <f>Model!$E$85</f>
        <v>7869</v>
      </c>
    </row>
    <row r="36">
      <c r="B36" s="6" t="inlineStr">
        <is>
          <t>FY2030E EBITDA (exit year 5)</t>
        </is>
      </c>
      <c r="E36" s="7">
        <f>Model!$J$85</f>
        <v>11754.6762540073</v>
      </c>
    </row>
    <row r="37">
      <c r="B37" s="6" t="inlineStr">
        <is>
          <t>FY2028E EBITDA (exit year 3)</t>
        </is>
      </c>
      <c r="E37" s="7">
        <f>Model!$H$85</f>
        <v>10300.9771339776</v>
      </c>
    </row>
    <row r="38">
      <c r="B38" s="6" t="inlineStr">
        <is>
          <t>Debt raised at close (base case, fixed)</t>
        </is>
      </c>
      <c r="E38" s="7">
        <f>Model!$K$16</f>
        <v>35476</v>
      </c>
    </row>
    <row r="39">
      <c r="B39" s="6" t="inlineStr">
        <is>
          <t>Transaction costs + cash to B/S + cash acquired</t>
        </is>
      </c>
      <c r="E39" s="7">
        <f>Model!$D$14+Model!$D$13+Assump_CapStructure!$D$79</f>
        <v>3500</v>
      </c>
    </row>
    <row r="40">
      <c r="B40" s="6" t="inlineStr">
        <is>
          <t>Net debt at FY2030E (excl. seller note; from Model)</t>
        </is>
      </c>
      <c r="E40" s="7">
        <f>Model!$J$62-Model!$J$61-Model!$J$51</f>
        <v>3755.48405957219</v>
      </c>
    </row>
    <row r="41">
      <c r="B41" s="6" t="inlineStr">
        <is>
          <t>Seller note accreted balance at FY2030E</t>
        </is>
      </c>
      <c r="E41" s="7">
        <f>Model!$J$61</f>
        <v>5352.9023104</v>
      </c>
    </row>
    <row r="42">
      <c r="B42" s="6" t="inlineStr">
        <is>
          <t>Net debt at FY2028E (excl. seller note; from Model)</t>
        </is>
      </c>
      <c r="E42" s="7">
        <f>Model!$H$62-Model!$H$61-Model!$H$51</f>
        <v>16536.5029726472</v>
      </c>
    </row>
    <row r="43">
      <c r="B43" s="6" t="inlineStr">
        <is>
          <t>Seller note accreted balance at FY2028E</t>
        </is>
      </c>
      <c r="E43" s="7">
        <f>Model!$H$61</f>
        <v>4764.064</v>
      </c>
    </row>
    <row r="44">
      <c r="B44" s="6" t="inlineStr">
        <is>
          <t>Cumulative goodwill step-up tax savings through FY2028E</t>
        </is>
      </c>
      <c r="E44" s="7">
        <f>Model!$H$328</f>
        <v>2074.696</v>
      </c>
    </row>
    <row r="45">
      <c r="B45" s="6" t="inlineStr">
        <is>
          <t>Preferred % of equity account</t>
        </is>
      </c>
      <c r="E45" s="10">
        <f>Assump_CapStructure!$F$31</f>
        <v>0.9</v>
      </c>
    </row>
    <row r="46">
      <c r="B46" s="6" t="inlineStr">
        <is>
          <t>Preferred accretion rate</t>
        </is>
      </c>
      <c r="E46" s="10">
        <f>Assump_CapStructure!$F$28</f>
        <v>0.08</v>
      </c>
    </row>
    <row r="47">
      <c r="B47" s="6" t="inlineStr">
        <is>
          <t>MEIP % of common profits</t>
        </is>
      </c>
      <c r="E47" s="10">
        <f>Assump_CapStructure!$F$29</f>
        <v>0.1</v>
      </c>
    </row>
    <row r="48">
      <c r="B48" s="6" t="inlineStr">
        <is>
          <t>Sponsor carried interest</t>
        </is>
      </c>
      <c r="E48" s="10">
        <f>Assump_CapStructure!$F$30</f>
        <v>0.2</v>
      </c>
    </row>
    <row r="50">
      <c r="B50" s="21" t="inlineStr">
        <is>
          <t>Gross Returns - Common Equity (net of MEIP)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</row>
    <row r="51">
      <c r="B51" s="11" t="inlineStr">
        <is>
          <t>Exit Multiple (x exit-year EBITDA)</t>
        </is>
      </c>
      <c r="F51" s="23" t="n">
        <v>6</v>
      </c>
      <c r="G51" s="23" t="n">
        <v>6.5</v>
      </c>
      <c r="H51" s="23" t="n">
        <v>7</v>
      </c>
      <c r="I51" s="23" t="n">
        <v>7.5</v>
      </c>
      <c r="J51" s="23" t="n">
        <v>8</v>
      </c>
    </row>
    <row r="52">
      <c r="B52" s="11" t="inlineStr">
        <is>
          <t>Sale Price (Enterprise Value at exit)</t>
        </is>
      </c>
      <c r="F52" s="24">
        <f>F51*$E$36</f>
        <v>70528.0575240438</v>
      </c>
      <c r="G52" s="24">
        <f>G51*$E$36</f>
        <v>76405.3956510474</v>
      </c>
      <c r="H52" s="24">
        <f>H51*$E$36</f>
        <v>82282.7337780511</v>
      </c>
      <c r="I52" s="24">
        <f>I51*$E$36</f>
        <v>88160.0719050547</v>
      </c>
      <c r="J52" s="24">
        <f>J51*$E$36</f>
        <v>94037.4100320584</v>
      </c>
    </row>
    <row r="53">
      <c r="B53" s="13" t="inlineStr">
        <is>
          <t>Entry Multiple</t>
        </is>
      </c>
      <c r="C53" s="14" t="inlineStr">
        <is>
          <t>Purchase Price</t>
        </is>
      </c>
      <c r="D53" s="14" t="inlineStr">
        <is>
          <t>Total Equity at Entry</t>
        </is>
      </c>
      <c r="E53" s="14" t="inlineStr">
        <is>
          <t>Pfd Accreted at Exit</t>
        </is>
      </c>
      <c r="F53" s="12" t="inlineStr">
        <is>
          <t>Common Equity Proceeds (net of MEIP)</t>
        </is>
      </c>
    </row>
    <row r="54">
      <c r="B54" s="25" t="n">
        <v>6</v>
      </c>
      <c r="C54" s="24">
        <f>B54*$E$35</f>
        <v>47214</v>
      </c>
      <c r="D54" s="24">
        <f>C54+$E$39-$E$38</f>
        <v>15238</v>
      </c>
      <c r="E54" s="24">
        <f>D54*$E$45*(1+$E$46)^5</f>
        <v>20150.6591108506</v>
      </c>
      <c r="F54" s="24">
        <f>(MIN((F$52-$E$40-$E$41)-MIN((F$52-$E$40-$E$41),$E54),($D54*(1-$E$45)))+(1-$E$47)*MAX(0,(F$52-$E$40-$E$41)-MIN((F$52-$E$40-$E$41),$E54)-($D54*(1-$E$45))))</f>
        <v>37294.4908388989</v>
      </c>
      <c r="G54" s="24">
        <f>(MIN((G$52-$E$40-$E$41)-MIN((G$52-$E$40-$E$41),$E54),($D54*(1-$E$45)))+(1-$E$47)*MAX(0,(G$52-$E$40-$E$41)-MIN((G$52-$E$40-$E$41),$E54)-($D54*(1-$E$45))))</f>
        <v>42584.0951532022</v>
      </c>
      <c r="H54" s="24">
        <f>(MIN((H$52-$E$40-$E$41)-MIN((H$52-$E$40-$E$41),$E54),($D54*(1-$E$45)))+(1-$E$47)*MAX(0,(H$52-$E$40-$E$41)-MIN((H$52-$E$40-$E$41),$E54)-($D54*(1-$E$45))))</f>
        <v>47873.6994675055</v>
      </c>
      <c r="I54" s="24">
        <f>(MIN((I$52-$E$40-$E$41)-MIN((I$52-$E$40-$E$41),$E54),($D54*(1-$E$45)))+(1-$E$47)*MAX(0,(I$52-$E$40-$E$41)-MIN((I$52-$E$40-$E$41),$E54)-($D54*(1-$E$45))))</f>
        <v>53163.3037818088</v>
      </c>
      <c r="J54" s="24">
        <f>(MIN((J$52-$E$40-$E$41)-MIN((J$52-$E$40-$E$41),$E54),($D54*(1-$E$45)))+(1-$E$47)*MAX(0,(J$52-$E$40-$E$41)-MIN((J$52-$E$40-$E$41),$E54)-($D54*(1-$E$45))))</f>
        <v>58452.9080961121</v>
      </c>
    </row>
    <row r="55">
      <c r="B55" s="25" t="n">
        <v>6.5</v>
      </c>
      <c r="C55" s="24">
        <f>B55*$E$35</f>
        <v>51148.5</v>
      </c>
      <c r="D55" s="24">
        <f>C55+$E$39-$E$38</f>
        <v>19172.5</v>
      </c>
      <c r="E55" s="24">
        <f>D55*$E$45*(1+$E$46)^5</f>
        <v>25353.6232972032</v>
      </c>
      <c r="F55" s="24">
        <f>(MIN((F$52-$E$40-$E$41)-MIN((F$52-$E$40-$E$41),$E55),($D55*(1-$E$45)))+(1-$E$47)*MAX(0,(F$52-$E$40-$E$41)-MIN((F$52-$E$40-$E$41),$E55)-($D55*(1-$E$45))))</f>
        <v>32651.1680711815</v>
      </c>
      <c r="G55" s="24">
        <f>(MIN((G$52-$E$40-$E$41)-MIN((G$52-$E$40-$E$41),$E55),($D55*(1-$E$45)))+(1-$E$47)*MAX(0,(G$52-$E$40-$E$41)-MIN((G$52-$E$40-$E$41),$E55)-($D55*(1-$E$45))))</f>
        <v>37940.7723854848</v>
      </c>
      <c r="H55" s="24">
        <f>(MIN((H$52-$E$40-$E$41)-MIN((H$52-$E$40-$E$41),$E55),($D55*(1-$E$45)))+(1-$E$47)*MAX(0,(H$52-$E$40-$E$41)-MIN((H$52-$E$40-$E$41),$E55)-($D55*(1-$E$45))))</f>
        <v>43230.3766997881</v>
      </c>
      <c r="I55" s="24">
        <f>(MIN((I$52-$E$40-$E$41)-MIN((I$52-$E$40-$E$41),$E55),($D55*(1-$E$45)))+(1-$E$47)*MAX(0,(I$52-$E$40-$E$41)-MIN((I$52-$E$40-$E$41),$E55)-($D55*(1-$E$45))))</f>
        <v>48519.9810140914</v>
      </c>
      <c r="J55" s="24">
        <f>(MIN((J$52-$E$40-$E$41)-MIN((J$52-$E$40-$E$41),$E55),($D55*(1-$E$45)))+(1-$E$47)*MAX(0,(J$52-$E$40-$E$41)-MIN((J$52-$E$40-$E$41),$E55)-($D55*(1-$E$45))))</f>
        <v>53809.5853283947</v>
      </c>
    </row>
    <row r="56">
      <c r="B56" s="25" t="n">
        <v>7</v>
      </c>
      <c r="C56" s="24">
        <f>B56*$E$35</f>
        <v>55083</v>
      </c>
      <c r="D56" s="24">
        <f>C56+$E$39-$E$38</f>
        <v>23107</v>
      </c>
      <c r="E56" s="24">
        <f>D56*$E$45*(1+$E$46)^5</f>
        <v>30556.5874835559</v>
      </c>
      <c r="F56" s="24">
        <f>(MIN((F$52-$E$40-$E$41)-MIN((F$52-$E$40-$E$41),$E56),($D56*(1-$E$45)))+(1-$E$47)*MAX(0,(F$52-$E$40-$E$41)-MIN((F$52-$E$40-$E$41),$E56)-($D56*(1-$E$45))))</f>
        <v>28007.8453034642</v>
      </c>
      <c r="G56" s="24">
        <f>(MIN((G$52-$E$40-$E$41)-MIN((G$52-$E$40-$E$41),$E56),($D56*(1-$E$45)))+(1-$E$47)*MAX(0,(G$52-$E$40-$E$41)-MIN((G$52-$E$40-$E$41),$E56)-($D56*(1-$E$45))))</f>
        <v>33297.4496177675</v>
      </c>
      <c r="H56" s="24">
        <f>(MIN((H$52-$E$40-$E$41)-MIN((H$52-$E$40-$E$41),$E56),($D56*(1-$E$45)))+(1-$E$47)*MAX(0,(H$52-$E$40-$E$41)-MIN((H$52-$E$40-$E$41),$E56)-($D56*(1-$E$45))))</f>
        <v>38587.0539320707</v>
      </c>
      <c r="I56" s="24">
        <f>(MIN((I$52-$E$40-$E$41)-MIN((I$52-$E$40-$E$41),$E56),($D56*(1-$E$45)))+(1-$E$47)*MAX(0,(I$52-$E$40-$E$41)-MIN((I$52-$E$40-$E$41),$E56)-($D56*(1-$E$45))))</f>
        <v>43876.658246374</v>
      </c>
      <c r="J56" s="24">
        <f>(MIN((J$52-$E$40-$E$41)-MIN((J$52-$E$40-$E$41),$E56),($D56*(1-$E$45)))+(1-$E$47)*MAX(0,(J$52-$E$40-$E$41)-MIN((J$52-$E$40-$E$41),$E56)-($D56*(1-$E$45))))</f>
        <v>49166.2625606773</v>
      </c>
    </row>
    <row r="57">
      <c r="B57" s="25" t="n">
        <v>7.5</v>
      </c>
      <c r="C57" s="24">
        <f>B57*$E$35</f>
        <v>59017.5</v>
      </c>
      <c r="D57" s="24">
        <f>C57+$E$39-$E$38</f>
        <v>27041.5</v>
      </c>
      <c r="E57" s="24">
        <f>D57*$E$45*(1+$E$46)^5</f>
        <v>35759.5516699085</v>
      </c>
      <c r="F57" s="24">
        <f>(MIN((F$52-$E$40-$E$41)-MIN((F$52-$E$40-$E$41),$E57),($D57*(1-$E$45)))+(1-$E$47)*MAX(0,(F$52-$E$40-$E$41)-MIN((F$52-$E$40-$E$41),$E57)-($D57*(1-$E$45))))</f>
        <v>23364.5225357468</v>
      </c>
      <c r="G57" s="24">
        <f>(MIN((G$52-$E$40-$E$41)-MIN((G$52-$E$40-$E$41),$E57),($D57*(1-$E$45)))+(1-$E$47)*MAX(0,(G$52-$E$40-$E$41)-MIN((G$52-$E$40-$E$41),$E57)-($D57*(1-$E$45))))</f>
        <v>28654.1268500501</v>
      </c>
      <c r="H57" s="24">
        <f>(MIN((H$52-$E$40-$E$41)-MIN((H$52-$E$40-$E$41),$E57),($D57*(1-$E$45)))+(1-$E$47)*MAX(0,(H$52-$E$40-$E$41)-MIN((H$52-$E$40-$E$41),$E57)-($D57*(1-$E$45))))</f>
        <v>33943.7311643534</v>
      </c>
      <c r="I57" s="24">
        <f>(MIN((I$52-$E$40-$E$41)-MIN((I$52-$E$40-$E$41),$E57),($D57*(1-$E$45)))+(1-$E$47)*MAX(0,(I$52-$E$40-$E$41)-MIN((I$52-$E$40-$E$41),$E57)-($D57*(1-$E$45))))</f>
        <v>39233.3354786566</v>
      </c>
      <c r="J57" s="24">
        <f>(MIN((J$52-$E$40-$E$41)-MIN((J$52-$E$40-$E$41),$E57),($D57*(1-$E$45)))+(1-$E$47)*MAX(0,(J$52-$E$40-$E$41)-MIN((J$52-$E$40-$E$41),$E57)-($D57*(1-$E$45))))</f>
        <v>44522.9397929599</v>
      </c>
    </row>
    <row r="58">
      <c r="B58" s="25" t="n">
        <v>8</v>
      </c>
      <c r="C58" s="24">
        <f>B58*$E$35</f>
        <v>62952</v>
      </c>
      <c r="D58" s="24">
        <f>C58+$E$39-$E$38</f>
        <v>30976</v>
      </c>
      <c r="E58" s="24">
        <f>D58*$E$45*(1+$E$46)^5</f>
        <v>40962.5158562611</v>
      </c>
      <c r="F58" s="24">
        <f>(MIN((F$52-$E$40-$E$41)-MIN((F$52-$E$40-$E$41),$E58),($D58*(1-$E$45)))+(1-$E$47)*MAX(0,(F$52-$E$40-$E$41)-MIN((F$52-$E$40-$E$41),$E58)-($D58*(1-$E$45))))</f>
        <v>18721.1997680294</v>
      </c>
      <c r="G58" s="24">
        <f>(MIN((G$52-$E$40-$E$41)-MIN((G$52-$E$40-$E$41),$E58),($D58*(1-$E$45)))+(1-$E$47)*MAX(0,(G$52-$E$40-$E$41)-MIN((G$52-$E$40-$E$41),$E58)-($D58*(1-$E$45))))</f>
        <v>24010.8040823327</v>
      </c>
      <c r="H58" s="24">
        <f>(MIN((H$52-$E$40-$E$41)-MIN((H$52-$E$40-$E$41),$E58),($D58*(1-$E$45)))+(1-$E$47)*MAX(0,(H$52-$E$40-$E$41)-MIN((H$52-$E$40-$E$41),$E58)-($D58*(1-$E$45))))</f>
        <v>29300.408396636</v>
      </c>
      <c r="I58" s="24">
        <f>(MIN((I$52-$E$40-$E$41)-MIN((I$52-$E$40-$E$41),$E58),($D58*(1-$E$45)))+(1-$E$47)*MAX(0,(I$52-$E$40-$E$41)-MIN((I$52-$E$40-$E$41),$E58)-($D58*(1-$E$45))))</f>
        <v>34590.0127109393</v>
      </c>
      <c r="J58" s="24">
        <f>(MIN((J$52-$E$40-$E$41)-MIN((J$52-$E$40-$E$41),$E58),($D58*(1-$E$45)))+(1-$E$47)*MAX(0,(J$52-$E$40-$E$41)-MIN((J$52-$E$40-$E$41),$E58)-($D58*(1-$E$45))))</f>
        <v>39879.6170252425</v>
      </c>
    </row>
    <row r="59">
      <c r="B59" s="12" t="inlineStr">
        <is>
          <t>IRR</t>
        </is>
      </c>
      <c r="F59" s="5" t="inlineStr">
        <is>
          <t>Exit multiple -&gt;</t>
        </is>
      </c>
    </row>
    <row r="60">
      <c r="B60" s="26">
        <f>B54</f>
        <v>6</v>
      </c>
      <c r="F60" s="15">
        <f>IF(($D54*(1-$E$45))&lt;=0,0,(F54/($D54*(1-$E$45)))^(1/5)-1)</f>
        <v>0.895585345718581</v>
      </c>
      <c r="G60" s="15">
        <f>IF(($D54*(1-$E$45))&lt;=0,0,(G54/($D54*(1-$E$45)))^(1/5)-1)</f>
        <v>0.946542502272755</v>
      </c>
      <c r="H60" s="15">
        <f>IF(($D54*(1-$E$45))&lt;=0,0,(H54/($D54*(1-$E$45)))^(1/5)-1)</f>
        <v>0.992662757432038</v>
      </c>
      <c r="I60" s="15">
        <f>IF(($D54*(1-$E$45))&lt;=0,0,(I54/($D54*(1-$E$45)))^(1/5)-1)</f>
        <v>1.03487060671533</v>
      </c>
      <c r="J60" s="15">
        <f>IF(($D54*(1-$E$45))&lt;=0,0,(J54/($D54*(1-$E$45)))^(1/5)-1)</f>
        <v>1.07384183290089</v>
      </c>
    </row>
    <row r="61">
      <c r="B61" s="26">
        <f>B55</f>
        <v>6.5</v>
      </c>
      <c r="F61" s="15">
        <f>IF(($D55*(1-$E$45))&lt;=0,0,(F55/($D55*(1-$E$45)))^(1/5)-1)</f>
        <v>0.762966237418783</v>
      </c>
      <c r="G61" s="15">
        <f>IF(($D55*(1-$E$45))&lt;=0,0,(G55/($D55*(1-$E$45)))^(1/5)-1)</f>
        <v>0.816709487704971</v>
      </c>
      <c r="H61" s="15">
        <f>IF(($D55*(1-$E$45))&lt;=0,0,(H55/($D55*(1-$E$45)))^(1/5)-1)</f>
        <v>0.864756178137434</v>
      </c>
      <c r="I61" s="15">
        <f>IF(($D55*(1-$E$45))&lt;=0,0,(I55/($D55*(1-$E$45)))^(1/5)-1)</f>
        <v>0.908307579118033</v>
      </c>
      <c r="J61" s="15">
        <f>IF(($D55*(1-$E$45))&lt;=0,0,(J55/($D55*(1-$E$45)))^(1/5)-1)</f>
        <v>0.948211846189608</v>
      </c>
    </row>
    <row r="62">
      <c r="B62" s="26">
        <f>B56</f>
        <v>7</v>
      </c>
      <c r="F62" s="15">
        <f>IF(($D56*(1-$E$45))&lt;=0,0,(F56/($D56*(1-$E$45)))^(1/5)-1)</f>
        <v>0.647051682165203</v>
      </c>
      <c r="G62" s="15">
        <f>IF(($D56*(1-$E$45))&lt;=0,0,(G56/($D56*(1-$E$45)))^(1/5)-1)</f>
        <v>0.705035717869642</v>
      </c>
      <c r="H62" s="15">
        <f>IF(($D56*(1-$E$45))&lt;=0,0,(H56/($D56*(1-$E$45)))^(1/5)-1)</f>
        <v>0.756061055375206</v>
      </c>
      <c r="I62" s="15">
        <f>IF(($D56*(1-$E$45))&lt;=0,0,(I56/($D56*(1-$E$45)))^(1/5)-1)</f>
        <v>0.801764375433804</v>
      </c>
      <c r="J62" s="15">
        <f>IF(($D56*(1-$E$45))&lt;=0,0,(J56/($D56*(1-$E$45)))^(1/5)-1)</f>
        <v>0.843252053235172</v>
      </c>
    </row>
    <row r="63">
      <c r="B63" s="26">
        <f>B57</f>
        <v>7.5</v>
      </c>
      <c r="F63" s="15">
        <f>IF(($D57*(1-$E$45))&lt;=0,0,(F57/($D57*(1-$E$45)))^(1/5)-1)</f>
        <v>0.53923605041377</v>
      </c>
      <c r="G63" s="15">
        <f>IF(($D57*(1-$E$45))&lt;=0,0,(G57/($D57*(1-$E$45)))^(1/5)-1)</f>
        <v>0.603360868945969</v>
      </c>
      <c r="H63" s="15">
        <f>IF(($D57*(1-$E$45))&lt;=0,0,(H57/($D57*(1-$E$45)))^(1/5)-1)</f>
        <v>0.658615654837475</v>
      </c>
      <c r="I63" s="15">
        <f>IF(($D57*(1-$E$45))&lt;=0,0,(I57/($D57*(1-$E$45)))^(1/5)-1)</f>
        <v>0.707359167093229</v>
      </c>
      <c r="J63" s="15">
        <f>IF(($D57*(1-$E$45))&lt;=0,0,(J57/($D57*(1-$E$45)))^(1/5)-1)</f>
        <v>0.751098640383137</v>
      </c>
    </row>
    <row r="64">
      <c r="B64" s="26">
        <f>B58</f>
        <v>8</v>
      </c>
      <c r="F64" s="15">
        <f>IF(($D58*(1-$E$45))&lt;=0,0,(F58/($D58*(1-$E$45)))^(1/5)-1)</f>
        <v>0.433051072123847</v>
      </c>
      <c r="G64" s="15">
        <f>IF(($D58*(1-$E$45))&lt;=0,0,(G58/($D58*(1-$E$45)))^(1/5)-1)</f>
        <v>0.506177909516835</v>
      </c>
      <c r="H64" s="15">
        <f>IF(($D58*(1-$E$45))&lt;=0,0,(H58/($D58*(1-$E$45)))^(1/5)-1)</f>
        <v>0.567363278785583</v>
      </c>
      <c r="I64" s="15">
        <f>IF(($D58*(1-$E$45))&lt;=0,0,(I58/($D58*(1-$E$45)))^(1/5)-1)</f>
        <v>0.620261367939043</v>
      </c>
      <c r="J64" s="15">
        <f>IF(($D58*(1-$E$45))&lt;=0,0,(J58/($D58*(1-$E$45)))^(1/5)-1)</f>
        <v>0.667036576023467</v>
      </c>
    </row>
    <row r="65">
      <c r="B65" s="12" t="inlineStr">
        <is>
          <t>MoIC</t>
        </is>
      </c>
    </row>
    <row r="66">
      <c r="B66" s="26">
        <f>B54</f>
        <v>6</v>
      </c>
      <c r="F66" s="27">
        <f>IF(($D54*(1-$E$45))&lt;=0,0,F54/($D54*(1-$E$45)))</f>
        <v>24.4746625796685</v>
      </c>
      <c r="G66" s="27">
        <f>IF(($D54*(1-$E$45))&lt;=0,0,G54/($D54*(1-$E$45)))</f>
        <v>27.9459871067084</v>
      </c>
      <c r="H66" s="27">
        <f>IF(($D54*(1-$E$45))&lt;=0,0,H54/($D54*(1-$E$45)))</f>
        <v>31.4173116337482</v>
      </c>
      <c r="I66" s="27">
        <f>IF(($D54*(1-$E$45))&lt;=0,0,I54/($D54*(1-$E$45)))</f>
        <v>34.888636160788</v>
      </c>
      <c r="J66" s="27">
        <f>IF(($D54*(1-$E$45))&lt;=0,0,J54/($D54*(1-$E$45)))</f>
        <v>38.3599606878278</v>
      </c>
    </row>
    <row r="67">
      <c r="B67" s="26">
        <f>B55</f>
        <v>6.5</v>
      </c>
      <c r="F67" s="27">
        <f>IF(($D55*(1-$E$45))&lt;=0,0,F55/($D55*(1-$E$45)))</f>
        <v>17.0302089300725</v>
      </c>
      <c r="G67" s="27">
        <f>IF(($D55*(1-$E$45))&lt;=0,0,G55/($D55*(1-$E$45)))</f>
        <v>19.7891628037475</v>
      </c>
      <c r="H67" s="27">
        <f>IF(($D55*(1-$E$45))&lt;=0,0,H55/($D55*(1-$E$45)))</f>
        <v>22.5481166774224</v>
      </c>
      <c r="I67" s="27">
        <f>IF(($D55*(1-$E$45))&lt;=0,0,I55/($D55*(1-$E$45)))</f>
        <v>25.3070705510974</v>
      </c>
      <c r="J67" s="27">
        <f>IF(($D55*(1-$E$45))&lt;=0,0,J55/($D55*(1-$E$45)))</f>
        <v>28.0660244247723</v>
      </c>
    </row>
    <row r="68">
      <c r="B68" s="26">
        <f>B56</f>
        <v>7</v>
      </c>
      <c r="F68" s="27">
        <f>IF(($D56*(1-$E$45))&lt;=0,0,F56/($D56*(1-$E$45)))</f>
        <v>12.1209353457672</v>
      </c>
      <c r="G68" s="27">
        <f>IF(($D56*(1-$E$45))&lt;=0,0,G56/($D56*(1-$E$45)))</f>
        <v>14.4101136529049</v>
      </c>
      <c r="H68" s="27">
        <f>IF(($D56*(1-$E$45))&lt;=0,0,H56/($D56*(1-$E$45)))</f>
        <v>16.6992919600427</v>
      </c>
      <c r="I68" s="27">
        <f>IF(($D56*(1-$E$45))&lt;=0,0,I56/($D56*(1-$E$45)))</f>
        <v>18.9884702671805</v>
      </c>
      <c r="J68" s="27">
        <f>IF(($D56*(1-$E$45))&lt;=0,0,J56/($D56*(1-$E$45)))</f>
        <v>21.2776485743183</v>
      </c>
    </row>
    <row r="69">
      <c r="B69" s="26">
        <f>B57</f>
        <v>7.5</v>
      </c>
      <c r="F69" s="27">
        <f>IF(($D57*(1-$E$45))&lt;=0,0,F57/($D57*(1-$E$45)))</f>
        <v>8.64024648623293</v>
      </c>
      <c r="G69" s="27">
        <f>IF(($D57*(1-$E$45))&lt;=0,0,G57/($D57*(1-$E$45)))</f>
        <v>10.5963525877078</v>
      </c>
      <c r="H69" s="27">
        <f>IF(($D57*(1-$E$45))&lt;=0,0,H57/($D57*(1-$E$45)))</f>
        <v>12.5524586891827</v>
      </c>
      <c r="I69" s="27">
        <f>IF(($D57*(1-$E$45))&lt;=0,0,I57/($D57*(1-$E$45)))</f>
        <v>14.5085647906576</v>
      </c>
      <c r="J69" s="27">
        <f>IF(($D57*(1-$E$45))&lt;=0,0,J57/($D57*(1-$E$45)))</f>
        <v>16.4646708921324</v>
      </c>
    </row>
    <row r="70">
      <c r="B70" s="26">
        <f>B58</f>
        <v>8</v>
      </c>
      <c r="F70" s="27">
        <f>IF(($D58*(1-$E$45))&lt;=0,0,F58/($D58*(1-$E$45)))</f>
        <v>6.04377575155908</v>
      </c>
      <c r="G70" s="27">
        <f>IF(($D58*(1-$E$45))&lt;=0,0,G58/($D58*(1-$E$45)))</f>
        <v>7.75142177244728</v>
      </c>
      <c r="H70" s="27">
        <f>IF(($D58*(1-$E$45))&lt;=0,0,H58/($D58*(1-$E$45)))</f>
        <v>9.45906779333548</v>
      </c>
      <c r="I70" s="27">
        <f>IF(($D58*(1-$E$45))&lt;=0,0,I58/($D58*(1-$E$45)))</f>
        <v>11.1667138142237</v>
      </c>
      <c r="J70" s="27">
        <f>IF(($D58*(1-$E$45))&lt;=0,0,J58/($D58*(1-$E$45)))</f>
        <v>12.8743598351119</v>
      </c>
    </row>
    <row r="73">
      <c r="B73" s="21" t="inlineStr">
        <is>
          <t>Gross Returns - Preferred Equity (8% accreting)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</row>
    <row r="74">
      <c r="B74" s="11" t="inlineStr">
        <is>
          <t>Exit Multiple (x exit-year EBITDA)</t>
        </is>
      </c>
      <c r="F74" s="23" t="n">
        <v>6</v>
      </c>
      <c r="G74" s="23" t="n">
        <v>6.5</v>
      </c>
      <c r="H74" s="23" t="n">
        <v>7</v>
      </c>
      <c r="I74" s="23" t="n">
        <v>7.5</v>
      </c>
      <c r="J74" s="23" t="n">
        <v>8</v>
      </c>
    </row>
    <row r="75">
      <c r="B75" s="11" t="inlineStr">
        <is>
          <t>Sale Price (Enterprise Value at exit)</t>
        </is>
      </c>
      <c r="F75" s="24">
        <f>F74*$E$36</f>
        <v>70528.0575240438</v>
      </c>
      <c r="G75" s="24">
        <f>G74*$E$36</f>
        <v>76405.3956510474</v>
      </c>
      <c r="H75" s="24">
        <f>H74*$E$36</f>
        <v>82282.7337780511</v>
      </c>
      <c r="I75" s="24">
        <f>I74*$E$36</f>
        <v>88160.0719050547</v>
      </c>
      <c r="J75" s="24">
        <f>J74*$E$36</f>
        <v>94037.4100320584</v>
      </c>
    </row>
    <row r="76">
      <c r="B76" s="13" t="inlineStr">
        <is>
          <t>Entry Multiple</t>
        </is>
      </c>
      <c r="C76" s="14" t="inlineStr">
        <is>
          <t>Purchase Price</t>
        </is>
      </c>
      <c r="D76" s="14" t="inlineStr">
        <is>
          <t>Total Equity at Entry</t>
        </is>
      </c>
      <c r="E76" s="14" t="inlineStr">
        <is>
          <t>Pfd Accreted at Exit</t>
        </is>
      </c>
      <c r="F76" s="12" t="inlineStr">
        <is>
          <t>Preferred Equity Proceeds</t>
        </is>
      </c>
    </row>
    <row r="77">
      <c r="B77" s="25" t="n">
        <v>6</v>
      </c>
      <c r="C77" s="24">
        <f>B77*$E$35</f>
        <v>47214</v>
      </c>
      <c r="D77" s="24">
        <f>C77+$E$39-$E$38</f>
        <v>15238</v>
      </c>
      <c r="E77" s="24">
        <f>D77*$E$45*(1+$E$46)^5</f>
        <v>20150.6591108506</v>
      </c>
      <c r="F77" s="24">
        <f>MIN((F$75-$E$40-$E$41),$E77)</f>
        <v>20150.6591108506</v>
      </c>
      <c r="G77" s="24">
        <f>MIN((G$75-$E$40-$E$41),$E77)</f>
        <v>20150.6591108506</v>
      </c>
      <c r="H77" s="24">
        <f>MIN((H$75-$E$40-$E$41),$E77)</f>
        <v>20150.6591108506</v>
      </c>
      <c r="I77" s="24">
        <f>MIN((I$75-$E$40-$E$41),$E77)</f>
        <v>20150.6591108506</v>
      </c>
      <c r="J77" s="24">
        <f>MIN((J$75-$E$40-$E$41),$E77)</f>
        <v>20150.6591108506</v>
      </c>
    </row>
    <row r="78">
      <c r="B78" s="25" t="n">
        <v>6.5</v>
      </c>
      <c r="C78" s="24">
        <f>B78*$E$35</f>
        <v>51148.5</v>
      </c>
      <c r="D78" s="24">
        <f>C78+$E$39-$E$38</f>
        <v>19172.5</v>
      </c>
      <c r="E78" s="24">
        <f>D78*$E$45*(1+$E$46)^5</f>
        <v>25353.6232972032</v>
      </c>
      <c r="F78" s="24">
        <f>MIN((F$75-$E$40-$E$41),$E78)</f>
        <v>25353.6232972032</v>
      </c>
      <c r="G78" s="24">
        <f>MIN((G$75-$E$40-$E$41),$E78)</f>
        <v>25353.6232972032</v>
      </c>
      <c r="H78" s="24">
        <f>MIN((H$75-$E$40-$E$41),$E78)</f>
        <v>25353.6232972032</v>
      </c>
      <c r="I78" s="24">
        <f>MIN((I$75-$E$40-$E$41),$E78)</f>
        <v>25353.6232972032</v>
      </c>
      <c r="J78" s="24">
        <f>MIN((J$75-$E$40-$E$41),$E78)</f>
        <v>25353.6232972032</v>
      </c>
    </row>
    <row r="79">
      <c r="B79" s="25" t="n">
        <v>7</v>
      </c>
      <c r="C79" s="24">
        <f>B79*$E$35</f>
        <v>55083</v>
      </c>
      <c r="D79" s="24">
        <f>C79+$E$39-$E$38</f>
        <v>23107</v>
      </c>
      <c r="E79" s="24">
        <f>D79*$E$45*(1+$E$46)^5</f>
        <v>30556.5874835559</v>
      </c>
      <c r="F79" s="24">
        <f>MIN((F$75-$E$40-$E$41),$E79)</f>
        <v>30556.5874835559</v>
      </c>
      <c r="G79" s="24">
        <f>MIN((G$75-$E$40-$E$41),$E79)</f>
        <v>30556.5874835559</v>
      </c>
      <c r="H79" s="24">
        <f>MIN((H$75-$E$40-$E$41),$E79)</f>
        <v>30556.5874835559</v>
      </c>
      <c r="I79" s="24">
        <f>MIN((I$75-$E$40-$E$41),$E79)</f>
        <v>30556.5874835559</v>
      </c>
      <c r="J79" s="24">
        <f>MIN((J$75-$E$40-$E$41),$E79)</f>
        <v>30556.5874835559</v>
      </c>
    </row>
    <row r="80">
      <c r="B80" s="25" t="n">
        <v>7.5</v>
      </c>
      <c r="C80" s="24">
        <f>B80*$E$35</f>
        <v>59017.5</v>
      </c>
      <c r="D80" s="24">
        <f>C80+$E$39-$E$38</f>
        <v>27041.5</v>
      </c>
      <c r="E80" s="24">
        <f>D80*$E$45*(1+$E$46)^5</f>
        <v>35759.5516699085</v>
      </c>
      <c r="F80" s="24">
        <f>MIN((F$75-$E$40-$E$41),$E80)</f>
        <v>35759.5516699085</v>
      </c>
      <c r="G80" s="24">
        <f>MIN((G$75-$E$40-$E$41),$E80)</f>
        <v>35759.5516699085</v>
      </c>
      <c r="H80" s="24">
        <f>MIN((H$75-$E$40-$E$41),$E80)</f>
        <v>35759.5516699085</v>
      </c>
      <c r="I80" s="24">
        <f>MIN((I$75-$E$40-$E$41),$E80)</f>
        <v>35759.5516699085</v>
      </c>
      <c r="J80" s="24">
        <f>MIN((J$75-$E$40-$E$41),$E80)</f>
        <v>35759.5516699085</v>
      </c>
    </row>
    <row r="81">
      <c r="B81" s="25" t="n">
        <v>8</v>
      </c>
      <c r="C81" s="24">
        <f>B81*$E$35</f>
        <v>62952</v>
      </c>
      <c r="D81" s="24">
        <f>C81+$E$39-$E$38</f>
        <v>30976</v>
      </c>
      <c r="E81" s="24">
        <f>D81*$E$45*(1+$E$46)^5</f>
        <v>40962.5158562611</v>
      </c>
      <c r="F81" s="24">
        <f>MIN((F$75-$E$40-$E$41),$E81)</f>
        <v>40962.5158562611</v>
      </c>
      <c r="G81" s="24">
        <f>MIN((G$75-$E$40-$E$41),$E81)</f>
        <v>40962.5158562611</v>
      </c>
      <c r="H81" s="24">
        <f>MIN((H$75-$E$40-$E$41),$E81)</f>
        <v>40962.5158562611</v>
      </c>
      <c r="I81" s="24">
        <f>MIN((I$75-$E$40-$E$41),$E81)</f>
        <v>40962.5158562611</v>
      </c>
      <c r="J81" s="24">
        <f>MIN((J$75-$E$40-$E$41),$E81)</f>
        <v>40962.5158562611</v>
      </c>
    </row>
    <row r="82">
      <c r="B82" s="12" t="inlineStr">
        <is>
          <t>IRR</t>
        </is>
      </c>
      <c r="F82" s="5" t="inlineStr">
        <is>
          <t>Exit multiple -&gt;</t>
        </is>
      </c>
    </row>
    <row r="83">
      <c r="B83" s="26">
        <f>B77</f>
        <v>6</v>
      </c>
      <c r="F83" s="15">
        <f>IF(($D77*$E$45)&lt;=0,0,(F77/($D77*$E$45))^(1/5)-1)</f>
        <v>0.0800000000000001</v>
      </c>
      <c r="G83" s="15">
        <f>IF(($D77*$E$45)&lt;=0,0,(G77/($D77*$E$45))^(1/5)-1)</f>
        <v>0.0800000000000001</v>
      </c>
      <c r="H83" s="15">
        <f>IF(($D77*$E$45)&lt;=0,0,(H77/($D77*$E$45))^(1/5)-1)</f>
        <v>0.0800000000000001</v>
      </c>
      <c r="I83" s="15">
        <f>IF(($D77*$E$45)&lt;=0,0,(I77/($D77*$E$45))^(1/5)-1)</f>
        <v>0.0800000000000001</v>
      </c>
      <c r="J83" s="15">
        <f>IF(($D77*$E$45)&lt;=0,0,(J77/($D77*$E$45))^(1/5)-1)</f>
        <v>0.0800000000000001</v>
      </c>
    </row>
    <row r="84">
      <c r="B84" s="26">
        <f>B78</f>
        <v>6.5</v>
      </c>
      <c r="F84" s="15">
        <f>IF(($D78*$E$45)&lt;=0,0,(F78/($D78*$E$45))^(1/5)-1)</f>
        <v>0.0800000000000001</v>
      </c>
      <c r="G84" s="15">
        <f>IF(($D78*$E$45)&lt;=0,0,(G78/($D78*$E$45))^(1/5)-1)</f>
        <v>0.0800000000000001</v>
      </c>
      <c r="H84" s="15">
        <f>IF(($D78*$E$45)&lt;=0,0,(H78/($D78*$E$45))^(1/5)-1)</f>
        <v>0.0800000000000001</v>
      </c>
      <c r="I84" s="15">
        <f>IF(($D78*$E$45)&lt;=0,0,(I78/($D78*$E$45))^(1/5)-1)</f>
        <v>0.0800000000000001</v>
      </c>
      <c r="J84" s="15">
        <f>IF(($D78*$E$45)&lt;=0,0,(J78/($D78*$E$45))^(1/5)-1)</f>
        <v>0.0800000000000001</v>
      </c>
    </row>
    <row r="85">
      <c r="B85" s="26">
        <f>B79</f>
        <v>7</v>
      </c>
      <c r="F85" s="15">
        <f>IF(($D79*$E$45)&lt;=0,0,(F79/($D79*$E$45))^(1/5)-1)</f>
        <v>0.0800000000000001</v>
      </c>
      <c r="G85" s="15">
        <f>IF(($D79*$E$45)&lt;=0,0,(G79/($D79*$E$45))^(1/5)-1)</f>
        <v>0.0800000000000001</v>
      </c>
      <c r="H85" s="15">
        <f>IF(($D79*$E$45)&lt;=0,0,(H79/($D79*$E$45))^(1/5)-1)</f>
        <v>0.0800000000000001</v>
      </c>
      <c r="I85" s="15">
        <f>IF(($D79*$E$45)&lt;=0,0,(I79/($D79*$E$45))^(1/5)-1)</f>
        <v>0.0800000000000001</v>
      </c>
      <c r="J85" s="15">
        <f>IF(($D79*$E$45)&lt;=0,0,(J79/($D79*$E$45))^(1/5)-1)</f>
        <v>0.0800000000000001</v>
      </c>
    </row>
    <row r="86">
      <c r="B86" s="26">
        <f>B80</f>
        <v>7.5</v>
      </c>
      <c r="F86" s="15">
        <f>IF(($D80*$E$45)&lt;=0,0,(F80/($D80*$E$45))^(1/5)-1)</f>
        <v>0.0800000000000001</v>
      </c>
      <c r="G86" s="15">
        <f>IF(($D80*$E$45)&lt;=0,0,(G80/($D80*$E$45))^(1/5)-1)</f>
        <v>0.0800000000000001</v>
      </c>
      <c r="H86" s="15">
        <f>IF(($D80*$E$45)&lt;=0,0,(H80/($D80*$E$45))^(1/5)-1)</f>
        <v>0.0800000000000001</v>
      </c>
      <c r="I86" s="15">
        <f>IF(($D80*$E$45)&lt;=0,0,(I80/($D80*$E$45))^(1/5)-1)</f>
        <v>0.0800000000000001</v>
      </c>
      <c r="J86" s="15">
        <f>IF(($D80*$E$45)&lt;=0,0,(J80/($D80*$E$45))^(1/5)-1)</f>
        <v>0.0800000000000001</v>
      </c>
    </row>
    <row r="87">
      <c r="B87" s="26">
        <f>B81</f>
        <v>8</v>
      </c>
      <c r="F87" s="15">
        <f>IF(($D81*$E$45)&lt;=0,0,(F81/($D81*$E$45))^(1/5)-1)</f>
        <v>0.0800000000000001</v>
      </c>
      <c r="G87" s="15">
        <f>IF(($D81*$E$45)&lt;=0,0,(G81/($D81*$E$45))^(1/5)-1)</f>
        <v>0.0800000000000001</v>
      </c>
      <c r="H87" s="15">
        <f>IF(($D81*$E$45)&lt;=0,0,(H81/($D81*$E$45))^(1/5)-1)</f>
        <v>0.0800000000000001</v>
      </c>
      <c r="I87" s="15">
        <f>IF(($D81*$E$45)&lt;=0,0,(I81/($D81*$E$45))^(1/5)-1)</f>
        <v>0.0800000000000001</v>
      </c>
      <c r="J87" s="15">
        <f>IF(($D81*$E$45)&lt;=0,0,(J81/($D81*$E$45))^(1/5)-1)</f>
        <v>0.0800000000000001</v>
      </c>
    </row>
    <row r="88">
      <c r="B88" s="12" t="inlineStr">
        <is>
          <t>MoIC</t>
        </is>
      </c>
    </row>
    <row r="89">
      <c r="B89" s="26">
        <f>B77</f>
        <v>6</v>
      </c>
      <c r="F89" s="27">
        <f>IF(($D77*$E$45)&lt;=0,0,F77/($D77*$E$45))</f>
        <v>1.4693280768</v>
      </c>
      <c r="G89" s="27">
        <f>IF(($D77*$E$45)&lt;=0,0,G77/($D77*$E$45))</f>
        <v>1.4693280768</v>
      </c>
      <c r="H89" s="27">
        <f>IF(($D77*$E$45)&lt;=0,0,H77/($D77*$E$45))</f>
        <v>1.4693280768</v>
      </c>
      <c r="I89" s="27">
        <f>IF(($D77*$E$45)&lt;=0,0,I77/($D77*$E$45))</f>
        <v>1.4693280768</v>
      </c>
      <c r="J89" s="27">
        <f>IF(($D77*$E$45)&lt;=0,0,J77/($D77*$E$45))</f>
        <v>1.4693280768</v>
      </c>
    </row>
    <row r="90">
      <c r="B90" s="26">
        <f>B78</f>
        <v>6.5</v>
      </c>
      <c r="F90" s="27">
        <f>IF(($D78*$E$45)&lt;=0,0,F78/($D78*$E$45))</f>
        <v>1.4693280768</v>
      </c>
      <c r="G90" s="27">
        <f>IF(($D78*$E$45)&lt;=0,0,G78/($D78*$E$45))</f>
        <v>1.4693280768</v>
      </c>
      <c r="H90" s="27">
        <f>IF(($D78*$E$45)&lt;=0,0,H78/($D78*$E$45))</f>
        <v>1.4693280768</v>
      </c>
      <c r="I90" s="27">
        <f>IF(($D78*$E$45)&lt;=0,0,I78/($D78*$E$45))</f>
        <v>1.4693280768</v>
      </c>
      <c r="J90" s="27">
        <f>IF(($D78*$E$45)&lt;=0,0,J78/($D78*$E$45))</f>
        <v>1.4693280768</v>
      </c>
    </row>
    <row r="91">
      <c r="B91" s="26">
        <f>B79</f>
        <v>7</v>
      </c>
      <c r="F91" s="27">
        <f>IF(($D79*$E$45)&lt;=0,0,F79/($D79*$E$45))</f>
        <v>1.4693280768</v>
      </c>
      <c r="G91" s="27">
        <f>IF(($D79*$E$45)&lt;=0,0,G79/($D79*$E$45))</f>
        <v>1.4693280768</v>
      </c>
      <c r="H91" s="27">
        <f>IF(($D79*$E$45)&lt;=0,0,H79/($D79*$E$45))</f>
        <v>1.4693280768</v>
      </c>
      <c r="I91" s="27">
        <f>IF(($D79*$E$45)&lt;=0,0,I79/($D79*$E$45))</f>
        <v>1.4693280768</v>
      </c>
      <c r="J91" s="27">
        <f>IF(($D79*$E$45)&lt;=0,0,J79/($D79*$E$45))</f>
        <v>1.4693280768</v>
      </c>
    </row>
    <row r="92">
      <c r="B92" s="26">
        <f>B80</f>
        <v>7.5</v>
      </c>
      <c r="F92" s="27">
        <f>IF(($D80*$E$45)&lt;=0,0,F80/($D80*$E$45))</f>
        <v>1.4693280768</v>
      </c>
      <c r="G92" s="27">
        <f>IF(($D80*$E$45)&lt;=0,0,G80/($D80*$E$45))</f>
        <v>1.4693280768</v>
      </c>
      <c r="H92" s="27">
        <f>IF(($D80*$E$45)&lt;=0,0,H80/($D80*$E$45))</f>
        <v>1.4693280768</v>
      </c>
      <c r="I92" s="27">
        <f>IF(($D80*$E$45)&lt;=0,0,I80/($D80*$E$45))</f>
        <v>1.4693280768</v>
      </c>
      <c r="J92" s="27">
        <f>IF(($D80*$E$45)&lt;=0,0,J80/($D80*$E$45))</f>
        <v>1.4693280768</v>
      </c>
    </row>
    <row r="93">
      <c r="B93" s="26">
        <f>B81</f>
        <v>8</v>
      </c>
      <c r="F93" s="27">
        <f>IF(($D81*$E$45)&lt;=0,0,F81/($D81*$E$45))</f>
        <v>1.4693280768</v>
      </c>
      <c r="G93" s="27">
        <f>IF(($D81*$E$45)&lt;=0,0,G81/($D81*$E$45))</f>
        <v>1.4693280768</v>
      </c>
      <c r="H93" s="27">
        <f>IF(($D81*$E$45)&lt;=0,0,H81/($D81*$E$45))</f>
        <v>1.4693280768</v>
      </c>
      <c r="I93" s="27">
        <f>IF(($D81*$E$45)&lt;=0,0,I81/($D81*$E$45))</f>
        <v>1.4693280768</v>
      </c>
      <c r="J93" s="27">
        <f>IF(($D81*$E$45)&lt;=0,0,J81/($D81*$E$45))</f>
        <v>1.4693280768</v>
      </c>
    </row>
    <row r="96">
      <c r="B96" s="12" t="inlineStr">
        <is>
          <t>Illustrative Gross Returns for Strip Investment of Common and Preferred</t>
        </is>
      </c>
    </row>
    <row r="97">
      <c r="B97" s="6" t="inlineStr">
        <is>
          <t>Strip proportions:</t>
        </is>
      </c>
      <c r="C97" s="6" t="inlineStr">
        <is>
          <t>Common</t>
        </is>
      </c>
      <c r="D97" s="15">
        <f>1-$E$45</f>
        <v>0.1</v>
      </c>
      <c r="E97" s="6" t="inlineStr">
        <is>
          <t>Preferred</t>
        </is>
      </c>
      <c r="F97" s="15">
        <f>$E$45</f>
        <v>0.9</v>
      </c>
    </row>
    <row r="99">
      <c r="B99" s="21" t="inlineStr">
        <is>
          <t>Strip IRR &amp; MoIC (weighted Common + Preferred)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</row>
    <row r="100">
      <c r="B100" s="11" t="inlineStr">
        <is>
          <t>Exit Multiple (x exit-year EBITDA)</t>
        </is>
      </c>
      <c r="F100" s="23" t="n">
        <v>6</v>
      </c>
      <c r="G100" s="23" t="n">
        <v>6.5</v>
      </c>
      <c r="H100" s="23" t="n">
        <v>7</v>
      </c>
      <c r="I100" s="23" t="n">
        <v>7.5</v>
      </c>
      <c r="J100" s="23" t="n">
        <v>8</v>
      </c>
    </row>
    <row r="101">
      <c r="B101" s="11" t="inlineStr">
        <is>
          <t>Sale Price (Enterprise Value at exit)</t>
        </is>
      </c>
      <c r="F101" s="24">
        <f>F100*$E$36</f>
        <v>70528.0575240438</v>
      </c>
      <c r="G101" s="24">
        <f>G100*$E$36</f>
        <v>76405.3956510474</v>
      </c>
      <c r="H101" s="24">
        <f>H100*$E$36</f>
        <v>82282.7337780511</v>
      </c>
      <c r="I101" s="24">
        <f>I100*$E$36</f>
        <v>88160.0719050547</v>
      </c>
      <c r="J101" s="24">
        <f>J100*$E$36</f>
        <v>94037.4100320584</v>
      </c>
    </row>
    <row r="102">
      <c r="B102" s="13" t="inlineStr">
        <is>
          <t>Entry Multiple</t>
        </is>
      </c>
      <c r="C102" s="14" t="inlineStr">
        <is>
          <t>Purchase Price</t>
        </is>
      </c>
      <c r="D102" s="14" t="inlineStr">
        <is>
          <t>Total Equity at Entry</t>
        </is>
      </c>
      <c r="E102" s="14" t="inlineStr">
        <is>
          <t>Pfd Accreted at Exit</t>
        </is>
      </c>
      <c r="F102" s="12" t="inlineStr">
        <is>
          <t>Strip Proceeds (Common + Preferred)</t>
        </is>
      </c>
    </row>
    <row r="103">
      <c r="B103" s="25" t="n">
        <v>6</v>
      </c>
      <c r="C103" s="24">
        <f>B103*$E$35</f>
        <v>47214</v>
      </c>
      <c r="D103" s="24">
        <f>C103+$E$39-$E$38</f>
        <v>15238</v>
      </c>
      <c r="E103" s="24">
        <f>D103*$E$45*(1+$E$46)^5</f>
        <v>20150.6591108506</v>
      </c>
      <c r="F103" s="24">
        <f>MIN((F$101-$E$40-$E$41),$E103)+(MIN((F$101-$E$40-$E$41)-MIN((F$101-$E$40-$E$41),$E103),($D103*(1-$E$45)))+(1-$E$47)*MAX(0,(F$101-$E$40-$E$41)-MIN((F$101-$E$40-$E$41),$E103)-($D103*(1-$E$45))))</f>
        <v>57445.1499497495</v>
      </c>
      <c r="G103" s="24">
        <f>MIN((G$101-$E$40-$E$41),$E103)+(MIN((G$101-$E$40-$E$41)-MIN((G$101-$E$40-$E$41),$E103),($D103*(1-$E$45)))+(1-$E$47)*MAX(0,(G$101-$E$40-$E$41)-MIN((G$101-$E$40-$E$41),$E103)-($D103*(1-$E$45))))</f>
        <v>62734.7542640528</v>
      </c>
      <c r="H103" s="24">
        <f>MIN((H$101-$E$40-$E$41),$E103)+(MIN((H$101-$E$40-$E$41)-MIN((H$101-$E$40-$E$41),$E103),($D103*(1-$E$45)))+(1-$E$47)*MAX(0,(H$101-$E$40-$E$41)-MIN((H$101-$E$40-$E$41),$E103)-($D103*(1-$E$45))))</f>
        <v>68024.3585783561</v>
      </c>
      <c r="I103" s="24">
        <f>MIN((I$101-$E$40-$E$41),$E103)+(MIN((I$101-$E$40-$E$41)-MIN((I$101-$E$40-$E$41),$E103),($D103*(1-$E$45)))+(1-$E$47)*MAX(0,(I$101-$E$40-$E$41)-MIN((I$101-$E$40-$E$41),$E103)-($D103*(1-$E$45))))</f>
        <v>73313.9628926593</v>
      </c>
      <c r="J103" s="24">
        <f>MIN((J$101-$E$40-$E$41),$E103)+(MIN((J$101-$E$40-$E$41)-MIN((J$101-$E$40-$E$41),$E103),($D103*(1-$E$45)))+(1-$E$47)*MAX(0,(J$101-$E$40-$E$41)-MIN((J$101-$E$40-$E$41),$E103)-($D103*(1-$E$45))))</f>
        <v>78603.5672069626</v>
      </c>
    </row>
    <row r="104">
      <c r="B104" s="25" t="n">
        <v>6.5</v>
      </c>
      <c r="C104" s="24">
        <f>B104*$E$35</f>
        <v>51148.5</v>
      </c>
      <c r="D104" s="24">
        <f>C104+$E$39-$E$38</f>
        <v>19172.5</v>
      </c>
      <c r="E104" s="24">
        <f>D104*$E$45*(1+$E$46)^5</f>
        <v>25353.6232972032</v>
      </c>
      <c r="F104" s="24">
        <f>MIN((F$101-$E$40-$E$41),$E104)+(MIN((F$101-$E$40-$E$41)-MIN((F$101-$E$40-$E$41),$E104),($D104*(1-$E$45)))+(1-$E$47)*MAX(0,(F$101-$E$40-$E$41)-MIN((F$101-$E$40-$E$41),$E104)-($D104*(1-$E$45))))</f>
        <v>58004.7913683847</v>
      </c>
      <c r="G104" s="24">
        <f>MIN((G$101-$E$40-$E$41),$E104)+(MIN((G$101-$E$40-$E$41)-MIN((G$101-$E$40-$E$41),$E104),($D104*(1-$E$45)))+(1-$E$47)*MAX(0,(G$101-$E$40-$E$41)-MIN((G$101-$E$40-$E$41),$E104)-($D104*(1-$E$45))))</f>
        <v>63294.395682688</v>
      </c>
      <c r="H104" s="24">
        <f>MIN((H$101-$E$40-$E$41),$E104)+(MIN((H$101-$E$40-$E$41)-MIN((H$101-$E$40-$E$41),$E104),($D104*(1-$E$45)))+(1-$E$47)*MAX(0,(H$101-$E$40-$E$41)-MIN((H$101-$E$40-$E$41),$E104)-($D104*(1-$E$45))))</f>
        <v>68583.9999969913</v>
      </c>
      <c r="I104" s="24">
        <f>MIN((I$101-$E$40-$E$41),$E104)+(MIN((I$101-$E$40-$E$41)-MIN((I$101-$E$40-$E$41),$E104),($D104*(1-$E$45)))+(1-$E$47)*MAX(0,(I$101-$E$40-$E$41)-MIN((I$101-$E$40-$E$41),$E104)-($D104*(1-$E$45))))</f>
        <v>73873.6043112946</v>
      </c>
      <c r="J104" s="24">
        <f>MIN((J$101-$E$40-$E$41),$E104)+(MIN((J$101-$E$40-$E$41)-MIN((J$101-$E$40-$E$41),$E104),($D104*(1-$E$45)))+(1-$E$47)*MAX(0,(J$101-$E$40-$E$41)-MIN((J$101-$E$40-$E$41),$E104)-($D104*(1-$E$45))))</f>
        <v>79163.2086255979</v>
      </c>
    </row>
    <row r="105">
      <c r="B105" s="25" t="n">
        <v>7</v>
      </c>
      <c r="C105" s="24">
        <f>B105*$E$35</f>
        <v>55083</v>
      </c>
      <c r="D105" s="24">
        <f>C105+$E$39-$E$38</f>
        <v>23107</v>
      </c>
      <c r="E105" s="24">
        <f>D105*$E$45*(1+$E$46)^5</f>
        <v>30556.5874835559</v>
      </c>
      <c r="F105" s="24">
        <f>MIN((F$101-$E$40-$E$41),$E105)+(MIN((F$101-$E$40-$E$41)-MIN((F$101-$E$40-$E$41),$E105),($D105*(1-$E$45)))+(1-$E$47)*MAX(0,(F$101-$E$40-$E$41)-MIN((F$101-$E$40-$E$41),$E105)-($D105*(1-$E$45))))</f>
        <v>58564.43278702</v>
      </c>
      <c r="G105" s="24">
        <f>MIN((G$101-$E$40-$E$41),$E105)+(MIN((G$101-$E$40-$E$41)-MIN((G$101-$E$40-$E$41),$E105),($D105*(1-$E$45)))+(1-$E$47)*MAX(0,(G$101-$E$40-$E$41)-MIN((G$101-$E$40-$E$41),$E105)-($D105*(1-$E$45))))</f>
        <v>63854.0371013233</v>
      </c>
      <c r="H105" s="24">
        <f>MIN((H$101-$E$40-$E$41),$E105)+(MIN((H$101-$E$40-$E$41)-MIN((H$101-$E$40-$E$41),$E105),($D105*(1-$E$45)))+(1-$E$47)*MAX(0,(H$101-$E$40-$E$41)-MIN((H$101-$E$40-$E$41),$E105)-($D105*(1-$E$45))))</f>
        <v>69143.6414156266</v>
      </c>
      <c r="I105" s="24">
        <f>MIN((I$101-$E$40-$E$41),$E105)+(MIN((I$101-$E$40-$E$41)-MIN((I$101-$E$40-$E$41),$E105),($D105*(1-$E$45)))+(1-$E$47)*MAX(0,(I$101-$E$40-$E$41)-MIN((I$101-$E$40-$E$41),$E105)-($D105*(1-$E$45))))</f>
        <v>74433.2457299299</v>
      </c>
      <c r="J105" s="24">
        <f>MIN((J$101-$E$40-$E$41),$E105)+(MIN((J$101-$E$40-$E$41)-MIN((J$101-$E$40-$E$41),$E105),($D105*(1-$E$45)))+(1-$E$47)*MAX(0,(J$101-$E$40-$E$41)-MIN((J$101-$E$40-$E$41),$E105)-($D105*(1-$E$45))))</f>
        <v>79722.8500442331</v>
      </c>
    </row>
    <row r="106">
      <c r="B106" s="25" t="n">
        <v>7.5</v>
      </c>
      <c r="C106" s="24">
        <f>B106*$E$35</f>
        <v>59017.5</v>
      </c>
      <c r="D106" s="24">
        <f>C106+$E$39-$E$38</f>
        <v>27041.5</v>
      </c>
      <c r="E106" s="24">
        <f>D106*$E$45*(1+$E$46)^5</f>
        <v>35759.5516699085</v>
      </c>
      <c r="F106" s="24">
        <f>MIN((F$101-$E$40-$E$41),$E106)+(MIN((F$101-$E$40-$E$41)-MIN((F$101-$E$40-$E$41),$E106),($D106*(1-$E$45)))+(1-$E$47)*MAX(0,(F$101-$E$40-$E$41)-MIN((F$101-$E$40-$E$41),$E106)-($D106*(1-$E$45))))</f>
        <v>59124.0742056553</v>
      </c>
      <c r="G106" s="24">
        <f>MIN((G$101-$E$40-$E$41),$E106)+(MIN((G$101-$E$40-$E$41)-MIN((G$101-$E$40-$E$41),$E106),($D106*(1-$E$45)))+(1-$E$47)*MAX(0,(G$101-$E$40-$E$41)-MIN((G$101-$E$40-$E$41),$E106)-($D106*(1-$E$45))))</f>
        <v>64413.6785199586</v>
      </c>
      <c r="H106" s="24">
        <f>MIN((H$101-$E$40-$E$41),$E106)+(MIN((H$101-$E$40-$E$41)-MIN((H$101-$E$40-$E$41),$E106),($D106*(1-$E$45)))+(1-$E$47)*MAX(0,(H$101-$E$40-$E$41)-MIN((H$101-$E$40-$E$41),$E106)-($D106*(1-$E$45))))</f>
        <v>69703.2828342618</v>
      </c>
      <c r="I106" s="24">
        <f>MIN((I$101-$E$40-$E$41),$E106)+(MIN((I$101-$E$40-$E$41)-MIN((I$101-$E$40-$E$41),$E106),($D106*(1-$E$45)))+(1-$E$47)*MAX(0,(I$101-$E$40-$E$41)-MIN((I$101-$E$40-$E$41),$E106)-($D106*(1-$E$45))))</f>
        <v>74992.8871485651</v>
      </c>
      <c r="J106" s="24">
        <f>MIN((J$101-$E$40-$E$41),$E106)+(MIN((J$101-$E$40-$E$41)-MIN((J$101-$E$40-$E$41),$E106),($D106*(1-$E$45)))+(1-$E$47)*MAX(0,(J$101-$E$40-$E$41)-MIN((J$101-$E$40-$E$41),$E106)-($D106*(1-$E$45))))</f>
        <v>80282.4914628684</v>
      </c>
    </row>
    <row r="107">
      <c r="B107" s="25" t="n">
        <v>8</v>
      </c>
      <c r="C107" s="24">
        <f>B107*$E$35</f>
        <v>62952</v>
      </c>
      <c r="D107" s="24">
        <f>C107+$E$39-$E$38</f>
        <v>30976</v>
      </c>
      <c r="E107" s="24">
        <f>D107*$E$45*(1+$E$46)^5</f>
        <v>40962.5158562611</v>
      </c>
      <c r="F107" s="24">
        <f>MIN((F$101-$E$40-$E$41),$E107)+(MIN((F$101-$E$40-$E$41)-MIN((F$101-$E$40-$E$41),$E107),($D107*(1-$E$45)))+(1-$E$47)*MAX(0,(F$101-$E$40-$E$41)-MIN((F$101-$E$40-$E$41),$E107)-($D107*(1-$E$45))))</f>
        <v>59683.7156242905</v>
      </c>
      <c r="G107" s="24">
        <f>MIN((G$101-$E$40-$E$41),$E107)+(MIN((G$101-$E$40-$E$41)-MIN((G$101-$E$40-$E$41),$E107),($D107*(1-$E$45)))+(1-$E$47)*MAX(0,(G$101-$E$40-$E$41)-MIN((G$101-$E$40-$E$41),$E107)-($D107*(1-$E$45))))</f>
        <v>64973.3199385938</v>
      </c>
      <c r="H107" s="24">
        <f>MIN((H$101-$E$40-$E$41),$E107)+(MIN((H$101-$E$40-$E$41)-MIN((H$101-$E$40-$E$41),$E107),($D107*(1-$E$45)))+(1-$E$47)*MAX(0,(H$101-$E$40-$E$41)-MIN((H$101-$E$40-$E$41),$E107)-($D107*(1-$E$45))))</f>
        <v>70262.9242528971</v>
      </c>
      <c r="I107" s="24">
        <f>MIN((I$101-$E$40-$E$41),$E107)+(MIN((I$101-$E$40-$E$41)-MIN((I$101-$E$40-$E$41),$E107),($D107*(1-$E$45)))+(1-$E$47)*MAX(0,(I$101-$E$40-$E$41)-MIN((I$101-$E$40-$E$41),$E107)-($D107*(1-$E$45))))</f>
        <v>75552.5285672004</v>
      </c>
      <c r="J107" s="24">
        <f>MIN((J$101-$E$40-$E$41),$E107)+(MIN((J$101-$E$40-$E$41)-MIN((J$101-$E$40-$E$41),$E107),($D107*(1-$E$45)))+(1-$E$47)*MAX(0,(J$101-$E$40-$E$41)-MIN((J$101-$E$40-$E$41),$E107)-($D107*(1-$E$45))))</f>
        <v>80842.1328815037</v>
      </c>
    </row>
    <row r="108">
      <c r="B108" s="12" t="inlineStr">
        <is>
          <t>IRR</t>
        </is>
      </c>
      <c r="F108" s="5" t="inlineStr">
        <is>
          <t>Exit multiple -&gt;</t>
        </is>
      </c>
    </row>
    <row r="109">
      <c r="B109" s="26">
        <f>B103</f>
        <v>6</v>
      </c>
      <c r="F109" s="15">
        <f>IF($D103&lt;=0,0,(F103/$D103)^(1/5)-1)</f>
        <v>0.303962433095892</v>
      </c>
      <c r="G109" s="15">
        <f>IF($D103&lt;=0,0,(G103/$D103)^(1/5)-1)</f>
        <v>0.327137883459753</v>
      </c>
      <c r="H109" s="15">
        <f>IF($D103&lt;=0,0,(H103/$D103)^(1/5)-1)</f>
        <v>0.348799192350173</v>
      </c>
      <c r="I109" s="15">
        <f>IF($D103&lt;=0,0,(I103/$D103)^(1/5)-1)</f>
        <v>0.369152252446956</v>
      </c>
      <c r="J109" s="15">
        <f>IF($D103&lt;=0,0,(J103/$D103)^(1/5)-1)</f>
        <v>0.388362444187853</v>
      </c>
    </row>
    <row r="110">
      <c r="B110" s="26">
        <f>B104</f>
        <v>6.5</v>
      </c>
      <c r="F110" s="15">
        <f>IF($D104&lt;=0,0,(F104/$D104)^(1/5)-1)</f>
        <v>0.247834602673673</v>
      </c>
      <c r="G110" s="15">
        <f>IF($D104&lt;=0,0,(G104/$D104)^(1/5)-1)</f>
        <v>0.269805787757565</v>
      </c>
      <c r="H110" s="15">
        <f>IF($D104&lt;=0,0,(H104/$D104)^(1/5)-1)</f>
        <v>0.290353822967067</v>
      </c>
      <c r="I110" s="15">
        <f>IF($D104&lt;=0,0,(I104/$D104)^(1/5)-1)</f>
        <v>0.309670690696642</v>
      </c>
      <c r="J110" s="15">
        <f>IF($D104&lt;=0,0,(J104/$D104)^(1/5)-1)</f>
        <v>0.327910877565606</v>
      </c>
    </row>
    <row r="111">
      <c r="B111" s="26">
        <f>B105</f>
        <v>7</v>
      </c>
      <c r="F111" s="15">
        <f>IF($D105&lt;=0,0,(F105/$D105)^(1/5)-1)</f>
        <v>0.204420323996158</v>
      </c>
      <c r="G111" s="15">
        <f>IF($D105&lt;=0,0,(G105/$D105)^(1/5)-1)</f>
        <v>0.225431272583719</v>
      </c>
      <c r="H111" s="15">
        <f>IF($D105&lt;=0,0,(H105/$D105)^(1/5)-1)</f>
        <v>0.24509284283153</v>
      </c>
      <c r="I111" s="15">
        <f>IF($D105&lt;=0,0,(I105/$D105)^(1/5)-1)</f>
        <v>0.263585630822854</v>
      </c>
      <c r="J111" s="15">
        <f>IF($D105&lt;=0,0,(J105/$D105)^(1/5)-1)</f>
        <v>0.281055219690855</v>
      </c>
    </row>
    <row r="112">
      <c r="B112" s="26">
        <f>B106</f>
        <v>7.5</v>
      </c>
      <c r="F112" s="15">
        <f>IF($D106&lt;=0,0,(F106/$D106)^(1/5)-1)</f>
        <v>0.169355910154356</v>
      </c>
      <c r="G112" s="15">
        <f>IF($D106&lt;=0,0,(G106/$D106)^(1/5)-1)</f>
        <v>0.189568525053373</v>
      </c>
      <c r="H112" s="15">
        <f>IF($D106&lt;=0,0,(H106/$D106)^(1/5)-1)</f>
        <v>0.208493978622331</v>
      </c>
      <c r="I112" s="15">
        <f>IF($D106&lt;=0,0,(I106/$D106)^(1/5)-1)</f>
        <v>0.22630319306411</v>
      </c>
      <c r="J112" s="15">
        <f>IF($D106&lt;=0,0,(J106/$D106)^(1/5)-1)</f>
        <v>0.243134194676705</v>
      </c>
    </row>
    <row r="113">
      <c r="B113" s="26">
        <f>B107</f>
        <v>8</v>
      </c>
      <c r="F113" s="15">
        <f>IF($D107&lt;=0,0,(F107/$D107)^(1/5)-1)</f>
        <v>0.140160794647741</v>
      </c>
      <c r="G113" s="15">
        <f>IF($D107&lt;=0,0,(G107/$D107)^(1/5)-1)</f>
        <v>0.159690086266421</v>
      </c>
      <c r="H113" s="15">
        <f>IF($D107&lt;=0,0,(H107/$D107)^(1/5)-1)</f>
        <v>0.177986130116832</v>
      </c>
      <c r="I113" s="15">
        <f>IF($D107&lt;=0,0,(I107/$D107)^(1/5)-1)</f>
        <v>0.19521141872618</v>
      </c>
      <c r="J113" s="15">
        <f>IF($D107&lt;=0,0,(J107/$D107)^(1/5)-1)</f>
        <v>0.211497397387724</v>
      </c>
    </row>
    <row r="114">
      <c r="B114" s="12" t="inlineStr">
        <is>
          <t>MoIC</t>
        </is>
      </c>
    </row>
    <row r="115">
      <c r="B115" s="26">
        <f>B103</f>
        <v>6</v>
      </c>
      <c r="F115" s="27">
        <f>IF($D103&lt;=0,0,F103/$D103)</f>
        <v>3.76986152708685</v>
      </c>
      <c r="G115" s="27">
        <f>IF($D103&lt;=0,0,G103/$D103)</f>
        <v>4.11699397979084</v>
      </c>
      <c r="H115" s="27">
        <f>IF($D103&lt;=0,0,H103/$D103)</f>
        <v>4.46412643249482</v>
      </c>
      <c r="I115" s="27">
        <f>IF($D103&lt;=0,0,I103/$D103)</f>
        <v>4.8112588851988</v>
      </c>
      <c r="J115" s="27">
        <f>IF($D103&lt;=0,0,J103/$D103)</f>
        <v>5.15839133790278</v>
      </c>
    </row>
    <row r="116">
      <c r="B116" s="26">
        <f>B104</f>
        <v>6.5</v>
      </c>
      <c r="F116" s="27">
        <f>IF($D104&lt;=0,0,F104/$D104)</f>
        <v>3.02541616212725</v>
      </c>
      <c r="G116" s="27">
        <f>IF($D104&lt;=0,0,G104/$D104)</f>
        <v>3.30131154949475</v>
      </c>
      <c r="H116" s="27">
        <f>IF($D104&lt;=0,0,H104/$D104)</f>
        <v>3.57720693686224</v>
      </c>
      <c r="I116" s="27">
        <f>IF($D104&lt;=0,0,I104/$D104)</f>
        <v>3.85310232422974</v>
      </c>
      <c r="J116" s="27">
        <f>IF($D104&lt;=0,0,J104/$D104)</f>
        <v>4.12899771159723</v>
      </c>
    </row>
    <row r="117">
      <c r="B117" s="26">
        <f>B105</f>
        <v>7</v>
      </c>
      <c r="F117" s="27">
        <f>IF($D105&lt;=0,0,F105/$D105)</f>
        <v>2.53448880369672</v>
      </c>
      <c r="G117" s="27">
        <f>IF($D105&lt;=0,0,G105/$D105)</f>
        <v>2.76340663441049</v>
      </c>
      <c r="H117" s="27">
        <f>IF($D105&lt;=0,0,H105/$D105)</f>
        <v>2.99232446512427</v>
      </c>
      <c r="I117" s="27">
        <f>IF($D105&lt;=0,0,I105/$D105)</f>
        <v>3.22124229583805</v>
      </c>
      <c r="J117" s="27">
        <f>IF($D105&lt;=0,0,J105/$D105)</f>
        <v>3.45016012655183</v>
      </c>
    </row>
    <row r="118">
      <c r="B118" s="26">
        <f>B106</f>
        <v>7.5</v>
      </c>
      <c r="F118" s="27">
        <f>IF($D106&lt;=0,0,F106/$D106)</f>
        <v>2.18641991774329</v>
      </c>
      <c r="G118" s="27">
        <f>IF($D106&lt;=0,0,G106/$D106)</f>
        <v>2.38203052789078</v>
      </c>
      <c r="H118" s="27">
        <f>IF($D106&lt;=0,0,H106/$D106)</f>
        <v>2.57764113803827</v>
      </c>
      <c r="I118" s="27">
        <f>IF($D106&lt;=0,0,I106/$D106)</f>
        <v>2.77325174818576</v>
      </c>
      <c r="J118" s="27">
        <f>IF($D106&lt;=0,0,J106/$D106)</f>
        <v>2.96886235833324</v>
      </c>
    </row>
    <row r="119">
      <c r="B119" s="26">
        <f>B107</f>
        <v>8</v>
      </c>
      <c r="F119" s="27">
        <f>IF($D107&lt;=0,0,F107/$D107)</f>
        <v>1.92677284427591</v>
      </c>
      <c r="G119" s="27">
        <f>IF($D107&lt;=0,0,G107/$D107)</f>
        <v>2.09753744636473</v>
      </c>
      <c r="H119" s="27">
        <f>IF($D107&lt;=0,0,H107/$D107)</f>
        <v>2.26830204845355</v>
      </c>
      <c r="I119" s="27">
        <f>IF($D107&lt;=0,0,I107/$D107)</f>
        <v>2.43906665054237</v>
      </c>
      <c r="J119" s="27">
        <f>IF($D107&lt;=0,0,J107/$D107)</f>
        <v>2.60983125263119</v>
      </c>
    </row>
    <row r="122">
      <c r="B122" s="21" t="inlineStr">
        <is>
          <t>Net of 20% Carried Interest (carry on common profits only)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>
      <c r="B123" s="11" t="inlineStr">
        <is>
          <t>Exit Multiple (x exit-year EBITDA)</t>
        </is>
      </c>
      <c r="F123" s="23" t="n">
        <v>6</v>
      </c>
      <c r="G123" s="23" t="n">
        <v>6.5</v>
      </c>
      <c r="H123" s="23" t="n">
        <v>7</v>
      </c>
      <c r="I123" s="23" t="n">
        <v>7.5</v>
      </c>
      <c r="J123" s="23" t="n">
        <v>8</v>
      </c>
    </row>
    <row r="124">
      <c r="B124" s="11" t="inlineStr">
        <is>
          <t>Sale Price (Enterprise Value at exit)</t>
        </is>
      </c>
      <c r="F124" s="24">
        <f>F123*$E$36</f>
        <v>70528.0575240438</v>
      </c>
      <c r="G124" s="24">
        <f>G123*$E$36</f>
        <v>76405.3956510474</v>
      </c>
      <c r="H124" s="24">
        <f>H123*$E$36</f>
        <v>82282.7337780511</v>
      </c>
      <c r="I124" s="24">
        <f>I123*$E$36</f>
        <v>88160.0719050547</v>
      </c>
      <c r="J124" s="24">
        <f>J123*$E$36</f>
        <v>94037.4100320584</v>
      </c>
    </row>
    <row r="125">
      <c r="B125" s="13" t="inlineStr">
        <is>
          <t>Entry Multiple</t>
        </is>
      </c>
      <c r="C125" s="14" t="inlineStr">
        <is>
          <t>Purchase Price</t>
        </is>
      </c>
      <c r="D125" s="14" t="inlineStr">
        <is>
          <t>Total Equity at Entry</t>
        </is>
      </c>
      <c r="E125" s="14" t="inlineStr">
        <is>
          <t>Pfd Accreted at Exit</t>
        </is>
      </c>
      <c r="F125" s="12" t="inlineStr">
        <is>
          <t>Strip Proceeds net of 20% Carried Interest</t>
        </is>
      </c>
    </row>
    <row r="126">
      <c r="B126" s="25" t="n">
        <v>6</v>
      </c>
      <c r="C126" s="24">
        <f>B126*$E$35</f>
        <v>47214</v>
      </c>
      <c r="D126" s="24">
        <f>C126+$E$39-$E$38</f>
        <v>15238</v>
      </c>
      <c r="E126" s="24">
        <f>D126*$E$45*(1+$E$46)^5</f>
        <v>20150.6591108506</v>
      </c>
      <c r="F126" s="24">
        <f>MIN((F$124-$E$40-$E$41),$E126)+($D126*(1-$E$45))+(1-$E$48)*MAX(0,(MIN((F$124-$E$40-$E$41)-MIN((F$124-$E$40-$E$41),$E126),($D126*(1-$E$45)))+(1-$E$47)*MAX(0,(F$124-$E$40-$E$41)-MIN((F$124-$E$40-$E$41),$E126)-($D126*(1-$E$45))))-($D126*(1-$E$45)))+MIN(0,(MIN((F$124-$E$40-$E$41)-MIN((F$124-$E$40-$E$41),$E126),($D126*(1-$E$45)))+(1-$E$47)*MAX(0,(F$124-$E$40-$E$41)-MIN((F$124-$E$40-$E$41),$E126)-($D126*(1-$E$45))))-($D126*(1-$E$45)))</f>
        <v>50291.0117819697</v>
      </c>
      <c r="G126" s="24">
        <f>MIN((G$124-$E$40-$E$41),$E126)+($D126*(1-$E$45))+(1-$E$48)*MAX(0,(MIN((G$124-$E$40-$E$41)-MIN((G$124-$E$40-$E$41),$E126),($D126*(1-$E$45)))+(1-$E$47)*MAX(0,(G$124-$E$40-$E$41)-MIN((G$124-$E$40-$E$41),$E126)-($D126*(1-$E$45))))-($D126*(1-$E$45)))+MIN(0,(MIN((G$124-$E$40-$E$41)-MIN((G$124-$E$40-$E$41),$E126),($D126*(1-$E$45)))+(1-$E$47)*MAX(0,(G$124-$E$40-$E$41)-MIN((G$124-$E$40-$E$41),$E126)-($D126*(1-$E$45))))-($D126*(1-$E$45)))</f>
        <v>54522.6952334123</v>
      </c>
      <c r="H126" s="24">
        <f>MIN((H$124-$E$40-$E$41),$E126)+($D126*(1-$E$45))+(1-$E$48)*MAX(0,(MIN((H$124-$E$40-$E$41)-MIN((H$124-$E$40-$E$41),$E126),($D126*(1-$E$45)))+(1-$E$47)*MAX(0,(H$124-$E$40-$E$41)-MIN((H$124-$E$40-$E$41),$E126)-($D126*(1-$E$45))))-($D126*(1-$E$45)))+MIN(0,(MIN((H$124-$E$40-$E$41)-MIN((H$124-$E$40-$E$41),$E126),($D126*(1-$E$45)))+(1-$E$47)*MAX(0,(H$124-$E$40-$E$41)-MIN((H$124-$E$40-$E$41),$E126)-($D126*(1-$E$45))))-($D126*(1-$E$45)))</f>
        <v>58754.378684855</v>
      </c>
      <c r="I126" s="24">
        <f>MIN((I$124-$E$40-$E$41),$E126)+($D126*(1-$E$45))+(1-$E$48)*MAX(0,(MIN((I$124-$E$40-$E$41)-MIN((I$124-$E$40-$E$41),$E126),($D126*(1-$E$45)))+(1-$E$47)*MAX(0,(I$124-$E$40-$E$41)-MIN((I$124-$E$40-$E$41),$E126)-($D126*(1-$E$45))))-($D126*(1-$E$45)))+MIN(0,(MIN((I$124-$E$40-$E$41)-MIN((I$124-$E$40-$E$41),$E126),($D126*(1-$E$45)))+(1-$E$47)*MAX(0,(I$124-$E$40-$E$41)-MIN((I$124-$E$40-$E$41),$E126)-($D126*(1-$E$45))))-($D126*(1-$E$45)))</f>
        <v>62986.0621362976</v>
      </c>
      <c r="J126" s="24">
        <f>MIN((J$124-$E$40-$E$41),$E126)+($D126*(1-$E$45))+(1-$E$48)*MAX(0,(MIN((J$124-$E$40-$E$41)-MIN((J$124-$E$40-$E$41),$E126),($D126*(1-$E$45)))+(1-$E$47)*MAX(0,(J$124-$E$40-$E$41)-MIN((J$124-$E$40-$E$41),$E126)-($D126*(1-$E$45))))-($D126*(1-$E$45)))+MIN(0,(MIN((J$124-$E$40-$E$41)-MIN((J$124-$E$40-$E$41),$E126),($D126*(1-$E$45)))+(1-$E$47)*MAX(0,(J$124-$E$40-$E$41)-MIN((J$124-$E$40-$E$41),$E126)-($D126*(1-$E$45))))-($D126*(1-$E$45)))</f>
        <v>67217.7455877402</v>
      </c>
    </row>
    <row r="127">
      <c r="B127" s="25" t="n">
        <v>6.5</v>
      </c>
      <c r="C127" s="24">
        <f>B127*$E$35</f>
        <v>51148.5</v>
      </c>
      <c r="D127" s="24">
        <f>C127+$E$39-$E$38</f>
        <v>19172.5</v>
      </c>
      <c r="E127" s="24">
        <f>D127*$E$45*(1+$E$46)^5</f>
        <v>25353.6232972032</v>
      </c>
      <c r="F127" s="24">
        <f>MIN((F$124-$E$40-$E$41),$E127)+($D127*(1-$E$45))+(1-$E$48)*MAX(0,(MIN((F$124-$E$40-$E$41)-MIN((F$124-$E$40-$E$41),$E127),($D127*(1-$E$45)))+(1-$E$47)*MAX(0,(F$124-$E$40-$E$41)-MIN((F$124-$E$40-$E$41),$E127)-($D127*(1-$E$45))))-($D127*(1-$E$45)))+MIN(0,(MIN((F$124-$E$40-$E$41)-MIN((F$124-$E$40-$E$41),$E127),($D127*(1-$E$45)))+(1-$E$47)*MAX(0,(F$124-$E$40-$E$41)-MIN((F$124-$E$40-$E$41),$E127)-($D127*(1-$E$45))))-($D127*(1-$E$45)))</f>
        <v>51858.0077541484</v>
      </c>
      <c r="G127" s="24">
        <f>MIN((G$124-$E$40-$E$41),$E127)+($D127*(1-$E$45))+(1-$E$48)*MAX(0,(MIN((G$124-$E$40-$E$41)-MIN((G$124-$E$40-$E$41),$E127),($D127*(1-$E$45)))+(1-$E$47)*MAX(0,(G$124-$E$40-$E$41)-MIN((G$124-$E$40-$E$41),$E127)-($D127*(1-$E$45))))-($D127*(1-$E$45)))+MIN(0,(MIN((G$124-$E$40-$E$41)-MIN((G$124-$E$40-$E$41),$E127),($D127*(1-$E$45)))+(1-$E$47)*MAX(0,(G$124-$E$40-$E$41)-MIN((G$124-$E$40-$E$41),$E127)-($D127*(1-$E$45))))-($D127*(1-$E$45)))</f>
        <v>56089.6912055911</v>
      </c>
      <c r="H127" s="24">
        <f>MIN((H$124-$E$40-$E$41),$E127)+($D127*(1-$E$45))+(1-$E$48)*MAX(0,(MIN((H$124-$E$40-$E$41)-MIN((H$124-$E$40-$E$41),$E127),($D127*(1-$E$45)))+(1-$E$47)*MAX(0,(H$124-$E$40-$E$41)-MIN((H$124-$E$40-$E$41),$E127)-($D127*(1-$E$45))))-($D127*(1-$E$45)))+MIN(0,(MIN((H$124-$E$40-$E$41)-MIN((H$124-$E$40-$E$41),$E127),($D127*(1-$E$45)))+(1-$E$47)*MAX(0,(H$124-$E$40-$E$41)-MIN((H$124-$E$40-$E$41),$E127)-($D127*(1-$E$45))))-($D127*(1-$E$45)))</f>
        <v>60321.3746570337</v>
      </c>
      <c r="I127" s="24">
        <f>MIN((I$124-$E$40-$E$41),$E127)+($D127*(1-$E$45))+(1-$E$48)*MAX(0,(MIN((I$124-$E$40-$E$41)-MIN((I$124-$E$40-$E$41),$E127),($D127*(1-$E$45)))+(1-$E$47)*MAX(0,(I$124-$E$40-$E$41)-MIN((I$124-$E$40-$E$41),$E127)-($D127*(1-$E$45))))-($D127*(1-$E$45)))+MIN(0,(MIN((I$124-$E$40-$E$41)-MIN((I$124-$E$40-$E$41),$E127),($D127*(1-$E$45)))+(1-$E$47)*MAX(0,(I$124-$E$40-$E$41)-MIN((I$124-$E$40-$E$41),$E127)-($D127*(1-$E$45))))-($D127*(1-$E$45)))</f>
        <v>64553.0581084763</v>
      </c>
      <c r="J127" s="24">
        <f>MIN((J$124-$E$40-$E$41),$E127)+($D127*(1-$E$45))+(1-$E$48)*MAX(0,(MIN((J$124-$E$40-$E$41)-MIN((J$124-$E$40-$E$41),$E127),($D127*(1-$E$45)))+(1-$E$47)*MAX(0,(J$124-$E$40-$E$41)-MIN((J$124-$E$40-$E$41),$E127)-($D127*(1-$E$45))))-($D127*(1-$E$45)))+MIN(0,(MIN((J$124-$E$40-$E$41)-MIN((J$124-$E$40-$E$41),$E127),($D127*(1-$E$45)))+(1-$E$47)*MAX(0,(J$124-$E$40-$E$41)-MIN((J$124-$E$40-$E$41),$E127)-($D127*(1-$E$45))))-($D127*(1-$E$45)))</f>
        <v>68784.741559919</v>
      </c>
    </row>
    <row r="128">
      <c r="B128" s="25" t="n">
        <v>7</v>
      </c>
      <c r="C128" s="24">
        <f>B128*$E$35</f>
        <v>55083</v>
      </c>
      <c r="D128" s="24">
        <f>C128+$E$39-$E$38</f>
        <v>23107</v>
      </c>
      <c r="E128" s="24">
        <f>D128*$E$45*(1+$E$46)^5</f>
        <v>30556.5874835559</v>
      </c>
      <c r="F128" s="24">
        <f>MIN((F$124-$E$40-$E$41),$E128)+($D128*(1-$E$45))+(1-$E$48)*MAX(0,(MIN((F$124-$E$40-$E$41)-MIN((F$124-$E$40-$E$41),$E128),($D128*(1-$E$45)))+(1-$E$47)*MAX(0,(F$124-$E$40-$E$41)-MIN((F$124-$E$40-$E$41),$E128)-($D128*(1-$E$45))))-($D128*(1-$E$45)))+MIN(0,(MIN((F$124-$E$40-$E$41)-MIN((F$124-$E$40-$E$41),$E128),($D128*(1-$E$45)))+(1-$E$47)*MAX(0,(F$124-$E$40-$E$41)-MIN((F$124-$E$40-$E$41),$E128)-($D128*(1-$E$45))))-($D128*(1-$E$45)))</f>
        <v>53425.0037263272</v>
      </c>
      <c r="G128" s="24">
        <f>MIN((G$124-$E$40-$E$41),$E128)+($D128*(1-$E$45))+(1-$E$48)*MAX(0,(MIN((G$124-$E$40-$E$41)-MIN((G$124-$E$40-$E$41),$E128),($D128*(1-$E$45)))+(1-$E$47)*MAX(0,(G$124-$E$40-$E$41)-MIN((G$124-$E$40-$E$41),$E128)-($D128*(1-$E$45))))-($D128*(1-$E$45)))+MIN(0,(MIN((G$124-$E$40-$E$41)-MIN((G$124-$E$40-$E$41),$E128),($D128*(1-$E$45)))+(1-$E$47)*MAX(0,(G$124-$E$40-$E$41)-MIN((G$124-$E$40-$E$41),$E128)-($D128*(1-$E$45))))-($D128*(1-$E$45)))</f>
        <v>57656.6871777698</v>
      </c>
      <c r="H128" s="24">
        <f>MIN((H$124-$E$40-$E$41),$E128)+($D128*(1-$E$45))+(1-$E$48)*MAX(0,(MIN((H$124-$E$40-$E$41)-MIN((H$124-$E$40-$E$41),$E128),($D128*(1-$E$45)))+(1-$E$47)*MAX(0,(H$124-$E$40-$E$41)-MIN((H$124-$E$40-$E$41),$E128)-($D128*(1-$E$45))))-($D128*(1-$E$45)))+MIN(0,(MIN((H$124-$E$40-$E$41)-MIN((H$124-$E$40-$E$41),$E128),($D128*(1-$E$45)))+(1-$E$47)*MAX(0,(H$124-$E$40-$E$41)-MIN((H$124-$E$40-$E$41),$E128)-($D128*(1-$E$45))))-($D128*(1-$E$45)))</f>
        <v>61888.3706292124</v>
      </c>
      <c r="I128" s="24">
        <f>MIN((I$124-$E$40-$E$41),$E128)+($D128*(1-$E$45))+(1-$E$48)*MAX(0,(MIN((I$124-$E$40-$E$41)-MIN((I$124-$E$40-$E$41),$E128),($D128*(1-$E$45)))+(1-$E$47)*MAX(0,(I$124-$E$40-$E$41)-MIN((I$124-$E$40-$E$41),$E128)-($D128*(1-$E$45))))-($D128*(1-$E$45)))+MIN(0,(MIN((I$124-$E$40-$E$41)-MIN((I$124-$E$40-$E$41),$E128),($D128*(1-$E$45)))+(1-$E$47)*MAX(0,(I$124-$E$40-$E$41)-MIN((I$124-$E$40-$E$41),$E128)-($D128*(1-$E$45))))-($D128*(1-$E$45)))</f>
        <v>66120.0540806551</v>
      </c>
      <c r="J128" s="24">
        <f>MIN((J$124-$E$40-$E$41),$E128)+($D128*(1-$E$45))+(1-$E$48)*MAX(0,(MIN((J$124-$E$40-$E$41)-MIN((J$124-$E$40-$E$41),$E128),($D128*(1-$E$45)))+(1-$E$47)*MAX(0,(J$124-$E$40-$E$41)-MIN((J$124-$E$40-$E$41),$E128)-($D128*(1-$E$45))))-($D128*(1-$E$45)))+MIN(0,(MIN((J$124-$E$40-$E$41)-MIN((J$124-$E$40-$E$41),$E128),($D128*(1-$E$45)))+(1-$E$47)*MAX(0,(J$124-$E$40-$E$41)-MIN((J$124-$E$40-$E$41),$E128)-($D128*(1-$E$45))))-($D128*(1-$E$45)))</f>
        <v>70351.7375320977</v>
      </c>
    </row>
    <row r="129">
      <c r="B129" s="25" t="n">
        <v>7.5</v>
      </c>
      <c r="C129" s="24">
        <f>B129*$E$35</f>
        <v>59017.5</v>
      </c>
      <c r="D129" s="24">
        <f>C129+$E$39-$E$38</f>
        <v>27041.5</v>
      </c>
      <c r="E129" s="24">
        <f>D129*$E$45*(1+$E$46)^5</f>
        <v>35759.5516699085</v>
      </c>
      <c r="F129" s="24">
        <f>MIN((F$124-$E$40-$E$41),$E129)+($D129*(1-$E$45))+(1-$E$48)*MAX(0,(MIN((F$124-$E$40-$E$41)-MIN((F$124-$E$40-$E$41),$E129),($D129*(1-$E$45)))+(1-$E$47)*MAX(0,(F$124-$E$40-$E$41)-MIN((F$124-$E$40-$E$41),$E129)-($D129*(1-$E$45))))-($D129*(1-$E$45)))+MIN(0,(MIN((F$124-$E$40-$E$41)-MIN((F$124-$E$40-$E$41),$E129),($D129*(1-$E$45)))+(1-$E$47)*MAX(0,(F$124-$E$40-$E$41)-MIN((F$124-$E$40-$E$41),$E129)-($D129*(1-$E$45))))-($D129*(1-$E$45)))</f>
        <v>54991.9996985059</v>
      </c>
      <c r="G129" s="24">
        <f>MIN((G$124-$E$40-$E$41),$E129)+($D129*(1-$E$45))+(1-$E$48)*MAX(0,(MIN((G$124-$E$40-$E$41)-MIN((G$124-$E$40-$E$41),$E129),($D129*(1-$E$45)))+(1-$E$47)*MAX(0,(G$124-$E$40-$E$41)-MIN((G$124-$E$40-$E$41),$E129)-($D129*(1-$E$45))))-($D129*(1-$E$45)))+MIN(0,(MIN((G$124-$E$40-$E$41)-MIN((G$124-$E$40-$E$41),$E129),($D129*(1-$E$45)))+(1-$E$47)*MAX(0,(G$124-$E$40-$E$41)-MIN((G$124-$E$40-$E$41),$E129)-($D129*(1-$E$45))))-($D129*(1-$E$45)))</f>
        <v>59223.6831499486</v>
      </c>
      <c r="H129" s="24">
        <f>MIN((H$124-$E$40-$E$41),$E129)+($D129*(1-$E$45))+(1-$E$48)*MAX(0,(MIN((H$124-$E$40-$E$41)-MIN((H$124-$E$40-$E$41),$E129),($D129*(1-$E$45)))+(1-$E$47)*MAX(0,(H$124-$E$40-$E$41)-MIN((H$124-$E$40-$E$41),$E129)-($D129*(1-$E$45))))-($D129*(1-$E$45)))+MIN(0,(MIN((H$124-$E$40-$E$41)-MIN((H$124-$E$40-$E$41),$E129),($D129*(1-$E$45)))+(1-$E$47)*MAX(0,(H$124-$E$40-$E$41)-MIN((H$124-$E$40-$E$41),$E129)-($D129*(1-$E$45))))-($D129*(1-$E$45)))</f>
        <v>63455.3666013912</v>
      </c>
      <c r="I129" s="24">
        <f>MIN((I$124-$E$40-$E$41),$E129)+($D129*(1-$E$45))+(1-$E$48)*MAX(0,(MIN((I$124-$E$40-$E$41)-MIN((I$124-$E$40-$E$41),$E129),($D129*(1-$E$45)))+(1-$E$47)*MAX(0,(I$124-$E$40-$E$41)-MIN((I$124-$E$40-$E$41),$E129)-($D129*(1-$E$45))))-($D129*(1-$E$45)))+MIN(0,(MIN((I$124-$E$40-$E$41)-MIN((I$124-$E$40-$E$41),$E129),($D129*(1-$E$45)))+(1-$E$47)*MAX(0,(I$124-$E$40-$E$41)-MIN((I$124-$E$40-$E$41),$E129)-($D129*(1-$E$45))))-($D129*(1-$E$45)))</f>
        <v>67687.0500528338</v>
      </c>
      <c r="J129" s="24">
        <f>MIN((J$124-$E$40-$E$41),$E129)+($D129*(1-$E$45))+(1-$E$48)*MAX(0,(MIN((J$124-$E$40-$E$41)-MIN((J$124-$E$40-$E$41),$E129),($D129*(1-$E$45)))+(1-$E$47)*MAX(0,(J$124-$E$40-$E$41)-MIN((J$124-$E$40-$E$41),$E129)-($D129*(1-$E$45))))-($D129*(1-$E$45)))+MIN(0,(MIN((J$124-$E$40-$E$41)-MIN((J$124-$E$40-$E$41),$E129),($D129*(1-$E$45)))+(1-$E$47)*MAX(0,(J$124-$E$40-$E$41)-MIN((J$124-$E$40-$E$41),$E129)-($D129*(1-$E$45))))-($D129*(1-$E$45)))</f>
        <v>71918.7335042764</v>
      </c>
    </row>
    <row r="130">
      <c r="B130" s="25" t="n">
        <v>8</v>
      </c>
      <c r="C130" s="24">
        <f>B130*$E$35</f>
        <v>62952</v>
      </c>
      <c r="D130" s="24">
        <f>C130+$E$39-$E$38</f>
        <v>30976</v>
      </c>
      <c r="E130" s="24">
        <f>D130*$E$45*(1+$E$46)^5</f>
        <v>40962.5158562611</v>
      </c>
      <c r="F130" s="24">
        <f>MIN((F$124-$E$40-$E$41),$E130)+($D130*(1-$E$45))+(1-$E$48)*MAX(0,(MIN((F$124-$E$40-$E$41)-MIN((F$124-$E$40-$E$41),$E130),($D130*(1-$E$45)))+(1-$E$47)*MAX(0,(F$124-$E$40-$E$41)-MIN((F$124-$E$40-$E$41),$E130)-($D130*(1-$E$45))))-($D130*(1-$E$45)))+MIN(0,(MIN((F$124-$E$40-$E$41)-MIN((F$124-$E$40-$E$41),$E130),($D130*(1-$E$45)))+(1-$E$47)*MAX(0,(F$124-$E$40-$E$41)-MIN((F$124-$E$40-$E$41),$E130)-($D130*(1-$E$45))))-($D130*(1-$E$45)))</f>
        <v>56558.9956706847</v>
      </c>
      <c r="G130" s="24">
        <f>MIN((G$124-$E$40-$E$41),$E130)+($D130*(1-$E$45))+(1-$E$48)*MAX(0,(MIN((G$124-$E$40-$E$41)-MIN((G$124-$E$40-$E$41),$E130),($D130*(1-$E$45)))+(1-$E$47)*MAX(0,(G$124-$E$40-$E$41)-MIN((G$124-$E$40-$E$41),$E130)-($D130*(1-$E$45))))-($D130*(1-$E$45)))+MIN(0,(MIN((G$124-$E$40-$E$41)-MIN((G$124-$E$40-$E$41),$E130),($D130*(1-$E$45)))+(1-$E$47)*MAX(0,(G$124-$E$40-$E$41)-MIN((G$124-$E$40-$E$41),$E130)-($D130*(1-$E$45))))-($D130*(1-$E$45)))</f>
        <v>60790.6791221273</v>
      </c>
      <c r="H130" s="24">
        <f>MIN((H$124-$E$40-$E$41),$E130)+($D130*(1-$E$45))+(1-$E$48)*MAX(0,(MIN((H$124-$E$40-$E$41)-MIN((H$124-$E$40-$E$41),$E130),($D130*(1-$E$45)))+(1-$E$47)*MAX(0,(H$124-$E$40-$E$41)-MIN((H$124-$E$40-$E$41),$E130)-($D130*(1-$E$45))))-($D130*(1-$E$45)))+MIN(0,(MIN((H$124-$E$40-$E$41)-MIN((H$124-$E$40-$E$41),$E130),($D130*(1-$E$45)))+(1-$E$47)*MAX(0,(H$124-$E$40-$E$41)-MIN((H$124-$E$40-$E$41),$E130)-($D130*(1-$E$45))))-($D130*(1-$E$45)))</f>
        <v>65022.3625735699</v>
      </c>
      <c r="I130" s="24">
        <f>MIN((I$124-$E$40-$E$41),$E130)+($D130*(1-$E$45))+(1-$E$48)*MAX(0,(MIN((I$124-$E$40-$E$41)-MIN((I$124-$E$40-$E$41),$E130),($D130*(1-$E$45)))+(1-$E$47)*MAX(0,(I$124-$E$40-$E$41)-MIN((I$124-$E$40-$E$41),$E130)-($D130*(1-$E$45))))-($D130*(1-$E$45)))+MIN(0,(MIN((I$124-$E$40-$E$41)-MIN((I$124-$E$40-$E$41),$E130),($D130*(1-$E$45)))+(1-$E$47)*MAX(0,(I$124-$E$40-$E$41)-MIN((I$124-$E$40-$E$41),$E130)-($D130*(1-$E$45))))-($D130*(1-$E$45)))</f>
        <v>69254.0460250126</v>
      </c>
      <c r="J130" s="24">
        <f>MIN((J$124-$E$40-$E$41),$E130)+($D130*(1-$E$45))+(1-$E$48)*MAX(0,(MIN((J$124-$E$40-$E$41)-MIN((J$124-$E$40-$E$41),$E130),($D130*(1-$E$45)))+(1-$E$47)*MAX(0,(J$124-$E$40-$E$41)-MIN((J$124-$E$40-$E$41),$E130)-($D130*(1-$E$45))))-($D130*(1-$E$45)))+MIN(0,(MIN((J$124-$E$40-$E$41)-MIN((J$124-$E$40-$E$41),$E130),($D130*(1-$E$45)))+(1-$E$47)*MAX(0,(J$124-$E$40-$E$41)-MIN((J$124-$E$40-$E$41),$E130)-($D130*(1-$E$45))))-($D130*(1-$E$45)))</f>
        <v>73485.7294764552</v>
      </c>
    </row>
    <row r="131">
      <c r="B131" s="12" t="inlineStr">
        <is>
          <t>IRR</t>
        </is>
      </c>
      <c r="F131" s="5" t="inlineStr">
        <is>
          <t>Exit multiple -&gt;</t>
        </is>
      </c>
    </row>
    <row r="132">
      <c r="B132" s="26">
        <f>B126</f>
        <v>6</v>
      </c>
      <c r="F132" s="15">
        <f>IF($D126&lt;=0,0,(F126/$D126)^(1/5)-1)</f>
        <v>0.269733215891116</v>
      </c>
      <c r="G132" s="15">
        <f>IF($D126&lt;=0,0,(G126/$D126)^(1/5)-1)</f>
        <v>0.290416386659785</v>
      </c>
      <c r="H132" s="15">
        <f>IF($D126&lt;=0,0,(H126/$D126)^(1/5)-1)</f>
        <v>0.309852682261494</v>
      </c>
      <c r="I132" s="15">
        <f>IF($D126&lt;=0,0,(I126/$D126)^(1/5)-1)</f>
        <v>0.328199454723612</v>
      </c>
      <c r="J132" s="15">
        <f>IF($D126&lt;=0,0,(J126/$D126)^(1/5)-1)</f>
        <v>0.345585178211786</v>
      </c>
    </row>
    <row r="133">
      <c r="B133" s="26">
        <f>B127</f>
        <v>6.5</v>
      </c>
      <c r="F133" s="15">
        <f>IF($D127&lt;=0,0,(F127/$D127)^(1/5)-1)</f>
        <v>0.220189873404586</v>
      </c>
      <c r="G133" s="15">
        <f>IF($D127&lt;=0,0,(G127/$D127)^(1/5)-1)</f>
        <v>0.23948381596523</v>
      </c>
      <c r="H133" s="15">
        <f>IF($D127&lt;=0,0,(H127/$D127)^(1/5)-1)</f>
        <v>0.257646239966473</v>
      </c>
      <c r="I133" s="15">
        <f>IF($D127&lt;=0,0,(I127/$D127)^(1/5)-1)</f>
        <v>0.274816320990882</v>
      </c>
      <c r="J133" s="15">
        <f>IF($D127&lt;=0,0,(J127/$D127)^(1/5)-1)</f>
        <v>0.29110829896975</v>
      </c>
    </row>
    <row r="134">
      <c r="B134" s="26">
        <f>B128</f>
        <v>7</v>
      </c>
      <c r="F134" s="15">
        <f>IF($D128&lt;=0,0,(F128/$D128)^(1/5)-1)</f>
        <v>0.182497413191333</v>
      </c>
      <c r="G134" s="15">
        <f>IF($D128&lt;=0,0,(G128/$D128)^(1/5)-1)</f>
        <v>0.200663267290841</v>
      </c>
      <c r="H134" s="15">
        <f>IF($D128&lt;=0,0,(H128/$D128)^(1/5)-1)</f>
        <v>0.217791944433982</v>
      </c>
      <c r="I134" s="15">
        <f>IF($D128&lt;=0,0,(I128/$D128)^(1/5)-1)</f>
        <v>0.234007863449889</v>
      </c>
      <c r="J134" s="15">
        <f>IF($D128&lt;=0,0,(J128/$D128)^(1/5)-1)</f>
        <v>0.24941366834522</v>
      </c>
    </row>
    <row r="135">
      <c r="B135" s="26">
        <f>B129</f>
        <v>7.5</v>
      </c>
      <c r="F135" s="15">
        <f>IF($D129&lt;=0,0,(F129/$D129)^(1/5)-1)</f>
        <v>0.152534002057373</v>
      </c>
      <c r="G135" s="15">
        <f>IF($D129&lt;=0,0,(G129/$D129)^(1/5)-1)</f>
        <v>0.169749658028013</v>
      </c>
      <c r="H135" s="15">
        <f>IF($D129&lt;=0,0,(H129/$D129)^(1/5)-1)</f>
        <v>0.186007719628735</v>
      </c>
      <c r="I135" s="15">
        <f>IF($D129&lt;=0,0,(I129/$D129)^(1/5)-1)</f>
        <v>0.201420288727707</v>
      </c>
      <c r="J135" s="15">
        <f>IF($D129&lt;=0,0,(J129/$D129)^(1/5)-1)</f>
        <v>0.21608029257585</v>
      </c>
    </row>
    <row r="136">
      <c r="B136" s="26">
        <f>B130</f>
        <v>8</v>
      </c>
      <c r="F136" s="15">
        <f>IF($D130&lt;=0,0,(F130/$D130)^(1/5)-1)</f>
        <v>0.127964082361334</v>
      </c>
      <c r="G136" s="15">
        <f>IF($D130&lt;=0,0,(G130/$D130)^(1/5)-1)</f>
        <v>0.144359111603252</v>
      </c>
      <c r="H136" s="15">
        <f>IF($D130&lt;=0,0,(H130/$D130)^(1/5)-1)</f>
        <v>0.15986510300765</v>
      </c>
      <c r="I136" s="15">
        <f>IF($D130&lt;=0,0,(I130/$D130)^(1/5)-1)</f>
        <v>0.174583682121236</v>
      </c>
      <c r="J136" s="15">
        <f>IF($D130&lt;=0,0,(J130/$D130)^(1/5)-1)</f>
        <v>0.188599476954003</v>
      </c>
    </row>
    <row r="137">
      <c r="B137" s="12" t="inlineStr">
        <is>
          <t>MoIC</t>
        </is>
      </c>
    </row>
    <row r="138">
      <c r="B138" s="26">
        <f>B126</f>
        <v>6</v>
      </c>
      <c r="F138" s="27">
        <f>IF($D126&lt;=0,0,F126/$D126)</f>
        <v>3.30036827549348</v>
      </c>
      <c r="G138" s="27">
        <f>IF($D126&lt;=0,0,G126/$D126)</f>
        <v>3.57807423765667</v>
      </c>
      <c r="H138" s="27">
        <f>IF($D126&lt;=0,0,H126/$D126)</f>
        <v>3.85578019981986</v>
      </c>
      <c r="I138" s="27">
        <f>IF($D126&lt;=0,0,I126/$D126)</f>
        <v>4.13348616198304</v>
      </c>
      <c r="J138" s="27">
        <f>IF($D126&lt;=0,0,J126/$D126)</f>
        <v>4.41119212414623</v>
      </c>
    </row>
    <row r="139">
      <c r="B139" s="26">
        <f>B127</f>
        <v>6.5</v>
      </c>
      <c r="F139" s="27">
        <f>IF($D127&lt;=0,0,F127/$D127)</f>
        <v>2.7048119835258</v>
      </c>
      <c r="G139" s="27">
        <f>IF($D127&lt;=0,0,G127/$D127)</f>
        <v>2.9255282934198</v>
      </c>
      <c r="H139" s="27">
        <f>IF($D127&lt;=0,0,H127/$D127)</f>
        <v>3.14624460331379</v>
      </c>
      <c r="I139" s="27">
        <f>IF($D127&lt;=0,0,I127/$D127)</f>
        <v>3.36696091320779</v>
      </c>
      <c r="J139" s="27">
        <f>IF($D127&lt;=0,0,J127/$D127)</f>
        <v>3.58767722310178</v>
      </c>
    </row>
    <row r="140">
      <c r="B140" s="26">
        <f>B128</f>
        <v>7</v>
      </c>
      <c r="F140" s="27">
        <f>IF($D128&lt;=0,0,F128/$D128)</f>
        <v>2.31207009678137</v>
      </c>
      <c r="G140" s="27">
        <f>IF($D128&lt;=0,0,G128/$D128)</f>
        <v>2.4952043613524</v>
      </c>
      <c r="H140" s="27">
        <f>IF($D128&lt;=0,0,H128/$D128)</f>
        <v>2.67833862592342</v>
      </c>
      <c r="I140" s="27">
        <f>IF($D128&lt;=0,0,I128/$D128)</f>
        <v>2.86147289049444</v>
      </c>
      <c r="J140" s="27">
        <f>IF($D128&lt;=0,0,J128/$D128)</f>
        <v>3.04460715506547</v>
      </c>
    </row>
    <row r="141">
      <c r="B141" s="26">
        <f>B129</f>
        <v>7.5</v>
      </c>
      <c r="F141" s="27">
        <f>IF($D129&lt;=0,0,F129/$D129)</f>
        <v>2.03361498801864</v>
      </c>
      <c r="G141" s="27">
        <f>IF($D129&lt;=0,0,G129/$D129)</f>
        <v>2.19010347613663</v>
      </c>
      <c r="H141" s="27">
        <f>IF($D129&lt;=0,0,H129/$D129)</f>
        <v>2.34659196425462</v>
      </c>
      <c r="I141" s="27">
        <f>IF($D129&lt;=0,0,I129/$D129)</f>
        <v>2.50308045237261</v>
      </c>
      <c r="J141" s="27">
        <f>IF($D129&lt;=0,0,J129/$D129)</f>
        <v>2.6595689404906</v>
      </c>
    </row>
    <row r="142">
      <c r="B142" s="26">
        <f>B130</f>
        <v>8</v>
      </c>
      <c r="F142" s="27">
        <f>IF($D130&lt;=0,0,F130/$D130)</f>
        <v>1.82589732924473</v>
      </c>
      <c r="G142" s="27">
        <f>IF($D130&lt;=0,0,G130/$D130)</f>
        <v>1.96250901091578</v>
      </c>
      <c r="H142" s="27">
        <f>IF($D130&lt;=0,0,H130/$D130)</f>
        <v>2.09912069258684</v>
      </c>
      <c r="I142" s="27">
        <f>IF($D130&lt;=0,0,I130/$D130)</f>
        <v>2.23573237425789</v>
      </c>
      <c r="J142" s="27">
        <f>IF($D130&lt;=0,0,J130/$D130)</f>
        <v>2.37234405592895</v>
      </c>
    </row>
    <row r="145">
      <c r="B145" s="2" t="inlineStr">
        <is>
          <t>EXIT IN YEAR 3:</t>
        </is>
      </c>
    </row>
    <row r="147">
      <c r="B147" s="21" t="inlineStr">
        <is>
          <t>Common Equity - Goodwill Tax Deductible (step-up)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</row>
    <row r="148">
      <c r="B148" s="11" t="inlineStr">
        <is>
          <t>Exit Multiple (x exit-year EBITDA)</t>
        </is>
      </c>
      <c r="F148" s="23" t="n">
        <v>6</v>
      </c>
      <c r="G148" s="23" t="n">
        <v>6.5</v>
      </c>
      <c r="H148" s="23" t="n">
        <v>7</v>
      </c>
      <c r="I148" s="23" t="n">
        <v>7.5</v>
      </c>
      <c r="J148" s="23" t="n">
        <v>8</v>
      </c>
    </row>
    <row r="149">
      <c r="B149" s="11" t="inlineStr">
        <is>
          <t>Sale Price (Enterprise Value at exit)</t>
        </is>
      </c>
      <c r="F149" s="24">
        <f>F148*$E$37</f>
        <v>61805.8628038656</v>
      </c>
      <c r="G149" s="24">
        <f>G148*$E$37</f>
        <v>66956.3513708544</v>
      </c>
      <c r="H149" s="24">
        <f>H148*$E$37</f>
        <v>72106.8399378432</v>
      </c>
      <c r="I149" s="24">
        <f>I148*$E$37</f>
        <v>77257.328504832</v>
      </c>
      <c r="J149" s="24">
        <f>J148*$E$37</f>
        <v>82407.8170718208</v>
      </c>
    </row>
    <row r="150">
      <c r="B150" s="13" t="inlineStr">
        <is>
          <t>Entry Multiple</t>
        </is>
      </c>
      <c r="C150" s="14" t="inlineStr">
        <is>
          <t>Purchase Price</t>
        </is>
      </c>
      <c r="D150" s="14" t="inlineStr">
        <is>
          <t>Total Equity at Entry</t>
        </is>
      </c>
      <c r="E150" s="14" t="inlineStr">
        <is>
          <t>Pfd Accreted at Exit</t>
        </is>
      </c>
      <c r="F150" s="12" t="inlineStr">
        <is>
          <t>Common Equity Proceeds (net of MEIP)</t>
        </is>
      </c>
    </row>
    <row r="151">
      <c r="B151" s="25" t="n">
        <v>6</v>
      </c>
      <c r="C151" s="24">
        <f>B151*$E$35</f>
        <v>47214</v>
      </c>
      <c r="D151" s="24">
        <f>C151+$E$39-$E$38</f>
        <v>15238</v>
      </c>
      <c r="E151" s="24">
        <f>D151*$E$45*(1+$E$46)^3</f>
        <v>17275.9423104</v>
      </c>
      <c r="F151" s="24">
        <f>(MIN((F$149-$E$42-$E$43)-MIN((F$149-$E$42-$E$43),$E151),($D151*(1-$E$45)))+(1-$E$47)*MAX(0,(F$149-$E$42-$E$43)-MIN((F$149-$E$42-$E$43),$E151)-($D151*(1-$E$45))))</f>
        <v>21058.7981687365</v>
      </c>
      <c r="G151" s="24">
        <f>(MIN((G$149-$E$42-$E$43)-MIN((G$149-$E$42-$E$43),$E151),($D151*(1-$E$45)))+(1-$E$47)*MAX(0,(G$149-$E$42-$E$43)-MIN((G$149-$E$42-$E$43),$E151)-($D151*(1-$E$45))))</f>
        <v>25694.2378790265</v>
      </c>
      <c r="H151" s="24">
        <f>(MIN((H$149-$E$42-$E$43)-MIN((H$149-$E$42-$E$43),$E151),($D151*(1-$E$45)))+(1-$E$47)*MAX(0,(H$149-$E$42-$E$43)-MIN((H$149-$E$42-$E$43),$E151)-($D151*(1-$E$45))))</f>
        <v>30329.6775893164</v>
      </c>
      <c r="I151" s="24">
        <f>(MIN((I$149-$E$42-$E$43)-MIN((I$149-$E$42-$E$43),$E151),($D151*(1-$E$45)))+(1-$E$47)*MAX(0,(I$149-$E$42-$E$43)-MIN((I$149-$E$42-$E$43),$E151)-($D151*(1-$E$45))))</f>
        <v>34965.1172996063</v>
      </c>
      <c r="J151" s="24">
        <f>(MIN((J$149-$E$42-$E$43)-MIN((J$149-$E$42-$E$43),$E151),($D151*(1-$E$45)))+(1-$E$47)*MAX(0,(J$149-$E$42-$E$43)-MIN((J$149-$E$42-$E$43),$E151)-($D151*(1-$E$45))))</f>
        <v>39600.5570098962</v>
      </c>
    </row>
    <row r="152">
      <c r="B152" s="25" t="n">
        <v>6.5</v>
      </c>
      <c r="C152" s="24">
        <f>B152*$E$35</f>
        <v>51148.5</v>
      </c>
      <c r="D152" s="24">
        <f>C152+$E$39-$E$38</f>
        <v>19172.5</v>
      </c>
      <c r="E152" s="24">
        <f>D152*$E$45*(1+$E$46)^3</f>
        <v>21736.645488</v>
      </c>
      <c r="F152" s="24">
        <f>(MIN((F$149-$E$42-$E$43)-MIN((F$149-$E$42-$E$43),$E152),($D152*(1-$E$45)))+(1-$E$47)*MAX(0,(F$149-$E$42-$E$43)-MIN((F$149-$E$42-$E$43),$E152)-($D152*(1-$E$45))))</f>
        <v>17083.5103088965</v>
      </c>
      <c r="G152" s="24">
        <f>(MIN((G$149-$E$42-$E$43)-MIN((G$149-$E$42-$E$43),$E152),($D152*(1-$E$45)))+(1-$E$47)*MAX(0,(G$149-$E$42-$E$43)-MIN((G$149-$E$42-$E$43),$E152)-($D152*(1-$E$45))))</f>
        <v>21718.9500191865</v>
      </c>
      <c r="H152" s="24">
        <f>(MIN((H$149-$E$42-$E$43)-MIN((H$149-$E$42-$E$43),$E152),($D152*(1-$E$45)))+(1-$E$47)*MAX(0,(H$149-$E$42-$E$43)-MIN((H$149-$E$42-$E$43),$E152)-($D152*(1-$E$45))))</f>
        <v>26354.3897294764</v>
      </c>
      <c r="I152" s="24">
        <f>(MIN((I$149-$E$42-$E$43)-MIN((I$149-$E$42-$E$43),$E152),($D152*(1-$E$45)))+(1-$E$47)*MAX(0,(I$149-$E$42-$E$43)-MIN((I$149-$E$42-$E$43),$E152)-($D152*(1-$E$45))))</f>
        <v>30989.8294397663</v>
      </c>
      <c r="J152" s="24">
        <f>(MIN((J$149-$E$42-$E$43)-MIN((J$149-$E$42-$E$43),$E152),($D152*(1-$E$45)))+(1-$E$47)*MAX(0,(J$149-$E$42-$E$43)-MIN((J$149-$E$42-$E$43),$E152)-($D152*(1-$E$45))))</f>
        <v>35625.2691500562</v>
      </c>
    </row>
    <row r="153">
      <c r="B153" s="25" t="n">
        <v>7</v>
      </c>
      <c r="C153" s="24">
        <f>B153*$E$35</f>
        <v>55083</v>
      </c>
      <c r="D153" s="24">
        <f>C153+$E$39-$E$38</f>
        <v>23107</v>
      </c>
      <c r="E153" s="24">
        <f>D153*$E$45*(1+$E$46)^3</f>
        <v>26197.3486656</v>
      </c>
      <c r="F153" s="24">
        <f>(MIN((F$149-$E$42-$E$43)-MIN((F$149-$E$42-$E$43),$E153),($D153*(1-$E$45)))+(1-$E$47)*MAX(0,(F$149-$E$42-$E$43)-MIN((F$149-$E$42-$E$43),$E153)-($D153*(1-$E$45))))</f>
        <v>13108.2224490565</v>
      </c>
      <c r="G153" s="24">
        <f>(MIN((G$149-$E$42-$E$43)-MIN((G$149-$E$42-$E$43),$E153),($D153*(1-$E$45)))+(1-$E$47)*MAX(0,(G$149-$E$42-$E$43)-MIN((G$149-$E$42-$E$43),$E153)-($D153*(1-$E$45))))</f>
        <v>17743.6621593465</v>
      </c>
      <c r="H153" s="24">
        <f>(MIN((H$149-$E$42-$E$43)-MIN((H$149-$E$42-$E$43),$E153),($D153*(1-$E$45)))+(1-$E$47)*MAX(0,(H$149-$E$42-$E$43)-MIN((H$149-$E$42-$E$43),$E153)-($D153*(1-$E$45))))</f>
        <v>22379.1018696364</v>
      </c>
      <c r="I153" s="24">
        <f>(MIN((I$149-$E$42-$E$43)-MIN((I$149-$E$42-$E$43),$E153),($D153*(1-$E$45)))+(1-$E$47)*MAX(0,(I$149-$E$42-$E$43)-MIN((I$149-$E$42-$E$43),$E153)-($D153*(1-$E$45))))</f>
        <v>27014.5415799263</v>
      </c>
      <c r="J153" s="24">
        <f>(MIN((J$149-$E$42-$E$43)-MIN((J$149-$E$42-$E$43),$E153),($D153*(1-$E$45)))+(1-$E$47)*MAX(0,(J$149-$E$42-$E$43)-MIN((J$149-$E$42-$E$43),$E153)-($D153*(1-$E$45))))</f>
        <v>31649.9812902162</v>
      </c>
    </row>
    <row r="154">
      <c r="B154" s="25" t="n">
        <v>7.5</v>
      </c>
      <c r="C154" s="24">
        <f>B154*$E$35</f>
        <v>59017.5</v>
      </c>
      <c r="D154" s="24">
        <f>C154+$E$39-$E$38</f>
        <v>27041.5</v>
      </c>
      <c r="E154" s="24">
        <f>D154*$E$45*(1+$E$46)^3</f>
        <v>30658.0518432</v>
      </c>
      <c r="F154" s="24">
        <f>(MIN((F$149-$E$42-$E$43)-MIN((F$149-$E$42-$E$43),$E154),($D154*(1-$E$45)))+(1-$E$47)*MAX(0,(F$149-$E$42-$E$43)-MIN((F$149-$E$42-$E$43),$E154)-($D154*(1-$E$45))))</f>
        <v>9132.93458921653</v>
      </c>
      <c r="G154" s="24">
        <f>(MIN((G$149-$E$42-$E$43)-MIN((G$149-$E$42-$E$43),$E154),($D154*(1-$E$45)))+(1-$E$47)*MAX(0,(G$149-$E$42-$E$43)-MIN((G$149-$E$42-$E$43),$E154)-($D154*(1-$E$45))))</f>
        <v>13768.3742995065</v>
      </c>
      <c r="H154" s="24">
        <f>(MIN((H$149-$E$42-$E$43)-MIN((H$149-$E$42-$E$43),$E154),($D154*(1-$E$45)))+(1-$E$47)*MAX(0,(H$149-$E$42-$E$43)-MIN((H$149-$E$42-$E$43),$E154)-($D154*(1-$E$45))))</f>
        <v>18403.8140097964</v>
      </c>
      <c r="I154" s="24">
        <f>(MIN((I$149-$E$42-$E$43)-MIN((I$149-$E$42-$E$43),$E154),($D154*(1-$E$45)))+(1-$E$47)*MAX(0,(I$149-$E$42-$E$43)-MIN((I$149-$E$42-$E$43),$E154)-($D154*(1-$E$45))))</f>
        <v>23039.2537200863</v>
      </c>
      <c r="J154" s="24">
        <f>(MIN((J$149-$E$42-$E$43)-MIN((J$149-$E$42-$E$43),$E154),($D154*(1-$E$45)))+(1-$E$47)*MAX(0,(J$149-$E$42-$E$43)-MIN((J$149-$E$42-$E$43),$E154)-($D154*(1-$E$45))))</f>
        <v>27674.6934303762</v>
      </c>
    </row>
    <row r="155">
      <c r="B155" s="25" t="n">
        <v>8</v>
      </c>
      <c r="C155" s="24">
        <f>B155*$E$35</f>
        <v>62952</v>
      </c>
      <c r="D155" s="24">
        <f>C155+$E$39-$E$38</f>
        <v>30976</v>
      </c>
      <c r="E155" s="24">
        <f>D155*$E$45*(1+$E$46)^3</f>
        <v>35118.7550208</v>
      </c>
      <c r="F155" s="24">
        <f>(MIN((F$149-$E$42-$E$43)-MIN((F$149-$E$42-$E$43),$E155),($D155*(1-$E$45)))+(1-$E$47)*MAX(0,(F$149-$E$42-$E$43)-MIN((F$149-$E$42-$E$43),$E155)-($D155*(1-$E$45))))</f>
        <v>5157.64672937654</v>
      </c>
      <c r="G155" s="24">
        <f>(MIN((G$149-$E$42-$E$43)-MIN((G$149-$E$42-$E$43),$E155),($D155*(1-$E$45)))+(1-$E$47)*MAX(0,(G$149-$E$42-$E$43)-MIN((G$149-$E$42-$E$43),$E155)-($D155*(1-$E$45))))</f>
        <v>9793.08643966646</v>
      </c>
      <c r="H155" s="24">
        <f>(MIN((H$149-$E$42-$E$43)-MIN((H$149-$E$42-$E$43),$E155),($D155*(1-$E$45)))+(1-$E$47)*MAX(0,(H$149-$E$42-$E$43)-MIN((H$149-$E$42-$E$43),$E155)-($D155*(1-$E$45))))</f>
        <v>14428.5261499564</v>
      </c>
      <c r="I155" s="24">
        <f>(MIN((I$149-$E$42-$E$43)-MIN((I$149-$E$42-$E$43),$E155),($D155*(1-$E$45)))+(1-$E$47)*MAX(0,(I$149-$E$42-$E$43)-MIN((I$149-$E$42-$E$43),$E155)-($D155*(1-$E$45))))</f>
        <v>19063.9658602463</v>
      </c>
      <c r="J155" s="24">
        <f>(MIN((J$149-$E$42-$E$43)-MIN((J$149-$E$42-$E$43),$E155),($D155*(1-$E$45)))+(1-$E$47)*MAX(0,(J$149-$E$42-$E$43)-MIN((J$149-$E$42-$E$43),$E155)-($D155*(1-$E$45))))</f>
        <v>23699.4055705362</v>
      </c>
    </row>
    <row r="156">
      <c r="B156" s="12" t="inlineStr">
        <is>
          <t>IRR</t>
        </is>
      </c>
      <c r="F156" s="5" t="inlineStr">
        <is>
          <t>Exit multiple -&gt;</t>
        </is>
      </c>
    </row>
    <row r="157">
      <c r="B157" s="26">
        <f>B151</f>
        <v>6</v>
      </c>
      <c r="F157" s="15">
        <f>IF(($D151*(1-$E$45))&lt;=0,0,(F151/($D151*(1-$E$45)))^(1/3)-1)</f>
        <v>1.39976402036002</v>
      </c>
      <c r="G157" s="15">
        <f>IF(($D151*(1-$E$45))&lt;=0,0,(G151/($D151*(1-$E$45)))^(1/3)-1)</f>
        <v>1.5643025078714</v>
      </c>
      <c r="H157" s="15">
        <f>IF(($D151*(1-$E$45))&lt;=0,0,(H151/($D151*(1-$E$45)))^(1/3)-1)</f>
        <v>1.71006646069289</v>
      </c>
      <c r="I157" s="15">
        <f>IF(($D151*(1-$E$45))&lt;=0,0,(I151/($D151*(1-$E$45)))^(1/3)-1)</f>
        <v>1.84163966846198</v>
      </c>
      <c r="J157" s="15">
        <f>IF(($D151*(1-$E$45))&lt;=0,0,(J151/($D151*(1-$E$45)))^(1/3)-1)</f>
        <v>1.96204129202353</v>
      </c>
    </row>
    <row r="158">
      <c r="B158" s="26">
        <f>B152</f>
        <v>6.5</v>
      </c>
      <c r="F158" s="15">
        <f>IF(($D152*(1-$E$45))&lt;=0,0,(F152/($D152*(1-$E$45)))^(1/3)-1)</f>
        <v>1.07315984884799</v>
      </c>
      <c r="G158" s="15">
        <f>IF(($D152*(1-$E$45))&lt;=0,0,(G152/($D152*(1-$E$45)))^(1/3)-1)</f>
        <v>1.24588075226559</v>
      </c>
      <c r="H158" s="15">
        <f>IF(($D152*(1-$E$45))&lt;=0,0,(H152/($D152*(1-$E$45)))^(1/3)-1)</f>
        <v>1.39547369322285</v>
      </c>
      <c r="I158" s="15">
        <f>IF(($D152*(1-$E$45))&lt;=0,0,(I152/($D152*(1-$E$45)))^(1/3)-1)</f>
        <v>1.52840600542509</v>
      </c>
      <c r="J158" s="15">
        <f>IF(($D152*(1-$E$45))&lt;=0,0,(J152/($D152*(1-$E$45)))^(1/3)-1)</f>
        <v>1.64866156340945</v>
      </c>
    </row>
    <row r="159">
      <c r="B159" s="26">
        <f>B153</f>
        <v>7</v>
      </c>
      <c r="F159" s="15">
        <f>IF(($D153*(1-$E$45))&lt;=0,0,(F153/($D153*(1-$E$45)))^(1/3)-1)</f>
        <v>0.783473850984457</v>
      </c>
      <c r="G159" s="15">
        <f>IF(($D153*(1-$E$45))&lt;=0,0,(G153/($D153*(1-$E$45)))^(1/3)-1)</f>
        <v>0.972876494500322</v>
      </c>
      <c r="H159" s="15">
        <f>IF(($D153*(1-$E$45))&lt;=0,0,(H153/($D153*(1-$E$45)))^(1/3)-1)</f>
        <v>1.13157047604382</v>
      </c>
      <c r="I159" s="15">
        <f>IF(($D153*(1-$E$45))&lt;=0,0,(I153/($D153*(1-$E$45)))^(1/3)-1)</f>
        <v>1.26961057302299</v>
      </c>
      <c r="J159" s="15">
        <f>IF(($D153*(1-$E$45))&lt;=0,0,(J153/($D153*(1-$E$45)))^(1/3)-1)</f>
        <v>1.3926359899571</v>
      </c>
    </row>
    <row r="160">
      <c r="B160" s="26">
        <f>B154</f>
        <v>7.5</v>
      </c>
      <c r="F160" s="15">
        <f>IF(($D154*(1-$E$45))&lt;=0,0,(F154/($D154*(1-$E$45)))^(1/3)-1)</f>
        <v>0.500352096976874</v>
      </c>
      <c r="G160" s="15">
        <f>IF(($D154*(1-$E$45))&lt;=0,0,(G154/($D154*(1-$E$45)))^(1/3)-1)</f>
        <v>0.720351914881574</v>
      </c>
      <c r="H160" s="15">
        <f>IF(($D154*(1-$E$45))&lt;=0,0,(H154/($D154*(1-$E$45)))^(1/3)-1)</f>
        <v>0.895071872811784</v>
      </c>
      <c r="I160" s="15">
        <f>IF(($D154*(1-$E$45))&lt;=0,0,(I154/($D154*(1-$E$45)))^(1/3)-1)</f>
        <v>1.04242386478793</v>
      </c>
      <c r="J160" s="15">
        <f>IF(($D154*(1-$E$45))&lt;=0,0,(J154/($D154*(1-$E$45)))^(1/3)-1)</f>
        <v>1.17112092686414</v>
      </c>
    </row>
    <row r="161">
      <c r="B161" s="26">
        <f>B155</f>
        <v>8</v>
      </c>
      <c r="F161" s="15">
        <f>IF(($D155*(1-$E$45))&lt;=0,0,(F155/($D155*(1-$E$45)))^(1/3)-1)</f>
        <v>0.185246692670234</v>
      </c>
      <c r="G161" s="15">
        <f>IF(($D155*(1-$E$45))&lt;=0,0,(G155/($D155*(1-$E$45)))^(1/3)-1)</f>
        <v>0.467680139400672</v>
      </c>
      <c r="H161" s="15">
        <f>IF(($D155*(1-$E$45))&lt;=0,0,(H155/($D155*(1-$E$45)))^(1/3)-1)</f>
        <v>0.67006052872891</v>
      </c>
      <c r="I161" s="15">
        <f>IF(($D155*(1-$E$45))&lt;=0,0,(I155/($D155*(1-$E$45)))^(1/3)-1)</f>
        <v>0.832578717682121</v>
      </c>
      <c r="J161" s="15">
        <f>IF(($D155*(1-$E$45))&lt;=0,0,(J155/($D155*(1-$E$45)))^(1/3)-1)</f>
        <v>0.970473986521167</v>
      </c>
    </row>
    <row r="162">
      <c r="B162" s="12" t="inlineStr">
        <is>
          <t>MoIC</t>
        </is>
      </c>
    </row>
    <row r="163">
      <c r="B163" s="26">
        <f>B151</f>
        <v>6</v>
      </c>
      <c r="F163" s="27">
        <f>IF(($D151*(1-$E$45))&lt;=0,0,F151/($D151*(1-$E$45)))</f>
        <v>13.8199226727501</v>
      </c>
      <c r="G163" s="27">
        <f>IF(($D151*(1-$E$45))&lt;=0,0,G151/($D151*(1-$E$45)))</f>
        <v>16.8619489952923</v>
      </c>
      <c r="H163" s="27">
        <f>IF(($D151*(1-$E$45))&lt;=0,0,H151/($D151*(1-$E$45)))</f>
        <v>19.9039753178346</v>
      </c>
      <c r="I163" s="27">
        <f>IF(($D151*(1-$E$45))&lt;=0,0,I151/($D151*(1-$E$45)))</f>
        <v>22.9460016403769</v>
      </c>
      <c r="J163" s="27">
        <f>IF(($D151*(1-$E$45))&lt;=0,0,J151/($D151*(1-$E$45)))</f>
        <v>25.9880279629192</v>
      </c>
    </row>
    <row r="164">
      <c r="B164" s="26">
        <f>B152</f>
        <v>6.5</v>
      </c>
      <c r="F164" s="27">
        <f>IF(($D152*(1-$E$45))&lt;=0,0,F152/($D152*(1-$E$45)))</f>
        <v>8.9104239451801</v>
      </c>
      <c r="G164" s="27">
        <f>IF(($D152*(1-$E$45))&lt;=0,0,G152/($D152*(1-$E$45)))</f>
        <v>11.3281783905002</v>
      </c>
      <c r="H164" s="27">
        <f>IF(($D152*(1-$E$45))&lt;=0,0,H152/($D152*(1-$E$45)))</f>
        <v>13.7459328358203</v>
      </c>
      <c r="I164" s="27">
        <f>IF(($D152*(1-$E$45))&lt;=0,0,I152/($D152*(1-$E$45)))</f>
        <v>16.1636872811403</v>
      </c>
      <c r="J164" s="27">
        <f>IF(($D152*(1-$E$45))&lt;=0,0,J152/($D152*(1-$E$45)))</f>
        <v>18.5814417264604</v>
      </c>
    </row>
    <row r="165">
      <c r="B165" s="26">
        <f>B153</f>
        <v>7</v>
      </c>
      <c r="F165" s="27">
        <f>IF(($D153*(1-$E$45))&lt;=0,0,F153/($D153*(1-$E$45)))</f>
        <v>5.67283613149978</v>
      </c>
      <c r="G165" s="27">
        <f>IF(($D153*(1-$E$45))&lt;=0,0,G153/($D153*(1-$E$45)))</f>
        <v>7.67891208696346</v>
      </c>
      <c r="H165" s="27">
        <f>IF(($D153*(1-$E$45))&lt;=0,0,H153/($D153*(1-$E$45)))</f>
        <v>9.68498804242714</v>
      </c>
      <c r="I165" s="27">
        <f>IF(($D153*(1-$E$45))&lt;=0,0,I153/($D153*(1-$E$45)))</f>
        <v>11.6910639978908</v>
      </c>
      <c r="J165" s="27">
        <f>IF(($D153*(1-$E$45))&lt;=0,0,J153/($D153*(1-$E$45)))</f>
        <v>13.6971399533545</v>
      </c>
    </row>
    <row r="166">
      <c r="B166" s="26">
        <f>B154</f>
        <v>7.5</v>
      </c>
      <c r="F166" s="27">
        <f>IF(($D154*(1-$E$45))&lt;=0,0,F154/($D154*(1-$E$45)))</f>
        <v>3.37737721251282</v>
      </c>
      <c r="G166" s="27">
        <f>IF(($D154*(1-$E$45))&lt;=0,0,G154/($D154*(1-$E$45)))</f>
        <v>5.091571954036</v>
      </c>
      <c r="H166" s="27">
        <f>IF(($D154*(1-$E$45))&lt;=0,0,H154/($D154*(1-$E$45)))</f>
        <v>6.80576669555919</v>
      </c>
      <c r="I166" s="27">
        <f>IF(($D154*(1-$E$45))&lt;=0,0,I154/($D154*(1-$E$45)))</f>
        <v>8.51996143708238</v>
      </c>
      <c r="J166" s="27">
        <f>IF(($D154*(1-$E$45))&lt;=0,0,J154/($D154*(1-$E$45)))</f>
        <v>10.2341561786056</v>
      </c>
    </row>
    <row r="167">
      <c r="B167" s="26">
        <f>B155</f>
        <v>8</v>
      </c>
      <c r="F167" s="27">
        <f>IF(($D155*(1-$E$45))&lt;=0,0,F155/($D155*(1-$E$45)))</f>
        <v>1.6650460774072</v>
      </c>
      <c r="G167" s="27">
        <f>IF(($D155*(1-$E$45))&lt;=0,0,G155/($D155*(1-$E$45)))</f>
        <v>3.16150776073943</v>
      </c>
      <c r="H167" s="27">
        <f>IF(($D155*(1-$E$45))&lt;=0,0,H155/($D155*(1-$E$45)))</f>
        <v>4.65796944407166</v>
      </c>
      <c r="I167" s="27">
        <f>IF(($D155*(1-$E$45))&lt;=0,0,I155/($D155*(1-$E$45)))</f>
        <v>6.1544311274039</v>
      </c>
      <c r="J167" s="27">
        <f>IF(($D155*(1-$E$45))&lt;=0,0,J155/($D155*(1-$E$45)))</f>
        <v>7.65089281073613</v>
      </c>
    </row>
    <row r="170">
      <c r="B170" s="21" t="inlineStr">
        <is>
          <t>Common Equity - Goodwill NOT Tax Deductible (net debt grossed up for lost step-up savings)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</row>
    <row r="171">
      <c r="B171" s="11" t="inlineStr">
        <is>
          <t>Exit Multiple (x exit-year EBITDA)</t>
        </is>
      </c>
      <c r="F171" s="23" t="n">
        <v>6</v>
      </c>
      <c r="G171" s="23" t="n">
        <v>6.5</v>
      </c>
      <c r="H171" s="23" t="n">
        <v>7</v>
      </c>
      <c r="I171" s="23" t="n">
        <v>7.5</v>
      </c>
      <c r="J171" s="23" t="n">
        <v>8</v>
      </c>
    </row>
    <row r="172">
      <c r="B172" s="11" t="inlineStr">
        <is>
          <t>Sale Price (Enterprise Value at exit)</t>
        </is>
      </c>
      <c r="F172" s="24">
        <f>F171*$E$37</f>
        <v>61805.8628038656</v>
      </c>
      <c r="G172" s="24">
        <f>G171*$E$37</f>
        <v>66956.3513708544</v>
      </c>
      <c r="H172" s="24">
        <f>H171*$E$37</f>
        <v>72106.8399378432</v>
      </c>
      <c r="I172" s="24">
        <f>I171*$E$37</f>
        <v>77257.328504832</v>
      </c>
      <c r="J172" s="24">
        <f>J171*$E$37</f>
        <v>82407.8170718208</v>
      </c>
    </row>
    <row r="173">
      <c r="B173" s="13" t="inlineStr">
        <is>
          <t>Entry Multiple</t>
        </is>
      </c>
      <c r="C173" s="14" t="inlineStr">
        <is>
          <t>Purchase Price</t>
        </is>
      </c>
      <c r="D173" s="14" t="inlineStr">
        <is>
          <t>Total Equity at Entry</t>
        </is>
      </c>
      <c r="E173" s="14" t="inlineStr">
        <is>
          <t>Pfd Accreted at Exit</t>
        </is>
      </c>
      <c r="F173" s="12" t="inlineStr">
        <is>
          <t>Common Equity Proceeds (net of MEIP)</t>
        </is>
      </c>
    </row>
    <row r="174">
      <c r="B174" s="25" t="n">
        <v>6</v>
      </c>
      <c r="C174" s="24">
        <f>B174*$E$35</f>
        <v>47214</v>
      </c>
      <c r="D174" s="24">
        <f>C174+$E$39-$E$38</f>
        <v>15238</v>
      </c>
      <c r="E174" s="24">
        <f>D174*$E$45*(1+$E$46)^3</f>
        <v>17275.9423104</v>
      </c>
      <c r="F174" s="24">
        <f>(MIN((F$172-($E$42+$E$44)-$E$43)-MIN((F$172-($E$42+$E$44)-$E$43),$E174),($D174*(1-$E$45)))+(1-$E$47)*MAX(0,(F$172-($E$42+$E$44)-$E$43)-MIN((F$172-($E$42+$E$44)-$E$43),$E174)-($D174*(1-$E$45))))</f>
        <v>19191.5717687365</v>
      </c>
      <c r="G174" s="24">
        <f>(MIN((G$172-($E$42+$E$44)-$E$43)-MIN((G$172-($E$42+$E$44)-$E$43),$E174),($D174*(1-$E$45)))+(1-$E$47)*MAX(0,(G$172-($E$42+$E$44)-$E$43)-MIN((G$172-($E$42+$E$44)-$E$43),$E174)-($D174*(1-$E$45))))</f>
        <v>23827.0114790265</v>
      </c>
      <c r="H174" s="24">
        <f>(MIN((H$172-($E$42+$E$44)-$E$43)-MIN((H$172-($E$42+$E$44)-$E$43),$E174),($D174*(1-$E$45)))+(1-$E$47)*MAX(0,(H$172-($E$42+$E$44)-$E$43)-MIN((H$172-($E$42+$E$44)-$E$43),$E174)-($D174*(1-$E$45))))</f>
        <v>28462.4511893164</v>
      </c>
      <c r="I174" s="24">
        <f>(MIN((I$172-($E$42+$E$44)-$E$43)-MIN((I$172-($E$42+$E$44)-$E$43),$E174),($D174*(1-$E$45)))+(1-$E$47)*MAX(0,(I$172-($E$42+$E$44)-$E$43)-MIN((I$172-($E$42+$E$44)-$E$43),$E174)-($D174*(1-$E$45))))</f>
        <v>33097.8908996063</v>
      </c>
      <c r="J174" s="24">
        <f>(MIN((J$172-($E$42+$E$44)-$E$43)-MIN((J$172-($E$42+$E$44)-$E$43),$E174),($D174*(1-$E$45)))+(1-$E$47)*MAX(0,(J$172-($E$42+$E$44)-$E$43)-MIN((J$172-($E$42+$E$44)-$E$43),$E174)-($D174*(1-$E$45))))</f>
        <v>37733.3306098962</v>
      </c>
    </row>
    <row r="175">
      <c r="B175" s="25" t="n">
        <v>6.5</v>
      </c>
      <c r="C175" s="24">
        <f>B175*$E$35</f>
        <v>51148.5</v>
      </c>
      <c r="D175" s="24">
        <f>C175+$E$39-$E$38</f>
        <v>19172.5</v>
      </c>
      <c r="E175" s="24">
        <f>D175*$E$45*(1+$E$46)^3</f>
        <v>21736.645488</v>
      </c>
      <c r="F175" s="24">
        <f>(MIN((F$172-($E$42+$E$44)-$E$43)-MIN((F$172-($E$42+$E$44)-$E$43),$E175),($D175*(1-$E$45)))+(1-$E$47)*MAX(0,(F$172-($E$42+$E$44)-$E$43)-MIN((F$172-($E$42+$E$44)-$E$43),$E175)-($D175*(1-$E$45))))</f>
        <v>15216.2839088965</v>
      </c>
      <c r="G175" s="24">
        <f>(MIN((G$172-($E$42+$E$44)-$E$43)-MIN((G$172-($E$42+$E$44)-$E$43),$E175),($D175*(1-$E$45)))+(1-$E$47)*MAX(0,(G$172-($E$42+$E$44)-$E$43)-MIN((G$172-($E$42+$E$44)-$E$43),$E175)-($D175*(1-$E$45))))</f>
        <v>19851.7236191865</v>
      </c>
      <c r="H175" s="24">
        <f>(MIN((H$172-($E$42+$E$44)-$E$43)-MIN((H$172-($E$42+$E$44)-$E$43),$E175),($D175*(1-$E$45)))+(1-$E$47)*MAX(0,(H$172-($E$42+$E$44)-$E$43)-MIN((H$172-($E$42+$E$44)-$E$43),$E175)-($D175*(1-$E$45))))</f>
        <v>24487.1633294764</v>
      </c>
      <c r="I175" s="24">
        <f>(MIN((I$172-($E$42+$E$44)-$E$43)-MIN((I$172-($E$42+$E$44)-$E$43),$E175),($D175*(1-$E$45)))+(1-$E$47)*MAX(0,(I$172-($E$42+$E$44)-$E$43)-MIN((I$172-($E$42+$E$44)-$E$43),$E175)-($D175*(1-$E$45))))</f>
        <v>29122.6030397663</v>
      </c>
      <c r="J175" s="24">
        <f>(MIN((J$172-($E$42+$E$44)-$E$43)-MIN((J$172-($E$42+$E$44)-$E$43),$E175),($D175*(1-$E$45)))+(1-$E$47)*MAX(0,(J$172-($E$42+$E$44)-$E$43)-MIN((J$172-($E$42+$E$44)-$E$43),$E175)-($D175*(1-$E$45))))</f>
        <v>33758.0427500562</v>
      </c>
    </row>
    <row r="176">
      <c r="B176" s="25" t="n">
        <v>7</v>
      </c>
      <c r="C176" s="24">
        <f>B176*$E$35</f>
        <v>55083</v>
      </c>
      <c r="D176" s="24">
        <f>C176+$E$39-$E$38</f>
        <v>23107</v>
      </c>
      <c r="E176" s="24">
        <f>D176*$E$45*(1+$E$46)^3</f>
        <v>26197.3486656</v>
      </c>
      <c r="F176" s="24">
        <f>(MIN((F$172-($E$42+$E$44)-$E$43)-MIN((F$172-($E$42+$E$44)-$E$43),$E176),($D176*(1-$E$45)))+(1-$E$47)*MAX(0,(F$172-($E$42+$E$44)-$E$43)-MIN((F$172-($E$42+$E$44)-$E$43),$E176)-($D176*(1-$E$45))))</f>
        <v>11240.9960490565</v>
      </c>
      <c r="G176" s="24">
        <f>(MIN((G$172-($E$42+$E$44)-$E$43)-MIN((G$172-($E$42+$E$44)-$E$43),$E176),($D176*(1-$E$45)))+(1-$E$47)*MAX(0,(G$172-($E$42+$E$44)-$E$43)-MIN((G$172-($E$42+$E$44)-$E$43),$E176)-($D176*(1-$E$45))))</f>
        <v>15876.4357593465</v>
      </c>
      <c r="H176" s="24">
        <f>(MIN((H$172-($E$42+$E$44)-$E$43)-MIN((H$172-($E$42+$E$44)-$E$43),$E176),($D176*(1-$E$45)))+(1-$E$47)*MAX(0,(H$172-($E$42+$E$44)-$E$43)-MIN((H$172-($E$42+$E$44)-$E$43),$E176)-($D176*(1-$E$45))))</f>
        <v>20511.8754696364</v>
      </c>
      <c r="I176" s="24">
        <f>(MIN((I$172-($E$42+$E$44)-$E$43)-MIN((I$172-($E$42+$E$44)-$E$43),$E176),($D176*(1-$E$45)))+(1-$E$47)*MAX(0,(I$172-($E$42+$E$44)-$E$43)-MIN((I$172-($E$42+$E$44)-$E$43),$E176)-($D176*(1-$E$45))))</f>
        <v>25147.3151799263</v>
      </c>
      <c r="J176" s="24">
        <f>(MIN((J$172-($E$42+$E$44)-$E$43)-MIN((J$172-($E$42+$E$44)-$E$43),$E176),($D176*(1-$E$45)))+(1-$E$47)*MAX(0,(J$172-($E$42+$E$44)-$E$43)-MIN((J$172-($E$42+$E$44)-$E$43),$E176)-($D176*(1-$E$45))))</f>
        <v>29782.7548902162</v>
      </c>
    </row>
    <row r="177">
      <c r="B177" s="25" t="n">
        <v>7.5</v>
      </c>
      <c r="C177" s="24">
        <f>B177*$E$35</f>
        <v>59017.5</v>
      </c>
      <c r="D177" s="24">
        <f>C177+$E$39-$E$38</f>
        <v>27041.5</v>
      </c>
      <c r="E177" s="24">
        <f>D177*$E$45*(1+$E$46)^3</f>
        <v>30658.0518432</v>
      </c>
      <c r="F177" s="24">
        <f>(MIN((F$172-($E$42+$E$44)-$E$43)-MIN((F$172-($E$42+$E$44)-$E$43),$E177),($D177*(1-$E$45)))+(1-$E$47)*MAX(0,(F$172-($E$42+$E$44)-$E$43)-MIN((F$172-($E$42+$E$44)-$E$43),$E177)-($D177*(1-$E$45))))</f>
        <v>7265.70818921654</v>
      </c>
      <c r="G177" s="24">
        <f>(MIN((G$172-($E$42+$E$44)-$E$43)-MIN((G$172-($E$42+$E$44)-$E$43),$E177),($D177*(1-$E$45)))+(1-$E$47)*MAX(0,(G$172-($E$42+$E$44)-$E$43)-MIN((G$172-($E$42+$E$44)-$E$43),$E177)-($D177*(1-$E$45))))</f>
        <v>11901.1478995065</v>
      </c>
      <c r="H177" s="24">
        <f>(MIN((H$172-($E$42+$E$44)-$E$43)-MIN((H$172-($E$42+$E$44)-$E$43),$E177),($D177*(1-$E$45)))+(1-$E$47)*MAX(0,(H$172-($E$42+$E$44)-$E$43)-MIN((H$172-($E$42+$E$44)-$E$43),$E177)-($D177*(1-$E$45))))</f>
        <v>16536.5876097964</v>
      </c>
      <c r="I177" s="24">
        <f>(MIN((I$172-($E$42+$E$44)-$E$43)-MIN((I$172-($E$42+$E$44)-$E$43),$E177),($D177*(1-$E$45)))+(1-$E$47)*MAX(0,(I$172-($E$42+$E$44)-$E$43)-MIN((I$172-($E$42+$E$44)-$E$43),$E177)-($D177*(1-$E$45))))</f>
        <v>21172.0273200863</v>
      </c>
      <c r="J177" s="24">
        <f>(MIN((J$172-($E$42+$E$44)-$E$43)-MIN((J$172-($E$42+$E$44)-$E$43),$E177),($D177*(1-$E$45)))+(1-$E$47)*MAX(0,(J$172-($E$42+$E$44)-$E$43)-MIN((J$172-($E$42+$E$44)-$E$43),$E177)-($D177*(1-$E$45))))</f>
        <v>25807.4670303762</v>
      </c>
    </row>
    <row r="178">
      <c r="B178" s="25" t="n">
        <v>8</v>
      </c>
      <c r="C178" s="24">
        <f>B178*$E$35</f>
        <v>62952</v>
      </c>
      <c r="D178" s="24">
        <f>C178+$E$39-$E$38</f>
        <v>30976</v>
      </c>
      <c r="E178" s="24">
        <f>D178*$E$45*(1+$E$46)^3</f>
        <v>35118.7550208</v>
      </c>
      <c r="F178" s="24">
        <f>(MIN((F$172-($E$42+$E$44)-$E$43)-MIN((F$172-($E$42+$E$44)-$E$43),$E178),($D178*(1-$E$45)))+(1-$E$47)*MAX(0,(F$172-($E$42+$E$44)-$E$43)-MIN((F$172-($E$42+$E$44)-$E$43),$E178)-($D178*(1-$E$45))))</f>
        <v>3290.42032937654</v>
      </c>
      <c r="G178" s="24">
        <f>(MIN((G$172-($E$42+$E$44)-$E$43)-MIN((G$172-($E$42+$E$44)-$E$43),$E178),($D178*(1-$E$45)))+(1-$E$47)*MAX(0,(G$172-($E$42+$E$44)-$E$43)-MIN((G$172-($E$42+$E$44)-$E$43),$E178)-($D178*(1-$E$45))))</f>
        <v>7925.86003966646</v>
      </c>
      <c r="H178" s="24">
        <f>(MIN((H$172-($E$42+$E$44)-$E$43)-MIN((H$172-($E$42+$E$44)-$E$43),$E178),($D178*(1-$E$45)))+(1-$E$47)*MAX(0,(H$172-($E$42+$E$44)-$E$43)-MIN((H$172-($E$42+$E$44)-$E$43),$E178)-($D178*(1-$E$45))))</f>
        <v>12561.2997499564</v>
      </c>
      <c r="I178" s="24">
        <f>(MIN((I$172-($E$42+$E$44)-$E$43)-MIN((I$172-($E$42+$E$44)-$E$43),$E178),($D178*(1-$E$45)))+(1-$E$47)*MAX(0,(I$172-($E$42+$E$44)-$E$43)-MIN((I$172-($E$42+$E$44)-$E$43),$E178)-($D178*(1-$E$45))))</f>
        <v>17196.7394602463</v>
      </c>
      <c r="J178" s="24">
        <f>(MIN((J$172-($E$42+$E$44)-$E$43)-MIN((J$172-($E$42+$E$44)-$E$43),$E178),($D178*(1-$E$45)))+(1-$E$47)*MAX(0,(J$172-($E$42+$E$44)-$E$43)-MIN((J$172-($E$42+$E$44)-$E$43),$E178)-($D178*(1-$E$45))))</f>
        <v>21832.1791705362</v>
      </c>
    </row>
    <row r="179">
      <c r="B179" s="12" t="inlineStr">
        <is>
          <t>IRR</t>
        </is>
      </c>
      <c r="C179" s="5" t="inlineStr">
        <is>
          <t>n/a (legacy)</t>
        </is>
      </c>
      <c r="F179" s="5" t="inlineStr">
        <is>
          <t>Exit multiple -&gt;</t>
        </is>
      </c>
    </row>
    <row r="180">
      <c r="B180" s="26">
        <f>B174</f>
        <v>6</v>
      </c>
      <c r="F180" s="15">
        <f>IF(($D174*(1-$E$45))&lt;=0,0,(F174/($D174*(1-$E$45)))^(1/3)-1)</f>
        <v>1.32663107894695</v>
      </c>
      <c r="G180" s="15">
        <f>IF(($D174*(1-$E$45))&lt;=0,0,(G174/($D174*(1-$E$45)))^(1/3)-1)</f>
        <v>1.50061712827247</v>
      </c>
      <c r="H180" s="15">
        <f>IF(($D174*(1-$E$45))&lt;=0,0,(H174/($D174*(1-$E$45)))^(1/3)-1)</f>
        <v>1.65326997943705</v>
      </c>
      <c r="I180" s="15">
        <f>IF(($D174*(1-$E$45))&lt;=0,0,(I174/($D174*(1-$E$45)))^(1/3)-1)</f>
        <v>1.79012793257159</v>
      </c>
      <c r="J180" s="15">
        <f>IF(($D174*(1-$E$45))&lt;=0,0,(J174/($D174*(1-$E$45)))^(1/3)-1)</f>
        <v>1.9147348738222</v>
      </c>
    </row>
    <row r="181">
      <c r="B181" s="26">
        <f>B175</f>
        <v>6.5</v>
      </c>
      <c r="F181" s="15">
        <f>IF(($D175*(1-$E$45))&lt;=0,0,(F175/($D175*(1-$E$45)))^(1/3)-1)</f>
        <v>0.994695550001645</v>
      </c>
      <c r="G181" s="15">
        <f>IF(($D175*(1-$E$45))&lt;=0,0,(G175/($D175*(1-$E$45)))^(1/3)-1)</f>
        <v>1.17958172538103</v>
      </c>
      <c r="H181" s="15">
        <f>IF(($D175*(1-$E$45))&lt;=0,0,(H175/($D175*(1-$E$45)))^(1/3)-1)</f>
        <v>1.33750874250208</v>
      </c>
      <c r="I181" s="15">
        <f>IF(($D175*(1-$E$45))&lt;=0,0,(I175/($D175*(1-$E$45)))^(1/3)-1)</f>
        <v>1.47656927910337</v>
      </c>
      <c r="J181" s="15">
        <f>IF(($D175*(1-$E$45))&lt;=0,0,(J175/($D175*(1-$E$45)))^(1/3)-1)</f>
        <v>1.60155395543243</v>
      </c>
    </row>
    <row r="182">
      <c r="B182" s="26">
        <f>B176</f>
        <v>7</v>
      </c>
      <c r="F182" s="15">
        <f>IF(($D176*(1-$E$45))&lt;=0,0,(F176/($D176*(1-$E$45)))^(1/3)-1)</f>
        <v>0.694417430086554</v>
      </c>
      <c r="G182" s="15">
        <f>IF(($D176*(1-$E$45))&lt;=0,0,(G176/($D176*(1-$E$45)))^(1/3)-1)</f>
        <v>0.901092063078784</v>
      </c>
      <c r="H182" s="15">
        <f>IF(($D176*(1-$E$45))&lt;=0,0,(H176/($D176*(1-$E$45)))^(1/3)-1)</f>
        <v>1.07055737343817</v>
      </c>
      <c r="I182" s="15">
        <f>IF(($D176*(1-$E$45))&lt;=0,0,(I176/($D176*(1-$E$45)))^(1/3)-1)</f>
        <v>1.21606598088326</v>
      </c>
      <c r="J182" s="15">
        <f>IF(($D176*(1-$E$45))&lt;=0,0,(J176/($D176*(1-$E$45)))^(1/3)-1)</f>
        <v>1.34462703116217</v>
      </c>
    </row>
    <row r="183">
      <c r="B183" s="26">
        <f>B177</f>
        <v>7.5</v>
      </c>
      <c r="F183" s="15">
        <f>IF(($D177*(1-$E$45))&lt;=0,0,(F177/($D177*(1-$E$45)))^(1/3)-1)</f>
        <v>0.390216347362038</v>
      </c>
      <c r="G183" s="15">
        <f>IF(($D177*(1-$E$45))&lt;=0,0,(G177/($D177*(1-$E$45)))^(1/3)-1)</f>
        <v>0.638775105463472</v>
      </c>
      <c r="H183" s="15">
        <f>IF(($D177*(1-$E$45))&lt;=0,0,(H177/($D177*(1-$E$45)))^(1/3)-1)</f>
        <v>0.828682768376088</v>
      </c>
      <c r="I183" s="15">
        <f>IF(($D177*(1-$E$45))&lt;=0,0,(I177/($D177*(1-$E$45)))^(1/3)-1)</f>
        <v>0.985685917422549</v>
      </c>
      <c r="J183" s="15">
        <f>IF(($D177*(1-$E$45))&lt;=0,0,(J177/($D177*(1-$E$45)))^(1/3)-1)</f>
        <v>1.12115074699958</v>
      </c>
    </row>
    <row r="184">
      <c r="B184" s="26">
        <f>B178</f>
        <v>8</v>
      </c>
      <c r="F184" s="15">
        <f>IF(($D178*(1-$E$45))&lt;=0,0,(F178/($D178*(1-$E$45)))^(1/3)-1)</f>
        <v>0.0203331919559586</v>
      </c>
      <c r="G184" s="15">
        <f>IF(($D178*(1-$E$45))&lt;=0,0,(G178/($D178*(1-$E$45)))^(1/3)-1)</f>
        <v>0.36775093747673</v>
      </c>
      <c r="H184" s="15">
        <f>IF(($D178*(1-$E$45))&lt;=0,0,(H178/($D178*(1-$E$45)))^(1/3)-1)</f>
        <v>0.594666048426228</v>
      </c>
      <c r="I184" s="15">
        <f>IF(($D178*(1-$E$45))&lt;=0,0,(I178/($D178*(1-$E$45)))^(1/3)-1)</f>
        <v>0.770680720484007</v>
      </c>
      <c r="J184" s="15">
        <f>IF(($D178*(1-$E$45))&lt;=0,0,(J178/($D178*(1-$E$45)))^(1/3)-1)</f>
        <v>0.917302257961375</v>
      </c>
    </row>
    <row r="185">
      <c r="B185" s="12" t="inlineStr">
        <is>
          <t>MoIC</t>
        </is>
      </c>
      <c r="C185" s="5" t="inlineStr">
        <is>
          <t>n/a (legacy)</t>
        </is>
      </c>
    </row>
    <row r="186">
      <c r="B186" s="26">
        <f>B174</f>
        <v>6</v>
      </c>
      <c r="F186" s="27">
        <f>IF(($D174*(1-$E$45))&lt;=0,0,F174/($D174*(1-$E$45)))</f>
        <v>12.5945476891564</v>
      </c>
      <c r="G186" s="27">
        <f>IF(($D174*(1-$E$45))&lt;=0,0,G174/($D174*(1-$E$45)))</f>
        <v>15.6365740116987</v>
      </c>
      <c r="H186" s="27">
        <f>IF(($D174*(1-$E$45))&lt;=0,0,H174/($D174*(1-$E$45)))</f>
        <v>18.678600334241</v>
      </c>
      <c r="I186" s="27">
        <f>IF(($D174*(1-$E$45))&lt;=0,0,I174/($D174*(1-$E$45)))</f>
        <v>21.7206266567832</v>
      </c>
      <c r="J186" s="27">
        <f>IF(($D174*(1-$E$45))&lt;=0,0,J174/($D174*(1-$E$45)))</f>
        <v>24.7626529793255</v>
      </c>
    </row>
    <row r="187">
      <c r="B187" s="26">
        <f>B175</f>
        <v>6.5</v>
      </c>
      <c r="F187" s="27">
        <f>IF(($D175*(1-$E$45))&lt;=0,0,F175/($D175*(1-$E$45)))</f>
        <v>7.93651527390614</v>
      </c>
      <c r="G187" s="27">
        <f>IF(($D175*(1-$E$45))&lt;=0,0,G175/($D175*(1-$E$45)))</f>
        <v>10.3542697192262</v>
      </c>
      <c r="H187" s="27">
        <f>IF(($D175*(1-$E$45))&lt;=0,0,H175/($D175*(1-$E$45)))</f>
        <v>12.7720241645463</v>
      </c>
      <c r="I187" s="27">
        <f>IF(($D175*(1-$E$45))&lt;=0,0,I175/($D175*(1-$E$45)))</f>
        <v>15.1897786098664</v>
      </c>
      <c r="J187" s="27">
        <f>IF(($D175*(1-$E$45))&lt;=0,0,J175/($D175*(1-$E$45)))</f>
        <v>17.6075330551865</v>
      </c>
    </row>
    <row r="188">
      <c r="B188" s="26">
        <f>B176</f>
        <v>7</v>
      </c>
      <c r="F188" s="27">
        <f>IF(($D176*(1-$E$45))&lt;=0,0,F176/($D176*(1-$E$45)))</f>
        <v>4.86475788681202</v>
      </c>
      <c r="G188" s="27">
        <f>IF(($D176*(1-$E$45))&lt;=0,0,G176/($D176*(1-$E$45)))</f>
        <v>6.8708338422757</v>
      </c>
      <c r="H188" s="27">
        <f>IF(($D176*(1-$E$45))&lt;=0,0,H176/($D176*(1-$E$45)))</f>
        <v>8.87690979773938</v>
      </c>
      <c r="I188" s="27">
        <f>IF(($D176*(1-$E$45))&lt;=0,0,I176/($D176*(1-$E$45)))</f>
        <v>10.8829857532031</v>
      </c>
      <c r="J188" s="27">
        <f>IF(($D176*(1-$E$45))&lt;=0,0,J176/($D176*(1-$E$45)))</f>
        <v>12.8890617086667</v>
      </c>
    </row>
    <row r="189">
      <c r="B189" s="26">
        <f>B177</f>
        <v>7.5</v>
      </c>
      <c r="F189" s="27">
        <f>IF(($D177*(1-$E$45))&lt;=0,0,F177/($D177*(1-$E$45)))</f>
        <v>2.68687320940648</v>
      </c>
      <c r="G189" s="27">
        <f>IF(($D177*(1-$E$45))&lt;=0,0,G177/($D177*(1-$E$45)))</f>
        <v>4.40106795092967</v>
      </c>
      <c r="H189" s="27">
        <f>IF(($D177*(1-$E$45))&lt;=0,0,H177/($D177*(1-$E$45)))</f>
        <v>6.11526269245286</v>
      </c>
      <c r="I189" s="27">
        <f>IF(($D177*(1-$E$45))&lt;=0,0,I177/($D177*(1-$E$45)))</f>
        <v>7.82945743397604</v>
      </c>
      <c r="J189" s="27">
        <f>IF(($D177*(1-$E$45))&lt;=0,0,J177/($D177*(1-$E$45)))</f>
        <v>9.54365217549923</v>
      </c>
    </row>
    <row r="190">
      <c r="B190" s="26">
        <f>B178</f>
        <v>8</v>
      </c>
      <c r="F190" s="27">
        <f>IF(($D178*(1-$E$45))&lt;=0,0,F178/($D178*(1-$E$45)))</f>
        <v>1.06224829848158</v>
      </c>
      <c r="G190" s="27">
        <f>IF(($D178*(1-$E$45))&lt;=0,0,G178/($D178*(1-$E$45)))</f>
        <v>2.55870998181381</v>
      </c>
      <c r="H190" s="27">
        <f>IF(($D178*(1-$E$45))&lt;=0,0,H178/($D178*(1-$E$45)))</f>
        <v>4.05517166514604</v>
      </c>
      <c r="I190" s="27">
        <f>IF(($D178*(1-$E$45))&lt;=0,0,I178/($D178*(1-$E$45)))</f>
        <v>5.55163334847828</v>
      </c>
      <c r="J190" s="27">
        <f>IF(($D178*(1-$E$45))&lt;=0,0,J178/($D178*(1-$E$45)))</f>
        <v>7.04809503181051</v>
      </c>
    </row>
    <row r="193">
      <c r="B193" s="12" t="inlineStr">
        <is>
          <t>Pro Forma / Projected Summary</t>
        </is>
      </c>
    </row>
    <row r="194">
      <c r="D194" s="14" t="inlineStr">
        <is>
          <t>Pro Forma</t>
        </is>
      </c>
      <c r="E194" s="14" t="inlineStr">
        <is>
          <t>Year 1</t>
        </is>
      </c>
      <c r="F194" s="14" t="inlineStr">
        <is>
          <t>Year 2</t>
        </is>
      </c>
      <c r="G194" s="14" t="inlineStr">
        <is>
          <t>Year 3</t>
        </is>
      </c>
      <c r="H194" s="14" t="inlineStr">
        <is>
          <t>Year 4</t>
        </is>
      </c>
      <c r="I194" s="14" t="inlineStr">
        <is>
          <t>Year 5</t>
        </is>
      </c>
      <c r="J194" s="14" t="inlineStr">
        <is>
          <t>5-Yr CAGR</t>
        </is>
      </c>
    </row>
    <row r="195">
      <c r="D195" s="16" t="str">
        <f>Model!E30</f>
        <v>FY2025A</v>
      </c>
      <c r="E195" s="16" t="str">
        <f>Model!F30</f>
        <v>FY2026E</v>
      </c>
      <c r="F195" s="16" t="str">
        <f>Model!G30</f>
        <v>FY2027E</v>
      </c>
      <c r="G195" s="16" t="str">
        <f>Model!H30</f>
        <v>FY2028E</v>
      </c>
      <c r="H195" s="16" t="str">
        <f>Model!I30</f>
        <v>FY2029E</v>
      </c>
      <c r="I195" s="16" t="str">
        <f>Model!J30</f>
        <v>FY2030E</v>
      </c>
    </row>
    <row r="196">
      <c r="B196" s="6" t="inlineStr">
        <is>
          <t>Revenue</t>
        </is>
      </c>
      <c r="D196" s="7">
        <f>Model!E75</f>
        <v>42624</v>
      </c>
      <c r="E196" s="7">
        <f>Model!F75</f>
        <v>46033.92</v>
      </c>
      <c r="F196" s="7">
        <f>Model!G75</f>
        <v>49348.36224</v>
      </c>
      <c r="G196" s="7">
        <f>Model!H75</f>
        <v>52556.0057856</v>
      </c>
      <c r="H196" s="7">
        <f>Model!I75</f>
        <v>55709.366132736</v>
      </c>
      <c r="I196" s="7">
        <f>Model!J75</f>
        <v>58773.3812700365</v>
      </c>
      <c r="J196" s="15">
        <f>IF(D196&lt;=0,0,(I196/D196)^(1/5)-1)</f>
        <v>0.0663635571675985</v>
      </c>
    </row>
    <row r="197">
      <c r="B197" s="6" t="inlineStr">
        <is>
          <t>EBITDA</t>
        </is>
      </c>
      <c r="D197" s="7">
        <f>Model!E85</f>
        <v>7869</v>
      </c>
      <c r="E197" s="7">
        <f>Model!F85</f>
        <v>8746.4448</v>
      </c>
      <c r="F197" s="7">
        <f>Model!G85</f>
        <v>9524.23391232</v>
      </c>
      <c r="G197" s="7">
        <f>Model!H85</f>
        <v>10300.9771339776</v>
      </c>
      <c r="H197" s="7">
        <f>Model!I85</f>
        <v>11030.4544942817</v>
      </c>
      <c r="I197" s="7">
        <f>Model!J85</f>
        <v>11754.6762540073</v>
      </c>
      <c r="J197" s="15">
        <f>IF(D197&lt;=0,0,(I197/D197)^(1/5)-1)</f>
        <v>0.0835731259230796</v>
      </c>
    </row>
    <row r="198">
      <c r="B198" s="6" t="inlineStr">
        <is>
          <t>Total Capex</t>
        </is>
      </c>
      <c r="D198" s="7">
        <f>Model!E35</f>
        <v>1175</v>
      </c>
      <c r="E198" s="7">
        <f>Model!F35</f>
        <v>1288.94976</v>
      </c>
      <c r="F198" s="7">
        <f>Model!G35</f>
        <v>1381.75414272</v>
      </c>
      <c r="G198" s="7">
        <f>Model!H35</f>
        <v>1471.5681619968</v>
      </c>
      <c r="H198" s="7">
        <f>Model!I35</f>
        <v>1559.86225171661</v>
      </c>
      <c r="I198" s="7">
        <f>Model!J35</f>
        <v>1645.65467556102</v>
      </c>
      <c r="J198" s="15">
        <f>IF(D198&lt;=0,0,(I198/D198)^(1/5)-1)</f>
        <v>0.0696954986826168</v>
      </c>
    </row>
    <row r="199">
      <c r="B199" s="6" t="inlineStr">
        <is>
          <t>Cash Flow (Cash Available for Debt Service)</t>
        </is>
      </c>
      <c r="D199" s="7">
        <f>Model!E85-Model!E35-Model!E307</f>
        <v>6619</v>
      </c>
      <c r="E199" s="7">
        <f>Model!F47</f>
        <v>4097.22896893881</v>
      </c>
      <c r="F199" s="7">
        <f>Model!G47</f>
        <v>4807.79075109321</v>
      </c>
      <c r="G199" s="7">
        <f>Model!H47</f>
        <v>5416.12305932074</v>
      </c>
      <c r="H199" s="7">
        <f>Model!I47</f>
        <v>6170.48095943058</v>
      </c>
      <c r="I199" s="7">
        <f>Model!J47</f>
        <v>6947.90404202527</v>
      </c>
      <c r="J199" s="15">
        <f>IF(D199&lt;=0,0,(I199/D199)^(1/5)-1)</f>
        <v>0.00974633642414013</v>
      </c>
    </row>
    <row r="201">
      <c r="B201" s="5" t="str">
        <f>"(3) Returns are net of transaction expenses of $"&amp;TEXT(Model!$D$14,"#,##0")&amp;"k and net of the 10% MEIP; entry-year debt held at base-case amounts."</f>
        <v>(3) Returns are net of transaction expenses of $2,400k and net of the 10% MEIP; entry-year debt held at base-case amounts.</v>
      </c>
    </row>
    <row r="202">
      <c r="B202" s="5" t="inlineStr">
        <is>
          <t>(4) Purchase price excludes fees; pro forma cash flow = FY2025A EBITDA - capex - change in NWC.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30" customWidth="1" min="10" max="10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str">
        <f>"Deal Overview and Returns Summary @ "&amp;TEXT($E$7,"0.0x")&amp;" Entry Multiple"</f>
        <v>Deal Overview and Returns Summary @ 7.5x Entry Multiple</v>
      </c>
    </row>
    <row r="7">
      <c r="B7" s="17" t="inlineStr">
        <is>
          <t>Entry Multiple (x FY2025A Adj. EBITDA)</t>
        </is>
      </c>
      <c r="E7" s="23" t="n">
        <v>7.5</v>
      </c>
    </row>
    <row r="9">
      <c r="B9" s="17" t="inlineStr">
        <is>
          <t>Returns Inputs (linked to Model / Assump_CapStructure)</t>
        </is>
      </c>
    </row>
    <row r="10">
      <c r="B10" s="6" t="inlineStr">
        <is>
          <t>FY2025A Adj. EBITDA</t>
        </is>
      </c>
      <c r="E10" s="7">
        <f>Model!$E$85</f>
        <v>7869</v>
      </c>
    </row>
    <row r="11">
      <c r="B11" s="6" t="inlineStr">
        <is>
          <t>FY2030E EBITDA (exit year 5)</t>
        </is>
      </c>
      <c r="E11" s="7">
        <f>Model!$J$85</f>
        <v>11754.6762540073</v>
      </c>
    </row>
    <row r="12">
      <c r="B12" s="6" t="inlineStr">
        <is>
          <t>FY2028E EBITDA (exit year 3)</t>
        </is>
      </c>
      <c r="E12" s="7">
        <f>Model!$H$85</f>
        <v>10300.9771339776</v>
      </c>
    </row>
    <row r="13">
      <c r="B13" s="6" t="inlineStr">
        <is>
          <t>Debt raised at close (base case, fixed)</t>
        </is>
      </c>
      <c r="E13" s="7">
        <f>Model!$K$16</f>
        <v>35476</v>
      </c>
    </row>
    <row r="14">
      <c r="B14" s="6" t="inlineStr">
        <is>
          <t>Transaction costs + cash to B/S + cash acquired</t>
        </is>
      </c>
      <c r="E14" s="7">
        <f>Model!$D$14+Model!$D$13+Assump_CapStructure!$D$79</f>
        <v>3500</v>
      </c>
    </row>
    <row r="15">
      <c r="B15" s="6" t="inlineStr">
        <is>
          <t>Net debt at FY2030E (excl. seller note; from Model)</t>
        </is>
      </c>
      <c r="E15" s="7">
        <f>Model!$J$62-Model!$J$61-Model!$J$51</f>
        <v>3755.48405957219</v>
      </c>
    </row>
    <row r="16">
      <c r="B16" s="6" t="inlineStr">
        <is>
          <t>Seller note accreted balance at FY2030E</t>
        </is>
      </c>
      <c r="E16" s="7">
        <f>Model!$J$61</f>
        <v>5352.9023104</v>
      </c>
    </row>
    <row r="17">
      <c r="B17" s="6" t="inlineStr">
        <is>
          <t>Net debt at FY2028E (excl. seller note; from Model)</t>
        </is>
      </c>
      <c r="E17" s="7">
        <f>Model!$H$62-Model!$H$61-Model!$H$51</f>
        <v>16536.5029726472</v>
      </c>
    </row>
    <row r="18">
      <c r="B18" s="6" t="inlineStr">
        <is>
          <t>Seller note accreted balance at FY2028E</t>
        </is>
      </c>
      <c r="E18" s="7">
        <f>Model!$H$61</f>
        <v>4764.064</v>
      </c>
    </row>
    <row r="19">
      <c r="B19" s="6" t="inlineStr">
        <is>
          <t>Cumulative goodwill step-up tax savings through FY2028E</t>
        </is>
      </c>
      <c r="E19" s="7">
        <f>Model!$H$328</f>
        <v>2074.696</v>
      </c>
    </row>
    <row r="20">
      <c r="B20" s="6" t="inlineStr">
        <is>
          <t>Preferred % of equity account</t>
        </is>
      </c>
      <c r="E20" s="10">
        <f>Assump_CapStructure!$F$31</f>
        <v>0.9</v>
      </c>
    </row>
    <row r="21">
      <c r="B21" s="6" t="inlineStr">
        <is>
          <t>Preferred accretion rate</t>
        </is>
      </c>
      <c r="E21" s="10">
        <f>Assump_CapStructure!$F$28</f>
        <v>0.08</v>
      </c>
    </row>
    <row r="22">
      <c r="B22" s="6" t="inlineStr">
        <is>
          <t>MEIP % of common profits</t>
        </is>
      </c>
      <c r="E22" s="10">
        <f>Assump_CapStructure!$F$29</f>
        <v>0.1</v>
      </c>
    </row>
    <row r="23">
      <c r="B23" s="6" t="inlineStr">
        <is>
          <t>Sponsor carried interest</t>
        </is>
      </c>
      <c r="E23" s="10">
        <f>Assump_CapStructure!$F$30</f>
        <v>0.2</v>
      </c>
    </row>
    <row r="25">
      <c r="B25" s="6" t="inlineStr">
        <is>
          <t>Purchase Price (Transaction Value)</t>
        </is>
      </c>
      <c r="E25" s="24">
        <f>$E$7*$E$10</f>
        <v>59017.5</v>
      </c>
    </row>
    <row r="26">
      <c r="B26" s="6" t="inlineStr">
        <is>
          <t>Total Equity at Entry (Sponsor + Rollover)</t>
        </is>
      </c>
      <c r="E26" s="24">
        <f>E25+$E$14-$E$13</f>
        <v>27041.5</v>
      </c>
    </row>
    <row r="27">
      <c r="B27" s="6" t="inlineStr">
        <is>
          <t>Preferred Accreted at Exit (year 5)</t>
        </is>
      </c>
      <c r="E27" s="24">
        <f>E26*$E$20*(1+$E$21)^5</f>
        <v>35759.5516699085</v>
      </c>
    </row>
    <row r="28">
      <c r="B28" s="6" t="inlineStr">
        <is>
          <t>Common Equity Invested</t>
        </is>
      </c>
      <c r="E28" s="24">
        <f>E26*(1-$E$20)</f>
        <v>2704.15</v>
      </c>
    </row>
    <row r="30">
      <c r="B30" s="21" t="inlineStr">
        <is>
          <t>Five-Year Gross Return Profile (Sponsor + Rollover strip, net of MEIP) (1)</t>
        </is>
      </c>
      <c r="C30" s="22" t="n"/>
      <c r="D30" s="22" t="n"/>
      <c r="E30" s="22" t="n"/>
      <c r="F30" s="22" t="n"/>
      <c r="G30" s="22" t="n"/>
      <c r="H30" s="22" t="n"/>
    </row>
    <row r="31">
      <c r="C31" s="28" t="inlineStr">
        <is>
          <t>Rev. CAGR</t>
        </is>
      </c>
      <c r="D31" s="5" t="inlineStr">
        <is>
          <t>Exit multiple -&gt;</t>
        </is>
      </c>
    </row>
    <row r="32">
      <c r="B32" s="5" t="inlineStr">
        <is>
          <t>Exit-year EBITDA by case</t>
        </is>
      </c>
      <c r="D32" s="23" t="n">
        <v>6</v>
      </c>
      <c r="E32" s="23" t="n">
        <v>6.5</v>
      </c>
      <c r="F32" s="23" t="n">
        <v>7</v>
      </c>
      <c r="G32" s="23" t="n">
        <v>7.5</v>
      </c>
      <c r="H32" s="23" t="n">
        <v>8</v>
      </c>
    </row>
    <row r="33">
      <c r="B33" s="17" t="inlineStr">
        <is>
          <t>15% Rev CAGR Case</t>
        </is>
      </c>
      <c r="C33" s="29" t="n">
        <v>0.15</v>
      </c>
      <c r="D33" s="11" t="inlineStr">
        <is>
          <t>Exit EBITDA:</t>
        </is>
      </c>
      <c r="E33" s="24">
        <f>$E$10*(1+C33)^5</f>
        <v>15827.3697084375</v>
      </c>
    </row>
    <row r="34">
      <c r="B34" s="6" t="inlineStr">
        <is>
          <t xml:space="preserve">   IRR</t>
        </is>
      </c>
      <c r="D34" s="15">
        <f>IF(D35&lt;=0,-1,D35^(1/5)-1)</f>
        <v>0.245706734444456</v>
      </c>
      <c r="E34" s="15">
        <f>IF(E35&lt;=0,-1,E35^(1/5)-1)</f>
        <v>0.266852042906337</v>
      </c>
      <c r="F34" s="15">
        <f>IF(F35&lt;=0,-1,F35^(1/5)-1)</f>
        <v>0.286673133765301</v>
      </c>
      <c r="G34" s="15">
        <f>IF(G35&lt;=0,-1,G35^(1/5)-1)</f>
        <v>0.3053431416945</v>
      </c>
      <c r="H34" s="15">
        <f>IF(H35&lt;=0,-1,H35^(1/5)-1)</f>
        <v>0.323002358536819</v>
      </c>
    </row>
    <row r="35">
      <c r="B35" s="6" t="inlineStr">
        <is>
          <t xml:space="preserve">   MoIC</t>
        </is>
      </c>
      <c r="D35" s="27">
        <f>IF($E$26&lt;=0,0,((D$32*$E33-$E$15-$E$16)-$E$22*MAX(0,(D$32*$E33-$E$15-$E$16)-MIN((D$32*$E33-$E$15-$E$16),$E$27)-$E$28))/$E$26)</f>
        <v>2.9997085538738</v>
      </c>
      <c r="E35" s="27">
        <f>IF($E$26&lt;=0,0,((E$32*$E33-$E$15-$E$16)-$E$22*MAX(0,(E$32*$E33-$E$15-$E$16)-MIN((E$32*$E33-$E$15-$E$16),$E$27)-$E$28))/$E$26)</f>
        <v>3.26309321703216</v>
      </c>
      <c r="F35" s="27">
        <f>IF($E$26&lt;=0,0,((F$32*$E33-$E$15-$E$16)-$E$22*MAX(0,(F$32*$E33-$E$15-$E$16)-MIN((F$32*$E33-$E$15-$E$16),$E$27)-$E$28))/$E$26)</f>
        <v>3.52647788019053</v>
      </c>
      <c r="G35" s="27">
        <f>IF($E$26&lt;=0,0,((G$32*$E33-$E$15-$E$16)-$E$22*MAX(0,(G$32*$E33-$E$15-$E$16)-MIN((G$32*$E33-$E$15-$E$16),$E$27)-$E$28))/$E$26)</f>
        <v>3.78986254334889</v>
      </c>
      <c r="H35" s="27">
        <f>IF($E$26&lt;=0,0,((H$32*$E33-$E$15-$E$16)-$E$22*MAX(0,(H$32*$E33-$E$15-$E$16)-MIN((H$32*$E33-$E$15-$E$16),$E$27)-$E$28))/$E$26)</f>
        <v>4.05324720650725</v>
      </c>
    </row>
    <row r="37">
      <c r="B37" s="17" t="inlineStr">
        <is>
          <t>10% Rev CAGR Case</t>
        </is>
      </c>
      <c r="C37" s="29" t="n">
        <v>0.1</v>
      </c>
      <c r="D37" s="11" t="inlineStr">
        <is>
          <t>Exit EBITDA:</t>
        </is>
      </c>
      <c r="E37" s="24">
        <f>$E$10*(1+C37)^5</f>
        <v>12673.10319</v>
      </c>
    </row>
    <row r="38">
      <c r="B38" s="6" t="inlineStr">
        <is>
          <t xml:space="preserve">   IRR</t>
        </is>
      </c>
      <c r="D38" s="15">
        <f>IF(D39&lt;=0,-1,D39^(1/5)-1)</f>
        <v>0.188346788803261</v>
      </c>
      <c r="E38" s="15">
        <f>IF(E39&lt;=0,-1,E39^(1/5)-1)</f>
        <v>0.20878231680974</v>
      </c>
      <c r="F38" s="15">
        <f>IF(F39&lt;=0,-1,F39^(1/5)-1)</f>
        <v>0.227922641760874</v>
      </c>
      <c r="G38" s="15">
        <f>IF(G39&lt;=0,-1,G39^(1/5)-1)</f>
        <v>0.245938999333753</v>
      </c>
      <c r="H38" s="15">
        <f>IF(H39&lt;=0,-1,H39^(1/5)-1)</f>
        <v>0.262969803757258</v>
      </c>
    </row>
    <row r="39">
      <c r="B39" s="6" t="inlineStr">
        <is>
          <t xml:space="preserve">   MoIC</t>
        </is>
      </c>
      <c r="D39" s="27">
        <f>IF($E$26&lt;=0,0,((D$32*$E37-$E$15-$E$16)-$E$22*MAX(0,(D$32*$E37-$E$15-$E$16)-MIN((D$32*$E37-$E$15-$E$16),$E$27)-$E$28))/$E$26)</f>
        <v>2.36982340698615</v>
      </c>
      <c r="E39" s="27">
        <f>IF($E$26&lt;=0,0,((E$32*$E37-$E$15-$E$16)-$E$22*MAX(0,(E$32*$E37-$E$15-$E$16)-MIN((E$32*$E37-$E$15-$E$16),$E$27)-$E$28))/$E$26)</f>
        <v>2.58071764123721</v>
      </c>
      <c r="F39" s="27">
        <f>IF($E$26&lt;=0,0,((F$32*$E37-$E$15-$E$16)-$E$22*MAX(0,(F$32*$E37-$E$15-$E$16)-MIN((F$32*$E37-$E$15-$E$16),$E$27)-$E$28))/$E$26)</f>
        <v>2.79161187548826</v>
      </c>
      <c r="G39" s="27">
        <f>IF($E$26&lt;=0,0,((G$32*$E37-$E$15-$E$16)-$E$22*MAX(0,(G$32*$E37-$E$15-$E$16)-MIN((G$32*$E37-$E$15-$E$16),$E$27)-$E$28))/$E$26)</f>
        <v>3.00250610973932</v>
      </c>
      <c r="H39" s="27">
        <f>IF($E$26&lt;=0,0,((H$32*$E37-$E$15-$E$16)-$E$22*MAX(0,(H$32*$E37-$E$15-$E$16)-MIN((H$32*$E37-$E$15-$E$16),$E$27)-$E$28))/$E$26)</f>
        <v>3.21340034399038</v>
      </c>
    </row>
    <row r="41">
      <c r="B41" s="17" t="inlineStr">
        <is>
          <t>5% Rev CAGR Case</t>
        </is>
      </c>
      <c r="C41" s="29" t="n">
        <v>0.05</v>
      </c>
      <c r="D41" s="11" t="inlineStr">
        <is>
          <t>Exit EBITDA:</t>
        </is>
      </c>
      <c r="E41" s="24">
        <f>$E$10*(1+C41)^5</f>
        <v>10043.0596153125</v>
      </c>
    </row>
    <row r="42">
      <c r="B42" s="6" t="inlineStr">
        <is>
          <t xml:space="preserve">   IRR</t>
        </is>
      </c>
      <c r="D42" s="15">
        <f>IF(D43&lt;=0,-1,D43^(1/5)-1)</f>
        <v>0.13026810975547</v>
      </c>
      <c r="E42" s="15">
        <f>IF(E43&lt;=0,-1,E43^(1/5)-1)</f>
        <v>0.150044845340717</v>
      </c>
      <c r="F42" s="15">
        <f>IF(F43&lt;=0,-1,F43^(1/5)-1)</f>
        <v>0.16854794618632</v>
      </c>
      <c r="G42" s="15">
        <f>IF(G43&lt;=0,-1,G43^(1/5)-1)</f>
        <v>0.185948308914755</v>
      </c>
      <c r="H42" s="15">
        <f>IF(H43&lt;=0,-1,H43^(1/5)-1)</f>
        <v>0.20238361840697</v>
      </c>
    </row>
    <row r="43">
      <c r="B43" s="6" t="inlineStr">
        <is>
          <t xml:space="preserve">   MoIC</t>
        </is>
      </c>
      <c r="D43" s="27">
        <f>IF($E$26&lt;=0,0,((D$32*$E41-$E$15-$E$16)-$E$22*MAX(0,(D$32*$E41-$E$15-$E$16)-MIN((D$32*$E41-$E$15-$E$16),$E$27)-$E$28))/$E$26)</f>
        <v>1.84462194614586</v>
      </c>
      <c r="E43" s="27">
        <f>IF($E$26&lt;=0,0,((E$32*$E41-$E$15-$E$16)-$E$22*MAX(0,(E$32*$E41-$E$15-$E$16)-MIN((E$32*$E41-$E$15-$E$16),$E$27)-$E$28))/$E$26)</f>
        <v>2.01174939199357</v>
      </c>
      <c r="F43" s="27">
        <f>IF($E$26&lt;=0,0,((F$32*$E41-$E$15-$E$16)-$E$22*MAX(0,(F$32*$E41-$E$15-$E$16)-MIN((F$32*$E41-$E$15-$E$16),$E$27)-$E$28))/$E$26)</f>
        <v>2.17887683784127</v>
      </c>
      <c r="G43" s="27">
        <f>IF($E$26&lt;=0,0,((G$32*$E41-$E$15-$E$16)-$E$22*MAX(0,(G$32*$E41-$E$15-$E$16)-MIN((G$32*$E41-$E$15-$E$16),$E$27)-$E$28))/$E$26)</f>
        <v>2.34600428368897</v>
      </c>
      <c r="H43" s="27">
        <f>IF($E$26&lt;=0,0,((H$32*$E41-$E$15-$E$16)-$E$22*MAX(0,(H$32*$E41-$E$15-$E$16)-MIN((H$32*$E41-$E$15-$E$16),$E$27)-$E$28))/$E$26)</f>
        <v>2.51313172953667</v>
      </c>
    </row>
    <row r="45">
      <c r="B45" s="17" t="inlineStr">
        <is>
          <t>Flat Rev CAGR Case</t>
        </is>
      </c>
      <c r="C45" s="29" t="n">
        <v>0</v>
      </c>
      <c r="D45" s="11" t="inlineStr">
        <is>
          <t>Exit EBITDA:</t>
        </is>
      </c>
      <c r="E45" s="24">
        <f>$E$10*(1+C45)^5</f>
        <v>7869</v>
      </c>
    </row>
    <row r="46">
      <c r="B46" s="6" t="inlineStr">
        <is>
          <t xml:space="preserve">   IRR</t>
        </is>
      </c>
      <c r="D46" s="15">
        <f>IF(D47&lt;=0,-1,D47^(1/5)-1)</f>
        <v>0.0710053400863731</v>
      </c>
      <c r="E46" s="15">
        <f>IF(E47&lt;=0,-1,E47^(1/5)-1)</f>
        <v>0.0903967255577189</v>
      </c>
      <c r="F46" s="15">
        <f>IF(F47&lt;=0,-1,F47^(1/5)-1)</f>
        <v>0.108323958889637</v>
      </c>
      <c r="G46" s="15">
        <f>IF(G47&lt;=0,-1,G47^(1/5)-1)</f>
        <v>0.125161150512735</v>
      </c>
      <c r="H46" s="15">
        <f>IF(H47&lt;=0,-1,H47^(1/5)-1)</f>
        <v>0.141046962564518</v>
      </c>
    </row>
    <row r="47">
      <c r="B47" s="6" t="inlineStr">
        <is>
          <t xml:space="preserve">   MoIC</t>
        </is>
      </c>
      <c r="D47" s="27">
        <f>IF($E$26&lt;=0,0,((D$32*$E45-$E$15-$E$16)-$E$22*MAX(0,(D$32*$E45-$E$15-$E$16)-MIN((D$32*$E45-$E$15-$E$16),$E$27)-$E$28))/$E$26)</f>
        <v>1.40915310282447</v>
      </c>
      <c r="E47" s="27">
        <f>IF($E$26&lt;=0,0,((E$32*$E45-$E$15-$E$16)-$E$22*MAX(0,(E$32*$E45-$E$15-$E$16)-MIN((E$32*$E45-$E$15-$E$16),$E$27)-$E$28))/$E$26)</f>
        <v>1.54142604641073</v>
      </c>
      <c r="F47" s="27">
        <f>IF($E$26&lt;=0,0,((F$32*$E45-$E$15-$E$16)-$E$22*MAX(0,(F$32*$E45-$E$15-$E$16)-MIN((F$32*$E45-$E$15-$E$16),$E$27)-$E$28))/$E$26)</f>
        <v>1.67237477336745</v>
      </c>
      <c r="G47" s="27">
        <f>IF($E$26&lt;=0,0,((G$32*$E45-$E$15-$E$16)-$E$22*MAX(0,(G$32*$E45-$E$15-$E$16)-MIN((G$32*$E45-$E$15-$E$16),$E$27)-$E$28))/$E$26)</f>
        <v>1.80332350032416</v>
      </c>
      <c r="H47" s="27">
        <f>IF($E$26&lt;=0,0,((H$32*$E45-$E$15-$E$16)-$E$22*MAX(0,(H$32*$E45-$E$15-$E$16)-MIN((H$32*$E45-$E$15-$E$16),$E$27)-$E$28))/$E$26)</f>
        <v>1.93427222728088</v>
      </c>
    </row>
    <row r="49">
      <c r="B49" s="17" t="inlineStr">
        <is>
          <t>Management Case</t>
        </is>
      </c>
      <c r="C49" s="15">
        <f>($E$11/$E$10)^(1/5)-1</f>
        <v>0.0835731259230796</v>
      </c>
      <c r="D49" s="11" t="inlineStr">
        <is>
          <t>Exit EBITDA:</t>
        </is>
      </c>
      <c r="E49" s="24">
        <f>$E$11</f>
        <v>11754.6762540073</v>
      </c>
    </row>
    <row r="50">
      <c r="B50" s="6" t="inlineStr">
        <is>
          <t xml:space="preserve">   IRR</t>
        </is>
      </c>
      <c r="D50" s="15">
        <f>IF(D51&lt;=0,-1,D51^(1/5)-1)</f>
        <v>0.169355910154356</v>
      </c>
      <c r="E50" s="15">
        <f>IF(E51&lt;=0,-1,E51^(1/5)-1)</f>
        <v>0.189568525053373</v>
      </c>
      <c r="F50" s="15">
        <f>IF(F51&lt;=0,-1,F51^(1/5)-1)</f>
        <v>0.208493978622331</v>
      </c>
      <c r="G50" s="15">
        <f>IF(G51&lt;=0,-1,G51^(1/5)-1)</f>
        <v>0.22630319306411</v>
      </c>
      <c r="H50" s="15">
        <f>IF(H51&lt;=0,-1,H51^(1/5)-1)</f>
        <v>0.243134194676705</v>
      </c>
    </row>
    <row r="51">
      <c r="B51" s="6" t="inlineStr">
        <is>
          <t xml:space="preserve">   MoIC</t>
        </is>
      </c>
      <c r="D51" s="27">
        <f>IF($E$26&lt;=0,0,((D$32*$E49-$E$15-$E$16)-$E$22*MAX(0,(D$32*$E49-$E$15-$E$16)-MIN((D$32*$E49-$E$15-$E$16),$E$27)-$E$28))/$E$26)</f>
        <v>2.18641991774329</v>
      </c>
      <c r="E51" s="27">
        <f>IF($E$26&lt;=0,0,((E$32*$E49-$E$15-$E$16)-$E$22*MAX(0,(E$32*$E49-$E$15-$E$16)-MIN((E$32*$E49-$E$15-$E$16),$E$27)-$E$28))/$E$26)</f>
        <v>2.38203052789078</v>
      </c>
      <c r="F51" s="27">
        <f>IF($E$26&lt;=0,0,((F$32*$E49-$E$15-$E$16)-$E$22*MAX(0,(F$32*$E49-$E$15-$E$16)-MIN((F$32*$E49-$E$15-$E$16),$E$27)-$E$28))/$E$26)</f>
        <v>2.57764113803827</v>
      </c>
      <c r="G51" s="27">
        <f>IF($E$26&lt;=0,0,((G$32*$E49-$E$15-$E$16)-$E$22*MAX(0,(G$32*$E49-$E$15-$E$16)-MIN((G$32*$E49-$E$15-$E$16),$E$27)-$E$28))/$E$26)</f>
        <v>2.77325174818576</v>
      </c>
      <c r="H51" s="27">
        <f>IF($E$26&lt;=0,0,((H$32*$E49-$E$15-$E$16)-$E$22*MAX(0,(H$32*$E49-$E$15-$E$16)-MIN((H$32*$E49-$E$15-$E$16),$E$27)-$E$28))/$E$26)</f>
        <v>2.96886235833324</v>
      </c>
    </row>
    <row r="53">
      <c r="B53" s="5" t="str">
        <f>"(1) Returns net of transaction expenses of $"&amp;TEXT(Model!$D$14,"#,##0")&amp;"k and net of the 10% MEIP; margin held at the FY2025A adj. EBITDA margin for the CAGR cases."</f>
        <v>(1) Returns net of transaction expenses of $2,400k and net of the 10% MEIP; margin held at the FY2025A adj. EBITDA margin for the CAGR cases.</v>
      </c>
    </row>
    <row r="54">
      <c r="B54" s="5" t="inlineStr">
        <is>
          <t>(2) Net debt at exit approximated as base-case (management case) net debt from the Model tab for every case.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30" customWidth="1" min="10" max="10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str">
        <f>"Deal Overview and Returns Summary @ "&amp;TEXT($E$7,"0.0x")&amp;" Entry Multiple"</f>
        <v>Deal Overview and Returns Summary @ 6.5x Entry Multiple</v>
      </c>
    </row>
    <row r="7">
      <c r="B7" s="17" t="inlineStr">
        <is>
          <t>Entry Multiple (x FY2025A Adj. EBITDA)</t>
        </is>
      </c>
      <c r="E7" s="23" t="n">
        <v>6.5</v>
      </c>
    </row>
    <row r="9">
      <c r="B9" s="17" t="inlineStr">
        <is>
          <t>Returns Inputs (linked to Model / Assump_CapStructure)</t>
        </is>
      </c>
    </row>
    <row r="10">
      <c r="B10" s="6" t="inlineStr">
        <is>
          <t>FY2025A Adj. EBITDA</t>
        </is>
      </c>
      <c r="E10" s="7">
        <f>Model!$E$85</f>
        <v>7869</v>
      </c>
    </row>
    <row r="11">
      <c r="B11" s="6" t="inlineStr">
        <is>
          <t>FY2030E EBITDA (exit year 5)</t>
        </is>
      </c>
      <c r="E11" s="7">
        <f>Model!$J$85</f>
        <v>11754.6762540073</v>
      </c>
    </row>
    <row r="12">
      <c r="B12" s="6" t="inlineStr">
        <is>
          <t>FY2028E EBITDA (exit year 3)</t>
        </is>
      </c>
      <c r="E12" s="7">
        <f>Model!$H$85</f>
        <v>10300.9771339776</v>
      </c>
    </row>
    <row r="13">
      <c r="B13" s="6" t="inlineStr">
        <is>
          <t>Debt raised at close (base case, fixed)</t>
        </is>
      </c>
      <c r="E13" s="7">
        <f>Model!$K$16</f>
        <v>35476</v>
      </c>
    </row>
    <row r="14">
      <c r="B14" s="6" t="inlineStr">
        <is>
          <t>Transaction costs + cash to B/S + cash acquired</t>
        </is>
      </c>
      <c r="E14" s="7">
        <f>Model!$D$14+Model!$D$13+Assump_CapStructure!$D$79</f>
        <v>3500</v>
      </c>
    </row>
    <row r="15">
      <c r="B15" s="6" t="inlineStr">
        <is>
          <t>Net debt at FY2030E (excl. seller note; from Model)</t>
        </is>
      </c>
      <c r="E15" s="7">
        <f>Model!$J$62-Model!$J$61-Model!$J$51</f>
        <v>3755.48405957219</v>
      </c>
    </row>
    <row r="16">
      <c r="B16" s="6" t="inlineStr">
        <is>
          <t>Seller note accreted balance at FY2030E</t>
        </is>
      </c>
      <c r="E16" s="7">
        <f>Model!$J$61</f>
        <v>5352.9023104</v>
      </c>
    </row>
    <row r="17">
      <c r="B17" s="6" t="inlineStr">
        <is>
          <t>Net debt at FY2028E (excl. seller note; from Model)</t>
        </is>
      </c>
      <c r="E17" s="7">
        <f>Model!$H$62-Model!$H$61-Model!$H$51</f>
        <v>16536.5029726472</v>
      </c>
    </row>
    <row r="18">
      <c r="B18" s="6" t="inlineStr">
        <is>
          <t>Seller note accreted balance at FY2028E</t>
        </is>
      </c>
      <c r="E18" s="7">
        <f>Model!$H$61</f>
        <v>4764.064</v>
      </c>
    </row>
    <row r="19">
      <c r="B19" s="6" t="inlineStr">
        <is>
          <t>Cumulative goodwill step-up tax savings through FY2028E</t>
        </is>
      </c>
      <c r="E19" s="7">
        <f>Model!$H$328</f>
        <v>2074.696</v>
      </c>
    </row>
    <row r="20">
      <c r="B20" s="6" t="inlineStr">
        <is>
          <t>Preferred % of equity account</t>
        </is>
      </c>
      <c r="E20" s="10">
        <f>Assump_CapStructure!$F$31</f>
        <v>0.9</v>
      </c>
    </row>
    <row r="21">
      <c r="B21" s="6" t="inlineStr">
        <is>
          <t>Preferred accretion rate</t>
        </is>
      </c>
      <c r="E21" s="10">
        <f>Assump_CapStructure!$F$28</f>
        <v>0.08</v>
      </c>
    </row>
    <row r="22">
      <c r="B22" s="6" t="inlineStr">
        <is>
          <t>MEIP % of common profits</t>
        </is>
      </c>
      <c r="E22" s="10">
        <f>Assump_CapStructure!$F$29</f>
        <v>0.1</v>
      </c>
    </row>
    <row r="23">
      <c r="B23" s="6" t="inlineStr">
        <is>
          <t>Sponsor carried interest</t>
        </is>
      </c>
      <c r="E23" s="10">
        <f>Assump_CapStructure!$F$30</f>
        <v>0.2</v>
      </c>
    </row>
    <row r="25">
      <c r="B25" s="6" t="inlineStr">
        <is>
          <t>Purchase Price (Transaction Value)</t>
        </is>
      </c>
      <c r="E25" s="24">
        <f>$E$7*$E$10</f>
        <v>51148.5</v>
      </c>
    </row>
    <row r="26">
      <c r="B26" s="6" t="inlineStr">
        <is>
          <t>Total Equity at Entry (Sponsor + Rollover)</t>
        </is>
      </c>
      <c r="E26" s="24">
        <f>E25+$E$14-$E$13</f>
        <v>19172.5</v>
      </c>
    </row>
    <row r="27">
      <c r="B27" s="6" t="inlineStr">
        <is>
          <t>Preferred Accreted at Exit (year 5)</t>
        </is>
      </c>
      <c r="E27" s="24">
        <f>E26*$E$20*(1+$E$21)^5</f>
        <v>25353.6232972032</v>
      </c>
    </row>
    <row r="28">
      <c r="B28" s="6" t="inlineStr">
        <is>
          <t>Common Equity Invested</t>
        </is>
      </c>
      <c r="E28" s="24">
        <f>E26*(1-$E$20)</f>
        <v>1917.25</v>
      </c>
    </row>
    <row r="30">
      <c r="B30" s="21" t="inlineStr">
        <is>
          <t>Five-Year Gross Return Profile (Sponsor + Rollover strip, net of MEIP) (1)</t>
        </is>
      </c>
      <c r="C30" s="22" t="n"/>
      <c r="D30" s="22" t="n"/>
      <c r="E30" s="22" t="n"/>
      <c r="F30" s="22" t="n"/>
      <c r="G30" s="22" t="n"/>
      <c r="H30" s="22" t="n"/>
    </row>
    <row r="31">
      <c r="C31" s="28" t="inlineStr">
        <is>
          <t>Rev. CAGR</t>
        </is>
      </c>
      <c r="D31" s="5" t="inlineStr">
        <is>
          <t>Exit multiple -&gt;</t>
        </is>
      </c>
    </row>
    <row r="32">
      <c r="B32" s="5" t="inlineStr">
        <is>
          <t>Exit-year EBITDA by case</t>
        </is>
      </c>
      <c r="D32" s="23" t="n">
        <v>6</v>
      </c>
      <c r="E32" s="23" t="n">
        <v>6.5</v>
      </c>
      <c r="F32" s="23" t="n">
        <v>7</v>
      </c>
      <c r="G32" s="23" t="n">
        <v>7.5</v>
      </c>
      <c r="H32" s="23" t="n">
        <v>8</v>
      </c>
    </row>
    <row r="33">
      <c r="B33" s="17" t="inlineStr">
        <is>
          <t>15% Rev CAGR Case</t>
        </is>
      </c>
      <c r="C33" s="29" t="n">
        <v>0.15</v>
      </c>
      <c r="D33" s="11" t="inlineStr">
        <is>
          <t>Exit EBITDA:</t>
        </is>
      </c>
      <c r="E33" s="24">
        <f>$E$10*(1+C33)^5</f>
        <v>15827.3697084375</v>
      </c>
    </row>
    <row r="34">
      <c r="B34" s="6" t="inlineStr">
        <is>
          <t xml:space="preserve">   IRR</t>
        </is>
      </c>
      <c r="D34" s="15">
        <f>IF(D35&lt;=0,-1,D35^(1/5)-1)</f>
        <v>0.33069754510125</v>
      </c>
      <c r="E34" s="15">
        <f>IF(E35&lt;=0,-1,E35^(1/5)-1)</f>
        <v>0.353591060478728</v>
      </c>
      <c r="F34" s="15">
        <f>IF(F35&lt;=0,-1,F35^(1/5)-1)</f>
        <v>0.375032998842567</v>
      </c>
      <c r="G34" s="15">
        <f>IF(G35&lt;=0,-1,G35^(1/5)-1)</f>
        <v>0.395215341683571</v>
      </c>
      <c r="H34" s="15">
        <f>IF(H35&lt;=0,-1,H35^(1/5)-1)</f>
        <v>0.414293259737872</v>
      </c>
    </row>
    <row r="35">
      <c r="B35" s="6" t="inlineStr">
        <is>
          <t xml:space="preserve">   MoIC</t>
        </is>
      </c>
      <c r="D35" s="27">
        <f>IF($E$26&lt;=0,0,((D$32*$E33-$E$15-$E$16)-$E$22*MAX(0,(D$32*$E33-$E$15-$E$16)-MIN((D$32*$E33-$E$15-$E$16),$E$27)-$E$28))/$E$26)</f>
        <v>4.17250416076713</v>
      </c>
      <c r="E35" s="27">
        <f>IF($E$26&lt;=0,0,((E$32*$E33-$E$15-$E$16)-$E$22*MAX(0,(E$32*$E33-$E$15-$E$16)-MIN((E$32*$E33-$E$15-$E$16),$E$27)-$E$28))/$E$26)</f>
        <v>4.54399021468795</v>
      </c>
      <c r="F35" s="27">
        <f>IF($E$26&lt;=0,0,((F$32*$E33-$E$15-$E$16)-$E$22*MAX(0,(F$32*$E33-$E$15-$E$16)-MIN((F$32*$E33-$E$15-$E$16),$E$27)-$E$28))/$E$26)</f>
        <v>4.91547626860877</v>
      </c>
      <c r="G35" s="27">
        <f>IF($E$26&lt;=0,0,((G$32*$E33-$E$15-$E$16)-$E$22*MAX(0,(G$32*$E33-$E$15-$E$16)-MIN((G$32*$E33-$E$15-$E$16),$E$27)-$E$28))/$E$26)</f>
        <v>5.28696232252958</v>
      </c>
      <c r="H35" s="27">
        <f>IF($E$26&lt;=0,0,((H$32*$E33-$E$15-$E$16)-$E$22*MAX(0,(H$32*$E33-$E$15-$E$16)-MIN((H$32*$E33-$E$15-$E$16),$E$27)-$E$28))/$E$26)</f>
        <v>5.6584483764504</v>
      </c>
    </row>
    <row r="37">
      <c r="B37" s="17" t="inlineStr">
        <is>
          <t>10% Rev CAGR Case</t>
        </is>
      </c>
      <c r="C37" s="29" t="n">
        <v>0.1</v>
      </c>
      <c r="D37" s="11" t="inlineStr">
        <is>
          <t>Exit EBITDA:</t>
        </is>
      </c>
      <c r="E37" s="24">
        <f>$E$10*(1+C37)^5</f>
        <v>12673.10319</v>
      </c>
    </row>
    <row r="38">
      <c r="B38" s="6" t="inlineStr">
        <is>
          <t xml:space="preserve">   IRR</t>
        </is>
      </c>
      <c r="D38" s="15">
        <f>IF(D39&lt;=0,-1,D39^(1/5)-1)</f>
        <v>0.268478534042272</v>
      </c>
      <c r="E38" s="15">
        <f>IF(E39&lt;=0,-1,E39^(1/5)-1)</f>
        <v>0.290666714295748</v>
      </c>
      <c r="F38" s="15">
        <f>IF(F39&lt;=0,-1,F39^(1/5)-1)</f>
        <v>0.311426368812585</v>
      </c>
      <c r="G38" s="15">
        <f>IF(G39&lt;=0,-1,G39^(1/5)-1)</f>
        <v>0.330949126864877</v>
      </c>
      <c r="H38" s="15">
        <f>IF(H39&lt;=0,-1,H39^(1/5)-1)</f>
        <v>0.349389386006575</v>
      </c>
    </row>
    <row r="39">
      <c r="B39" s="6" t="inlineStr">
        <is>
          <t xml:space="preserve">   MoIC</t>
        </is>
      </c>
      <c r="D39" s="27">
        <f>IF($E$26&lt;=0,0,((D$32*$E37-$E$15-$E$16)-$E$22*MAX(0,(D$32*$E37-$E$15-$E$16)-MIN((D$32*$E37-$E$15-$E$16),$E$27)-$E$28))/$E$26)</f>
        <v>3.28409424033096</v>
      </c>
      <c r="E39" s="27">
        <f>IF($E$26&lt;=0,0,((E$32*$E37-$E$15-$E$16)-$E$22*MAX(0,(E$32*$E37-$E$15-$E$16)-MIN((E$32*$E37-$E$15-$E$16),$E$27)-$E$28))/$E$26)</f>
        <v>3.58154613421543</v>
      </c>
      <c r="F39" s="27">
        <f>IF($E$26&lt;=0,0,((F$32*$E37-$E$15-$E$16)-$E$22*MAX(0,(F$32*$E37-$E$15-$E$16)-MIN((F$32*$E37-$E$15-$E$16),$E$27)-$E$28))/$E$26)</f>
        <v>3.8789980280999</v>
      </c>
      <c r="G39" s="27">
        <f>IF($E$26&lt;=0,0,((G$32*$E37-$E$15-$E$16)-$E$22*MAX(0,(G$32*$E37-$E$15-$E$16)-MIN((G$32*$E37-$E$15-$E$16),$E$27)-$E$28))/$E$26)</f>
        <v>4.17644992198437</v>
      </c>
      <c r="H39" s="27">
        <f>IF($E$26&lt;=0,0,((H$32*$E37-$E$15-$E$16)-$E$22*MAX(0,(H$32*$E37-$E$15-$E$16)-MIN((H$32*$E37-$E$15-$E$16),$E$27)-$E$28))/$E$26)</f>
        <v>4.47390181586884</v>
      </c>
    </row>
    <row r="41">
      <c r="B41" s="17" t="inlineStr">
        <is>
          <t>5% Rev CAGR Case</t>
        </is>
      </c>
      <c r="C41" s="29" t="n">
        <v>0.05</v>
      </c>
      <c r="D41" s="11" t="inlineStr">
        <is>
          <t>Exit EBITDA:</t>
        </is>
      </c>
      <c r="E41" s="24">
        <f>$E$10*(1+C41)^5</f>
        <v>10043.0596153125</v>
      </c>
    </row>
    <row r="42">
      <c r="B42" s="6" t="inlineStr">
        <is>
          <t xml:space="preserve">   IRR</t>
        </is>
      </c>
      <c r="D42" s="15">
        <f>IF(D43&lt;=0,-1,D43^(1/5)-1)</f>
        <v>0.205259774725611</v>
      </c>
      <c r="E42" s="15">
        <f>IF(E43&lt;=0,-1,E43^(1/5)-1)</f>
        <v>0.22681602086388</v>
      </c>
      <c r="F42" s="15">
        <f>IF(F43&lt;=0,-1,F43^(1/5)-1)</f>
        <v>0.246955753427969</v>
      </c>
      <c r="G42" s="15">
        <f>IF(G43&lt;=0,-1,G43^(1/5)-1)</f>
        <v>0.265872622289955</v>
      </c>
      <c r="H42" s="15">
        <f>IF(H43&lt;=0,-1,H43^(1/5)-1)</f>
        <v>0.283721983982798</v>
      </c>
    </row>
    <row r="43">
      <c r="B43" s="6" t="inlineStr">
        <is>
          <t xml:space="preserve">   MoIC</t>
        </is>
      </c>
      <c r="D43" s="27">
        <f>IF($E$26&lt;=0,0,((D$32*$E41-$E$15-$E$16)-$E$22*MAX(0,(D$32*$E41-$E$15-$E$16)-MIN((D$32*$E41-$E$15-$E$16),$E$27)-$E$28))/$E$26)</f>
        <v>2.54333349951404</v>
      </c>
      <c r="E43" s="27">
        <f>IF($E$26&lt;=0,0,((E$32*$E41-$E$15-$E$16)-$E$22*MAX(0,(E$32*$E41-$E$15-$E$16)-MIN((E$32*$E41-$E$15-$E$16),$E$27)-$E$28))/$E$26)</f>
        <v>2.77905533166376</v>
      </c>
      <c r="F43" s="27">
        <f>IF($E$26&lt;=0,0,((F$32*$E41-$E$15-$E$16)-$E$22*MAX(0,(F$32*$E41-$E$15-$E$16)-MIN((F$32*$E41-$E$15-$E$16),$E$27)-$E$28))/$E$26)</f>
        <v>3.01477716381349</v>
      </c>
      <c r="G43" s="27">
        <f>IF($E$26&lt;=0,0,((G$32*$E41-$E$15-$E$16)-$E$22*MAX(0,(G$32*$E41-$E$15-$E$16)-MIN((G$32*$E41-$E$15-$E$16),$E$27)-$E$28))/$E$26)</f>
        <v>3.25049899596322</v>
      </c>
      <c r="H43" s="27">
        <f>IF($E$26&lt;=0,0,((H$32*$E41-$E$15-$E$16)-$E$22*MAX(0,(H$32*$E41-$E$15-$E$16)-MIN((H$32*$E41-$E$15-$E$16),$E$27)-$E$28))/$E$26)</f>
        <v>3.48622082811294</v>
      </c>
    </row>
    <row r="45">
      <c r="B45" s="17" t="inlineStr">
        <is>
          <t>Flat Rev CAGR Case</t>
        </is>
      </c>
      <c r="C45" s="29" t="n">
        <v>0</v>
      </c>
      <c r="D45" s="11" t="inlineStr">
        <is>
          <t>Exit EBITDA:</t>
        </is>
      </c>
      <c r="E45" s="24">
        <f>$E$10*(1+C45)^5</f>
        <v>7869</v>
      </c>
    </row>
    <row r="46">
      <c r="B46" s="6" t="inlineStr">
        <is>
          <t xml:space="preserve">   IRR</t>
        </is>
      </c>
      <c r="D46" s="15">
        <f>IF(D47&lt;=0,-1,D47^(1/5)-1)</f>
        <v>0.140660896392404</v>
      </c>
      <c r="E46" s="15">
        <f>IF(E47&lt;=0,-1,E47^(1/5)-1)</f>
        <v>0.161691121583853</v>
      </c>
      <c r="F46" s="15">
        <f>IF(F47&lt;=0,-1,F47^(1/5)-1)</f>
        <v>0.181300311460203</v>
      </c>
      <c r="G46" s="15">
        <f>IF(G47&lt;=0,-1,G47^(1/5)-1)</f>
        <v>0.199687806947027</v>
      </c>
      <c r="H46" s="15">
        <f>IF(H47&lt;=0,-1,H47^(1/5)-1)</f>
        <v>0.217012574355244</v>
      </c>
    </row>
    <row r="47">
      <c r="B47" s="6" t="inlineStr">
        <is>
          <t xml:space="preserve">   MoIC</t>
        </is>
      </c>
      <c r="D47" s="27">
        <f>IF($E$26&lt;=0,0,((D$32*$E45-$E$15-$E$16)-$E$22*MAX(0,(D$32*$E45-$E$15-$E$16)-MIN((D$32*$E45-$E$15-$E$16),$E$27)-$E$28))/$E$26)</f>
        <v>1.93100219568368</v>
      </c>
      <c r="E47" s="27">
        <f>IF($E$26&lt;=0,0,((E$32*$E45-$E$15-$E$16)-$E$22*MAX(0,(E$32*$E45-$E$15-$E$16)-MIN((E$32*$E45-$E$15-$E$16),$E$27)-$E$28))/$E$26)</f>
        <v>2.11569641918088</v>
      </c>
      <c r="F47" s="27">
        <f>IF($E$26&lt;=0,0,((F$32*$E45-$E$15-$E$16)-$E$22*MAX(0,(F$32*$E45-$E$15-$E$16)-MIN((F$32*$E45-$E$15-$E$16),$E$27)-$E$28))/$E$26)</f>
        <v>2.30039064267807</v>
      </c>
      <c r="G47" s="27">
        <f>IF($E$26&lt;=0,0,((G$32*$E45-$E$15-$E$16)-$E$22*MAX(0,(G$32*$E45-$E$15-$E$16)-MIN((G$32*$E45-$E$15-$E$16),$E$27)-$E$28))/$E$26)</f>
        <v>2.48508486617527</v>
      </c>
      <c r="H47" s="27">
        <f>IF($E$26&lt;=0,0,((H$32*$E45-$E$15-$E$16)-$E$22*MAX(0,(H$32*$E45-$E$15-$E$16)-MIN((H$32*$E45-$E$15-$E$16),$E$27)-$E$28))/$E$26)</f>
        <v>2.66977908967247</v>
      </c>
    </row>
    <row r="49">
      <c r="B49" s="17" t="inlineStr">
        <is>
          <t>Management Case</t>
        </is>
      </c>
      <c r="C49" s="15">
        <f>($E$11/$E$10)^(1/5)-1</f>
        <v>0.0835731259230796</v>
      </c>
      <c r="D49" s="11" t="inlineStr">
        <is>
          <t>Exit EBITDA:</t>
        </is>
      </c>
      <c r="E49" s="24">
        <f>$E$11</f>
        <v>11754.6762540073</v>
      </c>
    </row>
    <row r="50">
      <c r="B50" s="6" t="inlineStr">
        <is>
          <t xml:space="preserve">   IRR</t>
        </is>
      </c>
      <c r="D50" s="15">
        <f>IF(D51&lt;=0,-1,D51^(1/5)-1)</f>
        <v>0.247834602673673</v>
      </c>
      <c r="E50" s="15">
        <f>IF(E51&lt;=0,-1,E51^(1/5)-1)</f>
        <v>0.269805787757565</v>
      </c>
      <c r="F50" s="15">
        <f>IF(F51&lt;=0,-1,F51^(1/5)-1)</f>
        <v>0.290353822967067</v>
      </c>
      <c r="G50" s="15">
        <f>IF(G51&lt;=0,-1,G51^(1/5)-1)</f>
        <v>0.309670690696642</v>
      </c>
      <c r="H50" s="15">
        <f>IF(H51&lt;=0,-1,H51^(1/5)-1)</f>
        <v>0.327910877565606</v>
      </c>
    </row>
    <row r="51">
      <c r="B51" s="6" t="inlineStr">
        <is>
          <t xml:space="preserve">   MoIC</t>
        </is>
      </c>
      <c r="D51" s="27">
        <f>IF($E$26&lt;=0,0,((D$32*$E49-$E$15-$E$16)-$E$22*MAX(0,(D$32*$E49-$E$15-$E$16)-MIN((D$32*$E49-$E$15-$E$16),$E$27)-$E$28))/$E$26)</f>
        <v>3.02541616212725</v>
      </c>
      <c r="E51" s="27">
        <f>IF($E$26&lt;=0,0,((E$32*$E49-$E$15-$E$16)-$E$22*MAX(0,(E$32*$E49-$E$15-$E$16)-MIN((E$32*$E49-$E$15-$E$16),$E$27)-$E$28))/$E$26)</f>
        <v>3.30131154949475</v>
      </c>
      <c r="F51" s="27">
        <f>IF($E$26&lt;=0,0,((F$32*$E49-$E$15-$E$16)-$E$22*MAX(0,(F$32*$E49-$E$15-$E$16)-MIN((F$32*$E49-$E$15-$E$16),$E$27)-$E$28))/$E$26)</f>
        <v>3.57720693686224</v>
      </c>
      <c r="G51" s="27">
        <f>IF($E$26&lt;=0,0,((G$32*$E49-$E$15-$E$16)-$E$22*MAX(0,(G$32*$E49-$E$15-$E$16)-MIN((G$32*$E49-$E$15-$E$16),$E$27)-$E$28))/$E$26)</f>
        <v>3.85310232422974</v>
      </c>
      <c r="H51" s="27">
        <f>IF($E$26&lt;=0,0,((H$32*$E49-$E$15-$E$16)-$E$22*MAX(0,(H$32*$E49-$E$15-$E$16)-MIN((H$32*$E49-$E$15-$E$16),$E$27)-$E$28))/$E$26)</f>
        <v>4.12899771159723</v>
      </c>
    </row>
    <row r="53">
      <c r="B53" s="5" t="str">
        <f>"(1) Returns net of transaction expenses of $"&amp;TEXT(Model!$D$14,"#,##0")&amp;"k and net of the 10% MEIP; margin held at the FY2025A adj. EBITDA margin for the CAGR cases."</f>
        <v>(1) Returns net of transaction expenses of $2,400k and net of the 10% MEIP; margin held at the FY2025A adj. EBITDA margin for the CAGR cases.</v>
      </c>
    </row>
    <row r="54">
      <c r="B54" s="5" t="inlineStr">
        <is>
          <t>(2) Net debt at exit approximated as base-case (management case) net debt from the Model tab for every case.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30" customWidth="1" min="10" max="10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str">
        <f>"Deal Overview and Returns Summary @ "&amp;TEXT($E$7,"0.0x")&amp;" Entry Multiple"</f>
        <v>Deal Overview and Returns Summary @ 8.5x Entry Multiple</v>
      </c>
    </row>
    <row r="7">
      <c r="B7" s="17" t="inlineStr">
        <is>
          <t>Entry Multiple (x FY2025A Adj. EBITDA)</t>
        </is>
      </c>
      <c r="E7" s="23" t="n">
        <v>8.5</v>
      </c>
    </row>
    <row r="9">
      <c r="B9" s="17" t="inlineStr">
        <is>
          <t>Returns Inputs (linked to Model / Assump_CapStructure)</t>
        </is>
      </c>
    </row>
    <row r="10">
      <c r="B10" s="6" t="inlineStr">
        <is>
          <t>FY2025A Adj. EBITDA</t>
        </is>
      </c>
      <c r="E10" s="7">
        <f>Model!$E$85</f>
        <v>7869</v>
      </c>
    </row>
    <row r="11">
      <c r="B11" s="6" t="inlineStr">
        <is>
          <t>FY2030E EBITDA (exit year 5)</t>
        </is>
      </c>
      <c r="E11" s="7">
        <f>Model!$J$85</f>
        <v>11754.6762540073</v>
      </c>
    </row>
    <row r="12">
      <c r="B12" s="6" t="inlineStr">
        <is>
          <t>FY2028E EBITDA (exit year 3)</t>
        </is>
      </c>
      <c r="E12" s="7">
        <f>Model!$H$85</f>
        <v>10300.9771339776</v>
      </c>
    </row>
    <row r="13">
      <c r="B13" s="6" t="inlineStr">
        <is>
          <t>Debt raised at close (base case, fixed)</t>
        </is>
      </c>
      <c r="E13" s="7">
        <f>Model!$K$16</f>
        <v>35476</v>
      </c>
    </row>
    <row r="14">
      <c r="B14" s="6" t="inlineStr">
        <is>
          <t>Transaction costs + cash to B/S + cash acquired</t>
        </is>
      </c>
      <c r="E14" s="7">
        <f>Model!$D$14+Model!$D$13+Assump_CapStructure!$D$79</f>
        <v>3500</v>
      </c>
    </row>
    <row r="15">
      <c r="B15" s="6" t="inlineStr">
        <is>
          <t>Net debt at FY2030E (excl. seller note; from Model)</t>
        </is>
      </c>
      <c r="E15" s="7">
        <f>Model!$J$62-Model!$J$61-Model!$J$51</f>
        <v>3755.48405957219</v>
      </c>
    </row>
    <row r="16">
      <c r="B16" s="6" t="inlineStr">
        <is>
          <t>Seller note accreted balance at FY2030E</t>
        </is>
      </c>
      <c r="E16" s="7">
        <f>Model!$J$61</f>
        <v>5352.9023104</v>
      </c>
    </row>
    <row r="17">
      <c r="B17" s="6" t="inlineStr">
        <is>
          <t>Net debt at FY2028E (excl. seller note; from Model)</t>
        </is>
      </c>
      <c r="E17" s="7">
        <f>Model!$H$62-Model!$H$61-Model!$H$51</f>
        <v>16536.5029726472</v>
      </c>
    </row>
    <row r="18">
      <c r="B18" s="6" t="inlineStr">
        <is>
          <t>Seller note accreted balance at FY2028E</t>
        </is>
      </c>
      <c r="E18" s="7">
        <f>Model!$H$61</f>
        <v>4764.064</v>
      </c>
    </row>
    <row r="19">
      <c r="B19" s="6" t="inlineStr">
        <is>
          <t>Cumulative goodwill step-up tax savings through FY2028E</t>
        </is>
      </c>
      <c r="E19" s="7">
        <f>Model!$H$328</f>
        <v>2074.696</v>
      </c>
    </row>
    <row r="20">
      <c r="B20" s="6" t="inlineStr">
        <is>
          <t>Preferred % of equity account</t>
        </is>
      </c>
      <c r="E20" s="10">
        <f>Assump_CapStructure!$F$31</f>
        <v>0.9</v>
      </c>
    </row>
    <row r="21">
      <c r="B21" s="6" t="inlineStr">
        <is>
          <t>Preferred accretion rate</t>
        </is>
      </c>
      <c r="E21" s="10">
        <f>Assump_CapStructure!$F$28</f>
        <v>0.08</v>
      </c>
    </row>
    <row r="22">
      <c r="B22" s="6" t="inlineStr">
        <is>
          <t>MEIP % of common profits</t>
        </is>
      </c>
      <c r="E22" s="10">
        <f>Assump_CapStructure!$F$29</f>
        <v>0.1</v>
      </c>
    </row>
    <row r="23">
      <c r="B23" s="6" t="inlineStr">
        <is>
          <t>Sponsor carried interest</t>
        </is>
      </c>
      <c r="E23" s="10">
        <f>Assump_CapStructure!$F$30</f>
        <v>0.2</v>
      </c>
    </row>
    <row r="25">
      <c r="B25" s="6" t="inlineStr">
        <is>
          <t>Purchase Price (Transaction Value)</t>
        </is>
      </c>
      <c r="E25" s="24">
        <f>$E$7*$E$10</f>
        <v>66886.5</v>
      </c>
    </row>
    <row r="26">
      <c r="B26" s="6" t="inlineStr">
        <is>
          <t>Total Equity at Entry (Sponsor + Rollover)</t>
        </is>
      </c>
      <c r="E26" s="24">
        <f>E25+$E$14-$E$13</f>
        <v>34910.5</v>
      </c>
    </row>
    <row r="27">
      <c r="B27" s="6" t="inlineStr">
        <is>
          <t>Preferred Accreted at Exit (year 5)</t>
        </is>
      </c>
      <c r="E27" s="24">
        <f>E26*$E$20*(1+$E$21)^5</f>
        <v>46165.4800426138</v>
      </c>
    </row>
    <row r="28">
      <c r="B28" s="6" t="inlineStr">
        <is>
          <t>Common Equity Invested</t>
        </is>
      </c>
      <c r="E28" s="24">
        <f>E26*(1-$E$20)</f>
        <v>3491.05</v>
      </c>
    </row>
    <row r="30">
      <c r="B30" s="21" t="inlineStr">
        <is>
          <t>Five-Year Gross Return Profile (Sponsor + Rollover strip, net of MEIP) (1)</t>
        </is>
      </c>
      <c r="C30" s="22" t="n"/>
      <c r="D30" s="22" t="n"/>
      <c r="E30" s="22" t="n"/>
      <c r="F30" s="22" t="n"/>
      <c r="G30" s="22" t="n"/>
      <c r="H30" s="22" t="n"/>
    </row>
    <row r="31">
      <c r="C31" s="28" t="inlineStr">
        <is>
          <t>Rev. CAGR</t>
        </is>
      </c>
      <c r="D31" s="5" t="inlineStr">
        <is>
          <t>Exit multiple -&gt;</t>
        </is>
      </c>
    </row>
    <row r="32">
      <c r="B32" s="5" t="inlineStr">
        <is>
          <t>Exit-year EBITDA by case</t>
        </is>
      </c>
      <c r="D32" s="23" t="n">
        <v>6</v>
      </c>
      <c r="E32" s="23" t="n">
        <v>6.5</v>
      </c>
      <c r="F32" s="23" t="n">
        <v>7</v>
      </c>
      <c r="G32" s="23" t="n">
        <v>7.5</v>
      </c>
      <c r="H32" s="23" t="n">
        <v>8</v>
      </c>
    </row>
    <row r="33">
      <c r="B33" s="17" t="inlineStr">
        <is>
          <t>15% Rev CAGR Case</t>
        </is>
      </c>
      <c r="C33" s="29" t="n">
        <v>0.15</v>
      </c>
      <c r="D33" s="11" t="inlineStr">
        <is>
          <t>Exit EBITDA:</t>
        </is>
      </c>
      <c r="E33" s="24">
        <f>$E$10*(1+C33)^5</f>
        <v>15827.3697084375</v>
      </c>
    </row>
    <row r="34">
      <c r="B34" s="6" t="inlineStr">
        <is>
          <t xml:space="preserve">   IRR</t>
        </is>
      </c>
      <c r="D34" s="15">
        <f>IF(D35&lt;=0,-1,D35^(1/5)-1)</f>
        <v>0.186918988902757</v>
      </c>
      <c r="E34" s="15">
        <f>IF(E35&lt;=0,-1,E35^(1/5)-1)</f>
        <v>0.20680106884306</v>
      </c>
      <c r="F34" s="15">
        <f>IF(F35&lt;=0,-1,F35^(1/5)-1)</f>
        <v>0.225453188951945</v>
      </c>
      <c r="G34" s="15">
        <f>IF(G35&lt;=0,-1,G35^(1/5)-1)</f>
        <v>0.243034342240402</v>
      </c>
      <c r="H34" s="15">
        <f>IF(H35&lt;=0,-1,H35^(1/5)-1)</f>
        <v>0.259673679892629</v>
      </c>
    </row>
    <row r="35">
      <c r="B35" s="6" t="inlineStr">
        <is>
          <t xml:space="preserve">   MoIC</t>
        </is>
      </c>
      <c r="D35" s="27">
        <f>IF($E$26&lt;=0,0,((D$32*$E33-$E$15-$E$16)-$E$22*MAX(0,(D$32*$E33-$E$15-$E$16)-MIN((D$32*$E33-$E$15-$E$16),$E$27)-$E$28))/$E$26)</f>
        <v>2.3556208503702</v>
      </c>
      <c r="E35" s="27">
        <f>IF($E$26&lt;=0,0,((E$32*$E33-$E$15-$E$16)-$E$22*MAX(0,(E$32*$E33-$E$15-$E$16)-MIN((E$32*$E33-$E$15-$E$16),$E$27)-$E$28))/$E$26)</f>
        <v>2.55963730297893</v>
      </c>
      <c r="F35" s="27">
        <f>IF($E$26&lt;=0,0,((F$32*$E33-$E$15-$E$16)-$E$22*MAX(0,(F$32*$E33-$E$15-$E$16)-MIN((F$32*$E33-$E$15-$E$16),$E$27)-$E$28))/$E$26)</f>
        <v>2.76365375558765</v>
      </c>
      <c r="G35" s="27">
        <f>IF($E$26&lt;=0,0,((G$32*$E33-$E$15-$E$16)-$E$22*MAX(0,(G$32*$E33-$E$15-$E$16)-MIN((G$32*$E33-$E$15-$E$16),$E$27)-$E$28))/$E$26)</f>
        <v>2.96767020819637</v>
      </c>
      <c r="H35" s="27">
        <f>IF($E$26&lt;=0,0,((H$32*$E33-$E$15-$E$16)-$E$22*MAX(0,(H$32*$E33-$E$15-$E$16)-MIN((H$32*$E33-$E$15-$E$16),$E$27)-$E$28))/$E$26)</f>
        <v>3.1716866608051</v>
      </c>
    </row>
    <row r="37">
      <c r="B37" s="17" t="inlineStr">
        <is>
          <t>10% Rev CAGR Case</t>
        </is>
      </c>
      <c r="C37" s="29" t="n">
        <v>0.1</v>
      </c>
      <c r="D37" s="11" t="inlineStr">
        <is>
          <t>Exit EBITDA:</t>
        </is>
      </c>
      <c r="E37" s="24">
        <f>$E$10*(1+C37)^5</f>
        <v>12673.10319</v>
      </c>
    </row>
    <row r="38">
      <c r="B38" s="6" t="inlineStr">
        <is>
          <t xml:space="preserve">   IRR</t>
        </is>
      </c>
      <c r="D38" s="15">
        <f>IF(D39&lt;=0,-1,D39^(1/5)-1)</f>
        <v>0.133084030364647</v>
      </c>
      <c r="E38" s="15">
        <f>IF(E39&lt;=0,-1,E39^(1/5)-1)</f>
        <v>0.152245679006386</v>
      </c>
      <c r="F38" s="15">
        <f>IF(F39&lt;=0,-1,F39^(1/5)-1)</f>
        <v>0.170211479556622</v>
      </c>
      <c r="G38" s="15">
        <f>IF(G39&lt;=0,-1,G39^(1/5)-1)</f>
        <v>0.187137281704103</v>
      </c>
      <c r="H38" s="15">
        <f>IF(H39&lt;=0,-1,H39^(1/5)-1)</f>
        <v>0.203149459662124</v>
      </c>
    </row>
    <row r="39">
      <c r="B39" s="6" t="inlineStr">
        <is>
          <t xml:space="preserve">   MoIC</t>
        </is>
      </c>
      <c r="D39" s="27">
        <f>IF($E$26&lt;=0,0,((D$32*$E37-$E$15-$E$16)-$E$22*MAX(0,(D$32*$E37-$E$15-$E$16)-MIN((D$32*$E37-$E$15-$E$16),$E$27)-$E$28))/$E$26)</f>
        <v>1.86771494241808</v>
      </c>
      <c r="E39" s="27">
        <f>IF($E$26&lt;=0,0,((E$32*$E37-$E$15-$E$16)-$E$22*MAX(0,(E$32*$E37-$E$15-$E$16)-MIN((E$32*$E37-$E$15-$E$16),$E$27)-$E$28))/$E$26)</f>
        <v>2.03107256936413</v>
      </c>
      <c r="F39" s="27">
        <f>IF($E$26&lt;=0,0,((F$32*$E37-$E$15-$E$16)-$E$22*MAX(0,(F$32*$E37-$E$15-$E$16)-MIN((F$32*$E37-$E$15-$E$16),$E$27)-$E$28))/$E$26)</f>
        <v>2.19443019631018</v>
      </c>
      <c r="G39" s="27">
        <f>IF($E$26&lt;=0,0,((G$32*$E37-$E$15-$E$16)-$E$22*MAX(0,(G$32*$E37-$E$15-$E$16)-MIN((G$32*$E37-$E$15-$E$16),$E$27)-$E$28))/$E$26)</f>
        <v>2.35778782325623</v>
      </c>
      <c r="H39" s="27">
        <f>IF($E$26&lt;=0,0,((H$32*$E37-$E$15-$E$16)-$E$22*MAX(0,(H$32*$E37-$E$15-$E$16)-MIN((H$32*$E37-$E$15-$E$16),$E$27)-$E$28))/$E$26)</f>
        <v>2.52114545020227</v>
      </c>
    </row>
    <row r="41">
      <c r="B41" s="17" t="inlineStr">
        <is>
          <t>5% Rev CAGR Case</t>
        </is>
      </c>
      <c r="C41" s="29" t="n">
        <v>0.05</v>
      </c>
      <c r="D41" s="11" t="inlineStr">
        <is>
          <t>Exit EBITDA:</t>
        </is>
      </c>
      <c r="E41" s="24">
        <f>$E$10*(1+C41)^5</f>
        <v>10043.0596153125</v>
      </c>
    </row>
    <row r="42">
      <c r="B42" s="6" t="inlineStr">
        <is>
          <t xml:space="preserve">   IRR</t>
        </is>
      </c>
      <c r="D42" s="15">
        <f>IF(D43&lt;=0,-1,D43^(1/5)-1)</f>
        <v>0.0787576526654474</v>
      </c>
      <c r="E42" s="15">
        <f>IF(E43&lt;=0,-1,E43^(1/5)-1)</f>
        <v>0.0972325532341851</v>
      </c>
      <c r="F42" s="15">
        <f>IF(F43&lt;=0,-1,F43^(1/5)-1)</f>
        <v>0.114540943382005</v>
      </c>
      <c r="G42" s="15">
        <f>IF(G43&lt;=0,-1,G43^(1/5)-1)</f>
        <v>0.130836503508439</v>
      </c>
      <c r="H42" s="15">
        <f>IF(H43&lt;=0,-1,H43^(1/5)-1)</f>
        <v>0.146243553855096</v>
      </c>
    </row>
    <row r="43">
      <c r="B43" s="6" t="inlineStr">
        <is>
          <t xml:space="preserve">   MoIC</t>
        </is>
      </c>
      <c r="D43" s="27">
        <f>IF($E$26&lt;=0,0,((D$32*$E41-$E$15-$E$16)-$E$22*MAX(0,(D$32*$E41-$E$15-$E$16)-MIN((D$32*$E41-$E$15-$E$16),$E$27)-$E$28))/$E$26)</f>
        <v>1.46089649801561</v>
      </c>
      <c r="E43" s="27">
        <f>IF($E$26&lt;=0,0,((E$32*$E41-$E$15-$E$16)-$E$22*MAX(0,(E$32*$E41-$E$15-$E$16)-MIN((E$32*$E41-$E$15-$E$16),$E$27)-$E$28))/$E$26)</f>
        <v>1.59035258792812</v>
      </c>
      <c r="F43" s="27">
        <f>IF($E$26&lt;=0,0,((F$32*$E41-$E$15-$E$16)-$E$22*MAX(0,(F$32*$E41-$E$15-$E$16)-MIN((F$32*$E41-$E$15-$E$16),$E$27)-$E$28))/$E$26)</f>
        <v>1.71980867784063</v>
      </c>
      <c r="G43" s="27">
        <f>IF($E$26&lt;=0,0,((G$32*$E41-$E$15-$E$16)-$E$22*MAX(0,(G$32*$E41-$E$15-$E$16)-MIN((G$32*$E41-$E$15-$E$16),$E$27)-$E$28))/$E$26)</f>
        <v>1.84926476775313</v>
      </c>
      <c r="H43" s="27">
        <f>IF($E$26&lt;=0,0,((H$32*$E41-$E$15-$E$16)-$E$22*MAX(0,(H$32*$E41-$E$15-$E$16)-MIN((H$32*$E41-$E$15-$E$16),$E$27)-$E$28))/$E$26)</f>
        <v>1.97872085766564</v>
      </c>
    </row>
    <row r="45">
      <c r="B45" s="17" t="inlineStr">
        <is>
          <t>Flat Rev CAGR Case</t>
        </is>
      </c>
      <c r="C45" s="29" t="n">
        <v>0</v>
      </c>
      <c r="D45" s="11" t="inlineStr">
        <is>
          <t>Exit EBITDA:</t>
        </is>
      </c>
      <c r="E45" s="24">
        <f>$E$10*(1+C45)^5</f>
        <v>7869</v>
      </c>
    </row>
    <row r="46">
      <c r="B46" s="6" t="inlineStr">
        <is>
          <t xml:space="preserve">   IRR</t>
        </is>
      </c>
      <c r="D46" s="15">
        <f>IF(D47&lt;=0,-1,D47^(1/5)-1)</f>
        <v>0.0176690768438577</v>
      </c>
      <c r="E46" s="15">
        <f>IF(E47&lt;=0,-1,E47^(1/5)-1)</f>
        <v>0.0378666632712859</v>
      </c>
      <c r="F46" s="15">
        <f>IF(F47&lt;=0,-1,F47^(1/5)-1)</f>
        <v>0.0566043731162802</v>
      </c>
      <c r="G46" s="15">
        <f>IF(G47&lt;=0,-1,G47^(1/5)-1)</f>
        <v>0.0739913618006638</v>
      </c>
      <c r="H46" s="15">
        <f>IF(H47&lt;=0,-1,H47^(1/5)-1)</f>
        <v>0.0888236321714044</v>
      </c>
    </row>
    <row r="47">
      <c r="B47" s="6" t="inlineStr">
        <is>
          <t xml:space="preserve">   MoIC</t>
        </is>
      </c>
      <c r="D47" s="27">
        <f>IF($E$26&lt;=0,0,((D$32*$E45-$E$15-$E$16)-$E$22*MAX(0,(D$32*$E45-$E$15-$E$16)-MIN((D$32*$E45-$E$15-$E$16),$E$27)-$E$28))/$E$26)</f>
        <v>1.09152299823915</v>
      </c>
      <c r="E47" s="27">
        <f>IF($E$26&lt;=0,0,((E$32*$E45-$E$15-$E$16)-$E$22*MAX(0,(E$32*$E45-$E$15-$E$16)-MIN((E$32*$E45-$E$15-$E$16),$E$27)-$E$28))/$E$26)</f>
        <v>1.20422548030042</v>
      </c>
      <c r="F47" s="27">
        <f>IF($E$26&lt;=0,0,((F$32*$E45-$E$15-$E$16)-$E$22*MAX(0,(F$32*$E45-$E$15-$E$16)-MIN((F$32*$E45-$E$15-$E$16),$E$27)-$E$28))/$E$26)</f>
        <v>1.31692796236169</v>
      </c>
      <c r="G47" s="27">
        <f>IF($E$26&lt;=0,0,((G$32*$E45-$E$15-$E$16)-$E$22*MAX(0,(G$32*$E45-$E$15-$E$16)-MIN((G$32*$E45-$E$15-$E$16),$E$27)-$E$28))/$E$26)</f>
        <v>1.42890692689267</v>
      </c>
      <c r="H47" s="27">
        <f>IF($E$26&lt;=0,0,((H$32*$E45-$E$15-$E$16)-$E$22*MAX(0,(H$32*$E45-$E$15-$E$16)-MIN((H$32*$E45-$E$15-$E$16),$E$27)-$E$28))/$E$26)</f>
        <v>1.53033916074781</v>
      </c>
    </row>
    <row r="49">
      <c r="B49" s="17" t="inlineStr">
        <is>
          <t>Management Case</t>
        </is>
      </c>
      <c r="C49" s="15">
        <f>($E$11/$E$10)^(1/5)-1</f>
        <v>0.0835731259230796</v>
      </c>
      <c r="D49" s="11" t="inlineStr">
        <is>
          <t>Exit EBITDA:</t>
        </is>
      </c>
      <c r="E49" s="24">
        <f>$E$11</f>
        <v>11754.6762540073</v>
      </c>
    </row>
    <row r="50">
      <c r="B50" s="6" t="inlineStr">
        <is>
          <t xml:space="preserve">   IRR</t>
        </is>
      </c>
      <c r="D50" s="15">
        <f>IF(D51&lt;=0,-1,D51^(1/5)-1)</f>
        <v>0.115297218689135</v>
      </c>
      <c r="E50" s="15">
        <f>IF(E51&lt;=0,-1,E51^(1/5)-1)</f>
        <v>0.13422899423051</v>
      </c>
      <c r="F50" s="15">
        <f>IF(F51&lt;=0,-1,F51^(1/5)-1)</f>
        <v>0.151975167563388</v>
      </c>
      <c r="G50" s="15">
        <f>IF(G51&lt;=0,-1,G51^(1/5)-1)</f>
        <v>0.168690750876771</v>
      </c>
      <c r="H50" s="15">
        <f>IF(H51&lt;=0,-1,H51^(1/5)-1)</f>
        <v>0.18450135114295</v>
      </c>
    </row>
    <row r="51">
      <c r="B51" s="6" t="inlineStr">
        <is>
          <t xml:space="preserve">   MoIC</t>
        </is>
      </c>
      <c r="D51" s="27">
        <f>IF($E$26&lt;=0,0,((D$32*$E49-$E$15-$E$16)-$E$22*MAX(0,(D$32*$E49-$E$15-$E$16)-MIN((D$32*$E49-$E$15-$E$16),$E$27)-$E$28))/$E$26)</f>
        <v>1.72565151008796</v>
      </c>
      <c r="E51" s="27">
        <f>IF($E$26&lt;=0,0,((E$32*$E49-$E$15-$E$16)-$E$22*MAX(0,(E$32*$E49-$E$15-$E$16)-MIN((E$32*$E49-$E$15-$E$16),$E$27)-$E$28))/$E$26)</f>
        <v>1.87717051767317</v>
      </c>
      <c r="F51" s="27">
        <f>IF($E$26&lt;=0,0,((F$32*$E49-$E$15-$E$16)-$E$22*MAX(0,(F$32*$E49-$E$15-$E$16)-MIN((F$32*$E49-$E$15-$E$16),$E$27)-$E$28))/$E$26)</f>
        <v>2.02868952525837</v>
      </c>
      <c r="G51" s="27">
        <f>IF($E$26&lt;=0,0,((G$32*$E49-$E$15-$E$16)-$E$22*MAX(0,(G$32*$E49-$E$15-$E$16)-MIN((G$32*$E49-$E$15-$E$16),$E$27)-$E$28))/$E$26)</f>
        <v>2.18020853284358</v>
      </c>
      <c r="H51" s="27">
        <f>IF($E$26&lt;=0,0,((H$32*$E49-$E$15-$E$16)-$E$22*MAX(0,(H$32*$E49-$E$15-$E$16)-MIN((H$32*$E49-$E$15-$E$16),$E$27)-$E$28))/$E$26)</f>
        <v>2.33172754042878</v>
      </c>
    </row>
    <row r="53">
      <c r="B53" s="5" t="str">
        <f>"(1) Returns net of transaction expenses of $"&amp;TEXT(Model!$D$14,"#,##0")&amp;"k and net of the 10% MEIP; margin held at the FY2025A adj. EBITDA margin for the CAGR cases."</f>
        <v>(1) Returns net of transaction expenses of $2,400k and net of the 10% MEIP; margin held at the FY2025A adj. EBITDA margin for the CAGR cases.</v>
      </c>
    </row>
    <row r="54">
      <c r="B54" s="5" t="inlineStr">
        <is>
          <t>(2) Net debt at exit approximated as base-case (management case) net debt from the Model tab for every case.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5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3" customWidth="1" min="3" max="3"/>
    <col width="3" customWidth="1" min="4" max="4"/>
    <col width="13" customWidth="1" min="5" max="5"/>
    <col width="11" customWidth="1" min="6" max="6"/>
    <col width="13" customWidth="1" min="7" max="7"/>
    <col width="3" customWidth="1" min="8" max="8"/>
    <col width="30" customWidth="1" min="9" max="9"/>
    <col width="12" customWidth="1" min="10" max="10"/>
    <col width="34" customWidth="1" min="11" max="11"/>
    <col width="13" customWidth="1" min="12" max="12"/>
    <col width="12" customWidth="1" min="13" max="13"/>
    <col width="11" customWidth="1" min="14" max="14"/>
    <col width="12" customWidth="1" min="15" max="15"/>
    <col width="3" customWidth="1" min="16" max="16"/>
    <col width="12" customWidth="1" min="17" max="17"/>
    <col width="3" customWidth="1" min="18" max="18"/>
    <col width="12" customWidth="1" min="19" max="19"/>
    <col width="2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Transaction Summary</t>
        </is>
      </c>
    </row>
    <row r="6">
      <c r="B6" s="3" t="str">
        <f>Assump_CapStructure!$F$11</f>
        <v>($ in 000s)</v>
      </c>
    </row>
    <row r="8">
      <c r="B8" s="6" t="inlineStr">
        <is>
          <t>Total Enterprise Value</t>
        </is>
      </c>
      <c r="E8" s="7">
        <f>Assump_CapStructure!$D$72</f>
        <v>55083</v>
      </c>
      <c r="I8" s="8">
        <f>E8/Model!$E$85</f>
        <v>7</v>
      </c>
      <c r="J8" s="6" t="inlineStr">
        <is>
          <t>x FY2025A Adj. EBITDA</t>
        </is>
      </c>
    </row>
    <row r="9">
      <c r="B9" s="6" t="inlineStr">
        <is>
          <t>Investor Entry Multiple (FY2025A)</t>
        </is>
      </c>
      <c r="E9" s="8">
        <f>Assump_CapStructure!$D$73</f>
        <v>7</v>
      </c>
    </row>
    <row r="10">
      <c r="B10" s="6" t="inlineStr">
        <is>
          <t>Investor Entry Multiple (FY2026E)</t>
        </is>
      </c>
      <c r="E10" s="8">
        <f>Assump_CapStructure!$D$74</f>
        <v>6.2977588333948</v>
      </c>
    </row>
    <row r="11">
      <c r="B11" s="6" t="inlineStr">
        <is>
          <t>Operating Case:</t>
        </is>
      </c>
      <c r="E11" s="3" t="str">
        <f>CHOOSE(Assump_CapStructure!$K$5,"Management Case","Case II - No Growth, No Taxes","Case III - Downside Case, No Taxes","Upside Case","Flat Case")</f>
        <v>Management Case</v>
      </c>
    </row>
    <row r="12">
      <c r="B12" s="6" t="inlineStr">
        <is>
          <t>Financing Case:</t>
        </is>
      </c>
      <c r="E12" s="3" t="str">
        <f>CHOOSE(Assump_CapStructure!$K$15,"Base Case - Senior + Mezz","Senior Only","Senior + Seller Note Upsized","All Equity","Unitranche","Case 6","Case 7","Case 8","Case 9","Case 10")</f>
        <v>Base Case - Senior + Mezz</v>
      </c>
      <c r="I12" s="9" t="inlineStr">
        <is>
          <t>NO</t>
        </is>
      </c>
      <c r="J12" s="6" t="inlineStr">
        <is>
          <t>Revolver drawn at close?</t>
        </is>
      </c>
    </row>
    <row r="13">
      <c r="B13" s="6" t="inlineStr">
        <is>
          <t>Step Up in Basis</t>
        </is>
      </c>
      <c r="E13" s="3" t="str">
        <f>IF(Assump_CapStructure!$F$22=1,"Yes","No")</f>
        <v>Yes</v>
      </c>
    </row>
    <row r="14">
      <c r="B14" s="6" t="inlineStr">
        <is>
          <t>Rollover % of Proceeds</t>
        </is>
      </c>
      <c r="E14" s="10">
        <f>Model!$K$17/Assump_CapStructure!$D$80</f>
        <v>0.183450900891583</v>
      </c>
    </row>
    <row r="15">
      <c r="B15" s="6" t="inlineStr">
        <is>
          <t>Exit:</t>
        </is>
      </c>
      <c r="E15" s="9" t="inlineStr">
        <is>
          <t>5 Years</t>
        </is>
      </c>
    </row>
    <row r="17">
      <c r="B17" s="11" t="inlineStr">
        <is>
          <t>(1) Fixed Charge Coverage = (EBITDA - Mgmt Fee - Capex - Cash Taxes) / (Scheduled Principal + Cash Interest).</t>
        </is>
      </c>
    </row>
    <row r="19">
      <c r="B19" s="6" t="inlineStr">
        <is>
          <t>LTM 7/31/26 Estimated Adj. EBITDA (per QoE; for x LTM column)</t>
        </is>
      </c>
      <c r="E19" s="30" t="n">
        <v>8214</v>
      </c>
    </row>
    <row r="21">
      <c r="B21" s="12" t="inlineStr">
        <is>
          <t>Sources and Uses of Funds ($ in 000's) - FINAL FOR CLOSING</t>
        </is>
      </c>
      <c r="U21" s="12" t="inlineStr">
        <is>
          <t>LOI vs. Final</t>
        </is>
      </c>
    </row>
    <row r="22">
      <c r="B22" s="13" t="inlineStr">
        <is>
          <t>Uses</t>
        </is>
      </c>
      <c r="E22" s="14" t="inlineStr">
        <is>
          <t>Amount</t>
        </is>
      </c>
      <c r="F22" s="14" t="inlineStr">
        <is>
          <t>% of Total</t>
        </is>
      </c>
      <c r="G22" s="14" t="inlineStr">
        <is>
          <t>x LTM EBITDA</t>
        </is>
      </c>
      <c r="I22" s="13" t="inlineStr">
        <is>
          <t>Sources</t>
        </is>
      </c>
      <c r="L22" s="14" t="inlineStr">
        <is>
          <t>Amount</t>
        </is>
      </c>
      <c r="M22" s="14" t="inlineStr">
        <is>
          <t>% of Total</t>
        </is>
      </c>
      <c r="N22" s="14" t="inlineStr">
        <is>
          <t>x LTM EBITDA</t>
        </is>
      </c>
      <c r="O22" s="14" t="inlineStr">
        <is>
          <t>Pricing</t>
        </is>
      </c>
      <c r="W22" s="28" t="inlineStr">
        <is>
          <t>LOI</t>
        </is>
      </c>
      <c r="X22" s="28" t="inlineStr">
        <is>
          <t>Final</t>
        </is>
      </c>
      <c r="Y22" s="28" t="inlineStr">
        <is>
          <t>Delta</t>
        </is>
      </c>
      <c r="Z22" s="28" t="inlineStr">
        <is>
          <t>% chg</t>
        </is>
      </c>
    </row>
    <row r="23">
      <c r="B23" s="6" t="inlineStr">
        <is>
          <t>Cash Consideration (incl. payoff of existing debt)</t>
        </is>
      </c>
      <c r="E23" s="7">
        <f>Consideration!$H$22+Model!$D$8</f>
        <v>42314.8</v>
      </c>
      <c r="F23" s="15">
        <f>E23/$E$29</f>
        <v>0.722305105576703</v>
      </c>
      <c r="G23" s="26">
        <f>E23/$E$19</f>
        <v>5.15154614073533</v>
      </c>
      <c r="I23" s="6" t="inlineStr">
        <is>
          <t>Revolver (undrawn) (2)</t>
        </is>
      </c>
      <c r="L23" s="7">
        <f>Model!$K$7</f>
        <v>0</v>
      </c>
      <c r="M23" s="15">
        <f>L23/$L$29</f>
        <v>0</v>
      </c>
      <c r="N23" s="26">
        <f>L23/$E$19</f>
        <v>0</v>
      </c>
      <c r="O23" s="16" t="str">
        <f>"Base + "&amp;TEXT(Assump_CapStructure!$U$36,"0.00%")</f>
        <v>Base + 3.00%</v>
      </c>
      <c r="U23" s="6" t="inlineStr">
        <is>
          <t>Cash Consideration</t>
        </is>
      </c>
      <c r="W23" s="30" t="n">
        <v>40125</v>
      </c>
      <c r="X23" s="24">
        <f>E23</f>
        <v>42314.8</v>
      </c>
      <c r="Y23" s="24">
        <f>X23-W23</f>
        <v>2189.8</v>
      </c>
      <c r="Z23" s="15">
        <f>IF(W23=0,0,X23/W23-1)</f>
        <v>0.0545744548286604</v>
      </c>
    </row>
    <row r="24">
      <c r="B24" s="6" t="inlineStr">
        <is>
          <t>Seller Note</t>
        </is>
      </c>
      <c r="E24" s="7">
        <f>Model!$K$13</f>
        <v>4000</v>
      </c>
      <c r="F24" s="15">
        <f>E24/$E$29</f>
        <v>0.0682791936227233</v>
      </c>
      <c r="G24" s="26">
        <f>E24/$E$19</f>
        <v>0.486973459946433</v>
      </c>
      <c r="I24" s="6" t="inlineStr">
        <is>
          <t>Term Loan A (3)</t>
        </is>
      </c>
      <c r="L24" s="7">
        <f>Model!$K$8</f>
        <v>23607</v>
      </c>
      <c r="M24" s="15">
        <f>L24/$L$29</f>
        <v>0.402966730962907</v>
      </c>
      <c r="N24" s="26">
        <f>L24/$E$19</f>
        <v>2.87399561723886</v>
      </c>
      <c r="O24" s="16" t="str">
        <f>"Base + "&amp;TEXT(Assump_CapStructure!$U$37,"0.00%")</f>
        <v>Base + 3.25%</v>
      </c>
      <c r="U24" s="6" t="inlineStr">
        <is>
          <t>Seller Note</t>
        </is>
      </c>
      <c r="W24" s="30" t="n">
        <v>4000</v>
      </c>
      <c r="X24" s="24">
        <f>E24</f>
        <v>4000</v>
      </c>
      <c r="Y24" s="24">
        <f>X24-W24</f>
        <v>0</v>
      </c>
      <c r="Z24" s="15">
        <f>IF(W24=0,0,X24/W24-1)</f>
        <v>0</v>
      </c>
    </row>
    <row r="25">
      <c r="B25" s="6" t="inlineStr">
        <is>
          <t>Rollover Equity</t>
        </is>
      </c>
      <c r="E25" s="7">
        <f>Model!$K$17</f>
        <v>8868.2</v>
      </c>
      <c r="F25" s="15">
        <f>E25/$E$29</f>
        <v>0.151378386221259</v>
      </c>
      <c r="G25" s="26">
        <f>E25/$E$19</f>
        <v>1.07964450937424</v>
      </c>
      <c r="I25" s="6" t="inlineStr">
        <is>
          <t>Mezzanine Debt</t>
        </is>
      </c>
      <c r="L25" s="7">
        <f>Model!$K$12</f>
        <v>7869</v>
      </c>
      <c r="M25" s="15">
        <f>L25/$L$29</f>
        <v>0.134322243654302</v>
      </c>
      <c r="N25" s="26">
        <f>L25/$E$19</f>
        <v>0.95799853907962</v>
      </c>
      <c r="O25" s="16" t="str">
        <f>TEXT(Assump_CapStructure!$U$41,"0.00%")&amp;" cash + "&amp;TEXT(Assump_CapStructure!$V$41,"0.00%")&amp;" PIK"</f>
        <v>11.00% cash + 2.00% PIK</v>
      </c>
      <c r="U25" s="6" t="inlineStr">
        <is>
          <t>Rollover Equity</t>
        </is>
      </c>
      <c r="W25" s="30" t="n">
        <v>8650</v>
      </c>
      <c r="X25" s="24">
        <f>E25</f>
        <v>8868.2</v>
      </c>
      <c r="Y25" s="24">
        <f>X25-W25</f>
        <v>218.200000000001</v>
      </c>
      <c r="Z25" s="15">
        <f>IF(W25=0,0,X25/W25-1)</f>
        <v>0.0252254335260116</v>
      </c>
    </row>
    <row r="26">
      <c r="B26" s="17" t="inlineStr">
        <is>
          <t>Purchase Price</t>
        </is>
      </c>
      <c r="E26" s="18">
        <f>SUM(E23:E25)</f>
        <v>55183</v>
      </c>
      <c r="F26" s="15">
        <f>E26/$E$29</f>
        <v>0.941962685420685</v>
      </c>
      <c r="G26" s="26">
        <f>E26/$E$19</f>
        <v>6.718164110056</v>
      </c>
      <c r="I26" s="6" t="inlineStr">
        <is>
          <t>Seller Note</t>
        </is>
      </c>
      <c r="L26" s="7">
        <f>Model!$K$13</f>
        <v>4000</v>
      </c>
      <c r="M26" s="15">
        <f>L26/$L$29</f>
        <v>0.0682791936227233</v>
      </c>
      <c r="N26" s="26">
        <f>L26/$E$19</f>
        <v>0.486973459946433</v>
      </c>
      <c r="O26" s="16" t="str">
        <f>TEXT(Assump_CapStructure!$V$42,"0.00%")&amp;" PIK"</f>
        <v>6.00% PIK</v>
      </c>
      <c r="U26" s="6" t="inlineStr">
        <is>
          <t>Transaction Costs</t>
        </is>
      </c>
      <c r="W26" s="30" t="n">
        <v>2150</v>
      </c>
      <c r="X26" s="24">
        <f>E27</f>
        <v>2400</v>
      </c>
      <c r="Y26" s="24">
        <f>X26-W26</f>
        <v>250</v>
      </c>
      <c r="Z26" s="15">
        <f>IF(W26=0,0,X26/W26-1)</f>
        <v>0.116279069767442</v>
      </c>
    </row>
    <row r="27">
      <c r="B27" s="6" t="inlineStr">
        <is>
          <t>Transaction Costs (1)</t>
        </is>
      </c>
      <c r="E27" s="7">
        <f>Model!$D$14</f>
        <v>2400</v>
      </c>
      <c r="F27" s="15">
        <f>E27/$E$29</f>
        <v>0.040967516173634</v>
      </c>
      <c r="G27" s="26">
        <f>E27/$E$19</f>
        <v>0.29218407596786</v>
      </c>
      <c r="I27" s="6" t="inlineStr">
        <is>
          <t>Rollover Equity</t>
        </is>
      </c>
      <c r="L27" s="7">
        <f>Model!$K$17</f>
        <v>8868.2</v>
      </c>
      <c r="M27" s="15">
        <f>L27/$L$29</f>
        <v>0.151378386221259</v>
      </c>
      <c r="N27" s="26">
        <f>L27/$E$19</f>
        <v>1.07964450937424</v>
      </c>
      <c r="U27" s="6" t="inlineStr">
        <is>
          <t>Cash on Balance Sheet</t>
        </is>
      </c>
      <c r="W27" s="30" t="n">
        <v>750</v>
      </c>
      <c r="X27" s="24">
        <f>E28</f>
        <v>1000</v>
      </c>
      <c r="Y27" s="24">
        <f>X27-W27</f>
        <v>250</v>
      </c>
      <c r="Z27" s="15">
        <f>IF(W27=0,0,X27/W27-1)</f>
        <v>0.333333333333333</v>
      </c>
    </row>
    <row r="28">
      <c r="B28" s="6" t="inlineStr">
        <is>
          <t>Cash on Balance Sheet at Close (6)</t>
        </is>
      </c>
      <c r="E28" s="7">
        <f>Model!$D$13</f>
        <v>1000</v>
      </c>
      <c r="F28" s="15">
        <f>E28/$E$29</f>
        <v>0.0170697984056808</v>
      </c>
      <c r="G28" s="26">
        <f>E28/$E$19</f>
        <v>0.121743364986608</v>
      </c>
      <c r="I28" s="6" t="inlineStr">
        <is>
          <t>Sponsor Equity (5)</t>
        </is>
      </c>
      <c r="L28" s="7">
        <f>Model!$K$18+Model!$K$19</f>
        <v>14238.8</v>
      </c>
      <c r="M28" s="15">
        <f>L28/$L$29</f>
        <v>0.243053445538808</v>
      </c>
      <c r="N28" s="26">
        <f>L28/$E$19</f>
        <v>1.73347942537132</v>
      </c>
      <c r="U28" s="17" t="inlineStr">
        <is>
          <t>Total Uses</t>
        </is>
      </c>
      <c r="W28" s="18">
        <f>SUM(W23:W27)</f>
        <v>55675</v>
      </c>
      <c r="X28" s="18">
        <f>E29</f>
        <v>58583</v>
      </c>
      <c r="Y28" s="24">
        <f>X28-W28</f>
        <v>2908</v>
      </c>
      <c r="Z28" s="15">
        <f>IF(W28=0,0,X28/W28-1)</f>
        <v>0.0522317018410419</v>
      </c>
    </row>
    <row r="29">
      <c r="B29" s="17" t="inlineStr">
        <is>
          <t>Total Uses</t>
        </is>
      </c>
      <c r="E29" s="19">
        <f>E26+SUM(E27:E28)</f>
        <v>58583</v>
      </c>
      <c r="F29" s="15">
        <f>E29/$E$29</f>
        <v>1</v>
      </c>
      <c r="G29" s="26">
        <f>E29/$E$19</f>
        <v>7.13209155101047</v>
      </c>
      <c r="I29" s="17" t="inlineStr">
        <is>
          <t>Total Sources</t>
        </is>
      </c>
      <c r="L29" s="19">
        <f>SUM(L23:L28)</f>
        <v>58583</v>
      </c>
      <c r="M29" s="15">
        <f>SUM(M23:M28)</f>
        <v>1</v>
      </c>
      <c r="N29" s="26">
        <f>L29/$E$19</f>
        <v>7.13209155101047</v>
      </c>
    </row>
    <row r="31">
      <c r="B31" s="11" t="inlineStr">
        <is>
          <t>Check: Total Sources - Total Uses (must be 0)</t>
        </is>
      </c>
      <c r="E31" s="20">
        <f>L29-E29</f>
        <v>0</v>
      </c>
    </row>
    <row r="32">
      <c r="B32" s="5" t="str">
        <f>"LTM EBITDA is 7/31/26 estimated adjusted EBITDA of $"&amp;TEXT($E$19,"#,##0")&amp;"k."</f>
        <v>LTM EBITDA is 7/31/26 estimated adjusted EBITDA of $8,214k.</v>
      </c>
    </row>
    <row r="34">
      <c r="B34" s="5" t="inlineStr">
        <is>
          <t>(1) Purchaser fees and expenses including the bank / M&amp;A fee, legal, accounting and diligence, and financing fees.</t>
        </is>
      </c>
    </row>
    <row r="35">
      <c r="B35" s="5" t="inlineStr">
        <is>
          <t>(2) $8.0M revolver, undrawn at close.</t>
        </is>
      </c>
    </row>
    <row r="36">
      <c r="B36" s="5" t="inlineStr">
        <is>
          <t>(3) Reflects full draw of the term loan A at close.</t>
        </is>
      </c>
    </row>
    <row r="37">
      <c r="B37" s="5" t="inlineStr">
        <is>
          <t>(4) Sponsor common equity subject to 10% MEIP dilution.</t>
        </is>
      </c>
    </row>
    <row r="38">
      <c r="B38" s="5" t="inlineStr">
        <is>
          <t>(5) Reflects upsized sponsor equity ticket and seller rollover of 20% of consideration ex seller note.</t>
        </is>
      </c>
    </row>
    <row r="39">
      <c r="B39" s="5" t="inlineStr">
        <is>
          <t>(6) Excess cash left in the business for liquidity (minimum cash $1.0M).</t>
        </is>
      </c>
    </row>
    <row r="41">
      <c r="B41" s="17" t="inlineStr">
        <is>
          <t>Uses of Excess Cash from Closing:</t>
        </is>
      </c>
    </row>
    <row r="42">
      <c r="B42" s="6" t="inlineStr">
        <is>
          <t>Incremental transaction cost estimate vs LOI</t>
        </is>
      </c>
      <c r="E42" s="7">
        <f>Model!$D$14-M26</f>
        <v>2399.93172080638</v>
      </c>
    </row>
    <row r="43">
      <c r="B43" s="6" t="inlineStr">
        <is>
          <t>Excess cash for liquidity</t>
        </is>
      </c>
      <c r="E43" s="7">
        <f>Model!$D$13</f>
        <v>1000</v>
      </c>
    </row>
    <row r="44">
      <c r="B44" s="6" t="inlineStr">
        <is>
          <t>Investment available for an add-on acquisition</t>
        </is>
      </c>
      <c r="E44" s="30" t="n">
        <v>0</v>
      </c>
    </row>
    <row r="45">
      <c r="B45" s="17" t="inlineStr">
        <is>
          <t>Total (incl. $100k cash left by seller)</t>
        </is>
      </c>
      <c r="E45" s="31">
        <f>SUM(E42:E44)+Assump_CapStructure!$D$79</f>
        <v>3499.93172080638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3" customWidth="1" min="3" max="3"/>
    <col width="3" customWidth="1" min="4" max="4"/>
    <col width="13" customWidth="1" min="5" max="5"/>
    <col width="11" customWidth="1" min="6" max="6"/>
    <col width="13" customWidth="1" min="7" max="7"/>
    <col width="3" customWidth="1" min="8" max="8"/>
    <col width="30" customWidth="1" min="9" max="9"/>
    <col width="12" customWidth="1" min="10" max="10"/>
    <col width="34" customWidth="1" min="11" max="11"/>
    <col width="13" customWidth="1" min="12" max="12"/>
    <col width="12" customWidth="1" min="13" max="13"/>
    <col width="11" customWidth="1" min="14" max="14"/>
    <col width="12" customWidth="1" min="15" max="15"/>
    <col width="3" customWidth="1" min="16" max="16"/>
    <col width="12" customWidth="1" min="17" max="17"/>
    <col width="3" customWidth="1" min="18" max="18"/>
    <col width="12" customWidth="1" min="19" max="19"/>
    <col width="2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Transaction Summary</t>
        </is>
      </c>
    </row>
    <row r="6">
      <c r="B6" s="3" t="str">
        <f>Assump_CapStructure!$F$11</f>
        <v>($ in 000s)</v>
      </c>
    </row>
    <row r="8">
      <c r="B8" s="6" t="inlineStr">
        <is>
          <t>Total Enterprise Value</t>
        </is>
      </c>
      <c r="E8" s="7">
        <f>Assump_CapStructure!$D$72</f>
        <v>55083</v>
      </c>
      <c r="I8" s="8">
        <f>E8/Model!$E$85</f>
        <v>7</v>
      </c>
      <c r="J8" s="6" t="inlineStr">
        <is>
          <t>x FY2025A Adj. EBITDA</t>
        </is>
      </c>
    </row>
    <row r="9">
      <c r="B9" s="6" t="inlineStr">
        <is>
          <t>Investor Entry Multiple (FY2025A)</t>
        </is>
      </c>
      <c r="E9" s="8">
        <f>Assump_CapStructure!$D$73</f>
        <v>7</v>
      </c>
    </row>
    <row r="10">
      <c r="B10" s="6" t="inlineStr">
        <is>
          <t>Investor Entry Multiple (FY2026E)</t>
        </is>
      </c>
      <c r="E10" s="8">
        <f>Assump_CapStructure!$D$74</f>
        <v>6.2977588333948</v>
      </c>
    </row>
    <row r="11">
      <c r="B11" s="6" t="inlineStr">
        <is>
          <t>Operating Case:</t>
        </is>
      </c>
      <c r="E11" s="3" t="str">
        <f>CHOOSE(Assump_CapStructure!$K$5,"Management Case","Case II - No Growth, No Taxes","Case III - Downside Case, No Taxes","Upside Case","Flat Case")</f>
        <v>Management Case</v>
      </c>
    </row>
    <row r="12">
      <c r="B12" s="6" t="inlineStr">
        <is>
          <t>Financing Case:</t>
        </is>
      </c>
      <c r="E12" s="3" t="str">
        <f>CHOOSE(Assump_CapStructure!$K$15,"Base Case - Senior + Mezz","Senior Only","Senior + Seller Note Upsized","All Equity","Unitranche","Case 6","Case 7","Case 8","Case 9","Case 10")</f>
        <v>Base Case - Senior + Mezz</v>
      </c>
      <c r="I12" s="9" t="inlineStr">
        <is>
          <t>NO</t>
        </is>
      </c>
      <c r="J12" s="6" t="inlineStr">
        <is>
          <t>Revolver drawn at close?</t>
        </is>
      </c>
    </row>
    <row r="13">
      <c r="B13" s="6" t="inlineStr">
        <is>
          <t>Step Up in Basis</t>
        </is>
      </c>
      <c r="E13" s="3" t="str">
        <f>IF(Assump_CapStructure!$F$22=1,"Yes","No")</f>
        <v>Yes</v>
      </c>
    </row>
    <row r="14">
      <c r="B14" s="6" t="inlineStr">
        <is>
          <t>Rollover % of Proceeds</t>
        </is>
      </c>
      <c r="E14" s="10">
        <f>Model!$K$17/Assump_CapStructure!$D$80</f>
        <v>0.183450900891583</v>
      </c>
    </row>
    <row r="15">
      <c r="B15" s="6" t="inlineStr">
        <is>
          <t>Exit:</t>
        </is>
      </c>
      <c r="E15" s="9" t="inlineStr">
        <is>
          <t>5 Years</t>
        </is>
      </c>
    </row>
    <row r="17">
      <c r="B17" s="11" t="inlineStr">
        <is>
          <t>(1) Fixed Charge Coverage = (EBITDA - Mgmt Fee - Capex - Cash Taxes) / (Scheduled Principal + Cash Interest).</t>
        </is>
      </c>
    </row>
    <row r="19">
      <c r="B19" s="6" t="inlineStr">
        <is>
          <t>LTM 7/31/26 Estimated Adj. EBITDA (per QoE; for x LTM column)</t>
        </is>
      </c>
      <c r="E19" s="30" t="n">
        <v>8214</v>
      </c>
    </row>
    <row r="21">
      <c r="B21" s="12" t="inlineStr">
        <is>
          <t>Sources and Uses of Funds ($ in 000's) - FINAL FOR CLOSING</t>
        </is>
      </c>
      <c r="U21" s="12" t="inlineStr">
        <is>
          <t>LOI vs. Final</t>
        </is>
      </c>
    </row>
    <row r="22">
      <c r="B22" s="13" t="inlineStr">
        <is>
          <t>Uses</t>
        </is>
      </c>
      <c r="E22" s="14" t="inlineStr">
        <is>
          <t>Amount</t>
        </is>
      </c>
      <c r="F22" s="14" t="inlineStr">
        <is>
          <t>% of Total</t>
        </is>
      </c>
      <c r="G22" s="14" t="inlineStr">
        <is>
          <t>x LTM EBITDA</t>
        </is>
      </c>
      <c r="I22" s="13" t="inlineStr">
        <is>
          <t>Sources</t>
        </is>
      </c>
      <c r="L22" s="14" t="inlineStr">
        <is>
          <t>Amount</t>
        </is>
      </c>
      <c r="M22" s="14" t="inlineStr">
        <is>
          <t>% of Total</t>
        </is>
      </c>
      <c r="N22" s="14" t="inlineStr">
        <is>
          <t>x LTM EBITDA</t>
        </is>
      </c>
      <c r="O22" s="14" t="inlineStr">
        <is>
          <t>Pricing</t>
        </is>
      </c>
      <c r="W22" s="28" t="inlineStr">
        <is>
          <t>LOI</t>
        </is>
      </c>
      <c r="X22" s="28" t="inlineStr">
        <is>
          <t>Final</t>
        </is>
      </c>
      <c r="Y22" s="28" t="inlineStr">
        <is>
          <t>Delta</t>
        </is>
      </c>
      <c r="Z22" s="28" t="inlineStr">
        <is>
          <t>% chg</t>
        </is>
      </c>
    </row>
    <row r="23">
      <c r="B23" s="6" t="inlineStr">
        <is>
          <t>Cash Consideration (incl. payoff of existing debt)</t>
        </is>
      </c>
      <c r="E23" s="7">
        <f>Consideration!$H$22+Model!$D$8</f>
        <v>42314.8</v>
      </c>
      <c r="F23" s="15">
        <f>E23/$E$29</f>
        <v>0.722305105576703</v>
      </c>
      <c r="G23" s="26">
        <f>E23/$E$19</f>
        <v>5.15154614073533</v>
      </c>
      <c r="I23" s="6" t="inlineStr">
        <is>
          <t>Revolver (undrawn) (2)</t>
        </is>
      </c>
      <c r="L23" s="7">
        <f>Model!$K$7</f>
        <v>0</v>
      </c>
      <c r="M23" s="15">
        <f>L23/$L$29</f>
        <v>0</v>
      </c>
      <c r="N23" s="26">
        <f>L23/$E$19</f>
        <v>0</v>
      </c>
      <c r="O23" s="16" t="str">
        <f>"Base + "&amp;TEXT(Assump_CapStructure!$U$36,"0.00%")</f>
        <v>Base + 3.00%</v>
      </c>
      <c r="U23" s="6" t="inlineStr">
        <is>
          <t>Cash Consideration</t>
        </is>
      </c>
      <c r="W23" s="30" t="n">
        <v>40125</v>
      </c>
      <c r="X23" s="24">
        <f>E23</f>
        <v>42314.8</v>
      </c>
      <c r="Y23" s="24">
        <f>X23-W23</f>
        <v>2189.8</v>
      </c>
      <c r="Z23" s="15">
        <f>IF(W23=0,0,X23/W23-1)</f>
        <v>0.0545744548286604</v>
      </c>
    </row>
    <row r="24">
      <c r="B24" s="6" t="inlineStr">
        <is>
          <t>Seller Note</t>
        </is>
      </c>
      <c r="E24" s="7">
        <f>Model!$K$13</f>
        <v>4000</v>
      </c>
      <c r="F24" s="15">
        <f>E24/$E$29</f>
        <v>0.0682791936227233</v>
      </c>
      <c r="G24" s="26">
        <f>E24/$E$19</f>
        <v>0.486973459946433</v>
      </c>
      <c r="I24" s="6" t="inlineStr">
        <is>
          <t>Term Loan A (3)</t>
        </is>
      </c>
      <c r="L24" s="7">
        <f>Model!$K$8</f>
        <v>23607</v>
      </c>
      <c r="M24" s="15">
        <f>L24/$L$29</f>
        <v>0.402966730962907</v>
      </c>
      <c r="N24" s="26">
        <f>L24/$E$19</f>
        <v>2.87399561723886</v>
      </c>
      <c r="O24" s="16" t="str">
        <f>"Base + "&amp;TEXT(Assump_CapStructure!$U$37,"0.00%")</f>
        <v>Base + 3.25%</v>
      </c>
      <c r="U24" s="6" t="inlineStr">
        <is>
          <t>Seller Note</t>
        </is>
      </c>
      <c r="W24" s="30" t="n">
        <v>4000</v>
      </c>
      <c r="X24" s="24">
        <f>E24</f>
        <v>4000</v>
      </c>
      <c r="Y24" s="24">
        <f>X24-W24</f>
        <v>0</v>
      </c>
      <c r="Z24" s="15">
        <f>IF(W24=0,0,X24/W24-1)</f>
        <v>0</v>
      </c>
    </row>
    <row r="25">
      <c r="B25" s="6" t="inlineStr">
        <is>
          <t>Rollover Equity</t>
        </is>
      </c>
      <c r="E25" s="7">
        <f>Model!$K$17</f>
        <v>8868.2</v>
      </c>
      <c r="F25" s="15">
        <f>E25/$E$29</f>
        <v>0.151378386221259</v>
      </c>
      <c r="G25" s="26">
        <f>E25/$E$19</f>
        <v>1.07964450937424</v>
      </c>
      <c r="I25" s="6" t="inlineStr">
        <is>
          <t>Mezzanine Debt</t>
        </is>
      </c>
      <c r="L25" s="7">
        <f>Model!$K$12</f>
        <v>7869</v>
      </c>
      <c r="M25" s="15">
        <f>L25/$L$29</f>
        <v>0.134322243654302</v>
      </c>
      <c r="N25" s="26">
        <f>L25/$E$19</f>
        <v>0.95799853907962</v>
      </c>
      <c r="O25" s="16" t="str">
        <f>TEXT(Assump_CapStructure!$U$41,"0.00%")&amp;" cash + "&amp;TEXT(Assump_CapStructure!$V$41,"0.00%")&amp;" PIK"</f>
        <v>11.00% cash + 2.00% PIK</v>
      </c>
      <c r="U25" s="6" t="inlineStr">
        <is>
          <t>Rollover Equity</t>
        </is>
      </c>
      <c r="W25" s="30" t="n">
        <v>8650</v>
      </c>
      <c r="X25" s="24">
        <f>E25</f>
        <v>8868.2</v>
      </c>
      <c r="Y25" s="24">
        <f>X25-W25</f>
        <v>218.200000000001</v>
      </c>
      <c r="Z25" s="15">
        <f>IF(W25=0,0,X25/W25-1)</f>
        <v>0.0252254335260116</v>
      </c>
    </row>
    <row r="26">
      <c r="B26" s="17" t="inlineStr">
        <is>
          <t>Purchase Price</t>
        </is>
      </c>
      <c r="E26" s="18">
        <f>SUM(E23:E25)</f>
        <v>55183</v>
      </c>
      <c r="F26" s="15">
        <f>E26/$E$29</f>
        <v>0.941962685420685</v>
      </c>
      <c r="G26" s="26">
        <f>E26/$E$19</f>
        <v>6.718164110056</v>
      </c>
      <c r="I26" s="6" t="inlineStr">
        <is>
          <t>Seller Note</t>
        </is>
      </c>
      <c r="L26" s="7">
        <f>Model!$K$13</f>
        <v>4000</v>
      </c>
      <c r="M26" s="15">
        <f>L26/$L$29</f>
        <v>0.0682791936227233</v>
      </c>
      <c r="N26" s="26">
        <f>L26/$E$19</f>
        <v>0.486973459946433</v>
      </c>
      <c r="O26" s="16" t="str">
        <f>TEXT(Assump_CapStructure!$V$42,"0.00%")&amp;" PIK"</f>
        <v>6.00% PIK</v>
      </c>
      <c r="U26" s="6" t="inlineStr">
        <is>
          <t>Transaction Costs</t>
        </is>
      </c>
      <c r="W26" s="30" t="n">
        <v>2150</v>
      </c>
      <c r="X26" s="24">
        <f>E27</f>
        <v>2400</v>
      </c>
      <c r="Y26" s="24">
        <f>X26-W26</f>
        <v>250</v>
      </c>
      <c r="Z26" s="15">
        <f>IF(W26=0,0,X26/W26-1)</f>
        <v>0.116279069767442</v>
      </c>
    </row>
    <row r="27">
      <c r="B27" s="6" t="inlineStr">
        <is>
          <t>Transaction Costs (1)</t>
        </is>
      </c>
      <c r="E27" s="7">
        <f>Model!$D$14</f>
        <v>2400</v>
      </c>
      <c r="F27" s="15">
        <f>E27/$E$29</f>
        <v>0.040967516173634</v>
      </c>
      <c r="G27" s="26">
        <f>E27/$E$19</f>
        <v>0.29218407596786</v>
      </c>
      <c r="I27" s="6" t="inlineStr">
        <is>
          <t>Rollover Equity</t>
        </is>
      </c>
      <c r="L27" s="7">
        <f>Model!$K$17</f>
        <v>8868.2</v>
      </c>
      <c r="M27" s="15">
        <f>L27/$L$29</f>
        <v>0.151378386221259</v>
      </c>
      <c r="N27" s="26">
        <f>L27/$E$19</f>
        <v>1.07964450937424</v>
      </c>
      <c r="U27" s="6" t="inlineStr">
        <is>
          <t>Cash on Balance Sheet</t>
        </is>
      </c>
      <c r="W27" s="30" t="n">
        <v>750</v>
      </c>
      <c r="X27" s="24">
        <f>E28</f>
        <v>1000</v>
      </c>
      <c r="Y27" s="24">
        <f>X27-W27</f>
        <v>250</v>
      </c>
      <c r="Z27" s="15">
        <f>IF(W27=0,0,X27/W27-1)</f>
        <v>0.333333333333333</v>
      </c>
    </row>
    <row r="28">
      <c r="B28" s="6" t="inlineStr">
        <is>
          <t>Cash on Balance Sheet at Close (6)</t>
        </is>
      </c>
      <c r="E28" s="7">
        <f>Model!$D$13</f>
        <v>1000</v>
      </c>
      <c r="F28" s="15">
        <f>E28/$E$29</f>
        <v>0.0170697984056808</v>
      </c>
      <c r="G28" s="26">
        <f>E28/$E$19</f>
        <v>0.121743364986608</v>
      </c>
      <c r="I28" s="6" t="inlineStr">
        <is>
          <t>Sponsor Equity (5)</t>
        </is>
      </c>
      <c r="L28" s="7">
        <f>Model!$K$18+Model!$K$19</f>
        <v>14238.8</v>
      </c>
      <c r="M28" s="15">
        <f>L28/$L$29</f>
        <v>0.243053445538808</v>
      </c>
      <c r="N28" s="26">
        <f>L28/$E$19</f>
        <v>1.73347942537132</v>
      </c>
      <c r="U28" s="17" t="inlineStr">
        <is>
          <t>Total Uses</t>
        </is>
      </c>
      <c r="W28" s="18">
        <f>SUM(W23:W27)</f>
        <v>55675</v>
      </c>
      <c r="X28" s="18">
        <f>E29</f>
        <v>58583</v>
      </c>
      <c r="Y28" s="24">
        <f>X28-W28</f>
        <v>2908</v>
      </c>
      <c r="Z28" s="15">
        <f>IF(W28=0,0,X28/W28-1)</f>
        <v>0.0522317018410419</v>
      </c>
    </row>
    <row r="29">
      <c r="B29" s="17" t="inlineStr">
        <is>
          <t>Total Uses</t>
        </is>
      </c>
      <c r="E29" s="19">
        <f>E26+SUM(E27:E28)</f>
        <v>58583</v>
      </c>
      <c r="F29" s="15">
        <f>E29/$E$29</f>
        <v>1</v>
      </c>
      <c r="G29" s="26">
        <f>E29/$E$19</f>
        <v>7.13209155101047</v>
      </c>
      <c r="I29" s="17" t="inlineStr">
        <is>
          <t>Total Sources</t>
        </is>
      </c>
      <c r="L29" s="19">
        <f>SUM(L23:L28)</f>
        <v>58583</v>
      </c>
      <c r="M29" s="15">
        <f>SUM(M23:M28)</f>
        <v>1</v>
      </c>
      <c r="N29" s="26">
        <f>L29/$E$19</f>
        <v>7.13209155101047</v>
      </c>
    </row>
    <row r="31">
      <c r="B31" s="11" t="inlineStr">
        <is>
          <t>Check: Total Sources - Total Uses (must be 0)</t>
        </is>
      </c>
      <c r="E31" s="20">
        <f>L29-E29</f>
        <v>0</v>
      </c>
    </row>
    <row r="32">
      <c r="B32" s="5" t="str">
        <f>"LTM EBITDA is 7/31/26 estimated adjusted EBITDA of $"&amp;TEXT($E$19,"#,##0")&amp;"k."</f>
        <v>LTM EBITDA is 7/31/26 estimated adjusted EBITDA of $8,214k.</v>
      </c>
    </row>
    <row r="34">
      <c r="B34" s="5" t="inlineStr">
        <is>
          <t>(1) Purchaser fees and expenses including the bank / M&amp;A fee, legal, accounting and diligence, and financing fees.</t>
        </is>
      </c>
    </row>
    <row r="35">
      <c r="B35" s="5" t="inlineStr">
        <is>
          <t>(2) $8.0M revolver, undrawn at close.</t>
        </is>
      </c>
    </row>
    <row r="36">
      <c r="B36" s="5" t="inlineStr">
        <is>
          <t>(3) Reflects full draw of the term loan A at close.</t>
        </is>
      </c>
    </row>
    <row r="37">
      <c r="B37" s="5" t="inlineStr">
        <is>
          <t>(4) Sponsor common equity subject to 10% MEIP dilution.</t>
        </is>
      </c>
    </row>
    <row r="38">
      <c r="B38" s="5" t="inlineStr">
        <is>
          <t>(5) Reflects upsized sponsor equity ticket and seller rollover of 20% of consideration ex seller note.</t>
        </is>
      </c>
    </row>
    <row r="39">
      <c r="B39" s="5" t="inlineStr">
        <is>
          <t>(6) Excess cash left in the business for liquidity (minimum cash $1.0M).</t>
        </is>
      </c>
    </row>
    <row r="41">
      <c r="B41" s="17" t="inlineStr">
        <is>
          <t>Total Uses</t>
        </is>
      </c>
      <c r="E41" s="24">
        <f>E29</f>
        <v>58583</v>
      </c>
    </row>
    <row r="42">
      <c r="B42" s="6" t="inlineStr">
        <is>
          <t>LOI Total Uses</t>
        </is>
      </c>
      <c r="E42" s="24">
        <f>W28</f>
        <v>55675</v>
      </c>
    </row>
    <row r="43">
      <c r="B43" s="6" t="inlineStr">
        <is>
          <t>% change vs LOI</t>
        </is>
      </c>
      <c r="E43" s="15">
        <f>E41/E42-1</f>
        <v>0.0522317018410419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2" customWidth="1" min="3" max="3"/>
    <col width="12" customWidth="1" min="4" max="4"/>
    <col width="12" customWidth="1" min="5" max="5"/>
    <col width="3" customWidth="1" min="6" max="6"/>
    <col width="3" customWidth="1" min="7" max="7"/>
    <col width="12" customWidth="1" min="8" max="8"/>
    <col width="10" customWidth="1" min="9" max="9"/>
    <col width="3" customWidth="1" min="10" max="10"/>
    <col width="3" customWidth="1" min="11" max="11"/>
    <col width="3" customWidth="1" min="12" max="12"/>
    <col width="14" customWidth="1" min="13" max="13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Consideration Summary</t>
        </is>
      </c>
    </row>
    <row r="6">
      <c r="B6" s="17" t="inlineStr">
        <is>
          <t>Consideration to Seller - Updated for Overcapitalization / Purchase Price</t>
        </is>
      </c>
    </row>
    <row r="7">
      <c r="C7" s="28" t="inlineStr">
        <is>
          <t>Thomas</t>
        </is>
      </c>
      <c r="D7" s="28" t="inlineStr">
        <is>
          <t>Gregory</t>
        </is>
      </c>
      <c r="E7" s="28" t="inlineStr">
        <is>
          <t>Anne</t>
        </is>
      </c>
      <c r="H7" s="28" t="inlineStr">
        <is>
          <t>Total</t>
        </is>
      </c>
      <c r="M7" s="28" t="inlineStr">
        <is>
          <t>Accreted @ 8% / 5 yrs</t>
        </is>
      </c>
    </row>
    <row r="8">
      <c r="C8" s="32" t="inlineStr">
        <is>
          <t>Marlbeck</t>
        </is>
      </c>
      <c r="D8" s="32" t="inlineStr">
        <is>
          <t>Marlbeck</t>
        </is>
      </c>
      <c r="E8" s="32" t="inlineStr">
        <is>
          <t>Marlbeck-Holt</t>
        </is>
      </c>
    </row>
    <row r="10">
      <c r="B10" s="6" t="inlineStr">
        <is>
          <t>Current Ownership %</t>
        </is>
      </c>
      <c r="C10" s="29" t="n">
        <v>0.55</v>
      </c>
      <c r="D10" s="29" t="n">
        <v>0.3</v>
      </c>
      <c r="E10" s="29" t="n">
        <v>0.15</v>
      </c>
      <c r="H10" s="15">
        <f>SUM(C10:E10)</f>
        <v>1</v>
      </c>
    </row>
    <row r="11">
      <c r="B11" s="6" t="inlineStr">
        <is>
          <t>Consideration ex Seller Note (1)</t>
        </is>
      </c>
      <c r="C11" s="24">
        <f>C10*$H$11</f>
        <v>24387.55</v>
      </c>
      <c r="D11" s="24">
        <f>D10*$H$11</f>
        <v>13302.3</v>
      </c>
      <c r="E11" s="24">
        <f>E10*$H$11</f>
        <v>6651.15</v>
      </c>
      <c r="H11" s="7">
        <f>Assump_CapStructure!$D$80-Model!$K$13</f>
        <v>44341</v>
      </c>
    </row>
    <row r="12">
      <c r="B12" s="11" t="inlineStr">
        <is>
          <t xml:space="preserve">   Memo: Seller Note allocated by ownership (4)</t>
        </is>
      </c>
      <c r="C12" s="24">
        <f>C10*$H$12</f>
        <v>2200</v>
      </c>
      <c r="D12" s="24">
        <f>D10*$H$12</f>
        <v>1200</v>
      </c>
      <c r="E12" s="24">
        <f>E10*$H$12</f>
        <v>600</v>
      </c>
      <c r="H12" s="7">
        <f>Model!$K$13</f>
        <v>4000</v>
      </c>
    </row>
    <row r="13">
      <c r="B13" s="6" t="inlineStr">
        <is>
          <t>Rollover % of Consideration ex Note</t>
        </is>
      </c>
      <c r="C13" s="29" t="n">
        <v>0.2</v>
      </c>
      <c r="D13" s="29" t="n">
        <v>0.2</v>
      </c>
      <c r="E13" s="29" t="n">
        <v>0.2</v>
      </c>
      <c r="H13" s="15">
        <f>H14/H11</f>
        <v>0.2</v>
      </c>
    </row>
    <row r="14">
      <c r="B14" s="17" t="inlineStr">
        <is>
          <t>Rollover $ Amount</t>
        </is>
      </c>
      <c r="C14" s="24">
        <f>C13*C11</f>
        <v>4877.51</v>
      </c>
      <c r="D14" s="24">
        <f>D13*D11</f>
        <v>2660.46</v>
      </c>
      <c r="E14" s="24">
        <f>E13*E11</f>
        <v>1330.23</v>
      </c>
      <c r="H14" s="33">
        <f>SUM(C14:E14)</f>
        <v>8868.2</v>
      </c>
    </row>
    <row r="15">
      <c r="B15" s="6" t="inlineStr">
        <is>
          <t>Newco Equity Account</t>
        </is>
      </c>
      <c r="C15" s="24">
        <f>C14</f>
        <v>4877.51</v>
      </c>
      <c r="D15" s="24">
        <f>D14</f>
        <v>2660.46</v>
      </c>
      <c r="E15" s="24">
        <f>E14</f>
        <v>1330.23</v>
      </c>
      <c r="H15" s="7">
        <f>Model!$K$20</f>
        <v>23107</v>
      </c>
      <c r="M15" s="7">
        <f>H15*(1+Assump_CapStructure!$F$28)^5</f>
        <v>33951.7638706176</v>
      </c>
    </row>
    <row r="16">
      <c r="B16" s="6" t="inlineStr">
        <is>
          <t>Sponsor Equity Check</t>
        </is>
      </c>
      <c r="H16" s="24">
        <f>H15-H14</f>
        <v>14238.8</v>
      </c>
    </row>
    <row r="17">
      <c r="B17" s="6" t="inlineStr">
        <is>
          <t>Newco Ownership % (2)</t>
        </is>
      </c>
      <c r="C17" s="15">
        <f>C14/$H$15</f>
        <v>0.211083654303891</v>
      </c>
      <c r="D17" s="15">
        <f>D14/$H$15</f>
        <v>0.115136538711213</v>
      </c>
      <c r="E17" s="15">
        <f>E14/$H$15</f>
        <v>0.0575682693556065</v>
      </c>
      <c r="H17" s="15">
        <f>SUM(C17:E17)</f>
        <v>0.38378846237071</v>
      </c>
    </row>
    <row r="18">
      <c r="B18" s="6" t="inlineStr">
        <is>
          <t>LOI Ownership</t>
        </is>
      </c>
      <c r="C18" s="29" t="n">
        <v>0.184</v>
      </c>
      <c r="D18" s="29" t="n">
        <v>0.101</v>
      </c>
      <c r="E18" s="29" t="n">
        <v>0.05</v>
      </c>
      <c r="H18" s="15">
        <f>SUM(C18:E18)</f>
        <v>0.335</v>
      </c>
    </row>
    <row r="19">
      <c r="B19" s="11" t="inlineStr">
        <is>
          <t>Check vs LOI Ownership</t>
        </is>
      </c>
      <c r="C19" s="15">
        <f>C17-C18</f>
        <v>0.0270836543038906</v>
      </c>
      <c r="D19" s="15">
        <f>D17-D18</f>
        <v>0.0141365387112131</v>
      </c>
      <c r="E19" s="15">
        <f>E17-E18</f>
        <v>0.00756826935560653</v>
      </c>
      <c r="H19" s="15">
        <f>H17-H18</f>
        <v>0.0487884623707102</v>
      </c>
    </row>
    <row r="21">
      <c r="B21" s="17" t="inlineStr">
        <is>
          <t>Gross Consideration Summary (3)</t>
        </is>
      </c>
      <c r="I21" s="28" t="inlineStr">
        <is>
          <t>% of Total</t>
        </is>
      </c>
    </row>
    <row r="22">
      <c r="B22" s="6" t="inlineStr">
        <is>
          <t>Cash proceeds</t>
        </is>
      </c>
      <c r="C22" s="24">
        <f>C11-C14</f>
        <v>19510.04</v>
      </c>
      <c r="D22" s="24">
        <f>D11-D14</f>
        <v>10641.84</v>
      </c>
      <c r="E22" s="24">
        <f>E11-E14</f>
        <v>5320.92</v>
      </c>
      <c r="H22" s="24">
        <f>H11-H14</f>
        <v>35472.8</v>
      </c>
      <c r="I22" s="15">
        <f>H22/$H$25</f>
        <v>0.733803603566331</v>
      </c>
    </row>
    <row r="23">
      <c r="B23" s="6" t="inlineStr">
        <is>
          <t>Rollover equity</t>
        </is>
      </c>
      <c r="C23" s="24">
        <f>C14</f>
        <v>4877.51</v>
      </c>
      <c r="D23" s="24">
        <f>D14</f>
        <v>2660.46</v>
      </c>
      <c r="E23" s="24">
        <f>E14</f>
        <v>1330.23</v>
      </c>
      <c r="H23" s="24">
        <f>H14</f>
        <v>8868.2</v>
      </c>
      <c r="I23" s="15">
        <f>H23/$H$25</f>
        <v>0.183450900891583</v>
      </c>
    </row>
    <row r="24">
      <c r="B24" s="6" t="inlineStr">
        <is>
          <t>Seller Note (4)</t>
        </is>
      </c>
      <c r="C24" s="24">
        <f>C12</f>
        <v>2200</v>
      </c>
      <c r="D24" s="24">
        <f>D12</f>
        <v>1200</v>
      </c>
      <c r="E24" s="24">
        <f>E12</f>
        <v>600</v>
      </c>
      <c r="H24" s="24">
        <f>H12</f>
        <v>4000</v>
      </c>
      <c r="I24" s="15">
        <f>H24/$H$25</f>
        <v>0.0827454955420864</v>
      </c>
    </row>
    <row r="25">
      <c r="B25" s="17" t="inlineStr">
        <is>
          <t>Total Consideration</t>
        </is>
      </c>
      <c r="C25" s="18">
        <f>SUM(C22:C24)</f>
        <v>26587.55</v>
      </c>
      <c r="D25" s="18">
        <f>SUM(D22:D24)</f>
        <v>14502.3</v>
      </c>
      <c r="E25" s="18">
        <f>SUM(E22:E24)</f>
        <v>7251.15</v>
      </c>
      <c r="H25" s="18">
        <f>SUM(H22:H24)</f>
        <v>48341</v>
      </c>
      <c r="I25" s="15">
        <f>H25/$H$25</f>
        <v>1</v>
      </c>
    </row>
    <row r="27">
      <c r="B27" s="11" t="inlineStr">
        <is>
          <t>(1) Equity purchase price less the seller note; allocated by current ownership.</t>
        </is>
      </c>
    </row>
    <row r="28">
      <c r="B28" s="11" t="inlineStr">
        <is>
          <t>(2) Rollover $ divided by the total Newco equity account (sponsor + rollover), pre-MEIP.</t>
        </is>
      </c>
    </row>
    <row r="29">
      <c r="B29" s="11" t="inlineStr">
        <is>
          <t>(3) Gross of transaction expenses borne by the sellers and of any closing working capital adjustment.</t>
        </is>
      </c>
    </row>
    <row r="30">
      <c r="B30" s="11" t="inlineStr">
        <is>
          <t>(4) Seller note: 6% PIK, 6-year maturity, subordinated to senior and mezzanine debt.</t>
        </is>
      </c>
    </row>
    <row r="32">
      <c r="B32" s="17" t="inlineStr">
        <is>
          <t>For Purchase Agreement Schedules 1.1 and 1.3</t>
        </is>
      </c>
    </row>
    <row r="34">
      <c r="B34" s="6" t="inlineStr">
        <is>
          <t>Rollover % of consideration ("a")</t>
        </is>
      </c>
      <c r="C34" s="15">
        <f>C13</f>
        <v>0.2</v>
      </c>
      <c r="D34" s="15">
        <f>D13</f>
        <v>0.2</v>
      </c>
      <c r="E34" s="15">
        <f>E13</f>
        <v>0.2</v>
      </c>
    </row>
    <row r="35">
      <c r="B35" s="6" t="inlineStr">
        <is>
          <t>Contributed membership interest ("b" = a x current ownership)</t>
        </is>
      </c>
      <c r="C35" s="34">
        <f>C34*C10</f>
        <v>0.11</v>
      </c>
      <c r="D35" s="34">
        <f>D34*D10</f>
        <v>0.06</v>
      </c>
      <c r="E35" s="34">
        <f>E34*E10</f>
        <v>0.03</v>
      </c>
      <c r="H35" s="34">
        <f>SUM(C35:E35)</f>
        <v>0.2</v>
      </c>
    </row>
    <row r="36">
      <c r="B36" s="6" t="inlineStr">
        <is>
          <t>Purchased membership interest (current ownership - b)</t>
        </is>
      </c>
      <c r="C36" s="34">
        <f>C10-C35</f>
        <v>0.44</v>
      </c>
      <c r="D36" s="34">
        <f>D10-D35</f>
        <v>0.24</v>
      </c>
      <c r="E36" s="34">
        <f>E10-E35</f>
        <v>0.12</v>
      </c>
      <c r="H36" s="34">
        <f>SUM(C36:E36)</f>
        <v>0.8</v>
      </c>
    </row>
    <row r="38">
      <c r="B38" s="17" t="inlineStr">
        <is>
          <t>ROLLOVER EQUITY IMPACT WITH PROPOSED OVERCAPITALIZATION</t>
        </is>
      </c>
    </row>
    <row r="39">
      <c r="C39" s="28" t="inlineStr">
        <is>
          <t>Same Rollover $ from LOI</t>
        </is>
      </c>
      <c r="D39" s="28" t="inlineStr">
        <is>
          <t>Same Ownership % from LOI</t>
        </is>
      </c>
    </row>
    <row r="40">
      <c r="B40" s="6" t="inlineStr">
        <is>
          <t>LOI Newco Equity Account (sponsor check per LOI + rollover)</t>
        </is>
      </c>
      <c r="C40" s="24">
        <f>13875.25+$H$14</f>
        <v>22743.45</v>
      </c>
      <c r="D40" s="24">
        <f>13875.25+$H$14</f>
        <v>22743.45</v>
      </c>
    </row>
    <row r="41">
      <c r="B41" s="6" t="inlineStr">
        <is>
          <t>Rollover $</t>
        </is>
      </c>
      <c r="C41" s="24">
        <f>$H$14</f>
        <v>8868.2</v>
      </c>
      <c r="D41" s="24">
        <f>$H$18*$H$15</f>
        <v>7740.845</v>
      </c>
    </row>
    <row r="42">
      <c r="B42" s="6" t="inlineStr">
        <is>
          <t>Newco Equity Account (proposed)</t>
        </is>
      </c>
      <c r="C42" s="24">
        <f>$H$15</f>
        <v>23107</v>
      </c>
      <c r="D42" s="24">
        <f>$H$15</f>
        <v>23107</v>
      </c>
    </row>
    <row r="43">
      <c r="B43" s="6" t="inlineStr">
        <is>
          <t>Sponsor Equity Check</t>
        </is>
      </c>
      <c r="C43" s="24">
        <f>C42-C41</f>
        <v>14238.8</v>
      </c>
      <c r="D43" s="24">
        <f>D42-D41</f>
        <v>15366.155</v>
      </c>
    </row>
    <row r="44">
      <c r="B44" s="6" t="inlineStr">
        <is>
          <t>Newco Ownership %</t>
        </is>
      </c>
      <c r="C44" s="15">
        <f>C41/C42</f>
        <v>0.38378846237071</v>
      </c>
      <c r="D44" s="15">
        <f>D41/D42</f>
        <v>0.335</v>
      </c>
    </row>
    <row r="45">
      <c r="B45" s="6" t="inlineStr">
        <is>
          <t>Ownership delta vs LOI</t>
        </is>
      </c>
      <c r="C45" s="15">
        <f>C44-$H$18</f>
        <v>0.0487884623707102</v>
      </c>
      <c r="D45" s="15">
        <f>D44-$H$18</f>
        <v>0</v>
      </c>
    </row>
    <row r="46">
      <c r="B46" s="6" t="inlineStr">
        <is>
          <t>Dilution vs LOI</t>
        </is>
      </c>
      <c r="C46" s="15">
        <f>C45/$H$18</f>
        <v>0.145637201106598</v>
      </c>
      <c r="D46" s="15">
        <f>D45/$H$18</f>
        <v>0</v>
      </c>
    </row>
    <row r="47">
      <c r="B47" s="6" t="inlineStr">
        <is>
          <t>Rollover required to dilution-protect (6)</t>
        </is>
      </c>
      <c r="C47" s="24">
        <f>$H$18*C42</f>
        <v>7740.845</v>
      </c>
      <c r="D47" s="24">
        <f>$H$18*D42</f>
        <v>7740.845</v>
      </c>
    </row>
    <row r="48">
      <c r="B48" s="6" t="inlineStr">
        <is>
          <t>Incremental rollover required</t>
        </is>
      </c>
      <c r="C48" s="24">
        <f>C47-C41</f>
        <v>-1127.355</v>
      </c>
      <c r="D48" s="24">
        <f>D47-D41</f>
        <v>0</v>
      </c>
    </row>
    <row r="50">
      <c r="B50" s="6" t="str">
        <f>"(6) Keeps Newco Equity Account at $"&amp;TEXT(H15,"#,##0")&amp;"k and solves for the rollover that holds LOI ownership."</f>
        <v>(6) Keeps Newco Equity Account at $23,107k and solves for the rollover that holds LOI ownership.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Model --&gt;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3"/>
  <sheetViews>
    <sheetView showGridLines="0" zoomScale="85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8" customWidth="1" min="15" max="15"/>
  </cols>
  <sheetData>
    <row r="1">
      <c r="A1" s="1" t="str">
        <f>Assump_CapStructure!$F$7</f>
        <v>Project Kestrel</v>
      </c>
      <c r="M1" s="1" t="str">
        <f>"Operating Case Running: "&amp;CHOOSE(Assump_CapStructure!$K$5,"Management Case","Case II - No Growth, No Taxes","Case III - Downside Case, No Taxes","Upside Case","Flat Case")</f>
        <v>Operating Case Running: Management Case</v>
      </c>
    </row>
    <row r="2">
      <c r="A2" s="3" t="str">
        <f>"Prepared by: "&amp;Assump_CapStructure!$F$8</f>
        <v>Prepared by: Halvern</v>
      </c>
      <c r="M2" s="1" t="str">
        <f>"Capital Structure Case: "&amp;CHOOSE(Assump_CapStructure!$K$15,"Base Case - Senior + Mezz","Senior Only","Senior + Seller Note Upsized","All Equity","Unitranche","Case 6","Case 7","Case 8","Case 9","Case 10")</f>
        <v>Capital Structure Case: Base Case - Senior + Mezz</v>
      </c>
    </row>
    <row r="3">
      <c r="A3" s="3" t="str">
        <f>Assump_CapStructure!$F$11</f>
        <v>($ in 000s)</v>
      </c>
    </row>
    <row r="5">
      <c r="A5" s="35" t="inlineStr">
        <is>
          <t>TRANSACTION SUMMARY - USES AND SOURCES OF FUNDS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</row>
    <row r="6">
      <c r="A6" s="17" t="inlineStr">
        <is>
          <t>USES OF FUNDS</t>
        </is>
      </c>
      <c r="D6" s="17" t="inlineStr">
        <is>
          <t>Amount</t>
        </is>
      </c>
      <c r="E6" s="17" t="inlineStr">
        <is>
          <t>% of Total</t>
        </is>
      </c>
      <c r="F6" s="17" t="inlineStr">
        <is>
          <t>x EBITDA</t>
        </is>
      </c>
      <c r="H6" s="17" t="inlineStr">
        <is>
          <t>SOURCES OF FUNDS</t>
        </is>
      </c>
      <c r="K6" s="17" t="inlineStr">
        <is>
          <t>Amount</t>
        </is>
      </c>
      <c r="L6" s="17" t="inlineStr">
        <is>
          <t>% of Total</t>
        </is>
      </c>
      <c r="M6" s="17" t="inlineStr">
        <is>
          <t>x EBITDA</t>
        </is>
      </c>
      <c r="N6" s="17" t="inlineStr">
        <is>
          <t>Pricing</t>
        </is>
      </c>
    </row>
    <row r="7">
      <c r="A7" s="6" t="inlineStr">
        <is>
          <t>Cash Consideration to Shareholders</t>
        </is>
      </c>
      <c r="B7" s="11" t="inlineStr">
        <is>
          <t>(incl. seller-note portion)</t>
        </is>
      </c>
      <c r="D7" s="7">
        <f>Assump_CapStructure!D53</f>
        <v>39472.8</v>
      </c>
      <c r="E7" s="15">
        <f>IF($D$15=0,0,D7/$D$15)</f>
        <v>0.673792738507758</v>
      </c>
      <c r="F7" s="26">
        <f>D7/$E$85</f>
        <v>5.01624094548227</v>
      </c>
      <c r="H7" s="6" t="inlineStr">
        <is>
          <t>Revolver</t>
        </is>
      </c>
      <c r="K7" s="7">
        <f>Assump_CapStructure!D36</f>
        <v>0</v>
      </c>
      <c r="L7" s="32" t="str">
        <f>IF(K7&gt;0,(ROUND(K7/$K$21,2)*100&amp;"%"),"-")</f>
        <v>-</v>
      </c>
      <c r="M7" s="26">
        <f>K7/$E$85</f>
        <v>0</v>
      </c>
      <c r="N7" s="16" t="str">
        <f>IF(K7&gt;0,IF(Assump_CapStructure!$W$36="L +","Base + "&amp;TEXT(Assump_CapStructure!$U$36,"0.00%"),TEXT(Assump_CapStructure!$U$36,"0.00%")&amp;" Fixed")&amp;IF(Assump_CapStructure!$V$36&gt;0," + "&amp;TEXT(Assump_CapStructure!$V$36,"0.00%")&amp;" PIK",""),"-")</f>
        <v>-</v>
      </c>
    </row>
    <row r="8">
      <c r="A8" s="6" t="inlineStr">
        <is>
          <t>Repay Existing Debt</t>
        </is>
      </c>
      <c r="D8" s="7">
        <f>Assump_CapStructure!D54</f>
        <v>6842</v>
      </c>
      <c r="E8" s="15">
        <f>IF($D$15=0,0,D8/$D$15)</f>
        <v>0.116791560691668</v>
      </c>
      <c r="F8" s="26">
        <f>D8/$E$85</f>
        <v>0.869487863769221</v>
      </c>
      <c r="H8" s="6" t="inlineStr">
        <is>
          <t>Term Loan A</t>
        </is>
      </c>
      <c r="K8" s="7">
        <f>Assump_CapStructure!D37</f>
        <v>23607</v>
      </c>
      <c r="L8" s="32" t="str">
        <f>IF(K8&gt;0,(ROUND(K8/$K$21,2)*100&amp;"%"),"-")</f>
        <v>40%</v>
      </c>
      <c r="M8" s="26">
        <f>K8/$E$85</f>
        <v>3</v>
      </c>
      <c r="N8" s="16" t="str">
        <f>IF(K8&gt;0,IF(Assump_CapStructure!$W$37="L +","Base + "&amp;TEXT(Assump_CapStructure!$U$37,"0.00%"),TEXT(Assump_CapStructure!$U$37,"0.00%")&amp;" Fixed")&amp;IF(Assump_CapStructure!$V$37&gt;0," + "&amp;TEXT(Assump_CapStructure!$V$37,"0.00%")&amp;" PIK",""),"-")</f>
        <v>Base + 3.25%</v>
      </c>
    </row>
    <row r="9">
      <c r="A9" s="6" t="inlineStr">
        <is>
          <t>Rollover Equity</t>
        </is>
      </c>
      <c r="D9" s="7">
        <f>Assump_CapStructure!D55</f>
        <v>8868.2</v>
      </c>
      <c r="E9" s="15">
        <f>IF($D$15=0,0,D9/$D$15)</f>
        <v>0.151378386221259</v>
      </c>
      <c r="F9" s="26">
        <f>D9/$E$85</f>
        <v>1.12697928580506</v>
      </c>
      <c r="H9" s="6" t="inlineStr">
        <is>
          <t>Term Loan B</t>
        </is>
      </c>
      <c r="K9" s="7">
        <f>Assump_CapStructure!D38</f>
        <v>0</v>
      </c>
      <c r="L9" s="32" t="str">
        <f>IF(K9&gt;0,(ROUND(K9/$K$21,2)*100&amp;"%"),"-")</f>
        <v>-</v>
      </c>
      <c r="M9" s="26">
        <f>K9/$E$85</f>
        <v>0</v>
      </c>
      <c r="N9" s="16" t="str">
        <f>IF(K9&gt;0,IF(Assump_CapStructure!$W$38="L +","Base + "&amp;TEXT(Assump_CapStructure!$U$38,"0.00%"),TEXT(Assump_CapStructure!$U$38,"0.00%")&amp;" Fixed")&amp;IF(Assump_CapStructure!$V$38&gt;0," + "&amp;TEXT(Assump_CapStructure!$V$38,"0.00%")&amp;" PIK",""),"-")</f>
        <v>-</v>
      </c>
    </row>
    <row r="10">
      <c r="A10" s="6" t="inlineStr">
        <is>
          <t>Earnout</t>
        </is>
      </c>
      <c r="D10" s="7">
        <f>Assump_CapStructure!D56</f>
        <v>0</v>
      </c>
      <c r="E10" s="15">
        <f>IF($D$15=0,0,D10/$D$15)</f>
        <v>0</v>
      </c>
      <c r="F10" s="26">
        <f>D10/$E$85</f>
        <v>0</v>
      </c>
      <c r="H10" s="6" t="inlineStr">
        <is>
          <t>Second Lien</t>
        </is>
      </c>
      <c r="K10" s="7">
        <f>Assump_CapStructure!D39</f>
        <v>0</v>
      </c>
      <c r="L10" s="32" t="str">
        <f>IF(K10&gt;0,(ROUND(K10/$K$21,2)*100&amp;"%"),"-")</f>
        <v>-</v>
      </c>
      <c r="M10" s="26">
        <f>K10/$E$85</f>
        <v>0</v>
      </c>
      <c r="N10" s="16" t="str">
        <f>IF(K10&gt;0,IF(Assump_CapStructure!$W$39="L +","Base + "&amp;TEXT(Assump_CapStructure!$U$39,"0.00%"),TEXT(Assump_CapStructure!$U$39,"0.00%")&amp;" Fixed")&amp;IF(Assump_CapStructure!$V$39&gt;0," + "&amp;TEXT(Assump_CapStructure!$V$39,"0.00%")&amp;" PIK",""),"-")</f>
        <v>-</v>
      </c>
    </row>
    <row r="11">
      <c r="A11" s="6" t="inlineStr">
        <is>
          <t>Rollover Debt</t>
        </is>
      </c>
      <c r="D11" s="7">
        <f>Assump_CapStructure!D57</f>
        <v>0</v>
      </c>
      <c r="E11" s="15">
        <f>IF($D$15=0,0,D11/$D$15)</f>
        <v>0</v>
      </c>
      <c r="F11" s="26">
        <f>D11/$E$85</f>
        <v>0</v>
      </c>
      <c r="H11" s="6" t="inlineStr">
        <is>
          <t>Senior Notes</t>
        </is>
      </c>
      <c r="K11" s="7">
        <f>Assump_CapStructure!D40</f>
        <v>0</v>
      </c>
      <c r="L11" s="32" t="str">
        <f>IF(K11&gt;0,(ROUND(K11/$K$21,2)*100&amp;"%"),"-")</f>
        <v>-</v>
      </c>
      <c r="M11" s="26">
        <f>K11/$E$85</f>
        <v>0</v>
      </c>
      <c r="N11" s="16" t="str">
        <f>IF(K11&gt;0,IF(Assump_CapStructure!$W$40="L +","Base + "&amp;TEXT(Assump_CapStructure!$U$40,"0.00%"),TEXT(Assump_CapStructure!$U$40,"0.00%")&amp;" Fixed")&amp;IF(Assump_CapStructure!$V$40&gt;0," + "&amp;TEXT(Assump_CapStructure!$V$40,"0.00%")&amp;" PIK",""),"-")</f>
        <v>-</v>
      </c>
    </row>
    <row r="12">
      <c r="A12" s="17" t="inlineStr">
        <is>
          <t>Purchase Price</t>
        </is>
      </c>
      <c r="D12" s="18">
        <f>SUM(D7:D11)</f>
        <v>55183</v>
      </c>
      <c r="E12" s="15">
        <f>IF($D$15=0,0,D12/$D$15)</f>
        <v>0.941962685420685</v>
      </c>
      <c r="F12" s="26">
        <f>D12/$E$85</f>
        <v>7.01270809505655</v>
      </c>
      <c r="H12" s="6" t="inlineStr">
        <is>
          <t>Mezzanine Debt</t>
        </is>
      </c>
      <c r="K12" s="7">
        <f>Assump_CapStructure!D41</f>
        <v>7869</v>
      </c>
      <c r="L12" s="32" t="str">
        <f>IF(K12&gt;0,(ROUND(K12/$K$21,2)*100&amp;"%"),"-")</f>
        <v>13%</v>
      </c>
      <c r="M12" s="26">
        <f>K12/$E$85</f>
        <v>1</v>
      </c>
      <c r="N12" s="16" t="str">
        <f>IF(K12&gt;0,IF(Assump_CapStructure!$W$41="L +","Base + "&amp;TEXT(Assump_CapStructure!$U$41,"0.00%"),TEXT(Assump_CapStructure!$U$41,"0.00%")&amp;" Fixed")&amp;IF(Assump_CapStructure!$V$41&gt;0," + "&amp;TEXT(Assump_CapStructure!$V$41,"0.00%")&amp;" PIK",""),"-")</f>
        <v>11.00% Fixed + 2.00% PIK</v>
      </c>
    </row>
    <row r="13">
      <c r="A13" s="6" t="inlineStr">
        <is>
          <t>Cash on Balance Sheet at Close</t>
        </is>
      </c>
      <c r="D13" s="7">
        <f>Assump_CapStructure!D59</f>
        <v>1000</v>
      </c>
      <c r="E13" s="15">
        <f>IF($D$15=0,0,D13/$D$15)</f>
        <v>0.0170697984056808</v>
      </c>
      <c r="F13" s="26">
        <f>D13/$E$85</f>
        <v>0.12708095056551</v>
      </c>
      <c r="H13" s="6" t="inlineStr">
        <is>
          <t>Seller Note</t>
        </is>
      </c>
      <c r="K13" s="7">
        <f>Assump_CapStructure!D42</f>
        <v>4000</v>
      </c>
      <c r="L13" s="32" t="str">
        <f>IF(K13&gt;0,(ROUND(K13/$K$21,2)*100&amp;"%"),"-")</f>
        <v>7%</v>
      </c>
      <c r="M13" s="26">
        <f>K13/$E$85</f>
        <v>0.508323802262041</v>
      </c>
      <c r="N13" s="16" t="str">
        <f>IF(K13&gt;0,IF(Assump_CapStructure!$W$42="L +","Base + "&amp;TEXT(Assump_CapStructure!$U$42,"0.00%"),TEXT(Assump_CapStructure!$U$42,"0.00%")&amp;" Fixed")&amp;IF(Assump_CapStructure!$V$42&gt;0," + "&amp;TEXT(Assump_CapStructure!$V$42,"0.00%")&amp;" PIK",""),"-")</f>
        <v>0.00% Fixed + 6.00% PIK</v>
      </c>
    </row>
    <row r="14">
      <c r="A14" s="6" t="inlineStr">
        <is>
          <t>Transaction Costs</t>
        </is>
      </c>
      <c r="D14" s="7">
        <f>Assump_CapStructure!D64</f>
        <v>2400</v>
      </c>
      <c r="E14" s="15">
        <f>IF($D$15=0,0,D14/$D$15)</f>
        <v>0.040967516173634</v>
      </c>
      <c r="F14" s="26">
        <f>D14/$E$85</f>
        <v>0.304994281357225</v>
      </c>
      <c r="H14" s="6" t="inlineStr">
        <is>
          <t>Subordinated Notes</t>
        </is>
      </c>
      <c r="K14" s="7">
        <f>Assump_CapStructure!D43</f>
        <v>0</v>
      </c>
      <c r="L14" s="32" t="str">
        <f>IF(K14&gt;0,(ROUND(K14/$K$21,2)*100&amp;"%"),"-")</f>
        <v>-</v>
      </c>
      <c r="M14" s="26">
        <f>K14/$E$85</f>
        <v>0</v>
      </c>
      <c r="N14" s="16" t="str">
        <f>IF(K14&gt;0,IF(Assump_CapStructure!$W$43="L +","Base + "&amp;TEXT(Assump_CapStructure!$U$43,"0.00%"),TEXT(Assump_CapStructure!$U$43,"0.00%")&amp;" Fixed")&amp;IF(Assump_CapStructure!$V$43&gt;0," + "&amp;TEXT(Assump_CapStructure!$V$43,"0.00%")&amp;" PIK",""),"-")</f>
        <v>-</v>
      </c>
    </row>
    <row r="15">
      <c r="A15" s="17" t="inlineStr">
        <is>
          <t>Total Uses</t>
        </is>
      </c>
      <c r="D15" s="19">
        <f>D12+D13+D14</f>
        <v>58583</v>
      </c>
      <c r="E15" s="15">
        <f>IF($D$15=0,0,D15/$D$15)</f>
        <v>1</v>
      </c>
      <c r="F15" s="26">
        <f>D15/$E$85</f>
        <v>7.44478332697929</v>
      </c>
      <c r="H15" s="6" t="inlineStr">
        <is>
          <t>Other</t>
        </is>
      </c>
      <c r="K15" s="7">
        <f>Assump_CapStructure!D44</f>
        <v>0</v>
      </c>
      <c r="L15" s="32" t="str">
        <f>IF(K15&gt;0,(ROUND(K15/$K$21,2)*100&amp;"%"),"-")</f>
        <v>-</v>
      </c>
      <c r="M15" s="26">
        <f>K15/$E$85</f>
        <v>0</v>
      </c>
      <c r="N15" s="16" t="str">
        <f>IF(K15&gt;0,IF(Assump_CapStructure!$W$44="L +","Base + "&amp;TEXT(Assump_CapStructure!$U$44,"0.00%"),TEXT(Assump_CapStructure!$U$44,"0.00%")&amp;" Fixed")&amp;IF(Assump_CapStructure!$V$44&gt;0," + "&amp;TEXT(Assump_CapStructure!$V$44,"0.00%")&amp;" PIK",""),"-")</f>
        <v>-</v>
      </c>
    </row>
    <row r="16">
      <c r="H16" s="17" t="inlineStr">
        <is>
          <t>Total Debt</t>
        </is>
      </c>
      <c r="K16" s="18">
        <f>SUM(K7:K15)</f>
        <v>35476</v>
      </c>
      <c r="L16" s="32" t="str">
        <f>IF(K16&gt;0,(ROUND(K16/$K$21,2)*100&amp;"%"),"-")</f>
        <v>61%</v>
      </c>
      <c r="M16" s="26">
        <f>K16/$E$85</f>
        <v>4.50832380226204</v>
      </c>
    </row>
    <row r="17">
      <c r="H17" s="6" t="inlineStr">
        <is>
          <t>Rollover Equity</t>
        </is>
      </c>
      <c r="K17" s="7">
        <f>Assump_CapStructure!D45</f>
        <v>8868.2</v>
      </c>
      <c r="L17" s="32" t="str">
        <f>IF(K17&gt;0,(ROUND(K17/$K$21,2)*100&amp;"%"),"-")</f>
        <v>15%</v>
      </c>
      <c r="M17" s="26">
        <f>K17/$E$85</f>
        <v>1.12697928580506</v>
      </c>
    </row>
    <row r="18">
      <c r="H18" s="6" t="inlineStr">
        <is>
          <t>Sponsor Preferred Equity</t>
        </is>
      </c>
      <c r="K18" s="7">
        <f>Assump_CapStructure!D46</f>
        <v>12814.92</v>
      </c>
      <c r="L18" s="32" t="str">
        <f>IF(K18&gt;0,(ROUND(K18/$K$21,2)*100&amp;"%"),"-")</f>
        <v>22%</v>
      </c>
      <c r="M18" s="26">
        <f>K18/$E$85</f>
        <v>1.62853221502097</v>
      </c>
      <c r="N18" s="16" t="str">
        <f>TEXT(Assump_CapStructure!$F$28,"0.00%")&amp;" accreting"</f>
        <v>8.00% accreting</v>
      </c>
    </row>
    <row r="19">
      <c r="H19" s="6" t="inlineStr">
        <is>
          <t>Sponsor Common Equity</t>
        </is>
      </c>
      <c r="K19" s="7">
        <f>Assump_CapStructure!D47</f>
        <v>1423.88</v>
      </c>
      <c r="L19" s="32" t="str">
        <f>IF(K19&gt;0,(ROUND(K19/$K$21,2)*100&amp;"%"),"-")</f>
        <v>2%</v>
      </c>
      <c r="M19" s="26">
        <f>K19/$E$85</f>
        <v>0.180948023891218</v>
      </c>
    </row>
    <row r="20">
      <c r="H20" s="17" t="inlineStr">
        <is>
          <t>Total Equity</t>
        </is>
      </c>
      <c r="K20" s="18">
        <f>SUM(K17:K19)</f>
        <v>23107</v>
      </c>
      <c r="L20" s="32" t="str">
        <f>IF(K20&gt;0,(ROUND(K20/$K$21,2)*100&amp;"%"),"-")</f>
        <v>39%</v>
      </c>
      <c r="M20" s="26">
        <f>K20/$E$85</f>
        <v>2.93645952471725</v>
      </c>
    </row>
    <row r="21">
      <c r="H21" s="17" t="inlineStr">
        <is>
          <t>Total Sources</t>
        </is>
      </c>
      <c r="K21" s="19">
        <f>K16+K20</f>
        <v>58583</v>
      </c>
      <c r="L21" s="32" t="str">
        <f>IF(K21&gt;0,(ROUND(K21/$K$21,2)*100&amp;"%"),"-")</f>
        <v>100%</v>
      </c>
      <c r="M21" s="26">
        <f>K21/$E$85</f>
        <v>7.44478332697929</v>
      </c>
    </row>
    <row r="23">
      <c r="A23" s="11" t="inlineStr">
        <is>
          <t>Check: Total Sources - Total Uses (must be 0)</t>
        </is>
      </c>
      <c r="D23" s="20">
        <f>K21-D15</f>
        <v>0</v>
      </c>
    </row>
    <row r="26">
      <c r="A26" s="35" t="inlineStr">
        <is>
          <t>FINANCIAL SUMMARY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</row>
    <row r="27">
      <c r="A27" s="11" t="inlineStr">
        <is>
          <t>Pro Forma for the Transaction</t>
        </is>
      </c>
    </row>
    <row r="29">
      <c r="B29" s="36">
        <f>C29-1</f>
        <v>2022</v>
      </c>
      <c r="C29" s="36">
        <f>D29-1</f>
        <v>2023</v>
      </c>
      <c r="D29" s="36">
        <f>E29-1</f>
        <v>2024</v>
      </c>
      <c r="E29" s="36">
        <f>F29-1</f>
        <v>2025</v>
      </c>
      <c r="F29" s="37">
        <f>Assump_CapStructure!$F$10</f>
        <v>2026</v>
      </c>
      <c r="G29" s="36">
        <f>F29+1</f>
        <v>2027</v>
      </c>
      <c r="H29" s="36">
        <f>G29+1</f>
        <v>2028</v>
      </c>
      <c r="I29" s="36">
        <f>H29+1</f>
        <v>2029</v>
      </c>
      <c r="J29" s="36">
        <f>I29+1</f>
        <v>2030</v>
      </c>
      <c r="K29" s="36">
        <f>J29+1</f>
        <v>2031</v>
      </c>
      <c r="L29" s="36">
        <f>K29+1</f>
        <v>2032</v>
      </c>
      <c r="M29" s="36">
        <f>L29+1</f>
        <v>2033</v>
      </c>
    </row>
    <row r="30">
      <c r="A30" s="1" t="str">
        <f>"FYE "&amp;Assump_CapStructure!$F$9</f>
        <v>FYE September 30,</v>
      </c>
      <c r="B30" s="38" t="str">
        <f>"FY"&amp;TEXT(B29,"0")&amp;IF(B29&lt;Assump_CapStructure!$F$10,"A","E")</f>
        <v>FY2022A</v>
      </c>
      <c r="C30" s="38" t="str">
        <f>"FY"&amp;TEXT(C29,"0")&amp;IF(C29&lt;Assump_CapStructure!$F$10,"A","E")</f>
        <v>FY2023A</v>
      </c>
      <c r="D30" s="38" t="str">
        <f>"FY"&amp;TEXT(D29,"0")&amp;IF(D29&lt;Assump_CapStructure!$F$10,"A","E")</f>
        <v>FY2024A</v>
      </c>
      <c r="E30" s="38" t="str">
        <f>"FY"&amp;TEXT(E29,"0")&amp;IF(E29&lt;Assump_CapStructure!$F$10,"A","E")</f>
        <v>FY2025A</v>
      </c>
      <c r="F30" s="38" t="str">
        <f>"FY"&amp;TEXT(F29,"0")&amp;IF(F29&lt;Assump_CapStructure!$F$10,"A","E")</f>
        <v>FY2026E</v>
      </c>
      <c r="G30" s="38" t="str">
        <f>"FY"&amp;TEXT(G29,"0")&amp;IF(G29&lt;Assump_CapStructure!$F$10,"A","E")</f>
        <v>FY2027E</v>
      </c>
      <c r="H30" s="38" t="str">
        <f>"FY"&amp;TEXT(H29,"0")&amp;IF(H29&lt;Assump_CapStructure!$F$10,"A","E")</f>
        <v>FY2028E</v>
      </c>
      <c r="I30" s="38" t="str">
        <f>"FY"&amp;TEXT(I29,"0")&amp;IF(I29&lt;Assump_CapStructure!$F$10,"A","E")</f>
        <v>FY2029E</v>
      </c>
      <c r="J30" s="38" t="str">
        <f>"FY"&amp;TEXT(J29,"0")&amp;IF(J29&lt;Assump_CapStructure!$F$10,"A","E")</f>
        <v>FY2030E</v>
      </c>
      <c r="K30" s="38" t="str">
        <f>"FY"&amp;TEXT(K29,"0")&amp;IF(K29&lt;Assump_CapStructure!$F$10,"A","E")</f>
        <v>FY2031E</v>
      </c>
      <c r="L30" s="38" t="str">
        <f>"FY"&amp;TEXT(L29,"0")&amp;IF(L29&lt;Assump_CapStructure!$F$10,"A","E")</f>
        <v>FY2032E</v>
      </c>
      <c r="M30" s="38" t="str">
        <f>"FY"&amp;TEXT(M29,"0")&amp;IF(M29&lt;Assump_CapStructure!$F$10,"A","E")</f>
        <v>FY2033E</v>
      </c>
      <c r="N30" s="17" t="inlineStr">
        <is>
          <t>CAGR FY25-30</t>
        </is>
      </c>
    </row>
    <row r="31">
      <c r="A31" s="17" t="inlineStr">
        <is>
          <t>Revenue</t>
        </is>
      </c>
      <c r="B31" s="24">
        <f>B75</f>
        <v>35245</v>
      </c>
      <c r="C31" s="24">
        <f>C75</f>
        <v>38240</v>
      </c>
      <c r="D31" s="24">
        <f>D75</f>
        <v>40516</v>
      </c>
      <c r="E31" s="24">
        <f>E75</f>
        <v>42624</v>
      </c>
      <c r="F31" s="24">
        <f>F75</f>
        <v>46033.92</v>
      </c>
      <c r="G31" s="24">
        <f>G75</f>
        <v>49348.36224</v>
      </c>
      <c r="H31" s="24">
        <f>H75</f>
        <v>52556.0057856</v>
      </c>
      <c r="I31" s="24">
        <f>I75</f>
        <v>55709.366132736</v>
      </c>
      <c r="J31" s="24">
        <f>J75</f>
        <v>58773.3812700365</v>
      </c>
      <c r="K31" s="24">
        <f>K75</f>
        <v>61712.0503335383</v>
      </c>
      <c r="L31" s="24">
        <f>L75</f>
        <v>64489.0925985475</v>
      </c>
      <c r="M31" s="24">
        <f>M75</f>
        <v>67068.6563024894</v>
      </c>
      <c r="N31" s="15">
        <f>(J31/E31)^(1/5)-1</f>
        <v>0.0663635571675985</v>
      </c>
    </row>
    <row r="32">
      <c r="A32" s="11" t="inlineStr">
        <is>
          <t xml:space="preserve">   % Growth</t>
        </is>
      </c>
      <c r="C32" s="15">
        <f>IF(B31=0,0,C31/B31-1)</f>
        <v>0.0849765924244574</v>
      </c>
      <c r="D32" s="15">
        <f>IF(C31=0,0,D31/C31-1)</f>
        <v>0.0595188284518828</v>
      </c>
      <c r="E32" s="15">
        <f>IF(D31=0,0,E31/D31-1)</f>
        <v>0.0520288281172869</v>
      </c>
      <c r="F32" s="15">
        <f>IF(E31=0,0,F31/E31-1)</f>
        <v>0.0800000000000001</v>
      </c>
      <c r="G32" s="15">
        <f>IF(F31=0,0,G31/F31-1)</f>
        <v>0.0720000000000001</v>
      </c>
      <c r="H32" s="15">
        <f>IF(G31=0,0,H31/G31-1)</f>
        <v>0.065</v>
      </c>
      <c r="I32" s="15">
        <f>IF(H31=0,0,I31/H31-1)</f>
        <v>0.0600000000000001</v>
      </c>
      <c r="J32" s="15">
        <f>IF(I31=0,0,J31/I31-1)</f>
        <v>0.0549999999999999</v>
      </c>
      <c r="K32" s="15">
        <f>IF(J31=0,0,K31/J31-1)</f>
        <v>0.05</v>
      </c>
      <c r="L32" s="15">
        <f>IF(K31=0,0,L31/K31-1)</f>
        <v>0.0449999999999999</v>
      </c>
      <c r="M32" s="15">
        <f>IF(L31=0,0,M31/L31-1)</f>
        <v>0.04</v>
      </c>
    </row>
    <row r="33">
      <c r="A33" s="17" t="inlineStr">
        <is>
          <t>Adj. EBITDA</t>
        </is>
      </c>
      <c r="B33" s="24">
        <f>B85</f>
        <v>6287</v>
      </c>
      <c r="C33" s="24">
        <f>C85</f>
        <v>6961</v>
      </c>
      <c r="D33" s="24">
        <f>D85</f>
        <v>7923</v>
      </c>
      <c r="E33" s="24">
        <f>E85</f>
        <v>7869</v>
      </c>
      <c r="F33" s="24">
        <f>F85</f>
        <v>8746.4448</v>
      </c>
      <c r="G33" s="24">
        <f>G85</f>
        <v>9524.23391232</v>
      </c>
      <c r="H33" s="24">
        <f>H85</f>
        <v>10300.9771339776</v>
      </c>
      <c r="I33" s="24">
        <f>I85</f>
        <v>11030.4544942817</v>
      </c>
      <c r="J33" s="24">
        <f>J85</f>
        <v>11754.6762540073</v>
      </c>
      <c r="K33" s="24">
        <f>K85</f>
        <v>12342.4100667077</v>
      </c>
      <c r="L33" s="24">
        <f>L85</f>
        <v>13026.7967049066</v>
      </c>
      <c r="M33" s="24">
        <f>M85</f>
        <v>13547.8685731029</v>
      </c>
      <c r="N33" s="15">
        <f>(J33/E33)^(1/5)-1</f>
        <v>0.0835731259230796</v>
      </c>
    </row>
    <row r="34">
      <c r="A34" s="11" t="inlineStr">
        <is>
          <t xml:space="preserve">   % Margin</t>
        </is>
      </c>
      <c r="B34" s="15">
        <f>B33/B31</f>
        <v>0.178379912044262</v>
      </c>
      <c r="C34" s="15">
        <f>C33/C31</f>
        <v>0.182034518828452</v>
      </c>
      <c r="D34" s="15">
        <f>D33/D31</f>
        <v>0.195552374370619</v>
      </c>
      <c r="E34" s="15">
        <f>E33/E31</f>
        <v>0.184614301801802</v>
      </c>
      <c r="F34" s="15">
        <f>F33/F31</f>
        <v>0.19</v>
      </c>
      <c r="G34" s="15">
        <f>G33/G31</f>
        <v>0.193</v>
      </c>
      <c r="H34" s="15">
        <f>H33/H31</f>
        <v>0.196</v>
      </c>
      <c r="I34" s="15">
        <f>I33/I31</f>
        <v>0.198</v>
      </c>
      <c r="J34" s="15">
        <f>J33/J31</f>
        <v>0.2</v>
      </c>
      <c r="K34" s="15">
        <f>K33/K31</f>
        <v>0.2</v>
      </c>
      <c r="L34" s="15">
        <f>L33/L31</f>
        <v>0.202</v>
      </c>
      <c r="M34" s="15">
        <f>M33/M31</f>
        <v>0.202</v>
      </c>
    </row>
    <row r="35">
      <c r="A35" s="17" t="inlineStr">
        <is>
          <t>Capex</t>
        </is>
      </c>
      <c r="B35" s="7">
        <f>Assump_Operating!B128</f>
        <v>1058</v>
      </c>
      <c r="C35" s="7">
        <f>Assump_Operating!C128</f>
        <v>1032</v>
      </c>
      <c r="D35" s="7">
        <f>Assump_Operating!D128</f>
        <v>1116</v>
      </c>
      <c r="E35" s="7">
        <f>Assump_Operating!E128</f>
        <v>1175</v>
      </c>
      <c r="F35" s="7">
        <f>Assump_Operating!F128</f>
        <v>1288.94976</v>
      </c>
      <c r="G35" s="7">
        <f>Assump_Operating!G128</f>
        <v>1381.75414272</v>
      </c>
      <c r="H35" s="7">
        <f>Assump_Operating!H128</f>
        <v>1471.5681619968</v>
      </c>
      <c r="I35" s="7">
        <f>Assump_Operating!I128</f>
        <v>1559.86225171661</v>
      </c>
      <c r="J35" s="7">
        <f>Assump_Operating!J128</f>
        <v>1645.65467556102</v>
      </c>
      <c r="K35" s="7">
        <f>Assump_Operating!K128</f>
        <v>1727.93740933907</v>
      </c>
      <c r="L35" s="7">
        <f>Assump_Operating!L128</f>
        <v>1805.69459275933</v>
      </c>
      <c r="M35" s="7">
        <f>Assump_Operating!M128</f>
        <v>1877.9223764697</v>
      </c>
    </row>
    <row r="36">
      <c r="A36" s="11" t="inlineStr">
        <is>
          <t xml:space="preserve">   % of Revenue</t>
        </is>
      </c>
      <c r="B36" s="15">
        <f>B35/B31</f>
        <v>0.0300184423322457</v>
      </c>
      <c r="C36" s="15">
        <f>C35/C31</f>
        <v>0.0269874476987448</v>
      </c>
      <c r="D36" s="15">
        <f>D35/D31</f>
        <v>0.0275446737091519</v>
      </c>
      <c r="E36" s="15">
        <f>E35/E31</f>
        <v>0.0275666291291291</v>
      </c>
      <c r="F36" s="15">
        <f>F35/F31</f>
        <v>0.028</v>
      </c>
      <c r="G36" s="15">
        <f>G35/G31</f>
        <v>0.028</v>
      </c>
      <c r="H36" s="15">
        <f>H35/H31</f>
        <v>0.028</v>
      </c>
      <c r="I36" s="15">
        <f>I35/I31</f>
        <v>0.028</v>
      </c>
      <c r="J36" s="15">
        <f>J35/J31</f>
        <v>0.028</v>
      </c>
      <c r="K36" s="15">
        <f>K35/K31</f>
        <v>0.028</v>
      </c>
      <c r="L36" s="15">
        <f>L35/L31</f>
        <v>0.028</v>
      </c>
      <c r="M36" s="15">
        <f>M35/M31</f>
        <v>0.028</v>
      </c>
    </row>
    <row r="37">
      <c r="A37" s="17" t="inlineStr">
        <is>
          <t>Net Working Capital</t>
        </is>
      </c>
      <c r="B37" s="24">
        <f>B306</f>
        <v>4535</v>
      </c>
      <c r="C37" s="24">
        <f>C306</f>
        <v>5102</v>
      </c>
      <c r="D37" s="24">
        <f>D306</f>
        <v>5053</v>
      </c>
      <c r="E37" s="24">
        <f>E306</f>
        <v>5128</v>
      </c>
      <c r="F37" s="24">
        <f>F306</f>
        <v>5667.84757479452</v>
      </c>
      <c r="G37" s="24">
        <f>G306</f>
        <v>5999.94964242937</v>
      </c>
      <c r="H37" s="24">
        <f>H306</f>
        <v>6453.01357613</v>
      </c>
      <c r="I37" s="24">
        <f>I306</f>
        <v>6884.68556940381</v>
      </c>
      <c r="J37" s="24">
        <f>J306</f>
        <v>7310.12044629347</v>
      </c>
      <c r="K37" s="24">
        <f>K306</f>
        <v>7452.11049452338</v>
      </c>
      <c r="L37" s="24">
        <f>L306</f>
        <v>7901.76900899957</v>
      </c>
      <c r="M37" s="24">
        <f>M306</f>
        <v>8066.88935524312</v>
      </c>
    </row>
    <row r="38">
      <c r="A38" s="11" t="inlineStr">
        <is>
          <t xml:space="preserve">   % of Revenue</t>
        </is>
      </c>
      <c r="B38" s="15">
        <f>B37/B31</f>
        <v>0.128670733437367</v>
      </c>
      <c r="C38" s="15">
        <f>C37/C31</f>
        <v>0.13342050209205</v>
      </c>
      <c r="D38" s="15">
        <f>D37/D31</f>
        <v>0.124716161516438</v>
      </c>
      <c r="E38" s="15">
        <f>E37/E31</f>
        <v>0.120307807807808</v>
      </c>
      <c r="F38" s="15">
        <f>F37/F31</f>
        <v>0.123123287671233</v>
      </c>
      <c r="G38" s="15">
        <f>G37/G31</f>
        <v>0.121583561643836</v>
      </c>
      <c r="H38" s="15">
        <f>H37/H31</f>
        <v>0.122783561643836</v>
      </c>
      <c r="I38" s="15">
        <f>I37/I31</f>
        <v>0.123582191780822</v>
      </c>
      <c r="J38" s="15">
        <f>J37/J31</f>
        <v>0.124378082191781</v>
      </c>
      <c r="K38" s="15">
        <f>K37/K31</f>
        <v>0.120756164383562</v>
      </c>
      <c r="L38" s="15">
        <f>L37/L31</f>
        <v>0.122528767123288</v>
      </c>
      <c r="M38" s="15">
        <f>M37/M31</f>
        <v>0.120278082191781</v>
      </c>
    </row>
    <row r="40">
      <c r="A40" s="35" t="inlineStr">
        <is>
          <t>FREE CASH FLOW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</row>
    <row r="41">
      <c r="A41" s="6" t="inlineStr">
        <is>
          <t>EBITDA</t>
        </is>
      </c>
      <c r="F41" s="24">
        <f>F85</f>
        <v>8746.4448</v>
      </c>
      <c r="G41" s="24">
        <f>G85</f>
        <v>9524.23391232</v>
      </c>
      <c r="H41" s="24">
        <f>H85</f>
        <v>10300.9771339776</v>
      </c>
      <c r="I41" s="24">
        <f>I85</f>
        <v>11030.4544942817</v>
      </c>
      <c r="J41" s="24">
        <f>J85</f>
        <v>11754.6762540073</v>
      </c>
      <c r="K41" s="24">
        <f>K85</f>
        <v>12342.4100667077</v>
      </c>
      <c r="L41" s="24">
        <f>L85</f>
        <v>13026.7967049066</v>
      </c>
      <c r="M41" s="24">
        <f>M85</f>
        <v>13547.8685731029</v>
      </c>
    </row>
    <row r="42">
      <c r="A42" s="6" t="inlineStr">
        <is>
          <t>Other (management fee)</t>
        </is>
      </c>
      <c r="F42" s="24">
        <f>-F93</f>
        <v>-0</v>
      </c>
      <c r="G42" s="24">
        <f>-G93</f>
        <v>-0</v>
      </c>
      <c r="H42" s="24">
        <f>-H93</f>
        <v>-0</v>
      </c>
      <c r="I42" s="24">
        <f>-I93</f>
        <v>-0</v>
      </c>
      <c r="J42" s="24">
        <f>-J93</f>
        <v>-0</v>
      </c>
      <c r="K42" s="24">
        <f>-K93</f>
        <v>-0</v>
      </c>
      <c r="L42" s="24">
        <f>-L93</f>
        <v>-0</v>
      </c>
      <c r="M42" s="24">
        <f>-M93</f>
        <v>-0</v>
      </c>
    </row>
    <row r="43">
      <c r="A43" s="6" t="inlineStr">
        <is>
          <t>Capex</t>
        </is>
      </c>
      <c r="F43" s="24">
        <f>-F35</f>
        <v>-1288.94976</v>
      </c>
      <c r="G43" s="24">
        <f>-G35</f>
        <v>-1381.75414272</v>
      </c>
      <c r="H43" s="24">
        <f>-H35</f>
        <v>-1471.5681619968</v>
      </c>
      <c r="I43" s="24">
        <f>-I35</f>
        <v>-1559.86225171661</v>
      </c>
      <c r="J43" s="24">
        <f>-J35</f>
        <v>-1645.65467556102</v>
      </c>
      <c r="K43" s="24">
        <f>-K35</f>
        <v>-1727.93740933907</v>
      </c>
      <c r="L43" s="24">
        <f>-L35</f>
        <v>-1805.69459275933</v>
      </c>
      <c r="M43" s="24">
        <f>-M35</f>
        <v>-1877.9223764697</v>
      </c>
    </row>
    <row r="44">
      <c r="A44" s="6" t="inlineStr">
        <is>
          <t>(Inc)/Dec in Working Capital</t>
        </is>
      </c>
      <c r="F44" s="24">
        <f>F179</f>
        <v>-356.847574794521</v>
      </c>
      <c r="G44" s="24">
        <f>G179</f>
        <v>-332.10206763485</v>
      </c>
      <c r="H44" s="24">
        <f>H179</f>
        <v>-453.063933700628</v>
      </c>
      <c r="I44" s="24">
        <f>I179</f>
        <v>-431.671993273808</v>
      </c>
      <c r="J44" s="24">
        <f>J179</f>
        <v>-425.434876889662</v>
      </c>
      <c r="K44" s="24">
        <f>K179</f>
        <v>-141.990048229912</v>
      </c>
      <c r="L44" s="24">
        <f>L179</f>
        <v>-449.658514476184</v>
      </c>
      <c r="M44" s="24">
        <f>M179</f>
        <v>-165.12034624356</v>
      </c>
    </row>
    <row r="45">
      <c r="A45" s="6" t="inlineStr">
        <is>
          <t>Cash Interest, net</t>
        </is>
      </c>
      <c r="F45" s="7">
        <f>-('Debt Schedules'!F116-F106)</f>
        <v>-2665.115</v>
      </c>
      <c r="G45" s="7">
        <f>-('Debt Schedules'!G116-G106)</f>
        <v>-2428.3218188201</v>
      </c>
      <c r="H45" s="7">
        <f>-('Debt Schedules'!H116-H106)</f>
        <v>-2135.08240215338</v>
      </c>
      <c r="I45" s="7">
        <f>-('Debt Schedules'!I116-I106)</f>
        <v>-1791.49859627436</v>
      </c>
      <c r="J45" s="7">
        <f>-('Debt Schedules'!J116-J106)</f>
        <v>-1393.90769015005</v>
      </c>
      <c r="K45" s="7">
        <f>-('Debt Schedules'!K116-K106)</f>
        <v>-936.934231103745</v>
      </c>
      <c r="L45" s="7">
        <f>-('Debt Schedules'!L116-L106)</f>
        <v>-294.538989911439</v>
      </c>
      <c r="M45" s="7">
        <f>-('Debt Schedules'!M116-M106)</f>
        <v>34.7694765061955</v>
      </c>
    </row>
    <row r="46">
      <c r="A46" s="6" t="inlineStr">
        <is>
          <t>Cash Taxes</t>
        </is>
      </c>
      <c r="F46" s="24">
        <f>-F109</f>
        <v>-338.303496266666</v>
      </c>
      <c r="G46" s="24">
        <f>-G109</f>
        <v>-574.26513205184</v>
      </c>
      <c r="H46" s="24">
        <f>-H109</f>
        <v>-825.139576806052</v>
      </c>
      <c r="I46" s="24">
        <f>-I109</f>
        <v>-1076.94069358638</v>
      </c>
      <c r="J46" s="24">
        <f>-J109</f>
        <v>-1341.77496938129</v>
      </c>
      <c r="K46" s="24">
        <f>-K109</f>
        <v>-1712.44678623359</v>
      </c>
      <c r="L46" s="24">
        <f>-L109</f>
        <v>-2062.33083678329</v>
      </c>
      <c r="M46" s="24">
        <f>-M109</f>
        <v>-2340.29456851027</v>
      </c>
    </row>
    <row r="47">
      <c r="A47" s="17" t="inlineStr">
        <is>
          <t>Cash Available for Debt Service</t>
        </is>
      </c>
      <c r="F47" s="18">
        <f>SUM(F41:F46)</f>
        <v>4097.22896893881</v>
      </c>
      <c r="G47" s="18">
        <f>SUM(G41:G46)</f>
        <v>4807.79075109321</v>
      </c>
      <c r="H47" s="18">
        <f>SUM(H41:H46)</f>
        <v>5416.12305932074</v>
      </c>
      <c r="I47" s="18">
        <f>SUM(I41:I46)</f>
        <v>6170.48095943058</v>
      </c>
      <c r="J47" s="18">
        <f>SUM(J41:J46)</f>
        <v>6947.90404202527</v>
      </c>
      <c r="K47" s="18">
        <f>SUM(K41:K46)</f>
        <v>7823.10159180134</v>
      </c>
      <c r="L47" s="18">
        <f>SUM(L41:L46)</f>
        <v>8414.57377097636</v>
      </c>
      <c r="M47" s="18">
        <f>SUM(M41:M46)</f>
        <v>9199.30075838553</v>
      </c>
    </row>
    <row r="48">
      <c r="A48" s="6" t="inlineStr">
        <is>
          <t xml:space="preserve">   Cumulative</t>
        </is>
      </c>
      <c r="F48" s="24">
        <f>SUM($F47:F47)</f>
        <v>4097.22896893881</v>
      </c>
      <c r="G48" s="24">
        <f>SUM($F47:G47)</f>
        <v>8905.01972003202</v>
      </c>
      <c r="H48" s="24">
        <f>SUM($F47:H47)</f>
        <v>14321.1427793528</v>
      </c>
      <c r="I48" s="24">
        <f>SUM($F47:I47)</f>
        <v>20491.6237387833</v>
      </c>
      <c r="J48" s="24">
        <f>SUM($F47:J47)</f>
        <v>27439.5277808086</v>
      </c>
      <c r="K48" s="24">
        <f>SUM($F47:K47)</f>
        <v>35262.62937261</v>
      </c>
      <c r="L48" s="24">
        <f>SUM($F47:L47)</f>
        <v>43677.2031435863</v>
      </c>
      <c r="M48" s="24">
        <f>SUM($F47:M47)</f>
        <v>52876.5039019718</v>
      </c>
    </row>
    <row r="50">
      <c r="A50" s="35" t="inlineStr">
        <is>
          <t>DEBT BALANCES (END OF PERIOD)</t>
        </is>
      </c>
      <c r="B50" s="35" t="n"/>
      <c r="C50" s="35" t="n"/>
      <c r="D50" s="35" t="n"/>
      <c r="E50" s="39" t="inlineStr">
        <is>
          <t>Closing</t>
        </is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</row>
    <row r="51">
      <c r="A51" s="6" t="inlineStr">
        <is>
          <t>Cash</t>
        </is>
      </c>
      <c r="E51" s="24">
        <f>E116</f>
        <v>1100</v>
      </c>
      <c r="F51" s="24">
        <f>F116</f>
        <v>1918.2644844694</v>
      </c>
      <c r="G51" s="24">
        <f>G116</f>
        <v>2682.67761778131</v>
      </c>
      <c r="H51" s="24">
        <f>H116</f>
        <v>3369.05033855102</v>
      </c>
      <c r="I51" s="24">
        <f>I116</f>
        <v>4089.4156489908</v>
      </c>
      <c r="J51" s="24">
        <f>J116</f>
        <v>4838.30984550804</v>
      </c>
      <c r="K51" s="24">
        <f>K116</f>
        <v>6830.70571865469</v>
      </c>
      <c r="L51" s="24">
        <f>L116</f>
        <v>8122.63974481553</v>
      </c>
      <c r="M51" s="24">
        <f>M116</f>
        <v>15436.3958662334</v>
      </c>
    </row>
    <row r="52">
      <c r="A52" s="6" t="inlineStr">
        <is>
          <t>Revolver</t>
        </is>
      </c>
      <c r="E52" s="24">
        <f>$K$7</f>
        <v>0</v>
      </c>
      <c r="F52" s="7">
        <f>'Debt Schedules'!F12</f>
        <v>0</v>
      </c>
      <c r="G52" s="7">
        <f>'Debt Schedules'!G12</f>
        <v>0</v>
      </c>
      <c r="H52" s="7">
        <f>'Debt Schedules'!H12</f>
        <v>0</v>
      </c>
      <c r="I52" s="7">
        <f>'Debt Schedules'!I12</f>
        <v>0</v>
      </c>
      <c r="J52" s="7">
        <f>'Debt Schedules'!J12</f>
        <v>0</v>
      </c>
      <c r="K52" s="7">
        <f>'Debt Schedules'!K12</f>
        <v>0</v>
      </c>
      <c r="L52" s="7">
        <f>'Debt Schedules'!L12</f>
        <v>0</v>
      </c>
      <c r="M52" s="7">
        <f>'Debt Schedules'!M12</f>
        <v>0</v>
      </c>
    </row>
    <row r="53">
      <c r="A53" s="6" t="inlineStr">
        <is>
          <t>Term Loan A (incl. Term Loan B)</t>
        </is>
      </c>
      <c r="E53" s="24">
        <f>$K$8+$K$9</f>
        <v>23607</v>
      </c>
      <c r="F53" s="7">
        <f>'Debt Schedules'!F25+'Debt Schedules'!F35</f>
        <v>20328.0355155306</v>
      </c>
      <c r="G53" s="7">
        <f>'Debt Schedules'!G25+'Debt Schedules'!G35</f>
        <v>16284.6578977493</v>
      </c>
      <c r="H53" s="7">
        <f>'Debt Schedules'!H25+'Debt Schedules'!H35</f>
        <v>11554.9075591983</v>
      </c>
      <c r="I53" s="7">
        <f>'Debt Schedules'!I25+'Debt Schedules'!I35</f>
        <v>6104.79191020747</v>
      </c>
      <c r="J53" s="7">
        <f>'Debt Schedules'!J25+'Debt Schedules'!J35</f>
        <v>0</v>
      </c>
      <c r="K53" s="7">
        <f>'Debt Schedules'!K25+'Debt Schedules'!K35</f>
        <v>0</v>
      </c>
      <c r="L53" s="7">
        <f>'Debt Schedules'!L25+'Debt Schedules'!L35</f>
        <v>0</v>
      </c>
      <c r="M53" s="7">
        <f>'Debt Schedules'!M25+'Debt Schedules'!M35</f>
        <v>0</v>
      </c>
    </row>
    <row r="54">
      <c r="A54" s="6" t="inlineStr">
        <is>
          <t>Second Lien</t>
        </is>
      </c>
      <c r="E54" s="24">
        <f>$K$10</f>
        <v>0</v>
      </c>
      <c r="F54" s="7">
        <f>'Debt Schedules'!F45</f>
        <v>0</v>
      </c>
      <c r="G54" s="7">
        <f>'Debt Schedules'!G45</f>
        <v>0</v>
      </c>
      <c r="H54" s="7">
        <f>'Debt Schedules'!H45</f>
        <v>0</v>
      </c>
      <c r="I54" s="7">
        <f>'Debt Schedules'!I45</f>
        <v>0</v>
      </c>
      <c r="J54" s="7">
        <f>'Debt Schedules'!J45</f>
        <v>0</v>
      </c>
      <c r="K54" s="7">
        <f>'Debt Schedules'!K45</f>
        <v>0</v>
      </c>
      <c r="L54" s="7">
        <f>'Debt Schedules'!L45</f>
        <v>0</v>
      </c>
      <c r="M54" s="7">
        <f>'Debt Schedules'!M45</f>
        <v>0</v>
      </c>
    </row>
    <row r="55">
      <c r="A55" s="17" t="inlineStr">
        <is>
          <t>Total Secured Debt</t>
        </is>
      </c>
      <c r="E55" s="18">
        <f>SUM(E52:E54)</f>
        <v>23607</v>
      </c>
      <c r="F55" s="18">
        <f>SUM(F52:F54)</f>
        <v>20328.0355155306</v>
      </c>
      <c r="G55" s="18">
        <f>SUM(G52:G54)</f>
        <v>16284.6578977493</v>
      </c>
      <c r="H55" s="18">
        <f>SUM(H52:H54)</f>
        <v>11554.9075591983</v>
      </c>
      <c r="I55" s="18">
        <f>SUM(I52:I54)</f>
        <v>6104.79191020747</v>
      </c>
      <c r="J55" s="18">
        <f>SUM(J52:J54)</f>
        <v>0</v>
      </c>
      <c r="K55" s="18">
        <f>SUM(K52:K54)</f>
        <v>0</v>
      </c>
      <c r="L55" s="18">
        <f>SUM(L52:L54)</f>
        <v>0</v>
      </c>
      <c r="M55" s="18">
        <f>SUM(M52:M54)</f>
        <v>0</v>
      </c>
    </row>
    <row r="56">
      <c r="A56" s="6" t="inlineStr">
        <is>
          <t>Senior Notes</t>
        </is>
      </c>
      <c r="E56" s="24">
        <f>$K$11</f>
        <v>0</v>
      </c>
      <c r="F56" s="7">
        <f>'Debt Schedules'!F55</f>
        <v>0</v>
      </c>
      <c r="G56" s="7">
        <f>'Debt Schedules'!G55</f>
        <v>0</v>
      </c>
      <c r="H56" s="7">
        <f>'Debt Schedules'!H55</f>
        <v>0</v>
      </c>
      <c r="I56" s="7">
        <f>'Debt Schedules'!I55</f>
        <v>0</v>
      </c>
      <c r="J56" s="7">
        <f>'Debt Schedules'!J55</f>
        <v>0</v>
      </c>
      <c r="K56" s="7">
        <f>'Debt Schedules'!K55</f>
        <v>0</v>
      </c>
      <c r="L56" s="7">
        <f>'Debt Schedules'!L55</f>
        <v>0</v>
      </c>
      <c r="M56" s="7">
        <f>'Debt Schedules'!M55</f>
        <v>0</v>
      </c>
    </row>
    <row r="57">
      <c r="A57" s="17" t="inlineStr">
        <is>
          <t>Total Senior Debt</t>
        </is>
      </c>
      <c r="E57" s="18">
        <f>E55+E56</f>
        <v>23607</v>
      </c>
      <c r="F57" s="18">
        <f>F55+F56</f>
        <v>20328.0355155306</v>
      </c>
      <c r="G57" s="18">
        <f>G55+G56</f>
        <v>16284.6578977493</v>
      </c>
      <c r="H57" s="18">
        <f>H55+H56</f>
        <v>11554.9075591983</v>
      </c>
      <c r="I57" s="18">
        <f>I55+I56</f>
        <v>6104.79191020747</v>
      </c>
      <c r="J57" s="18">
        <f>J55+J56</f>
        <v>0</v>
      </c>
      <c r="K57" s="18">
        <f>K55+K56</f>
        <v>0</v>
      </c>
      <c r="L57" s="18">
        <f>L55+L56</f>
        <v>0</v>
      </c>
      <c r="M57" s="18">
        <f>M55+M56</f>
        <v>0</v>
      </c>
    </row>
    <row r="58">
      <c r="A58" s="11" t="inlineStr">
        <is>
          <t xml:space="preserve">   % Cumulative Paydown</t>
        </is>
      </c>
      <c r="E58" s="15">
        <f>IF($E57=0,0,1-E57/$E57)</f>
        <v>0</v>
      </c>
      <c r="F58" s="15">
        <f>IF($E57=0,0,1-F57/$E57)</f>
        <v>0.138897974518973</v>
      </c>
      <c r="G58" s="15">
        <f>IF($E57=0,0,1-G57/$E57)</f>
        <v>0.310176731573292</v>
      </c>
      <c r="H58" s="15">
        <f>IF($E57=0,0,1-H57/$E57)</f>
        <v>0.510530454560162</v>
      </c>
      <c r="I58" s="15">
        <f>IF($E57=0,0,1-I57/$E57)</f>
        <v>0.741399080348733</v>
      </c>
      <c r="J58" s="15">
        <f>IF($E57=0,0,1-J57/$E57)</f>
        <v>1</v>
      </c>
      <c r="K58" s="15">
        <f>IF($E57=0,0,1-K57/$E57)</f>
        <v>1</v>
      </c>
      <c r="L58" s="15">
        <f>IF($E57=0,0,1-L57/$E57)</f>
        <v>1</v>
      </c>
      <c r="M58" s="15">
        <f>IF($E57=0,0,1-M57/$E57)</f>
        <v>1</v>
      </c>
    </row>
    <row r="59">
      <c r="A59" s="6" t="inlineStr">
        <is>
          <t>Mezzanine Debt (incl. sub. notes / other)</t>
        </is>
      </c>
      <c r="E59" s="24">
        <f>$K$12+$K$14+$K$15</f>
        <v>7869</v>
      </c>
      <c r="F59" s="7">
        <f>'Debt Schedules'!F65+'Debt Schedules'!F85+'Debt Schedules'!F95</f>
        <v>8026.38</v>
      </c>
      <c r="G59" s="7">
        <f>'Debt Schedules'!G65+'Debt Schedules'!G85+'Debt Schedules'!G95</f>
        <v>8186.9076</v>
      </c>
      <c r="H59" s="7">
        <f>'Debt Schedules'!H65+'Debt Schedules'!H85+'Debt Schedules'!H95</f>
        <v>8350.645752</v>
      </c>
      <c r="I59" s="7">
        <f>'Debt Schedules'!I65+'Debt Schedules'!I85+'Debt Schedules'!I95</f>
        <v>8517.65866704</v>
      </c>
      <c r="J59" s="7">
        <f>'Debt Schedules'!J65+'Debt Schedules'!J85+'Debt Schedules'!J95</f>
        <v>8593.79390508023</v>
      </c>
      <c r="K59" s="7">
        <f>'Debt Schedules'!K65+'Debt Schedules'!K85+'Debt Schedules'!K95</f>
        <v>2934.96406452715</v>
      </c>
      <c r="L59" s="7">
        <f>'Debt Schedules'!L65+'Debt Schedules'!L85+'Debt Schedules'!L95</f>
        <v>58.6992812905429</v>
      </c>
      <c r="M59" s="7">
        <f>'Debt Schedules'!M65+'Debt Schedules'!M85+'Debt Schedules'!M95</f>
        <v>1.17398562581086</v>
      </c>
    </row>
    <row r="60">
      <c r="A60" s="11" t="inlineStr">
        <is>
          <t xml:space="preserve">   % Cumulative Paydown</t>
        </is>
      </c>
      <c r="E60" s="15">
        <f>IF($E59=0,0,1-E59/$E59)</f>
        <v>0</v>
      </c>
      <c r="F60" s="15">
        <f>IF($E59=0,0,1-F59/$E59)</f>
        <v>-0.02</v>
      </c>
      <c r="G60" s="15">
        <f>IF($E59=0,0,1-G59/$E59)</f>
        <v>-0.0404</v>
      </c>
      <c r="H60" s="15">
        <f>IF($E59=0,0,1-H59/$E59)</f>
        <v>-0.0612080000000002</v>
      </c>
      <c r="I60" s="15">
        <f>IF($E59=0,0,1-I59/$E59)</f>
        <v>-0.0824321600000002</v>
      </c>
      <c r="J60" s="15">
        <f>IF($E59=0,0,1-J59/$E59)</f>
        <v>-0.0921074984216839</v>
      </c>
      <c r="K60" s="15">
        <f>IF($E59=0,0,1-K59/$E59)</f>
        <v>0.627021976804277</v>
      </c>
      <c r="L60" s="15">
        <f>IF($E59=0,0,1-L59/$E59)</f>
        <v>0.992540439536086</v>
      </c>
      <c r="M60" s="15">
        <f>IF($E59=0,0,1-M59/$E59)</f>
        <v>0.999850808790722</v>
      </c>
    </row>
    <row r="61">
      <c r="A61" s="6" t="inlineStr">
        <is>
          <t>Seller Note (accreted)</t>
        </is>
      </c>
      <c r="E61" s="24">
        <f>$K$13</f>
        <v>4000</v>
      </c>
      <c r="F61" s="7">
        <f>'Debt Schedules'!F75</f>
        <v>4240</v>
      </c>
      <c r="G61" s="7">
        <f>'Debt Schedules'!G75</f>
        <v>4494.4</v>
      </c>
      <c r="H61" s="7">
        <f>'Debt Schedules'!H75</f>
        <v>4764.064</v>
      </c>
      <c r="I61" s="7">
        <f>'Debt Schedules'!I75</f>
        <v>5049.90784</v>
      </c>
      <c r="J61" s="7">
        <f>'Debt Schedules'!J75</f>
        <v>5352.9023104</v>
      </c>
      <c r="K61" s="7">
        <f>'Debt Schedules'!K75</f>
        <v>5674.076449024</v>
      </c>
      <c r="L61" s="7">
        <f>'Debt Schedules'!L75</f>
        <v>1826.84535567706</v>
      </c>
      <c r="M61" s="7">
        <f>'Debt Schedules'!M75</f>
        <v>109.610721340624</v>
      </c>
    </row>
    <row r="62">
      <c r="A62" s="17" t="inlineStr">
        <is>
          <t>Total Debt</t>
        </is>
      </c>
      <c r="E62" s="18">
        <f>E57+E59+E61</f>
        <v>35476</v>
      </c>
      <c r="F62" s="18">
        <f>F57+F59+F61</f>
        <v>32594.4155155306</v>
      </c>
      <c r="G62" s="18">
        <f>G57+G59+G61</f>
        <v>28965.9654977493</v>
      </c>
      <c r="H62" s="18">
        <f>H57+H59+H61</f>
        <v>24669.6173111983</v>
      </c>
      <c r="I62" s="18">
        <f>I57+I59+I61</f>
        <v>19672.3584172475</v>
      </c>
      <c r="J62" s="18">
        <f>J57+J59+J61</f>
        <v>13946.6962154802</v>
      </c>
      <c r="K62" s="18">
        <f>K57+K59+K61</f>
        <v>8609.04051355115</v>
      </c>
      <c r="L62" s="18">
        <f>L57+L59+L61</f>
        <v>1885.5446369676</v>
      </c>
      <c r="M62" s="18">
        <f>M57+M59+M61</f>
        <v>110.784706966434</v>
      </c>
    </row>
    <row r="63">
      <c r="A63" s="11" t="inlineStr">
        <is>
          <t xml:space="preserve">   % Cumulative Paydown</t>
        </is>
      </c>
      <c r="E63" s="15">
        <f>IF($E62=0,0,1-E62/$E62)</f>
        <v>0</v>
      </c>
      <c r="F63" s="15">
        <f>IF($E62=0,0,1-F62/$E62)</f>
        <v>0.081226307488708</v>
      </c>
      <c r="G63" s="15">
        <f>IF($E62=0,0,1-G62/$E62)</f>
        <v>0.183505313514791</v>
      </c>
      <c r="H63" s="15">
        <f>IF($E62=0,0,1-H62/$E62)</f>
        <v>0.304611080414977</v>
      </c>
      <c r="I63" s="15">
        <f>IF($E62=0,0,1-I62/$E62)</f>
        <v>0.445474167965738</v>
      </c>
      <c r="J63" s="15">
        <f>IF($E62=0,0,1-J62/$E62)</f>
        <v>0.606869539534327</v>
      </c>
      <c r="K63" s="15">
        <f>IF($E62=0,0,1-K62/$E62)</f>
        <v>0.757327756411344</v>
      </c>
      <c r="L63" s="15">
        <f>IF($E62=0,0,1-L62/$E62)</f>
        <v>0.946850134260695</v>
      </c>
      <c r="M63" s="15">
        <f>IF($E62=0,0,1-M62/$E62)</f>
        <v>0.996877192835539</v>
      </c>
    </row>
    <row r="65">
      <c r="A65" s="35" t="inlineStr">
        <is>
          <t>CREDIT STATISTICS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</row>
    <row r="66">
      <c r="A66" s="6" t="inlineStr">
        <is>
          <t>Total Senior Debt / EBITDA</t>
        </is>
      </c>
      <c r="F66" s="27">
        <f>F57/F85</f>
        <v>2.32414838032598</v>
      </c>
      <c r="G66" s="27">
        <f>G57/G85</f>
        <v>1.70981288864445</v>
      </c>
      <c r="H66" s="27">
        <f>H57/H85</f>
        <v>1.12172926984612</v>
      </c>
      <c r="I66" s="27">
        <f>I57/I85</f>
        <v>0.553448809690683</v>
      </c>
      <c r="J66" s="27">
        <f>J57/J85</f>
        <v>0</v>
      </c>
      <c r="K66" s="27">
        <f>K57/K85</f>
        <v>0</v>
      </c>
      <c r="L66" s="27">
        <f>L57/L85</f>
        <v>0</v>
      </c>
      <c r="M66" s="27">
        <f>M57/M85</f>
        <v>0</v>
      </c>
    </row>
    <row r="67">
      <c r="A67" s="6" t="inlineStr">
        <is>
          <t>Total Debt / EBITDA</t>
        </is>
      </c>
      <c r="F67" s="27">
        <f>F62/F85</f>
        <v>3.72659020446006</v>
      </c>
      <c r="G67" s="27">
        <f>G62/G85</f>
        <v>3.04129085492961</v>
      </c>
      <c r="H67" s="27">
        <f>H62/H85</f>
        <v>2.39488128071132</v>
      </c>
      <c r="I67" s="27">
        <f>I62/I85</f>
        <v>1.78345855353882</v>
      </c>
      <c r="J67" s="27">
        <f>J62/J85</f>
        <v>1.18648067493357</v>
      </c>
      <c r="K67" s="27">
        <f>K62/K85</f>
        <v>0.697516973348108</v>
      </c>
      <c r="L67" s="27">
        <f>L62/L85</f>
        <v>0.144743537469761</v>
      </c>
      <c r="M67" s="27">
        <f>M62/M85</f>
        <v>0.00817727942728791</v>
      </c>
    </row>
    <row r="68">
      <c r="A68" s="6" t="inlineStr">
        <is>
          <t>(EBITDA - Mgmt Fee - Capex - Taxes) / (Principal + Cash Interest) (1)</t>
        </is>
      </c>
      <c r="F68" s="40">
        <f>IF((-F194+'Debt Schedules'!F116)=0,0,(F85-F93-F35-F109)/(-F194+'Debt Schedules'!F116))</f>
        <v>1.41343121471274</v>
      </c>
      <c r="G68" s="40">
        <f>IF((-G194+'Debt Schedules'!G116)=0,0,(G85-G93-G35-G109)/(-G194+'Debt Schedules'!G116))</f>
        <v>1.57402096660833</v>
      </c>
      <c r="H68" s="40">
        <f>IF((-H194+'Debt Schedules'!H116)=0,0,(H85-H93-H35-H109)/(-H194+'Debt Schedules'!H116))</f>
        <v>1.76983442069789</v>
      </c>
      <c r="I68" s="40">
        <f>IF((-I194+'Debt Schedules'!I116)=0,0,(I85-I93-I35-I109)/(-I194+'Debt Schedules'!I116))</f>
        <v>2.00522549669574</v>
      </c>
      <c r="J68" s="40">
        <f>IF((-J194+'Debt Schedules'!J116)=0,0,(J85-J93-J35-J109)/(-J194+'Debt Schedules'!J116))</f>
        <v>2.30990445092955</v>
      </c>
      <c r="K68" s="40">
        <f>IF((-K194+'Debt Schedules'!K116)=0,0,(K85-K93-K35-K109)/(-K194+'Debt Schedules'!K116))</f>
        <v>9.03467908670689</v>
      </c>
      <c r="L68" s="40">
        <f>IF((-L194+'Debt Schedules'!L116)=0,0,(L85-L93-L35-L109)/(-L194+'Debt Schedules'!L116))</f>
        <v>25.2414800949745</v>
      </c>
      <c r="M68" s="40">
        <f>IF((-M194+'Debt Schedules'!M116)=0,0,(M85-M93-M35-M109)/(-M194+'Debt Schedules'!M116))</f>
        <v>200.823718812074</v>
      </c>
    </row>
    <row r="69">
      <c r="A69" s="6" t="inlineStr">
        <is>
          <t>EBITDA / Cash Interest</t>
        </is>
      </c>
      <c r="F69" s="40">
        <f>IF('Debt Schedules'!F116=0,0,F85/'Debt Schedules'!F116)</f>
        <v>3.26833667461974</v>
      </c>
      <c r="G69" s="40">
        <f>IF('Debt Schedules'!G116=0,0,G85/'Debt Schedules'!G116)</f>
        <v>3.8914061460214</v>
      </c>
      <c r="H69" s="40">
        <f>IF('Debt Schedules'!H116=0,0,H85/'Debt Schedules'!H116)</f>
        <v>4.76475942524517</v>
      </c>
      <c r="I69" s="40">
        <f>IF('Debt Schedules'!I116=0,0,I85/'Debt Schedules'!I116)</f>
        <v>6.04345845388694</v>
      </c>
      <c r="J69" s="40">
        <f>IF('Debt Schedules'!J116=0,0,J85/'Debt Schedules'!J116)</f>
        <v>8.19254329894722</v>
      </c>
      <c r="K69" s="40">
        <f>IF('Debt Schedules'!K116=0,0,K85/'Debt Schedules'!K116)</f>
        <v>12.52633004256</v>
      </c>
      <c r="L69" s="40">
        <f>IF('Debt Schedules'!L116=0,0,L85/'Debt Schedules'!L116)</f>
        <v>35.90171867406</v>
      </c>
      <c r="M69" s="40">
        <f>IF('Debt Schedules'!M116=0,0,M85/'Debt Schedules'!M116)</f>
        <v>291.622180256602</v>
      </c>
    </row>
    <row r="70">
      <c r="A70" s="6" t="inlineStr">
        <is>
          <t>(EBITDA - Capex) / Cash Interest</t>
        </is>
      </c>
      <c r="F70" s="40">
        <f>IF('Debt Schedules'!F116=0,0,(F85-F35)/'Debt Schedules'!F116)</f>
        <v>2.78668705941262</v>
      </c>
      <c r="G70" s="40">
        <f>IF('Debt Schedules'!G116=0,0,(G85-G35)/'Debt Schedules'!G116)</f>
        <v>3.32684981395612</v>
      </c>
      <c r="H70" s="40">
        <f>IF('Debt Schedules'!H116=0,0,(H85-H35)/'Debt Schedules'!H116)</f>
        <v>4.084079507353</v>
      </c>
      <c r="I70" s="40">
        <f>IF('Debt Schedules'!I116=0,0,(I85-I35)/'Debt Schedules'!I116)</f>
        <v>5.18882796545848</v>
      </c>
      <c r="J70" s="40">
        <f>IF('Debt Schedules'!J116=0,0,(J85-J35)/'Debt Schedules'!J116)</f>
        <v>7.04558723709461</v>
      </c>
      <c r="K70" s="40">
        <f>IF('Debt Schedules'!K116=0,0,(K85-K35)/'Debt Schedules'!K116)</f>
        <v>10.7726438366016</v>
      </c>
      <c r="L70" s="40">
        <f>IF('Debt Schedules'!L116=0,0,(L85-L35)/'Debt Schedules'!L116)</f>
        <v>30.9252428182497</v>
      </c>
      <c r="M70" s="40">
        <f>IF('Debt Schedules'!M116=0,0,(M85-M35)/'Debt Schedules'!M116)</f>
        <v>251.199303785389</v>
      </c>
    </row>
    <row r="71">
      <c r="A71" s="11" t="inlineStr">
        <is>
          <t>(1) FY2026E reflects projection from CIM; Fixed Charge Coverage per the senior credit agreement definition.</t>
        </is>
      </c>
    </row>
    <row r="73">
      <c r="A73" s="35" t="inlineStr">
        <is>
          <t>HISTORICAL AND PROJECTED INCOME STATEMENT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</row>
    <row r="74">
      <c r="A74" s="17" t="inlineStr">
        <is>
          <t>Fiscal Year Ended September 30,</t>
        </is>
      </c>
      <c r="B74" s="41" t="str">
        <f>Model!B30</f>
        <v>FY2022A</v>
      </c>
      <c r="C74" s="41" t="str">
        <f>Model!C30</f>
        <v>FY2023A</v>
      </c>
      <c r="D74" s="41" t="str">
        <f>Model!D30</f>
        <v>FY2024A</v>
      </c>
      <c r="E74" s="41" t="str">
        <f>Model!E30</f>
        <v>FY2025A</v>
      </c>
      <c r="F74" s="41" t="str">
        <f>Model!F30</f>
        <v>FY2026E</v>
      </c>
      <c r="G74" s="41" t="str">
        <f>Model!G30</f>
        <v>FY2027E</v>
      </c>
      <c r="H74" s="41" t="str">
        <f>Model!H30</f>
        <v>FY2028E</v>
      </c>
      <c r="I74" s="41" t="str">
        <f>Model!I30</f>
        <v>FY2029E</v>
      </c>
      <c r="J74" s="41" t="str">
        <f>Model!J30</f>
        <v>FY2030E</v>
      </c>
      <c r="K74" s="41" t="str">
        <f>Model!K30</f>
        <v>FY2031E</v>
      </c>
      <c r="L74" s="41" t="str">
        <f>Model!L30</f>
        <v>FY2032E</v>
      </c>
      <c r="M74" s="41" t="str">
        <f>Model!M30</f>
        <v>FY2033E</v>
      </c>
    </row>
    <row r="75">
      <c r="A75" s="17" t="inlineStr">
        <is>
          <t>Total Revenue</t>
        </is>
      </c>
      <c r="B75" s="42">
        <f>Assump_Operating!B24</f>
        <v>35245</v>
      </c>
      <c r="C75" s="42">
        <f>Assump_Operating!C24</f>
        <v>38240</v>
      </c>
      <c r="D75" s="42">
        <f>Assump_Operating!D24</f>
        <v>40516</v>
      </c>
      <c r="E75" s="42">
        <f>Assump_Operating!E24</f>
        <v>42624</v>
      </c>
      <c r="F75" s="42">
        <f>Assump_Operating!F24</f>
        <v>46033.92</v>
      </c>
      <c r="G75" s="42">
        <f>Assump_Operating!G24</f>
        <v>49348.36224</v>
      </c>
      <c r="H75" s="42">
        <f>Assump_Operating!H24</f>
        <v>52556.0057856</v>
      </c>
      <c r="I75" s="42">
        <f>Assump_Operating!I24</f>
        <v>55709.366132736</v>
      </c>
      <c r="J75" s="42">
        <f>Assump_Operating!J24</f>
        <v>58773.3812700365</v>
      </c>
      <c r="K75" s="42">
        <f>Assump_Operating!K24</f>
        <v>61712.0503335383</v>
      </c>
      <c r="L75" s="42">
        <f>Assump_Operating!L24</f>
        <v>64489.0925985475</v>
      </c>
      <c r="M75" s="42">
        <f>Assump_Operating!M24</f>
        <v>67068.6563024894</v>
      </c>
    </row>
    <row r="76">
      <c r="A76" s="11" t="inlineStr">
        <is>
          <t xml:space="preserve">   % Growth</t>
        </is>
      </c>
      <c r="C76" s="15">
        <f>C75/B75-1</f>
        <v>0.0849765924244574</v>
      </c>
      <c r="D76" s="15">
        <f>D75/C75-1</f>
        <v>0.0595188284518828</v>
      </c>
      <c r="E76" s="15">
        <f>E75/D75-1</f>
        <v>0.0520288281172869</v>
      </c>
      <c r="F76" s="15">
        <f>F75/E75-1</f>
        <v>0.0800000000000001</v>
      </c>
      <c r="G76" s="15">
        <f>G75/F75-1</f>
        <v>0.0720000000000001</v>
      </c>
      <c r="H76" s="15">
        <f>H75/G75-1</f>
        <v>0.065</v>
      </c>
      <c r="I76" s="15">
        <f>I75/H75-1</f>
        <v>0.0600000000000001</v>
      </c>
      <c r="J76" s="15">
        <f>J75/I75-1</f>
        <v>0.0549999999999999</v>
      </c>
      <c r="K76" s="15">
        <f>K75/J75-1</f>
        <v>0.05</v>
      </c>
      <c r="L76" s="15">
        <f>L75/K75-1</f>
        <v>0.0449999999999999</v>
      </c>
      <c r="M76" s="15">
        <f>M75/L75-1</f>
        <v>0.04</v>
      </c>
    </row>
    <row r="77">
      <c r="A77" s="6" t="inlineStr">
        <is>
          <t>Total COGS (excl. Depreciation)</t>
        </is>
      </c>
      <c r="B77" s="7">
        <f>Assump_Operating!B43</f>
        <v>23240</v>
      </c>
      <c r="C77" s="7">
        <f>Assump_Operating!C43</f>
        <v>25026</v>
      </c>
      <c r="D77" s="7">
        <f>Assump_Operating!D43</f>
        <v>26224</v>
      </c>
      <c r="E77" s="7">
        <f>Assump_Operating!E43</f>
        <v>28098</v>
      </c>
      <c r="F77" s="7">
        <f>Assump_Operating!F43</f>
        <v>29922.048</v>
      </c>
      <c r="G77" s="7">
        <f>Assump_Operating!G43</f>
        <v>31977.73873152</v>
      </c>
      <c r="H77" s="7">
        <f>Assump_Operating!H43</f>
        <v>33951.1797374976</v>
      </c>
      <c r="I77" s="7">
        <f>Assump_Operating!I43</f>
        <v>35932.5411556147</v>
      </c>
      <c r="J77" s="7">
        <f>Assump_Operating!J43</f>
        <v>37850.0575379035</v>
      </c>
      <c r="K77" s="7">
        <f>Assump_Operating!K43</f>
        <v>39742.5604147987</v>
      </c>
      <c r="L77" s="7">
        <f>Assump_Operating!L43</f>
        <v>41466.4865408661</v>
      </c>
      <c r="M77" s="7">
        <f>Assump_Operating!M43</f>
        <v>43125.1460025007</v>
      </c>
    </row>
    <row r="78">
      <c r="A78" s="11" t="inlineStr">
        <is>
          <t xml:space="preserve">   % of Revenue</t>
        </is>
      </c>
      <c r="B78" s="15">
        <f>B77/B75</f>
        <v>0.659384309831182</v>
      </c>
      <c r="C78" s="15">
        <f>C77/C75</f>
        <v>0.654445606694561</v>
      </c>
      <c r="D78" s="15">
        <f>D77/D75</f>
        <v>0.647250468950538</v>
      </c>
      <c r="E78" s="15">
        <f>E77/E75</f>
        <v>0.659206081081081</v>
      </c>
      <c r="F78" s="15">
        <f>F77/F75</f>
        <v>0.65</v>
      </c>
      <c r="G78" s="15">
        <f>G77/G75</f>
        <v>0.648</v>
      </c>
      <c r="H78" s="15">
        <f>H77/H75</f>
        <v>0.646</v>
      </c>
      <c r="I78" s="15">
        <f>I77/I75</f>
        <v>0.645</v>
      </c>
      <c r="J78" s="15">
        <f>J77/J75</f>
        <v>0.644</v>
      </c>
      <c r="K78" s="15">
        <f>K77/K75</f>
        <v>0.644</v>
      </c>
      <c r="L78" s="15">
        <f>L77/L75</f>
        <v>0.643</v>
      </c>
      <c r="M78" s="15">
        <f>M77/M75</f>
        <v>0.643</v>
      </c>
    </row>
    <row r="79">
      <c r="B79" s="32" t="inlineStr">
        <is>
          <t>______</t>
        </is>
      </c>
      <c r="C79" s="32" t="inlineStr">
        <is>
          <t>______</t>
        </is>
      </c>
      <c r="D79" s="32" t="inlineStr">
        <is>
          <t>______</t>
        </is>
      </c>
      <c r="E79" s="32" t="inlineStr">
        <is>
          <t>______</t>
        </is>
      </c>
      <c r="F79" s="32" t="inlineStr">
        <is>
          <t>______</t>
        </is>
      </c>
      <c r="G79" s="32" t="inlineStr">
        <is>
          <t>______</t>
        </is>
      </c>
      <c r="H79" s="32" t="inlineStr">
        <is>
          <t>______</t>
        </is>
      </c>
      <c r="I79" s="32" t="inlineStr">
        <is>
          <t>______</t>
        </is>
      </c>
      <c r="J79" s="32" t="inlineStr">
        <is>
          <t>______</t>
        </is>
      </c>
      <c r="K79" s="32" t="inlineStr">
        <is>
          <t>______</t>
        </is>
      </c>
      <c r="L79" s="32" t="inlineStr">
        <is>
          <t>______</t>
        </is>
      </c>
      <c r="M79" s="32" t="inlineStr">
        <is>
          <t>______</t>
        </is>
      </c>
    </row>
    <row r="80">
      <c r="A80" s="17" t="inlineStr">
        <is>
          <t>Gross Profit</t>
        </is>
      </c>
      <c r="B80" s="33">
        <f>B75-B77</f>
        <v>12005</v>
      </c>
      <c r="C80" s="33">
        <f>C75-C77</f>
        <v>13214</v>
      </c>
      <c r="D80" s="33">
        <f>D75-D77</f>
        <v>14292</v>
      </c>
      <c r="E80" s="33">
        <f>E75-E77</f>
        <v>14526</v>
      </c>
      <c r="F80" s="33">
        <f>F75-F77</f>
        <v>16111.872</v>
      </c>
      <c r="G80" s="33">
        <f>G75-G77</f>
        <v>17370.62350848</v>
      </c>
      <c r="H80" s="33">
        <f>H75-H77</f>
        <v>18604.8260481024</v>
      </c>
      <c r="I80" s="33">
        <f>I75-I77</f>
        <v>19776.8249771213</v>
      </c>
      <c r="J80" s="33">
        <f>J75-J77</f>
        <v>20923.323732133</v>
      </c>
      <c r="K80" s="33">
        <f>K75-K77</f>
        <v>21969.4899187396</v>
      </c>
      <c r="L80" s="33">
        <f>L75-L77</f>
        <v>23022.6060576815</v>
      </c>
      <c r="M80" s="33">
        <f>M75-M77</f>
        <v>23943.5102999887</v>
      </c>
    </row>
    <row r="81">
      <c r="A81" s="11" t="inlineStr">
        <is>
          <t xml:space="preserve">   % Margin</t>
        </is>
      </c>
      <c r="B81" s="15">
        <f>B80/B75</f>
        <v>0.340615690168818</v>
      </c>
      <c r="C81" s="15">
        <f>C80/C75</f>
        <v>0.345554393305439</v>
      </c>
      <c r="D81" s="15">
        <f>D80/D75</f>
        <v>0.352749531049462</v>
      </c>
      <c r="E81" s="15">
        <f>E80/E75</f>
        <v>0.340793918918919</v>
      </c>
      <c r="F81" s="15">
        <f>F80/F75</f>
        <v>0.35</v>
      </c>
      <c r="G81" s="15">
        <f>G80/G75</f>
        <v>0.352</v>
      </c>
      <c r="H81" s="15">
        <f>H80/H75</f>
        <v>0.354</v>
      </c>
      <c r="I81" s="15">
        <f>I80/I75</f>
        <v>0.355</v>
      </c>
      <c r="J81" s="15">
        <f>J80/J75</f>
        <v>0.356</v>
      </c>
      <c r="K81" s="15">
        <f>K80/K75</f>
        <v>0.356</v>
      </c>
      <c r="L81" s="15">
        <f>L80/L75</f>
        <v>0.357</v>
      </c>
      <c r="M81" s="15">
        <f>M80/M75</f>
        <v>0.357</v>
      </c>
    </row>
    <row r="82">
      <c r="A82" s="6" t="inlineStr">
        <is>
          <t>SG&amp;A (excl. Amortization)</t>
        </is>
      </c>
      <c r="B82" s="7">
        <f>Assump_Operating!B62</f>
        <v>5718</v>
      </c>
      <c r="C82" s="7">
        <f>Assump_Operating!C62</f>
        <v>6253</v>
      </c>
      <c r="D82" s="7">
        <f>Assump_Operating!D62</f>
        <v>6369</v>
      </c>
      <c r="E82" s="7">
        <f>Assump_Operating!E62</f>
        <v>6657</v>
      </c>
      <c r="F82" s="7">
        <f>Assump_Operating!F62</f>
        <v>7365.4272</v>
      </c>
      <c r="G82" s="7">
        <f>Assump_Operating!G62</f>
        <v>7846.38959616</v>
      </c>
      <c r="H82" s="7">
        <f>Assump_Operating!H62</f>
        <v>8303.8489141248</v>
      </c>
      <c r="I82" s="7">
        <f>Assump_Operating!I62</f>
        <v>8746.37048283955</v>
      </c>
      <c r="J82" s="7">
        <f>Assump_Operating!J62</f>
        <v>9168.64747812569</v>
      </c>
      <c r="K82" s="7">
        <f>Assump_Operating!K62</f>
        <v>9627.07985203198</v>
      </c>
      <c r="L82" s="7">
        <f>Assump_Operating!L62</f>
        <v>9995.80935277487</v>
      </c>
      <c r="M82" s="7">
        <f>Assump_Operating!M62</f>
        <v>10395.6417268859</v>
      </c>
    </row>
    <row r="83">
      <c r="A83" s="11" t="inlineStr">
        <is>
          <t xml:space="preserve">   % of Revenue</t>
        </is>
      </c>
      <c r="B83" s="15">
        <f>B82/B75</f>
        <v>0.162235778124557</v>
      </c>
      <c r="C83" s="15">
        <f>C82/C75</f>
        <v>0.163519874476987</v>
      </c>
      <c r="D83" s="15">
        <f>D82/D75</f>
        <v>0.157197156678843</v>
      </c>
      <c r="E83" s="15">
        <f>E82/E75</f>
        <v>0.156179617117117</v>
      </c>
      <c r="F83" s="15">
        <f>F82/F75</f>
        <v>0.16</v>
      </c>
      <c r="G83" s="15">
        <f>G82/G75</f>
        <v>0.159</v>
      </c>
      <c r="H83" s="15">
        <f>H82/H75</f>
        <v>0.158</v>
      </c>
      <c r="I83" s="15">
        <f>I82/I75</f>
        <v>0.157</v>
      </c>
      <c r="J83" s="15">
        <f>J82/J75</f>
        <v>0.156</v>
      </c>
      <c r="K83" s="15">
        <f>K82/K75</f>
        <v>0.156</v>
      </c>
      <c r="L83" s="15">
        <f>L82/L75</f>
        <v>0.155</v>
      </c>
      <c r="M83" s="15">
        <f>M82/M75</f>
        <v>0.155</v>
      </c>
    </row>
    <row r="84">
      <c r="B84" s="32" t="inlineStr">
        <is>
          <t>______</t>
        </is>
      </c>
      <c r="C84" s="32" t="inlineStr">
        <is>
          <t>______</t>
        </is>
      </c>
      <c r="D84" s="32" t="inlineStr">
        <is>
          <t>______</t>
        </is>
      </c>
      <c r="E84" s="32" t="inlineStr">
        <is>
          <t>______</t>
        </is>
      </c>
      <c r="F84" s="32" t="inlineStr">
        <is>
          <t>______</t>
        </is>
      </c>
      <c r="G84" s="32" t="inlineStr">
        <is>
          <t>______</t>
        </is>
      </c>
      <c r="H84" s="32" t="inlineStr">
        <is>
          <t>______</t>
        </is>
      </c>
      <c r="I84" s="32" t="inlineStr">
        <is>
          <t>______</t>
        </is>
      </c>
      <c r="J84" s="32" t="inlineStr">
        <is>
          <t>______</t>
        </is>
      </c>
      <c r="K84" s="32" t="inlineStr">
        <is>
          <t>______</t>
        </is>
      </c>
      <c r="L84" s="32" t="inlineStr">
        <is>
          <t>______</t>
        </is>
      </c>
      <c r="M84" s="32" t="inlineStr">
        <is>
          <t>______</t>
        </is>
      </c>
    </row>
    <row r="85">
      <c r="A85" s="17" t="inlineStr">
        <is>
          <t>EBITDA</t>
        </is>
      </c>
      <c r="B85" s="18">
        <f>B80-B82</f>
        <v>6287</v>
      </c>
      <c r="C85" s="18">
        <f>C80-C82</f>
        <v>6961</v>
      </c>
      <c r="D85" s="18">
        <f>D80-D82</f>
        <v>7923</v>
      </c>
      <c r="E85" s="18">
        <f>E80-E82</f>
        <v>7869</v>
      </c>
      <c r="F85" s="18">
        <f>F80-F82</f>
        <v>8746.4448</v>
      </c>
      <c r="G85" s="18">
        <f>G80-G82</f>
        <v>9524.23391232</v>
      </c>
      <c r="H85" s="18">
        <f>H80-H82</f>
        <v>10300.9771339776</v>
      </c>
      <c r="I85" s="18">
        <f>I80-I82</f>
        <v>11030.4544942817</v>
      </c>
      <c r="J85" s="18">
        <f>J80-J82</f>
        <v>11754.6762540073</v>
      </c>
      <c r="K85" s="18">
        <f>K80-K82</f>
        <v>12342.4100667077</v>
      </c>
      <c r="L85" s="18">
        <f>L80-L82</f>
        <v>13026.7967049066</v>
      </c>
      <c r="M85" s="18">
        <f>M80-M82</f>
        <v>13547.8685731029</v>
      </c>
    </row>
    <row r="86">
      <c r="A86" s="11" t="inlineStr">
        <is>
          <t xml:space="preserve">   % Margin</t>
        </is>
      </c>
      <c r="B86" s="15">
        <f>B85/B75</f>
        <v>0.178379912044262</v>
      </c>
      <c r="C86" s="15">
        <f>C85/C75</f>
        <v>0.182034518828452</v>
      </c>
      <c r="D86" s="15">
        <f>D85/D75</f>
        <v>0.195552374370619</v>
      </c>
      <c r="E86" s="15">
        <f>E85/E75</f>
        <v>0.184614301801802</v>
      </c>
      <c r="F86" s="15">
        <f>F85/F75</f>
        <v>0.19</v>
      </c>
      <c r="G86" s="15">
        <f>G85/G75</f>
        <v>0.193</v>
      </c>
      <c r="H86" s="15">
        <f>H85/H75</f>
        <v>0.196</v>
      </c>
      <c r="I86" s="15">
        <f>I85/I75</f>
        <v>0.198</v>
      </c>
      <c r="J86" s="15">
        <f>J85/J75</f>
        <v>0.2</v>
      </c>
      <c r="K86" s="15">
        <f>K85/K75</f>
        <v>0.2</v>
      </c>
      <c r="L86" s="15">
        <f>L85/L75</f>
        <v>0.202</v>
      </c>
      <c r="M86" s="15">
        <f>M85/M75</f>
        <v>0.202</v>
      </c>
    </row>
    <row r="87">
      <c r="A87" s="11" t="inlineStr">
        <is>
          <t xml:space="preserve">   % Growth</t>
        </is>
      </c>
      <c r="C87" s="15">
        <f>C85/B85-1</f>
        <v>0.107205344361381</v>
      </c>
      <c r="D87" s="15">
        <f>D85/C85-1</f>
        <v>0.138198534693291</v>
      </c>
      <c r="E87" s="15">
        <f>E85/D85-1</f>
        <v>-0.00681560015145777</v>
      </c>
      <c r="F87" s="15">
        <f>F85/E85-1</f>
        <v>0.111506519252764</v>
      </c>
      <c r="G87" s="15">
        <f>G85/F85-1</f>
        <v>0.088926315789474</v>
      </c>
      <c r="H87" s="15">
        <f>H85/G85-1</f>
        <v>0.0815544041450782</v>
      </c>
      <c r="I87" s="15">
        <f>I85/H85-1</f>
        <v>0.0708163265306117</v>
      </c>
      <c r="J87" s="15">
        <f>J85/I85-1</f>
        <v>0.0656565656565658</v>
      </c>
      <c r="K87" s="15">
        <f>K85/J85-1</f>
        <v>0.05</v>
      </c>
      <c r="L87" s="15">
        <f>L85/K85-1</f>
        <v>0.0554500000000002</v>
      </c>
      <c r="M87" s="15">
        <f>M85/L85-1</f>
        <v>0.04</v>
      </c>
    </row>
    <row r="88">
      <c r="A88" s="6" t="inlineStr">
        <is>
          <t>Depreciation &amp; Amortization</t>
        </is>
      </c>
      <c r="B88" s="7">
        <f>Assump_Operating!B100</f>
        <v>976</v>
      </c>
      <c r="C88" s="7">
        <f>Assump_Operating!C100</f>
        <v>1015</v>
      </c>
      <c r="D88" s="7">
        <f>Assump_Operating!D100</f>
        <v>1104</v>
      </c>
      <c r="E88" s="7">
        <f>Assump_Operating!E100</f>
        <v>1153</v>
      </c>
      <c r="F88" s="7">
        <f>Assump_Operating!F100</f>
        <v>1242.91584</v>
      </c>
      <c r="G88" s="7">
        <f>Assump_Operating!G100</f>
        <v>1332.40578048</v>
      </c>
      <c r="H88" s="7">
        <f>Assump_Operating!H100</f>
        <v>1419.0121562112</v>
      </c>
      <c r="I88" s="7">
        <f>Assump_Operating!I100</f>
        <v>1504.15288558387</v>
      </c>
      <c r="J88" s="7">
        <f>Assump_Operating!J100</f>
        <v>1586.88129429099</v>
      </c>
      <c r="K88" s="7">
        <f>Assump_Operating!K100</f>
        <v>1666.22535900553</v>
      </c>
      <c r="L88" s="7">
        <f>Assump_Operating!L100</f>
        <v>1741.20550016078</v>
      </c>
      <c r="M88" s="7">
        <f>Assump_Operating!M100</f>
        <v>1810.85372016722</v>
      </c>
    </row>
    <row r="89">
      <c r="A89" s="11" t="inlineStr">
        <is>
          <t xml:space="preserve">   % of Revenue</t>
        </is>
      </c>
      <c r="B89" s="15">
        <f>B88/B75</f>
        <v>0.0276918711874025</v>
      </c>
      <c r="C89" s="15">
        <f>C88/C75</f>
        <v>0.0265428870292887</v>
      </c>
      <c r="D89" s="15">
        <f>D88/D75</f>
        <v>0.0272484944219568</v>
      </c>
      <c r="E89" s="15">
        <f>E88/E75</f>
        <v>0.027050487987988</v>
      </c>
      <c r="F89" s="15">
        <f>F88/F75</f>
        <v>0.027</v>
      </c>
      <c r="G89" s="15">
        <f>G88/G75</f>
        <v>0.027</v>
      </c>
      <c r="H89" s="15">
        <f>H88/H75</f>
        <v>0.027</v>
      </c>
      <c r="I89" s="15">
        <f>I88/I75</f>
        <v>0.027</v>
      </c>
      <c r="J89" s="15">
        <f>J88/J75</f>
        <v>0.027</v>
      </c>
      <c r="K89" s="15">
        <f>K88/K75</f>
        <v>0.027</v>
      </c>
      <c r="L89" s="15">
        <f>L88/L75</f>
        <v>0.027</v>
      </c>
      <c r="M89" s="15">
        <f>M88/M75</f>
        <v>0.027</v>
      </c>
    </row>
    <row r="90">
      <c r="A90" s="6" t="inlineStr">
        <is>
          <t>Amort. of Transaction Fees</t>
        </is>
      </c>
      <c r="F90" s="7">
        <f>IF(F$29-Assump_CapStructure!$F$10&lt;Assump_CapStructure!$F$27,$D$14/Assump_CapStructure!$F$27,0)</f>
        <v>480</v>
      </c>
      <c r="G90" s="7">
        <f>IF(G$29-Assump_CapStructure!$F$10&lt;Assump_CapStructure!$F$27,$D$14/Assump_CapStructure!$F$27,0)</f>
        <v>480</v>
      </c>
      <c r="H90" s="7">
        <f>IF(H$29-Assump_CapStructure!$F$10&lt;Assump_CapStructure!$F$27,$D$14/Assump_CapStructure!$F$27,0)</f>
        <v>480</v>
      </c>
      <c r="I90" s="7">
        <f>IF(I$29-Assump_CapStructure!$F$10&lt;Assump_CapStructure!$F$27,$D$14/Assump_CapStructure!$F$27,0)</f>
        <v>480</v>
      </c>
      <c r="J90" s="7">
        <f>IF(J$29-Assump_CapStructure!$F$10&lt;Assump_CapStructure!$F$27,$D$14/Assump_CapStructure!$F$27,0)</f>
        <v>480</v>
      </c>
      <c r="K90" s="7">
        <f>IF(K$29-Assump_CapStructure!$F$10&lt;Assump_CapStructure!$F$27,$D$14/Assump_CapStructure!$F$27,0)</f>
        <v>0</v>
      </c>
      <c r="L90" s="7">
        <f>IF(L$29-Assump_CapStructure!$F$10&lt;Assump_CapStructure!$F$27,$D$14/Assump_CapStructure!$F$27,0)</f>
        <v>0</v>
      </c>
      <c r="M90" s="7">
        <f>IF(M$29-Assump_CapStructure!$F$10&lt;Assump_CapStructure!$F$27,$D$14/Assump_CapStructure!$F$27,0)</f>
        <v>0</v>
      </c>
    </row>
    <row r="91">
      <c r="A91" s="17" t="inlineStr">
        <is>
          <t>Adj. EBIT</t>
        </is>
      </c>
      <c r="B91" s="18">
        <f>B85-B88-B90</f>
        <v>5311</v>
      </c>
      <c r="C91" s="18">
        <f>C85-C88-C90</f>
        <v>5946</v>
      </c>
      <c r="D91" s="18">
        <f>D85-D88-D90</f>
        <v>6819</v>
      </c>
      <c r="E91" s="18">
        <f>E85-E88-E90</f>
        <v>6716</v>
      </c>
      <c r="F91" s="18">
        <f>F85-F88-F90</f>
        <v>7023.52896</v>
      </c>
      <c r="G91" s="18">
        <f>G85-G88-G90</f>
        <v>7711.82813184</v>
      </c>
      <c r="H91" s="18">
        <f>H85-H88-H90</f>
        <v>8401.9649777664</v>
      </c>
      <c r="I91" s="18">
        <f>I85-I88-I90</f>
        <v>9046.30160869786</v>
      </c>
      <c r="J91" s="18">
        <f>J85-J88-J90</f>
        <v>9687.79495971631</v>
      </c>
      <c r="K91" s="18">
        <f>K85-K88-K90</f>
        <v>10676.1847077021</v>
      </c>
      <c r="L91" s="18">
        <f>L85-L88-L90</f>
        <v>11285.5912047458</v>
      </c>
      <c r="M91" s="18">
        <f>M85-M88-M90</f>
        <v>11737.0148529357</v>
      </c>
    </row>
    <row r="92">
      <c r="A92" s="11" t="inlineStr">
        <is>
          <t xml:space="preserve">   % Margin</t>
        </is>
      </c>
      <c r="B92" s="15">
        <f>B91/B75</f>
        <v>0.150688040856859</v>
      </c>
      <c r="C92" s="15">
        <f>C91/C75</f>
        <v>0.155491631799163</v>
      </c>
      <c r="D92" s="15">
        <f>D91/D75</f>
        <v>0.168303879948662</v>
      </c>
      <c r="E92" s="15">
        <f>E91/E75</f>
        <v>0.157563813813814</v>
      </c>
      <c r="F92" s="15">
        <f>F91/F75</f>
        <v>0.152572906239573</v>
      </c>
      <c r="G92" s="15">
        <f>G91/G75</f>
        <v>0.156273233432437</v>
      </c>
      <c r="H92" s="15">
        <f>H91/H75</f>
        <v>0.159866885852054</v>
      </c>
      <c r="I92" s="15">
        <f>I91/I75</f>
        <v>0.162383854577409</v>
      </c>
      <c r="J92" s="15">
        <f>J91/J75</f>
        <v>0.164833037514132</v>
      </c>
      <c r="K92" s="15">
        <f>K91/K75</f>
        <v>0.173</v>
      </c>
      <c r="L92" s="15">
        <f>L91/L75</f>
        <v>0.175</v>
      </c>
      <c r="M92" s="15">
        <f>M91/M75</f>
        <v>0.175</v>
      </c>
    </row>
    <row r="93">
      <c r="A93" s="6" t="inlineStr">
        <is>
          <t>Other Expenses (Management Fee)</t>
        </is>
      </c>
      <c r="F93" s="7">
        <f>Assump_CapStructure!$F$20*Assump_CapStructure!$F$21</f>
        <v>0</v>
      </c>
      <c r="G93" s="7">
        <f>Assump_CapStructure!$F$20*Assump_CapStructure!$F$21</f>
        <v>0</v>
      </c>
      <c r="H93" s="7">
        <f>Assump_CapStructure!$F$20*Assump_CapStructure!$F$21</f>
        <v>0</v>
      </c>
      <c r="I93" s="7">
        <f>Assump_CapStructure!$F$20*Assump_CapStructure!$F$21</f>
        <v>0</v>
      </c>
      <c r="J93" s="7">
        <f>Assump_CapStructure!$F$20*Assump_CapStructure!$F$21</f>
        <v>0</v>
      </c>
      <c r="K93" s="7">
        <f>Assump_CapStructure!$F$20*Assump_CapStructure!$F$21</f>
        <v>0</v>
      </c>
      <c r="L93" s="7">
        <f>Assump_CapStructure!$F$20*Assump_CapStructure!$F$21</f>
        <v>0</v>
      </c>
      <c r="M93" s="7">
        <f>Assump_CapStructure!$F$20*Assump_CapStructure!$F$21</f>
        <v>0</v>
      </c>
    </row>
    <row r="94">
      <c r="A94" s="17" t="inlineStr">
        <is>
          <t>Interest Expense:</t>
        </is>
      </c>
    </row>
    <row r="95">
      <c r="A95" s="6" t="inlineStr">
        <is>
          <t xml:space="preserve">   Revolver</t>
        </is>
      </c>
      <c r="F95" s="7">
        <f>'Debt Schedules'!F13</f>
        <v>0</v>
      </c>
      <c r="G95" s="7">
        <f>'Debt Schedules'!G13</f>
        <v>0</v>
      </c>
      <c r="H95" s="7">
        <f>'Debt Schedules'!H13</f>
        <v>0</v>
      </c>
      <c r="I95" s="7">
        <f>'Debt Schedules'!I13</f>
        <v>0</v>
      </c>
      <c r="J95" s="7">
        <f>'Debt Schedules'!J13</f>
        <v>0</v>
      </c>
      <c r="K95" s="7">
        <f>'Debt Schedules'!K13</f>
        <v>0</v>
      </c>
      <c r="L95" s="7">
        <f>'Debt Schedules'!L13</f>
        <v>0</v>
      </c>
      <c r="M95" s="7">
        <f>'Debt Schedules'!M13</f>
        <v>0</v>
      </c>
    </row>
    <row r="96">
      <c r="A96" s="6" t="inlineStr">
        <is>
          <t xml:space="preserve">   Revolver Commitment Fee</t>
        </is>
      </c>
      <c r="F96" s="7">
        <f>'Debt Schedules'!F18</f>
        <v>40</v>
      </c>
      <c r="G96" s="7">
        <f>'Debt Schedules'!G18</f>
        <v>40</v>
      </c>
      <c r="H96" s="7">
        <f>'Debt Schedules'!H18</f>
        <v>40</v>
      </c>
      <c r="I96" s="7">
        <f>'Debt Schedules'!I18</f>
        <v>40</v>
      </c>
      <c r="J96" s="7">
        <f>'Debt Schedules'!J18</f>
        <v>40</v>
      </c>
      <c r="K96" s="7">
        <f>'Debt Schedules'!K18</f>
        <v>40</v>
      </c>
      <c r="L96" s="7">
        <f>'Debt Schedules'!L18</f>
        <v>40</v>
      </c>
      <c r="M96" s="7">
        <f>'Debt Schedules'!M18</f>
        <v>40</v>
      </c>
    </row>
    <row r="97">
      <c r="A97" s="6" t="inlineStr">
        <is>
          <t xml:space="preserve">   Term Loan A</t>
        </is>
      </c>
      <c r="F97" s="7">
        <f>'Debt Schedules'!F26</f>
        <v>1770.525</v>
      </c>
      <c r="G97" s="7">
        <f>'Debt Schedules'!G26</f>
        <v>1524.60266366479</v>
      </c>
      <c r="H97" s="7">
        <f>'Debt Schedules'!H26</f>
        <v>1221.3493423312</v>
      </c>
      <c r="I97" s="7">
        <f>'Debt Schedules'!I26</f>
        <v>866.61806693987</v>
      </c>
      <c r="J97" s="7">
        <f>'Debt Schedules'!J26</f>
        <v>457.85939326556</v>
      </c>
      <c r="K97" s="7">
        <f>'Debt Schedules'!K26</f>
        <v>0</v>
      </c>
      <c r="L97" s="7">
        <f>'Debt Schedules'!L26</f>
        <v>0</v>
      </c>
      <c r="M97" s="7">
        <f>'Debt Schedules'!M26</f>
        <v>0</v>
      </c>
    </row>
    <row r="98">
      <c r="A98" s="6" t="inlineStr">
        <is>
          <t xml:space="preserve">   Term Loan B</t>
        </is>
      </c>
      <c r="F98" s="7">
        <f>'Debt Schedules'!F36</f>
        <v>0</v>
      </c>
      <c r="G98" s="7">
        <f>'Debt Schedules'!G36</f>
        <v>0</v>
      </c>
      <c r="H98" s="7">
        <f>'Debt Schedules'!H36</f>
        <v>0</v>
      </c>
      <c r="I98" s="7">
        <f>'Debt Schedules'!I36</f>
        <v>0</v>
      </c>
      <c r="J98" s="7">
        <f>'Debt Schedules'!J36</f>
        <v>0</v>
      </c>
      <c r="K98" s="7">
        <f>'Debt Schedules'!K36</f>
        <v>0</v>
      </c>
      <c r="L98" s="7">
        <f>'Debt Schedules'!L36</f>
        <v>0</v>
      </c>
      <c r="M98" s="7">
        <f>'Debt Schedules'!M36</f>
        <v>0</v>
      </c>
    </row>
    <row r="99">
      <c r="A99" s="6" t="inlineStr">
        <is>
          <t xml:space="preserve">   Second Lien</t>
        </is>
      </c>
      <c r="F99" s="7">
        <f>'Debt Schedules'!F46</f>
        <v>0</v>
      </c>
      <c r="G99" s="7">
        <f>'Debt Schedules'!G46</f>
        <v>0</v>
      </c>
      <c r="H99" s="7">
        <f>'Debt Schedules'!H46</f>
        <v>0</v>
      </c>
      <c r="I99" s="7">
        <f>'Debt Schedules'!I46</f>
        <v>0</v>
      </c>
      <c r="J99" s="7">
        <f>'Debt Schedules'!J46</f>
        <v>0</v>
      </c>
      <c r="K99" s="7">
        <f>'Debt Schedules'!K46</f>
        <v>0</v>
      </c>
      <c r="L99" s="7">
        <f>'Debt Schedules'!L46</f>
        <v>0</v>
      </c>
      <c r="M99" s="7">
        <f>'Debt Schedules'!M46</f>
        <v>0</v>
      </c>
    </row>
    <row r="100">
      <c r="A100" s="6" t="inlineStr">
        <is>
          <t xml:space="preserve">   Senior Notes / Sub. Notes / Other</t>
        </is>
      </c>
      <c r="F100" s="7">
        <f>'Debt Schedules'!F58+'Debt Schedules'!F88+'Debt Schedules'!F98</f>
        <v>0</v>
      </c>
      <c r="G100" s="7">
        <f>'Debt Schedules'!G58+'Debt Schedules'!G88+'Debt Schedules'!G98</f>
        <v>0</v>
      </c>
      <c r="H100" s="7">
        <f>'Debt Schedules'!H58+'Debt Schedules'!H88+'Debt Schedules'!H98</f>
        <v>0</v>
      </c>
      <c r="I100" s="7">
        <f>'Debt Schedules'!I58+'Debt Schedules'!I88+'Debt Schedules'!I98</f>
        <v>0</v>
      </c>
      <c r="J100" s="7">
        <f>'Debt Schedules'!J58+'Debt Schedules'!J88+'Debt Schedules'!J98</f>
        <v>0</v>
      </c>
      <c r="K100" s="7">
        <f>'Debt Schedules'!K58+'Debt Schedules'!K88+'Debt Schedules'!K98</f>
        <v>0</v>
      </c>
      <c r="L100" s="7">
        <f>'Debt Schedules'!L58+'Debt Schedules'!L88+'Debt Schedules'!L98</f>
        <v>0</v>
      </c>
      <c r="M100" s="7">
        <f>'Debt Schedules'!M58+'Debt Schedules'!M88+'Debt Schedules'!M98</f>
        <v>0</v>
      </c>
    </row>
    <row r="101">
      <c r="A101" s="6" t="inlineStr">
        <is>
          <t xml:space="preserve">   Mezzanine (cash)</t>
        </is>
      </c>
      <c r="F101" s="7">
        <f>'Debt Schedules'!F66</f>
        <v>865.59</v>
      </c>
      <c r="G101" s="7">
        <f>'Debt Schedules'!G66</f>
        <v>882.9018</v>
      </c>
      <c r="H101" s="7">
        <f>'Debt Schedules'!H66</f>
        <v>900.559836</v>
      </c>
      <c r="I101" s="7">
        <f>'Debt Schedules'!I66</f>
        <v>918.57103272</v>
      </c>
      <c r="J101" s="7">
        <f>'Debt Schedules'!J66</f>
        <v>936.9424533744</v>
      </c>
      <c r="K101" s="7">
        <f>'Debt Schedules'!K66</f>
        <v>945.317329558825</v>
      </c>
      <c r="L101" s="7">
        <f>'Debt Schedules'!L66</f>
        <v>322.846047097986</v>
      </c>
      <c r="M101" s="7">
        <f>'Debt Schedules'!M66</f>
        <v>6.45692094195972</v>
      </c>
    </row>
    <row r="102">
      <c r="A102" s="6" t="inlineStr">
        <is>
          <t xml:space="preserve">   Mezzanine (PIK)</t>
        </is>
      </c>
      <c r="F102" s="7">
        <f>'Debt Schedules'!F67</f>
        <v>157.38</v>
      </c>
      <c r="G102" s="7">
        <f>'Debt Schedules'!G67</f>
        <v>160.5276</v>
      </c>
      <c r="H102" s="7">
        <f>'Debt Schedules'!H67</f>
        <v>163.738152</v>
      </c>
      <c r="I102" s="7">
        <f>'Debt Schedules'!I67</f>
        <v>167.01291504</v>
      </c>
      <c r="J102" s="7">
        <f>'Debt Schedules'!J67</f>
        <v>170.3531733408</v>
      </c>
      <c r="K102" s="7">
        <f>'Debt Schedules'!K67</f>
        <v>171.875878101605</v>
      </c>
      <c r="L102" s="7">
        <f>'Debt Schedules'!L67</f>
        <v>58.6992812905429</v>
      </c>
      <c r="M102" s="7">
        <f>'Debt Schedules'!M67</f>
        <v>1.17398562581086</v>
      </c>
    </row>
    <row r="103">
      <c r="A103" s="6" t="inlineStr">
        <is>
          <t xml:space="preserve">   Seller Note (PIK)</t>
        </is>
      </c>
      <c r="F103" s="7">
        <f>'Debt Schedules'!F78</f>
        <v>240</v>
      </c>
      <c r="G103" s="7">
        <f>'Debt Schedules'!G78</f>
        <v>254.4</v>
      </c>
      <c r="H103" s="7">
        <f>'Debt Schedules'!H78</f>
        <v>269.664</v>
      </c>
      <c r="I103" s="7">
        <f>'Debt Schedules'!I78</f>
        <v>285.84384</v>
      </c>
      <c r="J103" s="7">
        <f>'Debt Schedules'!J78</f>
        <v>302.9944704</v>
      </c>
      <c r="K103" s="7">
        <f>'Debt Schedules'!K78</f>
        <v>321.174138624</v>
      </c>
      <c r="L103" s="7">
        <f>'Debt Schedules'!L78</f>
        <v>340.44458694144</v>
      </c>
      <c r="M103" s="7">
        <f>'Debt Schedules'!M78</f>
        <v>109.610721340624</v>
      </c>
    </row>
    <row r="104">
      <c r="A104" s="11" t="inlineStr">
        <is>
          <t xml:space="preserve">   Memo: Preferred Equity Accretion (excluded from total)</t>
        </is>
      </c>
      <c r="F104" s="43">
        <f>'Debt Schedules'!F102</f>
        <v>1663.704</v>
      </c>
      <c r="G104" s="43">
        <f>'Debt Schedules'!G102</f>
        <v>1796.80032</v>
      </c>
      <c r="H104" s="43">
        <f>'Debt Schedules'!H102</f>
        <v>1940.5443456</v>
      </c>
      <c r="I104" s="43">
        <f>'Debt Schedules'!I102</f>
        <v>2095.787893248</v>
      </c>
      <c r="J104" s="43">
        <f>'Debt Schedules'!J102</f>
        <v>2263.45092470784</v>
      </c>
      <c r="K104" s="43">
        <f>'Debt Schedules'!K102</f>
        <v>2444.52699868447</v>
      </c>
      <c r="L104" s="43">
        <f>'Debt Schedules'!L102</f>
        <v>2640.08915857922</v>
      </c>
      <c r="M104" s="43">
        <f>'Debt Schedules'!M102</f>
        <v>2851.29629126556</v>
      </c>
    </row>
    <row r="105">
      <c r="A105" s="17" t="inlineStr">
        <is>
          <t>Total Interest Expense</t>
        </is>
      </c>
      <c r="F105" s="18">
        <f>SUM(F95:F103)</f>
        <v>3073.495</v>
      </c>
      <c r="G105" s="18">
        <f>SUM(G95:G103)</f>
        <v>2862.4320636648</v>
      </c>
      <c r="H105" s="18">
        <f>SUM(H95:H103)</f>
        <v>2595.3113303312</v>
      </c>
      <c r="I105" s="18">
        <f>SUM(I95:I103)</f>
        <v>2278.04585469987</v>
      </c>
      <c r="J105" s="18">
        <f>SUM(J95:J103)</f>
        <v>1908.14949038076</v>
      </c>
      <c r="K105" s="18">
        <f>SUM(K95:K103)</f>
        <v>1478.36734628443</v>
      </c>
      <c r="L105" s="18">
        <f>SUM(L95:L103)</f>
        <v>761.989915329969</v>
      </c>
      <c r="M105" s="18">
        <f>SUM(M95:M103)</f>
        <v>157.241627908394</v>
      </c>
    </row>
    <row r="106">
      <c r="A106" s="6" t="inlineStr">
        <is>
          <t>Less: Interest on Cash Balance</t>
        </is>
      </c>
      <c r="F106" s="7">
        <f>F208*Assump_CapStructure!$F$26</f>
        <v>11</v>
      </c>
      <c r="G106" s="7">
        <f>G208*Assump_CapStructure!$F$26</f>
        <v>19.1826448446941</v>
      </c>
      <c r="H106" s="7">
        <f>H208*Assump_CapStructure!$F$26</f>
        <v>26.8267761778131</v>
      </c>
      <c r="I106" s="7">
        <f>I208*Assump_CapStructure!$F$26</f>
        <v>33.6905033855102</v>
      </c>
      <c r="J106" s="7">
        <f>J208*Assump_CapStructure!$F$26</f>
        <v>40.894156489908</v>
      </c>
      <c r="K106" s="7">
        <f>K208*Assump_CapStructure!$F$26</f>
        <v>48.3830984550804</v>
      </c>
      <c r="L106" s="7">
        <f>L208*Assump_CapStructure!$F$26</f>
        <v>68.3070571865469</v>
      </c>
      <c r="M106" s="7">
        <f>M208*Assump_CapStructure!$F$26</f>
        <v>81.2263974481553</v>
      </c>
    </row>
    <row r="107">
      <c r="A107" s="17" t="inlineStr">
        <is>
          <t>Net Interest Expense</t>
        </is>
      </c>
      <c r="F107" s="33">
        <f>F105-F106</f>
        <v>3062.495</v>
      </c>
      <c r="G107" s="33">
        <f>G105-G106</f>
        <v>2843.2494188201</v>
      </c>
      <c r="H107" s="33">
        <f>H105-H106</f>
        <v>2568.48455415338</v>
      </c>
      <c r="I107" s="33">
        <f>I105-I106</f>
        <v>2244.35535131436</v>
      </c>
      <c r="J107" s="33">
        <f>J105-J106</f>
        <v>1867.25533389085</v>
      </c>
      <c r="K107" s="33">
        <f>K105-K106</f>
        <v>1429.98424782935</v>
      </c>
      <c r="L107" s="33">
        <f>L105-L106</f>
        <v>693.682858143422</v>
      </c>
      <c r="M107" s="33">
        <f>M105-M106</f>
        <v>76.0152304602389</v>
      </c>
    </row>
    <row r="108">
      <c r="A108" s="17" t="inlineStr">
        <is>
          <t>Pre Tax Income (Before NOL Utilization)</t>
        </is>
      </c>
      <c r="F108" s="18">
        <f>F91-F93-F107</f>
        <v>3961.03396</v>
      </c>
      <c r="G108" s="18">
        <f>G91-G93-G107</f>
        <v>4868.5787130199</v>
      </c>
      <c r="H108" s="18">
        <f>H91-H93-H107</f>
        <v>5833.48042361302</v>
      </c>
      <c r="I108" s="18">
        <f>I91-I93-I107</f>
        <v>6801.9462573835</v>
      </c>
      <c r="J108" s="18">
        <f>J91-J93-J107</f>
        <v>7820.53962582546</v>
      </c>
      <c r="K108" s="18">
        <f>K91-K93-K107</f>
        <v>9246.20045987278</v>
      </c>
      <c r="L108" s="18">
        <f>L91-L93-L107</f>
        <v>10591.9083466024</v>
      </c>
      <c r="M108" s="18">
        <f>M91-M93-M107</f>
        <v>11660.9996224754</v>
      </c>
    </row>
    <row r="109">
      <c r="A109" s="6" t="inlineStr">
        <is>
          <t>Less: Income Taxes</t>
        </is>
      </c>
      <c r="F109" s="24">
        <f>F315</f>
        <v>338.303496266666</v>
      </c>
      <c r="G109" s="24">
        <f>G315</f>
        <v>574.26513205184</v>
      </c>
      <c r="H109" s="24">
        <f>H315</f>
        <v>825.139576806052</v>
      </c>
      <c r="I109" s="24">
        <f>I315</f>
        <v>1076.94069358638</v>
      </c>
      <c r="J109" s="24">
        <f>J315</f>
        <v>1341.77496938129</v>
      </c>
      <c r="K109" s="24">
        <f>K315</f>
        <v>1712.44678623359</v>
      </c>
      <c r="L109" s="24">
        <f>L315</f>
        <v>2062.33083678329</v>
      </c>
      <c r="M109" s="24">
        <f>M315</f>
        <v>2340.29456851027</v>
      </c>
    </row>
    <row r="110">
      <c r="A110" s="17" t="inlineStr">
        <is>
          <t>Net Income</t>
        </is>
      </c>
      <c r="F110" s="19">
        <f>F108-F109</f>
        <v>3622.73046373333</v>
      </c>
      <c r="G110" s="19">
        <f>G108-G109</f>
        <v>4294.31358096806</v>
      </c>
      <c r="H110" s="19">
        <f>H108-H109</f>
        <v>5008.34084680697</v>
      </c>
      <c r="I110" s="19">
        <f>I108-I109</f>
        <v>5725.00556379712</v>
      </c>
      <c r="J110" s="19">
        <f>J108-J109</f>
        <v>6478.76465644417</v>
      </c>
      <c r="K110" s="19">
        <f>K108-K109</f>
        <v>7533.75367363919</v>
      </c>
      <c r="L110" s="19">
        <f>L108-L109</f>
        <v>8529.57750981911</v>
      </c>
      <c r="M110" s="19">
        <f>M108-M109</f>
        <v>9320.70505396514</v>
      </c>
    </row>
    <row r="111">
      <c r="A111" s="11" t="inlineStr">
        <is>
          <t xml:space="preserve">   % Margin</t>
        </is>
      </c>
      <c r="F111" s="15">
        <f>F110/F75</f>
        <v>0.0786969796127145</v>
      </c>
      <c r="G111" s="15">
        <f>G110/G75</f>
        <v>0.0870203870208127</v>
      </c>
      <c r="H111" s="15">
        <f>H110/H75</f>
        <v>0.0952953096785605</v>
      </c>
      <c r="I111" s="15">
        <f>I110/I75</f>
        <v>0.102765584339201</v>
      </c>
      <c r="J111" s="15">
        <f>J110/J75</f>
        <v>0.110232974799889</v>
      </c>
      <c r="K111" s="15">
        <f>K110/K75</f>
        <v>0.122079134187264</v>
      </c>
      <c r="L111" s="15">
        <f>L110/L75</f>
        <v>0.13226387852775</v>
      </c>
      <c r="M111" s="15">
        <f>M110/M75</f>
        <v>0.138972592680661</v>
      </c>
    </row>
    <row r="113">
      <c r="A113" s="35" t="inlineStr">
        <is>
          <t>CLOSING AND PROJECTED BALANCE SHEETS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</row>
    <row r="114">
      <c r="B114" s="28" t="inlineStr">
        <is>
          <t>Estimated 31-Jul-26 (1)</t>
        </is>
      </c>
      <c r="C114" s="28" t="inlineStr">
        <is>
          <t>Adjustments (+)</t>
        </is>
      </c>
      <c r="D114" s="28" t="inlineStr">
        <is>
          <t>Adjustments (-)</t>
        </is>
      </c>
      <c r="E114" s="28" t="inlineStr">
        <is>
          <t>Pro Forma</t>
        </is>
      </c>
      <c r="F114" s="28" t="str">
        <f>F$30</f>
        <v>FY2026E</v>
      </c>
      <c r="G114" s="28" t="str">
        <f>G$30</f>
        <v>FY2027E</v>
      </c>
      <c r="H114" s="28" t="str">
        <f>H$30</f>
        <v>FY2028E</v>
      </c>
      <c r="I114" s="28" t="str">
        <f>I$30</f>
        <v>FY2029E</v>
      </c>
      <c r="J114" s="28" t="str">
        <f>J$30</f>
        <v>FY2030E</v>
      </c>
      <c r="K114" s="28" t="str">
        <f>K$30</f>
        <v>FY2031E</v>
      </c>
      <c r="L114" s="28" t="str">
        <f>L$30</f>
        <v>FY2032E</v>
      </c>
      <c r="M114" s="28" t="str">
        <f>M$30</f>
        <v>FY2033E</v>
      </c>
    </row>
    <row r="115">
      <c r="A115" s="17" t="inlineStr">
        <is>
          <t>ASSETS</t>
        </is>
      </c>
    </row>
    <row r="116">
      <c r="A116" s="6" t="inlineStr">
        <is>
          <t>Cash</t>
        </is>
      </c>
      <c r="B116" s="30" t="n">
        <v>100</v>
      </c>
      <c r="C116" s="24">
        <f>$D$13</f>
        <v>1000</v>
      </c>
      <c r="E116" s="24">
        <f>B116+C116-D116</f>
        <v>1100</v>
      </c>
      <c r="F116" s="24">
        <f>F209</f>
        <v>1918.2644844694</v>
      </c>
      <c r="G116" s="24">
        <f>G209</f>
        <v>2682.67761778131</v>
      </c>
      <c r="H116" s="24">
        <f>H209</f>
        <v>3369.05033855102</v>
      </c>
      <c r="I116" s="24">
        <f>I209</f>
        <v>4089.4156489908</v>
      </c>
      <c r="J116" s="24">
        <f>J209</f>
        <v>4838.30984550804</v>
      </c>
      <c r="K116" s="24">
        <f>K209</f>
        <v>6830.70571865469</v>
      </c>
      <c r="L116" s="24">
        <f>L209</f>
        <v>8122.63974481553</v>
      </c>
      <c r="M116" s="24">
        <f>M209</f>
        <v>15436.3958662334</v>
      </c>
    </row>
    <row r="117">
      <c r="A117" s="6" t="inlineStr">
        <is>
          <t>Accounts Receivable</t>
        </is>
      </c>
      <c r="B117" s="30" t="n">
        <v>5241</v>
      </c>
      <c r="E117" s="24">
        <f>B117+C117-D117</f>
        <v>5241</v>
      </c>
      <c r="F117" s="24">
        <f>F287</f>
        <v>5612.35463013699</v>
      </c>
      <c r="G117" s="24">
        <f>G287</f>
        <v>5948.84366728767</v>
      </c>
      <c r="H117" s="24">
        <f>H287</f>
        <v>6407.5130341348</v>
      </c>
      <c r="I117" s="24">
        <f>I287</f>
        <v>6791.96381618288</v>
      </c>
      <c r="J117" s="24">
        <f>J287</f>
        <v>7165.52182607294</v>
      </c>
      <c r="K117" s="24">
        <f>K287</f>
        <v>7354.72380687374</v>
      </c>
      <c r="L117" s="24">
        <f>L287</f>
        <v>7862.36882365854</v>
      </c>
      <c r="M117" s="24">
        <f>M287</f>
        <v>8084.98870495763</v>
      </c>
    </row>
    <row r="118">
      <c r="A118" s="6" t="inlineStr">
        <is>
          <t>Inventory</t>
        </is>
      </c>
      <c r="B118" s="30" t="n">
        <v>4912</v>
      </c>
      <c r="E118" s="24">
        <f>B118+C118-D118</f>
        <v>4912</v>
      </c>
      <c r="F118" s="24">
        <f>F290</f>
        <v>5082.64924931507</v>
      </c>
      <c r="G118" s="24">
        <f>G290</f>
        <v>5388.02995065337</v>
      </c>
      <c r="H118" s="24">
        <f>H290</f>
        <v>5767.04970883521</v>
      </c>
      <c r="I118" s="24">
        <f>I290</f>
        <v>6152.83238966006</v>
      </c>
      <c r="J118" s="24">
        <f>J290</f>
        <v>6481.17423594238</v>
      </c>
      <c r="K118" s="24">
        <f>K290</f>
        <v>6805.2329477395</v>
      </c>
      <c r="L118" s="24">
        <f>L290</f>
        <v>7043.62237132519</v>
      </c>
      <c r="M118" s="24">
        <f>M290</f>
        <v>7266.29172370902</v>
      </c>
    </row>
    <row r="119">
      <c r="A119" s="6" t="inlineStr">
        <is>
          <t>Prepaid and Other Advances</t>
        </is>
      </c>
      <c r="B119" s="30" t="n">
        <v>618</v>
      </c>
      <c r="E119" s="24">
        <f>B119+C119-D119</f>
        <v>618</v>
      </c>
      <c r="F119" s="24">
        <f>F292</f>
        <v>598.44096</v>
      </c>
      <c r="G119" s="24">
        <f>G292</f>
        <v>641.52870912</v>
      </c>
      <c r="H119" s="24">
        <f>H292</f>
        <v>683.2280752128</v>
      </c>
      <c r="I119" s="24">
        <f>I292</f>
        <v>724.221759725568</v>
      </c>
      <c r="J119" s="24">
        <f>J292</f>
        <v>764.053956510474</v>
      </c>
      <c r="K119" s="24">
        <f>K292</f>
        <v>802.256654335998</v>
      </c>
      <c r="L119" s="24">
        <f>L292</f>
        <v>838.358203781118</v>
      </c>
      <c r="M119" s="24">
        <f>M292</f>
        <v>871.892531932363</v>
      </c>
    </row>
    <row r="120">
      <c r="A120" s="6" t="inlineStr">
        <is>
          <t>Other</t>
        </is>
      </c>
      <c r="B120" s="30" t="n">
        <v>187</v>
      </c>
      <c r="E120" s="24">
        <f>B120+C120-D120</f>
        <v>187</v>
      </c>
      <c r="F120" s="24">
        <f>F294</f>
        <v>184.13568</v>
      </c>
      <c r="G120" s="24">
        <f>G294</f>
        <v>197.39344896</v>
      </c>
      <c r="H120" s="24">
        <f>H294</f>
        <v>210.2240231424</v>
      </c>
      <c r="I120" s="24">
        <f>I294</f>
        <v>222.837464530944</v>
      </c>
      <c r="J120" s="24">
        <f>J294</f>
        <v>235.093525080146</v>
      </c>
      <c r="K120" s="24">
        <f>K294</f>
        <v>246.848201334153</v>
      </c>
      <c r="L120" s="24">
        <f>L294</f>
        <v>257.95637039419</v>
      </c>
      <c r="M120" s="24">
        <f>M294</f>
        <v>268.274625209958</v>
      </c>
    </row>
    <row r="121">
      <c r="A121" s="17" t="inlineStr">
        <is>
          <t>Total Current Assets</t>
        </is>
      </c>
      <c r="B121" s="18">
        <f>SUM(B116:B120)</f>
        <v>11058</v>
      </c>
      <c r="C121" s="18">
        <f>SUM(C116:C120)</f>
        <v>1000</v>
      </c>
      <c r="D121" s="18">
        <f>SUM(D116:D120)</f>
        <v>0</v>
      </c>
      <c r="E121" s="18">
        <f>SUM(E116:E120)</f>
        <v>12058</v>
      </c>
      <c r="F121" s="18">
        <f>SUM(F116:F120)</f>
        <v>13395.8450039215</v>
      </c>
      <c r="G121" s="18">
        <f>SUM(G116:G120)</f>
        <v>14858.4733938024</v>
      </c>
      <c r="H121" s="18">
        <f>SUM(H116:H120)</f>
        <v>16437.0651798762</v>
      </c>
      <c r="I121" s="18">
        <f>SUM(I116:I120)</f>
        <v>17981.2710790903</v>
      </c>
      <c r="J121" s="18">
        <f>SUM(J116:J120)</f>
        <v>19484.153389114</v>
      </c>
      <c r="K121" s="18">
        <f>SUM(K116:K120)</f>
        <v>22039.7673289381</v>
      </c>
      <c r="L121" s="18">
        <f>SUM(L116:L120)</f>
        <v>24124.9455139746</v>
      </c>
      <c r="M121" s="18">
        <f>SUM(M116:M120)</f>
        <v>31927.8434520424</v>
      </c>
    </row>
    <row r="122">
      <c r="A122" s="6" t="inlineStr">
        <is>
          <t>PP&amp;E, net</t>
        </is>
      </c>
      <c r="B122" s="30" t="n">
        <v>9874</v>
      </c>
      <c r="E122" s="24">
        <f>B122+C122-D122</f>
        <v>9874</v>
      </c>
      <c r="F122" s="24">
        <f>E122+F35-F88</f>
        <v>9920.03392</v>
      </c>
      <c r="G122" s="24">
        <f>F122+G35-G88</f>
        <v>9969.38228224</v>
      </c>
      <c r="H122" s="24">
        <f>G122+H35-H88</f>
        <v>10021.9382880256</v>
      </c>
      <c r="I122" s="24">
        <f>H122+I35-I88</f>
        <v>10077.6476541583</v>
      </c>
      <c r="J122" s="24">
        <f>I122+J35-J88</f>
        <v>10136.4210354284</v>
      </c>
      <c r="K122" s="24">
        <f>J122+K35-K88</f>
        <v>10198.1330857619</v>
      </c>
      <c r="L122" s="24">
        <f>K122+L35-L88</f>
        <v>10262.6221783605</v>
      </c>
      <c r="M122" s="24">
        <f>L122+M35-M88</f>
        <v>10329.6908346629</v>
      </c>
    </row>
    <row r="123">
      <c r="A123" s="6" t="inlineStr">
        <is>
          <t>Intangible Assets, net (2)</t>
        </is>
      </c>
      <c r="B123" s="30" t="n">
        <v>0</v>
      </c>
      <c r="E123" s="24">
        <f>B123+C123-D123</f>
        <v>0</v>
      </c>
      <c r="F123" s="24">
        <f>E123</f>
        <v>0</v>
      </c>
      <c r="G123" s="24">
        <f>F123</f>
        <v>0</v>
      </c>
      <c r="H123" s="24">
        <f>G123</f>
        <v>0</v>
      </c>
      <c r="I123" s="24">
        <f>H123</f>
        <v>0</v>
      </c>
      <c r="J123" s="24">
        <f>I123</f>
        <v>0</v>
      </c>
      <c r="K123" s="24">
        <f>J123</f>
        <v>0</v>
      </c>
      <c r="L123" s="24">
        <f>K123</f>
        <v>0</v>
      </c>
      <c r="M123" s="24">
        <f>L123</f>
        <v>0</v>
      </c>
    </row>
    <row r="124">
      <c r="A124" s="6" t="inlineStr">
        <is>
          <t>Investments in Affiliates</t>
        </is>
      </c>
      <c r="B124" s="30" t="n">
        <v>0</v>
      </c>
      <c r="E124" s="24">
        <f>B124+C124-D124</f>
        <v>0</v>
      </c>
      <c r="F124" s="24">
        <f>E124</f>
        <v>0</v>
      </c>
      <c r="G124" s="24">
        <f>F124</f>
        <v>0</v>
      </c>
      <c r="H124" s="24">
        <f>G124</f>
        <v>0</v>
      </c>
      <c r="I124" s="24">
        <f>H124</f>
        <v>0</v>
      </c>
      <c r="J124" s="24">
        <f>I124</f>
        <v>0</v>
      </c>
      <c r="K124" s="24">
        <f>J124</f>
        <v>0</v>
      </c>
      <c r="L124" s="24">
        <f>K124</f>
        <v>0</v>
      </c>
      <c r="M124" s="24">
        <f>L124</f>
        <v>0</v>
      </c>
    </row>
    <row r="125">
      <c r="A125" s="6" t="inlineStr">
        <is>
          <t>Transaction Expenses (capitalized)</t>
        </is>
      </c>
      <c r="B125" s="30" t="n">
        <v>0</v>
      </c>
      <c r="C125" s="24">
        <f>$D$14</f>
        <v>2400</v>
      </c>
      <c r="E125" s="24">
        <f>B125+C125-D125</f>
        <v>2400</v>
      </c>
      <c r="F125" s="24">
        <f>E125-F90</f>
        <v>1920</v>
      </c>
      <c r="G125" s="24">
        <f>F125-G90</f>
        <v>1440</v>
      </c>
      <c r="H125" s="24">
        <f>G125-H90</f>
        <v>960</v>
      </c>
      <c r="I125" s="24">
        <f>H125-I90</f>
        <v>480</v>
      </c>
      <c r="J125" s="24">
        <f>I125-J90</f>
        <v>0</v>
      </c>
      <c r="K125" s="24">
        <f>J125-K90</f>
        <v>0</v>
      </c>
      <c r="L125" s="24">
        <f>K125-L90</f>
        <v>0</v>
      </c>
      <c r="M125" s="24">
        <f>L125-M90</f>
        <v>0</v>
      </c>
    </row>
    <row r="126">
      <c r="A126" s="6" t="inlineStr">
        <is>
          <t>Goodwill (2)</t>
        </is>
      </c>
      <c r="B126" s="30" t="n">
        <v>0</v>
      </c>
      <c r="C126" s="24">
        <f>$D$325</f>
        <v>39898</v>
      </c>
      <c r="E126" s="24">
        <f>B126+C126-D126</f>
        <v>39898</v>
      </c>
      <c r="F126" s="24">
        <f>E126</f>
        <v>39898</v>
      </c>
      <c r="G126" s="24">
        <f>F126</f>
        <v>39898</v>
      </c>
      <c r="H126" s="24">
        <f>G126</f>
        <v>39898</v>
      </c>
      <c r="I126" s="24">
        <f>H126</f>
        <v>39898</v>
      </c>
      <c r="J126" s="24">
        <f>I126</f>
        <v>39898</v>
      </c>
      <c r="K126" s="24">
        <f>J126</f>
        <v>39898</v>
      </c>
      <c r="L126" s="24">
        <f>K126</f>
        <v>39898</v>
      </c>
      <c r="M126" s="24">
        <f>L126</f>
        <v>39898</v>
      </c>
    </row>
    <row r="127">
      <c r="A127" s="17" t="inlineStr">
        <is>
          <t>Total Assets</t>
        </is>
      </c>
      <c r="B127" s="19">
        <f>B121+SUM(B122:B126)</f>
        <v>20932</v>
      </c>
      <c r="C127" s="19">
        <f>C121+SUM(C122:C126)</f>
        <v>43298</v>
      </c>
      <c r="D127" s="19">
        <f>D121+SUM(D122:D126)</f>
        <v>0</v>
      </c>
      <c r="E127" s="19">
        <f>E121+SUM(E122:E126)</f>
        <v>64230</v>
      </c>
      <c r="F127" s="19">
        <f>F121+SUM(F122:F126)</f>
        <v>65133.8789239215</v>
      </c>
      <c r="G127" s="19">
        <f>G121+SUM(G122:G126)</f>
        <v>66165.8556760424</v>
      </c>
      <c r="H127" s="19">
        <f>H121+SUM(H122:H126)</f>
        <v>67317.0034679018</v>
      </c>
      <c r="I127" s="19">
        <f>I121+SUM(I122:I126)</f>
        <v>68436.9187332486</v>
      </c>
      <c r="J127" s="19">
        <f>J121+SUM(J122:J126)</f>
        <v>69518.5744245423</v>
      </c>
      <c r="K127" s="19">
        <f>K121+SUM(K122:K126)</f>
        <v>72135.9004147</v>
      </c>
      <c r="L127" s="19">
        <f>L121+SUM(L122:L126)</f>
        <v>74285.567692335</v>
      </c>
      <c r="M127" s="19">
        <f>M121+SUM(M122:M126)</f>
        <v>82155.5342867054</v>
      </c>
    </row>
    <row r="129">
      <c r="A129" s="17" t="inlineStr">
        <is>
          <t>LIABILITIES</t>
        </is>
      </c>
    </row>
    <row r="130">
      <c r="A130" s="6" t="inlineStr">
        <is>
          <t>Accounts Payable</t>
        </is>
      </c>
      <c r="B130" s="30" t="n">
        <v>2538</v>
      </c>
      <c r="E130" s="24">
        <f>B130+C130-D130</f>
        <v>2538</v>
      </c>
      <c r="F130" s="24">
        <f>F297</f>
        <v>2541.32462465753</v>
      </c>
      <c r="G130" s="24">
        <f>G297</f>
        <v>2672.11241455167</v>
      </c>
      <c r="H130" s="24">
        <f>H297</f>
        <v>2883.5248544176</v>
      </c>
      <c r="I130" s="24">
        <f>I297</f>
        <v>3051.80486527139</v>
      </c>
      <c r="J130" s="24">
        <f>J297</f>
        <v>3162.81302713988</v>
      </c>
      <c r="K130" s="24">
        <f>K297</f>
        <v>3375.39554207879</v>
      </c>
      <c r="L130" s="24">
        <f>L297</f>
        <v>3521.8111856626</v>
      </c>
      <c r="M130" s="24">
        <f>M297</f>
        <v>3662.6836330891</v>
      </c>
    </row>
    <row r="131">
      <c r="A131" s="6" t="inlineStr">
        <is>
          <t>Accrued Expenses</t>
        </is>
      </c>
      <c r="B131" s="30" t="n">
        <v>2412</v>
      </c>
      <c r="E131" s="24">
        <f>B131+C131-D131</f>
        <v>2412</v>
      </c>
      <c r="F131" s="24">
        <f>F299</f>
        <v>2531.8656</v>
      </c>
      <c r="G131" s="24">
        <f>G299</f>
        <v>2714.1599232</v>
      </c>
      <c r="H131" s="24">
        <f>H299</f>
        <v>2890.580318208</v>
      </c>
      <c r="I131" s="24">
        <f>I299</f>
        <v>3064.01513730048</v>
      </c>
      <c r="J131" s="24">
        <f>J299</f>
        <v>3232.53596985201</v>
      </c>
      <c r="K131" s="24">
        <f>K299</f>
        <v>3394.16276834461</v>
      </c>
      <c r="L131" s="24">
        <f>L299</f>
        <v>3546.90009292011</v>
      </c>
      <c r="M131" s="24">
        <f>M299</f>
        <v>3688.77609663692</v>
      </c>
    </row>
    <row r="132">
      <c r="A132" s="6" t="inlineStr">
        <is>
          <t>Accrued Product Liability</t>
        </is>
      </c>
      <c r="B132" s="30" t="n">
        <v>431</v>
      </c>
      <c r="E132" s="24">
        <f>B132+C132-D132</f>
        <v>431</v>
      </c>
      <c r="F132" s="24">
        <f>F301</f>
        <v>460.3392</v>
      </c>
      <c r="G132" s="24">
        <f>G301</f>
        <v>493.4836224</v>
      </c>
      <c r="H132" s="24">
        <f>H301</f>
        <v>525.560057856</v>
      </c>
      <c r="I132" s="24">
        <f>I301</f>
        <v>557.09366132736</v>
      </c>
      <c r="J132" s="24">
        <f>J301</f>
        <v>587.733812700365</v>
      </c>
      <c r="K132" s="24">
        <f>K301</f>
        <v>617.120503335383</v>
      </c>
      <c r="L132" s="24">
        <f>L301</f>
        <v>644.890925985475</v>
      </c>
      <c r="M132" s="24">
        <f>M301</f>
        <v>670.686563024894</v>
      </c>
    </row>
    <row r="133">
      <c r="A133" s="6" t="inlineStr">
        <is>
          <t>Other</t>
        </is>
      </c>
      <c r="B133" s="30" t="n">
        <v>266</v>
      </c>
      <c r="E133" s="24">
        <f>B133+C133-D133</f>
        <v>266</v>
      </c>
      <c r="F133" s="24">
        <f>F303</f>
        <v>276.20352</v>
      </c>
      <c r="G133" s="24">
        <f>G303</f>
        <v>296.09017344</v>
      </c>
      <c r="H133" s="24">
        <f>H303</f>
        <v>315.3360347136</v>
      </c>
      <c r="I133" s="24">
        <f>I303</f>
        <v>334.256196796416</v>
      </c>
      <c r="J133" s="24">
        <f>J303</f>
        <v>352.640287620219</v>
      </c>
      <c r="K133" s="24">
        <f>K303</f>
        <v>370.27230200123</v>
      </c>
      <c r="L133" s="24">
        <f>L303</f>
        <v>386.934555591285</v>
      </c>
      <c r="M133" s="24">
        <f>M303</f>
        <v>402.411937814937</v>
      </c>
    </row>
    <row r="134">
      <c r="A134" s="17" t="inlineStr">
        <is>
          <t>Total Current Liabilities</t>
        </is>
      </c>
      <c r="B134" s="18">
        <f>SUM(B130:B133)</f>
        <v>5647</v>
      </c>
      <c r="C134" s="18">
        <f>SUM(C130:C133)</f>
        <v>0</v>
      </c>
      <c r="D134" s="18">
        <f>SUM(D130:D133)</f>
        <v>0</v>
      </c>
      <c r="E134" s="18">
        <f>SUM(E130:E133)</f>
        <v>5647</v>
      </c>
      <c r="F134" s="18">
        <f>SUM(F130:F133)</f>
        <v>5809.73294465754</v>
      </c>
      <c r="G134" s="18">
        <f>SUM(G130:G133)</f>
        <v>6175.84613359167</v>
      </c>
      <c r="H134" s="18">
        <f>SUM(H130:H133)</f>
        <v>6615.00126519521</v>
      </c>
      <c r="I134" s="18">
        <f>SUM(I130:I133)</f>
        <v>7007.16986069564</v>
      </c>
      <c r="J134" s="18">
        <f>SUM(J130:J133)</f>
        <v>7335.72309731247</v>
      </c>
      <c r="K134" s="18">
        <f>SUM(K130:K133)</f>
        <v>7756.95111576001</v>
      </c>
      <c r="L134" s="18">
        <f>SUM(L130:L133)</f>
        <v>8100.53676015947</v>
      </c>
      <c r="M134" s="18">
        <f>SUM(M130:M133)</f>
        <v>8424.55823056585</v>
      </c>
    </row>
    <row r="135">
      <c r="A135" s="6" t="inlineStr">
        <is>
          <t>Deferred Tax Liability</t>
        </is>
      </c>
      <c r="B135" s="30" t="n">
        <v>0</v>
      </c>
      <c r="E135" s="24">
        <f>B135+C135-D135</f>
        <v>0</v>
      </c>
      <c r="F135" s="24">
        <f>E135</f>
        <v>0</v>
      </c>
      <c r="G135" s="24">
        <f>F135</f>
        <v>0</v>
      </c>
      <c r="H135" s="24">
        <f>G135</f>
        <v>0</v>
      </c>
      <c r="I135" s="24">
        <f>H135</f>
        <v>0</v>
      </c>
      <c r="J135" s="24">
        <f>I135</f>
        <v>0</v>
      </c>
      <c r="K135" s="24">
        <f>J135</f>
        <v>0</v>
      </c>
      <c r="L135" s="24">
        <f>K135</f>
        <v>0</v>
      </c>
      <c r="M135" s="24">
        <f>L135</f>
        <v>0</v>
      </c>
    </row>
    <row r="136">
      <c r="A136" s="6" t="inlineStr">
        <is>
          <t>Deferred Taxes</t>
        </is>
      </c>
      <c r="B136" s="30" t="n">
        <v>0</v>
      </c>
      <c r="E136" s="24">
        <f>B136+C136-D136</f>
        <v>0</v>
      </c>
      <c r="F136" s="24">
        <f>E136+F169</f>
        <v>0</v>
      </c>
      <c r="G136" s="24">
        <f>F136+G169</f>
        <v>0</v>
      </c>
      <c r="H136" s="24">
        <f>G136+H169</f>
        <v>0</v>
      </c>
      <c r="I136" s="24">
        <f>H136+I169</f>
        <v>0</v>
      </c>
      <c r="J136" s="24">
        <f>I136+J169</f>
        <v>0</v>
      </c>
      <c r="K136" s="24">
        <f>J136+K169</f>
        <v>0</v>
      </c>
      <c r="L136" s="24">
        <f>K136+L169</f>
        <v>0</v>
      </c>
      <c r="M136" s="24">
        <f>L136+M169</f>
        <v>0</v>
      </c>
    </row>
    <row r="137">
      <c r="A137" s="17" t="inlineStr">
        <is>
          <t>Total Other Liabilities</t>
        </is>
      </c>
      <c r="B137" s="18">
        <f>SUM(B135:B136)</f>
        <v>0</v>
      </c>
      <c r="C137" s="18">
        <f>SUM(C135:C136)</f>
        <v>0</v>
      </c>
      <c r="D137" s="18">
        <f>SUM(D135:D136)</f>
        <v>0</v>
      </c>
      <c r="E137" s="18">
        <f>SUM(E135:E136)</f>
        <v>0</v>
      </c>
      <c r="F137" s="18">
        <f>SUM(F135:F136)</f>
        <v>0</v>
      </c>
      <c r="G137" s="18">
        <f>SUM(G135:G136)</f>
        <v>0</v>
      </c>
      <c r="H137" s="18">
        <f>SUM(H135:H136)</f>
        <v>0</v>
      </c>
      <c r="I137" s="18">
        <f>SUM(I135:I136)</f>
        <v>0</v>
      </c>
      <c r="J137" s="18">
        <f>SUM(J135:J136)</f>
        <v>0</v>
      </c>
      <c r="K137" s="18">
        <f>SUM(K135:K136)</f>
        <v>0</v>
      </c>
      <c r="L137" s="18">
        <f>SUM(L135:L136)</f>
        <v>0</v>
      </c>
      <c r="M137" s="18">
        <f>SUM(M135:M136)</f>
        <v>0</v>
      </c>
    </row>
    <row r="138">
      <c r="A138" s="6" t="inlineStr">
        <is>
          <t>Existing Debt (repaid at close)</t>
        </is>
      </c>
      <c r="B138" s="30" t="n">
        <v>6842</v>
      </c>
      <c r="D138" s="24">
        <f>$D$8</f>
        <v>6842</v>
      </c>
      <c r="E138" s="24">
        <f>B138+C138-D138</f>
        <v>0</v>
      </c>
      <c r="F138" s="24">
        <f>E138</f>
        <v>0</v>
      </c>
      <c r="G138" s="24">
        <f>F138</f>
        <v>0</v>
      </c>
      <c r="H138" s="24">
        <f>G138</f>
        <v>0</v>
      </c>
      <c r="I138" s="24">
        <f>H138</f>
        <v>0</v>
      </c>
      <c r="J138" s="24">
        <f>I138</f>
        <v>0</v>
      </c>
      <c r="K138" s="24">
        <f>J138</f>
        <v>0</v>
      </c>
      <c r="L138" s="24">
        <f>K138</f>
        <v>0</v>
      </c>
      <c r="M138" s="24">
        <f>L138</f>
        <v>0</v>
      </c>
    </row>
    <row r="139">
      <c r="A139" s="6" t="inlineStr">
        <is>
          <t>Revolver</t>
        </is>
      </c>
      <c r="B139" s="30" t="n">
        <v>0</v>
      </c>
      <c r="C139" s="24">
        <f>$K$7</f>
        <v>0</v>
      </c>
      <c r="E139" s="24">
        <f>B139+C139-D139</f>
        <v>0</v>
      </c>
      <c r="F139" s="7">
        <f>'Debt Schedules'!F12</f>
        <v>0</v>
      </c>
      <c r="G139" s="7">
        <f>'Debt Schedules'!G12</f>
        <v>0</v>
      </c>
      <c r="H139" s="7">
        <f>'Debt Schedules'!H12</f>
        <v>0</v>
      </c>
      <c r="I139" s="7">
        <f>'Debt Schedules'!I12</f>
        <v>0</v>
      </c>
      <c r="J139" s="7">
        <f>'Debt Schedules'!J12</f>
        <v>0</v>
      </c>
      <c r="K139" s="7">
        <f>'Debt Schedules'!K12</f>
        <v>0</v>
      </c>
      <c r="L139" s="7">
        <f>'Debt Schedules'!L12</f>
        <v>0</v>
      </c>
      <c r="M139" s="7">
        <f>'Debt Schedules'!M12</f>
        <v>0</v>
      </c>
    </row>
    <row r="140">
      <c r="A140" s="6" t="inlineStr">
        <is>
          <t>Term Loan A (incl. TLB / Second Lien)</t>
        </is>
      </c>
      <c r="B140" s="30" t="n">
        <v>0</v>
      </c>
      <c r="C140" s="24">
        <f>$K$8+$K$9+$K$10</f>
        <v>23607</v>
      </c>
      <c r="E140" s="24">
        <f>B140+C140-D140</f>
        <v>23607</v>
      </c>
      <c r="F140" s="7">
        <f>'Debt Schedules'!F25+'Debt Schedules'!F35+'Debt Schedules'!F45</f>
        <v>20328.0355155306</v>
      </c>
      <c r="G140" s="7">
        <f>'Debt Schedules'!G25+'Debt Schedules'!G35+'Debt Schedules'!G45</f>
        <v>16284.6578977493</v>
      </c>
      <c r="H140" s="7">
        <f>'Debt Schedules'!H25+'Debt Schedules'!H35+'Debt Schedules'!H45</f>
        <v>11554.9075591983</v>
      </c>
      <c r="I140" s="7">
        <f>'Debt Schedules'!I25+'Debt Schedules'!I35+'Debt Schedules'!I45</f>
        <v>6104.79191020747</v>
      </c>
      <c r="J140" s="7">
        <f>'Debt Schedules'!J25+'Debt Schedules'!J35+'Debt Schedules'!J45</f>
        <v>0</v>
      </c>
      <c r="K140" s="7">
        <f>'Debt Schedules'!K25+'Debt Schedules'!K35+'Debt Schedules'!K45</f>
        <v>0</v>
      </c>
      <c r="L140" s="7">
        <f>'Debt Schedules'!L25+'Debt Schedules'!L35+'Debt Schedules'!L45</f>
        <v>0</v>
      </c>
      <c r="M140" s="7">
        <f>'Debt Schedules'!M25+'Debt Schedules'!M35+'Debt Schedules'!M45</f>
        <v>0</v>
      </c>
    </row>
    <row r="141">
      <c r="A141" s="6" t="inlineStr">
        <is>
          <t>Seller Debt</t>
        </is>
      </c>
      <c r="B141" s="30" t="n">
        <v>0</v>
      </c>
      <c r="C141" s="24">
        <f>$K$13</f>
        <v>4000</v>
      </c>
      <c r="E141" s="24">
        <f>B141+C141-D141</f>
        <v>4000</v>
      </c>
      <c r="F141" s="7">
        <f>'Debt Schedules'!F75</f>
        <v>4240</v>
      </c>
      <c r="G141" s="7">
        <f>'Debt Schedules'!G75</f>
        <v>4494.4</v>
      </c>
      <c r="H141" s="7">
        <f>'Debt Schedules'!H75</f>
        <v>4764.064</v>
      </c>
      <c r="I141" s="7">
        <f>'Debt Schedules'!I75</f>
        <v>5049.90784</v>
      </c>
      <c r="J141" s="7">
        <f>'Debt Schedules'!J75</f>
        <v>5352.9023104</v>
      </c>
      <c r="K141" s="7">
        <f>'Debt Schedules'!K75</f>
        <v>5674.076449024</v>
      </c>
      <c r="L141" s="7">
        <f>'Debt Schedules'!L75</f>
        <v>1826.84535567706</v>
      </c>
      <c r="M141" s="7">
        <f>'Debt Schedules'!M75</f>
        <v>109.610721340624</v>
      </c>
    </row>
    <row r="142">
      <c r="A142" s="6" t="inlineStr">
        <is>
          <t>Mezzanine Debt</t>
        </is>
      </c>
      <c r="B142" s="30" t="n">
        <v>0</v>
      </c>
      <c r="C142" s="24">
        <f>$K$12</f>
        <v>7869</v>
      </c>
      <c r="E142" s="24">
        <f>B142+C142-D142</f>
        <v>7869</v>
      </c>
      <c r="F142" s="7">
        <f>'Debt Schedules'!F65</f>
        <v>8026.38</v>
      </c>
      <c r="G142" s="7">
        <f>'Debt Schedules'!G65</f>
        <v>8186.9076</v>
      </c>
      <c r="H142" s="7">
        <f>'Debt Schedules'!H65</f>
        <v>8350.645752</v>
      </c>
      <c r="I142" s="7">
        <f>'Debt Schedules'!I65</f>
        <v>8517.65866704</v>
      </c>
      <c r="J142" s="7">
        <f>'Debt Schedules'!J65</f>
        <v>8593.79390508023</v>
      </c>
      <c r="K142" s="7">
        <f>'Debt Schedules'!K65</f>
        <v>2934.96406452715</v>
      </c>
      <c r="L142" s="7">
        <f>'Debt Schedules'!L65</f>
        <v>58.6992812905429</v>
      </c>
      <c r="M142" s="7">
        <f>'Debt Schedules'!M65</f>
        <v>1.17398562581086</v>
      </c>
    </row>
    <row r="143">
      <c r="A143" s="6" t="inlineStr">
        <is>
          <t>Senior Notes</t>
        </is>
      </c>
      <c r="B143" s="30" t="n">
        <v>0</v>
      </c>
      <c r="C143" s="24">
        <f>$K$11</f>
        <v>0</v>
      </c>
      <c r="E143" s="24">
        <f>B143+C143-D143</f>
        <v>0</v>
      </c>
      <c r="F143" s="7">
        <f>'Debt Schedules'!F55</f>
        <v>0</v>
      </c>
      <c r="G143" s="7">
        <f>'Debt Schedules'!G55</f>
        <v>0</v>
      </c>
      <c r="H143" s="7">
        <f>'Debt Schedules'!H55</f>
        <v>0</v>
      </c>
      <c r="I143" s="7">
        <f>'Debt Schedules'!I55</f>
        <v>0</v>
      </c>
      <c r="J143" s="7">
        <f>'Debt Schedules'!J55</f>
        <v>0</v>
      </c>
      <c r="K143" s="7">
        <f>'Debt Schedules'!K55</f>
        <v>0</v>
      </c>
      <c r="L143" s="7">
        <f>'Debt Schedules'!L55</f>
        <v>0</v>
      </c>
      <c r="M143" s="7">
        <f>'Debt Schedules'!M55</f>
        <v>0</v>
      </c>
    </row>
    <row r="144">
      <c r="A144" s="6" t="inlineStr">
        <is>
          <t>Subordinated Notes</t>
        </is>
      </c>
      <c r="B144" s="30" t="n">
        <v>0</v>
      </c>
      <c r="C144" s="24">
        <f>$K$14</f>
        <v>0</v>
      </c>
      <c r="E144" s="24">
        <f>B144+C144-D144</f>
        <v>0</v>
      </c>
      <c r="F144" s="7">
        <f>'Debt Schedules'!F85</f>
        <v>0</v>
      </c>
      <c r="G144" s="7">
        <f>'Debt Schedules'!G85</f>
        <v>0</v>
      </c>
      <c r="H144" s="7">
        <f>'Debt Schedules'!H85</f>
        <v>0</v>
      </c>
      <c r="I144" s="7">
        <f>'Debt Schedules'!I85</f>
        <v>0</v>
      </c>
      <c r="J144" s="7">
        <f>'Debt Schedules'!J85</f>
        <v>0</v>
      </c>
      <c r="K144" s="7">
        <f>'Debt Schedules'!K85</f>
        <v>0</v>
      </c>
      <c r="L144" s="7">
        <f>'Debt Schedules'!L85</f>
        <v>0</v>
      </c>
      <c r="M144" s="7">
        <f>'Debt Schedules'!M85</f>
        <v>0</v>
      </c>
    </row>
    <row r="145">
      <c r="A145" s="6" t="inlineStr">
        <is>
          <t>Other Debt</t>
        </is>
      </c>
      <c r="B145" s="30" t="n">
        <v>0</v>
      </c>
      <c r="C145" s="24">
        <f>$K$15</f>
        <v>0</v>
      </c>
      <c r="E145" s="24">
        <f>B145+C145-D145</f>
        <v>0</v>
      </c>
      <c r="F145" s="7">
        <f>'Debt Schedules'!F95</f>
        <v>0</v>
      </c>
      <c r="G145" s="7">
        <f>'Debt Schedules'!G95</f>
        <v>0</v>
      </c>
      <c r="H145" s="7">
        <f>'Debt Schedules'!H95</f>
        <v>0</v>
      </c>
      <c r="I145" s="7">
        <f>'Debt Schedules'!I95</f>
        <v>0</v>
      </c>
      <c r="J145" s="7">
        <f>'Debt Schedules'!J95</f>
        <v>0</v>
      </c>
      <c r="K145" s="7">
        <f>'Debt Schedules'!K95</f>
        <v>0</v>
      </c>
      <c r="L145" s="7">
        <f>'Debt Schedules'!L95</f>
        <v>0</v>
      </c>
      <c r="M145" s="7">
        <f>'Debt Schedules'!M95</f>
        <v>0</v>
      </c>
    </row>
    <row r="146">
      <c r="A146" s="17" t="inlineStr">
        <is>
          <t>Total Debt</t>
        </is>
      </c>
      <c r="B146" s="18">
        <f>SUM(B138:B145)</f>
        <v>6842</v>
      </c>
      <c r="C146" s="18">
        <f>SUM(C138:C145)</f>
        <v>35476</v>
      </c>
      <c r="D146" s="18">
        <f>SUM(D138:D145)</f>
        <v>6842</v>
      </c>
      <c r="E146" s="18">
        <f>SUM(E138:E145)</f>
        <v>35476</v>
      </c>
      <c r="F146" s="18">
        <f>SUM(F138:F145)</f>
        <v>32594.4155155306</v>
      </c>
      <c r="G146" s="18">
        <f>SUM(G138:G145)</f>
        <v>28965.9654977493</v>
      </c>
      <c r="H146" s="18">
        <f>SUM(H138:H145)</f>
        <v>24669.6173111983</v>
      </c>
      <c r="I146" s="18">
        <f>SUM(I138:I145)</f>
        <v>19672.3584172475</v>
      </c>
      <c r="J146" s="18">
        <f>SUM(J138:J145)</f>
        <v>13946.6962154802</v>
      </c>
      <c r="K146" s="18">
        <f>SUM(K138:K145)</f>
        <v>8609.04051355115</v>
      </c>
      <c r="L146" s="18">
        <f>SUM(L138:L145)</f>
        <v>1885.5446369676</v>
      </c>
      <c r="M146" s="18">
        <f>SUM(M138:M145)</f>
        <v>110.784706966434</v>
      </c>
    </row>
    <row r="147">
      <c r="A147" s="17" t="inlineStr">
        <is>
          <t>Total Liabilities</t>
        </is>
      </c>
      <c r="B147" s="18">
        <f>B134+B137+B146</f>
        <v>12489</v>
      </c>
      <c r="C147" s="18">
        <f>C134+C137+C146</f>
        <v>35476</v>
      </c>
      <c r="D147" s="18">
        <f>D134+D137+D146</f>
        <v>6842</v>
      </c>
      <c r="E147" s="18">
        <f>E134+E137+E146</f>
        <v>41123</v>
      </c>
      <c r="F147" s="18">
        <f>F134+F137+F146</f>
        <v>38404.1484601881</v>
      </c>
      <c r="G147" s="18">
        <f>G134+G137+G146</f>
        <v>35141.811631341</v>
      </c>
      <c r="H147" s="18">
        <f>H134+H137+H146</f>
        <v>31284.6185763935</v>
      </c>
      <c r="I147" s="18">
        <f>I134+I137+I146</f>
        <v>26679.5282779431</v>
      </c>
      <c r="J147" s="18">
        <f>J134+J137+J146</f>
        <v>21282.4193127927</v>
      </c>
      <c r="K147" s="18">
        <f>K134+K137+K146</f>
        <v>16365.9916293112</v>
      </c>
      <c r="L147" s="18">
        <f>L134+L137+L146</f>
        <v>9986.08139712708</v>
      </c>
      <c r="M147" s="18">
        <f>M134+M137+M146</f>
        <v>8535.34293753229</v>
      </c>
    </row>
    <row r="148">
      <c r="A148" s="17" t="inlineStr">
        <is>
          <t>EQUITY</t>
        </is>
      </c>
    </row>
    <row r="149">
      <c r="A149" s="6" t="inlineStr">
        <is>
          <t>Old Equity (eliminated)</t>
        </is>
      </c>
      <c r="B149" s="30" t="n">
        <v>8443</v>
      </c>
      <c r="D149" s="24">
        <f>B149</f>
        <v>8443</v>
      </c>
      <c r="E149" s="24">
        <f>B149+C149-D149</f>
        <v>0</v>
      </c>
      <c r="F149" s="24">
        <f>E149</f>
        <v>0</v>
      </c>
      <c r="G149" s="24">
        <f>F149</f>
        <v>0</v>
      </c>
      <c r="H149" s="24">
        <f>G149</f>
        <v>0</v>
      </c>
      <c r="I149" s="24">
        <f>H149</f>
        <v>0</v>
      </c>
      <c r="J149" s="24">
        <f>I149</f>
        <v>0</v>
      </c>
      <c r="K149" s="24">
        <f>J149</f>
        <v>0</v>
      </c>
      <c r="L149" s="24">
        <f>K149</f>
        <v>0</v>
      </c>
      <c r="M149" s="24">
        <f>L149</f>
        <v>0</v>
      </c>
    </row>
    <row r="150">
      <c r="A150" s="6" t="inlineStr">
        <is>
          <t>Seller Debt II</t>
        </is>
      </c>
      <c r="B150" s="30" t="n">
        <v>0</v>
      </c>
      <c r="E150" s="24">
        <f>B150+C150-D150</f>
        <v>0</v>
      </c>
      <c r="F150" s="24">
        <f>E150</f>
        <v>0</v>
      </c>
      <c r="G150" s="24">
        <f>F150</f>
        <v>0</v>
      </c>
      <c r="H150" s="24">
        <f>G150</f>
        <v>0</v>
      </c>
      <c r="I150" s="24">
        <f>H150</f>
        <v>0</v>
      </c>
      <c r="J150" s="24">
        <f>I150</f>
        <v>0</v>
      </c>
      <c r="K150" s="24">
        <f>J150</f>
        <v>0</v>
      </c>
      <c r="L150" s="24">
        <f>K150</f>
        <v>0</v>
      </c>
      <c r="M150" s="24">
        <f>L150</f>
        <v>0</v>
      </c>
    </row>
    <row r="151">
      <c r="A151" s="6" t="inlineStr">
        <is>
          <t>Retained Earnings</t>
        </is>
      </c>
      <c r="B151" s="30" t="n">
        <v>0</v>
      </c>
      <c r="E151" s="24">
        <f>B151+C151-D151</f>
        <v>0</v>
      </c>
      <c r="F151" s="24">
        <f>E151+F162</f>
        <v>3622.73046373333</v>
      </c>
      <c r="G151" s="24">
        <f>F151+G162</f>
        <v>7917.04404470139</v>
      </c>
      <c r="H151" s="24">
        <f>G151+H162</f>
        <v>12925.3848915084</v>
      </c>
      <c r="I151" s="24">
        <f>H151+I162</f>
        <v>18650.3904553055</v>
      </c>
      <c r="J151" s="24">
        <f>I151+J162</f>
        <v>25129.1551117497</v>
      </c>
      <c r="K151" s="24">
        <f>J151+K162</f>
        <v>32662.9087853888</v>
      </c>
      <c r="L151" s="24">
        <f>K151+L162</f>
        <v>41192.4862952079</v>
      </c>
      <c r="M151" s="24">
        <f>L151+M162</f>
        <v>50513.1913491731</v>
      </c>
    </row>
    <row r="152">
      <c r="A152" s="6" t="inlineStr">
        <is>
          <t>Rollover Equity</t>
        </is>
      </c>
      <c r="B152" s="30" t="n">
        <v>0</v>
      </c>
      <c r="C152" s="24">
        <f>$K$17</f>
        <v>8868.2</v>
      </c>
      <c r="E152" s="24">
        <f>B152+C152-D152</f>
        <v>8868.2</v>
      </c>
      <c r="F152" s="24">
        <f>E152</f>
        <v>8868.2</v>
      </c>
      <c r="G152" s="24">
        <f>F152</f>
        <v>8868.2</v>
      </c>
      <c r="H152" s="24">
        <f>G152</f>
        <v>8868.2</v>
      </c>
      <c r="I152" s="24">
        <f>H152</f>
        <v>8868.2</v>
      </c>
      <c r="J152" s="24">
        <f>I152</f>
        <v>8868.2</v>
      </c>
      <c r="K152" s="24">
        <f>J152</f>
        <v>8868.2</v>
      </c>
      <c r="L152" s="24">
        <f>K152</f>
        <v>8868.2</v>
      </c>
      <c r="M152" s="24">
        <f>L152</f>
        <v>8868.2</v>
      </c>
    </row>
    <row r="153">
      <c r="A153" s="6" t="inlineStr">
        <is>
          <t>New Equity (Sponsor Preferred + Common)</t>
        </is>
      </c>
      <c r="B153" s="30" t="n">
        <v>0</v>
      </c>
      <c r="C153" s="24">
        <f>$K$18+$K$19</f>
        <v>14238.8</v>
      </c>
      <c r="E153" s="24">
        <f>B153+C153-D153</f>
        <v>14238.8</v>
      </c>
      <c r="F153" s="24">
        <f>E153</f>
        <v>14238.8</v>
      </c>
      <c r="G153" s="24">
        <f>F153</f>
        <v>14238.8</v>
      </c>
      <c r="H153" s="24">
        <f>G153</f>
        <v>14238.8</v>
      </c>
      <c r="I153" s="24">
        <f>H153</f>
        <v>14238.8</v>
      </c>
      <c r="J153" s="24">
        <f>I153</f>
        <v>14238.8</v>
      </c>
      <c r="K153" s="24">
        <f>J153</f>
        <v>14238.8</v>
      </c>
      <c r="L153" s="24">
        <f>K153</f>
        <v>14238.8</v>
      </c>
      <c r="M153" s="24">
        <f>L153</f>
        <v>14238.8</v>
      </c>
    </row>
    <row r="154">
      <c r="A154" s="17" t="inlineStr">
        <is>
          <t>Total Equity</t>
        </is>
      </c>
      <c r="B154" s="18">
        <f>SUM(B149:B153)</f>
        <v>8443</v>
      </c>
      <c r="C154" s="18">
        <f>SUM(C149:C153)</f>
        <v>23107</v>
      </c>
      <c r="D154" s="18">
        <f>SUM(D149:D153)</f>
        <v>8443</v>
      </c>
      <c r="E154" s="18">
        <f>SUM(E149:E153)</f>
        <v>23107</v>
      </c>
      <c r="F154" s="18">
        <f>SUM(F149:F153)</f>
        <v>26729.7304637333</v>
      </c>
      <c r="G154" s="18">
        <f>SUM(G149:G153)</f>
        <v>31024.0440447014</v>
      </c>
      <c r="H154" s="18">
        <f>SUM(H149:H153)</f>
        <v>36032.3848915084</v>
      </c>
      <c r="I154" s="18">
        <f>SUM(I149:I153)</f>
        <v>41757.3904553055</v>
      </c>
      <c r="J154" s="18">
        <f>SUM(J149:J153)</f>
        <v>48236.1551117497</v>
      </c>
      <c r="K154" s="18">
        <f>SUM(K149:K153)</f>
        <v>55769.9087853888</v>
      </c>
      <c r="L154" s="18">
        <f>SUM(L149:L153)</f>
        <v>64299.4862952079</v>
      </c>
      <c r="M154" s="18">
        <f>SUM(M149:M153)</f>
        <v>73620.1913491731</v>
      </c>
    </row>
    <row r="155">
      <c r="A155" s="17" t="inlineStr">
        <is>
          <t>Total Liabilities &amp; Equity</t>
        </is>
      </c>
      <c r="B155" s="19">
        <f>B147+B154</f>
        <v>20932</v>
      </c>
      <c r="C155" s="19">
        <f>C147+C154</f>
        <v>58583</v>
      </c>
      <c r="D155" s="19">
        <f>D147+D154</f>
        <v>15285</v>
      </c>
      <c r="E155" s="19">
        <f>E147+E154</f>
        <v>64230</v>
      </c>
      <c r="F155" s="19">
        <f>F147+F154</f>
        <v>65133.8789239215</v>
      </c>
      <c r="G155" s="19">
        <f>G147+G154</f>
        <v>66165.8556760424</v>
      </c>
      <c r="H155" s="19">
        <f>H147+H154</f>
        <v>67317.0034679018</v>
      </c>
      <c r="I155" s="19">
        <f>I147+I154</f>
        <v>68436.9187332486</v>
      </c>
      <c r="J155" s="19">
        <f>J147+J154</f>
        <v>69518.5744245424</v>
      </c>
      <c r="K155" s="19">
        <f>K147+K154</f>
        <v>72135.9004147</v>
      </c>
      <c r="L155" s="19">
        <f>L147+L154</f>
        <v>74285.567692335</v>
      </c>
      <c r="M155" s="19">
        <f>M147+M154</f>
        <v>82155.5342867054</v>
      </c>
    </row>
    <row r="156">
      <c r="A156" s="11" t="inlineStr">
        <is>
          <t>Check: Assets - Liabilities &amp; Equity (must be 0.000)</t>
        </is>
      </c>
      <c r="B156" s="44">
        <f>B127-B155</f>
        <v>0</v>
      </c>
      <c r="E156" s="44">
        <f>E127-E155</f>
        <v>0</v>
      </c>
      <c r="F156" s="44">
        <f>F127-F155</f>
        <v>0</v>
      </c>
      <c r="G156" s="44">
        <f>G127-G155</f>
        <v>0</v>
      </c>
      <c r="H156" s="44">
        <f>H127-H155</f>
        <v>0</v>
      </c>
      <c r="I156" s="44">
        <f>I127-I155</f>
        <v>0</v>
      </c>
      <c r="J156" s="44">
        <f>J127-J155</f>
        <v>0</v>
      </c>
      <c r="K156" s="44">
        <f>K127-K155</f>
        <v>0</v>
      </c>
      <c r="L156" s="44">
        <f>L127-L155</f>
        <v>0</v>
      </c>
      <c r="M156" s="44">
        <f>M127-M155</f>
        <v>0</v>
      </c>
    </row>
    <row r="157">
      <c r="A157" s="11" t="inlineStr">
        <is>
          <t>(1) Sponsor estimate based on interim balance sheets provided by the Company; subject to closing working capital adjustment.</t>
        </is>
      </c>
    </row>
    <row r="158">
      <c r="A158" s="11" t="inlineStr">
        <is>
          <t>(2) Actual goodwill / intangibles split subject to purchase price allocation (PPA).</t>
        </is>
      </c>
    </row>
    <row r="160">
      <c r="A160" s="35" t="inlineStr">
        <is>
          <t>PROJECTED CASH FLOW STATEMENT</t>
        </is>
      </c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</row>
    <row r="161">
      <c r="F161" s="41" t="str">
        <f>Model!F30</f>
        <v>FY2026E</v>
      </c>
      <c r="G161" s="41" t="str">
        <f>Model!G30</f>
        <v>FY2027E</v>
      </c>
      <c r="H161" s="41" t="str">
        <f>Model!H30</f>
        <v>FY2028E</v>
      </c>
      <c r="I161" s="41" t="str">
        <f>Model!I30</f>
        <v>FY2029E</v>
      </c>
      <c r="J161" s="41" t="str">
        <f>Model!J30</f>
        <v>FY2030E</v>
      </c>
      <c r="K161" s="41" t="str">
        <f>Model!K30</f>
        <v>FY2031E</v>
      </c>
      <c r="L161" s="41" t="str">
        <f>Model!L30</f>
        <v>FY2032E</v>
      </c>
      <c r="M161" s="41" t="str">
        <f>Model!M30</f>
        <v>FY2033E</v>
      </c>
    </row>
    <row r="162">
      <c r="A162" s="6" t="inlineStr">
        <is>
          <t>Net Income</t>
        </is>
      </c>
      <c r="F162" s="24">
        <f>F110</f>
        <v>3622.73046373333</v>
      </c>
      <c r="G162" s="24">
        <f>G110</f>
        <v>4294.31358096806</v>
      </c>
      <c r="H162" s="24">
        <f>H110</f>
        <v>5008.34084680697</v>
      </c>
      <c r="I162" s="24">
        <f>I110</f>
        <v>5725.00556379712</v>
      </c>
      <c r="J162" s="24">
        <f>J110</f>
        <v>6478.76465644417</v>
      </c>
      <c r="K162" s="24">
        <f>K110</f>
        <v>7533.75367363919</v>
      </c>
      <c r="L162" s="24">
        <f>L110</f>
        <v>8529.57750981911</v>
      </c>
      <c r="M162" s="24">
        <f>M110</f>
        <v>9320.70505396514</v>
      </c>
    </row>
    <row r="163">
      <c r="A163" s="6" t="inlineStr">
        <is>
          <t>Depreciation &amp; Amortization</t>
        </is>
      </c>
      <c r="F163" s="24">
        <f>F88</f>
        <v>1242.91584</v>
      </c>
      <c r="G163" s="24">
        <f>G88</f>
        <v>1332.40578048</v>
      </c>
      <c r="H163" s="24">
        <f>H88</f>
        <v>1419.0121562112</v>
      </c>
      <c r="I163" s="24">
        <f>I88</f>
        <v>1504.15288558387</v>
      </c>
      <c r="J163" s="24">
        <f>J88</f>
        <v>1586.88129429099</v>
      </c>
      <c r="K163" s="24">
        <f>K88</f>
        <v>1666.22535900553</v>
      </c>
      <c r="L163" s="24">
        <f>L88</f>
        <v>1741.20550016078</v>
      </c>
      <c r="M163" s="24">
        <f>M88</f>
        <v>1810.85372016722</v>
      </c>
    </row>
    <row r="164">
      <c r="A164" s="6" t="inlineStr">
        <is>
          <t>Amortization of Financing / Transaction Costs</t>
        </is>
      </c>
      <c r="F164" s="24">
        <f>F90</f>
        <v>480</v>
      </c>
      <c r="G164" s="24">
        <f>G90</f>
        <v>480</v>
      </c>
      <c r="H164" s="24">
        <f>H90</f>
        <v>480</v>
      </c>
      <c r="I164" s="24">
        <f>I90</f>
        <v>480</v>
      </c>
      <c r="J164" s="24">
        <f>J90</f>
        <v>480</v>
      </c>
      <c r="K164" s="24">
        <f>K90</f>
        <v>0</v>
      </c>
      <c r="L164" s="24">
        <f>L90</f>
        <v>0</v>
      </c>
      <c r="M164" s="24">
        <f>M90</f>
        <v>0</v>
      </c>
    </row>
    <row r="165">
      <c r="A165" s="6" t="inlineStr">
        <is>
          <t>PIK Interest - Mezzanine</t>
        </is>
      </c>
      <c r="F165" s="24">
        <f>F102</f>
        <v>157.38</v>
      </c>
      <c r="G165" s="24">
        <f>G102</f>
        <v>160.5276</v>
      </c>
      <c r="H165" s="24">
        <f>H102</f>
        <v>163.738152</v>
      </c>
      <c r="I165" s="24">
        <f>I102</f>
        <v>167.01291504</v>
      </c>
      <c r="J165" s="24">
        <f>J102</f>
        <v>170.3531733408</v>
      </c>
      <c r="K165" s="24">
        <f>K102</f>
        <v>171.875878101605</v>
      </c>
      <c r="L165" s="24">
        <f>L102</f>
        <v>58.6992812905429</v>
      </c>
      <c r="M165" s="24">
        <f>M102</f>
        <v>1.17398562581086</v>
      </c>
    </row>
    <row r="166">
      <c r="A166" s="6" t="inlineStr">
        <is>
          <t>PIK Interest - Seller Note</t>
        </is>
      </c>
      <c r="F166" s="24">
        <f>F103</f>
        <v>240</v>
      </c>
      <c r="G166" s="24">
        <f>G103</f>
        <v>254.4</v>
      </c>
      <c r="H166" s="24">
        <f>H103</f>
        <v>269.664</v>
      </c>
      <c r="I166" s="24">
        <f>I103</f>
        <v>285.84384</v>
      </c>
      <c r="J166" s="24">
        <f>J103</f>
        <v>302.9944704</v>
      </c>
      <c r="K166" s="24">
        <f>K103</f>
        <v>321.174138624</v>
      </c>
      <c r="L166" s="24">
        <f>L103</f>
        <v>340.44458694144</v>
      </c>
      <c r="M166" s="24">
        <f>M103</f>
        <v>109.610721340624</v>
      </c>
    </row>
    <row r="167">
      <c r="A167" s="6" t="inlineStr">
        <is>
          <t>PIK Interest - Sub. Notes / Other</t>
        </is>
      </c>
      <c r="F167" s="7">
        <f>'Debt Schedules'!F87+'Debt Schedules'!F97</f>
        <v>0</v>
      </c>
      <c r="G167" s="7">
        <f>'Debt Schedules'!G87+'Debt Schedules'!G97</f>
        <v>0</v>
      </c>
      <c r="H167" s="7">
        <f>'Debt Schedules'!H87+'Debt Schedules'!H97</f>
        <v>0</v>
      </c>
      <c r="I167" s="7">
        <f>'Debt Schedules'!I87+'Debt Schedules'!I97</f>
        <v>0</v>
      </c>
      <c r="J167" s="7">
        <f>'Debt Schedules'!J87+'Debt Schedules'!J97</f>
        <v>0</v>
      </c>
      <c r="K167" s="7">
        <f>'Debt Schedules'!K87+'Debt Schedules'!K97</f>
        <v>0</v>
      </c>
      <c r="L167" s="7">
        <f>'Debt Schedules'!L87+'Debt Schedules'!L97</f>
        <v>0</v>
      </c>
      <c r="M167" s="7">
        <f>'Debt Schedules'!M87+'Debt Schedules'!M97</f>
        <v>0</v>
      </c>
    </row>
    <row r="168">
      <c r="A168" s="17" t="inlineStr">
        <is>
          <t>Total PIK Interest</t>
        </is>
      </c>
      <c r="F168" s="18">
        <f>SUM(F165:F167)</f>
        <v>397.38</v>
      </c>
      <c r="G168" s="18">
        <f>SUM(G165:G167)</f>
        <v>414.9276</v>
      </c>
      <c r="H168" s="18">
        <f>SUM(H165:H167)</f>
        <v>433.402152</v>
      </c>
      <c r="I168" s="18">
        <f>SUM(I165:I167)</f>
        <v>452.85675504</v>
      </c>
      <c r="J168" s="18">
        <f>SUM(J165:J167)</f>
        <v>473.3476437408</v>
      </c>
      <c r="K168" s="18">
        <f>SUM(K165:K167)</f>
        <v>493.050016725605</v>
      </c>
      <c r="L168" s="18">
        <f>SUM(L165:L167)</f>
        <v>399.143868231983</v>
      </c>
      <c r="M168" s="18">
        <f>SUM(M165:M167)</f>
        <v>110.784706966434</v>
      </c>
    </row>
    <row r="169">
      <c r="A169" s="6" t="inlineStr">
        <is>
          <t>Deferred Taxes</t>
        </is>
      </c>
      <c r="F169" s="30" t="n">
        <v>0</v>
      </c>
      <c r="G169" s="30" t="n">
        <v>0</v>
      </c>
      <c r="H169" s="30" t="n">
        <v>0</v>
      </c>
      <c r="I169" s="30" t="n">
        <v>0</v>
      </c>
      <c r="J169" s="30" t="n">
        <v>0</v>
      </c>
      <c r="K169" s="30" t="n">
        <v>0</v>
      </c>
      <c r="L169" s="30" t="n">
        <v>0</v>
      </c>
      <c r="M169" s="30" t="n">
        <v>0</v>
      </c>
    </row>
    <row r="170">
      <c r="A170" s="17" t="inlineStr">
        <is>
          <t>Operating Cash Flow</t>
        </is>
      </c>
      <c r="F170" s="18">
        <f>F162+F163+F164+F168+F169</f>
        <v>5743.02630373333</v>
      </c>
      <c r="G170" s="18">
        <f>G162+G163+G164+G168+G169</f>
        <v>6521.64696144806</v>
      </c>
      <c r="H170" s="18">
        <f>H162+H163+H164+H168+H169</f>
        <v>7340.75515501817</v>
      </c>
      <c r="I170" s="18">
        <f>I162+I163+I164+I168+I169</f>
        <v>8162.01520442099</v>
      </c>
      <c r="J170" s="18">
        <f>J162+J163+J164+J168+J169</f>
        <v>9018.99359447596</v>
      </c>
      <c r="K170" s="18">
        <f>K162+K163+K164+K168+K169</f>
        <v>9693.02904937033</v>
      </c>
      <c r="L170" s="18">
        <f>L162+L163+L164+L168+L169</f>
        <v>10669.9268782119</v>
      </c>
      <c r="M170" s="18">
        <f>M162+M163+M164+M168+M169</f>
        <v>11242.3434810988</v>
      </c>
    </row>
    <row r="171">
      <c r="A171" s="6" t="inlineStr">
        <is>
          <t>(Inc)/Dec in Accounts Receivable</t>
        </is>
      </c>
      <c r="F171" s="24">
        <f>E117-F117</f>
        <v>-371.354630136987</v>
      </c>
      <c r="G171" s="24">
        <f>F117-G117</f>
        <v>-336.489037150685</v>
      </c>
      <c r="H171" s="24">
        <f>G117-H117</f>
        <v>-458.669366847123</v>
      </c>
      <c r="I171" s="24">
        <f>H117-I117</f>
        <v>-384.450782048089</v>
      </c>
      <c r="J171" s="24">
        <f>I117-J117</f>
        <v>-373.558009890058</v>
      </c>
      <c r="K171" s="24">
        <f>J117-K117</f>
        <v>-189.201980800802</v>
      </c>
      <c r="L171" s="24">
        <f>K117-L117</f>
        <v>-507.645016784792</v>
      </c>
      <c r="M171" s="24">
        <f>L117-M117</f>
        <v>-222.619881299097</v>
      </c>
    </row>
    <row r="172">
      <c r="A172" s="6" t="inlineStr">
        <is>
          <t>(Inc)/Dec in Inventory</t>
        </is>
      </c>
      <c r="F172" s="24">
        <f>E118-F118</f>
        <v>-170.649249315069</v>
      </c>
      <c r="G172" s="24">
        <f>F118-G118</f>
        <v>-305.380701338302</v>
      </c>
      <c r="H172" s="24">
        <f>G118-H118</f>
        <v>-379.019758181837</v>
      </c>
      <c r="I172" s="24">
        <f>H118-I118</f>
        <v>-385.782680824847</v>
      </c>
      <c r="J172" s="24">
        <f>I118-J118</f>
        <v>-328.341846282324</v>
      </c>
      <c r="K172" s="24">
        <f>J118-K118</f>
        <v>-324.058711797119</v>
      </c>
      <c r="L172" s="24">
        <f>K118-L118</f>
        <v>-238.389423585695</v>
      </c>
      <c r="M172" s="24">
        <f>L118-M118</f>
        <v>-222.66935238383</v>
      </c>
    </row>
    <row r="173">
      <c r="A173" s="6" t="inlineStr">
        <is>
          <t>(Inc)/Dec in Prepaid</t>
        </is>
      </c>
      <c r="F173" s="24">
        <f>E119-F119</f>
        <v>19.55904</v>
      </c>
      <c r="G173" s="24">
        <f>F119-G119</f>
        <v>-43.0877491200001</v>
      </c>
      <c r="H173" s="24">
        <f>G119-H119</f>
        <v>-41.6993660927999</v>
      </c>
      <c r="I173" s="24">
        <f>H119-I119</f>
        <v>-40.993684512768</v>
      </c>
      <c r="J173" s="24">
        <f>I119-J119</f>
        <v>-39.8321967849063</v>
      </c>
      <c r="K173" s="24">
        <f>J119-K119</f>
        <v>-38.2026978255236</v>
      </c>
      <c r="L173" s="24">
        <f>K119-L119</f>
        <v>-36.10154944512</v>
      </c>
      <c r="M173" s="24">
        <f>L119-M119</f>
        <v>-33.5343281512447</v>
      </c>
    </row>
    <row r="174">
      <c r="A174" s="6" t="inlineStr">
        <is>
          <t>(Inc)/Dec in Other Current Assets</t>
        </is>
      </c>
      <c r="F174" s="24">
        <f>E120-F120</f>
        <v>2.86431999999996</v>
      </c>
      <c r="G174" s="24">
        <f>F120-G120</f>
        <v>-13.25776896</v>
      </c>
      <c r="H174" s="24">
        <f>G120-H120</f>
        <v>-12.8305741824</v>
      </c>
      <c r="I174" s="24">
        <f>H120-I120</f>
        <v>-12.613441388544</v>
      </c>
      <c r="J174" s="24">
        <f>I120-J120</f>
        <v>-12.2560605492019</v>
      </c>
      <c r="K174" s="24">
        <f>J120-K120</f>
        <v>-11.7546762540073</v>
      </c>
      <c r="L174" s="24">
        <f>K120-L120</f>
        <v>-11.1081690600369</v>
      </c>
      <c r="M174" s="24">
        <f>L120-M120</f>
        <v>-10.3182548157677</v>
      </c>
    </row>
    <row r="175">
      <c r="A175" s="6" t="inlineStr">
        <is>
          <t>Inc/(Dec) in Accounts Payable</t>
        </is>
      </c>
      <c r="F175" s="24">
        <f>F130-E130</f>
        <v>3.32462465753451</v>
      </c>
      <c r="G175" s="24">
        <f>G130-F130</f>
        <v>130.787789894137</v>
      </c>
      <c r="H175" s="24">
        <f>H130-G130</f>
        <v>211.412439865932</v>
      </c>
      <c r="I175" s="24">
        <f>I130-H130</f>
        <v>168.280010853784</v>
      </c>
      <c r="J175" s="24">
        <f>J130-I130</f>
        <v>111.008161868494</v>
      </c>
      <c r="K175" s="24">
        <f>K130-J130</f>
        <v>212.58251493891</v>
      </c>
      <c r="L175" s="24">
        <f>L130-K130</f>
        <v>146.415643583805</v>
      </c>
      <c r="M175" s="24">
        <f>M130-L130</f>
        <v>140.872447426505</v>
      </c>
    </row>
    <row r="176">
      <c r="A176" s="6" t="inlineStr">
        <is>
          <t>Inc/(Dec) in Accrued Expenses</t>
        </is>
      </c>
      <c r="F176" s="24">
        <f>F131-E131</f>
        <v>119.865600000001</v>
      </c>
      <c r="G176" s="24">
        <f>G131-F131</f>
        <v>182.2943232</v>
      </c>
      <c r="H176" s="24">
        <f>H131-G131</f>
        <v>176.420395008</v>
      </c>
      <c r="I176" s="24">
        <f>I131-H131</f>
        <v>173.43481909248</v>
      </c>
      <c r="J176" s="24">
        <f>J131-I131</f>
        <v>168.520832551526</v>
      </c>
      <c r="K176" s="24">
        <f>K131-J131</f>
        <v>161.6267984926</v>
      </c>
      <c r="L176" s="24">
        <f>L131-K131</f>
        <v>152.737324575507</v>
      </c>
      <c r="M176" s="24">
        <f>M131-L131</f>
        <v>141.876003716805</v>
      </c>
    </row>
    <row r="177">
      <c r="A177" s="6" t="inlineStr">
        <is>
          <t>Inc/(Dec) in Accrued Product Liability</t>
        </is>
      </c>
      <c r="F177" s="24">
        <f>F132-E132</f>
        <v>29.3392000000001</v>
      </c>
      <c r="G177" s="24">
        <f>G132-F132</f>
        <v>33.1444224000001</v>
      </c>
      <c r="H177" s="24">
        <f>H132-G132</f>
        <v>32.076435456</v>
      </c>
      <c r="I177" s="24">
        <f>I132-H132</f>
        <v>31.53360347136</v>
      </c>
      <c r="J177" s="24">
        <f>J132-I132</f>
        <v>30.6401513730048</v>
      </c>
      <c r="K177" s="24">
        <f>K132-J132</f>
        <v>29.3866906350182</v>
      </c>
      <c r="L177" s="24">
        <f>L132-K132</f>
        <v>27.7704226500922</v>
      </c>
      <c r="M177" s="24">
        <f>M132-L132</f>
        <v>25.7956370394191</v>
      </c>
    </row>
    <row r="178">
      <c r="A178" s="6" t="inlineStr">
        <is>
          <t>Inc/(Dec) in Other Current Liabilities</t>
        </is>
      </c>
      <c r="F178" s="24">
        <f>F133-E133</f>
        <v>10.20352</v>
      </c>
      <c r="G178" s="24">
        <f>G133-F133</f>
        <v>19.88665344</v>
      </c>
      <c r="H178" s="24">
        <f>H133-G133</f>
        <v>19.2458612736</v>
      </c>
      <c r="I178" s="24">
        <f>I133-H133</f>
        <v>18.920162082816</v>
      </c>
      <c r="J178" s="24">
        <f>J133-I133</f>
        <v>18.3840908238029</v>
      </c>
      <c r="K178" s="24">
        <f>K133-J133</f>
        <v>17.6320143810109</v>
      </c>
      <c r="L178" s="24">
        <f>L133-K133</f>
        <v>16.6622535900553</v>
      </c>
      <c r="M178" s="24">
        <f>M133-L133</f>
        <v>15.4773822236514</v>
      </c>
    </row>
    <row r="179">
      <c r="A179" s="17" t="inlineStr">
        <is>
          <t>Total Changes in Working Capital</t>
        </is>
      </c>
      <c r="F179" s="18">
        <f>SUM(F171:F178)</f>
        <v>-356.847574794521</v>
      </c>
      <c r="G179" s="18">
        <f>SUM(G171:G178)</f>
        <v>-332.10206763485</v>
      </c>
      <c r="H179" s="18">
        <f>SUM(H171:H178)</f>
        <v>-453.063933700628</v>
      </c>
      <c r="I179" s="18">
        <f>SUM(I171:I178)</f>
        <v>-431.671993273808</v>
      </c>
      <c r="J179" s="18">
        <f>SUM(J171:J178)</f>
        <v>-425.434876889662</v>
      </c>
      <c r="K179" s="18">
        <f>SUM(K171:K178)</f>
        <v>-141.990048229912</v>
      </c>
      <c r="L179" s="18">
        <f>SUM(L171:L178)</f>
        <v>-449.658514476184</v>
      </c>
      <c r="M179" s="18">
        <f>SUM(M171:M178)</f>
        <v>-165.12034624356</v>
      </c>
    </row>
    <row r="180">
      <c r="A180" s="6" t="inlineStr">
        <is>
          <t>Capital Expenditures</t>
        </is>
      </c>
      <c r="F180" s="24">
        <f>-F35</f>
        <v>-1288.94976</v>
      </c>
      <c r="G180" s="24">
        <f>-G35</f>
        <v>-1381.75414272</v>
      </c>
      <c r="H180" s="24">
        <f>-H35</f>
        <v>-1471.5681619968</v>
      </c>
      <c r="I180" s="24">
        <f>-I35</f>
        <v>-1559.86225171661</v>
      </c>
      <c r="J180" s="24">
        <f>-J35</f>
        <v>-1645.65467556102</v>
      </c>
      <c r="K180" s="24">
        <f>-K35</f>
        <v>-1727.93740933907</v>
      </c>
      <c r="L180" s="24">
        <f>-L35</f>
        <v>-1805.69459275933</v>
      </c>
      <c r="M180" s="24">
        <f>-M35</f>
        <v>-1877.9223764697</v>
      </c>
    </row>
    <row r="181">
      <c r="A181" s="6" t="inlineStr">
        <is>
          <t>Change in Other Assets</t>
        </is>
      </c>
      <c r="F181" s="24">
        <f>(E123-F123)+(E124-F124)</f>
        <v>0</v>
      </c>
      <c r="G181" s="24">
        <f>(F123-G123)+(F124-G124)</f>
        <v>0</v>
      </c>
      <c r="H181" s="24">
        <f>(G123-H123)+(G124-H124)</f>
        <v>0</v>
      </c>
      <c r="I181" s="24">
        <f>(H123-I123)+(H124-I124)</f>
        <v>0</v>
      </c>
      <c r="J181" s="24">
        <f>(I123-J123)+(I124-J124)</f>
        <v>0</v>
      </c>
      <c r="K181" s="24">
        <f>(J123-K123)+(J124-K124)</f>
        <v>0</v>
      </c>
      <c r="L181" s="24">
        <f>(K123-L123)+(K124-L124)</f>
        <v>0</v>
      </c>
      <c r="M181" s="24">
        <f>(L123-M123)+(L124-M124)</f>
        <v>0</v>
      </c>
    </row>
    <row r="182">
      <c r="A182" s="6" t="inlineStr">
        <is>
          <t>Change in Other Liabilities</t>
        </is>
      </c>
      <c r="F182" s="24">
        <f>F135-E135</f>
        <v>0</v>
      </c>
      <c r="G182" s="24">
        <f>G135-F135</f>
        <v>0</v>
      </c>
      <c r="H182" s="24">
        <f>H135-G135</f>
        <v>0</v>
      </c>
      <c r="I182" s="24">
        <f>I135-H135</f>
        <v>0</v>
      </c>
      <c r="J182" s="24">
        <f>J135-I135</f>
        <v>0</v>
      </c>
      <c r="K182" s="24">
        <f>K135-J135</f>
        <v>0</v>
      </c>
      <c r="L182" s="24">
        <f>L135-K135</f>
        <v>0</v>
      </c>
      <c r="M182" s="24">
        <f>M135-L135</f>
        <v>0</v>
      </c>
    </row>
    <row r="183">
      <c r="A183" s="17" t="inlineStr">
        <is>
          <t>Cash For Debt Service</t>
        </is>
      </c>
      <c r="F183" s="18">
        <f>F170+F179+F180+F181+F182</f>
        <v>4097.22896893881</v>
      </c>
      <c r="G183" s="18">
        <f>G170+G179+G180+G181+G182</f>
        <v>4807.79075109321</v>
      </c>
      <c r="H183" s="18">
        <f>H170+H179+H180+H181+H182</f>
        <v>5416.12305932074</v>
      </c>
      <c r="I183" s="18">
        <f>I170+I179+I180+I181+I182</f>
        <v>6170.48095943058</v>
      </c>
      <c r="J183" s="18">
        <f>J170+J179+J180+J181+J182</f>
        <v>6947.90404202528</v>
      </c>
      <c r="K183" s="18">
        <f>K170+K179+K180+K181+K182</f>
        <v>7823.10159180134</v>
      </c>
      <c r="L183" s="18">
        <f>L170+L179+L180+L181+L182</f>
        <v>8414.57377097636</v>
      </c>
      <c r="M183" s="18">
        <f>M170+M179+M180+M181+M182</f>
        <v>9199.30075838553</v>
      </c>
    </row>
    <row r="184">
      <c r="A184" s="11" t="inlineStr">
        <is>
          <t xml:space="preserve">   Cumulative</t>
        </is>
      </c>
      <c r="F184" s="24">
        <f>SUM($F183:F183)</f>
        <v>4097.22896893881</v>
      </c>
      <c r="G184" s="24">
        <f>SUM($F183:G183)</f>
        <v>8905.01972003202</v>
      </c>
      <c r="H184" s="24">
        <f>SUM($F183:H183)</f>
        <v>14321.1427793528</v>
      </c>
      <c r="I184" s="24">
        <f>SUM($F183:I183)</f>
        <v>20491.6237387833</v>
      </c>
      <c r="J184" s="24">
        <f>SUM($F183:J183)</f>
        <v>27439.5277808086</v>
      </c>
      <c r="K184" s="24">
        <f>SUM($F183:K183)</f>
        <v>35262.62937261</v>
      </c>
      <c r="L184" s="24">
        <f>SUM($F183:L183)</f>
        <v>43677.2031435863</v>
      </c>
      <c r="M184" s="24">
        <f>SUM($F183:M183)</f>
        <v>52876.5039019718</v>
      </c>
    </row>
    <row r="185">
      <c r="A185" s="17" t="inlineStr">
        <is>
          <t>Total Scheduled Amortization:</t>
        </is>
      </c>
    </row>
    <row r="186">
      <c r="A186" s="6" t="inlineStr">
        <is>
          <t xml:space="preserve">   Revolver</t>
        </is>
      </c>
      <c r="F186" s="7">
        <f>'Debt Schedules'!F9</f>
        <v>-0</v>
      </c>
      <c r="G186" s="7">
        <f>'Debt Schedules'!G9</f>
        <v>-0</v>
      </c>
      <c r="H186" s="7">
        <f>'Debt Schedules'!H9</f>
        <v>-0</v>
      </c>
      <c r="I186" s="7">
        <f>'Debt Schedules'!I9</f>
        <v>-0</v>
      </c>
      <c r="J186" s="7">
        <f>'Debt Schedules'!J9</f>
        <v>-0</v>
      </c>
      <c r="K186" s="7">
        <f>'Debt Schedules'!K9</f>
        <v>-0</v>
      </c>
      <c r="L186" s="7">
        <f>'Debt Schedules'!L9</f>
        <v>-0</v>
      </c>
      <c r="M186" s="7">
        <f>'Debt Schedules'!M9</f>
        <v>-0</v>
      </c>
    </row>
    <row r="187">
      <c r="A187" s="6" t="inlineStr">
        <is>
          <t xml:space="preserve">   Term Loan A</t>
        </is>
      </c>
      <c r="F187" s="7">
        <f>'Debt Schedules'!F22</f>
        <v>-2360.7</v>
      </c>
      <c r="G187" s="7">
        <f>'Debt Schedules'!G22</f>
        <v>-2360.7</v>
      </c>
      <c r="H187" s="7">
        <f>'Debt Schedules'!H22</f>
        <v>-2360.7</v>
      </c>
      <c r="I187" s="7">
        <f>'Debt Schedules'!I22</f>
        <v>-2360.7</v>
      </c>
      <c r="J187" s="7">
        <f>'Debt Schedules'!J22</f>
        <v>-2360.7</v>
      </c>
      <c r="K187" s="7">
        <f>'Debt Schedules'!K22</f>
        <v>-0</v>
      </c>
      <c r="L187" s="7">
        <f>'Debt Schedules'!L22</f>
        <v>-0</v>
      </c>
      <c r="M187" s="7">
        <f>'Debt Schedules'!M22</f>
        <v>-0</v>
      </c>
    </row>
    <row r="188">
      <c r="A188" s="6" t="inlineStr">
        <is>
          <t xml:space="preserve">   Term Loan B</t>
        </is>
      </c>
      <c r="F188" s="7">
        <f>'Debt Schedules'!F32</f>
        <v>-0</v>
      </c>
      <c r="G188" s="7">
        <f>'Debt Schedules'!G32</f>
        <v>-0</v>
      </c>
      <c r="H188" s="7">
        <f>'Debt Schedules'!H32</f>
        <v>-0</v>
      </c>
      <c r="I188" s="7">
        <f>'Debt Schedules'!I32</f>
        <v>-0</v>
      </c>
      <c r="J188" s="7">
        <f>'Debt Schedules'!J32</f>
        <v>-0</v>
      </c>
      <c r="K188" s="7">
        <f>'Debt Schedules'!K32</f>
        <v>-0</v>
      </c>
      <c r="L188" s="7">
        <f>'Debt Schedules'!L32</f>
        <v>-0</v>
      </c>
      <c r="M188" s="7">
        <f>'Debt Schedules'!M32</f>
        <v>-0</v>
      </c>
    </row>
    <row r="189">
      <c r="A189" s="6" t="inlineStr">
        <is>
          <t xml:space="preserve">   Second Lien</t>
        </is>
      </c>
      <c r="F189" s="7">
        <f>'Debt Schedules'!F42</f>
        <v>-0</v>
      </c>
      <c r="G189" s="7">
        <f>'Debt Schedules'!G42</f>
        <v>-0</v>
      </c>
      <c r="H189" s="7">
        <f>'Debt Schedules'!H42</f>
        <v>-0</v>
      </c>
      <c r="I189" s="7">
        <f>'Debt Schedules'!I42</f>
        <v>-0</v>
      </c>
      <c r="J189" s="7">
        <f>'Debt Schedules'!J42</f>
        <v>-0</v>
      </c>
      <c r="K189" s="7">
        <f>'Debt Schedules'!K42</f>
        <v>-0</v>
      </c>
      <c r="L189" s="7">
        <f>'Debt Schedules'!L42</f>
        <v>-0</v>
      </c>
      <c r="M189" s="7">
        <f>'Debt Schedules'!M42</f>
        <v>-0</v>
      </c>
    </row>
    <row r="190">
      <c r="A190" s="6" t="inlineStr">
        <is>
          <t xml:space="preserve">   Senior Notes</t>
        </is>
      </c>
      <c r="F190" s="7">
        <f>'Debt Schedules'!F52</f>
        <v>-0</v>
      </c>
      <c r="G190" s="7">
        <f>'Debt Schedules'!G52</f>
        <v>-0</v>
      </c>
      <c r="H190" s="7">
        <f>'Debt Schedules'!H52</f>
        <v>-0</v>
      </c>
      <c r="I190" s="7">
        <f>'Debt Schedules'!I52</f>
        <v>-0</v>
      </c>
      <c r="J190" s="7">
        <f>'Debt Schedules'!J52</f>
        <v>-0</v>
      </c>
      <c r="K190" s="7">
        <f>'Debt Schedules'!K52</f>
        <v>-0</v>
      </c>
      <c r="L190" s="7">
        <f>'Debt Schedules'!L52</f>
        <v>-0</v>
      </c>
      <c r="M190" s="7">
        <f>'Debt Schedules'!M52</f>
        <v>-0</v>
      </c>
    </row>
    <row r="191">
      <c r="A191" s="6" t="inlineStr">
        <is>
          <t xml:space="preserve">   Mezzanine</t>
        </is>
      </c>
      <c r="F191" s="7">
        <f>'Debt Schedules'!F62</f>
        <v>-0</v>
      </c>
      <c r="G191" s="7">
        <f>'Debt Schedules'!G62</f>
        <v>-0</v>
      </c>
      <c r="H191" s="7">
        <f>'Debt Schedules'!H62</f>
        <v>-0</v>
      </c>
      <c r="I191" s="7">
        <f>'Debt Schedules'!I62</f>
        <v>-0</v>
      </c>
      <c r="J191" s="7">
        <f>'Debt Schedules'!J62</f>
        <v>-0</v>
      </c>
      <c r="K191" s="7">
        <f>'Debt Schedules'!K62</f>
        <v>-0</v>
      </c>
      <c r="L191" s="7">
        <f>'Debt Schedules'!L62</f>
        <v>-0</v>
      </c>
      <c r="M191" s="7">
        <f>'Debt Schedules'!M62</f>
        <v>-0</v>
      </c>
    </row>
    <row r="192">
      <c r="A192" s="6" t="inlineStr">
        <is>
          <t xml:space="preserve">   Seller Note</t>
        </is>
      </c>
      <c r="F192" s="7">
        <f>'Debt Schedules'!F72</f>
        <v>-0</v>
      </c>
      <c r="G192" s="7">
        <f>'Debt Schedules'!G72</f>
        <v>-0</v>
      </c>
      <c r="H192" s="7">
        <f>'Debt Schedules'!H72</f>
        <v>-0</v>
      </c>
      <c r="I192" s="7">
        <f>'Debt Schedules'!I72</f>
        <v>-0</v>
      </c>
      <c r="J192" s="7">
        <f>'Debt Schedules'!J72</f>
        <v>-0</v>
      </c>
      <c r="K192" s="7">
        <f>'Debt Schedules'!K72</f>
        <v>-0</v>
      </c>
      <c r="L192" s="7">
        <f>'Debt Schedules'!L72</f>
        <v>-0</v>
      </c>
      <c r="M192" s="7">
        <f>'Debt Schedules'!M72</f>
        <v>-0</v>
      </c>
    </row>
    <row r="193">
      <c r="A193" s="6" t="inlineStr">
        <is>
          <t xml:space="preserve">   Sub. Notes / Other</t>
        </is>
      </c>
      <c r="F193" s="7">
        <f>'Debt Schedules'!F82+'Debt Schedules'!F92</f>
        <v>-0</v>
      </c>
      <c r="G193" s="7">
        <f>'Debt Schedules'!G82+'Debt Schedules'!G92</f>
        <v>-0</v>
      </c>
      <c r="H193" s="7">
        <f>'Debt Schedules'!H82+'Debt Schedules'!H92</f>
        <v>-0</v>
      </c>
      <c r="I193" s="7">
        <f>'Debt Schedules'!I82+'Debt Schedules'!I92</f>
        <v>-0</v>
      </c>
      <c r="J193" s="7">
        <f>'Debt Schedules'!J82+'Debt Schedules'!J92</f>
        <v>-0</v>
      </c>
      <c r="K193" s="7">
        <f>'Debt Schedules'!K82+'Debt Schedules'!K92</f>
        <v>-0</v>
      </c>
      <c r="L193" s="7">
        <f>'Debt Schedules'!L82+'Debt Schedules'!L92</f>
        <v>-0</v>
      </c>
      <c r="M193" s="7">
        <f>'Debt Schedules'!M82+'Debt Schedules'!M92</f>
        <v>-0</v>
      </c>
    </row>
    <row r="194">
      <c r="A194" s="17" t="inlineStr">
        <is>
          <t>Total Scheduled Amortization</t>
        </is>
      </c>
      <c r="F194" s="18">
        <f>SUM(F186:F193)</f>
        <v>-2360.7</v>
      </c>
      <c r="G194" s="18">
        <f>SUM(G186:G193)</f>
        <v>-2360.7</v>
      </c>
      <c r="H194" s="18">
        <f>SUM(H186:H193)</f>
        <v>-2360.7</v>
      </c>
      <c r="I194" s="18">
        <f>SUM(I186:I193)</f>
        <v>-2360.7</v>
      </c>
      <c r="J194" s="18">
        <f>SUM(J186:J193)</f>
        <v>-2360.7</v>
      </c>
      <c r="K194" s="18">
        <f>SUM(K186:K193)</f>
        <v>0</v>
      </c>
      <c r="L194" s="18">
        <f>SUM(L186:L193)</f>
        <v>0</v>
      </c>
      <c r="M194" s="18">
        <f>SUM(M186:M193)</f>
        <v>0</v>
      </c>
    </row>
    <row r="195">
      <c r="A195" s="6" t="inlineStr">
        <is>
          <t>Earnout / Other Non-Recurring</t>
        </is>
      </c>
      <c r="F195" s="30" t="n">
        <v>0</v>
      </c>
      <c r="G195" s="30" t="n">
        <v>0</v>
      </c>
      <c r="H195" s="30" t="n">
        <v>0</v>
      </c>
      <c r="I195" s="30" t="n">
        <v>0</v>
      </c>
      <c r="J195" s="30" t="n">
        <v>0</v>
      </c>
      <c r="K195" s="30" t="n">
        <v>0</v>
      </c>
      <c r="L195" s="30" t="n">
        <v>0</v>
      </c>
      <c r="M195" s="30" t="n">
        <v>0</v>
      </c>
    </row>
    <row r="196">
      <c r="A196" s="17" t="inlineStr">
        <is>
          <t>Excess Cash Flow (1)</t>
        </is>
      </c>
      <c r="F196" s="31">
        <f>MAX(0,(F208+F183+F194+F195)-Assump_CapStructure!$F$19)</f>
        <v>1836.52896893881</v>
      </c>
      <c r="G196" s="31">
        <f>MAX(0,(G208+G183+G194+G195)-Assump_CapStructure!$F$19)</f>
        <v>3365.35523556261</v>
      </c>
      <c r="H196" s="31">
        <f>MAX(0,(H208+H183+H194+H195)-Assump_CapStructure!$F$19)</f>
        <v>4738.10067710205</v>
      </c>
      <c r="I196" s="31">
        <f>MAX(0,(I208+I183+I194+I195)-Assump_CapStructure!$F$19)</f>
        <v>6178.8312979816</v>
      </c>
      <c r="J196" s="31">
        <f>MAX(0,(J208+J183+J194+J195)-Assump_CapStructure!$F$19)</f>
        <v>7676.61969101607</v>
      </c>
      <c r="K196" s="31">
        <f>MAX(0,(K208+K183+K194+K195)-Assump_CapStructure!$F$19)</f>
        <v>11661.4114373094</v>
      </c>
      <c r="L196" s="31">
        <f>MAX(0,(L208+L183+L194+L195)-Assump_CapStructure!$F$19)</f>
        <v>14245.279489631</v>
      </c>
      <c r="M196" s="31">
        <f>MAX(0,(M208+M183+M194+M195)-Assump_CapStructure!$F$19)</f>
        <v>16321.9405032011</v>
      </c>
    </row>
    <row r="197">
      <c r="A197" s="17" t="inlineStr">
        <is>
          <t>Voluntary Debt (Redemption) / Borrowing (1):</t>
        </is>
      </c>
    </row>
    <row r="198">
      <c r="A198" s="6" t="inlineStr">
        <is>
          <t xml:space="preserve">   Revolver Borrowing / (Repayment)</t>
        </is>
      </c>
      <c r="F198" s="7">
        <f>MIN(MAX(0,Assump_CapStructure!$F$19-(F208+F183+F194+F195)),Assump_CapStructure!$D$50-'Debt Schedules'!F8)-MIN('Debt Schedules'!F8,(Assump_CapStructure!$F$17*Assump_CapStructure!$F$18*F196))</f>
        <v>0</v>
      </c>
      <c r="G198" s="7">
        <f>MIN(MAX(0,Assump_CapStructure!$F$19-(G208+G183+G194+G195)),Assump_CapStructure!$D$50-'Debt Schedules'!G8)-MIN('Debt Schedules'!G8,(Assump_CapStructure!$F$17*Assump_CapStructure!$F$18*G196))</f>
        <v>0</v>
      </c>
      <c r="H198" s="7">
        <f>MIN(MAX(0,Assump_CapStructure!$F$19-(H208+H183+H194+H195)),Assump_CapStructure!$D$50-'Debt Schedules'!H8)-MIN('Debt Schedules'!H8,(Assump_CapStructure!$F$17*Assump_CapStructure!$F$18*H196))</f>
        <v>0</v>
      </c>
      <c r="I198" s="7">
        <f>MIN(MAX(0,Assump_CapStructure!$F$19-(I208+I183+I194+I195)),Assump_CapStructure!$D$50-'Debt Schedules'!I8)-MIN('Debt Schedules'!I8,(Assump_CapStructure!$F$17*Assump_CapStructure!$F$18*I196))</f>
        <v>0</v>
      </c>
      <c r="J198" s="7">
        <f>MIN(MAX(0,Assump_CapStructure!$F$19-(J208+J183+J194+J195)),Assump_CapStructure!$D$50-'Debt Schedules'!J8)-MIN('Debt Schedules'!J8,(Assump_CapStructure!$F$17*Assump_CapStructure!$F$18*J196))</f>
        <v>0</v>
      </c>
      <c r="K198" s="7">
        <f>MIN(MAX(0,Assump_CapStructure!$F$19-(K208+K183+K194+K195)),Assump_CapStructure!$D$50-'Debt Schedules'!K8)-MIN('Debt Schedules'!K8,(Assump_CapStructure!$F$17*Assump_CapStructure!$F$18*K196))</f>
        <v>0</v>
      </c>
      <c r="L198" s="7">
        <f>MIN(MAX(0,Assump_CapStructure!$F$19-(L208+L183+L194+L195)),Assump_CapStructure!$D$50-'Debt Schedules'!L8)-MIN('Debt Schedules'!L8,(Assump_CapStructure!$F$17*Assump_CapStructure!$F$18*L196))</f>
        <v>0</v>
      </c>
      <c r="M198" s="7">
        <f>MIN(MAX(0,Assump_CapStructure!$F$19-(M208+M183+M194+M195)),Assump_CapStructure!$D$50-'Debt Schedules'!M8)-MIN('Debt Schedules'!M8,(Assump_CapStructure!$F$17*Assump_CapStructure!$F$18*M196))</f>
        <v>0</v>
      </c>
    </row>
    <row r="199">
      <c r="A199" s="6" t="inlineStr">
        <is>
          <t xml:space="preserve">   Term Loan A</t>
        </is>
      </c>
      <c r="F199" s="7">
        <f>-MAX(0,MIN('Debt Schedules'!F21+'Debt Schedules'!F22,(Assump_CapStructure!$F$17*Assump_CapStructure!$F$18*F196)-MIN('Debt Schedules'!F8,(Assump_CapStructure!$F$17*Assump_CapStructure!$F$18*F196))))</f>
        <v>-918.264484469405</v>
      </c>
      <c r="G199" s="7">
        <f>-MAX(0,MIN('Debt Schedules'!G21+'Debt Schedules'!G22,(Assump_CapStructure!$F$17*Assump_CapStructure!$F$18*G196)-MIN('Debt Schedules'!G8,(Assump_CapStructure!$F$17*Assump_CapStructure!$F$18*G196))))</f>
        <v>-1682.67761778131</v>
      </c>
      <c r="H199" s="7">
        <f>-MAX(0,MIN('Debt Schedules'!H21+'Debt Schedules'!H22,(Assump_CapStructure!$F$17*Assump_CapStructure!$F$18*H196)-MIN('Debt Schedules'!H8,(Assump_CapStructure!$F$17*Assump_CapStructure!$F$18*H196))))</f>
        <v>-2369.05033855102</v>
      </c>
      <c r="I199" s="7">
        <f>-MAX(0,MIN('Debt Schedules'!I21+'Debt Schedules'!I22,(Assump_CapStructure!$F$17*Assump_CapStructure!$F$18*I196)-MIN('Debt Schedules'!I8,(Assump_CapStructure!$F$17*Assump_CapStructure!$F$18*I196))))</f>
        <v>-3089.4156489908</v>
      </c>
      <c r="J199" s="7">
        <f>-MAX(0,MIN('Debt Schedules'!J21+'Debt Schedules'!J22,(Assump_CapStructure!$F$17*Assump_CapStructure!$F$18*J196)-MIN('Debt Schedules'!J8,(Assump_CapStructure!$F$17*Assump_CapStructure!$F$18*J196))))</f>
        <v>-3744.09191020747</v>
      </c>
      <c r="K199" s="7">
        <f>-MAX(0,MIN('Debt Schedules'!K21+'Debt Schedules'!K22,(Assump_CapStructure!$F$17*Assump_CapStructure!$F$18*K196)-MIN('Debt Schedules'!K8,(Assump_CapStructure!$F$17*Assump_CapStructure!$F$18*K196))))</f>
        <v>-0</v>
      </c>
      <c r="L199" s="7">
        <f>-MAX(0,MIN('Debt Schedules'!L21+'Debt Schedules'!L22,(Assump_CapStructure!$F$17*Assump_CapStructure!$F$18*L196)-MIN('Debt Schedules'!L8,(Assump_CapStructure!$F$17*Assump_CapStructure!$F$18*L196))))</f>
        <v>-0</v>
      </c>
      <c r="M199" s="7">
        <f>-MAX(0,MIN('Debt Schedules'!M21+'Debt Schedules'!M22,(Assump_CapStructure!$F$17*Assump_CapStructure!$F$18*M196)-MIN('Debt Schedules'!M8,(Assump_CapStructure!$F$17*Assump_CapStructure!$F$18*M196))))</f>
        <v>-0</v>
      </c>
    </row>
    <row r="200">
      <c r="A200" s="6" t="inlineStr">
        <is>
          <t xml:space="preserve">   Term Loan B</t>
        </is>
      </c>
      <c r="F200" s="7">
        <f>-MAX(0,MIN('Debt Schedules'!F31+'Debt Schedules'!F32,(Assump_CapStructure!$F$17*Assump_CapStructure!$F$18*F196)-MIN('Debt Schedules'!F8,(Assump_CapStructure!$F$17*Assump_CapStructure!$F$18*F196))+F199))</f>
        <v>-0</v>
      </c>
      <c r="G200" s="7">
        <f>-MAX(0,MIN('Debt Schedules'!G31+'Debt Schedules'!G32,(Assump_CapStructure!$F$17*Assump_CapStructure!$F$18*G196)-MIN('Debt Schedules'!G8,(Assump_CapStructure!$F$17*Assump_CapStructure!$F$18*G196))+G199))</f>
        <v>-0</v>
      </c>
      <c r="H200" s="7">
        <f>-MAX(0,MIN('Debt Schedules'!H31+'Debt Schedules'!H32,(Assump_CapStructure!$F$17*Assump_CapStructure!$F$18*H196)-MIN('Debt Schedules'!H8,(Assump_CapStructure!$F$17*Assump_CapStructure!$F$18*H196))+H199))</f>
        <v>-0</v>
      </c>
      <c r="I200" s="7">
        <f>-MAX(0,MIN('Debt Schedules'!I31+'Debt Schedules'!I32,(Assump_CapStructure!$F$17*Assump_CapStructure!$F$18*I196)-MIN('Debt Schedules'!I8,(Assump_CapStructure!$F$17*Assump_CapStructure!$F$18*I196))+I199))</f>
        <v>-0</v>
      </c>
      <c r="J200" s="7">
        <f>-MAX(0,MIN('Debt Schedules'!J31+'Debt Schedules'!J32,(Assump_CapStructure!$F$17*Assump_CapStructure!$F$18*J196)-MIN('Debt Schedules'!J8,(Assump_CapStructure!$F$17*Assump_CapStructure!$F$18*J196))+J199))</f>
        <v>-0</v>
      </c>
      <c r="K200" s="7">
        <f>-MAX(0,MIN('Debt Schedules'!K31+'Debt Schedules'!K32,(Assump_CapStructure!$F$17*Assump_CapStructure!$F$18*K196)-MIN('Debt Schedules'!K8,(Assump_CapStructure!$F$17*Assump_CapStructure!$F$18*K196))+K199))</f>
        <v>-0</v>
      </c>
      <c r="L200" s="7">
        <f>-MAX(0,MIN('Debt Schedules'!L31+'Debt Schedules'!L32,(Assump_CapStructure!$F$17*Assump_CapStructure!$F$18*L196)-MIN('Debt Schedules'!L8,(Assump_CapStructure!$F$17*Assump_CapStructure!$F$18*L196))+L199))</f>
        <v>-0</v>
      </c>
      <c r="M200" s="7">
        <f>-MAX(0,MIN('Debt Schedules'!M31+'Debt Schedules'!M32,(Assump_CapStructure!$F$17*Assump_CapStructure!$F$18*M196)-MIN('Debt Schedules'!M8,(Assump_CapStructure!$F$17*Assump_CapStructure!$F$18*M196))+M199))</f>
        <v>-0</v>
      </c>
    </row>
    <row r="201">
      <c r="A201" s="6" t="inlineStr">
        <is>
          <t xml:space="preserve">   Second Lien</t>
        </is>
      </c>
      <c r="F201" s="7">
        <f>-MAX(0,MIN('Debt Schedules'!F41+'Debt Schedules'!F42,(Assump_CapStructure!$F$17*Assump_CapStructure!$F$18*F196)-MIN('Debt Schedules'!F8,(Assump_CapStructure!$F$17*Assump_CapStructure!$F$18*F196))+F199+F200))</f>
        <v>-0</v>
      </c>
      <c r="G201" s="7">
        <f>-MAX(0,MIN('Debt Schedules'!G41+'Debt Schedules'!G42,(Assump_CapStructure!$F$17*Assump_CapStructure!$F$18*G196)-MIN('Debt Schedules'!G8,(Assump_CapStructure!$F$17*Assump_CapStructure!$F$18*G196))+G199+G200))</f>
        <v>-0</v>
      </c>
      <c r="H201" s="7">
        <f>-MAX(0,MIN('Debt Schedules'!H41+'Debt Schedules'!H42,(Assump_CapStructure!$F$17*Assump_CapStructure!$F$18*H196)-MIN('Debt Schedules'!H8,(Assump_CapStructure!$F$17*Assump_CapStructure!$F$18*H196))+H199+H200))</f>
        <v>-0</v>
      </c>
      <c r="I201" s="7">
        <f>-MAX(0,MIN('Debt Schedules'!I41+'Debt Schedules'!I42,(Assump_CapStructure!$F$17*Assump_CapStructure!$F$18*I196)-MIN('Debt Schedules'!I8,(Assump_CapStructure!$F$17*Assump_CapStructure!$F$18*I196))+I199+I200))</f>
        <v>-0</v>
      </c>
      <c r="J201" s="7">
        <f>-MAX(0,MIN('Debt Schedules'!J41+'Debt Schedules'!J42,(Assump_CapStructure!$F$17*Assump_CapStructure!$F$18*J196)-MIN('Debt Schedules'!J8,(Assump_CapStructure!$F$17*Assump_CapStructure!$F$18*J196))+J199+J200))</f>
        <v>-0</v>
      </c>
      <c r="K201" s="7">
        <f>-MAX(0,MIN('Debt Schedules'!K41+'Debt Schedules'!K42,(Assump_CapStructure!$F$17*Assump_CapStructure!$F$18*K196)-MIN('Debt Schedules'!K8,(Assump_CapStructure!$F$17*Assump_CapStructure!$F$18*K196))+K199+K200))</f>
        <v>-0</v>
      </c>
      <c r="L201" s="7">
        <f>-MAX(0,MIN('Debt Schedules'!L41+'Debt Schedules'!L42,(Assump_CapStructure!$F$17*Assump_CapStructure!$F$18*L196)-MIN('Debt Schedules'!L8,(Assump_CapStructure!$F$17*Assump_CapStructure!$F$18*L196))+L199+L200))</f>
        <v>-0</v>
      </c>
      <c r="M201" s="7">
        <f>-MAX(0,MIN('Debt Schedules'!M41+'Debt Schedules'!M42,(Assump_CapStructure!$F$17*Assump_CapStructure!$F$18*M196)-MIN('Debt Schedules'!M8,(Assump_CapStructure!$F$17*Assump_CapStructure!$F$18*M196))+M199+M200))</f>
        <v>-0</v>
      </c>
    </row>
    <row r="202">
      <c r="A202" s="6" t="inlineStr">
        <is>
          <t xml:space="preserve">   Senior Notes</t>
        </is>
      </c>
      <c r="F202" s="7">
        <f>-MAX(0,MIN('Debt Schedules'!F51+'Debt Schedules'!F52,(Assump_CapStructure!$F$17*Assump_CapStructure!$F$18*F196)-MIN('Debt Schedules'!F8,(Assump_CapStructure!$F$17*Assump_CapStructure!$F$18*F196))+F199+F200+F201))</f>
        <v>-0</v>
      </c>
      <c r="G202" s="7">
        <f>-MAX(0,MIN('Debt Schedules'!G51+'Debt Schedules'!G52,(Assump_CapStructure!$F$17*Assump_CapStructure!$F$18*G196)-MIN('Debt Schedules'!G8,(Assump_CapStructure!$F$17*Assump_CapStructure!$F$18*G196))+G199+G200+G201))</f>
        <v>-0</v>
      </c>
      <c r="H202" s="7">
        <f>-MAX(0,MIN('Debt Schedules'!H51+'Debt Schedules'!H52,(Assump_CapStructure!$F$17*Assump_CapStructure!$F$18*H196)-MIN('Debt Schedules'!H8,(Assump_CapStructure!$F$17*Assump_CapStructure!$F$18*H196))+H199+H200+H201))</f>
        <v>-0</v>
      </c>
      <c r="I202" s="7">
        <f>-MAX(0,MIN('Debt Schedules'!I51+'Debt Schedules'!I52,(Assump_CapStructure!$F$17*Assump_CapStructure!$F$18*I196)-MIN('Debt Schedules'!I8,(Assump_CapStructure!$F$17*Assump_CapStructure!$F$18*I196))+I199+I200+I201))</f>
        <v>-0</v>
      </c>
      <c r="J202" s="7">
        <f>-MAX(0,MIN('Debt Schedules'!J51+'Debt Schedules'!J52,(Assump_CapStructure!$F$17*Assump_CapStructure!$F$18*J196)-MIN('Debt Schedules'!J8,(Assump_CapStructure!$F$17*Assump_CapStructure!$F$18*J196))+J199+J200+J201))</f>
        <v>-0</v>
      </c>
      <c r="K202" s="7">
        <f>-MAX(0,MIN('Debt Schedules'!K51+'Debt Schedules'!K52,(Assump_CapStructure!$F$17*Assump_CapStructure!$F$18*K196)-MIN('Debt Schedules'!K8,(Assump_CapStructure!$F$17*Assump_CapStructure!$F$18*K196))+K199+K200+K201))</f>
        <v>-0</v>
      </c>
      <c r="L202" s="7">
        <f>-MAX(0,MIN('Debt Schedules'!L51+'Debt Schedules'!L52,(Assump_CapStructure!$F$17*Assump_CapStructure!$F$18*L196)-MIN('Debt Schedules'!L8,(Assump_CapStructure!$F$17*Assump_CapStructure!$F$18*L196))+L199+L200+L201))</f>
        <v>-0</v>
      </c>
      <c r="M202" s="7">
        <f>-MAX(0,MIN('Debt Schedules'!M51+'Debt Schedules'!M52,(Assump_CapStructure!$F$17*Assump_CapStructure!$F$18*M196)-MIN('Debt Schedules'!M8,(Assump_CapStructure!$F$17*Assump_CapStructure!$F$18*M196))+M199+M200+M201))</f>
        <v>-0</v>
      </c>
    </row>
    <row r="203">
      <c r="A203" s="6" t="inlineStr">
        <is>
          <t xml:space="preserve">   Mezzanine</t>
        </is>
      </c>
      <c r="F203" s="7">
        <f>-MAX(0,MIN('Debt Schedules'!F61+'Debt Schedules'!F62,(Assump_CapStructure!$F$17*Assump_CapStructure!$F$18*F196)-MIN('Debt Schedules'!F8,(Assump_CapStructure!$F$17*Assump_CapStructure!$F$18*F196))+F199+F200+F201+F202))</f>
        <v>-0</v>
      </c>
      <c r="G203" s="7">
        <f>-MAX(0,MIN('Debt Schedules'!G61+'Debt Schedules'!G62,(Assump_CapStructure!$F$17*Assump_CapStructure!$F$18*G196)-MIN('Debt Schedules'!G8,(Assump_CapStructure!$F$17*Assump_CapStructure!$F$18*G196))+G199+G200+G201+G202))</f>
        <v>-0</v>
      </c>
      <c r="H203" s="7">
        <f>-MAX(0,MIN('Debt Schedules'!H61+'Debt Schedules'!H62,(Assump_CapStructure!$F$17*Assump_CapStructure!$F$18*H196)-MIN('Debt Schedules'!H8,(Assump_CapStructure!$F$17*Assump_CapStructure!$F$18*H196))+H199+H200+H201+H202))</f>
        <v>-0</v>
      </c>
      <c r="I203" s="7">
        <f>-MAX(0,MIN('Debt Schedules'!I61+'Debt Schedules'!I62,(Assump_CapStructure!$F$17*Assump_CapStructure!$F$18*I196)-MIN('Debt Schedules'!I8,(Assump_CapStructure!$F$17*Assump_CapStructure!$F$18*I196))+I199+I200+I201+I202))</f>
        <v>-0</v>
      </c>
      <c r="J203" s="7">
        <f>-MAX(0,MIN('Debt Schedules'!J61+'Debt Schedules'!J62,(Assump_CapStructure!$F$17*Assump_CapStructure!$F$18*J196)-MIN('Debt Schedules'!J8,(Assump_CapStructure!$F$17*Assump_CapStructure!$F$18*J196))+J199+J200+J201+J202))</f>
        <v>-94.2179353005708</v>
      </c>
      <c r="K203" s="7">
        <f>-MAX(0,MIN('Debt Schedules'!K61+'Debt Schedules'!K62,(Assump_CapStructure!$F$17*Assump_CapStructure!$F$18*K196)-MIN('Debt Schedules'!K8,(Assump_CapStructure!$F$17*Assump_CapStructure!$F$18*K196))+K199+K200+K201+K202))</f>
        <v>-5830.70571865469</v>
      </c>
      <c r="L203" s="7">
        <f>-MAX(0,MIN('Debt Schedules'!L61+'Debt Schedules'!L62,(Assump_CapStructure!$F$17*Assump_CapStructure!$F$18*L196)-MIN('Debt Schedules'!L8,(Assump_CapStructure!$F$17*Assump_CapStructure!$F$18*L196))+L199+L200+L201+L202))</f>
        <v>-2934.96406452715</v>
      </c>
      <c r="M203" s="7">
        <f>-MAX(0,MIN('Debt Schedules'!M61+'Debt Schedules'!M62,(Assump_CapStructure!$F$17*Assump_CapStructure!$F$18*M196)-MIN('Debt Schedules'!M8,(Assump_CapStructure!$F$17*Assump_CapStructure!$F$18*M196))+M199+M200+M201+M202))</f>
        <v>-58.6992812905429</v>
      </c>
    </row>
    <row r="204">
      <c r="A204" s="6" t="inlineStr">
        <is>
          <t xml:space="preserve">   Seller Note (prepaid last, after mezzanine)</t>
        </is>
      </c>
      <c r="F204" s="7">
        <f>-MAX(0,MIN('Debt Schedules'!F71+'Debt Schedules'!F72,(Assump_CapStructure!$F$17*Assump_CapStructure!$F$18*F196)-MIN('Debt Schedules'!F8,(Assump_CapStructure!$F$17*Assump_CapStructure!$F$18*F196))+F199+F200+F201+F202+F203))</f>
        <v>-0</v>
      </c>
      <c r="G204" s="7">
        <f>-MAX(0,MIN('Debt Schedules'!G71+'Debt Schedules'!G72,(Assump_CapStructure!$F$17*Assump_CapStructure!$F$18*G196)-MIN('Debt Schedules'!G8,(Assump_CapStructure!$F$17*Assump_CapStructure!$F$18*G196))+G199+G200+G201+G202+G203))</f>
        <v>-0</v>
      </c>
      <c r="H204" s="7">
        <f>-MAX(0,MIN('Debt Schedules'!H71+'Debt Schedules'!H72,(Assump_CapStructure!$F$17*Assump_CapStructure!$F$18*H196)-MIN('Debt Schedules'!H8,(Assump_CapStructure!$F$17*Assump_CapStructure!$F$18*H196))+H199+H200+H201+H202+H203))</f>
        <v>-0</v>
      </c>
      <c r="I204" s="7">
        <f>-MAX(0,MIN('Debt Schedules'!I71+'Debt Schedules'!I72,(Assump_CapStructure!$F$17*Assump_CapStructure!$F$18*I196)-MIN('Debt Schedules'!I8,(Assump_CapStructure!$F$17*Assump_CapStructure!$F$18*I196))+I199+I200+I201+I202+I203))</f>
        <v>-0</v>
      </c>
      <c r="J204" s="7">
        <f>-MAX(0,MIN('Debt Schedules'!J71+'Debt Schedules'!J72,(Assump_CapStructure!$F$17*Assump_CapStructure!$F$18*J196)-MIN('Debt Schedules'!J8,(Assump_CapStructure!$F$17*Assump_CapStructure!$F$18*J196))+J199+J200+J201+J202+J203))</f>
        <v>-0</v>
      </c>
      <c r="K204" s="7">
        <f>-MAX(0,MIN('Debt Schedules'!K71+'Debt Schedules'!K72,(Assump_CapStructure!$F$17*Assump_CapStructure!$F$18*K196)-MIN('Debt Schedules'!K8,(Assump_CapStructure!$F$17*Assump_CapStructure!$F$18*K196))+K199+K200+K201+K202+K203))</f>
        <v>-0</v>
      </c>
      <c r="L204" s="7">
        <f>-MAX(0,MIN('Debt Schedules'!L71+'Debt Schedules'!L72,(Assump_CapStructure!$F$17*Assump_CapStructure!$F$18*L196)-MIN('Debt Schedules'!L8,(Assump_CapStructure!$F$17*Assump_CapStructure!$F$18*L196))+L199+L200+L201+L202+L203))</f>
        <v>-4187.67568028838</v>
      </c>
      <c r="M204" s="7">
        <f>-MAX(0,MIN('Debt Schedules'!M71+'Debt Schedules'!M72,(Assump_CapStructure!$F$17*Assump_CapStructure!$F$18*M196)-MIN('Debt Schedules'!M8,(Assump_CapStructure!$F$17*Assump_CapStructure!$F$18*M196))+M199+M200+M201+M202+M203))</f>
        <v>-1826.84535567706</v>
      </c>
    </row>
    <row r="205">
      <c r="A205" s="6" t="inlineStr">
        <is>
          <t xml:space="preserve">   Sub. Notes / Other (no prepayment)</t>
        </is>
      </c>
      <c r="F205" s="30" t="n">
        <v>0</v>
      </c>
      <c r="G205" s="30" t="n">
        <v>0</v>
      </c>
      <c r="H205" s="30" t="n">
        <v>0</v>
      </c>
      <c r="I205" s="30" t="n">
        <v>0</v>
      </c>
      <c r="J205" s="30" t="n">
        <v>0</v>
      </c>
      <c r="K205" s="30" t="n">
        <v>0</v>
      </c>
      <c r="L205" s="30" t="n">
        <v>0</v>
      </c>
      <c r="M205" s="30" t="n">
        <v>0</v>
      </c>
    </row>
    <row r="206">
      <c r="A206" s="17" t="inlineStr">
        <is>
          <t>Total Voluntary Debt (Redemption) / Borrowing</t>
        </is>
      </c>
      <c r="F206" s="18">
        <f>SUM(F198:F205)</f>
        <v>-918.264484469405</v>
      </c>
      <c r="G206" s="18">
        <f>SUM(G198:G205)</f>
        <v>-1682.67761778131</v>
      </c>
      <c r="H206" s="18">
        <f>SUM(H198:H205)</f>
        <v>-2369.05033855102</v>
      </c>
      <c r="I206" s="18">
        <f>SUM(I198:I205)</f>
        <v>-3089.4156489908</v>
      </c>
      <c r="J206" s="18">
        <f>SUM(J198:J205)</f>
        <v>-3838.30984550804</v>
      </c>
      <c r="K206" s="18">
        <f>SUM(K198:K205)</f>
        <v>-5830.70571865469</v>
      </c>
      <c r="L206" s="18">
        <f>SUM(L198:L205)</f>
        <v>-7122.63974481552</v>
      </c>
      <c r="M206" s="18">
        <f>SUM(M198:M205)</f>
        <v>-1885.5446369676</v>
      </c>
    </row>
    <row r="207">
      <c r="A207" s="17" t="inlineStr">
        <is>
          <t>Net Cash Flow</t>
        </is>
      </c>
      <c r="F207" s="18">
        <f>F183+F194+F195+F206</f>
        <v>818.264484469405</v>
      </c>
      <c r="G207" s="18">
        <f>G183+G194+G195+G206</f>
        <v>764.413133311902</v>
      </c>
      <c r="H207" s="18">
        <f>H183+H194+H195+H206</f>
        <v>686.372720769717</v>
      </c>
      <c r="I207" s="18">
        <f>I183+I194+I195+I206</f>
        <v>720.365310439777</v>
      </c>
      <c r="J207" s="18">
        <f>J183+J194+J195+J206</f>
        <v>748.894196517237</v>
      </c>
      <c r="K207" s="18">
        <f>K183+K194+K195+K206</f>
        <v>1992.39587314665</v>
      </c>
      <c r="L207" s="18">
        <f>L183+L194+L195+L206</f>
        <v>1291.93402616084</v>
      </c>
      <c r="M207" s="18">
        <f>M183+M194+M195+M206</f>
        <v>7313.75612141792</v>
      </c>
    </row>
    <row r="208">
      <c r="A208" s="6" t="inlineStr">
        <is>
          <t>Beginning Cash Balance</t>
        </is>
      </c>
      <c r="F208" s="24">
        <f>E116</f>
        <v>1100</v>
      </c>
      <c r="G208" s="24">
        <f>F209</f>
        <v>1918.2644844694</v>
      </c>
      <c r="H208" s="24">
        <f>G209</f>
        <v>2682.67761778131</v>
      </c>
      <c r="I208" s="24">
        <f>H209</f>
        <v>3369.05033855102</v>
      </c>
      <c r="J208" s="24">
        <f>I209</f>
        <v>4089.4156489908</v>
      </c>
      <c r="K208" s="24">
        <f>J209</f>
        <v>4838.30984550804</v>
      </c>
      <c r="L208" s="24">
        <f>K209</f>
        <v>6830.70571865469</v>
      </c>
      <c r="M208" s="24">
        <f>L209</f>
        <v>8122.63974481553</v>
      </c>
    </row>
    <row r="209">
      <c r="A209" s="17" t="inlineStr">
        <is>
          <t>Cash Balance (End of Period)</t>
        </is>
      </c>
      <c r="F209" s="18">
        <f>F208+F207</f>
        <v>1918.2644844694</v>
      </c>
      <c r="G209" s="18">
        <f>G208+G207</f>
        <v>2682.67761778131</v>
      </c>
      <c r="H209" s="18">
        <f>H208+H207</f>
        <v>3369.05033855102</v>
      </c>
      <c r="I209" s="18">
        <f>I208+I207</f>
        <v>4089.4156489908</v>
      </c>
      <c r="J209" s="18">
        <f>J208+J207</f>
        <v>4838.30984550804</v>
      </c>
      <c r="K209" s="18">
        <f>K208+K207</f>
        <v>6830.70571865469</v>
      </c>
      <c r="L209" s="18">
        <f>L208+L207</f>
        <v>8122.63974481553</v>
      </c>
      <c r="M209" s="18">
        <f>M208+M207</f>
        <v>15436.3958662334</v>
      </c>
    </row>
    <row r="210">
      <c r="A210" s="11" t="inlineStr">
        <is>
          <t xml:space="preserve">   Memo: Minimum Cash Balance</t>
        </is>
      </c>
      <c r="F210" s="7">
        <f>Assump_CapStructure!$F$19</f>
        <v>1000</v>
      </c>
      <c r="G210" s="7">
        <f>Assump_CapStructure!$F$19</f>
        <v>1000</v>
      </c>
      <c r="H210" s="7">
        <f>Assump_CapStructure!$F$19</f>
        <v>1000</v>
      </c>
      <c r="I210" s="7">
        <f>Assump_CapStructure!$F$19</f>
        <v>1000</v>
      </c>
      <c r="J210" s="7">
        <f>Assump_CapStructure!$F$19</f>
        <v>1000</v>
      </c>
      <c r="K210" s="7">
        <f>Assump_CapStructure!$F$19</f>
        <v>1000</v>
      </c>
      <c r="L210" s="7">
        <f>Assump_CapStructure!$F$19</f>
        <v>1000</v>
      </c>
      <c r="M210" s="7">
        <f>Assump_CapStructure!$F$19</f>
        <v>1000</v>
      </c>
    </row>
    <row r="211">
      <c r="A211" s="11" t="inlineStr">
        <is>
          <t>(1) Reflects 50% excess cash flow sweep assumption (switch and % on Assump_CapStructure); applied to revolver, then term loans, then mezzanine, then the seller note.</t>
        </is>
      </c>
    </row>
    <row r="212">
      <c r="A212" s="35" t="inlineStr">
        <is>
          <t>GROSS RETURNS SUMMARY - EXIT IN YEAR 5 (FY2030E)</t>
        </is>
      </c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</row>
    <row r="213">
      <c r="A213" s="17" t="inlineStr">
        <is>
          <t>Exit Year EBITDA (FY2030E)</t>
        </is>
      </c>
      <c r="D213" s="24">
        <f>$J$85</f>
        <v>11754.6762540073</v>
      </c>
    </row>
    <row r="214">
      <c r="A214" s="17" t="inlineStr">
        <is>
          <t>Assumed Exit Multiple (x LTM EBITDA)</t>
        </is>
      </c>
      <c r="D214" s="23" t="n">
        <v>6</v>
      </c>
      <c r="E214" s="23" t="n">
        <v>6.5</v>
      </c>
      <c r="F214" s="23" t="n">
        <v>7</v>
      </c>
      <c r="G214" s="23" t="n">
        <v>7.5</v>
      </c>
      <c r="H214" s="23" t="n">
        <v>8</v>
      </c>
    </row>
    <row r="215">
      <c r="A215" s="6" t="inlineStr">
        <is>
          <t>Enterprise Value</t>
        </is>
      </c>
      <c r="D215" s="24">
        <f>D214*$D$213</f>
        <v>70528.0575240438</v>
      </c>
      <c r="E215" s="24">
        <f>E214*$D$213</f>
        <v>76405.3956510474</v>
      </c>
      <c r="F215" s="24">
        <f>F214*$D$213</f>
        <v>82282.7337780511</v>
      </c>
      <c r="G215" s="24">
        <f>G214*$D$213</f>
        <v>88160.0719050547</v>
      </c>
      <c r="H215" s="24">
        <f>H214*$D$213</f>
        <v>94037.4100320584</v>
      </c>
    </row>
    <row r="216">
      <c r="A216" s="6" t="inlineStr">
        <is>
          <t>Less: Total Debt (excl. Seller Note)</t>
        </is>
      </c>
      <c r="D216" s="24">
        <f>-($J$62-$J$61)</f>
        <v>-8593.79390508023</v>
      </c>
      <c r="E216" s="24">
        <f>-($J$62-$J$61)</f>
        <v>-8593.79390508023</v>
      </c>
      <c r="F216" s="24">
        <f>-($J$62-$J$61)</f>
        <v>-8593.79390508023</v>
      </c>
      <c r="G216" s="24">
        <f>-($J$62-$J$61)</f>
        <v>-8593.79390508023</v>
      </c>
      <c r="H216" s="24">
        <f>-($J$62-$J$61)</f>
        <v>-8593.79390508023</v>
      </c>
    </row>
    <row r="217">
      <c r="A217" s="6" t="inlineStr">
        <is>
          <t>Less: Seller Debt (Accreted Balance)</t>
        </is>
      </c>
      <c r="D217" s="24">
        <f>-$J$61</f>
        <v>-5352.9023104</v>
      </c>
      <c r="E217" s="24">
        <f>-$J$61</f>
        <v>-5352.9023104</v>
      </c>
      <c r="F217" s="24">
        <f>-$J$61</f>
        <v>-5352.9023104</v>
      </c>
      <c r="G217" s="24">
        <f>-$J$61</f>
        <v>-5352.9023104</v>
      </c>
      <c r="H217" s="24">
        <f>-$J$61</f>
        <v>-5352.9023104</v>
      </c>
    </row>
    <row r="218">
      <c r="A218" s="6" t="inlineStr">
        <is>
          <t>Less: Preferred Equity (Accreted Balance)</t>
        </is>
      </c>
      <c r="D218" s="7">
        <f>-'Debt Schedules'!$J$103</f>
        <v>-30556.5874835558</v>
      </c>
      <c r="E218" s="7">
        <f>-'Debt Schedules'!$J$103</f>
        <v>-30556.5874835558</v>
      </c>
      <c r="F218" s="7">
        <f>-'Debt Schedules'!$J$103</f>
        <v>-30556.5874835558</v>
      </c>
      <c r="G218" s="7">
        <f>-'Debt Schedules'!$J$103</f>
        <v>-30556.5874835558</v>
      </c>
      <c r="H218" s="7">
        <f>-'Debt Schedules'!$J$103</f>
        <v>-30556.5874835558</v>
      </c>
    </row>
    <row r="219">
      <c r="A219" s="6" t="inlineStr">
        <is>
          <t>Plus: Cash</t>
        </is>
      </c>
      <c r="D219" s="24">
        <f>$J$51</f>
        <v>4838.30984550804</v>
      </c>
      <c r="E219" s="24">
        <f>$J$51</f>
        <v>4838.30984550804</v>
      </c>
      <c r="F219" s="24">
        <f>$J$51</f>
        <v>4838.30984550804</v>
      </c>
      <c r="G219" s="24">
        <f>$J$51</f>
        <v>4838.30984550804</v>
      </c>
      <c r="H219" s="24">
        <f>$J$51</f>
        <v>4838.30984550804</v>
      </c>
    </row>
    <row r="220">
      <c r="A220" s="11" t="inlineStr">
        <is>
          <t xml:space="preserve">   Memo: Net Debt (incl. Seller Note)</t>
        </is>
      </c>
      <c r="D220" s="24">
        <f>-(D216+D217+D219)</f>
        <v>9108.38636997219</v>
      </c>
      <c r="E220" s="24">
        <f>-(E216+E217+E219)</f>
        <v>9108.38636997219</v>
      </c>
      <c r="F220" s="24">
        <f>-(F216+F217+F219)</f>
        <v>9108.38636997219</v>
      </c>
      <c r="G220" s="24">
        <f>-(G216+G217+G219)</f>
        <v>9108.38636997219</v>
      </c>
      <c r="H220" s="24">
        <f>-(H216+H217+H219)</f>
        <v>9108.38636997219</v>
      </c>
    </row>
    <row r="221">
      <c r="A221" s="17" t="inlineStr">
        <is>
          <t>Equity Proceeds (before Preferred)</t>
        </is>
      </c>
      <c r="D221" s="18">
        <f>D215+D216+D217+D219</f>
        <v>61419.6711540716</v>
      </c>
      <c r="E221" s="18">
        <f>E215+E216+E217+E219</f>
        <v>67297.0092810752</v>
      </c>
      <c r="F221" s="18">
        <f>F215+F216+F217+F219</f>
        <v>73174.3474080789</v>
      </c>
      <c r="G221" s="18">
        <f>G215+G216+G217+G219</f>
        <v>79051.6855350825</v>
      </c>
      <c r="H221" s="18">
        <f>H215+H216+H217+H219</f>
        <v>84929.0236620862</v>
      </c>
    </row>
    <row r="222">
      <c r="A222" s="6" t="inlineStr">
        <is>
          <t>Less: Preferred Return of Capital &amp; Pfd Return</t>
        </is>
      </c>
      <c r="D222" s="24">
        <f>-MIN(D221,-D218)</f>
        <v>-30556.5874835558</v>
      </c>
      <c r="E222" s="24">
        <f>-MIN(E221,-E218)</f>
        <v>-30556.5874835558</v>
      </c>
      <c r="F222" s="24">
        <f>-MIN(F221,-F218)</f>
        <v>-30556.5874835558</v>
      </c>
      <c r="G222" s="24">
        <f>-MIN(G221,-G218)</f>
        <v>-30556.5874835558</v>
      </c>
      <c r="H222" s="24">
        <f>-MIN(H221,-H218)</f>
        <v>-30556.5874835558</v>
      </c>
    </row>
    <row r="223">
      <c r="A223" s="17" t="inlineStr">
        <is>
          <t>Common Equity Proceeds</t>
        </is>
      </c>
      <c r="D223" s="18">
        <f>D221+D222</f>
        <v>30863.0836705158</v>
      </c>
      <c r="E223" s="18">
        <f>E221+E222</f>
        <v>36740.4217975194</v>
      </c>
      <c r="F223" s="18">
        <f>F221+F222</f>
        <v>42617.759924523</v>
      </c>
      <c r="G223" s="18">
        <f>G221+G222</f>
        <v>48495.0980515267</v>
      </c>
      <c r="H223" s="18">
        <f>H221+H222</f>
        <v>54372.4361785303</v>
      </c>
    </row>
    <row r="224">
      <c r="A224" s="6" t="inlineStr">
        <is>
          <t>PRE-OWNERSHIP: Less Rollover Common - Return of Capital</t>
        </is>
      </c>
      <c r="D224" s="24">
        <f>-MIN(D223,$E$333)*$E$335</f>
        <v>-886.82</v>
      </c>
      <c r="E224" s="24">
        <f>-MIN(E223,$E$333)*$E$335</f>
        <v>-886.82</v>
      </c>
      <c r="F224" s="24">
        <f>-MIN(F223,$E$333)*$E$335</f>
        <v>-886.82</v>
      </c>
      <c r="G224" s="24">
        <f>-MIN(G223,$E$333)*$E$335</f>
        <v>-886.82</v>
      </c>
      <c r="H224" s="24">
        <f>-MIN(H223,$E$333)*$E$335</f>
        <v>-886.82</v>
      </c>
    </row>
    <row r="225">
      <c r="A225" s="6" t="inlineStr">
        <is>
          <t>PRE-OWNERSHIP: Less New Common - Return of Capital</t>
        </is>
      </c>
      <c r="D225" s="24">
        <f>-MIN(D223,$E$333)*$E$334</f>
        <v>-1423.88</v>
      </c>
      <c r="E225" s="24">
        <f>-MIN(E223,$E$333)*$E$334</f>
        <v>-1423.88</v>
      </c>
      <c r="F225" s="24">
        <f>-MIN(F223,$E$333)*$E$334</f>
        <v>-1423.88</v>
      </c>
      <c r="G225" s="24">
        <f>-MIN(G223,$E$333)*$E$334</f>
        <v>-1423.88</v>
      </c>
      <c r="H225" s="24">
        <f>-MIN(H223,$E$333)*$E$334</f>
        <v>-1423.88</v>
      </c>
    </row>
    <row r="226">
      <c r="A226" s="17" t="inlineStr">
        <is>
          <t>Profit Distribution</t>
        </is>
      </c>
      <c r="D226" s="18">
        <f>D223+D224+D225</f>
        <v>28552.3836705158</v>
      </c>
      <c r="E226" s="18">
        <f>E223+E224+E225</f>
        <v>34429.7217975194</v>
      </c>
      <c r="F226" s="18">
        <f>F223+F224+F225</f>
        <v>40307.059924523</v>
      </c>
      <c r="G226" s="18">
        <f>G223+G224+G225</f>
        <v>46184.3980515267</v>
      </c>
      <c r="H226" s="18">
        <f>H223+H224+H225</f>
        <v>52061.7361785303</v>
      </c>
    </row>
    <row r="227">
      <c r="A227" s="17" t="inlineStr">
        <is>
          <t>Allocation of Common Equity Proceeds:</t>
        </is>
      </c>
    </row>
    <row r="228">
      <c r="A228" s="6" t="inlineStr">
        <is>
          <t xml:space="preserve">   Rollover Common Equity</t>
        </is>
      </c>
      <c r="D228" s="24">
        <f>-D224+(D226-D230)*$E$335</f>
        <v>10749.0878833332</v>
      </c>
      <c r="E228" s="24">
        <f>-E224+(E226-E230)*$E$335</f>
        <v>12779.1769896692</v>
      </c>
      <c r="F228" s="24">
        <f>-F224+(F226-F230)*$E$335</f>
        <v>14809.2660960051</v>
      </c>
      <c r="G228" s="24">
        <f>-G224+(G226-G230)*$E$335</f>
        <v>16839.355202341</v>
      </c>
      <c r="H228" s="24">
        <f>-H224+(H226-H230)*$E$335</f>
        <v>18869.444308677</v>
      </c>
    </row>
    <row r="229">
      <c r="A229" s="11" t="inlineStr">
        <is>
          <t xml:space="preserve">      % of Common Proceeds</t>
        </is>
      </c>
      <c r="D229" s="15">
        <f>IF(D234=0,0,D228/D234)</f>
        <v>0.348283016632006</v>
      </c>
      <c r="E229" s="15">
        <f>IF(E234=0,0,E228/E234)</f>
        <v>0.347823360877473</v>
      </c>
      <c r="F229" s="15">
        <f>IF(F234=0,0,F228/F234)</f>
        <v>0.347490485709071</v>
      </c>
      <c r="G229" s="15">
        <f>IF(G234=0,0,G228/G234)</f>
        <v>0.347238295805671</v>
      </c>
      <c r="H229" s="15">
        <f>IF(H234=0,0,H228/H234)</f>
        <v>0.347040626370312</v>
      </c>
    </row>
    <row r="230">
      <c r="A230" s="6" t="inlineStr">
        <is>
          <t xml:space="preserve">   Management Common Equity (MEIP 10% of profits)</t>
        </is>
      </c>
      <c r="D230" s="7">
        <f>D226*Assump_CapStructure!$F$29</f>
        <v>2855.23836705158</v>
      </c>
      <c r="E230" s="7">
        <f>E226*Assump_CapStructure!$F$29</f>
        <v>3442.97217975194</v>
      </c>
      <c r="F230" s="7">
        <f>F226*Assump_CapStructure!$F$29</f>
        <v>4030.7059924523</v>
      </c>
      <c r="G230" s="7">
        <f>G226*Assump_CapStructure!$F$29</f>
        <v>4618.43980515267</v>
      </c>
      <c r="H230" s="7">
        <f>H226*Assump_CapStructure!$F$29</f>
        <v>5206.17361785303</v>
      </c>
    </row>
    <row r="231">
      <c r="A231" s="11" t="inlineStr">
        <is>
          <t xml:space="preserve">      % of Common Proceeds</t>
        </is>
      </c>
      <c r="D231" s="15">
        <f>IF(D234=0,0,D230/D234)</f>
        <v>0.0925130618033237</v>
      </c>
      <c r="E231" s="15">
        <f>IF(E234=0,0,E230/E234)</f>
        <v>0.0937107417744561</v>
      </c>
      <c r="F231" s="15">
        <f>IF(F234=0,0,F230/F234)</f>
        <v>0.0945780819918919</v>
      </c>
      <c r="G231" s="15">
        <f>IF(G234=0,0,G230/G234)</f>
        <v>0.0952351885183429</v>
      </c>
      <c r="H231" s="15">
        <f>IF(H234=0,0,H230/H234)</f>
        <v>0.0957502364021121</v>
      </c>
    </row>
    <row r="232">
      <c r="A232" s="6" t="inlineStr">
        <is>
          <t xml:space="preserve">   New Common Equity (Before Carry)</t>
        </is>
      </c>
      <c r="D232" s="24">
        <f>-D225+(D226-D230)*$E$334</f>
        <v>17258.7574201309</v>
      </c>
      <c r="E232" s="24">
        <f>-E225+(E226-E230)*$E$334</f>
        <v>20518.2726280983</v>
      </c>
      <c r="F232" s="24">
        <f>-F225+(F226-F230)*$E$334</f>
        <v>23777.7878360656</v>
      </c>
      <c r="G232" s="24">
        <f>-G225+(G226-G230)*$E$334</f>
        <v>27037.303044033</v>
      </c>
      <c r="H232" s="24">
        <f>-H225+(H226-H230)*$E$334</f>
        <v>30296.8182520003</v>
      </c>
    </row>
    <row r="233">
      <c r="A233" s="11" t="inlineStr">
        <is>
          <t xml:space="preserve">      % of Common Proceeds</t>
        </is>
      </c>
      <c r="D233" s="15">
        <f>IF(D234=0,0,D232/D234)</f>
        <v>0.55920392156467</v>
      </c>
      <c r="E233" s="15">
        <f>IF(E234=0,0,E232/E234)</f>
        <v>0.558465897348071</v>
      </c>
      <c r="F233" s="15">
        <f>IF(F234=0,0,F232/F234)</f>
        <v>0.557931432299037</v>
      </c>
      <c r="G233" s="15">
        <f>IF(G234=0,0,G232/G234)</f>
        <v>0.557526515675986</v>
      </c>
      <c r="H233" s="15">
        <f>IF(H234=0,0,H232/H234)</f>
        <v>0.557209137227576</v>
      </c>
    </row>
    <row r="234">
      <c r="A234" s="17" t="inlineStr">
        <is>
          <t>Total Common Equity Proceeds</t>
        </is>
      </c>
      <c r="D234" s="18">
        <f>D228+D230+D232</f>
        <v>30863.0836705158</v>
      </c>
      <c r="E234" s="18">
        <f>E228+E230+E232</f>
        <v>36740.4217975194</v>
      </c>
      <c r="F234" s="18">
        <f>F228+F230+F232</f>
        <v>42617.759924523</v>
      </c>
      <c r="G234" s="18">
        <f>G228+G230+G232</f>
        <v>48495.0980515267</v>
      </c>
      <c r="H234" s="18">
        <f>H228+H230+H232</f>
        <v>54372.4361785303</v>
      </c>
    </row>
    <row r="236">
      <c r="A236" s="17" t="inlineStr">
        <is>
          <t>New Common Equity Gross IRR (Before Carry) - cash flows by exit multiple (t0 ... t5)</t>
        </is>
      </c>
      <c r="D236" s="28" t="inlineStr">
        <is>
          <t>Close</t>
        </is>
      </c>
      <c r="E236" s="28" t="inlineStr">
        <is>
          <t>FY26</t>
        </is>
      </c>
      <c r="F236" s="28" t="inlineStr">
        <is>
          <t>FY27</t>
        </is>
      </c>
      <c r="G236" s="28" t="inlineStr">
        <is>
          <t>FY28</t>
        </is>
      </c>
      <c r="H236" s="28" t="inlineStr">
        <is>
          <t>FY29</t>
        </is>
      </c>
      <c r="I236" s="28" t="inlineStr">
        <is>
          <t>FY30</t>
        </is>
      </c>
      <c r="J236" s="28" t="inlineStr">
        <is>
          <t>IRR</t>
        </is>
      </c>
    </row>
    <row r="237">
      <c r="A237" s="4" t="str">
        <f>"   @ "&amp;TEXT(D$214,"0.0x")&amp;" exit multiple"</f>
        <v>   @ 6.0x exit multiple</v>
      </c>
      <c r="D237" s="24">
        <f>-$E$333*$E$334</f>
        <v>-1423.88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>
        <f>D232</f>
        <v>17258.7574201309</v>
      </c>
      <c r="J237" s="15">
        <f>IFERROR(IRR(D237:I237),-1)</f>
        <v>0.647051682165203</v>
      </c>
    </row>
    <row r="238">
      <c r="A238" s="4" t="str">
        <f>"   @ "&amp;TEXT(E$214,"0.0x")&amp;" exit multiple"</f>
        <v>   @ 6.5x exit multiple</v>
      </c>
      <c r="D238" s="24">
        <f>-$E$333*$E$334</f>
        <v>-1423.88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>
        <f>E232</f>
        <v>20518.2726280983</v>
      </c>
      <c r="J238" s="15">
        <f>IFERROR(IRR(D238:I238),-1)</f>
        <v>0.705035717869641</v>
      </c>
    </row>
    <row r="239">
      <c r="A239" s="4" t="str">
        <f>"   @ "&amp;TEXT(F$214,"0.0x")&amp;" exit multiple"</f>
        <v>   @ 7.0x exit multiple</v>
      </c>
      <c r="D239" s="24">
        <f>-$E$333*$E$334</f>
        <v>-1423.88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>
        <f>F232</f>
        <v>23777.7878360656</v>
      </c>
      <c r="J239" s="15">
        <f>IFERROR(IRR(D239:I239),-1)</f>
        <v>0.756061055375206</v>
      </c>
    </row>
    <row r="240">
      <c r="A240" s="4" t="str">
        <f>"   @ "&amp;TEXT(G$214,"0.0x")&amp;" exit multiple"</f>
        <v>   @ 7.5x exit multiple</v>
      </c>
      <c r="D240" s="24">
        <f>-$E$333*$E$334</f>
        <v>-1423.88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>
        <f>G232</f>
        <v>27037.303044033</v>
      </c>
      <c r="J240" s="15">
        <f>IFERROR(IRR(D240:I240),-1)</f>
        <v>0.801764375433804</v>
      </c>
    </row>
    <row r="241">
      <c r="A241" s="4" t="str">
        <f>"   @ "&amp;TEXT(H$214,"0.0x")&amp;" exit multiple"</f>
        <v>   @ 8.0x exit multiple</v>
      </c>
      <c r="D241" s="24">
        <f>-$E$333*$E$334</f>
        <v>-1423.88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>
        <f>H232</f>
        <v>30296.8182520003</v>
      </c>
      <c r="J241" s="15">
        <f>IFERROR(IRR(D241:I241),-1)</f>
        <v>0.843252053235172</v>
      </c>
    </row>
    <row r="242">
      <c r="A242" s="17" t="inlineStr">
        <is>
          <t>New Common Equity Gross IRR (Before Carry)</t>
        </is>
      </c>
      <c r="D242" s="45">
        <f>J237</f>
        <v>0.647051682165203</v>
      </c>
      <c r="E242" s="45">
        <f>J238</f>
        <v>0.705035717869641</v>
      </c>
      <c r="F242" s="45">
        <f>J239</f>
        <v>0.756061055375206</v>
      </c>
      <c r="G242" s="45">
        <f>J240</f>
        <v>0.801764375433804</v>
      </c>
      <c r="H242" s="45">
        <f>J241</f>
        <v>0.843252053235172</v>
      </c>
    </row>
    <row r="243">
      <c r="A243" s="17" t="inlineStr">
        <is>
          <t>New Common Equity MoIC (Before Carry)</t>
        </is>
      </c>
      <c r="D243" s="46">
        <f>IF($E$333*$E$334=0,0,D232/($E$333*$E$334))</f>
        <v>12.1209353457672</v>
      </c>
      <c r="E243" s="46">
        <f>IF($E$333*$E$334=0,0,E232/($E$333*$E$334))</f>
        <v>14.4101136529049</v>
      </c>
      <c r="F243" s="46">
        <f>IF($E$333*$E$334=0,0,F232/($E$333*$E$334))</f>
        <v>16.6992919600427</v>
      </c>
      <c r="G243" s="46">
        <f>IF($E$333*$E$334=0,0,G232/($E$333*$E$334))</f>
        <v>18.9884702671805</v>
      </c>
      <c r="H243" s="46">
        <f>IF($E$333*$E$334=0,0,H232/($E$333*$E$334))</f>
        <v>21.2776485743183</v>
      </c>
    </row>
    <row r="245">
      <c r="A245" s="6" t="inlineStr">
        <is>
          <t>New Investor Common Equity Invested</t>
        </is>
      </c>
      <c r="D245" s="24">
        <f>$E$333*$E$334</f>
        <v>1423.88</v>
      </c>
      <c r="E245" s="24">
        <f>$E$333*$E$334</f>
        <v>1423.88</v>
      </c>
      <c r="F245" s="24">
        <f>$E$333*$E$334</f>
        <v>1423.88</v>
      </c>
      <c r="G245" s="24">
        <f>$E$333*$E$334</f>
        <v>1423.88</v>
      </c>
      <c r="H245" s="24">
        <f>$E$333*$E$334</f>
        <v>1423.88</v>
      </c>
    </row>
    <row r="246">
      <c r="A246" s="6" t="inlineStr">
        <is>
          <t>New Investor Common Equity Proceeds</t>
        </is>
      </c>
      <c r="D246" s="24">
        <f>D232</f>
        <v>17258.7574201309</v>
      </c>
      <c r="E246" s="24">
        <f>E232</f>
        <v>20518.2726280983</v>
      </c>
      <c r="F246" s="24">
        <f>F232</f>
        <v>23777.7878360656</v>
      </c>
      <c r="G246" s="24">
        <f>G232</f>
        <v>27037.303044033</v>
      </c>
      <c r="H246" s="24">
        <f>H232</f>
        <v>30296.8182520003</v>
      </c>
    </row>
    <row r="247">
      <c r="A247" s="6" t="inlineStr">
        <is>
          <t xml:space="preserve">   Common Equity IRR</t>
        </is>
      </c>
      <c r="D247" s="15">
        <f>D242</f>
        <v>0.647051682165203</v>
      </c>
      <c r="E247" s="15">
        <f>E242</f>
        <v>0.705035717869641</v>
      </c>
      <c r="F247" s="15">
        <f>F242</f>
        <v>0.756061055375206</v>
      </c>
      <c r="G247" s="15">
        <f>G242</f>
        <v>0.801764375433804</v>
      </c>
      <c r="H247" s="15">
        <f>H242</f>
        <v>0.843252053235172</v>
      </c>
    </row>
    <row r="248">
      <c r="A248" s="6" t="inlineStr">
        <is>
          <t xml:space="preserve">   Common Equity MoIC</t>
        </is>
      </c>
      <c r="D248" s="27">
        <f>D243</f>
        <v>12.1209353457672</v>
      </c>
      <c r="E248" s="27">
        <f>E243</f>
        <v>14.4101136529049</v>
      </c>
      <c r="F248" s="27">
        <f>F243</f>
        <v>16.6992919600427</v>
      </c>
      <c r="G248" s="27">
        <f>G243</f>
        <v>18.9884702671805</v>
      </c>
      <c r="H248" s="27">
        <f>H243</f>
        <v>21.2776485743183</v>
      </c>
    </row>
    <row r="250">
      <c r="A250" s="6" t="inlineStr">
        <is>
          <t>New Investor Preferred Equity Invested</t>
        </is>
      </c>
      <c r="D250" s="24">
        <f>$E$332*$E$334</f>
        <v>12814.92</v>
      </c>
      <c r="E250" s="24">
        <f>$E$332*$E$334</f>
        <v>12814.92</v>
      </c>
      <c r="F250" s="24">
        <f>$E$332*$E$334</f>
        <v>12814.92</v>
      </c>
      <c r="G250" s="24">
        <f>$E$332*$E$334</f>
        <v>12814.92</v>
      </c>
      <c r="H250" s="24">
        <f>$E$332*$E$334</f>
        <v>12814.92</v>
      </c>
    </row>
    <row r="251">
      <c r="A251" s="6" t="inlineStr">
        <is>
          <t>New Investor Preferred Equity Proceeds</t>
        </is>
      </c>
      <c r="D251" s="24">
        <f>-D222*$E$334</f>
        <v>18829.3217579459</v>
      </c>
      <c r="E251" s="24">
        <f>-E222*$E$334</f>
        <v>18829.3217579459</v>
      </c>
      <c r="F251" s="24">
        <f>-F222*$E$334</f>
        <v>18829.3217579459</v>
      </c>
      <c r="G251" s="24">
        <f>-G222*$E$334</f>
        <v>18829.3217579459</v>
      </c>
      <c r="H251" s="24">
        <f>-H222*$E$334</f>
        <v>18829.3217579459</v>
      </c>
    </row>
    <row r="252">
      <c r="A252" s="6" t="inlineStr">
        <is>
          <t xml:space="preserve">   Preferred Equity IRR</t>
        </is>
      </c>
      <c r="D252" s="15">
        <f>IF(D250=0,0,(D251/D250)^(1/5)-1)</f>
        <v>0.0800000000000001</v>
      </c>
      <c r="E252" s="15">
        <f>IF(E250=0,0,(E251/E250)^(1/5)-1)</f>
        <v>0.0800000000000001</v>
      </c>
      <c r="F252" s="15">
        <f>IF(F250=0,0,(F251/F250)^(1/5)-1)</f>
        <v>0.0800000000000001</v>
      </c>
      <c r="G252" s="15">
        <f>IF(G250=0,0,(G251/G250)^(1/5)-1)</f>
        <v>0.0800000000000001</v>
      </c>
      <c r="H252" s="15">
        <f>IF(H250=0,0,(H251/H250)^(1/5)-1)</f>
        <v>0.0800000000000001</v>
      </c>
    </row>
    <row r="253">
      <c r="A253" s="6" t="inlineStr">
        <is>
          <t xml:space="preserve">   Preferred Equity MoIC</t>
        </is>
      </c>
      <c r="D253" s="27">
        <f>IF(D250=0,0,D251/D250)</f>
        <v>1.4693280768</v>
      </c>
      <c r="E253" s="27">
        <f>IF(E250=0,0,E251/E250)</f>
        <v>1.4693280768</v>
      </c>
      <c r="F253" s="27">
        <f>IF(F250=0,0,F251/F250)</f>
        <v>1.4693280768</v>
      </c>
      <c r="G253" s="27">
        <f>IF(G250=0,0,G251/G250)</f>
        <v>1.4693280768</v>
      </c>
      <c r="H253" s="27">
        <f>IF(H250=0,0,H251/H250)</f>
        <v>1.4693280768</v>
      </c>
    </row>
    <row r="255">
      <c r="A255" s="6" t="inlineStr">
        <is>
          <t>New Investor Total Equity Invested (Pfd + Cmn)</t>
        </is>
      </c>
      <c r="D255" s="24">
        <f>D245+D250</f>
        <v>14238.8</v>
      </c>
      <c r="E255" s="24">
        <f>E245+E250</f>
        <v>14238.8</v>
      </c>
      <c r="F255" s="24">
        <f>F245+F250</f>
        <v>14238.8</v>
      </c>
      <c r="G255" s="24">
        <f>G245+G250</f>
        <v>14238.8</v>
      </c>
      <c r="H255" s="24">
        <f>H245+H250</f>
        <v>14238.8</v>
      </c>
    </row>
    <row r="256">
      <c r="A256" s="6" t="inlineStr">
        <is>
          <t>New Investor Total Equity Proceeds (Pfd + Cmn)</t>
        </is>
      </c>
      <c r="D256" s="24">
        <f>D246+D251</f>
        <v>36088.0791780768</v>
      </c>
      <c r="E256" s="24">
        <f>E246+E251</f>
        <v>39347.5943860442</v>
      </c>
      <c r="F256" s="24">
        <f>F246+F251</f>
        <v>42607.1095940115</v>
      </c>
      <c r="G256" s="24">
        <f>G246+G251</f>
        <v>45866.6248019789</v>
      </c>
      <c r="H256" s="24">
        <f>H246+H251</f>
        <v>49126.1400099462</v>
      </c>
    </row>
    <row r="257">
      <c r="A257" s="17" t="inlineStr">
        <is>
          <t xml:space="preserve">   Total New Investor Equity Gross IRR (Before Carry)</t>
        </is>
      </c>
      <c r="D257" s="45">
        <f>IF(D255=0,0,(D256/D255)^(1/5)-1)</f>
        <v>0.204420323996158</v>
      </c>
      <c r="E257" s="45">
        <f>IF(E255=0,0,(E256/E255)^(1/5)-1)</f>
        <v>0.225431272583719</v>
      </c>
      <c r="F257" s="45">
        <f>IF(F255=0,0,(F256/F255)^(1/5)-1)</f>
        <v>0.24509284283153</v>
      </c>
      <c r="G257" s="45">
        <f>IF(G255=0,0,(G256/G255)^(1/5)-1)</f>
        <v>0.263585630822854</v>
      </c>
      <c r="H257" s="45">
        <f>IF(H255=0,0,(H256/H255)^(1/5)-1)</f>
        <v>0.281055219690855</v>
      </c>
    </row>
    <row r="258">
      <c r="A258" s="17" t="inlineStr">
        <is>
          <t xml:space="preserve">   Total New Investor Equity MoIC (Before Carry)</t>
        </is>
      </c>
      <c r="D258" s="46">
        <f>IF(D255=0,0,D256/D255)</f>
        <v>2.53448880369672</v>
      </c>
      <c r="E258" s="46">
        <f>IF(E255=0,0,E256/E255)</f>
        <v>2.76340663441049</v>
      </c>
      <c r="F258" s="46">
        <f>IF(F255=0,0,F256/F255)</f>
        <v>2.99232446512427</v>
      </c>
      <c r="G258" s="46">
        <f>IF(G255=0,0,G256/G255)</f>
        <v>3.22124229583805</v>
      </c>
      <c r="H258" s="46">
        <f>IF(H255=0,0,H256/H255)</f>
        <v>3.45016012655183</v>
      </c>
    </row>
    <row r="260">
      <c r="A260" s="35" t="inlineStr">
        <is>
          <t>NET RETURNS SUMMARY (NET OF SPONSOR CARRIED INTEREST)</t>
        </is>
      </c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</row>
    <row r="261">
      <c r="A261" s="17" t="inlineStr">
        <is>
          <t>Original Equity Account</t>
        </is>
      </c>
      <c r="B261" s="28" t="inlineStr">
        <is>
          <t>%</t>
        </is>
      </c>
      <c r="C261" s="28" t="inlineStr">
        <is>
          <t>$</t>
        </is>
      </c>
      <c r="D261" s="28" t="inlineStr">
        <is>
          <t>Sponsor $</t>
        </is>
      </c>
    </row>
    <row r="262">
      <c r="A262" s="6" t="inlineStr">
        <is>
          <t xml:space="preserve">   Preferred Equity</t>
        </is>
      </c>
      <c r="B262" s="10">
        <f>Assump_CapStructure!$F$31</f>
        <v>0.9</v>
      </c>
      <c r="C262" s="24">
        <f>$E$332</f>
        <v>20796.3</v>
      </c>
      <c r="D262" s="24">
        <f>C262*$E$334</f>
        <v>12814.92</v>
      </c>
    </row>
    <row r="263">
      <c r="A263" s="6" t="inlineStr">
        <is>
          <t xml:space="preserve">   Common Equity</t>
        </is>
      </c>
      <c r="B263" s="15">
        <f>1-B262</f>
        <v>0.1</v>
      </c>
      <c r="C263" s="24">
        <f>$E$333</f>
        <v>2310.7</v>
      </c>
      <c r="D263" s="24">
        <f>C263*$E$334</f>
        <v>1423.88</v>
      </c>
    </row>
    <row r="264">
      <c r="A264" s="17" t="inlineStr">
        <is>
          <t>Total</t>
        </is>
      </c>
      <c r="B264" s="47">
        <f>SUM(B262:B263)</f>
        <v>1</v>
      </c>
      <c r="C264" s="18">
        <f>SUM(C262:C263)</f>
        <v>23107</v>
      </c>
      <c r="D264" s="18">
        <f>SUM(D262:D263)</f>
        <v>14238.8</v>
      </c>
    </row>
    <row r="265">
      <c r="A265" s="6" t="inlineStr">
        <is>
          <t>Sponsor Carried Interest</t>
        </is>
      </c>
      <c r="D265" s="10">
        <f>Assump_CapStructure!$F$30</f>
        <v>0.2</v>
      </c>
    </row>
    <row r="266">
      <c r="A266" s="6" t="inlineStr">
        <is>
          <t>New Investor Common Equity</t>
        </is>
      </c>
      <c r="D266" s="24">
        <f>D263</f>
        <v>1423.88</v>
      </c>
    </row>
    <row r="268">
      <c r="A268" s="17" t="inlineStr">
        <is>
          <t>Assumed Exit Multiple</t>
        </is>
      </c>
      <c r="D268" s="48">
        <f>D214</f>
        <v>6</v>
      </c>
      <c r="E268" s="48">
        <f>E214</f>
        <v>6.5</v>
      </c>
      <c r="F268" s="48">
        <f>F214</f>
        <v>7</v>
      </c>
      <c r="G268" s="48">
        <f>G214</f>
        <v>7.5</v>
      </c>
      <c r="H268" s="48">
        <f>H214</f>
        <v>8</v>
      </c>
    </row>
    <row r="269">
      <c r="A269" s="6" t="inlineStr">
        <is>
          <t>Preferred Return (Accreted Preferred - Sponsor Share)</t>
        </is>
      </c>
      <c r="D269" s="24">
        <f>D251</f>
        <v>18829.3217579459</v>
      </c>
      <c r="E269" s="24">
        <f>E251</f>
        <v>18829.3217579459</v>
      </c>
      <c r="F269" s="24">
        <f>F251</f>
        <v>18829.3217579459</v>
      </c>
      <c r="G269" s="24">
        <f>G251</f>
        <v>18829.3217579459</v>
      </c>
      <c r="H269" s="24">
        <f>H251</f>
        <v>18829.3217579459</v>
      </c>
    </row>
    <row r="270">
      <c r="A270" s="6" t="inlineStr">
        <is>
          <t>New Equity - Before Sponsor Carried Interest (Accreted Preferred Plus Common)</t>
        </is>
      </c>
      <c r="D270" s="24">
        <f>D251+D246</f>
        <v>36088.0791780768</v>
      </c>
      <c r="E270" s="24">
        <f>E251+E246</f>
        <v>39347.5943860442</v>
      </c>
      <c r="F270" s="24">
        <f>F251+F246</f>
        <v>42607.1095940115</v>
      </c>
      <c r="G270" s="24">
        <f>G251+G246</f>
        <v>45866.6248019789</v>
      </c>
      <c r="H270" s="24">
        <f>H251+H246</f>
        <v>49126.1400099462</v>
      </c>
    </row>
    <row r="271">
      <c r="A271" s="6" t="inlineStr">
        <is>
          <t>Less: Return of Capital</t>
        </is>
      </c>
      <c r="D271" s="24">
        <f>-D255</f>
        <v>-14238.8</v>
      </c>
      <c r="E271" s="24">
        <f>-E255</f>
        <v>-14238.8</v>
      </c>
      <c r="F271" s="24">
        <f>-F255</f>
        <v>-14238.8</v>
      </c>
      <c r="G271" s="24">
        <f>-G255</f>
        <v>-14238.8</v>
      </c>
      <c r="H271" s="24">
        <f>-H255</f>
        <v>-14238.8</v>
      </c>
    </row>
    <row r="272">
      <c r="A272" s="17" t="inlineStr">
        <is>
          <t>Profit Distribution</t>
        </is>
      </c>
      <c r="D272" s="18">
        <f>D270+D271</f>
        <v>21849.2791780768</v>
      </c>
      <c r="E272" s="18">
        <f>E270+E271</f>
        <v>25108.7943860442</v>
      </c>
      <c r="F272" s="18">
        <f>F270+F271</f>
        <v>28368.3095940115</v>
      </c>
      <c r="G272" s="18">
        <f>G270+G271</f>
        <v>31627.8248019789</v>
      </c>
      <c r="H272" s="18">
        <f>H270+H271</f>
        <v>34887.3400099462</v>
      </c>
    </row>
    <row r="273">
      <c r="A273" s="17" t="inlineStr">
        <is>
          <t>New Investor Strip:</t>
        </is>
      </c>
    </row>
    <row r="274">
      <c r="A274" s="6" t="inlineStr">
        <is>
          <t xml:space="preserve">   Invested Equity (a)</t>
        </is>
      </c>
      <c r="D274" s="24">
        <f>D255</f>
        <v>14238.8</v>
      </c>
      <c r="E274" s="24">
        <f>E255</f>
        <v>14238.8</v>
      </c>
      <c r="F274" s="24">
        <f>F255</f>
        <v>14238.8</v>
      </c>
      <c r="G274" s="24">
        <f>G255</f>
        <v>14238.8</v>
      </c>
      <c r="H274" s="24">
        <f>H255</f>
        <v>14238.8</v>
      </c>
    </row>
    <row r="275">
      <c r="A275" s="6" t="inlineStr">
        <is>
          <t xml:space="preserve">   Investor Share of Profit (b) - net of carry</t>
        </is>
      </c>
      <c r="D275" s="24">
        <f>MAX(0,D272)*(1-$D$265)+MIN(0,D272)</f>
        <v>17479.4233424614</v>
      </c>
      <c r="E275" s="24">
        <f>MAX(0,E272)*(1-$D$265)+MIN(0,E272)</f>
        <v>20087.0355088353</v>
      </c>
      <c r="F275" s="24">
        <f>MAX(0,F272)*(1-$D$265)+MIN(0,F272)</f>
        <v>22694.6476752092</v>
      </c>
      <c r="G275" s="24">
        <f>MAX(0,G272)*(1-$D$265)+MIN(0,G272)</f>
        <v>25302.2598415831</v>
      </c>
      <c r="H275" s="24">
        <f>MAX(0,H272)*(1-$D$265)+MIN(0,H272)</f>
        <v>27909.872007957</v>
      </c>
    </row>
    <row r="276">
      <c r="A276" s="17" t="inlineStr">
        <is>
          <t xml:space="preserve">   Total Investor Strip (a + b)</t>
        </is>
      </c>
      <c r="D276" s="18">
        <f>D274+D275</f>
        <v>31718.2233424614</v>
      </c>
      <c r="E276" s="18">
        <f>E274+E275</f>
        <v>34325.8355088353</v>
      </c>
      <c r="F276" s="18">
        <f>F274+F275</f>
        <v>36933.4476752092</v>
      </c>
      <c r="G276" s="18">
        <f>G274+G275</f>
        <v>39541.0598415831</v>
      </c>
      <c r="H276" s="18">
        <f>H274+H275</f>
        <v>42148.672007957</v>
      </c>
    </row>
    <row r="277">
      <c r="A277" s="4" t="str">
        <f>"   @ "&amp;TEXT(D$268,"0.0x")&amp;" exit - strip cash flows"</f>
        <v>   @ 6.0x exit - strip cash flows</v>
      </c>
      <c r="D277" s="24">
        <f>-D274</f>
        <v>-14238.8</v>
      </c>
      <c r="E277" s="24" t="n">
        <v>0</v>
      </c>
      <c r="F277" s="24" t="n">
        <v>0</v>
      </c>
      <c r="G277" s="24" t="n">
        <v>0</v>
      </c>
      <c r="H277" s="24" t="n">
        <v>0</v>
      </c>
      <c r="I277" s="24">
        <f>D276</f>
        <v>31718.2233424614</v>
      </c>
      <c r="J277" s="15">
        <f>IFERROR(IRR(D277:I277),-1)</f>
        <v>0.173726993336958</v>
      </c>
    </row>
    <row r="278">
      <c r="A278" s="4" t="str">
        <f>"   @ "&amp;TEXT(E$268,"0.0x")&amp;" exit - strip cash flows"</f>
        <v>   @ 6.5x exit - strip cash flows</v>
      </c>
      <c r="D278" s="24">
        <f>-E274</f>
        <v>-14238.8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>
        <f>E276</f>
        <v>34325.8355088353</v>
      </c>
      <c r="J278" s="15">
        <f>IFERROR(IRR(D278:I278),-1)</f>
        <v>0.192420806511192</v>
      </c>
    </row>
    <row r="279">
      <c r="A279" s="4" t="str">
        <f>"   @ "&amp;TEXT(F$268,"0.0x")&amp;" exit - strip cash flows"</f>
        <v>   @ 7.0x exit - strip cash flows</v>
      </c>
      <c r="D279" s="24">
        <f>-F274</f>
        <v>-14238.8</v>
      </c>
      <c r="E279" s="24" t="n">
        <v>0</v>
      </c>
      <c r="F279" s="24" t="n">
        <v>0</v>
      </c>
      <c r="G279" s="24" t="n">
        <v>0</v>
      </c>
      <c r="H279" s="24" t="n">
        <v>0</v>
      </c>
      <c r="I279" s="24">
        <f>F276</f>
        <v>36933.4476752092</v>
      </c>
      <c r="J279" s="15">
        <f>IFERROR(IRR(D279:I279),-1)</f>
        <v>0.210010926525069</v>
      </c>
    </row>
    <row r="280">
      <c r="A280" s="4" t="str">
        <f>"   @ "&amp;TEXT(G$268,"0.0x")&amp;" exit - strip cash flows"</f>
        <v>   @ 7.5x exit - strip cash flows</v>
      </c>
      <c r="D280" s="24">
        <f>-G274</f>
        <v>-14238.8</v>
      </c>
      <c r="E280" s="24" t="n">
        <v>0</v>
      </c>
      <c r="F280" s="24" t="n">
        <v>0</v>
      </c>
      <c r="G280" s="24" t="n">
        <v>0</v>
      </c>
      <c r="H280" s="24" t="n">
        <v>0</v>
      </c>
      <c r="I280" s="24">
        <f>G276</f>
        <v>39541.0598415831</v>
      </c>
      <c r="J280" s="15">
        <f>IFERROR(IRR(D280:I280),-1)</f>
        <v>0.226633957137819</v>
      </c>
    </row>
    <row r="281">
      <c r="A281" s="4" t="str">
        <f>"   @ "&amp;TEXT(H$268,"0.0x")&amp;" exit - strip cash flows"</f>
        <v>   @ 8.0x exit - strip cash flows</v>
      </c>
      <c r="D281" s="24">
        <f>-H274</f>
        <v>-14238.8</v>
      </c>
      <c r="E281" s="24" t="n">
        <v>0</v>
      </c>
      <c r="F281" s="24" t="n">
        <v>0</v>
      </c>
      <c r="G281" s="24" t="n">
        <v>0</v>
      </c>
      <c r="H281" s="24" t="n">
        <v>0</v>
      </c>
      <c r="I281" s="24">
        <f>H276</f>
        <v>42148.672007957</v>
      </c>
      <c r="J281" s="15">
        <f>IFERROR(IRR(D281:I281),-1)</f>
        <v>0.242401883625006</v>
      </c>
    </row>
    <row r="282">
      <c r="A282" s="17" t="inlineStr">
        <is>
          <t>Total Investor Strip IRR (net of carry)</t>
        </is>
      </c>
      <c r="D282" s="45">
        <f>J277</f>
        <v>0.173726993336958</v>
      </c>
      <c r="E282" s="45">
        <f>J278</f>
        <v>0.192420806511192</v>
      </c>
      <c r="F282" s="45">
        <f>J279</f>
        <v>0.210010926525069</v>
      </c>
      <c r="G282" s="45">
        <f>J280</f>
        <v>0.226633957137819</v>
      </c>
      <c r="H282" s="45">
        <f>J281</f>
        <v>0.242401883625006</v>
      </c>
    </row>
    <row r="283">
      <c r="A283" s="17" t="inlineStr">
        <is>
          <t>Total Investor Strip MoIC (net of carry)</t>
        </is>
      </c>
      <c r="D283" s="46">
        <f>IF(D274=0,0,D276/D274)</f>
        <v>2.22759104295737</v>
      </c>
      <c r="E283" s="46">
        <f>IF(E274=0,0,E276/E274)</f>
        <v>2.4107253075284</v>
      </c>
      <c r="F283" s="46">
        <f>IF(F274=0,0,F276/F274)</f>
        <v>2.59385957209942</v>
      </c>
      <c r="G283" s="46">
        <f>IF(G274=0,0,G276/G274)</f>
        <v>2.77699383667044</v>
      </c>
      <c r="H283" s="46">
        <f>IF(H274=0,0,H276/H274)</f>
        <v>2.96012810124146</v>
      </c>
    </row>
    <row r="285">
      <c r="A285" s="35" t="inlineStr">
        <is>
          <t>WORKING CAPITAL</t>
        </is>
      </c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</row>
    <row r="286">
      <c r="B286" s="41" t="str">
        <f>Model!B30</f>
        <v>FY2022A</v>
      </c>
      <c r="C286" s="41" t="str">
        <f>Model!C30</f>
        <v>FY2023A</v>
      </c>
      <c r="D286" s="41" t="str">
        <f>Model!D30</f>
        <v>FY2024A</v>
      </c>
      <c r="E286" s="41" t="str">
        <f>Model!E30</f>
        <v>FY2025A</v>
      </c>
      <c r="F286" s="41" t="str">
        <f>Model!F30</f>
        <v>FY2026E</v>
      </c>
      <c r="G286" s="41" t="str">
        <f>Model!G30</f>
        <v>FY2027E</v>
      </c>
      <c r="H286" s="41" t="str">
        <f>Model!H30</f>
        <v>FY2028E</v>
      </c>
      <c r="I286" s="41" t="str">
        <f>Model!I30</f>
        <v>FY2029E</v>
      </c>
      <c r="J286" s="41" t="str">
        <f>Model!J30</f>
        <v>FY2030E</v>
      </c>
      <c r="K286" s="41" t="str">
        <f>Model!K30</f>
        <v>FY2031E</v>
      </c>
      <c r="L286" s="41" t="str">
        <f>Model!L30</f>
        <v>FY2032E</v>
      </c>
      <c r="M286" s="41" t="str">
        <f>Model!M30</f>
        <v>FY2033E</v>
      </c>
    </row>
    <row r="287">
      <c r="A287" s="6" t="inlineStr">
        <is>
          <t>Accounts Receivable</t>
        </is>
      </c>
      <c r="B287" s="7">
        <f>Assump_Operating!B133</f>
        <v>4427</v>
      </c>
      <c r="C287" s="7">
        <f>Assump_Operating!C133</f>
        <v>4758</v>
      </c>
      <c r="D287" s="7">
        <f>Assump_Operating!D133</f>
        <v>4841</v>
      </c>
      <c r="E287" s="7">
        <f>Assump_Operating!E133</f>
        <v>5092</v>
      </c>
      <c r="F287" s="7">
        <f>Assump_Operating!F133</f>
        <v>5612.35463013699</v>
      </c>
      <c r="G287" s="7">
        <f>Assump_Operating!G133</f>
        <v>5948.84366728767</v>
      </c>
      <c r="H287" s="7">
        <f>Assump_Operating!H133</f>
        <v>6407.5130341348</v>
      </c>
      <c r="I287" s="7">
        <f>Assump_Operating!I133</f>
        <v>6791.96381618288</v>
      </c>
      <c r="J287" s="7">
        <f>Assump_Operating!J133</f>
        <v>7165.52182607294</v>
      </c>
      <c r="K287" s="7">
        <f>Assump_Operating!K133</f>
        <v>7354.72380687374</v>
      </c>
      <c r="L287" s="7">
        <f>Assump_Operating!L133</f>
        <v>7862.36882365854</v>
      </c>
      <c r="M287" s="7">
        <f>Assump_Operating!M133</f>
        <v>8084.98870495763</v>
      </c>
    </row>
    <row r="288">
      <c r="A288" s="11" t="inlineStr">
        <is>
          <t xml:space="preserve">   Days</t>
        </is>
      </c>
      <c r="B288" s="49">
        <f>Assump_Operating!B134</f>
        <v>45.8463611859838</v>
      </c>
      <c r="C288" s="49">
        <f>Assump_Operating!C134</f>
        <v>45.4150104602511</v>
      </c>
      <c r="D288" s="49">
        <f>Assump_Operating!D134</f>
        <v>43.6115361832363</v>
      </c>
      <c r="E288" s="49">
        <f>Assump_Operating!E134</f>
        <v>43.6040728228228</v>
      </c>
      <c r="F288" s="49">
        <f>Assump_Operating!F134</f>
        <v>44.5</v>
      </c>
      <c r="G288" s="49">
        <f>Assump_Operating!G134</f>
        <v>44</v>
      </c>
      <c r="H288" s="49">
        <f>Assump_Operating!H134</f>
        <v>44.5</v>
      </c>
      <c r="I288" s="49">
        <f>Assump_Operating!I134</f>
        <v>44.5</v>
      </c>
      <c r="J288" s="49">
        <f>Assump_Operating!J134</f>
        <v>44.5</v>
      </c>
      <c r="K288" s="49">
        <f>Assump_Operating!K134</f>
        <v>43.5</v>
      </c>
      <c r="L288" s="49">
        <f>Assump_Operating!L134</f>
        <v>44.5</v>
      </c>
      <c r="M288" s="49">
        <f>Assump_Operating!M134</f>
        <v>44</v>
      </c>
    </row>
    <row r="289">
      <c r="A289" s="11" t="inlineStr">
        <is>
          <t xml:space="preserve">   % of Revenue</t>
        </is>
      </c>
      <c r="B289" s="10">
        <f>Assump_Operating!B135</f>
        <v>0.125606469002695</v>
      </c>
      <c r="C289" s="10">
        <f>Assump_Operating!C135</f>
        <v>0.124424686192469</v>
      </c>
      <c r="D289" s="10">
        <f>Assump_Operating!D135</f>
        <v>0.11948366077599</v>
      </c>
      <c r="E289" s="10">
        <f>Assump_Operating!E135</f>
        <v>0.119463213213213</v>
      </c>
      <c r="F289" s="10">
        <f>Assump_Operating!F135</f>
        <v>0.121917808219178</v>
      </c>
      <c r="G289" s="10">
        <f>Assump_Operating!G135</f>
        <v>0.120547945205479</v>
      </c>
      <c r="H289" s="10">
        <f>Assump_Operating!H135</f>
        <v>0.121917808219178</v>
      </c>
      <c r="I289" s="10">
        <f>Assump_Operating!I135</f>
        <v>0.121917808219178</v>
      </c>
      <c r="J289" s="10">
        <f>Assump_Operating!J135</f>
        <v>0.121917808219178</v>
      </c>
      <c r="K289" s="10">
        <f>Assump_Operating!K135</f>
        <v>0.119178082191781</v>
      </c>
      <c r="L289" s="10">
        <f>Assump_Operating!L135</f>
        <v>0.121917808219178</v>
      </c>
      <c r="M289" s="10">
        <f>Assump_Operating!M135</f>
        <v>0.120547945205479</v>
      </c>
    </row>
    <row r="290">
      <c r="A290" s="6" t="inlineStr">
        <is>
          <t>Inventory</t>
        </is>
      </c>
      <c r="B290" s="7">
        <f>Assump_Operating!B136</f>
        <v>3827</v>
      </c>
      <c r="C290" s="7">
        <f>Assump_Operating!C136</f>
        <v>4384</v>
      </c>
      <c r="D290" s="7">
        <f>Assump_Operating!D136</f>
        <v>4502</v>
      </c>
      <c r="E290" s="7">
        <f>Assump_Operating!E136</f>
        <v>4706</v>
      </c>
      <c r="F290" s="7">
        <f>Assump_Operating!F136</f>
        <v>5082.64924931507</v>
      </c>
      <c r="G290" s="7">
        <f>Assump_Operating!G136</f>
        <v>5388.02995065337</v>
      </c>
      <c r="H290" s="7">
        <f>Assump_Operating!H136</f>
        <v>5767.04970883521</v>
      </c>
      <c r="I290" s="7">
        <f>Assump_Operating!I136</f>
        <v>6152.83238966006</v>
      </c>
      <c r="J290" s="7">
        <f>Assump_Operating!J136</f>
        <v>6481.17423594238</v>
      </c>
      <c r="K290" s="7">
        <f>Assump_Operating!K136</f>
        <v>6805.2329477395</v>
      </c>
      <c r="L290" s="7">
        <f>Assump_Operating!L136</f>
        <v>7043.62237132519</v>
      </c>
      <c r="M290" s="7">
        <f>Assump_Operating!M136</f>
        <v>7266.29172370902</v>
      </c>
    </row>
    <row r="291">
      <c r="A291" s="11" t="inlineStr">
        <is>
          <t xml:space="preserve">   Days (on COGS)</t>
        </is>
      </c>
      <c r="B291" s="49">
        <f>Assump_Operating!B137</f>
        <v>60.1056368330465</v>
      </c>
      <c r="C291" s="49">
        <f>Assump_Operating!C137</f>
        <v>63.9399025013985</v>
      </c>
      <c r="D291" s="49">
        <f>Assump_Operating!D137</f>
        <v>62.6613026235509</v>
      </c>
      <c r="E291" s="49">
        <f>Assump_Operating!E137</f>
        <v>61.1321090469073</v>
      </c>
      <c r="F291" s="49">
        <f>Assump_Operating!F137</f>
        <v>62</v>
      </c>
      <c r="G291" s="49">
        <f>Assump_Operating!G137</f>
        <v>61.5</v>
      </c>
      <c r="H291" s="49">
        <f>Assump_Operating!H137</f>
        <v>62</v>
      </c>
      <c r="I291" s="49">
        <f>Assump_Operating!I137</f>
        <v>62.5</v>
      </c>
      <c r="J291" s="49">
        <f>Assump_Operating!J137</f>
        <v>62.5</v>
      </c>
      <c r="K291" s="49">
        <f>Assump_Operating!K137</f>
        <v>62.5</v>
      </c>
      <c r="L291" s="49">
        <f>Assump_Operating!L137</f>
        <v>62</v>
      </c>
      <c r="M291" s="49">
        <f>Assump_Operating!M137</f>
        <v>61.5</v>
      </c>
    </row>
    <row r="292">
      <c r="A292" s="6" t="inlineStr">
        <is>
          <t>Prepaid and Other Advances</t>
        </is>
      </c>
      <c r="B292" s="7">
        <f>Assump_Operating!B139</f>
        <v>483</v>
      </c>
      <c r="C292" s="7">
        <f>Assump_Operating!C139</f>
        <v>470</v>
      </c>
      <c r="D292" s="7">
        <f>Assump_Operating!D139</f>
        <v>531</v>
      </c>
      <c r="E292" s="7">
        <f>Assump_Operating!E139</f>
        <v>560</v>
      </c>
      <c r="F292" s="7">
        <f>Assump_Operating!F139</f>
        <v>598.44096</v>
      </c>
      <c r="G292" s="7">
        <f>Assump_Operating!G139</f>
        <v>641.52870912</v>
      </c>
      <c r="H292" s="7">
        <f>Assump_Operating!H139</f>
        <v>683.2280752128</v>
      </c>
      <c r="I292" s="7">
        <f>Assump_Operating!I139</f>
        <v>724.221759725568</v>
      </c>
      <c r="J292" s="7">
        <f>Assump_Operating!J139</f>
        <v>764.053956510474</v>
      </c>
      <c r="K292" s="7">
        <f>Assump_Operating!K139</f>
        <v>802.256654335998</v>
      </c>
      <c r="L292" s="7">
        <f>Assump_Operating!L139</f>
        <v>838.358203781118</v>
      </c>
      <c r="M292" s="7">
        <f>Assump_Operating!M139</f>
        <v>871.892531932363</v>
      </c>
    </row>
    <row r="293">
      <c r="A293" s="11" t="inlineStr">
        <is>
          <t xml:space="preserve">   % of Revenue</t>
        </is>
      </c>
      <c r="B293" s="10">
        <f>Assump_Operating!B140</f>
        <v>0.0137040714995035</v>
      </c>
      <c r="C293" s="10">
        <f>Assump_Operating!C140</f>
        <v>0.0122907949790795</v>
      </c>
      <c r="D293" s="10">
        <f>Assump_Operating!D140</f>
        <v>0.0131059334583868</v>
      </c>
      <c r="E293" s="10">
        <f>Assump_Operating!E140</f>
        <v>0.0131381381381381</v>
      </c>
      <c r="F293" s="10">
        <f>Assump_Operating!F140</f>
        <v>0.013</v>
      </c>
      <c r="G293" s="10">
        <f>Assump_Operating!G140</f>
        <v>0.013</v>
      </c>
      <c r="H293" s="10">
        <f>Assump_Operating!H140</f>
        <v>0.013</v>
      </c>
      <c r="I293" s="10">
        <f>Assump_Operating!I140</f>
        <v>0.013</v>
      </c>
      <c r="J293" s="10">
        <f>Assump_Operating!J140</f>
        <v>0.013</v>
      </c>
      <c r="K293" s="10">
        <f>Assump_Operating!K140</f>
        <v>0.013</v>
      </c>
      <c r="L293" s="10">
        <f>Assump_Operating!L140</f>
        <v>0.013</v>
      </c>
      <c r="M293" s="10">
        <f>Assump_Operating!M140</f>
        <v>0.013</v>
      </c>
    </row>
    <row r="294">
      <c r="A294" s="6" t="inlineStr">
        <is>
          <t>Other Current Assets</t>
        </is>
      </c>
      <c r="B294" s="7">
        <f>Assump_Operating!B141</f>
        <v>138</v>
      </c>
      <c r="C294" s="7">
        <f>Assump_Operating!C141</f>
        <v>158</v>
      </c>
      <c r="D294" s="7">
        <f>Assump_Operating!D141</f>
        <v>148</v>
      </c>
      <c r="E294" s="7">
        <f>Assump_Operating!E141</f>
        <v>167</v>
      </c>
      <c r="F294" s="7">
        <f>Assump_Operating!F141</f>
        <v>184.13568</v>
      </c>
      <c r="G294" s="7">
        <f>Assump_Operating!G141</f>
        <v>197.39344896</v>
      </c>
      <c r="H294" s="7">
        <f>Assump_Operating!H141</f>
        <v>210.2240231424</v>
      </c>
      <c r="I294" s="7">
        <f>Assump_Operating!I141</f>
        <v>222.837464530944</v>
      </c>
      <c r="J294" s="7">
        <f>Assump_Operating!J141</f>
        <v>235.093525080146</v>
      </c>
      <c r="K294" s="7">
        <f>Assump_Operating!K141</f>
        <v>246.848201334153</v>
      </c>
      <c r="L294" s="7">
        <f>Assump_Operating!L141</f>
        <v>257.95637039419</v>
      </c>
      <c r="M294" s="7">
        <f>Assump_Operating!M141</f>
        <v>268.274625209958</v>
      </c>
    </row>
    <row r="295">
      <c r="A295" s="11" t="inlineStr">
        <is>
          <t xml:space="preserve">   % of Revenue</t>
        </is>
      </c>
      <c r="B295" s="10">
        <f>Assump_Operating!B142</f>
        <v>0.00391544899985814</v>
      </c>
      <c r="C295" s="10">
        <f>Assump_Operating!C142</f>
        <v>0.00413179916317992</v>
      </c>
      <c r="D295" s="10">
        <f>Assump_Operating!D142</f>
        <v>0.00365287787540725</v>
      </c>
      <c r="E295" s="10">
        <f>Assump_Operating!E142</f>
        <v>0.00391798048048048</v>
      </c>
      <c r="F295" s="10">
        <f>Assump_Operating!F142</f>
        <v>0.004</v>
      </c>
      <c r="G295" s="10">
        <f>Assump_Operating!G142</f>
        <v>0.004</v>
      </c>
      <c r="H295" s="10">
        <f>Assump_Operating!H142</f>
        <v>0.004</v>
      </c>
      <c r="I295" s="10">
        <f>Assump_Operating!I142</f>
        <v>0.004</v>
      </c>
      <c r="J295" s="10">
        <f>Assump_Operating!J142</f>
        <v>0.004</v>
      </c>
      <c r="K295" s="10">
        <f>Assump_Operating!K142</f>
        <v>0.004</v>
      </c>
      <c r="L295" s="10">
        <f>Assump_Operating!L142</f>
        <v>0.004</v>
      </c>
      <c r="M295" s="10">
        <f>Assump_Operating!M142</f>
        <v>0.004</v>
      </c>
    </row>
    <row r="296">
      <c r="A296" s="17" t="inlineStr">
        <is>
          <t>Total Current Assets</t>
        </is>
      </c>
      <c r="B296" s="18">
        <f>B287+B290+B292+B294</f>
        <v>8875</v>
      </c>
      <c r="C296" s="18">
        <f>C287+C290+C292+C294</f>
        <v>9770</v>
      </c>
      <c r="D296" s="18">
        <f>D287+D290+D292+D294</f>
        <v>10022</v>
      </c>
      <c r="E296" s="18">
        <f>E287+E290+E292+E294</f>
        <v>10525</v>
      </c>
      <c r="F296" s="18">
        <f>F287+F290+F292+F294</f>
        <v>11477.5805194521</v>
      </c>
      <c r="G296" s="18">
        <f>G287+G290+G292+G294</f>
        <v>12175.795776021</v>
      </c>
      <c r="H296" s="18">
        <f>H287+H290+H292+H294</f>
        <v>13068.0148413252</v>
      </c>
      <c r="I296" s="18">
        <f>I287+I290+I292+I294</f>
        <v>13891.8554300995</v>
      </c>
      <c r="J296" s="18">
        <f>J287+J290+J292+J294</f>
        <v>14645.8435436059</v>
      </c>
      <c r="K296" s="18">
        <f>K287+K290+K292+K294</f>
        <v>15209.0616102834</v>
      </c>
      <c r="L296" s="18">
        <f>L287+L290+L292+L294</f>
        <v>16002.305769159</v>
      </c>
      <c r="M296" s="18">
        <f>M287+M290+M292+M294</f>
        <v>16491.447585809</v>
      </c>
    </row>
    <row r="297">
      <c r="A297" s="6" t="inlineStr">
        <is>
          <t>Accounts Payable</t>
        </is>
      </c>
      <c r="B297" s="7">
        <f>Assump_Operating!B144</f>
        <v>1881</v>
      </c>
      <c r="C297" s="7">
        <f>Assump_Operating!C144</f>
        <v>2016</v>
      </c>
      <c r="D297" s="7">
        <f>Assump_Operating!D144</f>
        <v>2088</v>
      </c>
      <c r="E297" s="7">
        <f>Assump_Operating!E144</f>
        <v>2403</v>
      </c>
      <c r="F297" s="7">
        <f>Assump_Operating!F144</f>
        <v>2541.32462465753</v>
      </c>
      <c r="G297" s="7">
        <f>Assump_Operating!G144</f>
        <v>2672.11241455167</v>
      </c>
      <c r="H297" s="7">
        <f>Assump_Operating!H144</f>
        <v>2883.5248544176</v>
      </c>
      <c r="I297" s="7">
        <f>Assump_Operating!I144</f>
        <v>3051.80486527139</v>
      </c>
      <c r="J297" s="7">
        <f>Assump_Operating!J144</f>
        <v>3162.81302713988</v>
      </c>
      <c r="K297" s="7">
        <f>Assump_Operating!K144</f>
        <v>3375.39554207879</v>
      </c>
      <c r="L297" s="7">
        <f>Assump_Operating!L144</f>
        <v>3521.8111856626</v>
      </c>
      <c r="M297" s="7">
        <f>Assump_Operating!M144</f>
        <v>3662.6836330891</v>
      </c>
    </row>
    <row r="298">
      <c r="A298" s="11" t="inlineStr">
        <is>
          <t xml:space="preserve">   Days (on COGS)</t>
        </is>
      </c>
      <c r="B298" s="49">
        <f>Assump_Operating!B145</f>
        <v>29.5423838209983</v>
      </c>
      <c r="C298" s="49">
        <f>Assump_Operating!C145</f>
        <v>29.4030208583074</v>
      </c>
      <c r="D298" s="49">
        <f>Assump_Operating!D145</f>
        <v>29.061928004881</v>
      </c>
      <c r="E298" s="49">
        <f>Assump_Operating!E145</f>
        <v>31.2155669442665</v>
      </c>
      <c r="F298" s="49">
        <f>Assump_Operating!F145</f>
        <v>31</v>
      </c>
      <c r="G298" s="49">
        <f>Assump_Operating!G145</f>
        <v>30.5</v>
      </c>
      <c r="H298" s="49">
        <f>Assump_Operating!H145</f>
        <v>31</v>
      </c>
      <c r="I298" s="49">
        <f>Assump_Operating!I145</f>
        <v>31</v>
      </c>
      <c r="J298" s="49">
        <f>Assump_Operating!J145</f>
        <v>30.5</v>
      </c>
      <c r="K298" s="49">
        <f>Assump_Operating!K145</f>
        <v>31</v>
      </c>
      <c r="L298" s="49">
        <f>Assump_Operating!L145</f>
        <v>31</v>
      </c>
      <c r="M298" s="49">
        <f>Assump_Operating!M145</f>
        <v>31</v>
      </c>
    </row>
    <row r="299">
      <c r="A299" s="6" t="inlineStr">
        <is>
          <t>Accrued Expenses</t>
        </is>
      </c>
      <c r="B299" s="7">
        <f>Assump_Operating!B147</f>
        <v>1910</v>
      </c>
      <c r="C299" s="7">
        <f>Assump_Operating!C147</f>
        <v>2059</v>
      </c>
      <c r="D299" s="7">
        <f>Assump_Operating!D147</f>
        <v>2238</v>
      </c>
      <c r="E299" s="7">
        <f>Assump_Operating!E147</f>
        <v>2286</v>
      </c>
      <c r="F299" s="7">
        <f>Assump_Operating!F147</f>
        <v>2531.8656</v>
      </c>
      <c r="G299" s="7">
        <f>Assump_Operating!G147</f>
        <v>2714.1599232</v>
      </c>
      <c r="H299" s="7">
        <f>Assump_Operating!H147</f>
        <v>2890.580318208</v>
      </c>
      <c r="I299" s="7">
        <f>Assump_Operating!I147</f>
        <v>3064.01513730048</v>
      </c>
      <c r="J299" s="7">
        <f>Assump_Operating!J147</f>
        <v>3232.53596985201</v>
      </c>
      <c r="K299" s="7">
        <f>Assump_Operating!K147</f>
        <v>3394.16276834461</v>
      </c>
      <c r="L299" s="7">
        <f>Assump_Operating!L147</f>
        <v>3546.90009292011</v>
      </c>
      <c r="M299" s="7">
        <f>Assump_Operating!M147</f>
        <v>3688.77609663692</v>
      </c>
    </row>
    <row r="300">
      <c r="A300" s="11" t="inlineStr">
        <is>
          <t xml:space="preserve">   % of Revenue</t>
        </is>
      </c>
      <c r="B300" s="10">
        <f>Assump_Operating!B148</f>
        <v>0.0541920839835438</v>
      </c>
      <c r="C300" s="10">
        <f>Assump_Operating!C148</f>
        <v>0.0538441422594142</v>
      </c>
      <c r="D300" s="10">
        <f>Assump_Operating!D148</f>
        <v>0.0552374370619015</v>
      </c>
      <c r="E300" s="10">
        <f>Assump_Operating!E148</f>
        <v>0.0536317567567568</v>
      </c>
      <c r="F300" s="10">
        <f>Assump_Operating!F148</f>
        <v>0.055</v>
      </c>
      <c r="G300" s="10">
        <f>Assump_Operating!G148</f>
        <v>0.055</v>
      </c>
      <c r="H300" s="10">
        <f>Assump_Operating!H148</f>
        <v>0.055</v>
      </c>
      <c r="I300" s="10">
        <f>Assump_Operating!I148</f>
        <v>0.055</v>
      </c>
      <c r="J300" s="10">
        <f>Assump_Operating!J148</f>
        <v>0.055</v>
      </c>
      <c r="K300" s="10">
        <f>Assump_Operating!K148</f>
        <v>0.055</v>
      </c>
      <c r="L300" s="10">
        <f>Assump_Operating!L148</f>
        <v>0.055</v>
      </c>
      <c r="M300" s="10">
        <f>Assump_Operating!M148</f>
        <v>0.055</v>
      </c>
    </row>
    <row r="301">
      <c r="A301" s="6" t="inlineStr">
        <is>
          <t>Accrued Product Liability</t>
        </is>
      </c>
      <c r="B301" s="7">
        <f>Assump_Operating!B149</f>
        <v>339</v>
      </c>
      <c r="C301" s="7">
        <f>Assump_Operating!C149</f>
        <v>375</v>
      </c>
      <c r="D301" s="7">
        <f>Assump_Operating!D149</f>
        <v>430</v>
      </c>
      <c r="E301" s="7">
        <f>Assump_Operating!E149</f>
        <v>423</v>
      </c>
      <c r="F301" s="7">
        <f>Assump_Operating!F149</f>
        <v>460.3392</v>
      </c>
      <c r="G301" s="7">
        <f>Assump_Operating!G149</f>
        <v>493.4836224</v>
      </c>
      <c r="H301" s="7">
        <f>Assump_Operating!H149</f>
        <v>525.560057856</v>
      </c>
      <c r="I301" s="7">
        <f>Assump_Operating!I149</f>
        <v>557.09366132736</v>
      </c>
      <c r="J301" s="7">
        <f>Assump_Operating!J149</f>
        <v>587.733812700365</v>
      </c>
      <c r="K301" s="7">
        <f>Assump_Operating!K149</f>
        <v>617.120503335383</v>
      </c>
      <c r="L301" s="7">
        <f>Assump_Operating!L149</f>
        <v>644.890925985475</v>
      </c>
      <c r="M301" s="7">
        <f>Assump_Operating!M149</f>
        <v>670.686563024894</v>
      </c>
    </row>
    <row r="302">
      <c r="A302" s="11" t="inlineStr">
        <is>
          <t xml:space="preserve">   % of Revenue</t>
        </is>
      </c>
      <c r="B302" s="10">
        <f>Assump_Operating!B150</f>
        <v>0.00961838558660803</v>
      </c>
      <c r="C302" s="10">
        <f>Assump_Operating!C150</f>
        <v>0.00980648535564854</v>
      </c>
      <c r="D302" s="10">
        <f>Assump_Operating!D150</f>
        <v>0.010613091124494</v>
      </c>
      <c r="E302" s="10">
        <f>Assump_Operating!E150</f>
        <v>0.00992398648648649</v>
      </c>
      <c r="F302" s="10">
        <f>Assump_Operating!F150</f>
        <v>0.01</v>
      </c>
      <c r="G302" s="10">
        <f>Assump_Operating!G150</f>
        <v>0.01</v>
      </c>
      <c r="H302" s="10">
        <f>Assump_Operating!H150</f>
        <v>0.01</v>
      </c>
      <c r="I302" s="10">
        <f>Assump_Operating!I150</f>
        <v>0.01</v>
      </c>
      <c r="J302" s="10">
        <f>Assump_Operating!J150</f>
        <v>0.01</v>
      </c>
      <c r="K302" s="10">
        <f>Assump_Operating!K150</f>
        <v>0.01</v>
      </c>
      <c r="L302" s="10">
        <f>Assump_Operating!L150</f>
        <v>0.01</v>
      </c>
      <c r="M302" s="10">
        <f>Assump_Operating!M150</f>
        <v>0.01</v>
      </c>
    </row>
    <row r="303">
      <c r="A303" s="6" t="inlineStr">
        <is>
          <t>Other Current Liabilities</t>
        </is>
      </c>
      <c r="B303" s="7">
        <f>Assump_Operating!B151</f>
        <v>210</v>
      </c>
      <c r="C303" s="7">
        <f>Assump_Operating!C151</f>
        <v>218</v>
      </c>
      <c r="D303" s="7">
        <f>Assump_Operating!D151</f>
        <v>213</v>
      </c>
      <c r="E303" s="7">
        <f>Assump_Operating!E151</f>
        <v>285</v>
      </c>
      <c r="F303" s="7">
        <f>Assump_Operating!F151</f>
        <v>276.20352</v>
      </c>
      <c r="G303" s="7">
        <f>Assump_Operating!G151</f>
        <v>296.09017344</v>
      </c>
      <c r="H303" s="7">
        <f>Assump_Operating!H151</f>
        <v>315.3360347136</v>
      </c>
      <c r="I303" s="7">
        <f>Assump_Operating!I151</f>
        <v>334.256196796416</v>
      </c>
      <c r="J303" s="7">
        <f>Assump_Operating!J151</f>
        <v>352.640287620219</v>
      </c>
      <c r="K303" s="7">
        <f>Assump_Operating!K151</f>
        <v>370.27230200123</v>
      </c>
      <c r="L303" s="7">
        <f>Assump_Operating!L151</f>
        <v>386.934555591285</v>
      </c>
      <c r="M303" s="7">
        <f>Assump_Operating!M151</f>
        <v>402.411937814937</v>
      </c>
    </row>
    <row r="304">
      <c r="A304" s="11" t="inlineStr">
        <is>
          <t xml:space="preserve">   % of Revenue</t>
        </is>
      </c>
      <c r="B304" s="10">
        <f>Assump_Operating!B152</f>
        <v>0.00595829195630586</v>
      </c>
      <c r="C304" s="10">
        <f>Assump_Operating!C152</f>
        <v>0.00570083682008368</v>
      </c>
      <c r="D304" s="10">
        <f>Assump_Operating!D152</f>
        <v>0.00525718234771448</v>
      </c>
      <c r="E304" s="10">
        <f>Assump_Operating!E152</f>
        <v>0.00668637387387387</v>
      </c>
      <c r="F304" s="10">
        <f>Assump_Operating!F152</f>
        <v>0.006</v>
      </c>
      <c r="G304" s="10">
        <f>Assump_Operating!G152</f>
        <v>0.006</v>
      </c>
      <c r="H304" s="10">
        <f>Assump_Operating!H152</f>
        <v>0.006</v>
      </c>
      <c r="I304" s="10">
        <f>Assump_Operating!I152</f>
        <v>0.006</v>
      </c>
      <c r="J304" s="10">
        <f>Assump_Operating!J152</f>
        <v>0.006</v>
      </c>
      <c r="K304" s="10">
        <f>Assump_Operating!K152</f>
        <v>0.006</v>
      </c>
      <c r="L304" s="10">
        <f>Assump_Operating!L152</f>
        <v>0.006</v>
      </c>
      <c r="M304" s="10">
        <f>Assump_Operating!M152</f>
        <v>0.006</v>
      </c>
    </row>
    <row r="305">
      <c r="A305" s="17" t="inlineStr">
        <is>
          <t>Total Current Liabilities</t>
        </is>
      </c>
      <c r="B305" s="18">
        <f>B297+B299+B301+B303</f>
        <v>4340</v>
      </c>
      <c r="C305" s="18">
        <f>C297+C299+C301+C303</f>
        <v>4668</v>
      </c>
      <c r="D305" s="18">
        <f>D297+D299+D301+D303</f>
        <v>4969</v>
      </c>
      <c r="E305" s="18">
        <f>E297+E299+E301+E303</f>
        <v>5397</v>
      </c>
      <c r="F305" s="18">
        <f>F297+F299+F301+F303</f>
        <v>5809.73294465754</v>
      </c>
      <c r="G305" s="18">
        <f>G297+G299+G301+G303</f>
        <v>6175.84613359167</v>
      </c>
      <c r="H305" s="18">
        <f>H297+H299+H301+H303</f>
        <v>6615.00126519521</v>
      </c>
      <c r="I305" s="18">
        <f>I297+I299+I301+I303</f>
        <v>7007.16986069564</v>
      </c>
      <c r="J305" s="18">
        <f>J297+J299+J301+J303</f>
        <v>7335.72309731247</v>
      </c>
      <c r="K305" s="18">
        <f>K297+K299+K301+K303</f>
        <v>7756.95111576001</v>
      </c>
      <c r="L305" s="18">
        <f>L297+L299+L301+L303</f>
        <v>8100.53676015947</v>
      </c>
      <c r="M305" s="18">
        <f>M297+M299+M301+M303</f>
        <v>8424.55823056585</v>
      </c>
    </row>
    <row r="306">
      <c r="A306" s="17" t="inlineStr">
        <is>
          <t>Net Working Capital</t>
        </is>
      </c>
      <c r="B306" s="18">
        <f>B296-B305</f>
        <v>4535</v>
      </c>
      <c r="C306" s="18">
        <f>C296-C305</f>
        <v>5102</v>
      </c>
      <c r="D306" s="18">
        <f>D296-D305</f>
        <v>5053</v>
      </c>
      <c r="E306" s="18">
        <f>E296-E305</f>
        <v>5128</v>
      </c>
      <c r="F306" s="18">
        <f>F296-F305</f>
        <v>5667.84757479452</v>
      </c>
      <c r="G306" s="18">
        <f>G296-G305</f>
        <v>5999.94964242937</v>
      </c>
      <c r="H306" s="18">
        <f>H296-H305</f>
        <v>6453.01357613</v>
      </c>
      <c r="I306" s="18">
        <f>I296-I305</f>
        <v>6884.68556940381</v>
      </c>
      <c r="J306" s="18">
        <f>J296-J305</f>
        <v>7310.12044629347</v>
      </c>
      <c r="K306" s="18">
        <f>K296-K305</f>
        <v>7452.11049452338</v>
      </c>
      <c r="L306" s="18">
        <f>L296-L305</f>
        <v>7901.76900899957</v>
      </c>
      <c r="M306" s="18">
        <f>M296-M305</f>
        <v>8066.88935524312</v>
      </c>
    </row>
    <row r="307">
      <c r="A307" s="6" t="inlineStr">
        <is>
          <t>Change in NWC (increase = use of cash)</t>
        </is>
      </c>
      <c r="C307" s="24">
        <f>C306-B306</f>
        <v>567</v>
      </c>
      <c r="D307" s="24">
        <f>D306-C306</f>
        <v>-49</v>
      </c>
      <c r="E307" s="24">
        <f>E306-D306</f>
        <v>75</v>
      </c>
      <c r="F307" s="24">
        <f>F306-E306</f>
        <v>539.847574794519</v>
      </c>
      <c r="G307" s="24">
        <f>G306-F306</f>
        <v>332.102067634854</v>
      </c>
      <c r="H307" s="24">
        <f>H306-G306</f>
        <v>453.063933700628</v>
      </c>
      <c r="I307" s="24">
        <f>I306-H306</f>
        <v>431.671993273807</v>
      </c>
      <c r="J307" s="24">
        <f>J306-I306</f>
        <v>425.434876889663</v>
      </c>
      <c r="K307" s="24">
        <f>K306-J306</f>
        <v>141.990048229909</v>
      </c>
      <c r="L307" s="24">
        <f>L306-K306</f>
        <v>449.658514476186</v>
      </c>
      <c r="M307" s="24">
        <f>M306-L306</f>
        <v>165.120346243559</v>
      </c>
    </row>
    <row r="308">
      <c r="A308" s="11" t="inlineStr">
        <is>
          <t xml:space="preserve">   % of Revenue</t>
        </is>
      </c>
      <c r="B308" s="15">
        <f>B306/B75</f>
        <v>0.128670733437367</v>
      </c>
      <c r="C308" s="15">
        <f>C306/C75</f>
        <v>0.13342050209205</v>
      </c>
      <c r="D308" s="15">
        <f>D306/D75</f>
        <v>0.124716161516438</v>
      </c>
      <c r="E308" s="15">
        <f>E306/E75</f>
        <v>0.120307807807808</v>
      </c>
      <c r="F308" s="15">
        <f>F306/F75</f>
        <v>0.123123287671233</v>
      </c>
      <c r="G308" s="15">
        <f>G306/G75</f>
        <v>0.121583561643836</v>
      </c>
      <c r="H308" s="15">
        <f>H306/H75</f>
        <v>0.122783561643836</v>
      </c>
      <c r="I308" s="15">
        <f>I306/I75</f>
        <v>0.123582191780822</v>
      </c>
      <c r="J308" s="15">
        <f>J306/J75</f>
        <v>0.124378082191781</v>
      </c>
      <c r="K308" s="15">
        <f>K306/K75</f>
        <v>0.120756164383562</v>
      </c>
      <c r="L308" s="15">
        <f>L306/L75</f>
        <v>0.122528767123288</v>
      </c>
      <c r="M308" s="15">
        <f>M306/M75</f>
        <v>0.120278082191781</v>
      </c>
    </row>
    <row r="310">
      <c r="A310" s="35" t="inlineStr">
        <is>
          <t>TAXES</t>
        </is>
      </c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</row>
    <row r="311">
      <c r="A311" s="6" t="inlineStr">
        <is>
          <t>Pre Tax Income Prior to Step Up and NOL Utilization</t>
        </is>
      </c>
      <c r="F311" s="24">
        <f>F108</f>
        <v>3961.03396</v>
      </c>
      <c r="G311" s="24">
        <f>G108</f>
        <v>4868.5787130199</v>
      </c>
      <c r="H311" s="24">
        <f>H108</f>
        <v>5833.48042361302</v>
      </c>
      <c r="I311" s="24">
        <f>I108</f>
        <v>6801.9462573835</v>
      </c>
      <c r="J311" s="24">
        <f>J108</f>
        <v>7820.53962582546</v>
      </c>
      <c r="K311" s="24">
        <f>K108</f>
        <v>9246.20045987278</v>
      </c>
      <c r="L311" s="24">
        <f>L108</f>
        <v>10591.9083466024</v>
      </c>
      <c r="M311" s="24">
        <f>M108</f>
        <v>11660.9996224754</v>
      </c>
    </row>
    <row r="312">
      <c r="A312" s="6" t="inlineStr">
        <is>
          <t>Less: Step Up Amortization Tax Shield (goodwill / 15 yrs)</t>
        </is>
      </c>
      <c r="F312" s="7">
        <f>-IF(Assump_CapStructure!$F$22=1,$D$326,0)</f>
        <v>-2659.86666666667</v>
      </c>
      <c r="G312" s="7">
        <f>-IF(Assump_CapStructure!$F$22=1,$D$326,0)</f>
        <v>-2659.86666666667</v>
      </c>
      <c r="H312" s="7">
        <f>-IF(Assump_CapStructure!$F$22=1,$D$326,0)</f>
        <v>-2659.86666666667</v>
      </c>
      <c r="I312" s="7">
        <f>-IF(Assump_CapStructure!$F$22=1,$D$326,0)</f>
        <v>-2659.86666666667</v>
      </c>
      <c r="J312" s="7">
        <f>-IF(Assump_CapStructure!$F$22=1,$D$326,0)</f>
        <v>-2659.86666666667</v>
      </c>
      <c r="K312" s="7">
        <f>-IF(Assump_CapStructure!$F$22=1,$D$326,0)</f>
        <v>-2659.86666666667</v>
      </c>
      <c r="L312" s="7">
        <f>-IF(Assump_CapStructure!$F$22=1,$D$326,0)</f>
        <v>-2659.86666666667</v>
      </c>
      <c r="M312" s="7">
        <f>-IF(Assump_CapStructure!$F$22=1,$D$326,0)</f>
        <v>-2659.86666666667</v>
      </c>
    </row>
    <row r="313">
      <c r="A313" s="6" t="inlineStr">
        <is>
          <t>Less: NOL Utilization</t>
        </is>
      </c>
      <c r="F313" s="24">
        <f>-MIN(MAX(0,F311+F312),F317)</f>
        <v>-0</v>
      </c>
      <c r="G313" s="24">
        <f>-MIN(MAX(0,G311+G312),G317)</f>
        <v>-0</v>
      </c>
      <c r="H313" s="24">
        <f>-MIN(MAX(0,H311+H312),H317)</f>
        <v>-0</v>
      </c>
      <c r="I313" s="24">
        <f>-MIN(MAX(0,I311+I312),I317)</f>
        <v>-0</v>
      </c>
      <c r="J313" s="24">
        <f>-MIN(MAX(0,J311+J312),J317)</f>
        <v>-0</v>
      </c>
      <c r="K313" s="24">
        <f>-MIN(MAX(0,K311+K312),K317)</f>
        <v>-0</v>
      </c>
      <c r="L313" s="24">
        <f>-MIN(MAX(0,L311+L312),L317)</f>
        <v>-0</v>
      </c>
      <c r="M313" s="24">
        <f>-MIN(MAX(0,M311+M312),M317)</f>
        <v>-0</v>
      </c>
    </row>
    <row r="314">
      <c r="A314" s="17" t="inlineStr">
        <is>
          <t>Net Adjusted Pre Tax Income</t>
        </is>
      </c>
      <c r="F314" s="18">
        <f>F311+F312+F313</f>
        <v>1301.16729333333</v>
      </c>
      <c r="G314" s="18">
        <f>G311+G312+G313</f>
        <v>2208.71204635323</v>
      </c>
      <c r="H314" s="18">
        <f>H311+H312+H313</f>
        <v>3173.61375694635</v>
      </c>
      <c r="I314" s="18">
        <f>I311+I312+I313</f>
        <v>4142.07959071683</v>
      </c>
      <c r="J314" s="18">
        <f>J311+J312+J313</f>
        <v>5160.67295915879</v>
      </c>
      <c r="K314" s="18">
        <f>K311+K312+K313</f>
        <v>6586.33379320611</v>
      </c>
      <c r="L314" s="18">
        <f>L311+L312+L313</f>
        <v>7932.04167993573</v>
      </c>
      <c r="M314" s="18">
        <f>M311+M312+M313</f>
        <v>9001.13295580875</v>
      </c>
    </row>
    <row r="315">
      <c r="A315" s="17" t="inlineStr">
        <is>
          <t>Federal &amp; State Taxes</t>
        </is>
      </c>
      <c r="F315" s="31">
        <f>MAX(0,F314)*Assump_CapStructure!$F$23*Assump_Operating!$F$109</f>
        <v>338.303496266666</v>
      </c>
      <c r="G315" s="31">
        <f>MAX(0,G314)*Assump_CapStructure!$F$23*Assump_Operating!$F$109</f>
        <v>574.26513205184</v>
      </c>
      <c r="H315" s="31">
        <f>MAX(0,H314)*Assump_CapStructure!$F$23*Assump_Operating!$F$109</f>
        <v>825.139576806052</v>
      </c>
      <c r="I315" s="31">
        <f>MAX(0,I314)*Assump_CapStructure!$F$23*Assump_Operating!$F$109</f>
        <v>1076.94069358638</v>
      </c>
      <c r="J315" s="31">
        <f>MAX(0,J314)*Assump_CapStructure!$F$23*Assump_Operating!$F$109</f>
        <v>1341.77496938129</v>
      </c>
      <c r="K315" s="31">
        <f>MAX(0,K314)*Assump_CapStructure!$F$23*Assump_Operating!$F$109</f>
        <v>1712.44678623359</v>
      </c>
      <c r="L315" s="31">
        <f>MAX(0,L314)*Assump_CapStructure!$F$23*Assump_Operating!$F$109</f>
        <v>2062.33083678329</v>
      </c>
      <c r="M315" s="31">
        <f>MAX(0,M314)*Assump_CapStructure!$F$23*Assump_Operating!$F$109</f>
        <v>2340.29456851027</v>
      </c>
    </row>
    <row r="316">
      <c r="A316" s="17" t="inlineStr">
        <is>
          <t>Summary of NOL Carryforwards:</t>
        </is>
      </c>
    </row>
    <row r="317">
      <c r="A317" s="6" t="inlineStr">
        <is>
          <t xml:space="preserve">   NOL - Beginning of Year</t>
        </is>
      </c>
      <c r="F317" s="7">
        <f>Assump_CapStructure!$F$24</f>
        <v>0</v>
      </c>
      <c r="G317" s="24">
        <f>F320</f>
        <v>0</v>
      </c>
      <c r="H317" s="24">
        <f>G320</f>
        <v>0</v>
      </c>
      <c r="I317" s="24">
        <f>H320</f>
        <v>0</v>
      </c>
      <c r="J317" s="24">
        <f>I320</f>
        <v>0</v>
      </c>
      <c r="K317" s="24">
        <f>J320</f>
        <v>0</v>
      </c>
      <c r="L317" s="24">
        <f>K320</f>
        <v>0</v>
      </c>
      <c r="M317" s="24">
        <f>L320</f>
        <v>0</v>
      </c>
    </row>
    <row r="318">
      <c r="A318" s="6" t="inlineStr">
        <is>
          <t xml:space="preserve">   Additions (pre-tax losses)</t>
        </is>
      </c>
      <c r="F318" s="24">
        <f>MAX(0,-(F311+F312))</f>
        <v>0</v>
      </c>
      <c r="G318" s="24">
        <f>MAX(0,-(G311+G312))</f>
        <v>0</v>
      </c>
      <c r="H318" s="24">
        <f>MAX(0,-(H311+H312))</f>
        <v>0</v>
      </c>
      <c r="I318" s="24">
        <f>MAX(0,-(I311+I312))</f>
        <v>0</v>
      </c>
      <c r="J318" s="24">
        <f>MAX(0,-(J311+J312))</f>
        <v>0</v>
      </c>
      <c r="K318" s="24">
        <f>MAX(0,-(K311+K312))</f>
        <v>0</v>
      </c>
      <c r="L318" s="24">
        <f>MAX(0,-(L311+L312))</f>
        <v>0</v>
      </c>
      <c r="M318" s="24">
        <f>MAX(0,-(M311+M312))</f>
        <v>0</v>
      </c>
    </row>
    <row r="319">
      <c r="A319" s="6" t="inlineStr">
        <is>
          <t xml:space="preserve">   Subtractions (utilization)</t>
        </is>
      </c>
      <c r="F319" s="24">
        <f>F313</f>
        <v>-0</v>
      </c>
      <c r="G319" s="24">
        <f>G313</f>
        <v>-0</v>
      </c>
      <c r="H319" s="24">
        <f>H313</f>
        <v>-0</v>
      </c>
      <c r="I319" s="24">
        <f>I313</f>
        <v>-0</v>
      </c>
      <c r="J319" s="24">
        <f>J313</f>
        <v>-0</v>
      </c>
      <c r="K319" s="24">
        <f>K313</f>
        <v>-0</v>
      </c>
      <c r="L319" s="24">
        <f>L313</f>
        <v>-0</v>
      </c>
      <c r="M319" s="24">
        <f>M313</f>
        <v>-0</v>
      </c>
    </row>
    <row r="320">
      <c r="A320" s="6" t="inlineStr">
        <is>
          <t xml:space="preserve">   NOL - End of Year</t>
        </is>
      </c>
      <c r="F320" s="24">
        <f>F317+F318+F319</f>
        <v>0</v>
      </c>
      <c r="G320" s="24">
        <f>G317+G318+G319</f>
        <v>0</v>
      </c>
      <c r="H320" s="24">
        <f>H317+H318+H319</f>
        <v>0</v>
      </c>
      <c r="I320" s="24">
        <f>I317+I318+I319</f>
        <v>0</v>
      </c>
      <c r="J320" s="24">
        <f>J317+J318+J319</f>
        <v>0</v>
      </c>
      <c r="K320" s="24">
        <f>K317+K318+K319</f>
        <v>0</v>
      </c>
      <c r="L320" s="24">
        <f>L317+L318+L319</f>
        <v>0</v>
      </c>
      <c r="M320" s="24">
        <f>M317+M318+M319</f>
        <v>0</v>
      </c>
    </row>
    <row r="322">
      <c r="A322" s="35" t="inlineStr">
        <is>
          <t>CALCULATION OF GOODWILL</t>
        </is>
      </c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</row>
    <row r="323">
      <c r="A323" s="6" t="inlineStr">
        <is>
          <t>Equity Purchase Price</t>
        </is>
      </c>
      <c r="D323" s="7">
        <f>Assump_CapStructure!$D$80</f>
        <v>48341</v>
      </c>
    </row>
    <row r="324">
      <c r="A324" s="6" t="inlineStr">
        <is>
          <t>Less: Book Equity Acquired</t>
        </is>
      </c>
      <c r="D324" s="24">
        <f>-B149</f>
        <v>-8443</v>
      </c>
    </row>
    <row r="325">
      <c r="A325" s="17" t="inlineStr">
        <is>
          <t>Goodwill (2)</t>
        </is>
      </c>
      <c r="D325" s="18">
        <f>D323+D324</f>
        <v>39898</v>
      </c>
    </row>
    <row r="326">
      <c r="A326" s="6" t="inlineStr">
        <is>
          <t>Goodwill Tax Amortization (15 yrs, annual)</t>
        </is>
      </c>
      <c r="D326" s="24">
        <f>D325/15</f>
        <v>2659.86666666667</v>
      </c>
    </row>
    <row r="327">
      <c r="A327" s="6" t="inlineStr">
        <is>
          <t>Tax Savings from Step Up</t>
        </is>
      </c>
      <c r="F327" s="7">
        <f>IF(Assump_CapStructure!$F$22=1,$D$326*Assump_CapStructure!$F$23*Assump_Operating!$F$109,0)</f>
        <v>691.565333333333</v>
      </c>
      <c r="G327" s="7">
        <f>IF(Assump_CapStructure!$F$22=1,$D$326*Assump_CapStructure!$F$23*Assump_Operating!$F$109,0)</f>
        <v>691.565333333333</v>
      </c>
      <c r="H327" s="7">
        <f>IF(Assump_CapStructure!$F$22=1,$D$326*Assump_CapStructure!$F$23*Assump_Operating!$F$109,0)</f>
        <v>691.565333333333</v>
      </c>
      <c r="I327" s="7">
        <f>IF(Assump_CapStructure!$F$22=1,$D$326*Assump_CapStructure!$F$23*Assump_Operating!$F$109,0)</f>
        <v>691.565333333333</v>
      </c>
      <c r="J327" s="7">
        <f>IF(Assump_CapStructure!$F$22=1,$D$326*Assump_CapStructure!$F$23*Assump_Operating!$F$109,0)</f>
        <v>691.565333333333</v>
      </c>
      <c r="K327" s="7">
        <f>IF(Assump_CapStructure!$F$22=1,$D$326*Assump_CapStructure!$F$23*Assump_Operating!$F$109,0)</f>
        <v>691.565333333333</v>
      </c>
      <c r="L327" s="7">
        <f>IF(Assump_CapStructure!$F$22=1,$D$326*Assump_CapStructure!$F$23*Assump_Operating!$F$109,0)</f>
        <v>691.565333333333</v>
      </c>
      <c r="M327" s="7">
        <f>IF(Assump_CapStructure!$F$22=1,$D$326*Assump_CapStructure!$F$23*Assump_Operating!$F$109,0)</f>
        <v>691.565333333333</v>
      </c>
    </row>
    <row r="328">
      <c r="A328" s="11" t="inlineStr">
        <is>
          <t xml:space="preserve">   Cumulative Tax Savings</t>
        </is>
      </c>
      <c r="F328" s="24">
        <f>SUM($F327:F327)</f>
        <v>691.565333333333</v>
      </c>
      <c r="G328" s="24">
        <f>SUM($F327:G327)</f>
        <v>1383.13066666667</v>
      </c>
      <c r="H328" s="24">
        <f>SUM($F327:H327)</f>
        <v>2074.696</v>
      </c>
      <c r="I328" s="24">
        <f>SUM($F327:I327)</f>
        <v>2766.26133333333</v>
      </c>
      <c r="J328" s="24">
        <f>SUM($F327:J327)</f>
        <v>3457.82666666667</v>
      </c>
      <c r="K328" s="24">
        <f>SUM($F327:K327)</f>
        <v>4149.392</v>
      </c>
      <c r="L328" s="24">
        <f>SUM($F327:L327)</f>
        <v>4840.95733333333</v>
      </c>
      <c r="M328" s="24">
        <f>SUM($F327:M327)</f>
        <v>5532.52266666667</v>
      </c>
    </row>
    <row r="330">
      <c r="A330" s="35" t="inlineStr">
        <is>
          <t>SPONSOR COMMON EQUITY SPLIT</t>
        </is>
      </c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</row>
    <row r="331">
      <c r="A331" s="6" t="inlineStr">
        <is>
          <t>Total Newco Equity Account (Rollover + Sponsor)</t>
        </is>
      </c>
      <c r="E331" s="24">
        <f>$K$20</f>
        <v>23107</v>
      </c>
    </row>
    <row r="332">
      <c r="A332" s="6" t="inlineStr">
        <is>
          <t>Preferred Equity (90%, 8% accreting)</t>
        </is>
      </c>
      <c r="E332" s="7">
        <f>E331*Assump_CapStructure!$F$31</f>
        <v>20796.3</v>
      </c>
    </row>
    <row r="333">
      <c r="A333" s="6" t="inlineStr">
        <is>
          <t>Common Equity (10%)</t>
        </is>
      </c>
      <c r="E333" s="24">
        <f>E331-E332</f>
        <v>2310.7</v>
      </c>
    </row>
    <row r="334">
      <c r="A334" s="6" t="inlineStr">
        <is>
          <t>Sponsor Share of Each Class</t>
        </is>
      </c>
      <c r="E334" s="15">
        <f>($K$18+$K$19)/E331</f>
        <v>0.61621153762929</v>
      </c>
    </row>
    <row r="335">
      <c r="A335" s="6" t="inlineStr">
        <is>
          <t>Rollover Share of Each Class</t>
        </is>
      </c>
      <c r="E335" s="15">
        <f>$K$17/E331</f>
        <v>0.38378846237071</v>
      </c>
    </row>
    <row r="337">
      <c r="A337" s="35" t="inlineStr">
        <is>
          <t>MEMO: COGS / ADJUSTED SG&amp;A</t>
        </is>
      </c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</row>
    <row r="338">
      <c r="A338" s="6" t="inlineStr">
        <is>
          <t>COGS</t>
        </is>
      </c>
      <c r="B338" s="24">
        <f>B77</f>
        <v>23240</v>
      </c>
      <c r="C338" s="24">
        <f>C77</f>
        <v>25026</v>
      </c>
      <c r="D338" s="24">
        <f>D77</f>
        <v>26224</v>
      </c>
      <c r="E338" s="24">
        <f>E77</f>
        <v>28098</v>
      </c>
      <c r="F338" s="24">
        <f>F77</f>
        <v>29922.048</v>
      </c>
      <c r="G338" s="24">
        <f>G77</f>
        <v>31977.73873152</v>
      </c>
      <c r="H338" s="24">
        <f>H77</f>
        <v>33951.1797374976</v>
      </c>
      <c r="I338" s="24">
        <f>I77</f>
        <v>35932.5411556147</v>
      </c>
      <c r="J338" s="24">
        <f>J77</f>
        <v>37850.0575379035</v>
      </c>
      <c r="K338" s="24">
        <f>K77</f>
        <v>39742.5604147987</v>
      </c>
      <c r="L338" s="24">
        <f>L77</f>
        <v>41466.4865408661</v>
      </c>
      <c r="M338" s="24">
        <f>M77</f>
        <v>43125.1460025007</v>
      </c>
    </row>
    <row r="339">
      <c r="A339" s="11" t="inlineStr">
        <is>
          <t xml:space="preserve">   % Sales</t>
        </is>
      </c>
      <c r="B339" s="15">
        <f>B77/B75</f>
        <v>0.659384309831182</v>
      </c>
      <c r="C339" s="15">
        <f>C77/C75</f>
        <v>0.654445606694561</v>
      </c>
      <c r="D339" s="15">
        <f>D77/D75</f>
        <v>0.647250468950538</v>
      </c>
      <c r="E339" s="15">
        <f>E77/E75</f>
        <v>0.659206081081081</v>
      </c>
      <c r="F339" s="15">
        <f>F77/F75</f>
        <v>0.65</v>
      </c>
      <c r="G339" s="15">
        <f>G77/G75</f>
        <v>0.648</v>
      </c>
      <c r="H339" s="15">
        <f>H77/H75</f>
        <v>0.646</v>
      </c>
      <c r="I339" s="15">
        <f>I77/I75</f>
        <v>0.645</v>
      </c>
      <c r="J339" s="15">
        <f>J77/J75</f>
        <v>0.644</v>
      </c>
      <c r="K339" s="15">
        <f>K77/K75</f>
        <v>0.644</v>
      </c>
      <c r="L339" s="15">
        <f>L77/L75</f>
        <v>0.643</v>
      </c>
      <c r="M339" s="15">
        <f>M77/M75</f>
        <v>0.643</v>
      </c>
    </row>
    <row r="340">
      <c r="A340" s="6" t="inlineStr">
        <is>
          <t>Adjusted SG&amp;A</t>
        </is>
      </c>
      <c r="B340" s="24">
        <f>B82</f>
        <v>5718</v>
      </c>
      <c r="C340" s="24">
        <f>C82</f>
        <v>6253</v>
      </c>
      <c r="D340" s="24">
        <f>D82</f>
        <v>6369</v>
      </c>
      <c r="E340" s="24">
        <f>E82</f>
        <v>6657</v>
      </c>
      <c r="F340" s="24">
        <f>F82</f>
        <v>7365.4272</v>
      </c>
      <c r="G340" s="24">
        <f>G82</f>
        <v>7846.38959616</v>
      </c>
      <c r="H340" s="24">
        <f>H82</f>
        <v>8303.8489141248</v>
      </c>
      <c r="I340" s="24">
        <f>I82</f>
        <v>8746.37048283955</v>
      </c>
      <c r="J340" s="24">
        <f>J82</f>
        <v>9168.64747812569</v>
      </c>
      <c r="K340" s="24">
        <f>K82</f>
        <v>9627.07985203198</v>
      </c>
      <c r="L340" s="24">
        <f>L82</f>
        <v>9995.80935277487</v>
      </c>
      <c r="M340" s="24">
        <f>M82</f>
        <v>10395.6417268859</v>
      </c>
    </row>
    <row r="341">
      <c r="A341" s="11" t="inlineStr">
        <is>
          <t xml:space="preserve">   % Sales</t>
        </is>
      </c>
      <c r="B341" s="15">
        <f>B82/B75</f>
        <v>0.162235778124557</v>
      </c>
      <c r="C341" s="15">
        <f>C82/C75</f>
        <v>0.163519874476987</v>
      </c>
      <c r="D341" s="15">
        <f>D82/D75</f>
        <v>0.157197156678843</v>
      </c>
      <c r="E341" s="15">
        <f>E82/E75</f>
        <v>0.156179617117117</v>
      </c>
      <c r="F341" s="15">
        <f>F82/F75</f>
        <v>0.16</v>
      </c>
      <c r="G341" s="15">
        <f>G82/G75</f>
        <v>0.159</v>
      </c>
      <c r="H341" s="15">
        <f>H82/H75</f>
        <v>0.158</v>
      </c>
      <c r="I341" s="15">
        <f>I82/I75</f>
        <v>0.157</v>
      </c>
      <c r="J341" s="15">
        <f>J82/J75</f>
        <v>0.156</v>
      </c>
      <c r="K341" s="15">
        <f>K82/K75</f>
        <v>0.156</v>
      </c>
      <c r="L341" s="15">
        <f>L82/L75</f>
        <v>0.155</v>
      </c>
      <c r="M341" s="15">
        <f>M82/M75</f>
        <v>0.155</v>
      </c>
    </row>
    <row r="343">
      <c r="A343" s="11" t="inlineStr">
        <is>
          <t>TO UPDATE: re-tie closing balance sheet to the final 31-Jul-26 close package.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2"/>
  <sheetViews>
    <sheetView showGridLines="0" zoomScale="85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4" customWidth="1" min="3" max="3"/>
    <col width="12" customWidth="1" min="4" max="4"/>
    <col width="10" customWidth="1" min="5" max="5"/>
    <col width="12" customWidth="1" min="6" max="6"/>
    <col width="10" customWidth="1" min="7" max="7"/>
    <col width="6" customWidth="1" min="8" max="8"/>
    <col width="3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3" customWidth="1" min="20" max="20"/>
    <col width="11" customWidth="1" min="21" max="21"/>
    <col width="9" customWidth="1" min="22" max="22"/>
    <col width="8" customWidth="1" min="23" max="23"/>
    <col width="10" customWidth="1" min="24" max="24"/>
    <col width="8" customWidth="1" min="25" max="25"/>
    <col width="10" customWidth="1" min="26" max="26"/>
  </cols>
  <sheetData>
    <row r="1">
      <c r="A1" s="12" t="str">
        <f>$F$7</f>
        <v>Project Kestrel</v>
      </c>
      <c r="U1" s="1" t="str">
        <f>"Operating Case Running: "&amp;CHOOSE(Assump_CapStructure!$K$5,"Management Case","Case II - No Growth, No Taxes","Case III - Downside Case, No Taxes","Upside Case","Flat Case")</f>
        <v>Operating Case Running: Management Case</v>
      </c>
    </row>
    <row r="2">
      <c r="A2" s="4" t="str">
        <f>"Prepared by: "&amp;$F$8</f>
        <v>Prepared by: Halvern</v>
      </c>
      <c r="U2" s="1" t="str">
        <f>"Capital Structure Case: "&amp;CHOOSE(Assump_CapStructure!$K$15,"Base Case - Senior + Mezz","Senior Only","Senior + Seller Note Upsized","All Equity","Unitranche","Case 6","Case 7","Case 8","Case 9","Case 10")</f>
        <v>Capital Structure Case: Base Case - Senior + Mezz</v>
      </c>
    </row>
    <row r="3">
      <c r="A3" s="4" t="str">
        <f>$F$11</f>
        <v>($ in 000s)</v>
      </c>
    </row>
    <row r="5">
      <c r="C5" s="35" t="inlineStr">
        <is>
          <t>GENERAL ASSUMPTIONS</t>
        </is>
      </c>
      <c r="D5" s="35" t="n"/>
      <c r="E5" s="35" t="n"/>
      <c r="F5" s="35" t="n"/>
      <c r="G5" s="35" t="n"/>
      <c r="H5" s="35" t="n"/>
      <c r="J5" s="17" t="inlineStr">
        <is>
          <t>Operating Case (1-5):</t>
        </is>
      </c>
      <c r="K5" s="50" t="n">
        <v>1</v>
      </c>
    </row>
    <row r="7">
      <c r="C7" s="6" t="inlineStr">
        <is>
          <t>Project Name</t>
        </is>
      </c>
      <c r="F7" s="9" t="inlineStr">
        <is>
          <t>Project Kestrel</t>
        </is>
      </c>
      <c r="I7" s="17" t="inlineStr">
        <is>
          <t>Operating Cases</t>
        </is>
      </c>
    </row>
    <row r="8">
      <c r="C8" s="6" t="inlineStr">
        <is>
          <t>Model Prepared by</t>
        </is>
      </c>
      <c r="F8" s="9" t="inlineStr">
        <is>
          <t>Halvern</t>
        </is>
      </c>
      <c r="H8" s="36" t="n">
        <v>1</v>
      </c>
      <c r="I8" s="6" t="inlineStr">
        <is>
          <t>Management Case</t>
        </is>
      </c>
      <c r="M8" s="17" t="inlineStr">
        <is>
          <t>Ownership Matrix (common)</t>
        </is>
      </c>
    </row>
    <row r="9">
      <c r="C9" s="6" t="inlineStr">
        <is>
          <t>Fiscal Year End</t>
        </is>
      </c>
      <c r="F9" s="9" t="inlineStr">
        <is>
          <t>September 30,</t>
        </is>
      </c>
      <c r="H9" s="36" t="n">
        <v>2</v>
      </c>
      <c r="I9" s="6" t="inlineStr">
        <is>
          <t>Case II - No Growth, No Taxes</t>
        </is>
      </c>
      <c r="N9" s="6" t="inlineStr">
        <is>
          <t>Pre-MEIP</t>
        </is>
      </c>
      <c r="O9" s="6" t="inlineStr">
        <is>
          <t>Post-MEIP</t>
        </is>
      </c>
      <c r="P9" s="6" t="inlineStr">
        <is>
          <t>Post-Warrant</t>
        </is>
      </c>
    </row>
    <row r="10">
      <c r="C10" s="6" t="inlineStr">
        <is>
          <t>First Projected Year</t>
        </is>
      </c>
      <c r="F10" s="51" t="n">
        <v>2026</v>
      </c>
      <c r="H10" s="36" t="n">
        <v>3</v>
      </c>
      <c r="I10" s="6" t="inlineStr">
        <is>
          <t>Case III - Downside Case, No Taxes</t>
        </is>
      </c>
      <c r="M10" s="6" t="inlineStr">
        <is>
          <t>Sponsor</t>
        </is>
      </c>
      <c r="N10" s="15">
        <f>1-N11</f>
        <v>0.61621153762929</v>
      </c>
      <c r="O10" s="15">
        <f>N10*(1-O12)</f>
        <v>0.554590383866361</v>
      </c>
      <c r="P10" s="15">
        <f>O10*(1-P13)</f>
        <v>0.526860864673043</v>
      </c>
    </row>
    <row r="11">
      <c r="C11" s="6" t="inlineStr">
        <is>
          <t>Currency / Units</t>
        </is>
      </c>
      <c r="F11" s="9" t="inlineStr">
        <is>
          <t>($ in 000s)</t>
        </is>
      </c>
      <c r="H11" s="36" t="n">
        <v>4</v>
      </c>
      <c r="I11" s="6" t="inlineStr">
        <is>
          <t>Upside Case</t>
        </is>
      </c>
      <c r="M11" s="6" t="inlineStr">
        <is>
          <t>Rollover</t>
        </is>
      </c>
      <c r="N11" s="10">
        <f>Model!E335</f>
        <v>0.38378846237071</v>
      </c>
      <c r="O11" s="15">
        <f>N11*(1-O12)</f>
        <v>0.345409616133639</v>
      </c>
      <c r="P11" s="15">
        <f>O11*(1-P13)</f>
        <v>0.328139135326957</v>
      </c>
    </row>
    <row r="12">
      <c r="H12" s="36" t="n">
        <v>5</v>
      </c>
      <c r="I12" s="6" t="inlineStr">
        <is>
          <t>Flat Case</t>
        </is>
      </c>
      <c r="M12" s="6" t="inlineStr">
        <is>
          <t>MEIP</t>
        </is>
      </c>
      <c r="N12" s="29" t="n">
        <v>0</v>
      </c>
      <c r="O12" s="15">
        <f>$F$29</f>
        <v>0.1</v>
      </c>
      <c r="P12" s="15">
        <f>O12*(1-P13)</f>
        <v>0.095</v>
      </c>
    </row>
    <row r="13">
      <c r="M13" s="6" t="inlineStr">
        <is>
          <t>Warrant</t>
        </is>
      </c>
      <c r="N13" s="29" t="n">
        <v>0</v>
      </c>
      <c r="O13" s="29" t="n">
        <v>0</v>
      </c>
      <c r="P13" s="29" t="n">
        <v>0.05</v>
      </c>
    </row>
    <row r="14">
      <c r="M14" s="6" t="inlineStr">
        <is>
          <t>Total</t>
        </is>
      </c>
      <c r="N14" s="52">
        <f>SUM(N10:N13)</f>
        <v>1</v>
      </c>
      <c r="O14" s="52">
        <f>SUM(O10:O13)</f>
        <v>1</v>
      </c>
      <c r="P14" s="52">
        <f>SUM(P10:P13)</f>
        <v>1</v>
      </c>
    </row>
    <row r="15">
      <c r="J15" s="17" t="inlineStr">
        <is>
          <t>Financing Case (1-10):</t>
        </is>
      </c>
      <c r="K15" s="50" t="n">
        <v>1</v>
      </c>
    </row>
    <row r="16">
      <c r="C16" s="35" t="inlineStr">
        <is>
          <t>OTHER ASSUMPTIONS</t>
        </is>
      </c>
      <c r="D16" s="35" t="n"/>
      <c r="E16" s="35" t="n"/>
      <c r="F16" s="35" t="n"/>
      <c r="G16" s="35" t="n"/>
      <c r="H16" s="35" t="n"/>
    </row>
    <row r="17">
      <c r="C17" s="6" t="inlineStr">
        <is>
          <t>Debt Cash Flow Sweep? (1=Yes, 0=No)</t>
        </is>
      </c>
      <c r="F17" s="51" t="n">
        <v>1</v>
      </c>
      <c r="I17" s="17" t="inlineStr">
        <is>
          <t>Financing Cases</t>
        </is>
      </c>
    </row>
    <row r="18">
      <c r="C18" s="6" t="inlineStr">
        <is>
          <t>Excess Cash Flow Sweep %</t>
        </is>
      </c>
      <c r="F18" s="29" t="n">
        <v>0.5</v>
      </c>
      <c r="H18" s="36" t="n">
        <v>1</v>
      </c>
      <c r="I18" s="6" t="inlineStr">
        <is>
          <t>Base Case - Senior + Mezz</t>
        </is>
      </c>
    </row>
    <row r="19">
      <c r="C19" s="6" t="inlineStr">
        <is>
          <t>Minimum Cash Balance</t>
        </is>
      </c>
      <c r="F19" s="30" t="n">
        <v>1000</v>
      </c>
      <c r="H19" s="36" t="n">
        <v>2</v>
      </c>
      <c r="I19" s="6" t="inlineStr">
        <is>
          <t>Senior Only</t>
        </is>
      </c>
    </row>
    <row r="20">
      <c r="C20" s="6" t="inlineStr">
        <is>
          <t>Management Fee Switch (1=Yes, 0=No)</t>
        </is>
      </c>
      <c r="F20" s="51" t="n">
        <v>0</v>
      </c>
      <c r="H20" s="36" t="n">
        <v>3</v>
      </c>
      <c r="I20" s="6" t="inlineStr">
        <is>
          <t>Senior + Seller Note Upsized</t>
        </is>
      </c>
    </row>
    <row r="21">
      <c r="C21" s="6" t="inlineStr">
        <is>
          <t>Management Fee (annual)</t>
        </is>
      </c>
      <c r="F21" s="30" t="n">
        <v>250</v>
      </c>
      <c r="H21" s="36" t="n">
        <v>4</v>
      </c>
      <c r="I21" s="6" t="inlineStr">
        <is>
          <t>All Equity</t>
        </is>
      </c>
    </row>
    <row r="22">
      <c r="C22" s="6" t="inlineStr">
        <is>
          <t>Goodwill Step Up Switch (1=Yes, 0=No)</t>
        </is>
      </c>
      <c r="F22" s="51" t="n">
        <v>1</v>
      </c>
      <c r="H22" s="36" t="n">
        <v>5</v>
      </c>
      <c r="I22" s="6" t="inlineStr">
        <is>
          <t>Unitranche</t>
        </is>
      </c>
    </row>
    <row r="23">
      <c r="C23" s="6" t="inlineStr">
        <is>
          <t>Tax Rate</t>
        </is>
      </c>
      <c r="F23" s="29" t="n">
        <v>0.26</v>
      </c>
      <c r="H23" s="36" t="n">
        <v>6</v>
      </c>
      <c r="I23" s="6" t="inlineStr">
        <is>
          <t>Case 6</t>
        </is>
      </c>
    </row>
    <row r="24">
      <c r="C24" s="6" t="inlineStr">
        <is>
          <t>Company's Existing NOL</t>
        </is>
      </c>
      <c r="F24" s="30" t="n">
        <v>0</v>
      </c>
      <c r="H24" s="36" t="n">
        <v>7</v>
      </c>
      <c r="I24" s="6" t="inlineStr">
        <is>
          <t>Case 7</t>
        </is>
      </c>
    </row>
    <row r="25">
      <c r="C25" s="6" t="inlineStr">
        <is>
          <t>Base Rate (L)</t>
        </is>
      </c>
      <c r="F25" s="53" t="n">
        <v>0.0425</v>
      </c>
      <c r="H25" s="36" t="n">
        <v>8</v>
      </c>
      <c r="I25" s="6" t="inlineStr">
        <is>
          <t>Case 8</t>
        </is>
      </c>
    </row>
    <row r="26">
      <c r="C26" s="6" t="inlineStr">
        <is>
          <t>Interest Rate on Cash Balance</t>
        </is>
      </c>
      <c r="F26" s="53" t="n">
        <v>0.01</v>
      </c>
      <c r="H26" s="36" t="n">
        <v>9</v>
      </c>
      <c r="I26" s="6" t="inlineStr">
        <is>
          <t>Case 9</t>
        </is>
      </c>
    </row>
    <row r="27">
      <c r="C27" s="6" t="inlineStr">
        <is>
          <t>Transaction Fee Amortization (yrs)</t>
        </is>
      </c>
      <c r="F27" s="51" t="n">
        <v>5</v>
      </c>
      <c r="H27" s="36" t="n">
        <v>10</v>
      </c>
      <c r="I27" s="6" t="inlineStr">
        <is>
          <t>Case 10</t>
        </is>
      </c>
    </row>
    <row r="28">
      <c r="C28" s="6" t="inlineStr">
        <is>
          <t>Preferred Equity Accretion Rate</t>
        </is>
      </c>
      <c r="F28" s="29" t="n">
        <v>0.08</v>
      </c>
    </row>
    <row r="29">
      <c r="C29" s="6" t="inlineStr">
        <is>
          <t>MEIP % of Common</t>
        </is>
      </c>
      <c r="F29" s="29" t="n">
        <v>0.1</v>
      </c>
    </row>
    <row r="30">
      <c r="C30" s="6" t="inlineStr">
        <is>
          <t>Sponsor Carried Interest</t>
        </is>
      </c>
      <c r="F30" s="29" t="n">
        <v>0.2</v>
      </c>
    </row>
    <row r="31">
      <c r="C31" s="6" t="inlineStr">
        <is>
          <t>Preferred % of Equity Account</t>
        </is>
      </c>
      <c r="F31" s="29" t="n">
        <v>0.9</v>
      </c>
    </row>
    <row r="33">
      <c r="C33" s="35" t="inlineStr">
        <is>
          <t>SOURCES OF FUNDS</t>
        </is>
      </c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>
      <c r="C34" s="17" t="inlineStr">
        <is>
          <t>Tranche</t>
        </is>
      </c>
      <c r="D34" s="17" t="inlineStr">
        <is>
          <t>Selected</t>
        </is>
      </c>
      <c r="E34" s="17" t="inlineStr">
        <is>
          <t>x EBITDA</t>
        </is>
      </c>
      <c r="F34" s="17" t="inlineStr">
        <is>
          <t>% of Total</t>
        </is>
      </c>
      <c r="J34" s="17" t="inlineStr">
        <is>
          <t>Case 1</t>
        </is>
      </c>
      <c r="K34" s="17" t="inlineStr">
        <is>
          <t>Case 2</t>
        </is>
      </c>
      <c r="L34" s="17" t="inlineStr">
        <is>
          <t>Case 3</t>
        </is>
      </c>
      <c r="M34" s="17" t="inlineStr">
        <is>
          <t>Case 4</t>
        </is>
      </c>
      <c r="N34" s="17" t="inlineStr">
        <is>
          <t>Case 5</t>
        </is>
      </c>
      <c r="O34" s="17" t="inlineStr">
        <is>
          <t>Case 6</t>
        </is>
      </c>
      <c r="P34" s="17" t="inlineStr">
        <is>
          <t>Case 7</t>
        </is>
      </c>
      <c r="Q34" s="17" t="inlineStr">
        <is>
          <t>Case 8</t>
        </is>
      </c>
      <c r="R34" s="17" t="inlineStr">
        <is>
          <t>Case 9</t>
        </is>
      </c>
      <c r="S34" s="17" t="inlineStr">
        <is>
          <t>Case 10</t>
        </is>
      </c>
      <c r="U34" s="17" t="inlineStr">
        <is>
          <t>Cash Rate / Spread</t>
        </is>
      </c>
      <c r="V34" s="17" t="inlineStr">
        <is>
          <t>PIK Rate</t>
        </is>
      </c>
      <c r="W34" s="17" t="inlineStr">
        <is>
          <t>Basis</t>
        </is>
      </c>
      <c r="X34" s="17" t="inlineStr">
        <is>
          <t>Amort. % / yr</t>
        </is>
      </c>
      <c r="Y34" s="17" t="inlineStr">
        <is>
          <t>Term (yrs)</t>
        </is>
      </c>
      <c r="Z34" s="17" t="inlineStr">
        <is>
          <t>Commit. Fee</t>
        </is>
      </c>
    </row>
    <row r="35">
      <c r="J35" s="11" t="inlineStr">
        <is>
          <t>Base Case - Senior + Mezz</t>
        </is>
      </c>
      <c r="K35" s="11" t="inlineStr">
        <is>
          <t>Senior Only</t>
        </is>
      </c>
      <c r="L35" s="11" t="inlineStr">
        <is>
          <t>Senior + Seller Note Upsized</t>
        </is>
      </c>
      <c r="M35" s="11" t="inlineStr">
        <is>
          <t>All Equity</t>
        </is>
      </c>
      <c r="N35" s="11" t="inlineStr">
        <is>
          <t>Unitranche</t>
        </is>
      </c>
      <c r="O35" s="11" t="inlineStr">
        <is>
          <t>Case 6</t>
        </is>
      </c>
      <c r="P35" s="11" t="inlineStr">
        <is>
          <t>Case 7</t>
        </is>
      </c>
      <c r="Q35" s="11" t="inlineStr">
        <is>
          <t>Case 8</t>
        </is>
      </c>
      <c r="R35" s="11" t="inlineStr">
        <is>
          <t>Case 9</t>
        </is>
      </c>
      <c r="S35" s="11" t="inlineStr">
        <is>
          <t>Case 10</t>
        </is>
      </c>
    </row>
    <row r="36">
      <c r="C36" s="6" t="inlineStr">
        <is>
          <t>Revolver</t>
        </is>
      </c>
      <c r="D36" s="24">
        <f>CHOOSE($K$15,J36,K36,L36,M36,N36,O36,P36,Q36,R36,S36)</f>
        <v>0</v>
      </c>
      <c r="E36" s="8" t="str">
        <f>IF(D36&gt;0,D36/Model!$E$85,"-")</f>
        <v>-</v>
      </c>
      <c r="F36" s="15">
        <f>IF($D$48&gt;0,D36/$D$48,0)</f>
        <v>0</v>
      </c>
      <c r="J36" s="30" t="n">
        <v>0</v>
      </c>
      <c r="K36" s="30" t="n">
        <v>0</v>
      </c>
      <c r="L36" s="30" t="n">
        <v>0</v>
      </c>
      <c r="M36" s="30" t="n">
        <v>0</v>
      </c>
      <c r="N36" s="30" t="n">
        <v>0</v>
      </c>
      <c r="O36" s="30" t="n">
        <v>0</v>
      </c>
      <c r="P36" s="30" t="n">
        <v>0</v>
      </c>
      <c r="Q36" s="30" t="n">
        <v>0</v>
      </c>
      <c r="R36" s="30" t="n">
        <v>1500</v>
      </c>
      <c r="S36" s="30" t="n">
        <v>0</v>
      </c>
      <c r="U36" s="53" t="n">
        <v>0.03</v>
      </c>
      <c r="V36" s="53" t="n">
        <v>0</v>
      </c>
      <c r="W36" s="9" t="inlineStr">
        <is>
          <t>L +</t>
        </is>
      </c>
      <c r="X36" s="29" t="n">
        <v>0</v>
      </c>
      <c r="Y36" s="51" t="n">
        <v>5</v>
      </c>
      <c r="Z36" s="53" t="n">
        <v>0.005</v>
      </c>
    </row>
    <row r="37">
      <c r="C37" s="6" t="inlineStr">
        <is>
          <t>Term Loan A</t>
        </is>
      </c>
      <c r="D37" s="24">
        <f>CHOOSE($K$15,J37,K37,L37,M37,N37,O37,P37,Q37,R37,S37)</f>
        <v>23607</v>
      </c>
      <c r="E37" s="8">
        <f>IF(D37&gt;0,D37/Model!$E$85,"-")</f>
        <v>3</v>
      </c>
      <c r="F37" s="15">
        <f>IF($D$48&gt;0,D37/$D$48,0)</f>
        <v>0.402966730962907</v>
      </c>
      <c r="J37" s="30" t="n">
        <v>23607</v>
      </c>
      <c r="K37" s="30" t="n">
        <v>27542</v>
      </c>
      <c r="L37" s="30" t="n">
        <v>23607</v>
      </c>
      <c r="M37" s="30" t="n">
        <v>0</v>
      </c>
      <c r="N37" s="30" t="n">
        <v>0</v>
      </c>
      <c r="O37" s="30" t="n">
        <v>19672</v>
      </c>
      <c r="P37" s="30" t="n">
        <v>23607</v>
      </c>
      <c r="Q37" s="30" t="n">
        <v>23607</v>
      </c>
      <c r="R37" s="30" t="n">
        <v>23607</v>
      </c>
      <c r="S37" s="30" t="n">
        <v>21640</v>
      </c>
      <c r="U37" s="53" t="n">
        <v>0.0325</v>
      </c>
      <c r="V37" s="53" t="n">
        <v>0</v>
      </c>
      <c r="W37" s="9" t="inlineStr">
        <is>
          <t>L +</t>
        </is>
      </c>
      <c r="X37" s="29" t="n">
        <v>0.1</v>
      </c>
      <c r="Y37" s="51" t="n">
        <v>6</v>
      </c>
      <c r="Z37" s="53" t="n">
        <v>0</v>
      </c>
    </row>
    <row r="38">
      <c r="C38" s="6" t="inlineStr">
        <is>
          <t>Term Loan B</t>
        </is>
      </c>
      <c r="D38" s="24">
        <f>CHOOSE($K$15,J38,K38,L38,M38,N38,O38,P38,Q38,R38,S38)</f>
        <v>0</v>
      </c>
      <c r="E38" s="8" t="str">
        <f>IF(D38&gt;0,D38/Model!$E$85,"-")</f>
        <v>-</v>
      </c>
      <c r="F38" s="15">
        <f>IF($D$48&gt;0,D38/$D$48,0)</f>
        <v>0</v>
      </c>
      <c r="J38" s="30" t="n">
        <v>0</v>
      </c>
      <c r="K38" s="30" t="n">
        <v>0</v>
      </c>
      <c r="L38" s="30" t="n">
        <v>0</v>
      </c>
      <c r="M38" s="30" t="n">
        <v>0</v>
      </c>
      <c r="N38" s="30" t="n">
        <v>31476</v>
      </c>
      <c r="O38" s="30" t="n">
        <v>0</v>
      </c>
      <c r="P38" s="30" t="n">
        <v>0</v>
      </c>
      <c r="Q38" s="30" t="n">
        <v>0</v>
      </c>
      <c r="R38" s="30" t="n">
        <v>0</v>
      </c>
      <c r="S38" s="30" t="n">
        <v>0</v>
      </c>
      <c r="U38" s="53" t="n">
        <v>0.0475</v>
      </c>
      <c r="V38" s="53" t="n">
        <v>0</v>
      </c>
      <c r="W38" s="9" t="inlineStr">
        <is>
          <t>L +</t>
        </is>
      </c>
      <c r="X38" s="29" t="n">
        <v>0.01</v>
      </c>
      <c r="Y38" s="51" t="n">
        <v>7</v>
      </c>
      <c r="Z38" s="53" t="n">
        <v>0</v>
      </c>
    </row>
    <row r="39">
      <c r="C39" s="6" t="inlineStr">
        <is>
          <t>Second Lien</t>
        </is>
      </c>
      <c r="D39" s="24">
        <f>CHOOSE($K$15,J39,K39,L39,M39,N39,O39,P39,Q39,R39,S39)</f>
        <v>0</v>
      </c>
      <c r="E39" s="8" t="str">
        <f>IF(D39&gt;0,D39/Model!$E$85,"-")</f>
        <v>-</v>
      </c>
      <c r="F39" s="15">
        <f>IF($D$48&gt;0,D39/$D$48,0)</f>
        <v>0</v>
      </c>
      <c r="J39" s="30" t="n">
        <v>0</v>
      </c>
      <c r="K39" s="30" t="n">
        <v>0</v>
      </c>
      <c r="L39" s="30" t="n">
        <v>0</v>
      </c>
      <c r="M39" s="30" t="n">
        <v>0</v>
      </c>
      <c r="N39" s="30" t="n">
        <v>0</v>
      </c>
      <c r="O39" s="30" t="n">
        <v>0</v>
      </c>
      <c r="P39" s="30" t="n">
        <v>5902</v>
      </c>
      <c r="Q39" s="30" t="n">
        <v>0</v>
      </c>
      <c r="R39" s="30" t="n">
        <v>0</v>
      </c>
      <c r="S39" s="30" t="n">
        <v>0</v>
      </c>
      <c r="U39" s="53" t="n">
        <v>0.075</v>
      </c>
      <c r="V39" s="53" t="n">
        <v>0</v>
      </c>
      <c r="W39" s="9" t="inlineStr">
        <is>
          <t>L +</t>
        </is>
      </c>
      <c r="X39" s="29" t="n">
        <v>0</v>
      </c>
      <c r="Y39" s="51" t="n">
        <v>8</v>
      </c>
      <c r="Z39" s="53" t="n">
        <v>0</v>
      </c>
    </row>
    <row r="40">
      <c r="C40" s="6" t="inlineStr">
        <is>
          <t>Senior Notes</t>
        </is>
      </c>
      <c r="D40" s="24">
        <f>CHOOSE($K$15,J40,K40,L40,M40,N40,O40,P40,Q40,R40,S40)</f>
        <v>0</v>
      </c>
      <c r="E40" s="8" t="str">
        <f>IF(D40&gt;0,D40/Model!$E$85,"-")</f>
        <v>-</v>
      </c>
      <c r="F40" s="15">
        <f>IF($D$48&gt;0,D40/$D$48,0)</f>
        <v>0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0</v>
      </c>
      <c r="P40" s="30" t="n">
        <v>0</v>
      </c>
      <c r="Q40" s="30" t="n">
        <v>7869</v>
      </c>
      <c r="R40" s="30" t="n">
        <v>0</v>
      </c>
      <c r="S40" s="30" t="n">
        <v>0</v>
      </c>
      <c r="U40" s="53" t="n">
        <v>0.09</v>
      </c>
      <c r="V40" s="53" t="n">
        <v>0</v>
      </c>
      <c r="W40" s="9" t="inlineStr">
        <is>
          <t>Fixed</t>
        </is>
      </c>
      <c r="X40" s="29" t="n">
        <v>0</v>
      </c>
      <c r="Y40" s="51" t="n">
        <v>8</v>
      </c>
      <c r="Z40" s="53" t="n">
        <v>0</v>
      </c>
    </row>
    <row r="41">
      <c r="C41" s="6" t="inlineStr">
        <is>
          <t>Mezzanine Debt</t>
        </is>
      </c>
      <c r="D41" s="24">
        <f>CHOOSE($K$15,J41,K41,L41,M41,N41,O41,P41,Q41,R41,S41)</f>
        <v>7869</v>
      </c>
      <c r="E41" s="8">
        <f>IF(D41&gt;0,D41/Model!$E$85,"-")</f>
        <v>1</v>
      </c>
      <c r="F41" s="15">
        <f>IF($D$48&gt;0,D41/$D$48,0)</f>
        <v>0.134322243654302</v>
      </c>
      <c r="J41" s="30" t="n">
        <v>7869</v>
      </c>
      <c r="K41" s="30" t="n">
        <v>0</v>
      </c>
      <c r="L41" s="30" t="n">
        <v>7869</v>
      </c>
      <c r="M41" s="30" t="n">
        <v>0</v>
      </c>
      <c r="N41" s="30" t="n">
        <v>0</v>
      </c>
      <c r="O41" s="30" t="n">
        <v>11804</v>
      </c>
      <c r="P41" s="30" t="n">
        <v>7869</v>
      </c>
      <c r="Q41" s="30" t="n">
        <v>0</v>
      </c>
      <c r="R41" s="30" t="n">
        <v>7869</v>
      </c>
      <c r="S41" s="30" t="n">
        <v>7869</v>
      </c>
      <c r="U41" s="53" t="n">
        <v>0.11</v>
      </c>
      <c r="V41" s="53" t="n">
        <v>0.02</v>
      </c>
      <c r="W41" s="9" t="inlineStr">
        <is>
          <t>Fixed</t>
        </is>
      </c>
      <c r="X41" s="29" t="n">
        <v>0</v>
      </c>
      <c r="Y41" s="51" t="n">
        <v>8</v>
      </c>
      <c r="Z41" s="53" t="n">
        <v>0</v>
      </c>
    </row>
    <row r="42">
      <c r="C42" s="6" t="inlineStr">
        <is>
          <t>Seller Note</t>
        </is>
      </c>
      <c r="D42" s="24">
        <f>CHOOSE($K$15,J42,K42,L42,M42,N42,O42,P42,Q42,R42,S42)</f>
        <v>4000</v>
      </c>
      <c r="E42" s="8">
        <f>IF(D42&gt;0,D42/Model!$E$85,"-")</f>
        <v>0.508323802262041</v>
      </c>
      <c r="F42" s="15">
        <f>IF($D$48&gt;0,D42/$D$48,0)</f>
        <v>0.0682791936227233</v>
      </c>
      <c r="J42" s="30" t="n">
        <v>4000</v>
      </c>
      <c r="K42" s="30" t="n">
        <v>4000</v>
      </c>
      <c r="L42" s="30" t="n">
        <v>7500</v>
      </c>
      <c r="M42" s="30" t="n">
        <v>0</v>
      </c>
      <c r="N42" s="30" t="n">
        <v>4000</v>
      </c>
      <c r="O42" s="30" t="n">
        <v>4000</v>
      </c>
      <c r="P42" s="30" t="n">
        <v>4000</v>
      </c>
      <c r="Q42" s="30" t="n">
        <v>4000</v>
      </c>
      <c r="R42" s="30" t="n">
        <v>4000</v>
      </c>
      <c r="S42" s="30" t="n">
        <v>4000</v>
      </c>
      <c r="U42" s="53" t="n">
        <v>0</v>
      </c>
      <c r="V42" s="53" t="n">
        <v>0.06</v>
      </c>
      <c r="W42" s="9" t="inlineStr">
        <is>
          <t>Fixed</t>
        </is>
      </c>
      <c r="X42" s="29" t="n">
        <v>0</v>
      </c>
      <c r="Y42" s="51" t="n">
        <v>6</v>
      </c>
      <c r="Z42" s="53" t="n">
        <v>0</v>
      </c>
    </row>
    <row r="43">
      <c r="C43" s="6" t="inlineStr">
        <is>
          <t>Subordinated Notes</t>
        </is>
      </c>
      <c r="D43" s="24">
        <f>CHOOSE($K$15,J43,K43,L43,M43,N43,O43,P43,Q43,R43,S43)</f>
        <v>0</v>
      </c>
      <c r="E43" s="8" t="str">
        <f>IF(D43&gt;0,D43/Model!$E$85,"-")</f>
        <v>-</v>
      </c>
      <c r="F43" s="15">
        <f>IF($D$48&gt;0,D43/$D$48,0)</f>
        <v>0</v>
      </c>
      <c r="J43" s="30" t="n">
        <v>0</v>
      </c>
      <c r="K43" s="30" t="n">
        <v>0</v>
      </c>
      <c r="L43" s="30" t="n">
        <v>0</v>
      </c>
      <c r="M43" s="30" t="n">
        <v>0</v>
      </c>
      <c r="N43" s="30" t="n">
        <v>0</v>
      </c>
      <c r="O43" s="30" t="n">
        <v>0</v>
      </c>
      <c r="P43" s="30" t="n">
        <v>0</v>
      </c>
      <c r="Q43" s="30" t="n">
        <v>0</v>
      </c>
      <c r="R43" s="30" t="n">
        <v>3934</v>
      </c>
      <c r="S43" s="30" t="n">
        <v>0</v>
      </c>
      <c r="U43" s="53" t="n">
        <v>0.1</v>
      </c>
      <c r="V43" s="53" t="n">
        <v>0.03</v>
      </c>
      <c r="W43" s="9" t="inlineStr">
        <is>
          <t>Fixed</t>
        </is>
      </c>
      <c r="X43" s="29" t="n">
        <v>0</v>
      </c>
      <c r="Y43" s="51" t="n">
        <v>8</v>
      </c>
      <c r="Z43" s="53" t="n">
        <v>0</v>
      </c>
    </row>
    <row r="44">
      <c r="C44" s="6" t="inlineStr">
        <is>
          <t>Other Debt</t>
        </is>
      </c>
      <c r="D44" s="24">
        <f>CHOOSE($K$15,J44,K44,L44,M44,N44,O44,P44,Q44,R44,S44)</f>
        <v>0</v>
      </c>
      <c r="E44" s="8" t="str">
        <f>IF(D44&gt;0,D44/Model!$E$85,"-")</f>
        <v>-</v>
      </c>
      <c r="F44" s="15">
        <f>IF($D$48&gt;0,D44/$D$48,0)</f>
        <v>0</v>
      </c>
      <c r="J44" s="30" t="n">
        <v>0</v>
      </c>
      <c r="K44" s="30" t="n">
        <v>0</v>
      </c>
      <c r="L44" s="30" t="n">
        <v>0</v>
      </c>
      <c r="M44" s="30" t="n">
        <v>0</v>
      </c>
      <c r="N44" s="30" t="n">
        <v>0</v>
      </c>
      <c r="O44" s="30" t="n">
        <v>0</v>
      </c>
      <c r="P44" s="30" t="n">
        <v>0</v>
      </c>
      <c r="Q44" s="30" t="n">
        <v>0</v>
      </c>
      <c r="R44" s="30" t="n">
        <v>0</v>
      </c>
      <c r="S44" s="30" t="n">
        <v>350</v>
      </c>
      <c r="U44" s="53" t="n">
        <v>0.08</v>
      </c>
      <c r="V44" s="53" t="n">
        <v>0</v>
      </c>
      <c r="W44" s="9" t="inlineStr">
        <is>
          <t>Fixed</t>
        </is>
      </c>
      <c r="X44" s="29" t="n">
        <v>0.2</v>
      </c>
      <c r="Y44" s="51" t="n">
        <v>5</v>
      </c>
      <c r="Z44" s="53" t="n">
        <v>0</v>
      </c>
    </row>
    <row r="45">
      <c r="C45" s="6" t="inlineStr">
        <is>
          <t>Rollover Equity</t>
        </is>
      </c>
      <c r="D45" s="24">
        <f>CHOOSE($K$15,J45,K45,L45,M45,N45,O45,P45,Q45,R45,S45)</f>
        <v>8868.2</v>
      </c>
      <c r="E45" s="8">
        <f>IF(D45&gt;0,D45/Model!$E$85,"-")</f>
        <v>1.12697928580506</v>
      </c>
      <c r="F45" s="15">
        <f>IF($D$48&gt;0,D45/$D$48,0)</f>
        <v>0.151378386221259</v>
      </c>
      <c r="J45" s="7">
        <f>Consideration!H14</f>
        <v>8868.2</v>
      </c>
      <c r="K45" s="7">
        <f>Consideration!H14</f>
        <v>8868.2</v>
      </c>
      <c r="L45" s="7">
        <f>Consideration!H14</f>
        <v>8868.2</v>
      </c>
      <c r="M45" s="7">
        <f>Consideration!H14</f>
        <v>8868.2</v>
      </c>
      <c r="N45" s="7">
        <f>Consideration!H14</f>
        <v>8868.2</v>
      </c>
      <c r="O45" s="7">
        <f>Consideration!H14</f>
        <v>8868.2</v>
      </c>
      <c r="P45" s="7">
        <f>Consideration!H14</f>
        <v>8868.2</v>
      </c>
      <c r="Q45" s="7">
        <f>Consideration!H14</f>
        <v>8868.2</v>
      </c>
      <c r="R45" s="7">
        <f>Consideration!H14</f>
        <v>8868.2</v>
      </c>
      <c r="S45" s="7">
        <f>Consideration!H14</f>
        <v>8868.2</v>
      </c>
    </row>
    <row r="46">
      <c r="C46" s="6" t="inlineStr">
        <is>
          <t>Sponsor Preferred Equity</t>
        </is>
      </c>
      <c r="D46" s="24">
        <f>CHOOSE($K$15,J46,K46,L46,M46,N46,O46,P46,Q46,R46,S46)</f>
        <v>12814.92</v>
      </c>
      <c r="E46" s="8">
        <f>IF(D46&gt;0,D46/Model!$E$85,"-")</f>
        <v>1.62853221502097</v>
      </c>
      <c r="F46" s="15">
        <f>IF($D$48&gt;0,D46/$D$48,0)</f>
        <v>0.218748100984927</v>
      </c>
      <c r="J46" s="24">
        <f>$F$31*(J65-SUM(J36:J45))</f>
        <v>12814.92</v>
      </c>
      <c r="K46" s="24">
        <f>$F$31*(K65-SUM(K36:K45))</f>
        <v>16252.02</v>
      </c>
      <c r="L46" s="24">
        <f>$F$31*(L65-SUM(L36:L45))</f>
        <v>9664.92</v>
      </c>
      <c r="M46" s="24">
        <f>$F$31*(M65-SUM(M36:M45))</f>
        <v>44063.82</v>
      </c>
      <c r="N46" s="24">
        <f>$F$31*(N65-SUM(N36:N45))</f>
        <v>12864.42</v>
      </c>
      <c r="O46" s="24">
        <f>$F$31*(O65-SUM(O36:O45))</f>
        <v>12837.42</v>
      </c>
      <c r="P46" s="24">
        <f>$F$31*(P65-SUM(P36:P45))</f>
        <v>7570.62</v>
      </c>
      <c r="Q46" s="24">
        <f>$F$31*(Q65-SUM(Q36:Q45))</f>
        <v>12846.42</v>
      </c>
      <c r="R46" s="24">
        <f>$F$31*(R65-SUM(R36:R45))</f>
        <v>7978.32</v>
      </c>
      <c r="S46" s="24">
        <f>$F$31*(S65-SUM(S36:S45))</f>
        <v>14261.22</v>
      </c>
    </row>
    <row r="47">
      <c r="C47" s="6" t="inlineStr">
        <is>
          <t>Sponsor Common Equity</t>
        </is>
      </c>
      <c r="D47" s="24">
        <f>CHOOSE($K$15,J47,K47,L47,M47,N47,O47,P47,Q47,R47,S47)</f>
        <v>1423.88</v>
      </c>
      <c r="E47" s="8">
        <f>IF(D47&gt;0,D47/Model!$E$85,"-")</f>
        <v>0.180948023891218</v>
      </c>
      <c r="F47" s="15">
        <f>IF($D$48&gt;0,D47/$D$48,0)</f>
        <v>0.0243053445538808</v>
      </c>
      <c r="J47" s="24">
        <f>J65-SUM(J36:J46)</f>
        <v>1423.88</v>
      </c>
      <c r="K47" s="24">
        <f>K65-SUM(K36:K46)</f>
        <v>1805.78</v>
      </c>
      <c r="L47" s="24">
        <f>L65-SUM(L36:L46)</f>
        <v>1073.88</v>
      </c>
      <c r="M47" s="24">
        <f>M65-SUM(M36:M46)</f>
        <v>4895.98</v>
      </c>
      <c r="N47" s="24">
        <f>N65-SUM(N36:N46)</f>
        <v>1429.38</v>
      </c>
      <c r="O47" s="24">
        <f>O65-SUM(O36:O46)</f>
        <v>1426.38</v>
      </c>
      <c r="P47" s="24">
        <f>P65-SUM(P36:P46)</f>
        <v>841.179999999993</v>
      </c>
      <c r="Q47" s="24">
        <f>Q65-SUM(Q36:Q46)</f>
        <v>1427.38</v>
      </c>
      <c r="R47" s="24">
        <f>R65-SUM(R36:R46)</f>
        <v>886.479999999996</v>
      </c>
      <c r="S47" s="24">
        <f>S65-SUM(S36:S46)</f>
        <v>1584.57999999999</v>
      </c>
    </row>
    <row r="48">
      <c r="C48" s="17" t="inlineStr">
        <is>
          <t>Total Sources</t>
        </is>
      </c>
      <c r="D48" s="18">
        <f>SUM(D36:D47)</f>
        <v>58583</v>
      </c>
      <c r="E48" s="8">
        <f>D48/Model!$E$85</f>
        <v>7.44478332697929</v>
      </c>
      <c r="F48" s="15">
        <f>SUM(F36:F47)</f>
        <v>1</v>
      </c>
      <c r="J48" s="18">
        <f>SUM(J36:J47)</f>
        <v>58583</v>
      </c>
      <c r="K48" s="18">
        <f>SUM(K36:K47)</f>
        <v>58468</v>
      </c>
      <c r="L48" s="18">
        <f>SUM(L36:L47)</f>
        <v>58583</v>
      </c>
      <c r="M48" s="18">
        <f>SUM(M36:M47)</f>
        <v>57828</v>
      </c>
      <c r="N48" s="18">
        <f>SUM(N36:N47)</f>
        <v>58638</v>
      </c>
      <c r="O48" s="18">
        <f>SUM(O36:O47)</f>
        <v>58608</v>
      </c>
      <c r="P48" s="18">
        <f>SUM(P36:P47)</f>
        <v>58658</v>
      </c>
      <c r="Q48" s="18">
        <f>SUM(Q36:Q47)</f>
        <v>58618</v>
      </c>
      <c r="R48" s="18">
        <f>SUM(R36:R47)</f>
        <v>58643</v>
      </c>
      <c r="S48" s="18">
        <f>SUM(S36:S47)</f>
        <v>58573</v>
      </c>
    </row>
    <row r="49">
      <c r="C49" s="11" t="inlineStr">
        <is>
          <t>Check: Sources - Uses (must be 0)</t>
        </is>
      </c>
      <c r="D49" s="20">
        <f>D48-D65</f>
        <v>0</v>
      </c>
      <c r="J49" s="20">
        <f>J48-J65</f>
        <v>0</v>
      </c>
      <c r="K49" s="20">
        <f>K48-K65</f>
        <v>0</v>
      </c>
      <c r="L49" s="20">
        <f>L48-L65</f>
        <v>0</v>
      </c>
      <c r="M49" s="20">
        <f>M48-M65</f>
        <v>0</v>
      </c>
      <c r="N49" s="20">
        <f>N48-N65</f>
        <v>0</v>
      </c>
      <c r="O49" s="20">
        <f>O48-O65</f>
        <v>0</v>
      </c>
      <c r="P49" s="20">
        <f>P48-P65</f>
        <v>0</v>
      </c>
      <c r="Q49" s="20">
        <f>Q48-Q65</f>
        <v>0</v>
      </c>
      <c r="R49" s="20">
        <f>R48-R65</f>
        <v>0</v>
      </c>
      <c r="S49" s="20">
        <f>S48-S65</f>
        <v>0</v>
      </c>
    </row>
    <row r="50">
      <c r="C50" s="6" t="inlineStr">
        <is>
          <t>Revolver Size (commitment)</t>
        </is>
      </c>
      <c r="D50" s="30" t="n">
        <v>8000</v>
      </c>
    </row>
    <row r="52">
      <c r="C52" s="35" t="inlineStr">
        <is>
          <t>USES OF FUNDS</t>
        </is>
      </c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>
      <c r="C53" s="6" t="inlineStr">
        <is>
          <t>Cash Consideration to Shareholders (incl. seller-note portion)</t>
        </is>
      </c>
      <c r="D53" s="24">
        <f>CHOOSE($K$15,J53,K53,L53,M53,N53,O53,P53,Q53,R53,S53)</f>
        <v>39472.8</v>
      </c>
      <c r="J53" s="24">
        <f>$D$80-J55</f>
        <v>39472.8</v>
      </c>
      <c r="K53" s="24">
        <f>$D$80-K55</f>
        <v>39472.8</v>
      </c>
      <c r="L53" s="24">
        <f>$D$80-L55</f>
        <v>39472.8</v>
      </c>
      <c r="M53" s="24">
        <f>$D$80-M55</f>
        <v>39472.8</v>
      </c>
      <c r="N53" s="24">
        <f>$D$80-N55</f>
        <v>39472.8</v>
      </c>
      <c r="O53" s="24">
        <f>$D$80-O55</f>
        <v>39472.8</v>
      </c>
      <c r="P53" s="24">
        <f>$D$80-P55</f>
        <v>39472.8</v>
      </c>
      <c r="Q53" s="24">
        <f>$D$80-Q55</f>
        <v>39472.8</v>
      </c>
      <c r="R53" s="24">
        <f>$D$80-R55</f>
        <v>39472.8</v>
      </c>
      <c r="S53" s="24">
        <f>$D$80-S55</f>
        <v>39472.8</v>
      </c>
    </row>
    <row r="54">
      <c r="C54" s="6" t="inlineStr">
        <is>
          <t>Repay Existing Debt</t>
        </is>
      </c>
      <c r="D54" s="24">
        <f>CHOOSE($K$15,J54,K54,L54,M54,N54,O54,P54,Q54,R54,S54)</f>
        <v>6842</v>
      </c>
      <c r="J54" s="24">
        <f>$D$78</f>
        <v>6842</v>
      </c>
      <c r="K54" s="24">
        <f>$D$78</f>
        <v>6842</v>
      </c>
      <c r="L54" s="24">
        <f>$D$78</f>
        <v>6842</v>
      </c>
      <c r="M54" s="24">
        <f>$D$78</f>
        <v>6842</v>
      </c>
      <c r="N54" s="24">
        <f>$D$78</f>
        <v>6842</v>
      </c>
      <c r="O54" s="24">
        <f>$D$78</f>
        <v>6842</v>
      </c>
      <c r="P54" s="24">
        <f>$D$78</f>
        <v>6842</v>
      </c>
      <c r="Q54" s="24">
        <f>$D$78</f>
        <v>6842</v>
      </c>
      <c r="R54" s="24">
        <f>$D$78</f>
        <v>6842</v>
      </c>
      <c r="S54" s="24">
        <f>$D$78</f>
        <v>6842</v>
      </c>
    </row>
    <row r="55">
      <c r="C55" s="6" t="inlineStr">
        <is>
          <t>Rollover Equity</t>
        </is>
      </c>
      <c r="D55" s="24">
        <f>CHOOSE($K$15,J55,K55,L55,M55,N55,O55,P55,Q55,R55,S55)</f>
        <v>8868.2</v>
      </c>
      <c r="J55" s="24">
        <f>J45</f>
        <v>8868.2</v>
      </c>
      <c r="K55" s="24">
        <f>K45</f>
        <v>8868.2</v>
      </c>
      <c r="L55" s="24">
        <f>L45</f>
        <v>8868.2</v>
      </c>
      <c r="M55" s="24">
        <f>M45</f>
        <v>8868.2</v>
      </c>
      <c r="N55" s="24">
        <f>N45</f>
        <v>8868.2</v>
      </c>
      <c r="O55" s="24">
        <f>O45</f>
        <v>8868.2</v>
      </c>
      <c r="P55" s="24">
        <f>P45</f>
        <v>8868.2</v>
      </c>
      <c r="Q55" s="24">
        <f>Q45</f>
        <v>8868.2</v>
      </c>
      <c r="R55" s="24">
        <f>R45</f>
        <v>8868.2</v>
      </c>
      <c r="S55" s="24">
        <f>S45</f>
        <v>8868.2</v>
      </c>
    </row>
    <row r="56">
      <c r="C56" s="6" t="inlineStr">
        <is>
          <t>Earnout</t>
        </is>
      </c>
      <c r="D56" s="24">
        <f>CHOOSE($K$15,J56,K56,L56,M56,N56,O56,P56,Q56,R56,S56)</f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</row>
    <row r="57">
      <c r="C57" s="6" t="inlineStr">
        <is>
          <t>Rollover Debt</t>
        </is>
      </c>
      <c r="D57" s="24">
        <f>CHOOSE($K$15,J57,K57,L57,M57,N57,O57,P57,Q57,R57,S57)</f>
        <v>0</v>
      </c>
      <c r="J57" s="30" t="n">
        <v>0</v>
      </c>
      <c r="K57" s="30" t="n">
        <v>0</v>
      </c>
      <c r="L57" s="30" t="n">
        <v>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</row>
    <row r="58">
      <c r="C58" s="17" t="inlineStr">
        <is>
          <t>Purchase Price</t>
        </is>
      </c>
      <c r="D58" s="18">
        <f>CHOOSE($K$15,J58,K58,L58,M58,N58,O58,P58,Q58,R58,S58)</f>
        <v>55183</v>
      </c>
      <c r="J58" s="18">
        <f>SUM(J53:J57)</f>
        <v>55183</v>
      </c>
      <c r="K58" s="18">
        <f>SUM(K53:K57)</f>
        <v>55183</v>
      </c>
      <c r="L58" s="18">
        <f>SUM(L53:L57)</f>
        <v>55183</v>
      </c>
      <c r="M58" s="18">
        <f>SUM(M53:M57)</f>
        <v>55183</v>
      </c>
      <c r="N58" s="18">
        <f>SUM(N53:N57)</f>
        <v>55183</v>
      </c>
      <c r="O58" s="18">
        <f>SUM(O53:O57)</f>
        <v>55183</v>
      </c>
      <c r="P58" s="18">
        <f>SUM(P53:P57)</f>
        <v>55183</v>
      </c>
      <c r="Q58" s="18">
        <f>SUM(Q53:Q57)</f>
        <v>55183</v>
      </c>
      <c r="R58" s="18">
        <f>SUM(R53:R57)</f>
        <v>55183</v>
      </c>
      <c r="S58" s="18">
        <f>SUM(S53:S57)</f>
        <v>55183</v>
      </c>
    </row>
    <row r="59">
      <c r="C59" s="6" t="inlineStr">
        <is>
          <t>Cash to Balance Sheet</t>
        </is>
      </c>
      <c r="D59" s="24">
        <f>CHOOSE($K$15,J59,K59,L59,M59,N59,O59,P59,Q59,R59,S59)</f>
        <v>1000</v>
      </c>
      <c r="J59" s="30" t="n">
        <v>1000</v>
      </c>
      <c r="K59" s="30" t="n">
        <v>1000</v>
      </c>
      <c r="L59" s="30" t="n">
        <v>1000</v>
      </c>
      <c r="M59" s="30" t="n">
        <v>1000</v>
      </c>
      <c r="N59" s="30" t="n">
        <v>1000</v>
      </c>
      <c r="O59" s="30" t="n">
        <v>1000</v>
      </c>
      <c r="P59" s="30" t="n">
        <v>1000</v>
      </c>
      <c r="Q59" s="30" t="n">
        <v>1000</v>
      </c>
      <c r="R59" s="30" t="n">
        <v>1000</v>
      </c>
      <c r="S59" s="30" t="n">
        <v>1000</v>
      </c>
    </row>
    <row r="60">
      <c r="C60" s="6" t="inlineStr">
        <is>
          <t>Transaction Costs: Bank / M&amp;A Fee</t>
        </is>
      </c>
      <c r="D60" s="24">
        <f>CHOOSE($K$15,J60,K60,L60,M60,N60,O60,P60,Q60,R60,S60)</f>
        <v>550</v>
      </c>
      <c r="J60" s="30" t="n">
        <v>550</v>
      </c>
      <c r="K60" s="30" t="n">
        <v>550</v>
      </c>
      <c r="L60" s="30" t="n">
        <v>550</v>
      </c>
      <c r="M60" s="30" t="n">
        <v>550</v>
      </c>
      <c r="N60" s="30" t="n">
        <v>550</v>
      </c>
      <c r="O60" s="30" t="n">
        <v>550</v>
      </c>
      <c r="P60" s="30" t="n">
        <v>550</v>
      </c>
      <c r="Q60" s="30" t="n">
        <v>550</v>
      </c>
      <c r="R60" s="30" t="n">
        <v>550</v>
      </c>
      <c r="S60" s="30" t="n">
        <v>550</v>
      </c>
    </row>
    <row r="61">
      <c r="C61" s="6" t="inlineStr">
        <is>
          <t>Transaction Costs: Legal</t>
        </is>
      </c>
      <c r="D61" s="24">
        <f>CHOOSE($K$15,J61,K61,L61,M61,N61,O61,P61,Q61,R61,S61)</f>
        <v>612</v>
      </c>
      <c r="J61" s="30" t="n">
        <v>612</v>
      </c>
      <c r="K61" s="30" t="n">
        <v>612</v>
      </c>
      <c r="L61" s="30" t="n">
        <v>612</v>
      </c>
      <c r="M61" s="30" t="n">
        <v>612</v>
      </c>
      <c r="N61" s="30" t="n">
        <v>612</v>
      </c>
      <c r="O61" s="30" t="n">
        <v>612</v>
      </c>
      <c r="P61" s="30" t="n">
        <v>612</v>
      </c>
      <c r="Q61" s="30" t="n">
        <v>612</v>
      </c>
      <c r="R61" s="30" t="n">
        <v>612</v>
      </c>
      <c r="S61" s="30" t="n">
        <v>612</v>
      </c>
    </row>
    <row r="62">
      <c r="C62" s="6" t="inlineStr">
        <is>
          <t>Transaction Costs: Accounting &amp; Diligence</t>
        </is>
      </c>
      <c r="D62" s="24">
        <f>CHOOSE($K$15,J62,K62,L62,M62,N62,O62,P62,Q62,R62,S62)</f>
        <v>483</v>
      </c>
      <c r="J62" s="30" t="n">
        <v>483</v>
      </c>
      <c r="K62" s="30" t="n">
        <v>483</v>
      </c>
      <c r="L62" s="30" t="n">
        <v>483</v>
      </c>
      <c r="M62" s="30" t="n">
        <v>483</v>
      </c>
      <c r="N62" s="30" t="n">
        <v>483</v>
      </c>
      <c r="O62" s="30" t="n">
        <v>483</v>
      </c>
      <c r="P62" s="30" t="n">
        <v>483</v>
      </c>
      <c r="Q62" s="30" t="n">
        <v>483</v>
      </c>
      <c r="R62" s="30" t="n">
        <v>483</v>
      </c>
      <c r="S62" s="30" t="n">
        <v>483</v>
      </c>
    </row>
    <row r="63">
      <c r="C63" s="6" t="inlineStr">
        <is>
          <t>Transaction Costs: Financing Fees</t>
        </is>
      </c>
      <c r="D63" s="24">
        <f>CHOOSE($K$15,J63,K63,L63,M63,N63,O63,P63,Q63,R63,S63)</f>
        <v>755</v>
      </c>
      <c r="J63" s="30" t="n">
        <v>755</v>
      </c>
      <c r="K63" s="30" t="n">
        <v>640</v>
      </c>
      <c r="L63" s="30" t="n">
        <v>755</v>
      </c>
      <c r="M63" s="30" t="n">
        <v>0</v>
      </c>
      <c r="N63" s="30" t="n">
        <v>810</v>
      </c>
      <c r="O63" s="30" t="n">
        <v>780</v>
      </c>
      <c r="P63" s="30" t="n">
        <v>830</v>
      </c>
      <c r="Q63" s="30" t="n">
        <v>790</v>
      </c>
      <c r="R63" s="30" t="n">
        <v>815</v>
      </c>
      <c r="S63" s="30" t="n">
        <v>745</v>
      </c>
    </row>
    <row r="64">
      <c r="C64" s="17" t="inlineStr">
        <is>
          <t>Total Transaction Costs</t>
        </is>
      </c>
      <c r="D64" s="18">
        <f>CHOOSE($K$15,J64,K64,L64,M64,N64,O64,P64,Q64,R64,S64)</f>
        <v>2400</v>
      </c>
      <c r="J64" s="18">
        <f>SUM(J60:J63)</f>
        <v>2400</v>
      </c>
      <c r="K64" s="18">
        <f>SUM(K60:K63)</f>
        <v>2285</v>
      </c>
      <c r="L64" s="18">
        <f>SUM(L60:L63)</f>
        <v>2400</v>
      </c>
      <c r="M64" s="18">
        <f>SUM(M60:M63)</f>
        <v>1645</v>
      </c>
      <c r="N64" s="18">
        <f>SUM(N60:N63)</f>
        <v>2455</v>
      </c>
      <c r="O64" s="18">
        <f>SUM(O60:O63)</f>
        <v>2425</v>
      </c>
      <c r="P64" s="18">
        <f>SUM(P60:P63)</f>
        <v>2475</v>
      </c>
      <c r="Q64" s="18">
        <f>SUM(Q60:Q63)</f>
        <v>2435</v>
      </c>
      <c r="R64" s="18">
        <f>SUM(R60:R63)</f>
        <v>2460</v>
      </c>
      <c r="S64" s="18">
        <f>SUM(S60:S63)</f>
        <v>2390</v>
      </c>
    </row>
    <row r="65">
      <c r="C65" s="17" t="inlineStr">
        <is>
          <t>Total Uses</t>
        </is>
      </c>
      <c r="D65" s="18">
        <f>CHOOSE($K$15,J65,K65,L65,M65,N65,O65,P65,Q65,R65,S65)</f>
        <v>58583</v>
      </c>
      <c r="J65" s="19">
        <f>J58+J59+J64</f>
        <v>58583</v>
      </c>
      <c r="K65" s="19">
        <f>K58+K59+K64</f>
        <v>58468</v>
      </c>
      <c r="L65" s="19">
        <f>L58+L59+L64</f>
        <v>58583</v>
      </c>
      <c r="M65" s="19">
        <f>M58+M59+M64</f>
        <v>57828</v>
      </c>
      <c r="N65" s="19">
        <f>N58+N59+N64</f>
        <v>58638</v>
      </c>
      <c r="O65" s="19">
        <f>O58+O59+O64</f>
        <v>58608</v>
      </c>
      <c r="P65" s="19">
        <f>P58+P59+P64</f>
        <v>58658</v>
      </c>
      <c r="Q65" s="19">
        <f>Q58+Q59+Q64</f>
        <v>58618</v>
      </c>
      <c r="R65" s="19">
        <f>R58+R59+R64</f>
        <v>58643</v>
      </c>
      <c r="S65" s="19">
        <f>S58+S59+S64</f>
        <v>58573</v>
      </c>
    </row>
    <row r="68">
      <c r="C68" s="35" t="inlineStr">
        <is>
          <t>PURCHASE PRICE CALCULATION</t>
        </is>
      </c>
      <c r="D68" s="35" t="n"/>
      <c r="E68" s="35" t="n"/>
      <c r="F68" s="35" t="n"/>
      <c r="G68" s="35" t="n"/>
      <c r="H68" s="35" t="n"/>
    </row>
    <row r="69">
      <c r="C69" s="6" t="inlineStr">
        <is>
          <t>Transaction Value (hardcoded input)</t>
        </is>
      </c>
      <c r="D69" s="30" t="n">
        <v>55750</v>
      </c>
    </row>
    <row r="70">
      <c r="C70" s="6" t="inlineStr">
        <is>
          <t>Purchase Multiple (alternate input, x FY2025A Adj. EBITDA)</t>
        </is>
      </c>
      <c r="D70" s="25" t="n">
        <v>7</v>
      </c>
    </row>
    <row r="71">
      <c r="C71" s="6" t="inlineStr">
        <is>
          <t>Use Multiple? (1=Yes, 0=Hardcoded Value)</t>
        </is>
      </c>
      <c r="D71" s="51" t="n">
        <v>1</v>
      </c>
    </row>
    <row r="72">
      <c r="C72" s="17" t="inlineStr">
        <is>
          <t>Transaction Value (before fees)</t>
        </is>
      </c>
      <c r="D72" s="31">
        <f>IF(D71=1,D70*Model!$E$85,D69)</f>
        <v>55083</v>
      </c>
    </row>
    <row r="73">
      <c r="C73" s="6" t="inlineStr">
        <is>
          <t>x FY2025A Adj. EBITDA</t>
        </is>
      </c>
      <c r="D73" s="8">
        <f>D72/Model!$E$85</f>
        <v>7</v>
      </c>
    </row>
    <row r="74">
      <c r="C74" s="6" t="inlineStr">
        <is>
          <t>x FY2026E Adj. EBITDA</t>
        </is>
      </c>
      <c r="D74" s="8">
        <f>D72/Model!$F$85</f>
        <v>6.2977588333948</v>
      </c>
    </row>
    <row r="75">
      <c r="C75" s="6" t="inlineStr">
        <is>
          <t>EBITDA / Transaction Value</t>
        </is>
      </c>
      <c r="D75" s="10">
        <f>Model!$E$85/D72</f>
        <v>0.142857142857143</v>
      </c>
    </row>
    <row r="76">
      <c r="C76" s="6" t="inlineStr">
        <is>
          <t>(EBITDA - Capex) / Transaction Value</t>
        </is>
      </c>
      <c r="D76" s="10">
        <f>(Model!$E$85-Model!$E$35)/D72</f>
        <v>0.121525697583647</v>
      </c>
    </row>
    <row r="77">
      <c r="C77" s="6" t="inlineStr">
        <is>
          <t>(EBITDA - Capex - Change in WC) / Transaction Value</t>
        </is>
      </c>
      <c r="D77" s="10">
        <f>(Model!$E$85-Model!$E$35-Model!$E$307)/D72</f>
        <v>0.120164115970445</v>
      </c>
    </row>
    <row r="78">
      <c r="C78" s="6" t="inlineStr">
        <is>
          <t>Less: Existing Debt (repaid at close)</t>
        </is>
      </c>
      <c r="D78" s="30" t="n">
        <v>6842</v>
      </c>
    </row>
    <row r="79">
      <c r="C79" s="6" t="inlineStr">
        <is>
          <t>Plus: Cash and Equivalents (left by seller)</t>
        </is>
      </c>
      <c r="D79" s="30" t="n">
        <v>100</v>
      </c>
    </row>
    <row r="80">
      <c r="C80" s="17" t="inlineStr">
        <is>
          <t>Equity Purchase Price</t>
        </is>
      </c>
      <c r="D80" s="19">
        <f>D72-D78+D79</f>
        <v>48341</v>
      </c>
    </row>
    <row r="83">
      <c r="C83" s="35" t="inlineStr">
        <is>
          <t>ADJ. OCF CALCULATION &amp; LEVERAGE / PURCHASE PRICE RATIOS</t>
        </is>
      </c>
      <c r="D83" s="35" t="n"/>
      <c r="E83" s="35" t="n"/>
      <c r="F83" s="35" t="n"/>
      <c r="G83" s="35" t="n"/>
      <c r="H83" s="35" t="n"/>
    </row>
    <row r="84">
      <c r="C84" s="6" t="inlineStr">
        <is>
          <t>FY2026E Adj. EBITDA</t>
        </is>
      </c>
      <c r="D84" s="7">
        <f>Model!$F$85</f>
        <v>8746.4448</v>
      </c>
    </row>
    <row r="85">
      <c r="C85" s="6" t="inlineStr">
        <is>
          <t>Less: Maintenance CapEx</t>
        </is>
      </c>
      <c r="D85" s="7">
        <f>-Model!$F$35</f>
        <v>-1288.94976</v>
      </c>
    </row>
    <row r="86">
      <c r="C86" s="17" t="inlineStr">
        <is>
          <t>Adj. OCF</t>
        </is>
      </c>
      <c r="D86" s="18">
        <f>D84+D85</f>
        <v>7457.49504</v>
      </c>
    </row>
    <row r="88">
      <c r="C88" s="17" t="inlineStr">
        <is>
          <t>Current Capital Structure Leverage</t>
        </is>
      </c>
      <c r="D88" s="17" t="inlineStr">
        <is>
          <t>Amount</t>
        </is>
      </c>
      <c r="E88" s="17" t="inlineStr">
        <is>
          <t>x EBITDA</t>
        </is>
      </c>
      <c r="F88" s="17" t="inlineStr">
        <is>
          <t>x Adj. OCF</t>
        </is>
      </c>
    </row>
    <row r="89">
      <c r="C89" s="6" t="inlineStr">
        <is>
          <t>Revolver</t>
        </is>
      </c>
      <c r="D89" s="24">
        <f>D36</f>
        <v>0</v>
      </c>
      <c r="E89" s="8">
        <f>D89/Model!$E$85</f>
        <v>0</v>
      </c>
      <c r="F89" s="26">
        <f>D89/$D$86</f>
        <v>0</v>
      </c>
    </row>
    <row r="90">
      <c r="C90" s="6" t="inlineStr">
        <is>
          <t>Term Loan</t>
        </is>
      </c>
      <c r="D90" s="24">
        <f>D37+D38</f>
        <v>23607</v>
      </c>
      <c r="E90" s="8">
        <f>D90/Model!$E$85</f>
        <v>3</v>
      </c>
      <c r="F90" s="26">
        <f>D90/$D$86</f>
        <v>3.16554015435188</v>
      </c>
    </row>
    <row r="91">
      <c r="C91" s="6" t="inlineStr">
        <is>
          <t>Senior Debt</t>
        </is>
      </c>
      <c r="D91" s="24">
        <f>D89+D90+D39+D40</f>
        <v>23607</v>
      </c>
      <c r="E91" s="8">
        <f>D91/Model!$E$85</f>
        <v>3</v>
      </c>
      <c r="F91" s="26">
        <f>D91/$D$86</f>
        <v>3.16554015435188</v>
      </c>
    </row>
    <row r="92">
      <c r="C92" s="6" t="inlineStr">
        <is>
          <t>Mezzanine</t>
        </is>
      </c>
      <c r="D92" s="24">
        <f>D41+D43+D44</f>
        <v>7869</v>
      </c>
      <c r="E92" s="8">
        <f>D92/Model!$E$85</f>
        <v>1</v>
      </c>
      <c r="F92" s="26">
        <f>D92/$D$86</f>
        <v>1.05518005145063</v>
      </c>
    </row>
    <row r="93">
      <c r="C93" s="17" t="inlineStr">
        <is>
          <t>Total Leverage excl. Seller Note</t>
        </is>
      </c>
      <c r="D93" s="24">
        <f>D91+D92</f>
        <v>31476</v>
      </c>
      <c r="E93" s="8">
        <f>D93/Model!$E$85</f>
        <v>4</v>
      </c>
      <c r="F93" s="26">
        <f>D93/$D$86</f>
        <v>4.22072020580251</v>
      </c>
    </row>
    <row r="94">
      <c r="C94" s="6" t="inlineStr">
        <is>
          <t>Seller Note</t>
        </is>
      </c>
      <c r="D94" s="24">
        <f>D42</f>
        <v>4000</v>
      </c>
      <c r="E94" s="8">
        <f>D94/Model!$E$85</f>
        <v>0.508323802262041</v>
      </c>
      <c r="F94" s="26">
        <f>D94/$D$86</f>
        <v>0.536373135824439</v>
      </c>
    </row>
    <row r="95">
      <c r="C95" s="17" t="inlineStr">
        <is>
          <t>Total Leverage incl. Seller Note</t>
        </is>
      </c>
      <c r="D95" s="24">
        <f>D93+D94</f>
        <v>35476</v>
      </c>
      <c r="E95" s="8">
        <f>D95/Model!$E$85</f>
        <v>4.50832380226204</v>
      </c>
      <c r="F95" s="26">
        <f>D95/$D$86</f>
        <v>4.75709334162695</v>
      </c>
    </row>
    <row r="96">
      <c r="C96" s="6" t="inlineStr">
        <is>
          <t>Purchase Price Multiple</t>
        </is>
      </c>
      <c r="D96" s="24">
        <f>D72</f>
        <v>55083</v>
      </c>
      <c r="E96" s="8">
        <f>D96/Model!$E$85</f>
        <v>7</v>
      </c>
      <c r="F96" s="26">
        <f>D96/$D$86</f>
        <v>7.3862603601544</v>
      </c>
    </row>
    <row r="97">
      <c r="C97" s="6" t="inlineStr">
        <is>
          <t>Based on Adj. OCF (Purchase Price / Adj. OCF)</t>
        </is>
      </c>
      <c r="D97" s="26">
        <f>D72/D86</f>
        <v>7.3862603601544</v>
      </c>
    </row>
    <row r="100">
      <c r="C100" s="11" t="inlineStr">
        <is>
          <t>(1) Sponsor common equity is the plug in each financing case; preferred = 90% of the total sponsor ticket.</t>
        </is>
      </c>
    </row>
    <row r="101">
      <c r="C101" s="11" t="inlineStr">
        <is>
          <t>(2) Rollover equity in every case links to the Consideration tab (sellers roll 20% of consideration ex seller note).</t>
        </is>
      </c>
    </row>
    <row r="102">
      <c r="C102" s="11" t="inlineStr">
        <is>
          <t>TO UPDATE: Case 6-10 pricing grids once final term sheets are received.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0" zoomScale="85"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3" customWidth="1" min="14" max="14"/>
    <col width="30" customWidth="1" min="15" max="15"/>
  </cols>
  <sheetData>
    <row r="1">
      <c r="A1" s="1" t="str">
        <f>Assump_CapStructure!$F$7</f>
        <v>Project Kestrel</v>
      </c>
      <c r="M1" s="1" t="str">
        <f>"Operating Case Running: "&amp;CHOOSE(Assump_CapStructure!$K$5,"Management Case","Case II - No Growth, No Taxes","Case III - Downside Case, No Taxes","Upside Case","Flat Case")</f>
        <v>Operating Case Running: Management Case</v>
      </c>
    </row>
    <row r="2">
      <c r="A2" s="3" t="str">
        <f>"Prepared by: "&amp;Assump_CapStructure!$F$8</f>
        <v>Prepared by: Halvern</v>
      </c>
      <c r="M2" s="1" t="str">
        <f>"Capital Structure Case: "&amp;CHOOSE(Assump_CapStructure!$K$15,"Base Case - Senior + Mezz","Senior Only","Senior + Seller Note Upsized","All Equity","Unitranche","Case 6","Case 7","Case 8","Case 9","Case 10")</f>
        <v>Capital Structure Case: Base Case - Senior + Mezz</v>
      </c>
    </row>
    <row r="3">
      <c r="A3" s="3" t="str">
        <f>Assump_CapStructure!$F$11</f>
        <v>($ in 000s)</v>
      </c>
    </row>
    <row r="5">
      <c r="A5" s="17" t="inlineStr">
        <is>
          <t>Fiscal Year Ended September 30,</t>
        </is>
      </c>
      <c r="E5" s="28" t="inlineStr">
        <is>
          <t>Closing</t>
        </is>
      </c>
      <c r="F5" s="41" t="str">
        <f>Model!F30</f>
        <v>FY2026E</v>
      </c>
      <c r="G5" s="41" t="str">
        <f>Model!G30</f>
        <v>FY2027E</v>
      </c>
      <c r="H5" s="41" t="str">
        <f>Model!H30</f>
        <v>FY2028E</v>
      </c>
      <c r="I5" s="41" t="str">
        <f>Model!I30</f>
        <v>FY2029E</v>
      </c>
      <c r="J5" s="41" t="str">
        <f>Model!J30</f>
        <v>FY2030E</v>
      </c>
      <c r="K5" s="41" t="str">
        <f>Model!K30</f>
        <v>FY2031E</v>
      </c>
      <c r="L5" s="41" t="str">
        <f>Model!L30</f>
        <v>FY2032E</v>
      </c>
      <c r="M5" s="41" t="str">
        <f>Model!M30</f>
        <v>FY2033E</v>
      </c>
    </row>
    <row r="7">
      <c r="A7" s="35" t="inlineStr">
        <is>
          <t>REVOLVER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</row>
    <row r="8">
      <c r="A8" s="6" t="inlineStr">
        <is>
          <t>Beginning Balance</t>
        </is>
      </c>
      <c r="F8" s="7">
        <f>Model!$K$7</f>
        <v>0</v>
      </c>
      <c r="G8" s="24">
        <f>F12</f>
        <v>0</v>
      </c>
      <c r="H8" s="24">
        <f>G12</f>
        <v>0</v>
      </c>
      <c r="I8" s="24">
        <f>H12</f>
        <v>0</v>
      </c>
      <c r="J8" s="24">
        <f>I12</f>
        <v>0</v>
      </c>
      <c r="K8" s="24">
        <f>J12</f>
        <v>0</v>
      </c>
      <c r="L8" s="24">
        <f>K12</f>
        <v>0</v>
      </c>
      <c r="M8" s="24">
        <f>L12</f>
        <v>0</v>
      </c>
    </row>
    <row r="9">
      <c r="A9" s="6" t="inlineStr">
        <is>
          <t>Mandatory Redemption</t>
        </is>
      </c>
      <c r="F9" s="7">
        <f>-MIN(F8,Model!$K$7*Assump_CapStructure!$X$36)</f>
        <v>-0</v>
      </c>
      <c r="G9" s="7">
        <f>-MIN(G8,Model!$K$7*Assump_CapStructure!$X$36)</f>
        <v>-0</v>
      </c>
      <c r="H9" s="7">
        <f>-MIN(H8,Model!$K$7*Assump_CapStructure!$X$36)</f>
        <v>-0</v>
      </c>
      <c r="I9" s="7">
        <f>-MIN(I8,Model!$K$7*Assump_CapStructure!$X$36)</f>
        <v>-0</v>
      </c>
      <c r="J9" s="7">
        <f>-MIN(J8,Model!$K$7*Assump_CapStructure!$X$36)</f>
        <v>-0</v>
      </c>
      <c r="K9" s="7">
        <f>-MIN(K8,Model!$K$7*Assump_CapStructure!$X$36)</f>
        <v>-0</v>
      </c>
      <c r="L9" s="7">
        <f>-MIN(L8,Model!$K$7*Assump_CapStructure!$X$36)</f>
        <v>-0</v>
      </c>
      <c r="M9" s="7">
        <f>-MIN(M8,Model!$K$7*Assump_CapStructure!$X$36)</f>
        <v>-0</v>
      </c>
    </row>
    <row r="10">
      <c r="A10" s="6" t="inlineStr">
        <is>
          <t>Borrowings / (Repayments)</t>
        </is>
      </c>
      <c r="F10" s="7">
        <f>Model!F198</f>
        <v>0</v>
      </c>
      <c r="G10" s="7">
        <f>Model!G198</f>
        <v>0</v>
      </c>
      <c r="H10" s="7">
        <f>Model!H198</f>
        <v>0</v>
      </c>
      <c r="I10" s="7">
        <f>Model!I198</f>
        <v>0</v>
      </c>
      <c r="J10" s="7">
        <f>Model!J198</f>
        <v>0</v>
      </c>
      <c r="K10" s="7">
        <f>Model!K198</f>
        <v>0</v>
      </c>
      <c r="L10" s="7">
        <f>Model!L198</f>
        <v>0</v>
      </c>
      <c r="M10" s="7">
        <f>Model!M198</f>
        <v>0</v>
      </c>
    </row>
    <row r="11">
      <c r="A11" s="6" t="inlineStr">
        <is>
          <t>PIK Interest (accretes to balance)</t>
        </is>
      </c>
      <c r="B11" s="54">
        <f>Assump_CapStructure!$V$36</f>
        <v>0</v>
      </c>
      <c r="F11" s="7">
        <f>F8*Assump_CapStructure!$V$36</f>
        <v>0</v>
      </c>
      <c r="G11" s="7">
        <f>G8*Assump_CapStructure!$V$36</f>
        <v>0</v>
      </c>
      <c r="H11" s="7">
        <f>H8*Assump_CapStructure!$V$36</f>
        <v>0</v>
      </c>
      <c r="I11" s="7">
        <f>I8*Assump_CapStructure!$V$36</f>
        <v>0</v>
      </c>
      <c r="J11" s="7">
        <f>J8*Assump_CapStructure!$V$36</f>
        <v>0</v>
      </c>
      <c r="K11" s="7">
        <f>K8*Assump_CapStructure!$V$36</f>
        <v>0</v>
      </c>
      <c r="L11" s="7">
        <f>L8*Assump_CapStructure!$V$36</f>
        <v>0</v>
      </c>
      <c r="M11" s="7">
        <f>M8*Assump_CapStructure!$V$36</f>
        <v>0</v>
      </c>
    </row>
    <row r="12">
      <c r="A12" s="17" t="inlineStr">
        <is>
          <t>Ending Balance</t>
        </is>
      </c>
      <c r="E12" s="42">
        <f>Model!$K$7</f>
        <v>0</v>
      </c>
      <c r="F12" s="18">
        <f>SUM(F8:F11)</f>
        <v>0</v>
      </c>
      <c r="G12" s="18">
        <f>SUM(G8:G11)</f>
        <v>0</v>
      </c>
      <c r="H12" s="18">
        <f>SUM(H8:H11)</f>
        <v>0</v>
      </c>
      <c r="I12" s="18">
        <f>SUM(I8:I11)</f>
        <v>0</v>
      </c>
      <c r="J12" s="18">
        <f>SUM(J8:J11)</f>
        <v>0</v>
      </c>
      <c r="K12" s="18">
        <f>SUM(K8:K11)</f>
        <v>0</v>
      </c>
      <c r="L12" s="18">
        <f>SUM(L8:L11)</f>
        <v>0</v>
      </c>
      <c r="M12" s="18">
        <f>SUM(M8:M11)</f>
        <v>0</v>
      </c>
    </row>
    <row r="13">
      <c r="A13" s="6" t="inlineStr">
        <is>
          <t>Cash Interest</t>
        </is>
      </c>
      <c r="B13" s="54">
        <f>Assump_CapStructure!$U$36</f>
        <v>0.03</v>
      </c>
      <c r="F13" s="7">
        <f>F8*(IF(Assump_CapStructure!$W$36="L +",Assump_CapStructure!$F$25,0)+Assump_CapStructure!$U$36)</f>
        <v>0</v>
      </c>
      <c r="G13" s="7">
        <f>G8*(IF(Assump_CapStructure!$W$36="L +",Assump_CapStructure!$F$25,0)+Assump_CapStructure!$U$36)</f>
        <v>0</v>
      </c>
      <c r="H13" s="7">
        <f>H8*(IF(Assump_CapStructure!$W$36="L +",Assump_CapStructure!$F$25,0)+Assump_CapStructure!$U$36)</f>
        <v>0</v>
      </c>
      <c r="I13" s="7">
        <f>I8*(IF(Assump_CapStructure!$W$36="L +",Assump_CapStructure!$F$25,0)+Assump_CapStructure!$U$36)</f>
        <v>0</v>
      </c>
      <c r="J13" s="7">
        <f>J8*(IF(Assump_CapStructure!$W$36="L +",Assump_CapStructure!$F$25,0)+Assump_CapStructure!$U$36)</f>
        <v>0</v>
      </c>
      <c r="K13" s="7">
        <f>K8*(IF(Assump_CapStructure!$W$36="L +",Assump_CapStructure!$F$25,0)+Assump_CapStructure!$U$36)</f>
        <v>0</v>
      </c>
      <c r="L13" s="7">
        <f>L8*(IF(Assump_CapStructure!$W$36="L +",Assump_CapStructure!$F$25,0)+Assump_CapStructure!$U$36)</f>
        <v>0</v>
      </c>
      <c r="M13" s="7">
        <f>M8*(IF(Assump_CapStructure!$W$36="L +",Assump_CapStructure!$F$25,0)+Assump_CapStructure!$U$36)</f>
        <v>0</v>
      </c>
    </row>
    <row r="14">
      <c r="A14" s="6" t="inlineStr">
        <is>
          <t>PIK Interest</t>
        </is>
      </c>
      <c r="F14" s="24">
        <f>F11</f>
        <v>0</v>
      </c>
      <c r="G14" s="24">
        <f>G11</f>
        <v>0</v>
      </c>
      <c r="H14" s="24">
        <f>H11</f>
        <v>0</v>
      </c>
      <c r="I14" s="24">
        <f>I11</f>
        <v>0</v>
      </c>
      <c r="J14" s="24">
        <f>J11</f>
        <v>0</v>
      </c>
      <c r="K14" s="24">
        <f>K11</f>
        <v>0</v>
      </c>
      <c r="L14" s="24">
        <f>L11</f>
        <v>0</v>
      </c>
      <c r="M14" s="24">
        <f>M11</f>
        <v>0</v>
      </c>
    </row>
    <row r="15">
      <c r="A15" s="17" t="inlineStr">
        <is>
          <t>Total Interest</t>
        </is>
      </c>
      <c r="F15" s="18">
        <f>F13+F14</f>
        <v>0</v>
      </c>
      <c r="G15" s="18">
        <f>G13+G14</f>
        <v>0</v>
      </c>
      <c r="H15" s="18">
        <f>H13+H14</f>
        <v>0</v>
      </c>
      <c r="I15" s="18">
        <f>I13+I14</f>
        <v>0</v>
      </c>
      <c r="J15" s="18">
        <f>J13+J14</f>
        <v>0</v>
      </c>
      <c r="K15" s="18">
        <f>K13+K14</f>
        <v>0</v>
      </c>
      <c r="L15" s="18">
        <f>L13+L14</f>
        <v>0</v>
      </c>
      <c r="M15" s="18">
        <f>M13+M14</f>
        <v>0</v>
      </c>
    </row>
    <row r="16">
      <c r="A16" s="6" t="inlineStr">
        <is>
          <t>Revolving Credit Facility: Revolver Outstanding</t>
        </is>
      </c>
      <c r="F16" s="24">
        <f>F12</f>
        <v>0</v>
      </c>
      <c r="G16" s="24">
        <f>G12</f>
        <v>0</v>
      </c>
      <c r="H16" s="24">
        <f>H12</f>
        <v>0</v>
      </c>
      <c r="I16" s="24">
        <f>I12</f>
        <v>0</v>
      </c>
      <c r="J16" s="24">
        <f>J12</f>
        <v>0</v>
      </c>
      <c r="K16" s="24">
        <f>K12</f>
        <v>0</v>
      </c>
      <c r="L16" s="24">
        <f>L12</f>
        <v>0</v>
      </c>
      <c r="M16" s="24">
        <f>M12</f>
        <v>0</v>
      </c>
    </row>
    <row r="17">
      <c r="A17" s="6" t="inlineStr">
        <is>
          <t xml:space="preserve">   Unused Revolver</t>
        </is>
      </c>
      <c r="F17" s="7">
        <f>Assump_CapStructure!$D$50-F12</f>
        <v>8000</v>
      </c>
      <c r="G17" s="7">
        <f>Assump_CapStructure!$D$50-G12</f>
        <v>8000</v>
      </c>
      <c r="H17" s="7">
        <f>Assump_CapStructure!$D$50-H12</f>
        <v>8000</v>
      </c>
      <c r="I17" s="7">
        <f>Assump_CapStructure!$D$50-I12</f>
        <v>8000</v>
      </c>
      <c r="J17" s="7">
        <f>Assump_CapStructure!$D$50-J12</f>
        <v>8000</v>
      </c>
      <c r="K17" s="7">
        <f>Assump_CapStructure!$D$50-K12</f>
        <v>8000</v>
      </c>
      <c r="L17" s="7">
        <f>Assump_CapStructure!$D$50-L12</f>
        <v>8000</v>
      </c>
      <c r="M17" s="7">
        <f>Assump_CapStructure!$D$50-M12</f>
        <v>8000</v>
      </c>
    </row>
    <row r="18">
      <c r="A18" s="6" t="inlineStr">
        <is>
          <t xml:space="preserve">   Unused Commitment Fee</t>
        </is>
      </c>
      <c r="F18" s="7">
        <f>(Assump_CapStructure!$D$50-F8)*Assump_CapStructure!$Z$36</f>
        <v>40</v>
      </c>
      <c r="G18" s="7">
        <f>(Assump_CapStructure!$D$50-G8)*Assump_CapStructure!$Z$36</f>
        <v>40</v>
      </c>
      <c r="H18" s="7">
        <f>(Assump_CapStructure!$D$50-H8)*Assump_CapStructure!$Z$36</f>
        <v>40</v>
      </c>
      <c r="I18" s="7">
        <f>(Assump_CapStructure!$D$50-I8)*Assump_CapStructure!$Z$36</f>
        <v>40</v>
      </c>
      <c r="J18" s="7">
        <f>(Assump_CapStructure!$D$50-J8)*Assump_CapStructure!$Z$36</f>
        <v>40</v>
      </c>
      <c r="K18" s="7">
        <f>(Assump_CapStructure!$D$50-K8)*Assump_CapStructure!$Z$36</f>
        <v>40</v>
      </c>
      <c r="L18" s="7">
        <f>(Assump_CapStructure!$D$50-L8)*Assump_CapStructure!$Z$36</f>
        <v>40</v>
      </c>
      <c r="M18" s="7">
        <f>(Assump_CapStructure!$D$50-M8)*Assump_CapStructure!$Z$36</f>
        <v>40</v>
      </c>
    </row>
    <row r="20">
      <c r="A20" s="35" t="inlineStr">
        <is>
          <t>TERM LOAN A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</row>
    <row r="21">
      <c r="A21" s="6" t="inlineStr">
        <is>
          <t>Beginning Balance</t>
        </is>
      </c>
      <c r="F21" s="7">
        <f>Model!$K$8</f>
        <v>23607</v>
      </c>
      <c r="G21" s="24">
        <f>F25</f>
        <v>20328.0355155306</v>
      </c>
      <c r="H21" s="24">
        <f>G25</f>
        <v>16284.6578977493</v>
      </c>
      <c r="I21" s="24">
        <f>H25</f>
        <v>11554.9075591983</v>
      </c>
      <c r="J21" s="24">
        <f>I25</f>
        <v>6104.79191020747</v>
      </c>
      <c r="K21" s="24">
        <f>J25</f>
        <v>0</v>
      </c>
      <c r="L21" s="24">
        <f>K25</f>
        <v>0</v>
      </c>
      <c r="M21" s="24">
        <f>L25</f>
        <v>0</v>
      </c>
    </row>
    <row r="22">
      <c r="A22" s="6" t="inlineStr">
        <is>
          <t>Mandatory Redemption</t>
        </is>
      </c>
      <c r="F22" s="7">
        <f>-MIN(F21,Model!$K$8*Assump_CapStructure!$X$37)</f>
        <v>-2360.7</v>
      </c>
      <c r="G22" s="7">
        <f>-MIN(G21,Model!$K$8*Assump_CapStructure!$X$37)</f>
        <v>-2360.7</v>
      </c>
      <c r="H22" s="7">
        <f>-MIN(H21,Model!$K$8*Assump_CapStructure!$X$37)</f>
        <v>-2360.7</v>
      </c>
      <c r="I22" s="7">
        <f>-MIN(I21,Model!$K$8*Assump_CapStructure!$X$37)</f>
        <v>-2360.7</v>
      </c>
      <c r="J22" s="7">
        <f>-MIN(J21,Model!$K$8*Assump_CapStructure!$X$37)</f>
        <v>-2360.7</v>
      </c>
      <c r="K22" s="7">
        <f>-MIN(K21,Model!$K$8*Assump_CapStructure!$X$37)</f>
        <v>-0</v>
      </c>
      <c r="L22" s="7">
        <f>-MIN(L21,Model!$K$8*Assump_CapStructure!$X$37)</f>
        <v>-0</v>
      </c>
      <c r="M22" s="7">
        <f>-MIN(M21,Model!$K$8*Assump_CapStructure!$X$37)</f>
        <v>-0</v>
      </c>
    </row>
    <row r="23">
      <c r="A23" s="6" t="inlineStr">
        <is>
          <t>Voluntary Redemption (from Model sweep)</t>
        </is>
      </c>
      <c r="F23" s="7">
        <f>Model!F199</f>
        <v>-918.264484469405</v>
      </c>
      <c r="G23" s="7">
        <f>Model!G199</f>
        <v>-1682.67761778131</v>
      </c>
      <c r="H23" s="7">
        <f>Model!H199</f>
        <v>-2369.05033855102</v>
      </c>
      <c r="I23" s="7">
        <f>Model!I199</f>
        <v>-3089.4156489908</v>
      </c>
      <c r="J23" s="7">
        <f>Model!J199</f>
        <v>-3744.09191020747</v>
      </c>
      <c r="K23" s="7">
        <f>Model!K199</f>
        <v>-0</v>
      </c>
      <c r="L23" s="7">
        <f>Model!L199</f>
        <v>-0</v>
      </c>
      <c r="M23" s="7">
        <f>Model!M199</f>
        <v>-0</v>
      </c>
    </row>
    <row r="24">
      <c r="A24" s="6" t="inlineStr">
        <is>
          <t>PIK Interest (accretes to balance)</t>
        </is>
      </c>
      <c r="B24" s="54">
        <f>Assump_CapStructure!$V$37</f>
        <v>0</v>
      </c>
      <c r="F24" s="7">
        <f>F21*Assump_CapStructure!$V$37</f>
        <v>0</v>
      </c>
      <c r="G24" s="7">
        <f>G21*Assump_CapStructure!$V$37</f>
        <v>0</v>
      </c>
      <c r="H24" s="7">
        <f>H21*Assump_CapStructure!$V$37</f>
        <v>0</v>
      </c>
      <c r="I24" s="7">
        <f>I21*Assump_CapStructure!$V$37</f>
        <v>0</v>
      </c>
      <c r="J24" s="7">
        <f>J21*Assump_CapStructure!$V$37</f>
        <v>0</v>
      </c>
      <c r="K24" s="7">
        <f>K21*Assump_CapStructure!$V$37</f>
        <v>0</v>
      </c>
      <c r="L24" s="7">
        <f>L21*Assump_CapStructure!$V$37</f>
        <v>0</v>
      </c>
      <c r="M24" s="7">
        <f>M21*Assump_CapStructure!$V$37</f>
        <v>0</v>
      </c>
    </row>
    <row r="25">
      <c r="A25" s="17" t="inlineStr">
        <is>
          <t>Ending Balance</t>
        </is>
      </c>
      <c r="E25" s="42">
        <f>Model!$K$8</f>
        <v>23607</v>
      </c>
      <c r="F25" s="18">
        <f>SUM(F21:F24)</f>
        <v>20328.0355155306</v>
      </c>
      <c r="G25" s="18">
        <f>SUM(G21:G24)</f>
        <v>16284.6578977493</v>
      </c>
      <c r="H25" s="18">
        <f>SUM(H21:H24)</f>
        <v>11554.9075591983</v>
      </c>
      <c r="I25" s="18">
        <f>SUM(I21:I24)</f>
        <v>6104.79191020747</v>
      </c>
      <c r="J25" s="18">
        <f>SUM(J21:J24)</f>
        <v>0</v>
      </c>
      <c r="K25" s="18">
        <f>SUM(K21:K24)</f>
        <v>0</v>
      </c>
      <c r="L25" s="18">
        <f>SUM(L21:L24)</f>
        <v>0</v>
      </c>
      <c r="M25" s="18">
        <f>SUM(M21:M24)</f>
        <v>0</v>
      </c>
    </row>
    <row r="26">
      <c r="A26" s="6" t="inlineStr">
        <is>
          <t>Cash Interest</t>
        </is>
      </c>
      <c r="B26" s="54">
        <f>Assump_CapStructure!$U$37</f>
        <v>0.0325</v>
      </c>
      <c r="F26" s="7">
        <f>F21*(IF(Assump_CapStructure!$W$37="L +",Assump_CapStructure!$F$25,0)+Assump_CapStructure!$U$37)</f>
        <v>1770.525</v>
      </c>
      <c r="G26" s="7">
        <f>G21*(IF(Assump_CapStructure!$W$37="L +",Assump_CapStructure!$F$25,0)+Assump_CapStructure!$U$37)</f>
        <v>1524.60266366479</v>
      </c>
      <c r="H26" s="7">
        <f>H21*(IF(Assump_CapStructure!$W$37="L +",Assump_CapStructure!$F$25,0)+Assump_CapStructure!$U$37)</f>
        <v>1221.3493423312</v>
      </c>
      <c r="I26" s="7">
        <f>I21*(IF(Assump_CapStructure!$W$37="L +",Assump_CapStructure!$F$25,0)+Assump_CapStructure!$U$37)</f>
        <v>866.61806693987</v>
      </c>
      <c r="J26" s="7">
        <f>J21*(IF(Assump_CapStructure!$W$37="L +",Assump_CapStructure!$F$25,0)+Assump_CapStructure!$U$37)</f>
        <v>457.85939326556</v>
      </c>
      <c r="K26" s="7">
        <f>K21*(IF(Assump_CapStructure!$W$37="L +",Assump_CapStructure!$F$25,0)+Assump_CapStructure!$U$37)</f>
        <v>0</v>
      </c>
      <c r="L26" s="7">
        <f>L21*(IF(Assump_CapStructure!$W$37="L +",Assump_CapStructure!$F$25,0)+Assump_CapStructure!$U$37)</f>
        <v>0</v>
      </c>
      <c r="M26" s="7">
        <f>M21*(IF(Assump_CapStructure!$W$37="L +",Assump_CapStructure!$F$25,0)+Assump_CapStructure!$U$37)</f>
        <v>0</v>
      </c>
    </row>
    <row r="27">
      <c r="A27" s="6" t="inlineStr">
        <is>
          <t>PIK Interest</t>
        </is>
      </c>
      <c r="F27" s="24">
        <f>F24</f>
        <v>0</v>
      </c>
      <c r="G27" s="24">
        <f>G24</f>
        <v>0</v>
      </c>
      <c r="H27" s="24">
        <f>H24</f>
        <v>0</v>
      </c>
      <c r="I27" s="24">
        <f>I24</f>
        <v>0</v>
      </c>
      <c r="J27" s="24">
        <f>J24</f>
        <v>0</v>
      </c>
      <c r="K27" s="24">
        <f>K24</f>
        <v>0</v>
      </c>
      <c r="L27" s="24">
        <f>L24</f>
        <v>0</v>
      </c>
      <c r="M27" s="24">
        <f>M24</f>
        <v>0</v>
      </c>
    </row>
    <row r="28">
      <c r="A28" s="17" t="inlineStr">
        <is>
          <t>Total Interest</t>
        </is>
      </c>
      <c r="F28" s="18">
        <f>F26+F27</f>
        <v>1770.525</v>
      </c>
      <c r="G28" s="18">
        <f>G26+G27</f>
        <v>1524.60266366479</v>
      </c>
      <c r="H28" s="18">
        <f>H26+H27</f>
        <v>1221.3493423312</v>
      </c>
      <c r="I28" s="18">
        <f>I26+I27</f>
        <v>866.61806693987</v>
      </c>
      <c r="J28" s="18">
        <f>J26+J27</f>
        <v>457.85939326556</v>
      </c>
      <c r="K28" s="18">
        <f>K26+K27</f>
        <v>0</v>
      </c>
      <c r="L28" s="18">
        <f>L26+L27</f>
        <v>0</v>
      </c>
      <c r="M28" s="18">
        <f>M26+M27</f>
        <v>0</v>
      </c>
    </row>
    <row r="30">
      <c r="A30" s="35" t="inlineStr">
        <is>
          <t>TERM LOAN B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</row>
    <row r="31">
      <c r="A31" s="6" t="inlineStr">
        <is>
          <t>Beginning Balance</t>
        </is>
      </c>
      <c r="F31" s="7">
        <f>Model!$K$9</f>
        <v>0</v>
      </c>
      <c r="G31" s="24">
        <f>F35</f>
        <v>0</v>
      </c>
      <c r="H31" s="24">
        <f>G35</f>
        <v>0</v>
      </c>
      <c r="I31" s="24">
        <f>H35</f>
        <v>0</v>
      </c>
      <c r="J31" s="24">
        <f>I35</f>
        <v>0</v>
      </c>
      <c r="K31" s="24">
        <f>J35</f>
        <v>0</v>
      </c>
      <c r="L31" s="24">
        <f>K35</f>
        <v>0</v>
      </c>
      <c r="M31" s="24">
        <f>L35</f>
        <v>0</v>
      </c>
    </row>
    <row r="32">
      <c r="A32" s="6" t="inlineStr">
        <is>
          <t>Mandatory Redemption</t>
        </is>
      </c>
      <c r="F32" s="7">
        <f>-MIN(F31,Model!$K$9*Assump_CapStructure!$X$38)</f>
        <v>-0</v>
      </c>
      <c r="G32" s="7">
        <f>-MIN(G31,Model!$K$9*Assump_CapStructure!$X$38)</f>
        <v>-0</v>
      </c>
      <c r="H32" s="7">
        <f>-MIN(H31,Model!$K$9*Assump_CapStructure!$X$38)</f>
        <v>-0</v>
      </c>
      <c r="I32" s="7">
        <f>-MIN(I31,Model!$K$9*Assump_CapStructure!$X$38)</f>
        <v>-0</v>
      </c>
      <c r="J32" s="7">
        <f>-MIN(J31,Model!$K$9*Assump_CapStructure!$X$38)</f>
        <v>-0</v>
      </c>
      <c r="K32" s="7">
        <f>-MIN(K31,Model!$K$9*Assump_CapStructure!$X$38)</f>
        <v>-0</v>
      </c>
      <c r="L32" s="7">
        <f>-MIN(L31,Model!$K$9*Assump_CapStructure!$X$38)</f>
        <v>-0</v>
      </c>
      <c r="M32" s="7">
        <f>-MIN(M31,Model!$K$9*Assump_CapStructure!$X$38)</f>
        <v>-0</v>
      </c>
    </row>
    <row r="33">
      <c r="A33" s="6" t="inlineStr">
        <is>
          <t>Voluntary Redemption (from Model sweep)</t>
        </is>
      </c>
      <c r="F33" s="7">
        <f>Model!F200</f>
        <v>-0</v>
      </c>
      <c r="G33" s="7">
        <f>Model!G200</f>
        <v>-0</v>
      </c>
      <c r="H33" s="7">
        <f>Model!H200</f>
        <v>-0</v>
      </c>
      <c r="I33" s="7">
        <f>Model!I200</f>
        <v>-0</v>
      </c>
      <c r="J33" s="7">
        <f>Model!J200</f>
        <v>-0</v>
      </c>
      <c r="K33" s="7">
        <f>Model!K200</f>
        <v>-0</v>
      </c>
      <c r="L33" s="7">
        <f>Model!L200</f>
        <v>-0</v>
      </c>
      <c r="M33" s="7">
        <f>Model!M200</f>
        <v>-0</v>
      </c>
    </row>
    <row r="34">
      <c r="A34" s="6" t="inlineStr">
        <is>
          <t>PIK Interest (accretes to balance)</t>
        </is>
      </c>
      <c r="B34" s="54">
        <f>Assump_CapStructure!$V$38</f>
        <v>0</v>
      </c>
      <c r="F34" s="7">
        <f>F31*Assump_CapStructure!$V$38</f>
        <v>0</v>
      </c>
      <c r="G34" s="7">
        <f>G31*Assump_CapStructure!$V$38</f>
        <v>0</v>
      </c>
      <c r="H34" s="7">
        <f>H31*Assump_CapStructure!$V$38</f>
        <v>0</v>
      </c>
      <c r="I34" s="7">
        <f>I31*Assump_CapStructure!$V$38</f>
        <v>0</v>
      </c>
      <c r="J34" s="7">
        <f>J31*Assump_CapStructure!$V$38</f>
        <v>0</v>
      </c>
      <c r="K34" s="7">
        <f>K31*Assump_CapStructure!$V$38</f>
        <v>0</v>
      </c>
      <c r="L34" s="7">
        <f>L31*Assump_CapStructure!$V$38</f>
        <v>0</v>
      </c>
      <c r="M34" s="7">
        <f>M31*Assump_CapStructure!$V$38</f>
        <v>0</v>
      </c>
    </row>
    <row r="35">
      <c r="A35" s="17" t="inlineStr">
        <is>
          <t>Ending Balance</t>
        </is>
      </c>
      <c r="E35" s="42">
        <f>Model!$K$9</f>
        <v>0</v>
      </c>
      <c r="F35" s="18">
        <f>SUM(F31:F34)</f>
        <v>0</v>
      </c>
      <c r="G35" s="18">
        <f>SUM(G31:G34)</f>
        <v>0</v>
      </c>
      <c r="H35" s="18">
        <f>SUM(H31:H34)</f>
        <v>0</v>
      </c>
      <c r="I35" s="18">
        <f>SUM(I31:I34)</f>
        <v>0</v>
      </c>
      <c r="J35" s="18">
        <f>SUM(J31:J34)</f>
        <v>0</v>
      </c>
      <c r="K35" s="18">
        <f>SUM(K31:K34)</f>
        <v>0</v>
      </c>
      <c r="L35" s="18">
        <f>SUM(L31:L34)</f>
        <v>0</v>
      </c>
      <c r="M35" s="18">
        <f>SUM(M31:M34)</f>
        <v>0</v>
      </c>
    </row>
    <row r="36">
      <c r="A36" s="6" t="inlineStr">
        <is>
          <t>Cash Interest</t>
        </is>
      </c>
      <c r="B36" s="54">
        <f>Assump_CapStructure!$U$38</f>
        <v>0.0475</v>
      </c>
      <c r="F36" s="7">
        <f>F31*(IF(Assump_CapStructure!$W$38="L +",Assump_CapStructure!$F$25,0)+Assump_CapStructure!$U$38)</f>
        <v>0</v>
      </c>
      <c r="G36" s="7">
        <f>G31*(IF(Assump_CapStructure!$W$38="L +",Assump_CapStructure!$F$25,0)+Assump_CapStructure!$U$38)</f>
        <v>0</v>
      </c>
      <c r="H36" s="7">
        <f>H31*(IF(Assump_CapStructure!$W$38="L +",Assump_CapStructure!$F$25,0)+Assump_CapStructure!$U$38)</f>
        <v>0</v>
      </c>
      <c r="I36" s="7">
        <f>I31*(IF(Assump_CapStructure!$W$38="L +",Assump_CapStructure!$F$25,0)+Assump_CapStructure!$U$38)</f>
        <v>0</v>
      </c>
      <c r="J36" s="7">
        <f>J31*(IF(Assump_CapStructure!$W$38="L +",Assump_CapStructure!$F$25,0)+Assump_CapStructure!$U$38)</f>
        <v>0</v>
      </c>
      <c r="K36" s="7">
        <f>K31*(IF(Assump_CapStructure!$W$38="L +",Assump_CapStructure!$F$25,0)+Assump_CapStructure!$U$38)</f>
        <v>0</v>
      </c>
      <c r="L36" s="7">
        <f>L31*(IF(Assump_CapStructure!$W$38="L +",Assump_CapStructure!$F$25,0)+Assump_CapStructure!$U$38)</f>
        <v>0</v>
      </c>
      <c r="M36" s="7">
        <f>M31*(IF(Assump_CapStructure!$W$38="L +",Assump_CapStructure!$F$25,0)+Assump_CapStructure!$U$38)</f>
        <v>0</v>
      </c>
    </row>
    <row r="37">
      <c r="A37" s="6" t="inlineStr">
        <is>
          <t>PIK Interest</t>
        </is>
      </c>
      <c r="F37" s="24">
        <f>F34</f>
        <v>0</v>
      </c>
      <c r="G37" s="24">
        <f>G34</f>
        <v>0</v>
      </c>
      <c r="H37" s="24">
        <f>H34</f>
        <v>0</v>
      </c>
      <c r="I37" s="24">
        <f>I34</f>
        <v>0</v>
      </c>
      <c r="J37" s="24">
        <f>J34</f>
        <v>0</v>
      </c>
      <c r="K37" s="24">
        <f>K34</f>
        <v>0</v>
      </c>
      <c r="L37" s="24">
        <f>L34</f>
        <v>0</v>
      </c>
      <c r="M37" s="24">
        <f>M34</f>
        <v>0</v>
      </c>
    </row>
    <row r="38">
      <c r="A38" s="17" t="inlineStr">
        <is>
          <t>Total Interest</t>
        </is>
      </c>
      <c r="F38" s="18">
        <f>F36+F37</f>
        <v>0</v>
      </c>
      <c r="G38" s="18">
        <f>G36+G37</f>
        <v>0</v>
      </c>
      <c r="H38" s="18">
        <f>H36+H37</f>
        <v>0</v>
      </c>
      <c r="I38" s="18">
        <f>I36+I37</f>
        <v>0</v>
      </c>
      <c r="J38" s="18">
        <f>J36+J37</f>
        <v>0</v>
      </c>
      <c r="K38" s="18">
        <f>K36+K37</f>
        <v>0</v>
      </c>
      <c r="L38" s="18">
        <f>L36+L37</f>
        <v>0</v>
      </c>
      <c r="M38" s="18">
        <f>M36+M37</f>
        <v>0</v>
      </c>
    </row>
    <row r="40">
      <c r="A40" s="35" t="inlineStr">
        <is>
          <t>SECOND LIEN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</row>
    <row r="41">
      <c r="A41" s="6" t="inlineStr">
        <is>
          <t>Beginning Balance</t>
        </is>
      </c>
      <c r="F41" s="7">
        <f>Model!$K$10</f>
        <v>0</v>
      </c>
      <c r="G41" s="24">
        <f>F45</f>
        <v>0</v>
      </c>
      <c r="H41" s="24">
        <f>G45</f>
        <v>0</v>
      </c>
      <c r="I41" s="24">
        <f>H45</f>
        <v>0</v>
      </c>
      <c r="J41" s="24">
        <f>I45</f>
        <v>0</v>
      </c>
      <c r="K41" s="24">
        <f>J45</f>
        <v>0</v>
      </c>
      <c r="L41" s="24">
        <f>K45</f>
        <v>0</v>
      </c>
      <c r="M41" s="24">
        <f>L45</f>
        <v>0</v>
      </c>
    </row>
    <row r="42">
      <c r="A42" s="6" t="inlineStr">
        <is>
          <t>Mandatory Redemption</t>
        </is>
      </c>
      <c r="F42" s="7">
        <f>-MIN(F41,Model!$K$10*Assump_CapStructure!$X$39)</f>
        <v>-0</v>
      </c>
      <c r="G42" s="7">
        <f>-MIN(G41,Model!$K$10*Assump_CapStructure!$X$39)</f>
        <v>-0</v>
      </c>
      <c r="H42" s="7">
        <f>-MIN(H41,Model!$K$10*Assump_CapStructure!$X$39)</f>
        <v>-0</v>
      </c>
      <c r="I42" s="7">
        <f>-MIN(I41,Model!$K$10*Assump_CapStructure!$X$39)</f>
        <v>-0</v>
      </c>
      <c r="J42" s="7">
        <f>-MIN(J41,Model!$K$10*Assump_CapStructure!$X$39)</f>
        <v>-0</v>
      </c>
      <c r="K42" s="7">
        <f>-MIN(K41,Model!$K$10*Assump_CapStructure!$X$39)</f>
        <v>-0</v>
      </c>
      <c r="L42" s="7">
        <f>-MIN(L41,Model!$K$10*Assump_CapStructure!$X$39)</f>
        <v>-0</v>
      </c>
      <c r="M42" s="7">
        <f>-MIN(M41,Model!$K$10*Assump_CapStructure!$X$39)</f>
        <v>-0</v>
      </c>
    </row>
    <row r="43">
      <c r="A43" s="6" t="inlineStr">
        <is>
          <t>Voluntary Redemption (from Model sweep)</t>
        </is>
      </c>
      <c r="F43" s="7">
        <f>Model!F201</f>
        <v>-0</v>
      </c>
      <c r="G43" s="7">
        <f>Model!G201</f>
        <v>-0</v>
      </c>
      <c r="H43" s="7">
        <f>Model!H201</f>
        <v>-0</v>
      </c>
      <c r="I43" s="7">
        <f>Model!I201</f>
        <v>-0</v>
      </c>
      <c r="J43" s="7">
        <f>Model!J201</f>
        <v>-0</v>
      </c>
      <c r="K43" s="7">
        <f>Model!K201</f>
        <v>-0</v>
      </c>
      <c r="L43" s="7">
        <f>Model!L201</f>
        <v>-0</v>
      </c>
      <c r="M43" s="7">
        <f>Model!M201</f>
        <v>-0</v>
      </c>
    </row>
    <row r="44">
      <c r="A44" s="6" t="inlineStr">
        <is>
          <t>PIK Interest (accretes to balance)</t>
        </is>
      </c>
      <c r="B44" s="54">
        <f>Assump_CapStructure!$V$39</f>
        <v>0</v>
      </c>
      <c r="F44" s="7">
        <f>F41*Assump_CapStructure!$V$39</f>
        <v>0</v>
      </c>
      <c r="G44" s="7">
        <f>G41*Assump_CapStructure!$V$39</f>
        <v>0</v>
      </c>
      <c r="H44" s="7">
        <f>H41*Assump_CapStructure!$V$39</f>
        <v>0</v>
      </c>
      <c r="I44" s="7">
        <f>I41*Assump_CapStructure!$V$39</f>
        <v>0</v>
      </c>
      <c r="J44" s="7">
        <f>J41*Assump_CapStructure!$V$39</f>
        <v>0</v>
      </c>
      <c r="K44" s="7">
        <f>K41*Assump_CapStructure!$V$39</f>
        <v>0</v>
      </c>
      <c r="L44" s="7">
        <f>L41*Assump_CapStructure!$V$39</f>
        <v>0</v>
      </c>
      <c r="M44" s="7">
        <f>M41*Assump_CapStructure!$V$39</f>
        <v>0</v>
      </c>
    </row>
    <row r="45">
      <c r="A45" s="17" t="inlineStr">
        <is>
          <t>Ending Balance</t>
        </is>
      </c>
      <c r="E45" s="42">
        <f>Model!$K$10</f>
        <v>0</v>
      </c>
      <c r="F45" s="18">
        <f>SUM(F41:F44)</f>
        <v>0</v>
      </c>
      <c r="G45" s="18">
        <f>SUM(G41:G44)</f>
        <v>0</v>
      </c>
      <c r="H45" s="18">
        <f>SUM(H41:H44)</f>
        <v>0</v>
      </c>
      <c r="I45" s="18">
        <f>SUM(I41:I44)</f>
        <v>0</v>
      </c>
      <c r="J45" s="18">
        <f>SUM(J41:J44)</f>
        <v>0</v>
      </c>
      <c r="K45" s="18">
        <f>SUM(K41:K44)</f>
        <v>0</v>
      </c>
      <c r="L45" s="18">
        <f>SUM(L41:L44)</f>
        <v>0</v>
      </c>
      <c r="M45" s="18">
        <f>SUM(M41:M44)</f>
        <v>0</v>
      </c>
    </row>
    <row r="46">
      <c r="A46" s="6" t="inlineStr">
        <is>
          <t>Cash Interest</t>
        </is>
      </c>
      <c r="B46" s="54">
        <f>Assump_CapStructure!$U$39</f>
        <v>0.075</v>
      </c>
      <c r="F46" s="7">
        <f>F41*(IF(Assump_CapStructure!$W$39="L +",Assump_CapStructure!$F$25,0)+Assump_CapStructure!$U$39)</f>
        <v>0</v>
      </c>
      <c r="G46" s="7">
        <f>G41*(IF(Assump_CapStructure!$W$39="L +",Assump_CapStructure!$F$25,0)+Assump_CapStructure!$U$39)</f>
        <v>0</v>
      </c>
      <c r="H46" s="7">
        <f>H41*(IF(Assump_CapStructure!$W$39="L +",Assump_CapStructure!$F$25,0)+Assump_CapStructure!$U$39)</f>
        <v>0</v>
      </c>
      <c r="I46" s="7">
        <f>I41*(IF(Assump_CapStructure!$W$39="L +",Assump_CapStructure!$F$25,0)+Assump_CapStructure!$U$39)</f>
        <v>0</v>
      </c>
      <c r="J46" s="7">
        <f>J41*(IF(Assump_CapStructure!$W$39="L +",Assump_CapStructure!$F$25,0)+Assump_CapStructure!$U$39)</f>
        <v>0</v>
      </c>
      <c r="K46" s="7">
        <f>K41*(IF(Assump_CapStructure!$W$39="L +",Assump_CapStructure!$F$25,0)+Assump_CapStructure!$U$39)</f>
        <v>0</v>
      </c>
      <c r="L46" s="7">
        <f>L41*(IF(Assump_CapStructure!$W$39="L +",Assump_CapStructure!$F$25,0)+Assump_CapStructure!$U$39)</f>
        <v>0</v>
      </c>
      <c r="M46" s="7">
        <f>M41*(IF(Assump_CapStructure!$W$39="L +",Assump_CapStructure!$F$25,0)+Assump_CapStructure!$U$39)</f>
        <v>0</v>
      </c>
    </row>
    <row r="47">
      <c r="A47" s="6" t="inlineStr">
        <is>
          <t>PIK Interest</t>
        </is>
      </c>
      <c r="F47" s="24">
        <f>F44</f>
        <v>0</v>
      </c>
      <c r="G47" s="24">
        <f>G44</f>
        <v>0</v>
      </c>
      <c r="H47" s="24">
        <f>H44</f>
        <v>0</v>
      </c>
      <c r="I47" s="24">
        <f>I44</f>
        <v>0</v>
      </c>
      <c r="J47" s="24">
        <f>J44</f>
        <v>0</v>
      </c>
      <c r="K47" s="24">
        <f>K44</f>
        <v>0</v>
      </c>
      <c r="L47" s="24">
        <f>L44</f>
        <v>0</v>
      </c>
      <c r="M47" s="24">
        <f>M44</f>
        <v>0</v>
      </c>
    </row>
    <row r="48">
      <c r="A48" s="17" t="inlineStr">
        <is>
          <t>Total Interest</t>
        </is>
      </c>
      <c r="F48" s="18">
        <f>F46+F47</f>
        <v>0</v>
      </c>
      <c r="G48" s="18">
        <f>G46+G47</f>
        <v>0</v>
      </c>
      <c r="H48" s="18">
        <f>H46+H47</f>
        <v>0</v>
      </c>
      <c r="I48" s="18">
        <f>I46+I47</f>
        <v>0</v>
      </c>
      <c r="J48" s="18">
        <f>J46+J47</f>
        <v>0</v>
      </c>
      <c r="K48" s="18">
        <f>K46+K47</f>
        <v>0</v>
      </c>
      <c r="L48" s="18">
        <f>L46+L47</f>
        <v>0</v>
      </c>
      <c r="M48" s="18">
        <f>M46+M47</f>
        <v>0</v>
      </c>
    </row>
    <row r="50">
      <c r="A50" s="35" t="inlineStr">
        <is>
          <t>SENIOR NOTES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</row>
    <row r="51">
      <c r="A51" s="6" t="inlineStr">
        <is>
          <t>Beginning Balance</t>
        </is>
      </c>
      <c r="F51" s="7">
        <f>Model!$K$11</f>
        <v>0</v>
      </c>
      <c r="G51" s="24">
        <f>F55</f>
        <v>0</v>
      </c>
      <c r="H51" s="24">
        <f>G55</f>
        <v>0</v>
      </c>
      <c r="I51" s="24">
        <f>H55</f>
        <v>0</v>
      </c>
      <c r="J51" s="24">
        <f>I55</f>
        <v>0</v>
      </c>
      <c r="K51" s="24">
        <f>J55</f>
        <v>0</v>
      </c>
      <c r="L51" s="24">
        <f>K55</f>
        <v>0</v>
      </c>
      <c r="M51" s="24">
        <f>L55</f>
        <v>0</v>
      </c>
    </row>
    <row r="52">
      <c r="A52" s="6" t="inlineStr">
        <is>
          <t>Mandatory Redemption</t>
        </is>
      </c>
      <c r="F52" s="7">
        <f>-MIN(F51,Model!$K$11*Assump_CapStructure!$X$40)</f>
        <v>-0</v>
      </c>
      <c r="G52" s="7">
        <f>-MIN(G51,Model!$K$11*Assump_CapStructure!$X$40)</f>
        <v>-0</v>
      </c>
      <c r="H52" s="7">
        <f>-MIN(H51,Model!$K$11*Assump_CapStructure!$X$40)</f>
        <v>-0</v>
      </c>
      <c r="I52" s="7">
        <f>-MIN(I51,Model!$K$11*Assump_CapStructure!$X$40)</f>
        <v>-0</v>
      </c>
      <c r="J52" s="7">
        <f>-MIN(J51,Model!$K$11*Assump_CapStructure!$X$40)</f>
        <v>-0</v>
      </c>
      <c r="K52" s="7">
        <f>-MIN(K51,Model!$K$11*Assump_CapStructure!$X$40)</f>
        <v>-0</v>
      </c>
      <c r="L52" s="7">
        <f>-MIN(L51,Model!$K$11*Assump_CapStructure!$X$40)</f>
        <v>-0</v>
      </c>
      <c r="M52" s="7">
        <f>-MIN(M51,Model!$K$11*Assump_CapStructure!$X$40)</f>
        <v>-0</v>
      </c>
    </row>
    <row r="53">
      <c r="A53" s="6" t="inlineStr">
        <is>
          <t>Voluntary Redemption (from Model sweep)</t>
        </is>
      </c>
      <c r="F53" s="7">
        <f>Model!F202</f>
        <v>-0</v>
      </c>
      <c r="G53" s="7">
        <f>Model!G202</f>
        <v>-0</v>
      </c>
      <c r="H53" s="7">
        <f>Model!H202</f>
        <v>-0</v>
      </c>
      <c r="I53" s="7">
        <f>Model!I202</f>
        <v>-0</v>
      </c>
      <c r="J53" s="7">
        <f>Model!J202</f>
        <v>-0</v>
      </c>
      <c r="K53" s="7">
        <f>Model!K202</f>
        <v>-0</v>
      </c>
      <c r="L53" s="7">
        <f>Model!L202</f>
        <v>-0</v>
      </c>
      <c r="M53" s="7">
        <f>Model!M202</f>
        <v>-0</v>
      </c>
    </row>
    <row r="54">
      <c r="A54" s="6" t="inlineStr">
        <is>
          <t>PIK Interest (accretes to balance)</t>
        </is>
      </c>
      <c r="B54" s="54">
        <f>Assump_CapStructure!$V$40</f>
        <v>0</v>
      </c>
      <c r="F54" s="7">
        <f>F51*Assump_CapStructure!$V$40</f>
        <v>0</v>
      </c>
      <c r="G54" s="7">
        <f>G51*Assump_CapStructure!$V$40</f>
        <v>0</v>
      </c>
      <c r="H54" s="7">
        <f>H51*Assump_CapStructure!$V$40</f>
        <v>0</v>
      </c>
      <c r="I54" s="7">
        <f>I51*Assump_CapStructure!$V$40</f>
        <v>0</v>
      </c>
      <c r="J54" s="7">
        <f>J51*Assump_CapStructure!$V$40</f>
        <v>0</v>
      </c>
      <c r="K54" s="7">
        <f>K51*Assump_CapStructure!$V$40</f>
        <v>0</v>
      </c>
      <c r="L54" s="7">
        <f>L51*Assump_CapStructure!$V$40</f>
        <v>0</v>
      </c>
      <c r="M54" s="7">
        <f>M51*Assump_CapStructure!$V$40</f>
        <v>0</v>
      </c>
    </row>
    <row r="55">
      <c r="A55" s="17" t="inlineStr">
        <is>
          <t>Ending Balance</t>
        </is>
      </c>
      <c r="E55" s="42">
        <f>Model!$K$11</f>
        <v>0</v>
      </c>
      <c r="F55" s="18">
        <f>SUM(F51:F54)</f>
        <v>0</v>
      </c>
      <c r="G55" s="18">
        <f>SUM(G51:G54)</f>
        <v>0</v>
      </c>
      <c r="H55" s="18">
        <f>SUM(H51:H54)</f>
        <v>0</v>
      </c>
      <c r="I55" s="18">
        <f>SUM(I51:I54)</f>
        <v>0</v>
      </c>
      <c r="J55" s="18">
        <f>SUM(J51:J54)</f>
        <v>0</v>
      </c>
      <c r="K55" s="18">
        <f>SUM(K51:K54)</f>
        <v>0</v>
      </c>
      <c r="L55" s="18">
        <f>SUM(L51:L54)</f>
        <v>0</v>
      </c>
      <c r="M55" s="18">
        <f>SUM(M51:M54)</f>
        <v>0</v>
      </c>
    </row>
    <row r="56">
      <c r="A56" s="6" t="inlineStr">
        <is>
          <t>Cash Interest</t>
        </is>
      </c>
      <c r="B56" s="54">
        <f>Assump_CapStructure!$U$40</f>
        <v>0.09</v>
      </c>
      <c r="F56" s="7">
        <f>F51*(IF(Assump_CapStructure!$W$40="L +",Assump_CapStructure!$F$25,0)+Assump_CapStructure!$U$40)</f>
        <v>0</v>
      </c>
      <c r="G56" s="7">
        <f>G51*(IF(Assump_CapStructure!$W$40="L +",Assump_CapStructure!$F$25,0)+Assump_CapStructure!$U$40)</f>
        <v>0</v>
      </c>
      <c r="H56" s="7">
        <f>H51*(IF(Assump_CapStructure!$W$40="L +",Assump_CapStructure!$F$25,0)+Assump_CapStructure!$U$40)</f>
        <v>0</v>
      </c>
      <c r="I56" s="7">
        <f>I51*(IF(Assump_CapStructure!$W$40="L +",Assump_CapStructure!$F$25,0)+Assump_CapStructure!$U$40)</f>
        <v>0</v>
      </c>
      <c r="J56" s="7">
        <f>J51*(IF(Assump_CapStructure!$W$40="L +",Assump_CapStructure!$F$25,0)+Assump_CapStructure!$U$40)</f>
        <v>0</v>
      </c>
      <c r="K56" s="7">
        <f>K51*(IF(Assump_CapStructure!$W$40="L +",Assump_CapStructure!$F$25,0)+Assump_CapStructure!$U$40)</f>
        <v>0</v>
      </c>
      <c r="L56" s="7">
        <f>L51*(IF(Assump_CapStructure!$W$40="L +",Assump_CapStructure!$F$25,0)+Assump_CapStructure!$U$40)</f>
        <v>0</v>
      </c>
      <c r="M56" s="7">
        <f>M51*(IF(Assump_CapStructure!$W$40="L +",Assump_CapStructure!$F$25,0)+Assump_CapStructure!$U$40)</f>
        <v>0</v>
      </c>
    </row>
    <row r="57">
      <c r="A57" s="6" t="inlineStr">
        <is>
          <t>PIK Interest</t>
        </is>
      </c>
      <c r="F57" s="24">
        <f>F54</f>
        <v>0</v>
      </c>
      <c r="G57" s="24">
        <f>G54</f>
        <v>0</v>
      </c>
      <c r="H57" s="24">
        <f>H54</f>
        <v>0</v>
      </c>
      <c r="I57" s="24">
        <f>I54</f>
        <v>0</v>
      </c>
      <c r="J57" s="24">
        <f>J54</f>
        <v>0</v>
      </c>
      <c r="K57" s="24">
        <f>K54</f>
        <v>0</v>
      </c>
      <c r="L57" s="24">
        <f>L54</f>
        <v>0</v>
      </c>
      <c r="M57" s="24">
        <f>M54</f>
        <v>0</v>
      </c>
    </row>
    <row r="58">
      <c r="A58" s="17" t="inlineStr">
        <is>
          <t>Total Interest</t>
        </is>
      </c>
      <c r="F58" s="18">
        <f>F56+F57</f>
        <v>0</v>
      </c>
      <c r="G58" s="18">
        <f>G56+G57</f>
        <v>0</v>
      </c>
      <c r="H58" s="18">
        <f>H56+H57</f>
        <v>0</v>
      </c>
      <c r="I58" s="18">
        <f>I56+I57</f>
        <v>0</v>
      </c>
      <c r="J58" s="18">
        <f>J56+J57</f>
        <v>0</v>
      </c>
      <c r="K58" s="18">
        <f>K56+K57</f>
        <v>0</v>
      </c>
      <c r="L58" s="18">
        <f>L56+L57</f>
        <v>0</v>
      </c>
      <c r="M58" s="18">
        <f>M56+M57</f>
        <v>0</v>
      </c>
    </row>
    <row r="60">
      <c r="A60" s="35" t="inlineStr">
        <is>
          <t>MEZZANINE DEBT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</row>
    <row r="61">
      <c r="A61" s="6" t="inlineStr">
        <is>
          <t>Beginning Balance</t>
        </is>
      </c>
      <c r="F61" s="7">
        <f>Model!$K$12</f>
        <v>7869</v>
      </c>
      <c r="G61" s="24">
        <f>F65</f>
        <v>8026.38</v>
      </c>
      <c r="H61" s="24">
        <f>G65</f>
        <v>8186.9076</v>
      </c>
      <c r="I61" s="24">
        <f>H65</f>
        <v>8350.645752</v>
      </c>
      <c r="J61" s="24">
        <f>I65</f>
        <v>8517.65866704</v>
      </c>
      <c r="K61" s="24">
        <f>J65</f>
        <v>8593.79390508023</v>
      </c>
      <c r="L61" s="24">
        <f>K65</f>
        <v>2934.96406452715</v>
      </c>
      <c r="M61" s="24">
        <f>L65</f>
        <v>58.6992812905429</v>
      </c>
    </row>
    <row r="62">
      <c r="A62" s="6" t="inlineStr">
        <is>
          <t>Mandatory Redemption</t>
        </is>
      </c>
      <c r="F62" s="7">
        <f>-MIN(F61,Model!$K$12*Assump_CapStructure!$X$41)</f>
        <v>-0</v>
      </c>
      <c r="G62" s="7">
        <f>-MIN(G61,Model!$K$12*Assump_CapStructure!$X$41)</f>
        <v>-0</v>
      </c>
      <c r="H62" s="7">
        <f>-MIN(H61,Model!$K$12*Assump_CapStructure!$X$41)</f>
        <v>-0</v>
      </c>
      <c r="I62" s="7">
        <f>-MIN(I61,Model!$K$12*Assump_CapStructure!$X$41)</f>
        <v>-0</v>
      </c>
      <c r="J62" s="7">
        <f>-MIN(J61,Model!$K$12*Assump_CapStructure!$X$41)</f>
        <v>-0</v>
      </c>
      <c r="K62" s="7">
        <f>-MIN(K61,Model!$K$12*Assump_CapStructure!$X$41)</f>
        <v>-0</v>
      </c>
      <c r="L62" s="7">
        <f>-MIN(L61,Model!$K$12*Assump_CapStructure!$X$41)</f>
        <v>-0</v>
      </c>
      <c r="M62" s="7">
        <f>-MIN(M61,Model!$K$12*Assump_CapStructure!$X$41)</f>
        <v>-0</v>
      </c>
    </row>
    <row r="63">
      <c r="A63" s="6" t="inlineStr">
        <is>
          <t>Voluntary Redemption (from Model sweep)</t>
        </is>
      </c>
      <c r="F63" s="7">
        <f>Model!F203</f>
        <v>-0</v>
      </c>
      <c r="G63" s="7">
        <f>Model!G203</f>
        <v>-0</v>
      </c>
      <c r="H63" s="7">
        <f>Model!H203</f>
        <v>-0</v>
      </c>
      <c r="I63" s="7">
        <f>Model!I203</f>
        <v>-0</v>
      </c>
      <c r="J63" s="7">
        <f>Model!J203</f>
        <v>-94.2179353005708</v>
      </c>
      <c r="K63" s="7">
        <f>Model!K203</f>
        <v>-5830.70571865469</v>
      </c>
      <c r="L63" s="7">
        <f>Model!L203</f>
        <v>-2934.96406452715</v>
      </c>
      <c r="M63" s="7">
        <f>Model!M203</f>
        <v>-58.6992812905429</v>
      </c>
    </row>
    <row r="64">
      <c r="A64" s="6" t="inlineStr">
        <is>
          <t>PIK Interest (accretes to balance)</t>
        </is>
      </c>
      <c r="B64" s="54">
        <f>Assump_CapStructure!$V$41</f>
        <v>0.02</v>
      </c>
      <c r="F64" s="7">
        <f>F61*Assump_CapStructure!$V$41</f>
        <v>157.38</v>
      </c>
      <c r="G64" s="7">
        <f>G61*Assump_CapStructure!$V$41</f>
        <v>160.5276</v>
      </c>
      <c r="H64" s="7">
        <f>H61*Assump_CapStructure!$V$41</f>
        <v>163.738152</v>
      </c>
      <c r="I64" s="7">
        <f>I61*Assump_CapStructure!$V$41</f>
        <v>167.01291504</v>
      </c>
      <c r="J64" s="7">
        <f>J61*Assump_CapStructure!$V$41</f>
        <v>170.3531733408</v>
      </c>
      <c r="K64" s="7">
        <f>K61*Assump_CapStructure!$V$41</f>
        <v>171.875878101605</v>
      </c>
      <c r="L64" s="7">
        <f>L61*Assump_CapStructure!$V$41</f>
        <v>58.6992812905429</v>
      </c>
      <c r="M64" s="7">
        <f>M61*Assump_CapStructure!$V$41</f>
        <v>1.17398562581086</v>
      </c>
    </row>
    <row r="65">
      <c r="A65" s="17" t="inlineStr">
        <is>
          <t>Ending Balance</t>
        </is>
      </c>
      <c r="E65" s="42">
        <f>Model!$K$12</f>
        <v>7869</v>
      </c>
      <c r="F65" s="18">
        <f>SUM(F61:F64)</f>
        <v>8026.38</v>
      </c>
      <c r="G65" s="18">
        <f>SUM(G61:G64)</f>
        <v>8186.9076</v>
      </c>
      <c r="H65" s="18">
        <f>SUM(H61:H64)</f>
        <v>8350.645752</v>
      </c>
      <c r="I65" s="18">
        <f>SUM(I61:I64)</f>
        <v>8517.65866704</v>
      </c>
      <c r="J65" s="18">
        <f>SUM(J61:J64)</f>
        <v>8593.79390508023</v>
      </c>
      <c r="K65" s="18">
        <f>SUM(K61:K64)</f>
        <v>2934.96406452715</v>
      </c>
      <c r="L65" s="18">
        <f>SUM(L61:L64)</f>
        <v>58.6992812905429</v>
      </c>
      <c r="M65" s="18">
        <f>SUM(M61:M64)</f>
        <v>1.17398562581086</v>
      </c>
    </row>
    <row r="66">
      <c r="A66" s="6" t="inlineStr">
        <is>
          <t>Cash Interest</t>
        </is>
      </c>
      <c r="B66" s="54">
        <f>Assump_CapStructure!$U$41</f>
        <v>0.11</v>
      </c>
      <c r="F66" s="7">
        <f>F61*(IF(Assump_CapStructure!$W$41="L +",Assump_CapStructure!$F$25,0)+Assump_CapStructure!$U$41)</f>
        <v>865.59</v>
      </c>
      <c r="G66" s="7">
        <f>G61*(IF(Assump_CapStructure!$W$41="L +",Assump_CapStructure!$F$25,0)+Assump_CapStructure!$U$41)</f>
        <v>882.9018</v>
      </c>
      <c r="H66" s="7">
        <f>H61*(IF(Assump_CapStructure!$W$41="L +",Assump_CapStructure!$F$25,0)+Assump_CapStructure!$U$41)</f>
        <v>900.559836</v>
      </c>
      <c r="I66" s="7">
        <f>I61*(IF(Assump_CapStructure!$W$41="L +",Assump_CapStructure!$F$25,0)+Assump_CapStructure!$U$41)</f>
        <v>918.57103272</v>
      </c>
      <c r="J66" s="7">
        <f>J61*(IF(Assump_CapStructure!$W$41="L +",Assump_CapStructure!$F$25,0)+Assump_CapStructure!$U$41)</f>
        <v>936.9424533744</v>
      </c>
      <c r="K66" s="7">
        <f>K61*(IF(Assump_CapStructure!$W$41="L +",Assump_CapStructure!$F$25,0)+Assump_CapStructure!$U$41)</f>
        <v>945.317329558825</v>
      </c>
      <c r="L66" s="7">
        <f>L61*(IF(Assump_CapStructure!$W$41="L +",Assump_CapStructure!$F$25,0)+Assump_CapStructure!$U$41)</f>
        <v>322.846047097986</v>
      </c>
      <c r="M66" s="7">
        <f>M61*(IF(Assump_CapStructure!$W$41="L +",Assump_CapStructure!$F$25,0)+Assump_CapStructure!$U$41)</f>
        <v>6.45692094195972</v>
      </c>
    </row>
    <row r="67">
      <c r="A67" s="6" t="inlineStr">
        <is>
          <t>PIK Interest</t>
        </is>
      </c>
      <c r="F67" s="24">
        <f>F64</f>
        <v>157.38</v>
      </c>
      <c r="G67" s="24">
        <f>G64</f>
        <v>160.5276</v>
      </c>
      <c r="H67" s="24">
        <f>H64</f>
        <v>163.738152</v>
      </c>
      <c r="I67" s="24">
        <f>I64</f>
        <v>167.01291504</v>
      </c>
      <c r="J67" s="24">
        <f>J64</f>
        <v>170.3531733408</v>
      </c>
      <c r="K67" s="24">
        <f>K64</f>
        <v>171.875878101605</v>
      </c>
      <c r="L67" s="24">
        <f>L64</f>
        <v>58.6992812905429</v>
      </c>
      <c r="M67" s="24">
        <f>M64</f>
        <v>1.17398562581086</v>
      </c>
    </row>
    <row r="68">
      <c r="A68" s="17" t="inlineStr">
        <is>
          <t>Total Interest</t>
        </is>
      </c>
      <c r="F68" s="18">
        <f>F66+F67</f>
        <v>1022.97</v>
      </c>
      <c r="G68" s="18">
        <f>G66+G67</f>
        <v>1043.4294</v>
      </c>
      <c r="H68" s="18">
        <f>H66+H67</f>
        <v>1064.297988</v>
      </c>
      <c r="I68" s="18">
        <f>I66+I67</f>
        <v>1085.58394776</v>
      </c>
      <c r="J68" s="18">
        <f>J66+J67</f>
        <v>1107.2956267152</v>
      </c>
      <c r="K68" s="18">
        <f>K66+K67</f>
        <v>1117.19320766043</v>
      </c>
      <c r="L68" s="18">
        <f>L66+L67</f>
        <v>381.545328388529</v>
      </c>
      <c r="M68" s="18">
        <f>M66+M67</f>
        <v>7.63090656777058</v>
      </c>
    </row>
    <row r="70">
      <c r="A70" s="35" t="inlineStr">
        <is>
          <t>SELLER NOTE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</row>
    <row r="71">
      <c r="A71" s="6" t="inlineStr">
        <is>
          <t>Beginning Balance</t>
        </is>
      </c>
      <c r="F71" s="7">
        <f>Model!$K$13</f>
        <v>4000</v>
      </c>
      <c r="G71" s="24">
        <f>F75</f>
        <v>4240</v>
      </c>
      <c r="H71" s="24">
        <f>G75</f>
        <v>4494.4</v>
      </c>
      <c r="I71" s="24">
        <f>H75</f>
        <v>4764.064</v>
      </c>
      <c r="J71" s="24">
        <f>I75</f>
        <v>5049.90784</v>
      </c>
      <c r="K71" s="24">
        <f>J75</f>
        <v>5352.9023104</v>
      </c>
      <c r="L71" s="24">
        <f>K75</f>
        <v>5674.076449024</v>
      </c>
      <c r="M71" s="24">
        <f>L75</f>
        <v>1826.84535567706</v>
      </c>
    </row>
    <row r="72">
      <c r="A72" s="6" t="inlineStr">
        <is>
          <t>Mandatory Redemption</t>
        </is>
      </c>
      <c r="F72" s="7">
        <f>-MIN(F71,Model!$K$13*Assump_CapStructure!$X$42)</f>
        <v>-0</v>
      </c>
      <c r="G72" s="7">
        <f>-MIN(G71,Model!$K$13*Assump_CapStructure!$X$42)</f>
        <v>-0</v>
      </c>
      <c r="H72" s="7">
        <f>-MIN(H71,Model!$K$13*Assump_CapStructure!$X$42)</f>
        <v>-0</v>
      </c>
      <c r="I72" s="7">
        <f>-MIN(I71,Model!$K$13*Assump_CapStructure!$X$42)</f>
        <v>-0</v>
      </c>
      <c r="J72" s="7">
        <f>-MIN(J71,Model!$K$13*Assump_CapStructure!$X$42)</f>
        <v>-0</v>
      </c>
      <c r="K72" s="7">
        <f>-MIN(K71,Model!$K$13*Assump_CapStructure!$X$42)</f>
        <v>-0</v>
      </c>
      <c r="L72" s="7">
        <f>-MIN(L71,Model!$K$13*Assump_CapStructure!$X$42)</f>
        <v>-0</v>
      </c>
      <c r="M72" s="7">
        <f>-MIN(M71,Model!$K$13*Assump_CapStructure!$X$42)</f>
        <v>-0</v>
      </c>
    </row>
    <row r="73">
      <c r="A73" s="6" t="inlineStr">
        <is>
          <t>Voluntary Redemption (from Model sweep)</t>
        </is>
      </c>
      <c r="F73" s="7">
        <f>Model!F204</f>
        <v>-0</v>
      </c>
      <c r="G73" s="7">
        <f>Model!G204</f>
        <v>-0</v>
      </c>
      <c r="H73" s="7">
        <f>Model!H204</f>
        <v>-0</v>
      </c>
      <c r="I73" s="7">
        <f>Model!I204</f>
        <v>-0</v>
      </c>
      <c r="J73" s="7">
        <f>Model!J204</f>
        <v>-0</v>
      </c>
      <c r="K73" s="7">
        <f>Model!K204</f>
        <v>-0</v>
      </c>
      <c r="L73" s="7">
        <f>Model!L204</f>
        <v>-4187.67568028838</v>
      </c>
      <c r="M73" s="7">
        <f>Model!M204</f>
        <v>-1826.84535567706</v>
      </c>
    </row>
    <row r="74">
      <c r="A74" s="6" t="inlineStr">
        <is>
          <t>PIK Interest (accretes to balance)</t>
        </is>
      </c>
      <c r="B74" s="54">
        <f>Assump_CapStructure!$V$42</f>
        <v>0.06</v>
      </c>
      <c r="F74" s="7">
        <f>F71*Assump_CapStructure!$V$42</f>
        <v>240</v>
      </c>
      <c r="G74" s="7">
        <f>G71*Assump_CapStructure!$V$42</f>
        <v>254.4</v>
      </c>
      <c r="H74" s="7">
        <f>H71*Assump_CapStructure!$V$42</f>
        <v>269.664</v>
      </c>
      <c r="I74" s="7">
        <f>I71*Assump_CapStructure!$V$42</f>
        <v>285.84384</v>
      </c>
      <c r="J74" s="7">
        <f>J71*Assump_CapStructure!$V$42</f>
        <v>302.9944704</v>
      </c>
      <c r="K74" s="7">
        <f>K71*Assump_CapStructure!$V$42</f>
        <v>321.174138624</v>
      </c>
      <c r="L74" s="7">
        <f>L71*Assump_CapStructure!$V$42</f>
        <v>340.44458694144</v>
      </c>
      <c r="M74" s="7">
        <f>M71*Assump_CapStructure!$V$42</f>
        <v>109.610721340624</v>
      </c>
    </row>
    <row r="75">
      <c r="A75" s="17" t="inlineStr">
        <is>
          <t>Ending Balance</t>
        </is>
      </c>
      <c r="E75" s="42">
        <f>Model!$K$13</f>
        <v>4000</v>
      </c>
      <c r="F75" s="18">
        <f>SUM(F71:F74)</f>
        <v>4240</v>
      </c>
      <c r="G75" s="18">
        <f>SUM(G71:G74)</f>
        <v>4494.4</v>
      </c>
      <c r="H75" s="18">
        <f>SUM(H71:H74)</f>
        <v>4764.064</v>
      </c>
      <c r="I75" s="18">
        <f>SUM(I71:I74)</f>
        <v>5049.90784</v>
      </c>
      <c r="J75" s="18">
        <f>SUM(J71:J74)</f>
        <v>5352.9023104</v>
      </c>
      <c r="K75" s="18">
        <f>SUM(K71:K74)</f>
        <v>5674.076449024</v>
      </c>
      <c r="L75" s="18">
        <f>SUM(L71:L74)</f>
        <v>1826.84535567706</v>
      </c>
      <c r="M75" s="18">
        <f>SUM(M71:M74)</f>
        <v>109.610721340624</v>
      </c>
    </row>
    <row r="76">
      <c r="A76" s="6" t="inlineStr">
        <is>
          <t>Cash Interest</t>
        </is>
      </c>
      <c r="B76" s="54">
        <f>Assump_CapStructure!$U$42</f>
        <v>0</v>
      </c>
      <c r="F76" s="7">
        <f>F71*(IF(Assump_CapStructure!$W$42="L +",Assump_CapStructure!$F$25,0)+Assump_CapStructure!$U$42)</f>
        <v>0</v>
      </c>
      <c r="G76" s="7">
        <f>G71*(IF(Assump_CapStructure!$W$42="L +",Assump_CapStructure!$F$25,0)+Assump_CapStructure!$U$42)</f>
        <v>0</v>
      </c>
      <c r="H76" s="7">
        <f>H71*(IF(Assump_CapStructure!$W$42="L +",Assump_CapStructure!$F$25,0)+Assump_CapStructure!$U$42)</f>
        <v>0</v>
      </c>
      <c r="I76" s="7">
        <f>I71*(IF(Assump_CapStructure!$W$42="L +",Assump_CapStructure!$F$25,0)+Assump_CapStructure!$U$42)</f>
        <v>0</v>
      </c>
      <c r="J76" s="7">
        <f>J71*(IF(Assump_CapStructure!$W$42="L +",Assump_CapStructure!$F$25,0)+Assump_CapStructure!$U$42)</f>
        <v>0</v>
      </c>
      <c r="K76" s="7">
        <f>K71*(IF(Assump_CapStructure!$W$42="L +",Assump_CapStructure!$F$25,0)+Assump_CapStructure!$U$42)</f>
        <v>0</v>
      </c>
      <c r="L76" s="7">
        <f>L71*(IF(Assump_CapStructure!$W$42="L +",Assump_CapStructure!$F$25,0)+Assump_CapStructure!$U$42)</f>
        <v>0</v>
      </c>
      <c r="M76" s="7">
        <f>M71*(IF(Assump_CapStructure!$W$42="L +",Assump_CapStructure!$F$25,0)+Assump_CapStructure!$U$42)</f>
        <v>0</v>
      </c>
    </row>
    <row r="77">
      <c r="A77" s="6" t="inlineStr">
        <is>
          <t>PIK Interest</t>
        </is>
      </c>
      <c r="F77" s="24">
        <f>F74</f>
        <v>240</v>
      </c>
      <c r="G77" s="24">
        <f>G74</f>
        <v>254.4</v>
      </c>
      <c r="H77" s="24">
        <f>H74</f>
        <v>269.664</v>
      </c>
      <c r="I77" s="24">
        <f>I74</f>
        <v>285.84384</v>
      </c>
      <c r="J77" s="24">
        <f>J74</f>
        <v>302.9944704</v>
      </c>
      <c r="K77" s="24">
        <f>K74</f>
        <v>321.174138624</v>
      </c>
      <c r="L77" s="24">
        <f>L74</f>
        <v>340.44458694144</v>
      </c>
      <c r="M77" s="24">
        <f>M74</f>
        <v>109.610721340624</v>
      </c>
    </row>
    <row r="78">
      <c r="A78" s="17" t="inlineStr">
        <is>
          <t>Total Interest</t>
        </is>
      </c>
      <c r="F78" s="18">
        <f>F76+F77</f>
        <v>240</v>
      </c>
      <c r="G78" s="18">
        <f>G76+G77</f>
        <v>254.4</v>
      </c>
      <c r="H78" s="18">
        <f>H76+H77</f>
        <v>269.664</v>
      </c>
      <c r="I78" s="18">
        <f>I76+I77</f>
        <v>285.84384</v>
      </c>
      <c r="J78" s="18">
        <f>J76+J77</f>
        <v>302.9944704</v>
      </c>
      <c r="K78" s="18">
        <f>K76+K77</f>
        <v>321.174138624</v>
      </c>
      <c r="L78" s="18">
        <f>L76+L77</f>
        <v>340.44458694144</v>
      </c>
      <c r="M78" s="18">
        <f>M76+M77</f>
        <v>109.610721340624</v>
      </c>
    </row>
    <row r="80">
      <c r="A80" s="35" t="inlineStr">
        <is>
          <t>SUBORDINATED NOTES</t>
        </is>
      </c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</row>
    <row r="81">
      <c r="A81" s="6" t="inlineStr">
        <is>
          <t>Beginning Balance</t>
        </is>
      </c>
      <c r="F81" s="7">
        <f>Model!$K$14</f>
        <v>0</v>
      </c>
      <c r="G81" s="24">
        <f>F85</f>
        <v>0</v>
      </c>
      <c r="H81" s="24">
        <f>G85</f>
        <v>0</v>
      </c>
      <c r="I81" s="24">
        <f>H85</f>
        <v>0</v>
      </c>
      <c r="J81" s="24">
        <f>I85</f>
        <v>0</v>
      </c>
      <c r="K81" s="24">
        <f>J85</f>
        <v>0</v>
      </c>
      <c r="L81" s="24">
        <f>K85</f>
        <v>0</v>
      </c>
      <c r="M81" s="24">
        <f>L85</f>
        <v>0</v>
      </c>
    </row>
    <row r="82">
      <c r="A82" s="6" t="inlineStr">
        <is>
          <t>Mandatory Redemption</t>
        </is>
      </c>
      <c r="F82" s="7">
        <f>-MIN(F81,Model!$K$14*Assump_CapStructure!$X$43)</f>
        <v>-0</v>
      </c>
      <c r="G82" s="7">
        <f>-MIN(G81,Model!$K$14*Assump_CapStructure!$X$43)</f>
        <v>-0</v>
      </c>
      <c r="H82" s="7">
        <f>-MIN(H81,Model!$K$14*Assump_CapStructure!$X$43)</f>
        <v>-0</v>
      </c>
      <c r="I82" s="7">
        <f>-MIN(I81,Model!$K$14*Assump_CapStructure!$X$43)</f>
        <v>-0</v>
      </c>
      <c r="J82" s="7">
        <f>-MIN(J81,Model!$K$14*Assump_CapStructure!$X$43)</f>
        <v>-0</v>
      </c>
      <c r="K82" s="7">
        <f>-MIN(K81,Model!$K$14*Assump_CapStructure!$X$43)</f>
        <v>-0</v>
      </c>
      <c r="L82" s="7">
        <f>-MIN(L81,Model!$K$14*Assump_CapStructure!$X$43)</f>
        <v>-0</v>
      </c>
      <c r="M82" s="7">
        <f>-MIN(M81,Model!$K$14*Assump_CapStructure!$X$43)</f>
        <v>-0</v>
      </c>
    </row>
    <row r="83">
      <c r="A83" s="6" t="inlineStr">
        <is>
          <t>Voluntary Redemption (from Model sweep)</t>
        </is>
      </c>
      <c r="F83" s="7">
        <f>Model!F205</f>
        <v>0</v>
      </c>
      <c r="G83" s="7">
        <f>Model!G205</f>
        <v>0</v>
      </c>
      <c r="H83" s="7">
        <f>Model!H205</f>
        <v>0</v>
      </c>
      <c r="I83" s="7">
        <f>Model!I205</f>
        <v>0</v>
      </c>
      <c r="J83" s="7">
        <f>Model!J205</f>
        <v>0</v>
      </c>
      <c r="K83" s="7">
        <f>Model!K205</f>
        <v>0</v>
      </c>
      <c r="L83" s="7">
        <f>Model!L205</f>
        <v>0</v>
      </c>
      <c r="M83" s="7">
        <f>Model!M205</f>
        <v>0</v>
      </c>
    </row>
    <row r="84">
      <c r="A84" s="6" t="inlineStr">
        <is>
          <t>PIK Interest (accretes to balance)</t>
        </is>
      </c>
      <c r="B84" s="54">
        <f>Assump_CapStructure!$V$43</f>
        <v>0.03</v>
      </c>
      <c r="F84" s="7">
        <f>F81*Assump_CapStructure!$V$43</f>
        <v>0</v>
      </c>
      <c r="G84" s="7">
        <f>G81*Assump_CapStructure!$V$43</f>
        <v>0</v>
      </c>
      <c r="H84" s="7">
        <f>H81*Assump_CapStructure!$V$43</f>
        <v>0</v>
      </c>
      <c r="I84" s="7">
        <f>I81*Assump_CapStructure!$V$43</f>
        <v>0</v>
      </c>
      <c r="J84" s="7">
        <f>J81*Assump_CapStructure!$V$43</f>
        <v>0</v>
      </c>
      <c r="K84" s="7">
        <f>K81*Assump_CapStructure!$V$43</f>
        <v>0</v>
      </c>
      <c r="L84" s="7">
        <f>L81*Assump_CapStructure!$V$43</f>
        <v>0</v>
      </c>
      <c r="M84" s="7">
        <f>M81*Assump_CapStructure!$V$43</f>
        <v>0</v>
      </c>
    </row>
    <row r="85">
      <c r="A85" s="17" t="inlineStr">
        <is>
          <t>Ending Balance</t>
        </is>
      </c>
      <c r="E85" s="42">
        <f>Model!$K$14</f>
        <v>0</v>
      </c>
      <c r="F85" s="18">
        <f>SUM(F81:F84)</f>
        <v>0</v>
      </c>
      <c r="G85" s="18">
        <f>SUM(G81:G84)</f>
        <v>0</v>
      </c>
      <c r="H85" s="18">
        <f>SUM(H81:H84)</f>
        <v>0</v>
      </c>
      <c r="I85" s="18">
        <f>SUM(I81:I84)</f>
        <v>0</v>
      </c>
      <c r="J85" s="18">
        <f>SUM(J81:J84)</f>
        <v>0</v>
      </c>
      <c r="K85" s="18">
        <f>SUM(K81:K84)</f>
        <v>0</v>
      </c>
      <c r="L85" s="18">
        <f>SUM(L81:L84)</f>
        <v>0</v>
      </c>
      <c r="M85" s="18">
        <f>SUM(M81:M84)</f>
        <v>0</v>
      </c>
    </row>
    <row r="86">
      <c r="A86" s="6" t="inlineStr">
        <is>
          <t>Cash Interest</t>
        </is>
      </c>
      <c r="B86" s="54">
        <f>Assump_CapStructure!$U$43</f>
        <v>0.1</v>
      </c>
      <c r="F86" s="7">
        <f>F81*(IF(Assump_CapStructure!$W$43="L +",Assump_CapStructure!$F$25,0)+Assump_CapStructure!$U$43)</f>
        <v>0</v>
      </c>
      <c r="G86" s="7">
        <f>G81*(IF(Assump_CapStructure!$W$43="L +",Assump_CapStructure!$F$25,0)+Assump_CapStructure!$U$43)</f>
        <v>0</v>
      </c>
      <c r="H86" s="7">
        <f>H81*(IF(Assump_CapStructure!$W$43="L +",Assump_CapStructure!$F$25,0)+Assump_CapStructure!$U$43)</f>
        <v>0</v>
      </c>
      <c r="I86" s="7">
        <f>I81*(IF(Assump_CapStructure!$W$43="L +",Assump_CapStructure!$F$25,0)+Assump_CapStructure!$U$43)</f>
        <v>0</v>
      </c>
      <c r="J86" s="7">
        <f>J81*(IF(Assump_CapStructure!$W$43="L +",Assump_CapStructure!$F$25,0)+Assump_CapStructure!$U$43)</f>
        <v>0</v>
      </c>
      <c r="K86" s="7">
        <f>K81*(IF(Assump_CapStructure!$W$43="L +",Assump_CapStructure!$F$25,0)+Assump_CapStructure!$U$43)</f>
        <v>0</v>
      </c>
      <c r="L86" s="7">
        <f>L81*(IF(Assump_CapStructure!$W$43="L +",Assump_CapStructure!$F$25,0)+Assump_CapStructure!$U$43)</f>
        <v>0</v>
      </c>
      <c r="M86" s="7">
        <f>M81*(IF(Assump_CapStructure!$W$43="L +",Assump_CapStructure!$F$25,0)+Assump_CapStructure!$U$43)</f>
        <v>0</v>
      </c>
    </row>
    <row r="87">
      <c r="A87" s="6" t="inlineStr">
        <is>
          <t>PIK Interest</t>
        </is>
      </c>
      <c r="F87" s="24">
        <f>F84</f>
        <v>0</v>
      </c>
      <c r="G87" s="24">
        <f>G84</f>
        <v>0</v>
      </c>
      <c r="H87" s="24">
        <f>H84</f>
        <v>0</v>
      </c>
      <c r="I87" s="24">
        <f>I84</f>
        <v>0</v>
      </c>
      <c r="J87" s="24">
        <f>J84</f>
        <v>0</v>
      </c>
      <c r="K87" s="24">
        <f>K84</f>
        <v>0</v>
      </c>
      <c r="L87" s="24">
        <f>L84</f>
        <v>0</v>
      </c>
      <c r="M87" s="24">
        <f>M84</f>
        <v>0</v>
      </c>
    </row>
    <row r="88">
      <c r="A88" s="17" t="inlineStr">
        <is>
          <t>Total Interest</t>
        </is>
      </c>
      <c r="F88" s="18">
        <f>F86+F87</f>
        <v>0</v>
      </c>
      <c r="G88" s="18">
        <f>G86+G87</f>
        <v>0</v>
      </c>
      <c r="H88" s="18">
        <f>H86+H87</f>
        <v>0</v>
      </c>
      <c r="I88" s="18">
        <f>I86+I87</f>
        <v>0</v>
      </c>
      <c r="J88" s="18">
        <f>J86+J87</f>
        <v>0</v>
      </c>
      <c r="K88" s="18">
        <f>K86+K87</f>
        <v>0</v>
      </c>
      <c r="L88" s="18">
        <f>L86+L87</f>
        <v>0</v>
      </c>
      <c r="M88" s="18">
        <f>M86+M87</f>
        <v>0</v>
      </c>
    </row>
    <row r="90">
      <c r="A90" s="35" t="inlineStr">
        <is>
          <t>OTHER DEBT</t>
        </is>
      </c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</row>
    <row r="91">
      <c r="A91" s="6" t="inlineStr">
        <is>
          <t>Beginning Balance</t>
        </is>
      </c>
      <c r="F91" s="7">
        <f>Model!$K$15</f>
        <v>0</v>
      </c>
      <c r="G91" s="24">
        <f>F95</f>
        <v>0</v>
      </c>
      <c r="H91" s="24">
        <f>G95</f>
        <v>0</v>
      </c>
      <c r="I91" s="24">
        <f>H95</f>
        <v>0</v>
      </c>
      <c r="J91" s="24">
        <f>I95</f>
        <v>0</v>
      </c>
      <c r="K91" s="24">
        <f>J95</f>
        <v>0</v>
      </c>
      <c r="L91" s="24">
        <f>K95</f>
        <v>0</v>
      </c>
      <c r="M91" s="24">
        <f>L95</f>
        <v>0</v>
      </c>
    </row>
    <row r="92">
      <c r="A92" s="6" t="inlineStr">
        <is>
          <t>Mandatory Redemption</t>
        </is>
      </c>
      <c r="F92" s="7">
        <f>-MIN(F91,Model!$K$15*Assump_CapStructure!$X$44)</f>
        <v>-0</v>
      </c>
      <c r="G92" s="7">
        <f>-MIN(G91,Model!$K$15*Assump_CapStructure!$X$44)</f>
        <v>-0</v>
      </c>
      <c r="H92" s="7">
        <f>-MIN(H91,Model!$K$15*Assump_CapStructure!$X$44)</f>
        <v>-0</v>
      </c>
      <c r="I92" s="7">
        <f>-MIN(I91,Model!$K$15*Assump_CapStructure!$X$44)</f>
        <v>-0</v>
      </c>
      <c r="J92" s="7">
        <f>-MIN(J91,Model!$K$15*Assump_CapStructure!$X$44)</f>
        <v>-0</v>
      </c>
      <c r="K92" s="7">
        <f>-MIN(K91,Model!$K$15*Assump_CapStructure!$X$44)</f>
        <v>-0</v>
      </c>
      <c r="L92" s="7">
        <f>-MIN(L91,Model!$K$15*Assump_CapStructure!$X$44)</f>
        <v>-0</v>
      </c>
      <c r="M92" s="7">
        <f>-MIN(M91,Model!$K$15*Assump_CapStructure!$X$44)</f>
        <v>-0</v>
      </c>
    </row>
    <row r="93">
      <c r="A93" s="6" t="inlineStr">
        <is>
          <t>Voluntary Redemption (from Model sweep)</t>
        </is>
      </c>
      <c r="F93" s="30" t="n">
        <v>0</v>
      </c>
      <c r="G93" s="30" t="n">
        <v>0</v>
      </c>
      <c r="H93" s="30" t="n">
        <v>0</v>
      </c>
      <c r="I93" s="30" t="n">
        <v>0</v>
      </c>
      <c r="J93" s="30" t="n">
        <v>0</v>
      </c>
      <c r="K93" s="30" t="n">
        <v>0</v>
      </c>
      <c r="L93" s="30" t="n">
        <v>0</v>
      </c>
      <c r="M93" s="30" t="n">
        <v>0</v>
      </c>
    </row>
    <row r="94">
      <c r="A94" s="6" t="inlineStr">
        <is>
          <t>PIK Interest (accretes to balance)</t>
        </is>
      </c>
      <c r="B94" s="54">
        <f>Assump_CapStructure!$V$44</f>
        <v>0</v>
      </c>
      <c r="F94" s="7">
        <f>F91*Assump_CapStructure!$V$44</f>
        <v>0</v>
      </c>
      <c r="G94" s="7">
        <f>G91*Assump_CapStructure!$V$44</f>
        <v>0</v>
      </c>
      <c r="H94" s="7">
        <f>H91*Assump_CapStructure!$V$44</f>
        <v>0</v>
      </c>
      <c r="I94" s="7">
        <f>I91*Assump_CapStructure!$V$44</f>
        <v>0</v>
      </c>
      <c r="J94" s="7">
        <f>J91*Assump_CapStructure!$V$44</f>
        <v>0</v>
      </c>
      <c r="K94" s="7">
        <f>K91*Assump_CapStructure!$V$44</f>
        <v>0</v>
      </c>
      <c r="L94" s="7">
        <f>L91*Assump_CapStructure!$V$44</f>
        <v>0</v>
      </c>
      <c r="M94" s="7">
        <f>M91*Assump_CapStructure!$V$44</f>
        <v>0</v>
      </c>
    </row>
    <row r="95">
      <c r="A95" s="17" t="inlineStr">
        <is>
          <t>Ending Balance</t>
        </is>
      </c>
      <c r="E95" s="42">
        <f>Model!$K$15</f>
        <v>0</v>
      </c>
      <c r="F95" s="18">
        <f>SUM(F91:F94)</f>
        <v>0</v>
      </c>
      <c r="G95" s="18">
        <f>SUM(G91:G94)</f>
        <v>0</v>
      </c>
      <c r="H95" s="18">
        <f>SUM(H91:H94)</f>
        <v>0</v>
      </c>
      <c r="I95" s="18">
        <f>SUM(I91:I94)</f>
        <v>0</v>
      </c>
      <c r="J95" s="18">
        <f>SUM(J91:J94)</f>
        <v>0</v>
      </c>
      <c r="K95" s="18">
        <f>SUM(K91:K94)</f>
        <v>0</v>
      </c>
      <c r="L95" s="18">
        <f>SUM(L91:L94)</f>
        <v>0</v>
      </c>
      <c r="M95" s="18">
        <f>SUM(M91:M94)</f>
        <v>0</v>
      </c>
    </row>
    <row r="96">
      <c r="A96" s="6" t="inlineStr">
        <is>
          <t>Cash Interest</t>
        </is>
      </c>
      <c r="B96" s="54">
        <f>Assump_CapStructure!$U$44</f>
        <v>0.08</v>
      </c>
      <c r="F96" s="7">
        <f>F91*(IF(Assump_CapStructure!$W$44="L +",Assump_CapStructure!$F$25,0)+Assump_CapStructure!$U$44)</f>
        <v>0</v>
      </c>
      <c r="G96" s="7">
        <f>G91*(IF(Assump_CapStructure!$W$44="L +",Assump_CapStructure!$F$25,0)+Assump_CapStructure!$U$44)</f>
        <v>0</v>
      </c>
      <c r="H96" s="7">
        <f>H91*(IF(Assump_CapStructure!$W$44="L +",Assump_CapStructure!$F$25,0)+Assump_CapStructure!$U$44)</f>
        <v>0</v>
      </c>
      <c r="I96" s="7">
        <f>I91*(IF(Assump_CapStructure!$W$44="L +",Assump_CapStructure!$F$25,0)+Assump_CapStructure!$U$44)</f>
        <v>0</v>
      </c>
      <c r="J96" s="7">
        <f>J91*(IF(Assump_CapStructure!$W$44="L +",Assump_CapStructure!$F$25,0)+Assump_CapStructure!$U$44)</f>
        <v>0</v>
      </c>
      <c r="K96" s="7">
        <f>K91*(IF(Assump_CapStructure!$W$44="L +",Assump_CapStructure!$F$25,0)+Assump_CapStructure!$U$44)</f>
        <v>0</v>
      </c>
      <c r="L96" s="7">
        <f>L91*(IF(Assump_CapStructure!$W$44="L +",Assump_CapStructure!$F$25,0)+Assump_CapStructure!$U$44)</f>
        <v>0</v>
      </c>
      <c r="M96" s="7">
        <f>M91*(IF(Assump_CapStructure!$W$44="L +",Assump_CapStructure!$F$25,0)+Assump_CapStructure!$U$44)</f>
        <v>0</v>
      </c>
    </row>
    <row r="97">
      <c r="A97" s="6" t="inlineStr">
        <is>
          <t>PIK Interest</t>
        </is>
      </c>
      <c r="F97" s="24">
        <f>F94</f>
        <v>0</v>
      </c>
      <c r="G97" s="24">
        <f>G94</f>
        <v>0</v>
      </c>
      <c r="H97" s="24">
        <f>H94</f>
        <v>0</v>
      </c>
      <c r="I97" s="24">
        <f>I94</f>
        <v>0</v>
      </c>
      <c r="J97" s="24">
        <f>J94</f>
        <v>0</v>
      </c>
      <c r="K97" s="24">
        <f>K94</f>
        <v>0</v>
      </c>
      <c r="L97" s="24">
        <f>L94</f>
        <v>0</v>
      </c>
      <c r="M97" s="24">
        <f>M94</f>
        <v>0</v>
      </c>
    </row>
    <row r="98">
      <c r="A98" s="17" t="inlineStr">
        <is>
          <t>Total Interest</t>
        </is>
      </c>
      <c r="F98" s="18">
        <f>F96+F97</f>
        <v>0</v>
      </c>
      <c r="G98" s="18">
        <f>G96+G97</f>
        <v>0</v>
      </c>
      <c r="H98" s="18">
        <f>H96+H97</f>
        <v>0</v>
      </c>
      <c r="I98" s="18">
        <f>I96+I97</f>
        <v>0</v>
      </c>
      <c r="J98" s="18">
        <f>J96+J97</f>
        <v>0</v>
      </c>
      <c r="K98" s="18">
        <f>K96+K97</f>
        <v>0</v>
      </c>
      <c r="L98" s="18">
        <f>L96+L97</f>
        <v>0</v>
      </c>
      <c r="M98" s="18">
        <f>M96+M97</f>
        <v>0</v>
      </c>
    </row>
    <row r="100">
      <c r="A100" s="35" t="inlineStr">
        <is>
          <t>PREFERRED EQUITY ACCRETION (MEMO - NOT DEBT)</t>
        </is>
      </c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</row>
    <row r="101">
      <c r="A101" s="6" t="inlineStr">
        <is>
          <t>Beginning Balance</t>
        </is>
      </c>
      <c r="F101" s="7">
        <f>Model!$E$332</f>
        <v>20796.3</v>
      </c>
      <c r="G101" s="24">
        <f>F103</f>
        <v>22460.004</v>
      </c>
      <c r="H101" s="24">
        <f>G103</f>
        <v>24256.80432</v>
      </c>
      <c r="I101" s="24">
        <f>H103</f>
        <v>26197.3486656</v>
      </c>
      <c r="J101" s="24">
        <f>I103</f>
        <v>28293.136558848</v>
      </c>
      <c r="K101" s="24">
        <f>J103</f>
        <v>30556.5874835558</v>
      </c>
      <c r="L101" s="24">
        <f>K103</f>
        <v>33001.1144822403</v>
      </c>
      <c r="M101" s="24">
        <f>L103</f>
        <v>35641.2036408195</v>
      </c>
    </row>
    <row r="102">
      <c r="A102" s="6" t="inlineStr">
        <is>
          <t>PIK / Accretion</t>
        </is>
      </c>
      <c r="F102" s="7">
        <f>F101*Assump_CapStructure!$F$28</f>
        <v>1663.704</v>
      </c>
      <c r="G102" s="7">
        <f>G101*Assump_CapStructure!$F$28</f>
        <v>1796.80032</v>
      </c>
      <c r="H102" s="7">
        <f>H101*Assump_CapStructure!$F$28</f>
        <v>1940.5443456</v>
      </c>
      <c r="I102" s="7">
        <f>I101*Assump_CapStructure!$F$28</f>
        <v>2095.787893248</v>
      </c>
      <c r="J102" s="7">
        <f>J101*Assump_CapStructure!$F$28</f>
        <v>2263.45092470784</v>
      </c>
      <c r="K102" s="7">
        <f>K101*Assump_CapStructure!$F$28</f>
        <v>2444.52699868447</v>
      </c>
      <c r="L102" s="7">
        <f>L101*Assump_CapStructure!$F$28</f>
        <v>2640.08915857922</v>
      </c>
      <c r="M102" s="7">
        <f>M101*Assump_CapStructure!$F$28</f>
        <v>2851.29629126556</v>
      </c>
    </row>
    <row r="103">
      <c r="A103" s="17" t="inlineStr">
        <is>
          <t>Ending Accreted Balance</t>
        </is>
      </c>
      <c r="F103" s="18">
        <f>F101+F102</f>
        <v>22460.004</v>
      </c>
      <c r="G103" s="18">
        <f>G101+G102</f>
        <v>24256.80432</v>
      </c>
      <c r="H103" s="18">
        <f>H101+H102</f>
        <v>26197.3486656</v>
      </c>
      <c r="I103" s="18">
        <f>I101+I102</f>
        <v>28293.136558848</v>
      </c>
      <c r="J103" s="18">
        <f>J101+J102</f>
        <v>30556.5874835558</v>
      </c>
      <c r="K103" s="18">
        <f>K101+K102</f>
        <v>33001.1144822403</v>
      </c>
      <c r="L103" s="18">
        <f>L101+L102</f>
        <v>35641.2036408195</v>
      </c>
      <c r="M103" s="18">
        <f>M101+M102</f>
        <v>38492.4999320851</v>
      </c>
    </row>
    <row r="105">
      <c r="A105" s="35" t="inlineStr">
        <is>
          <t>CASH INTEREST:</t>
        </is>
      </c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</row>
    <row r="106">
      <c r="A106" s="6" t="inlineStr">
        <is>
          <t xml:space="preserve">   Revolver</t>
        </is>
      </c>
      <c r="F106" s="24">
        <f>F13</f>
        <v>0</v>
      </c>
      <c r="G106" s="24">
        <f>G13</f>
        <v>0</v>
      </c>
      <c r="H106" s="24">
        <f>H13</f>
        <v>0</v>
      </c>
      <c r="I106" s="24">
        <f>I13</f>
        <v>0</v>
      </c>
      <c r="J106" s="24">
        <f>J13</f>
        <v>0</v>
      </c>
      <c r="K106" s="24">
        <f>K13</f>
        <v>0</v>
      </c>
      <c r="L106" s="24">
        <f>L13</f>
        <v>0</v>
      </c>
      <c r="M106" s="24">
        <f>M13</f>
        <v>0</v>
      </c>
    </row>
    <row r="107">
      <c r="A107" s="6" t="inlineStr">
        <is>
          <t xml:space="preserve">   Term Loan A</t>
        </is>
      </c>
      <c r="F107" s="24">
        <f>F26</f>
        <v>1770.525</v>
      </c>
      <c r="G107" s="24">
        <f>G26</f>
        <v>1524.60266366479</v>
      </c>
      <c r="H107" s="24">
        <f>H26</f>
        <v>1221.3493423312</v>
      </c>
      <c r="I107" s="24">
        <f>I26</f>
        <v>866.61806693987</v>
      </c>
      <c r="J107" s="24">
        <f>J26</f>
        <v>457.85939326556</v>
      </c>
      <c r="K107" s="24">
        <f>K26</f>
        <v>0</v>
      </c>
      <c r="L107" s="24">
        <f>L26</f>
        <v>0</v>
      </c>
      <c r="M107" s="24">
        <f>M26</f>
        <v>0</v>
      </c>
    </row>
    <row r="108">
      <c r="A108" s="6" t="inlineStr">
        <is>
          <t xml:space="preserve">   Term Loan B</t>
        </is>
      </c>
      <c r="F108" s="24">
        <f>F36</f>
        <v>0</v>
      </c>
      <c r="G108" s="24">
        <f>G36</f>
        <v>0</v>
      </c>
      <c r="H108" s="24">
        <f>H36</f>
        <v>0</v>
      </c>
      <c r="I108" s="24">
        <f>I36</f>
        <v>0</v>
      </c>
      <c r="J108" s="24">
        <f>J36</f>
        <v>0</v>
      </c>
      <c r="K108" s="24">
        <f>K36</f>
        <v>0</v>
      </c>
      <c r="L108" s="24">
        <f>L36</f>
        <v>0</v>
      </c>
      <c r="M108" s="24">
        <f>M36</f>
        <v>0</v>
      </c>
    </row>
    <row r="109">
      <c r="A109" s="6" t="inlineStr">
        <is>
          <t xml:space="preserve">   Second Lien</t>
        </is>
      </c>
      <c r="F109" s="24">
        <f>F46</f>
        <v>0</v>
      </c>
      <c r="G109" s="24">
        <f>G46</f>
        <v>0</v>
      </c>
      <c r="H109" s="24">
        <f>H46</f>
        <v>0</v>
      </c>
      <c r="I109" s="24">
        <f>I46</f>
        <v>0</v>
      </c>
      <c r="J109" s="24">
        <f>J46</f>
        <v>0</v>
      </c>
      <c r="K109" s="24">
        <f>K46</f>
        <v>0</v>
      </c>
      <c r="L109" s="24">
        <f>L46</f>
        <v>0</v>
      </c>
      <c r="M109" s="24">
        <f>M46</f>
        <v>0</v>
      </c>
    </row>
    <row r="110">
      <c r="A110" s="6" t="inlineStr">
        <is>
          <t xml:space="preserve">   Senior Notes</t>
        </is>
      </c>
      <c r="F110" s="24">
        <f>F56</f>
        <v>0</v>
      </c>
      <c r="G110" s="24">
        <f>G56</f>
        <v>0</v>
      </c>
      <c r="H110" s="24">
        <f>H56</f>
        <v>0</v>
      </c>
      <c r="I110" s="24">
        <f>I56</f>
        <v>0</v>
      </c>
      <c r="J110" s="24">
        <f>J56</f>
        <v>0</v>
      </c>
      <c r="K110" s="24">
        <f>K56</f>
        <v>0</v>
      </c>
      <c r="L110" s="24">
        <f>L56</f>
        <v>0</v>
      </c>
      <c r="M110" s="24">
        <f>M56</f>
        <v>0</v>
      </c>
    </row>
    <row r="111">
      <c r="A111" s="6" t="inlineStr">
        <is>
          <t xml:space="preserve">   Mezzanine Debt</t>
        </is>
      </c>
      <c r="F111" s="24">
        <f>F66</f>
        <v>865.59</v>
      </c>
      <c r="G111" s="24">
        <f>G66</f>
        <v>882.9018</v>
      </c>
      <c r="H111" s="24">
        <f>H66</f>
        <v>900.559836</v>
      </c>
      <c r="I111" s="24">
        <f>I66</f>
        <v>918.57103272</v>
      </c>
      <c r="J111" s="24">
        <f>J66</f>
        <v>936.9424533744</v>
      </c>
      <c r="K111" s="24">
        <f>K66</f>
        <v>945.317329558825</v>
      </c>
      <c r="L111" s="24">
        <f>L66</f>
        <v>322.846047097986</v>
      </c>
      <c r="M111" s="24">
        <f>M66</f>
        <v>6.45692094195972</v>
      </c>
    </row>
    <row r="112">
      <c r="A112" s="6" t="inlineStr">
        <is>
          <t xml:space="preserve">   Seller Note</t>
        </is>
      </c>
      <c r="F112" s="24">
        <f>F76</f>
        <v>0</v>
      </c>
      <c r="G112" s="24">
        <f>G76</f>
        <v>0</v>
      </c>
      <c r="H112" s="24">
        <f>H76</f>
        <v>0</v>
      </c>
      <c r="I112" s="24">
        <f>I76</f>
        <v>0</v>
      </c>
      <c r="J112" s="24">
        <f>J76</f>
        <v>0</v>
      </c>
      <c r="K112" s="24">
        <f>K76</f>
        <v>0</v>
      </c>
      <c r="L112" s="24">
        <f>L76</f>
        <v>0</v>
      </c>
      <c r="M112" s="24">
        <f>M76</f>
        <v>0</v>
      </c>
    </row>
    <row r="113">
      <c r="A113" s="6" t="inlineStr">
        <is>
          <t xml:space="preserve">   Subordinated Notes</t>
        </is>
      </c>
      <c r="F113" s="24">
        <f>F86</f>
        <v>0</v>
      </c>
      <c r="G113" s="24">
        <f>G86</f>
        <v>0</v>
      </c>
      <c r="H113" s="24">
        <f>H86</f>
        <v>0</v>
      </c>
      <c r="I113" s="24">
        <f>I86</f>
        <v>0</v>
      </c>
      <c r="J113" s="24">
        <f>J86</f>
        <v>0</v>
      </c>
      <c r="K113" s="24">
        <f>K86</f>
        <v>0</v>
      </c>
      <c r="L113" s="24">
        <f>L86</f>
        <v>0</v>
      </c>
      <c r="M113" s="24">
        <f>M86</f>
        <v>0</v>
      </c>
    </row>
    <row r="114">
      <c r="A114" s="6" t="inlineStr">
        <is>
          <t xml:space="preserve">   Other Debt</t>
        </is>
      </c>
      <c r="F114" s="24">
        <f>F96</f>
        <v>0</v>
      </c>
      <c r="G114" s="24">
        <f>G96</f>
        <v>0</v>
      </c>
      <c r="H114" s="24">
        <f>H96</f>
        <v>0</v>
      </c>
      <c r="I114" s="24">
        <f>I96</f>
        <v>0</v>
      </c>
      <c r="J114" s="24">
        <f>J96</f>
        <v>0</v>
      </c>
      <c r="K114" s="24">
        <f>K96</f>
        <v>0</v>
      </c>
      <c r="L114" s="24">
        <f>L96</f>
        <v>0</v>
      </c>
      <c r="M114" s="24">
        <f>M96</f>
        <v>0</v>
      </c>
    </row>
    <row r="115">
      <c r="A115" s="6" t="inlineStr">
        <is>
          <t xml:space="preserve">   Revolver Commitment Fee</t>
        </is>
      </c>
      <c r="F115" s="24">
        <f>F18</f>
        <v>40</v>
      </c>
      <c r="G115" s="24">
        <f>G18</f>
        <v>40</v>
      </c>
      <c r="H115" s="24">
        <f>H18</f>
        <v>40</v>
      </c>
      <c r="I115" s="24">
        <f>I18</f>
        <v>40</v>
      </c>
      <c r="J115" s="24">
        <f>J18</f>
        <v>40</v>
      </c>
      <c r="K115" s="24">
        <f>K18</f>
        <v>40</v>
      </c>
      <c r="L115" s="24">
        <f>L18</f>
        <v>40</v>
      </c>
      <c r="M115" s="24">
        <f>M18</f>
        <v>40</v>
      </c>
    </row>
    <row r="116">
      <c r="A116" s="17" t="inlineStr">
        <is>
          <t>Total Cash Interest</t>
        </is>
      </c>
      <c r="F116" s="18">
        <f>SUM(F106:F115)</f>
        <v>2676.115</v>
      </c>
      <c r="G116" s="18">
        <f>SUM(G106:G115)</f>
        <v>2447.5044636648</v>
      </c>
      <c r="H116" s="18">
        <f>SUM(H106:H115)</f>
        <v>2161.9091783312</v>
      </c>
      <c r="I116" s="18">
        <f>SUM(I106:I115)</f>
        <v>1825.18909965987</v>
      </c>
      <c r="J116" s="18">
        <f>SUM(J106:J115)</f>
        <v>1434.80184663996</v>
      </c>
      <c r="K116" s="18">
        <f>SUM(K106:K115)</f>
        <v>985.317329558825</v>
      </c>
      <c r="L116" s="18">
        <f>SUM(L106:L115)</f>
        <v>362.846047097986</v>
      </c>
      <c r="M116" s="18">
        <f>SUM(M106:M115)</f>
        <v>46.4569209419597</v>
      </c>
    </row>
    <row r="118">
      <c r="A118" s="35" t="inlineStr">
        <is>
          <t>PIK INTEREST:</t>
        </is>
      </c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</row>
    <row r="119">
      <c r="A119" s="6" t="inlineStr">
        <is>
          <t xml:space="preserve">   Revolver</t>
        </is>
      </c>
      <c r="F119" s="24">
        <f>F14</f>
        <v>0</v>
      </c>
      <c r="G119" s="24">
        <f>G14</f>
        <v>0</v>
      </c>
      <c r="H119" s="24">
        <f>H14</f>
        <v>0</v>
      </c>
      <c r="I119" s="24">
        <f>I14</f>
        <v>0</v>
      </c>
      <c r="J119" s="24">
        <f>J14</f>
        <v>0</v>
      </c>
      <c r="K119" s="24">
        <f>K14</f>
        <v>0</v>
      </c>
      <c r="L119" s="24">
        <f>L14</f>
        <v>0</v>
      </c>
      <c r="M119" s="24">
        <f>M14</f>
        <v>0</v>
      </c>
    </row>
    <row r="120">
      <c r="A120" s="6" t="inlineStr">
        <is>
          <t xml:space="preserve">   Term Loan A</t>
        </is>
      </c>
      <c r="F120" s="24">
        <f>F27</f>
        <v>0</v>
      </c>
      <c r="G120" s="24">
        <f>G27</f>
        <v>0</v>
      </c>
      <c r="H120" s="24">
        <f>H27</f>
        <v>0</v>
      </c>
      <c r="I120" s="24">
        <f>I27</f>
        <v>0</v>
      </c>
      <c r="J120" s="24">
        <f>J27</f>
        <v>0</v>
      </c>
      <c r="K120" s="24">
        <f>K27</f>
        <v>0</v>
      </c>
      <c r="L120" s="24">
        <f>L27</f>
        <v>0</v>
      </c>
      <c r="M120" s="24">
        <f>M27</f>
        <v>0</v>
      </c>
    </row>
    <row r="121">
      <c r="A121" s="6" t="inlineStr">
        <is>
          <t xml:space="preserve">   Term Loan B</t>
        </is>
      </c>
      <c r="F121" s="24">
        <f>F37</f>
        <v>0</v>
      </c>
      <c r="G121" s="24">
        <f>G37</f>
        <v>0</v>
      </c>
      <c r="H121" s="24">
        <f>H37</f>
        <v>0</v>
      </c>
      <c r="I121" s="24">
        <f>I37</f>
        <v>0</v>
      </c>
      <c r="J121" s="24">
        <f>J37</f>
        <v>0</v>
      </c>
      <c r="K121" s="24">
        <f>K37</f>
        <v>0</v>
      </c>
      <c r="L121" s="24">
        <f>L37</f>
        <v>0</v>
      </c>
      <c r="M121" s="24">
        <f>M37</f>
        <v>0</v>
      </c>
    </row>
    <row r="122">
      <c r="A122" s="6" t="inlineStr">
        <is>
          <t xml:space="preserve">   Second Lien</t>
        </is>
      </c>
      <c r="F122" s="24">
        <f>F47</f>
        <v>0</v>
      </c>
      <c r="G122" s="24">
        <f>G47</f>
        <v>0</v>
      </c>
      <c r="H122" s="24">
        <f>H47</f>
        <v>0</v>
      </c>
      <c r="I122" s="24">
        <f>I47</f>
        <v>0</v>
      </c>
      <c r="J122" s="24">
        <f>J47</f>
        <v>0</v>
      </c>
      <c r="K122" s="24">
        <f>K47</f>
        <v>0</v>
      </c>
      <c r="L122" s="24">
        <f>L47</f>
        <v>0</v>
      </c>
      <c r="M122" s="24">
        <f>M47</f>
        <v>0</v>
      </c>
    </row>
    <row r="123">
      <c r="A123" s="6" t="inlineStr">
        <is>
          <t xml:space="preserve">   Senior Notes</t>
        </is>
      </c>
      <c r="F123" s="24">
        <f>F57</f>
        <v>0</v>
      </c>
      <c r="G123" s="24">
        <f>G57</f>
        <v>0</v>
      </c>
      <c r="H123" s="24">
        <f>H57</f>
        <v>0</v>
      </c>
      <c r="I123" s="24">
        <f>I57</f>
        <v>0</v>
      </c>
      <c r="J123" s="24">
        <f>J57</f>
        <v>0</v>
      </c>
      <c r="K123" s="24">
        <f>K57</f>
        <v>0</v>
      </c>
      <c r="L123" s="24">
        <f>L57</f>
        <v>0</v>
      </c>
      <c r="M123" s="24">
        <f>M57</f>
        <v>0</v>
      </c>
    </row>
    <row r="124">
      <c r="A124" s="6" t="inlineStr">
        <is>
          <t xml:space="preserve">   Mezzanine Debt</t>
        </is>
      </c>
      <c r="F124" s="24">
        <f>F67</f>
        <v>157.38</v>
      </c>
      <c r="G124" s="24">
        <f>G67</f>
        <v>160.5276</v>
      </c>
      <c r="H124" s="24">
        <f>H67</f>
        <v>163.738152</v>
      </c>
      <c r="I124" s="24">
        <f>I67</f>
        <v>167.01291504</v>
      </c>
      <c r="J124" s="24">
        <f>J67</f>
        <v>170.3531733408</v>
      </c>
      <c r="K124" s="24">
        <f>K67</f>
        <v>171.875878101605</v>
      </c>
      <c r="L124" s="24">
        <f>L67</f>
        <v>58.6992812905429</v>
      </c>
      <c r="M124" s="24">
        <f>M67</f>
        <v>1.17398562581086</v>
      </c>
    </row>
    <row r="125">
      <c r="A125" s="6" t="inlineStr">
        <is>
          <t xml:space="preserve">   Seller Note</t>
        </is>
      </c>
      <c r="F125" s="24">
        <f>F77</f>
        <v>240</v>
      </c>
      <c r="G125" s="24">
        <f>G77</f>
        <v>254.4</v>
      </c>
      <c r="H125" s="24">
        <f>H77</f>
        <v>269.664</v>
      </c>
      <c r="I125" s="24">
        <f>I77</f>
        <v>285.84384</v>
      </c>
      <c r="J125" s="24">
        <f>J77</f>
        <v>302.9944704</v>
      </c>
      <c r="K125" s="24">
        <f>K77</f>
        <v>321.174138624</v>
      </c>
      <c r="L125" s="24">
        <f>L77</f>
        <v>340.44458694144</v>
      </c>
      <c r="M125" s="24">
        <f>M77</f>
        <v>109.610721340624</v>
      </c>
    </row>
    <row r="126">
      <c r="A126" s="6" t="inlineStr">
        <is>
          <t xml:space="preserve">   Subordinated Notes</t>
        </is>
      </c>
      <c r="F126" s="24">
        <f>F87</f>
        <v>0</v>
      </c>
      <c r="G126" s="24">
        <f>G87</f>
        <v>0</v>
      </c>
      <c r="H126" s="24">
        <f>H87</f>
        <v>0</v>
      </c>
      <c r="I126" s="24">
        <f>I87</f>
        <v>0</v>
      </c>
      <c r="J126" s="24">
        <f>J87</f>
        <v>0</v>
      </c>
      <c r="K126" s="24">
        <f>K87</f>
        <v>0</v>
      </c>
      <c r="L126" s="24">
        <f>L87</f>
        <v>0</v>
      </c>
      <c r="M126" s="24">
        <f>M87</f>
        <v>0</v>
      </c>
    </row>
    <row r="127">
      <c r="A127" s="6" t="inlineStr">
        <is>
          <t xml:space="preserve">   Other Debt</t>
        </is>
      </c>
      <c r="F127" s="24">
        <f>F97</f>
        <v>0</v>
      </c>
      <c r="G127" s="24">
        <f>G97</f>
        <v>0</v>
      </c>
      <c r="H127" s="24">
        <f>H97</f>
        <v>0</v>
      </c>
      <c r="I127" s="24">
        <f>I97</f>
        <v>0</v>
      </c>
      <c r="J127" s="24">
        <f>J97</f>
        <v>0</v>
      </c>
      <c r="K127" s="24">
        <f>K97</f>
        <v>0</v>
      </c>
      <c r="L127" s="24">
        <f>L97</f>
        <v>0</v>
      </c>
      <c r="M127" s="24">
        <f>M97</f>
        <v>0</v>
      </c>
    </row>
    <row r="128">
      <c r="A128" s="17" t="inlineStr">
        <is>
          <t>Total PIK Interest</t>
        </is>
      </c>
      <c r="F128" s="18">
        <f>SUM(F119:F127)</f>
        <v>397.38</v>
      </c>
      <c r="G128" s="18">
        <f>SUM(G119:G127)</f>
        <v>414.9276</v>
      </c>
      <c r="H128" s="18">
        <f>SUM(H119:H127)</f>
        <v>433.402152</v>
      </c>
      <c r="I128" s="18">
        <f>SUM(I119:I127)</f>
        <v>452.85675504</v>
      </c>
      <c r="J128" s="18">
        <f>SUM(J119:J127)</f>
        <v>473.3476437408</v>
      </c>
      <c r="K128" s="18">
        <f>SUM(K119:K127)</f>
        <v>493.050016725605</v>
      </c>
      <c r="L128" s="18">
        <f>SUM(L119:L127)</f>
        <v>399.143868231983</v>
      </c>
      <c r="M128" s="18">
        <f>SUM(M119:M127)</f>
        <v>110.784706966434</v>
      </c>
    </row>
    <row r="130">
      <c r="A130" s="17" t="inlineStr">
        <is>
          <t>Total Interest (Cash + PIK)</t>
        </is>
      </c>
      <c r="F130" s="19">
        <f>F116+F128</f>
        <v>3073.495</v>
      </c>
      <c r="G130" s="19">
        <f>G116+G128</f>
        <v>2862.4320636648</v>
      </c>
      <c r="H130" s="19">
        <f>H116+H128</f>
        <v>2595.3113303312</v>
      </c>
      <c r="I130" s="19">
        <f>I116+I128</f>
        <v>2278.04585469987</v>
      </c>
      <c r="J130" s="19">
        <f>J116+J128</f>
        <v>1908.14949038076</v>
      </c>
      <c r="K130" s="19">
        <f>K116+K128</f>
        <v>1478.36734628443</v>
      </c>
      <c r="L130" s="19">
        <f>L116+L128</f>
        <v>761.989915329969</v>
      </c>
      <c r="M130" s="19">
        <f>M116+M128</f>
        <v>157.241627908394</v>
      </c>
    </row>
    <row r="131">
      <c r="A131" s="6" t="inlineStr">
        <is>
          <t>Model: Total Interest Expense</t>
        </is>
      </c>
      <c r="F131" s="7">
        <f>Model!F105</f>
        <v>3073.495</v>
      </c>
      <c r="G131" s="7">
        <f>Model!G105</f>
        <v>2862.4320636648</v>
      </c>
      <c r="H131" s="7">
        <f>Model!H105</f>
        <v>2595.3113303312</v>
      </c>
      <c r="I131" s="7">
        <f>Model!I105</f>
        <v>2278.04585469987</v>
      </c>
      <c r="J131" s="7">
        <f>Model!J105</f>
        <v>1908.14949038076</v>
      </c>
      <c r="K131" s="7">
        <f>Model!K105</f>
        <v>1478.36734628443</v>
      </c>
      <c r="L131" s="7">
        <f>Model!L105</f>
        <v>761.989915329969</v>
      </c>
      <c r="M131" s="7">
        <f>Model!M105</f>
        <v>157.241627908394</v>
      </c>
    </row>
    <row r="132">
      <c r="A132" s="11" t="inlineStr">
        <is>
          <t>Check (must be 0)</t>
        </is>
      </c>
      <c r="F132" s="20">
        <f>F130-F131</f>
        <v>0</v>
      </c>
      <c r="G132" s="20">
        <f>G130-G131</f>
        <v>0</v>
      </c>
      <c r="H132" s="20">
        <f>H130-H131</f>
        <v>0</v>
      </c>
      <c r="I132" s="20">
        <f>I130-I131</f>
        <v>0</v>
      </c>
      <c r="J132" s="20">
        <f>J130-J131</f>
        <v>0</v>
      </c>
      <c r="K132" s="20">
        <f>K130-K131</f>
        <v>0</v>
      </c>
      <c r="L132" s="20">
        <f>L130-L131</f>
        <v>0</v>
      </c>
      <c r="M132" s="20">
        <f>M130-M131</f>
        <v>0</v>
      </c>
    </row>
    <row r="134">
      <c r="A134" s="11" t="inlineStr">
        <is>
          <t>(1) Interest computed on beginning-of-period balances (no circularity). Mandatory amortization = original amount x annual amortization %.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Operating Backup --&gt;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1"/>
  <sheetViews>
    <sheetView showGridLines="0" zoomScale="85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3" customWidth="1" min="14" max="14"/>
    <col width="30" customWidth="1" min="15" max="15"/>
  </cols>
  <sheetData>
    <row r="1">
      <c r="A1" s="1" t="str">
        <f>Assump_CapStructure!$F$7</f>
        <v>Project Kestrel</v>
      </c>
      <c r="M1" s="1" t="str">
        <f>"Operating Case Running: "&amp;CHOOSE(Assump_CapStructure!$K$5,"Management Case","Case II - No Growth, No Taxes","Case III - Downside Case, No Taxes","Upside Case","Flat Case")</f>
        <v>Operating Case Running: Management Case</v>
      </c>
    </row>
    <row r="2">
      <c r="A2" s="3" t="str">
        <f>"Prepared by: "&amp;Assump_CapStructure!$F$8</f>
        <v>Prepared by: Halvern</v>
      </c>
      <c r="M2" s="1" t="str">
        <f>"Capital Structure Case: "&amp;CHOOSE(Assump_CapStructure!$K$15,"Base Case - Senior + Mezz","Senior Only","Senior + Seller Note Upsized","All Equity","Unitranche","Case 6","Case 7","Case 8","Case 9","Case 10")</f>
        <v>Capital Structure Case: Base Case - Senior + Mezz</v>
      </c>
    </row>
    <row r="3">
      <c r="A3" s="3" t="str">
        <f>Assump_CapStructure!$F$11</f>
        <v>($ in 000s)</v>
      </c>
    </row>
    <row r="5">
      <c r="B5" s="41" t="str">
        <f>Model!B30</f>
        <v>FY2022A</v>
      </c>
      <c r="C5" s="41" t="str">
        <f>Model!C30</f>
        <v>FY2023A</v>
      </c>
      <c r="D5" s="41" t="str">
        <f>Model!D30</f>
        <v>FY2024A</v>
      </c>
      <c r="E5" s="41" t="str">
        <f>Model!E30</f>
        <v>FY2025A</v>
      </c>
      <c r="F5" s="41" t="str">
        <f>Model!F30</f>
        <v>FY2026E</v>
      </c>
      <c r="G5" s="41" t="str">
        <f>Model!G30</f>
        <v>FY2027E</v>
      </c>
      <c r="H5" s="41" t="str">
        <f>Model!H30</f>
        <v>FY2028E</v>
      </c>
      <c r="I5" s="41" t="str">
        <f>Model!I30</f>
        <v>FY2029E</v>
      </c>
      <c r="J5" s="41" t="str">
        <f>Model!J30</f>
        <v>FY2030E</v>
      </c>
      <c r="K5" s="41" t="str">
        <f>Model!K30</f>
        <v>FY2031E</v>
      </c>
      <c r="L5" s="41" t="str">
        <f>Model!L30</f>
        <v>FY2032E</v>
      </c>
      <c r="M5" s="41" t="str">
        <f>Model!M30</f>
        <v>FY2033E</v>
      </c>
    </row>
    <row r="7">
      <c r="A7" s="35" t="inlineStr">
        <is>
          <t>INCOME STATEMENT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</row>
    <row r="8">
      <c r="A8" s="17" t="inlineStr">
        <is>
          <t>Total Revenue</t>
        </is>
      </c>
    </row>
    <row r="9">
      <c r="A9" s="6" t="inlineStr">
        <is>
          <t xml:space="preserve">  Case 1 - Management Case</t>
        </is>
      </c>
      <c r="B9" s="30" t="n">
        <v>35245</v>
      </c>
      <c r="C9" s="30" t="n">
        <v>38240</v>
      </c>
      <c r="D9" s="30" t="n">
        <v>40516</v>
      </c>
      <c r="E9" s="30" t="n">
        <v>42624</v>
      </c>
      <c r="F9" s="24">
        <f>E9*(1+F10)</f>
        <v>46033.92</v>
      </c>
      <c r="G9" s="24">
        <f>F9*(1+G10)</f>
        <v>49348.36224</v>
      </c>
      <c r="H9" s="24">
        <f>G9*(1+H10)</f>
        <v>52556.0057856</v>
      </c>
      <c r="I9" s="24">
        <f>H9*(1+I10)</f>
        <v>55709.366132736</v>
      </c>
      <c r="J9" s="24">
        <f>I9*(1+J10)</f>
        <v>58773.3812700365</v>
      </c>
      <c r="K9" s="24">
        <f>J9*(1+K10)</f>
        <v>61712.0503335383</v>
      </c>
      <c r="L9" s="24">
        <f>K9*(1+L10)</f>
        <v>64489.0925985475</v>
      </c>
      <c r="M9" s="24">
        <f>L9*(1+M10)</f>
        <v>67068.6563024894</v>
      </c>
    </row>
    <row r="10">
      <c r="A10" s="11" t="inlineStr">
        <is>
          <t xml:space="preserve">    % Growth</t>
        </is>
      </c>
      <c r="C10" s="15">
        <f>C9/B9-1</f>
        <v>0.0849765924244574</v>
      </c>
      <c r="D10" s="15">
        <f>D9/C9-1</f>
        <v>0.0595188284518828</v>
      </c>
      <c r="E10" s="15">
        <f>E9/D9-1</f>
        <v>0.0520288281172869</v>
      </c>
      <c r="F10" s="29" t="n">
        <v>0.08</v>
      </c>
      <c r="G10" s="29" t="n">
        <v>0.07199999999999999</v>
      </c>
      <c r="H10" s="29" t="n">
        <v>0.065</v>
      </c>
      <c r="I10" s="29" t="n">
        <v>0.06</v>
      </c>
      <c r="J10" s="29" t="n">
        <v>0.055</v>
      </c>
      <c r="K10" s="29" t="n">
        <v>0.05</v>
      </c>
      <c r="L10" s="29" t="n">
        <v>0.045</v>
      </c>
      <c r="M10" s="29" t="n">
        <v>0.04</v>
      </c>
    </row>
    <row r="12">
      <c r="A12" s="6" t="inlineStr">
        <is>
          <t xml:space="preserve">  Case 2 - Case II - No Growth, No Taxes</t>
        </is>
      </c>
      <c r="B12" s="24">
        <f>B9</f>
        <v>35245</v>
      </c>
      <c r="C12" s="24">
        <f>C9</f>
        <v>38240</v>
      </c>
      <c r="D12" s="24">
        <f>D9</f>
        <v>40516</v>
      </c>
      <c r="E12" s="24">
        <f>E9</f>
        <v>42624</v>
      </c>
      <c r="F12" s="24">
        <f>E12*(1+F13)</f>
        <v>42624</v>
      </c>
      <c r="G12" s="24">
        <f>F12*(1+G13)</f>
        <v>42624</v>
      </c>
      <c r="H12" s="24">
        <f>G12*(1+H13)</f>
        <v>42624</v>
      </c>
      <c r="I12" s="24">
        <f>H12*(1+I13)</f>
        <v>42624</v>
      </c>
      <c r="J12" s="24">
        <f>I12*(1+J13)</f>
        <v>42624</v>
      </c>
      <c r="K12" s="24">
        <f>J12*(1+K13)</f>
        <v>42624</v>
      </c>
      <c r="L12" s="24">
        <f>K12*(1+L13)</f>
        <v>42624</v>
      </c>
      <c r="M12" s="24">
        <f>L12*(1+M13)</f>
        <v>42624</v>
      </c>
    </row>
    <row r="13">
      <c r="A13" s="11" t="inlineStr">
        <is>
          <t xml:space="preserve">    % Growth</t>
        </is>
      </c>
      <c r="C13" s="15">
        <f>C12/B12-1</f>
        <v>0.0849765924244574</v>
      </c>
      <c r="D13" s="15">
        <f>D12/C12-1</f>
        <v>0.0595188284518828</v>
      </c>
      <c r="E13" s="15">
        <f>E12/D12-1</f>
        <v>0.0520288281172869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</row>
    <row r="15">
      <c r="A15" s="6" t="inlineStr">
        <is>
          <t xml:space="preserve">  Case 3 - Case III - Downside Case, No Taxes</t>
        </is>
      </c>
      <c r="B15" s="24">
        <f>B9</f>
        <v>35245</v>
      </c>
      <c r="C15" s="24">
        <f>C9</f>
        <v>38240</v>
      </c>
      <c r="D15" s="24">
        <f>D9</f>
        <v>40516</v>
      </c>
      <c r="E15" s="24">
        <f>E9</f>
        <v>42624</v>
      </c>
      <c r="F15" s="24">
        <f>E15*(1+F16)</f>
        <v>40492.8</v>
      </c>
      <c r="G15" s="24">
        <f>F15*(1+G16)</f>
        <v>39278.016</v>
      </c>
      <c r="H15" s="24">
        <f>G15*(1+H16)</f>
        <v>39278.016</v>
      </c>
      <c r="I15" s="24">
        <f>H15*(1+I16)</f>
        <v>39278.016</v>
      </c>
      <c r="J15" s="24">
        <f>I15*(1+J16)</f>
        <v>39670.79616</v>
      </c>
      <c r="K15" s="24">
        <f>J15*(1+K16)</f>
        <v>40067.5041216</v>
      </c>
      <c r="L15" s="24">
        <f>K15*(1+L16)</f>
        <v>40468.179162816</v>
      </c>
      <c r="M15" s="24">
        <f>L15*(1+M16)</f>
        <v>40872.8609544442</v>
      </c>
    </row>
    <row r="16">
      <c r="A16" s="11" t="inlineStr">
        <is>
          <t xml:space="preserve">    % Growth</t>
        </is>
      </c>
      <c r="C16" s="15">
        <f>C15/B15-1</f>
        <v>0.0849765924244574</v>
      </c>
      <c r="D16" s="15">
        <f>D15/C15-1</f>
        <v>0.0595188284518828</v>
      </c>
      <c r="E16" s="15">
        <f>E15/D15-1</f>
        <v>0.0520288281172869</v>
      </c>
      <c r="F16" s="29" t="n">
        <v>-0.05</v>
      </c>
      <c r="G16" s="29" t="n">
        <v>-0.03</v>
      </c>
      <c r="H16" s="29" t="n">
        <v>0</v>
      </c>
      <c r="I16" s="29" t="n">
        <v>0</v>
      </c>
      <c r="J16" s="29" t="n">
        <v>0.01</v>
      </c>
      <c r="K16" s="29" t="n">
        <v>0.01</v>
      </c>
      <c r="L16" s="29" t="n">
        <v>0.01</v>
      </c>
      <c r="M16" s="29" t="n">
        <v>0.01</v>
      </c>
    </row>
    <row r="18">
      <c r="A18" s="6" t="inlineStr">
        <is>
          <t xml:space="preserve">  Case 4 - Upside Case</t>
        </is>
      </c>
      <c r="B18" s="24">
        <f>B9</f>
        <v>35245</v>
      </c>
      <c r="C18" s="24">
        <f>C9</f>
        <v>38240</v>
      </c>
      <c r="D18" s="24">
        <f>D9</f>
        <v>40516</v>
      </c>
      <c r="E18" s="24">
        <f>E9</f>
        <v>42624</v>
      </c>
      <c r="F18" s="24">
        <f>E18*(1+F19)</f>
        <v>47738.88</v>
      </c>
      <c r="G18" s="24">
        <f>F18*(1+G19)</f>
        <v>53467.5456</v>
      </c>
      <c r="H18" s="24">
        <f>G18*(1+H19)</f>
        <v>59348.975616</v>
      </c>
      <c r="I18" s="24">
        <f>H18*(1+I19)</f>
        <v>65283.8731776</v>
      </c>
      <c r="J18" s="24">
        <f>I18*(1+J19)</f>
        <v>71159.421763584</v>
      </c>
      <c r="K18" s="24">
        <f>J18*(1+K19)</f>
        <v>76852.1755046708</v>
      </c>
      <c r="L18" s="24">
        <f>K18*(1+L19)</f>
        <v>82231.8277899977</v>
      </c>
      <c r="M18" s="24">
        <f>L18*(1+M19)</f>
        <v>87165.7374573976</v>
      </c>
    </row>
    <row r="19">
      <c r="A19" s="11" t="inlineStr">
        <is>
          <t xml:space="preserve">    % Growth</t>
        </is>
      </c>
      <c r="C19" s="15">
        <f>C18/B18-1</f>
        <v>0.0849765924244574</v>
      </c>
      <c r="D19" s="15">
        <f>D18/C18-1</f>
        <v>0.0595188284518828</v>
      </c>
      <c r="E19" s="15">
        <f>E18/D18-1</f>
        <v>0.0520288281172869</v>
      </c>
      <c r="F19" s="29" t="n">
        <v>0.12</v>
      </c>
      <c r="G19" s="29" t="n">
        <v>0.12</v>
      </c>
      <c r="H19" s="29" t="n">
        <v>0.11</v>
      </c>
      <c r="I19" s="29" t="n">
        <v>0.1</v>
      </c>
      <c r="J19" s="29" t="n">
        <v>0.09</v>
      </c>
      <c r="K19" s="29" t="n">
        <v>0.08</v>
      </c>
      <c r="L19" s="29" t="n">
        <v>0.07000000000000001</v>
      </c>
      <c r="M19" s="29" t="n">
        <v>0.06</v>
      </c>
    </row>
    <row r="21">
      <c r="A21" s="6" t="inlineStr">
        <is>
          <t xml:space="preserve">  Case 5 - Flat Case</t>
        </is>
      </c>
      <c r="B21" s="24">
        <f>B9</f>
        <v>35245</v>
      </c>
      <c r="C21" s="24">
        <f>C9</f>
        <v>38240</v>
      </c>
      <c r="D21" s="24">
        <f>D9</f>
        <v>40516</v>
      </c>
      <c r="E21" s="24">
        <f>E9</f>
        <v>42624</v>
      </c>
      <c r="F21" s="24">
        <f>E21*(1+F22)</f>
        <v>42624</v>
      </c>
      <c r="G21" s="24">
        <f>F21*(1+G22)</f>
        <v>42624</v>
      </c>
      <c r="H21" s="24">
        <f>G21*(1+H22)</f>
        <v>42624</v>
      </c>
      <c r="I21" s="24">
        <f>H21*(1+I22)</f>
        <v>42624</v>
      </c>
      <c r="J21" s="24">
        <f>I21*(1+J22)</f>
        <v>42624</v>
      </c>
      <c r="K21" s="24">
        <f>J21*(1+K22)</f>
        <v>42624</v>
      </c>
      <c r="L21" s="24">
        <f>K21*(1+L22)</f>
        <v>42624</v>
      </c>
      <c r="M21" s="24">
        <f>L21*(1+M22)</f>
        <v>42624</v>
      </c>
    </row>
    <row r="22">
      <c r="A22" s="11" t="inlineStr">
        <is>
          <t xml:space="preserve">    % Growth</t>
        </is>
      </c>
      <c r="C22" s="15">
        <f>C21/B21-1</f>
        <v>0.0849765924244574</v>
      </c>
      <c r="D22" s="15">
        <f>D21/C21-1</f>
        <v>0.0595188284518828</v>
      </c>
      <c r="E22" s="15">
        <f>E21/D21-1</f>
        <v>0.0520288281172869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</row>
    <row r="24">
      <c r="A24" s="17" t="inlineStr">
        <is>
          <t>Total Revenue (selected case)</t>
        </is>
      </c>
      <c r="B24" s="31">
        <f>CHOOSE(Assump_CapStructure!$K$5,B9,B12,B15,B18,B21)</f>
        <v>35245</v>
      </c>
      <c r="C24" s="31">
        <f>CHOOSE(Assump_CapStructure!$K$5,C9,C12,C15,C18,C21)</f>
        <v>38240</v>
      </c>
      <c r="D24" s="31">
        <f>CHOOSE(Assump_CapStructure!$K$5,D9,D12,D15,D18,D21)</f>
        <v>40516</v>
      </c>
      <c r="E24" s="31">
        <f>CHOOSE(Assump_CapStructure!$K$5,E9,E12,E15,E18,E21)</f>
        <v>42624</v>
      </c>
      <c r="F24" s="31">
        <f>CHOOSE(Assump_CapStructure!$K$5,F9,F12,F15,F18,F21)</f>
        <v>46033.92</v>
      </c>
      <c r="G24" s="31">
        <f>CHOOSE(Assump_CapStructure!$K$5,G9,G12,G15,G18,G21)</f>
        <v>49348.36224</v>
      </c>
      <c r="H24" s="31">
        <f>CHOOSE(Assump_CapStructure!$K$5,H9,H12,H15,H18,H21)</f>
        <v>52556.0057856</v>
      </c>
      <c r="I24" s="31">
        <f>CHOOSE(Assump_CapStructure!$K$5,I9,I12,I15,I18,I21)</f>
        <v>55709.366132736</v>
      </c>
      <c r="J24" s="31">
        <f>CHOOSE(Assump_CapStructure!$K$5,J9,J12,J15,J18,J21)</f>
        <v>58773.3812700365</v>
      </c>
      <c r="K24" s="31">
        <f>CHOOSE(Assump_CapStructure!$K$5,K9,K12,K15,K18,K21)</f>
        <v>61712.0503335383</v>
      </c>
      <c r="L24" s="31">
        <f>CHOOSE(Assump_CapStructure!$K$5,L9,L12,L15,L18,L21)</f>
        <v>64489.0925985475</v>
      </c>
      <c r="M24" s="31">
        <f>CHOOSE(Assump_CapStructure!$K$5,M9,M12,M15,M18,M21)</f>
        <v>67068.6563024894</v>
      </c>
    </row>
    <row r="25">
      <c r="A25" s="11" t="inlineStr">
        <is>
          <t xml:space="preserve">    % Growth</t>
        </is>
      </c>
      <c r="C25" s="15">
        <f>C24/B24-1</f>
        <v>0.0849765924244574</v>
      </c>
      <c r="D25" s="15">
        <f>D24/C24-1</f>
        <v>0.0595188284518828</v>
      </c>
      <c r="E25" s="15">
        <f>E24/D24-1</f>
        <v>0.0520288281172869</v>
      </c>
      <c r="F25" s="15">
        <f>F24/E24-1</f>
        <v>0.0800000000000001</v>
      </c>
      <c r="G25" s="15">
        <f>G24/F24-1</f>
        <v>0.0720000000000001</v>
      </c>
      <c r="H25" s="15">
        <f>H24/G24-1</f>
        <v>0.065</v>
      </c>
      <c r="I25" s="15">
        <f>I24/H24-1</f>
        <v>0.0600000000000001</v>
      </c>
      <c r="J25" s="15">
        <f>J24/I24-1</f>
        <v>0.0549999999999999</v>
      </c>
      <c r="K25" s="15">
        <f>K24/J24-1</f>
        <v>0.05</v>
      </c>
      <c r="L25" s="15">
        <f>L24/K24-1</f>
        <v>0.0449999999999999</v>
      </c>
      <c r="M25" s="15">
        <f>M24/L24-1</f>
        <v>0.04</v>
      </c>
    </row>
    <row r="27">
      <c r="A27" s="17" t="inlineStr">
        <is>
          <t>COGS (excl. D&amp;A)</t>
        </is>
      </c>
    </row>
    <row r="28">
      <c r="A28" s="6" t="inlineStr">
        <is>
          <t xml:space="preserve">  Case 1 - Management Case</t>
        </is>
      </c>
      <c r="B28" s="30" t="n">
        <v>23240</v>
      </c>
      <c r="C28" s="30" t="n">
        <v>25026</v>
      </c>
      <c r="D28" s="30" t="n">
        <v>26224</v>
      </c>
      <c r="E28" s="30" t="n">
        <v>28098</v>
      </c>
      <c r="F28" s="24">
        <f>F29*F9</f>
        <v>29922.048</v>
      </c>
      <c r="G28" s="24">
        <f>G29*G9</f>
        <v>31977.73873152</v>
      </c>
      <c r="H28" s="24">
        <f>H29*H9</f>
        <v>33951.1797374976</v>
      </c>
      <c r="I28" s="24">
        <f>I29*I9</f>
        <v>35932.5411556147</v>
      </c>
      <c r="J28" s="24">
        <f>J29*J9</f>
        <v>37850.0575379035</v>
      </c>
      <c r="K28" s="24">
        <f>K29*K9</f>
        <v>39742.5604147987</v>
      </c>
      <c r="L28" s="24">
        <f>L29*L9</f>
        <v>41466.4865408661</v>
      </c>
      <c r="M28" s="24">
        <f>M29*M9</f>
        <v>43125.1460025007</v>
      </c>
    </row>
    <row r="29">
      <c r="A29" s="11" t="inlineStr">
        <is>
          <t xml:space="preserve">    % of Revenue</t>
        </is>
      </c>
      <c r="B29" s="15">
        <f>IF(B9=0,0,B28/B9)</f>
        <v>0.659384309831182</v>
      </c>
      <c r="C29" s="15">
        <f>IF(C9=0,0,C28/C9)</f>
        <v>0.654445606694561</v>
      </c>
      <c r="D29" s="15">
        <f>IF(D9=0,0,D28/D9)</f>
        <v>0.647250468950538</v>
      </c>
      <c r="E29" s="15">
        <f>IF(E9=0,0,E28/E9)</f>
        <v>0.659206081081081</v>
      </c>
      <c r="F29" s="29" t="n">
        <v>0.65</v>
      </c>
      <c r="G29" s="29" t="n">
        <v>0.648</v>
      </c>
      <c r="H29" s="29" t="n">
        <v>0.646</v>
      </c>
      <c r="I29" s="29" t="n">
        <v>0.645</v>
      </c>
      <c r="J29" s="29" t="n">
        <v>0.644</v>
      </c>
      <c r="K29" s="29" t="n">
        <v>0.644</v>
      </c>
      <c r="L29" s="29" t="n">
        <v>0.643</v>
      </c>
      <c r="M29" s="29" t="n">
        <v>0.643</v>
      </c>
    </row>
    <row r="31">
      <c r="A31" s="6" t="inlineStr">
        <is>
          <t xml:space="preserve">  Case 2 - Case II - No Growth, No Taxes</t>
        </is>
      </c>
      <c r="B31" s="24">
        <f>B28</f>
        <v>23240</v>
      </c>
      <c r="C31" s="24">
        <f>C28</f>
        <v>25026</v>
      </c>
      <c r="D31" s="24">
        <f>D28</f>
        <v>26224</v>
      </c>
      <c r="E31" s="24">
        <f>E28</f>
        <v>28098</v>
      </c>
      <c r="F31" s="24">
        <f>F32*F12</f>
        <v>27918.72</v>
      </c>
      <c r="G31" s="24">
        <f>G32*G12</f>
        <v>27918.72</v>
      </c>
      <c r="H31" s="24">
        <f>H32*H12</f>
        <v>27918.72</v>
      </c>
      <c r="I31" s="24">
        <f>I32*I12</f>
        <v>27918.72</v>
      </c>
      <c r="J31" s="24">
        <f>J32*J12</f>
        <v>27918.72</v>
      </c>
      <c r="K31" s="24">
        <f>K32*K12</f>
        <v>27918.72</v>
      </c>
      <c r="L31" s="24">
        <f>L32*L12</f>
        <v>27918.72</v>
      </c>
      <c r="M31" s="24">
        <f>M32*M12</f>
        <v>27918.72</v>
      </c>
    </row>
    <row r="32">
      <c r="A32" s="11" t="inlineStr">
        <is>
          <t xml:space="preserve">    % of Revenue</t>
        </is>
      </c>
      <c r="B32" s="15">
        <f>IF(B12=0,0,B31/B12)</f>
        <v>0.659384309831182</v>
      </c>
      <c r="C32" s="15">
        <f>IF(C12=0,0,C31/C12)</f>
        <v>0.654445606694561</v>
      </c>
      <c r="D32" s="15">
        <f>IF(D12=0,0,D31/D12)</f>
        <v>0.647250468950538</v>
      </c>
      <c r="E32" s="15">
        <f>IF(E12=0,0,E31/E12)</f>
        <v>0.659206081081081</v>
      </c>
      <c r="F32" s="29" t="n">
        <v>0.655</v>
      </c>
      <c r="G32" s="29" t="n">
        <v>0.655</v>
      </c>
      <c r="H32" s="29" t="n">
        <v>0.655</v>
      </c>
      <c r="I32" s="29" t="n">
        <v>0.655</v>
      </c>
      <c r="J32" s="29" t="n">
        <v>0.655</v>
      </c>
      <c r="K32" s="29" t="n">
        <v>0.655</v>
      </c>
      <c r="L32" s="29" t="n">
        <v>0.655</v>
      </c>
      <c r="M32" s="29" t="n">
        <v>0.655</v>
      </c>
    </row>
    <row r="34">
      <c r="A34" s="6" t="inlineStr">
        <is>
          <t xml:space="preserve">  Case 3 - Case III - Downside Case, No Taxes</t>
        </is>
      </c>
      <c r="B34" s="24">
        <f>B28</f>
        <v>23240</v>
      </c>
      <c r="C34" s="24">
        <f>C28</f>
        <v>25026</v>
      </c>
      <c r="D34" s="24">
        <f>D28</f>
        <v>26224</v>
      </c>
      <c r="E34" s="24">
        <f>E28</f>
        <v>28098</v>
      </c>
      <c r="F34" s="24">
        <f>F35*F15</f>
        <v>27049.1904</v>
      </c>
      <c r="G34" s="24">
        <f>G35*G15</f>
        <v>26316.27072</v>
      </c>
      <c r="H34" s="24">
        <f>H35*H15</f>
        <v>26316.27072</v>
      </c>
      <c r="I34" s="24">
        <f>I35*I15</f>
        <v>26237.714688</v>
      </c>
      <c r="J34" s="24">
        <f>J35*J15</f>
        <v>26420.75024256</v>
      </c>
      <c r="K34" s="24">
        <f>K35*K15</f>
        <v>26644.890240864</v>
      </c>
      <c r="L34" s="24">
        <f>L35*L15</f>
        <v>26911.3391432726</v>
      </c>
      <c r="M34" s="24">
        <f>M35*M15</f>
        <v>27180.4525347054</v>
      </c>
    </row>
    <row r="35">
      <c r="A35" s="11" t="inlineStr">
        <is>
          <t xml:space="preserve">    % of Revenue</t>
        </is>
      </c>
      <c r="B35" s="15">
        <f>IF(B15=0,0,B34/B15)</f>
        <v>0.659384309831182</v>
      </c>
      <c r="C35" s="15">
        <f>IF(C15=0,0,C34/C15)</f>
        <v>0.654445606694561</v>
      </c>
      <c r="D35" s="15">
        <f>IF(D15=0,0,D34/D15)</f>
        <v>0.647250468950538</v>
      </c>
      <c r="E35" s="15">
        <f>IF(E15=0,0,E34/E15)</f>
        <v>0.659206081081081</v>
      </c>
      <c r="F35" s="29" t="n">
        <v>0.668</v>
      </c>
      <c r="G35" s="29" t="n">
        <v>0.67</v>
      </c>
      <c r="H35" s="29" t="n">
        <v>0.67</v>
      </c>
      <c r="I35" s="29" t="n">
        <v>0.668</v>
      </c>
      <c r="J35" s="29" t="n">
        <v>0.666</v>
      </c>
      <c r="K35" s="29" t="n">
        <v>0.665</v>
      </c>
      <c r="L35" s="29" t="n">
        <v>0.665</v>
      </c>
      <c r="M35" s="29" t="n">
        <v>0.665</v>
      </c>
    </row>
    <row r="37">
      <c r="A37" s="6" t="inlineStr">
        <is>
          <t xml:space="preserve">  Case 4 - Upside Case</t>
        </is>
      </c>
      <c r="B37" s="24">
        <f>B28</f>
        <v>23240</v>
      </c>
      <c r="C37" s="24">
        <f>C28</f>
        <v>25026</v>
      </c>
      <c r="D37" s="24">
        <f>D28</f>
        <v>26224</v>
      </c>
      <c r="E37" s="24">
        <f>E28</f>
        <v>28098</v>
      </c>
      <c r="F37" s="24">
        <f>F38*F18</f>
        <v>30839.31648</v>
      </c>
      <c r="G37" s="24">
        <f>G38*G18</f>
        <v>34379.6318208</v>
      </c>
      <c r="H37" s="24">
        <f>H38*H18</f>
        <v>37983.34439424</v>
      </c>
      <c r="I37" s="24">
        <f>I38*I18</f>
        <v>41651.1110873088</v>
      </c>
      <c r="J37" s="24">
        <f>J38*J18</f>
        <v>45257.3922416394</v>
      </c>
      <c r="K37" s="24">
        <f>K38*K18</f>
        <v>48801.1314454659</v>
      </c>
      <c r="L37" s="24">
        <f>L38*L18</f>
        <v>52217.2106466486</v>
      </c>
      <c r="M37" s="24">
        <f>M38*M18</f>
        <v>55350.2432854475</v>
      </c>
    </row>
    <row r="38">
      <c r="A38" s="11" t="inlineStr">
        <is>
          <t xml:space="preserve">    % of Revenue</t>
        </is>
      </c>
      <c r="B38" s="15">
        <f>IF(B18=0,0,B37/B18)</f>
        <v>0.659384309831182</v>
      </c>
      <c r="C38" s="15">
        <f>IF(C18=0,0,C37/C18)</f>
        <v>0.654445606694561</v>
      </c>
      <c r="D38" s="15">
        <f>IF(D18=0,0,D37/D18)</f>
        <v>0.647250468950538</v>
      </c>
      <c r="E38" s="15">
        <f>IF(E18=0,0,E37/E18)</f>
        <v>0.659206081081081</v>
      </c>
      <c r="F38" s="29" t="n">
        <v>0.646</v>
      </c>
      <c r="G38" s="29" t="n">
        <v>0.643</v>
      </c>
      <c r="H38" s="29" t="n">
        <v>0.64</v>
      </c>
      <c r="I38" s="29" t="n">
        <v>0.638</v>
      </c>
      <c r="J38" s="29" t="n">
        <v>0.636</v>
      </c>
      <c r="K38" s="29" t="n">
        <v>0.635</v>
      </c>
      <c r="L38" s="29" t="n">
        <v>0.635</v>
      </c>
      <c r="M38" s="29" t="n">
        <v>0.635</v>
      </c>
    </row>
    <row r="40">
      <c r="A40" s="6" t="inlineStr">
        <is>
          <t xml:space="preserve">  Case 5 - Flat Case</t>
        </is>
      </c>
      <c r="B40" s="24">
        <f>B28</f>
        <v>23240</v>
      </c>
      <c r="C40" s="24">
        <f>C28</f>
        <v>25026</v>
      </c>
      <c r="D40" s="24">
        <f>D28</f>
        <v>26224</v>
      </c>
      <c r="E40" s="24">
        <f>E28</f>
        <v>28098</v>
      </c>
      <c r="F40" s="24">
        <f>F41*F21</f>
        <v>28046.592</v>
      </c>
      <c r="G40" s="24">
        <f>G41*G21</f>
        <v>28131.84</v>
      </c>
      <c r="H40" s="24">
        <f>H41*H21</f>
        <v>28131.84</v>
      </c>
      <c r="I40" s="24">
        <f>I41*I21</f>
        <v>28131.84</v>
      </c>
      <c r="J40" s="24">
        <f>J41*J21</f>
        <v>28131.84</v>
      </c>
      <c r="K40" s="24">
        <f>K41*K21</f>
        <v>28131.84</v>
      </c>
      <c r="L40" s="24">
        <f>L41*L21</f>
        <v>28131.84</v>
      </c>
      <c r="M40" s="24">
        <f>M41*M21</f>
        <v>28131.84</v>
      </c>
    </row>
    <row r="41">
      <c r="A41" s="11" t="inlineStr">
        <is>
          <t xml:space="preserve">    % of Revenue</t>
        </is>
      </c>
      <c r="B41" s="15">
        <f>IF(B21=0,0,B40/B21)</f>
        <v>0.659384309831182</v>
      </c>
      <c r="C41" s="15">
        <f>IF(C21=0,0,C40/C21)</f>
        <v>0.654445606694561</v>
      </c>
      <c r="D41" s="15">
        <f>IF(D21=0,0,D40/D21)</f>
        <v>0.647250468950538</v>
      </c>
      <c r="E41" s="15">
        <f>IF(E21=0,0,E40/E21)</f>
        <v>0.659206081081081</v>
      </c>
      <c r="F41" s="29" t="n">
        <v>0.658</v>
      </c>
      <c r="G41" s="29" t="n">
        <v>0.66</v>
      </c>
      <c r="H41" s="29" t="n">
        <v>0.66</v>
      </c>
      <c r="I41" s="29" t="n">
        <v>0.66</v>
      </c>
      <c r="J41" s="29" t="n">
        <v>0.66</v>
      </c>
      <c r="K41" s="29" t="n">
        <v>0.66</v>
      </c>
      <c r="L41" s="29" t="n">
        <v>0.66</v>
      </c>
      <c r="M41" s="29" t="n">
        <v>0.66</v>
      </c>
    </row>
    <row r="43">
      <c r="A43" s="17" t="inlineStr">
        <is>
          <t>COGS (excl. D&amp;A) (selected case)</t>
        </is>
      </c>
      <c r="B43" s="31">
        <f>CHOOSE(Assump_CapStructure!$K$5,B28,B31,B34,B37,B40)</f>
        <v>23240</v>
      </c>
      <c r="C43" s="31">
        <f>CHOOSE(Assump_CapStructure!$K$5,C28,C31,C34,C37,C40)</f>
        <v>25026</v>
      </c>
      <c r="D43" s="31">
        <f>CHOOSE(Assump_CapStructure!$K$5,D28,D31,D34,D37,D40)</f>
        <v>26224</v>
      </c>
      <c r="E43" s="31">
        <f>CHOOSE(Assump_CapStructure!$K$5,E28,E31,E34,E37,E40)</f>
        <v>28098</v>
      </c>
      <c r="F43" s="31">
        <f>CHOOSE(Assump_CapStructure!$K$5,F28,F31,F34,F37,F40)</f>
        <v>29922.048</v>
      </c>
      <c r="G43" s="31">
        <f>CHOOSE(Assump_CapStructure!$K$5,G28,G31,G34,G37,G40)</f>
        <v>31977.73873152</v>
      </c>
      <c r="H43" s="31">
        <f>CHOOSE(Assump_CapStructure!$K$5,H28,H31,H34,H37,H40)</f>
        <v>33951.1797374976</v>
      </c>
      <c r="I43" s="31">
        <f>CHOOSE(Assump_CapStructure!$K$5,I28,I31,I34,I37,I40)</f>
        <v>35932.5411556147</v>
      </c>
      <c r="J43" s="31">
        <f>CHOOSE(Assump_CapStructure!$K$5,J28,J31,J34,J37,J40)</f>
        <v>37850.0575379035</v>
      </c>
      <c r="K43" s="31">
        <f>CHOOSE(Assump_CapStructure!$K$5,K28,K31,K34,K37,K40)</f>
        <v>39742.5604147987</v>
      </c>
      <c r="L43" s="31">
        <f>CHOOSE(Assump_CapStructure!$K$5,L28,L31,L34,L37,L40)</f>
        <v>41466.4865408661</v>
      </c>
      <c r="M43" s="31">
        <f>CHOOSE(Assump_CapStructure!$K$5,M28,M31,M34,M37,M40)</f>
        <v>43125.1460025007</v>
      </c>
    </row>
    <row r="44">
      <c r="A44" s="11" t="inlineStr">
        <is>
          <t xml:space="preserve">    % of Revenue</t>
        </is>
      </c>
      <c r="B44" s="15">
        <f>IF(B24=0,0,B43/B24)</f>
        <v>0.659384309831182</v>
      </c>
      <c r="C44" s="15">
        <f>IF(C24=0,0,C43/C24)</f>
        <v>0.654445606694561</v>
      </c>
      <c r="D44" s="15">
        <f>IF(D24=0,0,D43/D24)</f>
        <v>0.647250468950538</v>
      </c>
      <c r="E44" s="15">
        <f>IF(E24=0,0,E43/E24)</f>
        <v>0.659206081081081</v>
      </c>
      <c r="F44" s="15">
        <f>IF(F24=0,0,F43/F24)</f>
        <v>0.65</v>
      </c>
      <c r="G44" s="15">
        <f>IF(G24=0,0,G43/G24)</f>
        <v>0.648</v>
      </c>
      <c r="H44" s="15">
        <f>IF(H24=0,0,H43/H24)</f>
        <v>0.646</v>
      </c>
      <c r="I44" s="15">
        <f>IF(I24=0,0,I43/I24)</f>
        <v>0.645</v>
      </c>
      <c r="J44" s="15">
        <f>IF(J24=0,0,J43/J24)</f>
        <v>0.644</v>
      </c>
      <c r="K44" s="15">
        <f>IF(K24=0,0,K43/K24)</f>
        <v>0.644</v>
      </c>
      <c r="L44" s="15">
        <f>IF(L24=0,0,L43/L24)</f>
        <v>0.643</v>
      </c>
      <c r="M44" s="15">
        <f>IF(M24=0,0,M43/M24)</f>
        <v>0.643</v>
      </c>
    </row>
    <row r="46">
      <c r="A46" s="17" t="inlineStr">
        <is>
          <t>SG&amp;A (excl. Amortization; adjusted)</t>
        </is>
      </c>
    </row>
    <row r="47">
      <c r="A47" s="6" t="inlineStr">
        <is>
          <t xml:space="preserve">  Case 1 - Management Case</t>
        </is>
      </c>
      <c r="B47" s="30" t="n">
        <v>5718</v>
      </c>
      <c r="C47" s="30" t="n">
        <v>6253</v>
      </c>
      <c r="D47" s="30" t="n">
        <v>6369</v>
      </c>
      <c r="E47" s="30" t="n">
        <v>6657</v>
      </c>
      <c r="F47" s="24">
        <f>F48*F9</f>
        <v>7365.4272</v>
      </c>
      <c r="G47" s="24">
        <f>G48*G9</f>
        <v>7846.38959616</v>
      </c>
      <c r="H47" s="24">
        <f>H48*H9</f>
        <v>8303.8489141248</v>
      </c>
      <c r="I47" s="24">
        <f>I48*I9</f>
        <v>8746.37048283955</v>
      </c>
      <c r="J47" s="24">
        <f>J48*J9</f>
        <v>9168.64747812569</v>
      </c>
      <c r="K47" s="24">
        <f>K48*K9</f>
        <v>9627.07985203198</v>
      </c>
      <c r="L47" s="24">
        <f>L48*L9</f>
        <v>9995.80935277487</v>
      </c>
      <c r="M47" s="24">
        <f>M48*M9</f>
        <v>10395.6417268859</v>
      </c>
    </row>
    <row r="48">
      <c r="A48" s="11" t="inlineStr">
        <is>
          <t xml:space="preserve">    % of Revenue</t>
        </is>
      </c>
      <c r="B48" s="15">
        <f>IF(B9=0,0,B47/B9)</f>
        <v>0.162235778124557</v>
      </c>
      <c r="C48" s="15">
        <f>IF(C9=0,0,C47/C9)</f>
        <v>0.163519874476987</v>
      </c>
      <c r="D48" s="15">
        <f>IF(D9=0,0,D47/D9)</f>
        <v>0.157197156678843</v>
      </c>
      <c r="E48" s="15">
        <f>IF(E9=0,0,E47/E9)</f>
        <v>0.156179617117117</v>
      </c>
      <c r="F48" s="29" t="n">
        <v>0.16</v>
      </c>
      <c r="G48" s="29" t="n">
        <v>0.159</v>
      </c>
      <c r="H48" s="29" t="n">
        <v>0.158</v>
      </c>
      <c r="I48" s="29" t="n">
        <v>0.157</v>
      </c>
      <c r="J48" s="29" t="n">
        <v>0.156</v>
      </c>
      <c r="K48" s="29" t="n">
        <v>0.156</v>
      </c>
      <c r="L48" s="29" t="n">
        <v>0.155</v>
      </c>
      <c r="M48" s="29" t="n">
        <v>0.155</v>
      </c>
    </row>
    <row r="50">
      <c r="A50" s="6" t="inlineStr">
        <is>
          <t xml:space="preserve">  Case 2 - Case II - No Growth, No Taxes</t>
        </is>
      </c>
      <c r="B50" s="24">
        <f>B47</f>
        <v>5718</v>
      </c>
      <c r="C50" s="24">
        <f>C47</f>
        <v>6253</v>
      </c>
      <c r="D50" s="24">
        <f>D47</f>
        <v>6369</v>
      </c>
      <c r="E50" s="24">
        <f>E47</f>
        <v>6657</v>
      </c>
      <c r="F50" s="24">
        <f>F51*F12</f>
        <v>6905.088</v>
      </c>
      <c r="G50" s="24">
        <f>G51*G12</f>
        <v>6905.088</v>
      </c>
      <c r="H50" s="24">
        <f>H51*H12</f>
        <v>6905.088</v>
      </c>
      <c r="I50" s="24">
        <f>I51*I12</f>
        <v>6905.088</v>
      </c>
      <c r="J50" s="24">
        <f>J51*J12</f>
        <v>6905.088</v>
      </c>
      <c r="K50" s="24">
        <f>K51*K12</f>
        <v>6905.088</v>
      </c>
      <c r="L50" s="24">
        <f>L51*L12</f>
        <v>6905.088</v>
      </c>
      <c r="M50" s="24">
        <f>M51*M12</f>
        <v>6905.088</v>
      </c>
    </row>
    <row r="51">
      <c r="A51" s="11" t="inlineStr">
        <is>
          <t xml:space="preserve">    % of Revenue</t>
        </is>
      </c>
      <c r="B51" s="15">
        <f>IF(B12=0,0,B50/B12)</f>
        <v>0.162235778124557</v>
      </c>
      <c r="C51" s="15">
        <f>IF(C12=0,0,C50/C12)</f>
        <v>0.163519874476987</v>
      </c>
      <c r="D51" s="15">
        <f>IF(D12=0,0,D50/D12)</f>
        <v>0.157197156678843</v>
      </c>
      <c r="E51" s="15">
        <f>IF(E12=0,0,E50/E12)</f>
        <v>0.156179617117117</v>
      </c>
      <c r="F51" s="29" t="n">
        <v>0.162</v>
      </c>
      <c r="G51" s="29" t="n">
        <v>0.162</v>
      </c>
      <c r="H51" s="29" t="n">
        <v>0.162</v>
      </c>
      <c r="I51" s="29" t="n">
        <v>0.162</v>
      </c>
      <c r="J51" s="29" t="n">
        <v>0.162</v>
      </c>
      <c r="K51" s="29" t="n">
        <v>0.162</v>
      </c>
      <c r="L51" s="29" t="n">
        <v>0.162</v>
      </c>
      <c r="M51" s="29" t="n">
        <v>0.162</v>
      </c>
    </row>
    <row r="53">
      <c r="A53" s="6" t="inlineStr">
        <is>
          <t xml:space="preserve">  Case 3 - Case III - Downside Case, No Taxes</t>
        </is>
      </c>
      <c r="B53" s="24">
        <f>B47</f>
        <v>5718</v>
      </c>
      <c r="C53" s="24">
        <f>C47</f>
        <v>6253</v>
      </c>
      <c r="D53" s="24">
        <f>D47</f>
        <v>6369</v>
      </c>
      <c r="E53" s="24">
        <f>E47</f>
        <v>6657</v>
      </c>
      <c r="F53" s="24">
        <f>F54*F15</f>
        <v>6802.7904</v>
      </c>
      <c r="G53" s="24">
        <f>G54*G15</f>
        <v>6677.26272</v>
      </c>
      <c r="H53" s="24">
        <f>H54*H15</f>
        <v>6677.26272</v>
      </c>
      <c r="I53" s="24">
        <f>I54*I15</f>
        <v>6637.984704</v>
      </c>
      <c r="J53" s="24">
        <f>J54*J15</f>
        <v>6664.69375488</v>
      </c>
      <c r="K53" s="24">
        <f>K54*K15</f>
        <v>6731.3406924288</v>
      </c>
      <c r="L53" s="24">
        <f>L54*L15</f>
        <v>6798.65409935309</v>
      </c>
      <c r="M53" s="24">
        <f>M54*M15</f>
        <v>6866.64064034662</v>
      </c>
    </row>
    <row r="54">
      <c r="A54" s="11" t="inlineStr">
        <is>
          <t xml:space="preserve">    % of Revenue</t>
        </is>
      </c>
      <c r="B54" s="15">
        <f>IF(B15=0,0,B53/B15)</f>
        <v>0.162235778124557</v>
      </c>
      <c r="C54" s="15">
        <f>IF(C15=0,0,C53/C15)</f>
        <v>0.163519874476987</v>
      </c>
      <c r="D54" s="15">
        <f>IF(D15=0,0,D53/D15)</f>
        <v>0.157197156678843</v>
      </c>
      <c r="E54" s="15">
        <f>IF(E15=0,0,E53/E15)</f>
        <v>0.156179617117117</v>
      </c>
      <c r="F54" s="29" t="n">
        <v>0.168</v>
      </c>
      <c r="G54" s="29" t="n">
        <v>0.17</v>
      </c>
      <c r="H54" s="29" t="n">
        <v>0.17</v>
      </c>
      <c r="I54" s="29" t="n">
        <v>0.169</v>
      </c>
      <c r="J54" s="29" t="n">
        <v>0.168</v>
      </c>
      <c r="K54" s="29" t="n">
        <v>0.168</v>
      </c>
      <c r="L54" s="29" t="n">
        <v>0.168</v>
      </c>
      <c r="M54" s="29" t="n">
        <v>0.168</v>
      </c>
    </row>
    <row r="56">
      <c r="A56" s="6" t="inlineStr">
        <is>
          <t xml:space="preserve">  Case 4 - Upside Case</t>
        </is>
      </c>
      <c r="B56" s="24">
        <f>B47</f>
        <v>5718</v>
      </c>
      <c r="C56" s="24">
        <f>C47</f>
        <v>6253</v>
      </c>
      <c r="D56" s="24">
        <f>D47</f>
        <v>6369</v>
      </c>
      <c r="E56" s="24">
        <f>E47</f>
        <v>6657</v>
      </c>
      <c r="F56" s="24">
        <f>F57*F18</f>
        <v>7542.74304</v>
      </c>
      <c r="G56" s="24">
        <f>G57*G18</f>
        <v>8340.9371136</v>
      </c>
      <c r="H56" s="24">
        <f>H57*H18</f>
        <v>9139.742244864</v>
      </c>
      <c r="I56" s="24">
        <f>I57*I18</f>
        <v>9923.1487229952</v>
      </c>
      <c r="J56" s="24">
        <f>J57*J18</f>
        <v>10673.9132645376</v>
      </c>
      <c r="K56" s="24">
        <f>K57*K18</f>
        <v>11527.8263257006</v>
      </c>
      <c r="L56" s="24">
        <f>L57*L18</f>
        <v>12334.7741684997</v>
      </c>
      <c r="M56" s="24">
        <f>M57*M18</f>
        <v>13074.8606186096</v>
      </c>
    </row>
    <row r="57">
      <c r="A57" s="11" t="inlineStr">
        <is>
          <t xml:space="preserve">    % of Revenue</t>
        </is>
      </c>
      <c r="B57" s="15">
        <f>IF(B18=0,0,B56/B18)</f>
        <v>0.162235778124557</v>
      </c>
      <c r="C57" s="15">
        <f>IF(C18=0,0,C56/C18)</f>
        <v>0.163519874476987</v>
      </c>
      <c r="D57" s="15">
        <f>IF(D18=0,0,D56/D18)</f>
        <v>0.157197156678843</v>
      </c>
      <c r="E57" s="15">
        <f>IF(E18=0,0,E56/E18)</f>
        <v>0.156179617117117</v>
      </c>
      <c r="F57" s="29" t="n">
        <v>0.158</v>
      </c>
      <c r="G57" s="29" t="n">
        <v>0.156</v>
      </c>
      <c r="H57" s="29" t="n">
        <v>0.154</v>
      </c>
      <c r="I57" s="29" t="n">
        <v>0.152</v>
      </c>
      <c r="J57" s="29" t="n">
        <v>0.15</v>
      </c>
      <c r="K57" s="29" t="n">
        <v>0.15</v>
      </c>
      <c r="L57" s="29" t="n">
        <v>0.15</v>
      </c>
      <c r="M57" s="29" t="n">
        <v>0.15</v>
      </c>
    </row>
    <row r="59">
      <c r="A59" s="6" t="inlineStr">
        <is>
          <t xml:space="preserve">  Case 5 - Flat Case</t>
        </is>
      </c>
      <c r="B59" s="24">
        <f>B47</f>
        <v>5718</v>
      </c>
      <c r="C59" s="24">
        <f>C47</f>
        <v>6253</v>
      </c>
      <c r="D59" s="24">
        <f>D47</f>
        <v>6369</v>
      </c>
      <c r="E59" s="24">
        <f>E47</f>
        <v>6657</v>
      </c>
      <c r="F59" s="24">
        <f>F60*F21</f>
        <v>6947.712</v>
      </c>
      <c r="G59" s="24">
        <f>G60*G21</f>
        <v>6990.336</v>
      </c>
      <c r="H59" s="24">
        <f>H60*H21</f>
        <v>6990.336</v>
      </c>
      <c r="I59" s="24">
        <f>I60*I21</f>
        <v>6990.336</v>
      </c>
      <c r="J59" s="24">
        <f>J60*J21</f>
        <v>6990.336</v>
      </c>
      <c r="K59" s="24">
        <f>K60*K21</f>
        <v>6990.336</v>
      </c>
      <c r="L59" s="24">
        <f>L60*L21</f>
        <v>6990.336</v>
      </c>
      <c r="M59" s="24">
        <f>M60*M21</f>
        <v>6990.336</v>
      </c>
    </row>
    <row r="60">
      <c r="A60" s="11" t="inlineStr">
        <is>
          <t xml:space="preserve">    % of Revenue</t>
        </is>
      </c>
      <c r="B60" s="15">
        <f>IF(B21=0,0,B59/B21)</f>
        <v>0.162235778124557</v>
      </c>
      <c r="C60" s="15">
        <f>IF(C21=0,0,C59/C21)</f>
        <v>0.163519874476987</v>
      </c>
      <c r="D60" s="15">
        <f>IF(D21=0,0,D59/D21)</f>
        <v>0.157197156678843</v>
      </c>
      <c r="E60" s="15">
        <f>IF(E21=0,0,E59/E21)</f>
        <v>0.156179617117117</v>
      </c>
      <c r="F60" s="29" t="n">
        <v>0.163</v>
      </c>
      <c r="G60" s="29" t="n">
        <v>0.164</v>
      </c>
      <c r="H60" s="29" t="n">
        <v>0.164</v>
      </c>
      <c r="I60" s="29" t="n">
        <v>0.164</v>
      </c>
      <c r="J60" s="29" t="n">
        <v>0.164</v>
      </c>
      <c r="K60" s="29" t="n">
        <v>0.164</v>
      </c>
      <c r="L60" s="29" t="n">
        <v>0.164</v>
      </c>
      <c r="M60" s="29" t="n">
        <v>0.164</v>
      </c>
    </row>
    <row r="62">
      <c r="A62" s="17" t="inlineStr">
        <is>
          <t>SG&amp;A (excl. Amortization; adjusted) (selected case)</t>
        </is>
      </c>
      <c r="B62" s="31">
        <f>CHOOSE(Assump_CapStructure!$K$5,B47,B50,B53,B56,B59)</f>
        <v>5718</v>
      </c>
      <c r="C62" s="31">
        <f>CHOOSE(Assump_CapStructure!$K$5,C47,C50,C53,C56,C59)</f>
        <v>6253</v>
      </c>
      <c r="D62" s="31">
        <f>CHOOSE(Assump_CapStructure!$K$5,D47,D50,D53,D56,D59)</f>
        <v>6369</v>
      </c>
      <c r="E62" s="31">
        <f>CHOOSE(Assump_CapStructure!$K$5,E47,E50,E53,E56,E59)</f>
        <v>6657</v>
      </c>
      <c r="F62" s="31">
        <f>CHOOSE(Assump_CapStructure!$K$5,F47,F50,F53,F56,F59)</f>
        <v>7365.4272</v>
      </c>
      <c r="G62" s="31">
        <f>CHOOSE(Assump_CapStructure!$K$5,G47,G50,G53,G56,G59)</f>
        <v>7846.38959616</v>
      </c>
      <c r="H62" s="31">
        <f>CHOOSE(Assump_CapStructure!$K$5,H47,H50,H53,H56,H59)</f>
        <v>8303.8489141248</v>
      </c>
      <c r="I62" s="31">
        <f>CHOOSE(Assump_CapStructure!$K$5,I47,I50,I53,I56,I59)</f>
        <v>8746.37048283955</v>
      </c>
      <c r="J62" s="31">
        <f>CHOOSE(Assump_CapStructure!$K$5,J47,J50,J53,J56,J59)</f>
        <v>9168.64747812569</v>
      </c>
      <c r="K62" s="31">
        <f>CHOOSE(Assump_CapStructure!$K$5,K47,K50,K53,K56,K59)</f>
        <v>9627.07985203198</v>
      </c>
      <c r="L62" s="31">
        <f>CHOOSE(Assump_CapStructure!$K$5,L47,L50,L53,L56,L59)</f>
        <v>9995.80935277487</v>
      </c>
      <c r="M62" s="31">
        <f>CHOOSE(Assump_CapStructure!$K$5,M47,M50,M53,M56,M59)</f>
        <v>10395.6417268859</v>
      </c>
    </row>
    <row r="63">
      <c r="A63" s="11" t="inlineStr">
        <is>
          <t xml:space="preserve">    % of Revenue</t>
        </is>
      </c>
      <c r="B63" s="15">
        <f>IF(B24=0,0,B62/B24)</f>
        <v>0.162235778124557</v>
      </c>
      <c r="C63" s="15">
        <f>IF(C24=0,0,C62/C24)</f>
        <v>0.163519874476987</v>
      </c>
      <c r="D63" s="15">
        <f>IF(D24=0,0,D62/D24)</f>
        <v>0.157197156678843</v>
      </c>
      <c r="E63" s="15">
        <f>IF(E24=0,0,E62/E24)</f>
        <v>0.156179617117117</v>
      </c>
      <c r="F63" s="15">
        <f>IF(F24=0,0,F62/F24)</f>
        <v>0.16</v>
      </c>
      <c r="G63" s="15">
        <f>IF(G24=0,0,G62/G24)</f>
        <v>0.159</v>
      </c>
      <c r="H63" s="15">
        <f>IF(H24=0,0,H62/H24)</f>
        <v>0.158</v>
      </c>
      <c r="I63" s="15">
        <f>IF(I24=0,0,I62/I24)</f>
        <v>0.157</v>
      </c>
      <c r="J63" s="15">
        <f>IF(J24=0,0,J62/J24)</f>
        <v>0.156</v>
      </c>
      <c r="K63" s="15">
        <f>IF(K24=0,0,K62/K24)</f>
        <v>0.156</v>
      </c>
      <c r="L63" s="15">
        <f>IF(L24=0,0,L62/L24)</f>
        <v>0.155</v>
      </c>
      <c r="M63" s="15">
        <f>IF(M24=0,0,M62/M24)</f>
        <v>0.155</v>
      </c>
    </row>
    <row r="65">
      <c r="A65" s="17" t="inlineStr">
        <is>
          <t>EBITDA Adjustments (memo; not linked to Model)</t>
        </is>
      </c>
    </row>
    <row r="66">
      <c r="A66" s="6" t="inlineStr">
        <is>
          <t xml:space="preserve">  Case 1 - Management Case</t>
        </is>
      </c>
      <c r="B66" s="30" t="n">
        <v>387</v>
      </c>
      <c r="C66" s="30" t="n">
        <v>347</v>
      </c>
      <c r="D66" s="30" t="n">
        <v>318</v>
      </c>
      <c r="E66" s="30" t="n">
        <v>261</v>
      </c>
      <c r="F66" s="24">
        <f>F67*F9</f>
        <v>0</v>
      </c>
      <c r="G66" s="24">
        <f>G67*G9</f>
        <v>0</v>
      </c>
      <c r="H66" s="24">
        <f>H67*H9</f>
        <v>0</v>
      </c>
      <c r="I66" s="24">
        <f>I67*I9</f>
        <v>0</v>
      </c>
      <c r="J66" s="24">
        <f>J67*J9</f>
        <v>0</v>
      </c>
      <c r="K66" s="24">
        <f>K67*K9</f>
        <v>0</v>
      </c>
      <c r="L66" s="24">
        <f>L67*L9</f>
        <v>0</v>
      </c>
      <c r="M66" s="24">
        <f>M67*M9</f>
        <v>0</v>
      </c>
    </row>
    <row r="67">
      <c r="A67" s="11" t="inlineStr">
        <is>
          <t xml:space="preserve">    % of Revenue</t>
        </is>
      </c>
      <c r="B67" s="15">
        <f>IF(B9=0,0,B66/B9)</f>
        <v>0.0109802808909065</v>
      </c>
      <c r="C67" s="15">
        <f>IF(C9=0,0,C66/C9)</f>
        <v>0.00907426778242678</v>
      </c>
      <c r="D67" s="15">
        <f>IF(D9=0,0,D66/D9)</f>
        <v>0.00784875111067233</v>
      </c>
      <c r="E67" s="15">
        <f>IF(E9=0,0,E66/E9)</f>
        <v>0.00612331081081081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</row>
    <row r="69">
      <c r="A69" s="6" t="inlineStr">
        <is>
          <t xml:space="preserve">  Case 2 - Case II - No Growth, No Taxes</t>
        </is>
      </c>
      <c r="B69" s="24">
        <f>B66</f>
        <v>387</v>
      </c>
      <c r="C69" s="24">
        <f>C66</f>
        <v>347</v>
      </c>
      <c r="D69" s="24">
        <f>D66</f>
        <v>318</v>
      </c>
      <c r="E69" s="24">
        <f>E66</f>
        <v>261</v>
      </c>
      <c r="F69" s="24">
        <f>F70*F12</f>
        <v>0</v>
      </c>
      <c r="G69" s="24">
        <f>G70*G12</f>
        <v>0</v>
      </c>
      <c r="H69" s="24">
        <f>H70*H12</f>
        <v>0</v>
      </c>
      <c r="I69" s="24">
        <f>I70*I12</f>
        <v>0</v>
      </c>
      <c r="J69" s="24">
        <f>J70*J12</f>
        <v>0</v>
      </c>
      <c r="K69" s="24">
        <f>K70*K12</f>
        <v>0</v>
      </c>
      <c r="L69" s="24">
        <f>L70*L12</f>
        <v>0</v>
      </c>
      <c r="M69" s="24">
        <f>M70*M12</f>
        <v>0</v>
      </c>
    </row>
    <row r="70">
      <c r="A70" s="11" t="inlineStr">
        <is>
          <t xml:space="preserve">    % of Revenue</t>
        </is>
      </c>
      <c r="B70" s="15">
        <f>IF(B12=0,0,B69/B12)</f>
        <v>0.0109802808909065</v>
      </c>
      <c r="C70" s="15">
        <f>IF(C12=0,0,C69/C12)</f>
        <v>0.00907426778242678</v>
      </c>
      <c r="D70" s="15">
        <f>IF(D12=0,0,D69/D12)</f>
        <v>0.00784875111067233</v>
      </c>
      <c r="E70" s="15">
        <f>IF(E12=0,0,E69/E12)</f>
        <v>0.00612331081081081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0</v>
      </c>
      <c r="M70" s="29" t="n">
        <v>0</v>
      </c>
    </row>
    <row r="72">
      <c r="A72" s="6" t="inlineStr">
        <is>
          <t xml:space="preserve">  Case 3 - Case III - Downside Case, No Taxes</t>
        </is>
      </c>
      <c r="B72" s="24">
        <f>B66</f>
        <v>387</v>
      </c>
      <c r="C72" s="24">
        <f>C66</f>
        <v>347</v>
      </c>
      <c r="D72" s="24">
        <f>D66</f>
        <v>318</v>
      </c>
      <c r="E72" s="24">
        <f>E66</f>
        <v>261</v>
      </c>
      <c r="F72" s="24">
        <f>F73*F15</f>
        <v>0</v>
      </c>
      <c r="G72" s="24">
        <f>G73*G15</f>
        <v>0</v>
      </c>
      <c r="H72" s="24">
        <f>H73*H15</f>
        <v>0</v>
      </c>
      <c r="I72" s="24">
        <f>I73*I15</f>
        <v>0</v>
      </c>
      <c r="J72" s="24">
        <f>J73*J15</f>
        <v>0</v>
      </c>
      <c r="K72" s="24">
        <f>K73*K15</f>
        <v>0</v>
      </c>
      <c r="L72" s="24">
        <f>L73*L15</f>
        <v>0</v>
      </c>
      <c r="M72" s="24">
        <f>M73*M15</f>
        <v>0</v>
      </c>
    </row>
    <row r="73">
      <c r="A73" s="11" t="inlineStr">
        <is>
          <t xml:space="preserve">    % of Revenue</t>
        </is>
      </c>
      <c r="B73" s="15">
        <f>IF(B15=0,0,B72/B15)</f>
        <v>0.0109802808909065</v>
      </c>
      <c r="C73" s="15">
        <f>IF(C15=0,0,C72/C15)</f>
        <v>0.00907426778242678</v>
      </c>
      <c r="D73" s="15">
        <f>IF(D15=0,0,D72/D15)</f>
        <v>0.00784875111067233</v>
      </c>
      <c r="E73" s="15">
        <f>IF(E15=0,0,E72/E15)</f>
        <v>0.00612331081081081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</row>
    <row r="75">
      <c r="A75" s="6" t="inlineStr">
        <is>
          <t xml:space="preserve">  Case 4 - Upside Case</t>
        </is>
      </c>
      <c r="B75" s="24">
        <f>B66</f>
        <v>387</v>
      </c>
      <c r="C75" s="24">
        <f>C66</f>
        <v>347</v>
      </c>
      <c r="D75" s="24">
        <f>D66</f>
        <v>318</v>
      </c>
      <c r="E75" s="24">
        <f>E66</f>
        <v>261</v>
      </c>
      <c r="F75" s="24">
        <f>F76*F18</f>
        <v>0</v>
      </c>
      <c r="G75" s="24">
        <f>G76*G18</f>
        <v>0</v>
      </c>
      <c r="H75" s="24">
        <f>H76*H18</f>
        <v>0</v>
      </c>
      <c r="I75" s="24">
        <f>I76*I18</f>
        <v>0</v>
      </c>
      <c r="J75" s="24">
        <f>J76*J18</f>
        <v>0</v>
      </c>
      <c r="K75" s="24">
        <f>K76*K18</f>
        <v>0</v>
      </c>
      <c r="L75" s="24">
        <f>L76*L18</f>
        <v>0</v>
      </c>
      <c r="M75" s="24">
        <f>M76*M18</f>
        <v>0</v>
      </c>
    </row>
    <row r="76">
      <c r="A76" s="11" t="inlineStr">
        <is>
          <t xml:space="preserve">    % of Revenue</t>
        </is>
      </c>
      <c r="B76" s="15">
        <f>IF(B18=0,0,B75/B18)</f>
        <v>0.0109802808909065</v>
      </c>
      <c r="C76" s="15">
        <f>IF(C18=0,0,C75/C18)</f>
        <v>0.00907426778242678</v>
      </c>
      <c r="D76" s="15">
        <f>IF(D18=0,0,D75/D18)</f>
        <v>0.00784875111067233</v>
      </c>
      <c r="E76" s="15">
        <f>IF(E18=0,0,E75/E18)</f>
        <v>0.00612331081081081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0</v>
      </c>
    </row>
    <row r="78">
      <c r="A78" s="6" t="inlineStr">
        <is>
          <t xml:space="preserve">  Case 5 - Flat Case</t>
        </is>
      </c>
      <c r="B78" s="24">
        <f>B66</f>
        <v>387</v>
      </c>
      <c r="C78" s="24">
        <f>C66</f>
        <v>347</v>
      </c>
      <c r="D78" s="24">
        <f>D66</f>
        <v>318</v>
      </c>
      <c r="E78" s="24">
        <f>E66</f>
        <v>261</v>
      </c>
      <c r="F78" s="24">
        <f>F79*F21</f>
        <v>0</v>
      </c>
      <c r="G78" s="24">
        <f>G79*G21</f>
        <v>0</v>
      </c>
      <c r="H78" s="24">
        <f>H79*H21</f>
        <v>0</v>
      </c>
      <c r="I78" s="24">
        <f>I79*I21</f>
        <v>0</v>
      </c>
      <c r="J78" s="24">
        <f>J79*J21</f>
        <v>0</v>
      </c>
      <c r="K78" s="24">
        <f>K79*K21</f>
        <v>0</v>
      </c>
      <c r="L78" s="24">
        <f>L79*L21</f>
        <v>0</v>
      </c>
      <c r="M78" s="24">
        <f>M79*M21</f>
        <v>0</v>
      </c>
    </row>
    <row r="79">
      <c r="A79" s="11" t="inlineStr">
        <is>
          <t xml:space="preserve">    % of Revenue</t>
        </is>
      </c>
      <c r="B79" s="15">
        <f>IF(B21=0,0,B78/B21)</f>
        <v>0.0109802808909065</v>
      </c>
      <c r="C79" s="15">
        <f>IF(C21=0,0,C78/C21)</f>
        <v>0.00907426778242678</v>
      </c>
      <c r="D79" s="15">
        <f>IF(D21=0,0,D78/D21)</f>
        <v>0.00784875111067233</v>
      </c>
      <c r="E79" s="15">
        <f>IF(E21=0,0,E78/E21)</f>
        <v>0.00612331081081081</v>
      </c>
      <c r="F79" s="29" t="n">
        <v>0</v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29" t="n">
        <v>0</v>
      </c>
      <c r="M79" s="29" t="n">
        <v>0</v>
      </c>
    </row>
    <row r="81">
      <c r="A81" s="17" t="inlineStr">
        <is>
          <t>EBITDA Adjustments (memo; not linked to Model) (selected case)</t>
        </is>
      </c>
      <c r="B81" s="31">
        <f>CHOOSE(Assump_CapStructure!$K$5,B66,B69,B72,B75,B78)</f>
        <v>387</v>
      </c>
      <c r="C81" s="31">
        <f>CHOOSE(Assump_CapStructure!$K$5,C66,C69,C72,C75,C78)</f>
        <v>347</v>
      </c>
      <c r="D81" s="31">
        <f>CHOOSE(Assump_CapStructure!$K$5,D66,D69,D72,D75,D78)</f>
        <v>318</v>
      </c>
      <c r="E81" s="31">
        <f>CHOOSE(Assump_CapStructure!$K$5,E66,E69,E72,E75,E78)</f>
        <v>261</v>
      </c>
      <c r="F81" s="31">
        <f>CHOOSE(Assump_CapStructure!$K$5,F66,F69,F72,F75,F78)</f>
        <v>0</v>
      </c>
      <c r="G81" s="31">
        <f>CHOOSE(Assump_CapStructure!$K$5,G66,G69,G72,G75,G78)</f>
        <v>0</v>
      </c>
      <c r="H81" s="31">
        <f>CHOOSE(Assump_CapStructure!$K$5,H66,H69,H72,H75,H78)</f>
        <v>0</v>
      </c>
      <c r="I81" s="31">
        <f>CHOOSE(Assump_CapStructure!$K$5,I66,I69,I72,I75,I78)</f>
        <v>0</v>
      </c>
      <c r="J81" s="31">
        <f>CHOOSE(Assump_CapStructure!$K$5,J66,J69,J72,J75,J78)</f>
        <v>0</v>
      </c>
      <c r="K81" s="31">
        <f>CHOOSE(Assump_CapStructure!$K$5,K66,K69,K72,K75,K78)</f>
        <v>0</v>
      </c>
      <c r="L81" s="31">
        <f>CHOOSE(Assump_CapStructure!$K$5,L66,L69,L72,L75,L78)</f>
        <v>0</v>
      </c>
      <c r="M81" s="31">
        <f>CHOOSE(Assump_CapStructure!$K$5,M66,M69,M72,M75,M78)</f>
        <v>0</v>
      </c>
    </row>
    <row r="82">
      <c r="A82" s="11" t="inlineStr">
        <is>
          <t xml:space="preserve">    % of Revenue</t>
        </is>
      </c>
      <c r="B82" s="15">
        <f>IF(B24=0,0,B81/B24)</f>
        <v>0.0109802808909065</v>
      </c>
      <c r="C82" s="15">
        <f>IF(C24=0,0,C81/C24)</f>
        <v>0.00907426778242678</v>
      </c>
      <c r="D82" s="15">
        <f>IF(D24=0,0,D81/D24)</f>
        <v>0.00784875111067233</v>
      </c>
      <c r="E82" s="15">
        <f>IF(E24=0,0,E81/E24)</f>
        <v>0.00612331081081081</v>
      </c>
      <c r="F82" s="15">
        <f>IF(F24=0,0,F81/F24)</f>
        <v>0</v>
      </c>
      <c r="G82" s="15">
        <f>IF(G24=0,0,G81/G24)</f>
        <v>0</v>
      </c>
      <c r="H82" s="15">
        <f>IF(H24=0,0,H81/H24)</f>
        <v>0</v>
      </c>
      <c r="I82" s="15">
        <f>IF(I24=0,0,I81/I24)</f>
        <v>0</v>
      </c>
      <c r="J82" s="15">
        <f>IF(J24=0,0,J81/J24)</f>
        <v>0</v>
      </c>
      <c r="K82" s="15">
        <f>IF(K24=0,0,K81/K24)</f>
        <v>0</v>
      </c>
      <c r="L82" s="15">
        <f>IF(L24=0,0,L81/L24)</f>
        <v>0</v>
      </c>
      <c r="M82" s="15">
        <f>IF(M24=0,0,M81/M24)</f>
        <v>0</v>
      </c>
    </row>
    <row r="84">
      <c r="A84" s="17" t="inlineStr">
        <is>
          <t>Depreciation &amp; Amortization</t>
        </is>
      </c>
    </row>
    <row r="85">
      <c r="A85" s="6" t="inlineStr">
        <is>
          <t xml:space="preserve">  Case 1 - Management Case</t>
        </is>
      </c>
      <c r="B85" s="30" t="n">
        <v>976</v>
      </c>
      <c r="C85" s="30" t="n">
        <v>1015</v>
      </c>
      <c r="D85" s="30" t="n">
        <v>1104</v>
      </c>
      <c r="E85" s="30" t="n">
        <v>1153</v>
      </c>
      <c r="F85" s="24">
        <f>F86*F9</f>
        <v>1242.91584</v>
      </c>
      <c r="G85" s="24">
        <f>G86*G9</f>
        <v>1332.40578048</v>
      </c>
      <c r="H85" s="24">
        <f>H86*H9</f>
        <v>1419.0121562112</v>
      </c>
      <c r="I85" s="24">
        <f>I86*I9</f>
        <v>1504.15288558387</v>
      </c>
      <c r="J85" s="24">
        <f>J86*J9</f>
        <v>1586.88129429099</v>
      </c>
      <c r="K85" s="24">
        <f>K86*K9</f>
        <v>1666.22535900553</v>
      </c>
      <c r="L85" s="24">
        <f>L86*L9</f>
        <v>1741.20550016078</v>
      </c>
      <c r="M85" s="24">
        <f>M86*M9</f>
        <v>1810.85372016722</v>
      </c>
    </row>
    <row r="86">
      <c r="A86" s="11" t="inlineStr">
        <is>
          <t xml:space="preserve">    % of Revenue</t>
        </is>
      </c>
      <c r="B86" s="15">
        <f>IF(B9=0,0,B85/B9)</f>
        <v>0.0276918711874025</v>
      </c>
      <c r="C86" s="15">
        <f>IF(C9=0,0,C85/C9)</f>
        <v>0.0265428870292887</v>
      </c>
      <c r="D86" s="15">
        <f>IF(D9=0,0,D85/D9)</f>
        <v>0.0272484944219568</v>
      </c>
      <c r="E86" s="15">
        <f>IF(E9=0,0,E85/E9)</f>
        <v>0.027050487987988</v>
      </c>
      <c r="F86" s="29" t="n">
        <v>0.027</v>
      </c>
      <c r="G86" s="29" t="n">
        <v>0.027</v>
      </c>
      <c r="H86" s="29" t="n">
        <v>0.027</v>
      </c>
      <c r="I86" s="29" t="n">
        <v>0.027</v>
      </c>
      <c r="J86" s="29" t="n">
        <v>0.027</v>
      </c>
      <c r="K86" s="29" t="n">
        <v>0.027</v>
      </c>
      <c r="L86" s="29" t="n">
        <v>0.027</v>
      </c>
      <c r="M86" s="29" t="n">
        <v>0.027</v>
      </c>
    </row>
    <row r="88">
      <c r="A88" s="6" t="inlineStr">
        <is>
          <t xml:space="preserve">  Case 2 - Case II - No Growth, No Taxes</t>
        </is>
      </c>
      <c r="B88" s="24">
        <f>B85</f>
        <v>976</v>
      </c>
      <c r="C88" s="24">
        <f>C85</f>
        <v>1015</v>
      </c>
      <c r="D88" s="24">
        <f>D85</f>
        <v>1104</v>
      </c>
      <c r="E88" s="24">
        <f>E85</f>
        <v>1153</v>
      </c>
      <c r="F88" s="24">
        <f>F89*F12</f>
        <v>1150.848</v>
      </c>
      <c r="G88" s="24">
        <f>G89*G12</f>
        <v>1150.848</v>
      </c>
      <c r="H88" s="24">
        <f>H89*H12</f>
        <v>1150.848</v>
      </c>
      <c r="I88" s="24">
        <f>I89*I12</f>
        <v>1150.848</v>
      </c>
      <c r="J88" s="24">
        <f>J89*J12</f>
        <v>1150.848</v>
      </c>
      <c r="K88" s="24">
        <f>K89*K12</f>
        <v>1150.848</v>
      </c>
      <c r="L88" s="24">
        <f>L89*L12</f>
        <v>1150.848</v>
      </c>
      <c r="M88" s="24">
        <f>M89*M12</f>
        <v>1150.848</v>
      </c>
    </row>
    <row r="89">
      <c r="A89" s="11" t="inlineStr">
        <is>
          <t xml:space="preserve">    % of Revenue</t>
        </is>
      </c>
      <c r="B89" s="15">
        <f>IF(B12=0,0,B88/B12)</f>
        <v>0.0276918711874025</v>
      </c>
      <c r="C89" s="15">
        <f>IF(C12=0,0,C88/C12)</f>
        <v>0.0265428870292887</v>
      </c>
      <c r="D89" s="15">
        <f>IF(D12=0,0,D88/D12)</f>
        <v>0.0272484944219568</v>
      </c>
      <c r="E89" s="15">
        <f>IF(E12=0,0,E88/E12)</f>
        <v>0.027050487987988</v>
      </c>
      <c r="F89" s="29" t="n">
        <v>0.027</v>
      </c>
      <c r="G89" s="29" t="n">
        <v>0.027</v>
      </c>
      <c r="H89" s="29" t="n">
        <v>0.027</v>
      </c>
      <c r="I89" s="29" t="n">
        <v>0.027</v>
      </c>
      <c r="J89" s="29" t="n">
        <v>0.027</v>
      </c>
      <c r="K89" s="29" t="n">
        <v>0.027</v>
      </c>
      <c r="L89" s="29" t="n">
        <v>0.027</v>
      </c>
      <c r="M89" s="29" t="n">
        <v>0.027</v>
      </c>
    </row>
    <row r="91">
      <c r="A91" s="6" t="inlineStr">
        <is>
          <t xml:space="preserve">  Case 3 - Case III - Downside Case, No Taxes</t>
        </is>
      </c>
      <c r="B91" s="24">
        <f>B85</f>
        <v>976</v>
      </c>
      <c r="C91" s="24">
        <f>C85</f>
        <v>1015</v>
      </c>
      <c r="D91" s="24">
        <f>D85</f>
        <v>1104</v>
      </c>
      <c r="E91" s="24">
        <f>E85</f>
        <v>1153</v>
      </c>
      <c r="F91" s="24">
        <f>F92*F15</f>
        <v>1093.3056</v>
      </c>
      <c r="G91" s="24">
        <f>G92*G15</f>
        <v>1060.506432</v>
      </c>
      <c r="H91" s="24">
        <f>H92*H15</f>
        <v>1060.506432</v>
      </c>
      <c r="I91" s="24">
        <f>I92*I15</f>
        <v>1060.506432</v>
      </c>
      <c r="J91" s="24">
        <f>J92*J15</f>
        <v>1071.11149632</v>
      </c>
      <c r="K91" s="24">
        <f>K92*K15</f>
        <v>1081.8226112832</v>
      </c>
      <c r="L91" s="24">
        <f>L92*L15</f>
        <v>1092.64083739603</v>
      </c>
      <c r="M91" s="24">
        <f>M92*M15</f>
        <v>1103.56724576999</v>
      </c>
    </row>
    <row r="92">
      <c r="A92" s="11" t="inlineStr">
        <is>
          <t xml:space="preserve">    % of Revenue</t>
        </is>
      </c>
      <c r="B92" s="15">
        <f>IF(B15=0,0,B91/B15)</f>
        <v>0.0276918711874025</v>
      </c>
      <c r="C92" s="15">
        <f>IF(C15=0,0,C91/C15)</f>
        <v>0.0265428870292887</v>
      </c>
      <c r="D92" s="15">
        <f>IF(D15=0,0,D91/D15)</f>
        <v>0.0272484944219568</v>
      </c>
      <c r="E92" s="15">
        <f>IF(E15=0,0,E91/E15)</f>
        <v>0.027050487987988</v>
      </c>
      <c r="F92" s="29" t="n">
        <v>0.027</v>
      </c>
      <c r="G92" s="29" t="n">
        <v>0.027</v>
      </c>
      <c r="H92" s="29" t="n">
        <v>0.027</v>
      </c>
      <c r="I92" s="29" t="n">
        <v>0.027</v>
      </c>
      <c r="J92" s="29" t="n">
        <v>0.027</v>
      </c>
      <c r="K92" s="29" t="n">
        <v>0.027</v>
      </c>
      <c r="L92" s="29" t="n">
        <v>0.027</v>
      </c>
      <c r="M92" s="29" t="n">
        <v>0.027</v>
      </c>
    </row>
    <row r="94">
      <c r="A94" s="6" t="inlineStr">
        <is>
          <t xml:space="preserve">  Case 4 - Upside Case</t>
        </is>
      </c>
      <c r="B94" s="24">
        <f>B85</f>
        <v>976</v>
      </c>
      <c r="C94" s="24">
        <f>C85</f>
        <v>1015</v>
      </c>
      <c r="D94" s="24">
        <f>D85</f>
        <v>1104</v>
      </c>
      <c r="E94" s="24">
        <f>E85</f>
        <v>1153</v>
      </c>
      <c r="F94" s="24">
        <f>F95*F18</f>
        <v>1288.94976</v>
      </c>
      <c r="G94" s="24">
        <f>G95*G18</f>
        <v>1443.6237312</v>
      </c>
      <c r="H94" s="24">
        <f>H95*H18</f>
        <v>1602.422341632</v>
      </c>
      <c r="I94" s="24">
        <f>I95*I18</f>
        <v>1762.6645757952</v>
      </c>
      <c r="J94" s="24">
        <f>J95*J18</f>
        <v>1921.30438761677</v>
      </c>
      <c r="K94" s="24">
        <f>K95*K18</f>
        <v>2075.00873862611</v>
      </c>
      <c r="L94" s="24">
        <f>L95*L18</f>
        <v>2220.25935032994</v>
      </c>
      <c r="M94" s="24">
        <f>M95*M18</f>
        <v>2353.47491134973</v>
      </c>
    </row>
    <row r="95">
      <c r="A95" s="11" t="inlineStr">
        <is>
          <t xml:space="preserve">    % of Revenue</t>
        </is>
      </c>
      <c r="B95" s="15">
        <f>IF(B18=0,0,B94/B18)</f>
        <v>0.0276918711874025</v>
      </c>
      <c r="C95" s="15">
        <f>IF(C18=0,0,C94/C18)</f>
        <v>0.0265428870292887</v>
      </c>
      <c r="D95" s="15">
        <f>IF(D18=0,0,D94/D18)</f>
        <v>0.0272484944219568</v>
      </c>
      <c r="E95" s="15">
        <f>IF(E18=0,0,E94/E18)</f>
        <v>0.027050487987988</v>
      </c>
      <c r="F95" s="29" t="n">
        <v>0.027</v>
      </c>
      <c r="G95" s="29" t="n">
        <v>0.027</v>
      </c>
      <c r="H95" s="29" t="n">
        <v>0.027</v>
      </c>
      <c r="I95" s="29" t="n">
        <v>0.027</v>
      </c>
      <c r="J95" s="29" t="n">
        <v>0.027</v>
      </c>
      <c r="K95" s="29" t="n">
        <v>0.027</v>
      </c>
      <c r="L95" s="29" t="n">
        <v>0.027</v>
      </c>
      <c r="M95" s="29" t="n">
        <v>0.027</v>
      </c>
    </row>
    <row r="97">
      <c r="A97" s="6" t="inlineStr">
        <is>
          <t xml:space="preserve">  Case 5 - Flat Case</t>
        </is>
      </c>
      <c r="B97" s="24">
        <f>B85</f>
        <v>976</v>
      </c>
      <c r="C97" s="24">
        <f>C85</f>
        <v>1015</v>
      </c>
      <c r="D97" s="24">
        <f>D85</f>
        <v>1104</v>
      </c>
      <c r="E97" s="24">
        <f>E85</f>
        <v>1153</v>
      </c>
      <c r="F97" s="24">
        <f>F98*F21</f>
        <v>1150.848</v>
      </c>
      <c r="G97" s="24">
        <f>G98*G21</f>
        <v>1150.848</v>
      </c>
      <c r="H97" s="24">
        <f>H98*H21</f>
        <v>1150.848</v>
      </c>
      <c r="I97" s="24">
        <f>I98*I21</f>
        <v>1150.848</v>
      </c>
      <c r="J97" s="24">
        <f>J98*J21</f>
        <v>1150.848</v>
      </c>
      <c r="K97" s="24">
        <f>K98*K21</f>
        <v>1150.848</v>
      </c>
      <c r="L97" s="24">
        <f>L98*L21</f>
        <v>1150.848</v>
      </c>
      <c r="M97" s="24">
        <f>M98*M21</f>
        <v>1150.848</v>
      </c>
    </row>
    <row r="98">
      <c r="A98" s="11" t="inlineStr">
        <is>
          <t xml:space="preserve">    % of Revenue</t>
        </is>
      </c>
      <c r="B98" s="15">
        <f>IF(B21=0,0,B97/B21)</f>
        <v>0.0276918711874025</v>
      </c>
      <c r="C98" s="15">
        <f>IF(C21=0,0,C97/C21)</f>
        <v>0.0265428870292887</v>
      </c>
      <c r="D98" s="15">
        <f>IF(D21=0,0,D97/D21)</f>
        <v>0.0272484944219568</v>
      </c>
      <c r="E98" s="15">
        <f>IF(E21=0,0,E97/E21)</f>
        <v>0.027050487987988</v>
      </c>
      <c r="F98" s="29" t="n">
        <v>0.027</v>
      </c>
      <c r="G98" s="29" t="n">
        <v>0.027</v>
      </c>
      <c r="H98" s="29" t="n">
        <v>0.027</v>
      </c>
      <c r="I98" s="29" t="n">
        <v>0.027</v>
      </c>
      <c r="J98" s="29" t="n">
        <v>0.027</v>
      </c>
      <c r="K98" s="29" t="n">
        <v>0.027</v>
      </c>
      <c r="L98" s="29" t="n">
        <v>0.027</v>
      </c>
      <c r="M98" s="29" t="n">
        <v>0.027</v>
      </c>
    </row>
    <row r="100">
      <c r="A100" s="17" t="inlineStr">
        <is>
          <t>Depreciation &amp; Amortization (selected case)</t>
        </is>
      </c>
      <c r="B100" s="31">
        <f>CHOOSE(Assump_CapStructure!$K$5,B85,B88,B91,B94,B97)</f>
        <v>976</v>
      </c>
      <c r="C100" s="31">
        <f>CHOOSE(Assump_CapStructure!$K$5,C85,C88,C91,C94,C97)</f>
        <v>1015</v>
      </c>
      <c r="D100" s="31">
        <f>CHOOSE(Assump_CapStructure!$K$5,D85,D88,D91,D94,D97)</f>
        <v>1104</v>
      </c>
      <c r="E100" s="31">
        <f>CHOOSE(Assump_CapStructure!$K$5,E85,E88,E91,E94,E97)</f>
        <v>1153</v>
      </c>
      <c r="F100" s="31">
        <f>CHOOSE(Assump_CapStructure!$K$5,F85,F88,F91,F94,F97)</f>
        <v>1242.91584</v>
      </c>
      <c r="G100" s="31">
        <f>CHOOSE(Assump_CapStructure!$K$5,G85,G88,G91,G94,G97)</f>
        <v>1332.40578048</v>
      </c>
      <c r="H100" s="31">
        <f>CHOOSE(Assump_CapStructure!$K$5,H85,H88,H91,H94,H97)</f>
        <v>1419.0121562112</v>
      </c>
      <c r="I100" s="31">
        <f>CHOOSE(Assump_CapStructure!$K$5,I85,I88,I91,I94,I97)</f>
        <v>1504.15288558387</v>
      </c>
      <c r="J100" s="31">
        <f>CHOOSE(Assump_CapStructure!$K$5,J85,J88,J91,J94,J97)</f>
        <v>1586.88129429099</v>
      </c>
      <c r="K100" s="31">
        <f>CHOOSE(Assump_CapStructure!$K$5,K85,K88,K91,K94,K97)</f>
        <v>1666.22535900553</v>
      </c>
      <c r="L100" s="31">
        <f>CHOOSE(Assump_CapStructure!$K$5,L85,L88,L91,L94,L97)</f>
        <v>1741.20550016078</v>
      </c>
      <c r="M100" s="31">
        <f>CHOOSE(Assump_CapStructure!$K$5,M85,M88,M91,M94,M97)</f>
        <v>1810.85372016722</v>
      </c>
    </row>
    <row r="101">
      <c r="A101" s="11" t="inlineStr">
        <is>
          <t xml:space="preserve">    % of Revenue</t>
        </is>
      </c>
      <c r="B101" s="15">
        <f>IF(B24=0,0,B100/B24)</f>
        <v>0.0276918711874025</v>
      </c>
      <c r="C101" s="15">
        <f>IF(C24=0,0,C100/C24)</f>
        <v>0.0265428870292887</v>
      </c>
      <c r="D101" s="15">
        <f>IF(D24=0,0,D100/D24)</f>
        <v>0.0272484944219568</v>
      </c>
      <c r="E101" s="15">
        <f>IF(E24=0,0,E100/E24)</f>
        <v>0.027050487987988</v>
      </c>
      <c r="F101" s="15">
        <f>IF(F24=0,0,F100/F24)</f>
        <v>0.027</v>
      </c>
      <c r="G101" s="15">
        <f>IF(G24=0,0,G100/G24)</f>
        <v>0.027</v>
      </c>
      <c r="H101" s="15">
        <f>IF(H24=0,0,H100/H24)</f>
        <v>0.027</v>
      </c>
      <c r="I101" s="15">
        <f>IF(I24=0,0,I100/I24)</f>
        <v>0.027</v>
      </c>
      <c r="J101" s="15">
        <f>IF(J24=0,0,J100/J24)</f>
        <v>0.027</v>
      </c>
      <c r="K101" s="15">
        <f>IF(K24=0,0,K100/K24)</f>
        <v>0.027</v>
      </c>
      <c r="L101" s="15">
        <f>IF(L24=0,0,L100/L24)</f>
        <v>0.027</v>
      </c>
      <c r="M101" s="15">
        <f>IF(M24=0,0,M100/M24)</f>
        <v>0.027</v>
      </c>
    </row>
    <row r="103">
      <c r="A103" s="17" t="inlineStr">
        <is>
          <t>Taxes Applied? (1=Yes, 0=No; "No Taxes" cases)</t>
        </is>
      </c>
    </row>
    <row r="104">
      <c r="A104" s="6" t="inlineStr">
        <is>
          <t xml:space="preserve">  Case 1 - Management Case</t>
        </is>
      </c>
      <c r="F104" s="51" t="n">
        <v>1</v>
      </c>
    </row>
    <row r="105">
      <c r="A105" s="6" t="inlineStr">
        <is>
          <t xml:space="preserve">  Case 2 - Case II - No Growth, No Taxes</t>
        </is>
      </c>
      <c r="F105" s="51" t="n">
        <v>0</v>
      </c>
    </row>
    <row r="106">
      <c r="A106" s="6" t="inlineStr">
        <is>
          <t xml:space="preserve">  Case 3 - Case III - Downside Case, No Taxes</t>
        </is>
      </c>
      <c r="F106" s="51" t="n">
        <v>0</v>
      </c>
    </row>
    <row r="107">
      <c r="A107" s="6" t="inlineStr">
        <is>
          <t xml:space="preserve">  Case 4 - Upside Case</t>
        </is>
      </c>
      <c r="F107" s="51" t="n">
        <v>1</v>
      </c>
    </row>
    <row r="108">
      <c r="A108" s="6" t="inlineStr">
        <is>
          <t xml:space="preserve">  Case 5 - Flat Case</t>
        </is>
      </c>
      <c r="F108" s="51" t="n">
        <v>1</v>
      </c>
    </row>
    <row r="109">
      <c r="A109" s="17" t="inlineStr">
        <is>
          <t>Taxes Applied (selected case)</t>
        </is>
      </c>
      <c r="F109" s="55">
        <f>CHOOSE(Assump_CapStructure!$K$5,F104,F105,F106,F107,F108)</f>
        <v>1</v>
      </c>
    </row>
    <row r="111">
      <c r="A111" s="35" t="inlineStr">
        <is>
          <t>CASH FLOW</t>
        </is>
      </c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</row>
    <row r="112">
      <c r="A112" s="17" t="inlineStr">
        <is>
          <t>Capital Expenditures</t>
        </is>
      </c>
    </row>
    <row r="113">
      <c r="A113" s="6" t="inlineStr">
        <is>
          <t xml:space="preserve">  Case 1 - Management Case</t>
        </is>
      </c>
      <c r="B113" s="30" t="n">
        <v>1058</v>
      </c>
      <c r="C113" s="30" t="n">
        <v>1032</v>
      </c>
      <c r="D113" s="30" t="n">
        <v>1116</v>
      </c>
      <c r="E113" s="30" t="n">
        <v>1175</v>
      </c>
      <c r="F113" s="24">
        <f>F114*F9</f>
        <v>1288.94976</v>
      </c>
      <c r="G113" s="24">
        <f>G114*G9</f>
        <v>1381.75414272</v>
      </c>
      <c r="H113" s="24">
        <f>H114*H9</f>
        <v>1471.5681619968</v>
      </c>
      <c r="I113" s="24">
        <f>I114*I9</f>
        <v>1559.86225171661</v>
      </c>
      <c r="J113" s="24">
        <f>J114*J9</f>
        <v>1645.65467556102</v>
      </c>
      <c r="K113" s="24">
        <f>K114*K9</f>
        <v>1727.93740933907</v>
      </c>
      <c r="L113" s="24">
        <f>L114*L9</f>
        <v>1805.69459275933</v>
      </c>
      <c r="M113" s="24">
        <f>M114*M9</f>
        <v>1877.9223764697</v>
      </c>
    </row>
    <row r="114">
      <c r="A114" s="11" t="inlineStr">
        <is>
          <t xml:space="preserve">    % of Revenue</t>
        </is>
      </c>
      <c r="B114" s="15">
        <f>IF(B9=0,0,B113/B9)</f>
        <v>0.0300184423322457</v>
      </c>
      <c r="C114" s="15">
        <f>IF(C9=0,0,C113/C9)</f>
        <v>0.0269874476987448</v>
      </c>
      <c r="D114" s="15">
        <f>IF(D9=0,0,D113/D9)</f>
        <v>0.0275446737091519</v>
      </c>
      <c r="E114" s="15">
        <f>IF(E9=0,0,E113/E9)</f>
        <v>0.0275666291291291</v>
      </c>
      <c r="F114" s="29" t="n">
        <v>0.028</v>
      </c>
      <c r="G114" s="29" t="n">
        <v>0.028</v>
      </c>
      <c r="H114" s="29" t="n">
        <v>0.028</v>
      </c>
      <c r="I114" s="29" t="n">
        <v>0.028</v>
      </c>
      <c r="J114" s="29" t="n">
        <v>0.028</v>
      </c>
      <c r="K114" s="29" t="n">
        <v>0.028</v>
      </c>
      <c r="L114" s="29" t="n">
        <v>0.028</v>
      </c>
      <c r="M114" s="29" t="n">
        <v>0.028</v>
      </c>
    </row>
    <row r="116">
      <c r="A116" s="6" t="inlineStr">
        <is>
          <t xml:space="preserve">  Case 2 - Case II - No Growth, No Taxes</t>
        </is>
      </c>
      <c r="B116" s="24">
        <f>B113</f>
        <v>1058</v>
      </c>
      <c r="C116" s="24">
        <f>C113</f>
        <v>1032</v>
      </c>
      <c r="D116" s="24">
        <f>D113</f>
        <v>1116</v>
      </c>
      <c r="E116" s="24">
        <f>E113</f>
        <v>1175</v>
      </c>
      <c r="F116" s="24">
        <f>F117*F12</f>
        <v>1108.224</v>
      </c>
      <c r="G116" s="24">
        <f>G117*G12</f>
        <v>1108.224</v>
      </c>
      <c r="H116" s="24">
        <f>H117*H12</f>
        <v>1108.224</v>
      </c>
      <c r="I116" s="24">
        <f>I117*I12</f>
        <v>1108.224</v>
      </c>
      <c r="J116" s="24">
        <f>J117*J12</f>
        <v>1108.224</v>
      </c>
      <c r="K116" s="24">
        <f>K117*K12</f>
        <v>1108.224</v>
      </c>
      <c r="L116" s="24">
        <f>L117*L12</f>
        <v>1108.224</v>
      </c>
      <c r="M116" s="24">
        <f>M117*M12</f>
        <v>1108.224</v>
      </c>
    </row>
    <row r="117">
      <c r="A117" s="11" t="inlineStr">
        <is>
          <t xml:space="preserve">    % of Revenue</t>
        </is>
      </c>
      <c r="B117" s="15">
        <f>IF(B12=0,0,B116/B12)</f>
        <v>0.0300184423322457</v>
      </c>
      <c r="C117" s="15">
        <f>IF(C12=0,0,C116/C12)</f>
        <v>0.0269874476987448</v>
      </c>
      <c r="D117" s="15">
        <f>IF(D12=0,0,D116/D12)</f>
        <v>0.0275446737091519</v>
      </c>
      <c r="E117" s="15">
        <f>IF(E12=0,0,E116/E12)</f>
        <v>0.0275666291291291</v>
      </c>
      <c r="F117" s="29" t="n">
        <v>0.026</v>
      </c>
      <c r="G117" s="29" t="n">
        <v>0.026</v>
      </c>
      <c r="H117" s="29" t="n">
        <v>0.026</v>
      </c>
      <c r="I117" s="29" t="n">
        <v>0.026</v>
      </c>
      <c r="J117" s="29" t="n">
        <v>0.026</v>
      </c>
      <c r="K117" s="29" t="n">
        <v>0.026</v>
      </c>
      <c r="L117" s="29" t="n">
        <v>0.026</v>
      </c>
      <c r="M117" s="29" t="n">
        <v>0.026</v>
      </c>
    </row>
    <row r="119">
      <c r="A119" s="6" t="inlineStr">
        <is>
          <t xml:space="preserve">  Case 3 - Case III - Downside Case, No Taxes</t>
        </is>
      </c>
      <c r="B119" s="24">
        <f>B113</f>
        <v>1058</v>
      </c>
      <c r="C119" s="24">
        <f>C113</f>
        <v>1032</v>
      </c>
      <c r="D119" s="24">
        <f>D113</f>
        <v>1116</v>
      </c>
      <c r="E119" s="24">
        <f>E113</f>
        <v>1175</v>
      </c>
      <c r="F119" s="24">
        <f>F120*F15</f>
        <v>1012.32</v>
      </c>
      <c r="G119" s="24">
        <f>G120*G15</f>
        <v>981.9504</v>
      </c>
      <c r="H119" s="24">
        <f>H120*H15</f>
        <v>981.9504</v>
      </c>
      <c r="I119" s="24">
        <f>I120*I15</f>
        <v>981.9504</v>
      </c>
      <c r="J119" s="24">
        <f>J120*J15</f>
        <v>991.769904</v>
      </c>
      <c r="K119" s="24">
        <f>K120*K15</f>
        <v>1001.68760304</v>
      </c>
      <c r="L119" s="24">
        <f>L120*L15</f>
        <v>1011.7044790704</v>
      </c>
      <c r="M119" s="24">
        <f>M120*M15</f>
        <v>1021.8215238611</v>
      </c>
    </row>
    <row r="120">
      <c r="A120" s="11" t="inlineStr">
        <is>
          <t xml:space="preserve">    % of Revenue</t>
        </is>
      </c>
      <c r="B120" s="15">
        <f>IF(B15=0,0,B119/B15)</f>
        <v>0.0300184423322457</v>
      </c>
      <c r="C120" s="15">
        <f>IF(C15=0,0,C119/C15)</f>
        <v>0.0269874476987448</v>
      </c>
      <c r="D120" s="15">
        <f>IF(D15=0,0,D119/D15)</f>
        <v>0.0275446737091519</v>
      </c>
      <c r="E120" s="15">
        <f>IF(E15=0,0,E119/E15)</f>
        <v>0.0275666291291291</v>
      </c>
      <c r="F120" s="29" t="n">
        <v>0.025</v>
      </c>
      <c r="G120" s="29" t="n">
        <v>0.025</v>
      </c>
      <c r="H120" s="29" t="n">
        <v>0.025</v>
      </c>
      <c r="I120" s="29" t="n">
        <v>0.025</v>
      </c>
      <c r="J120" s="29" t="n">
        <v>0.025</v>
      </c>
      <c r="K120" s="29" t="n">
        <v>0.025</v>
      </c>
      <c r="L120" s="29" t="n">
        <v>0.025</v>
      </c>
      <c r="M120" s="29" t="n">
        <v>0.025</v>
      </c>
    </row>
    <row r="122">
      <c r="A122" s="6" t="inlineStr">
        <is>
          <t xml:space="preserve">  Case 4 - Upside Case</t>
        </is>
      </c>
      <c r="B122" s="24">
        <f>B113</f>
        <v>1058</v>
      </c>
      <c r="C122" s="24">
        <f>C113</f>
        <v>1032</v>
      </c>
      <c r="D122" s="24">
        <f>D113</f>
        <v>1116</v>
      </c>
      <c r="E122" s="24">
        <f>E113</f>
        <v>1175</v>
      </c>
      <c r="F122" s="24">
        <f>F123*F18</f>
        <v>1479.90528</v>
      </c>
      <c r="G122" s="24">
        <f>G123*G18</f>
        <v>1657.4939136</v>
      </c>
      <c r="H122" s="24">
        <f>H123*H18</f>
        <v>1839.818244096</v>
      </c>
      <c r="I122" s="24">
        <f>I123*I18</f>
        <v>2023.8000685056</v>
      </c>
      <c r="J122" s="24">
        <f>J123*J18</f>
        <v>2205.94207467111</v>
      </c>
      <c r="K122" s="24">
        <f>K123*K18</f>
        <v>2382.41744064479</v>
      </c>
      <c r="L122" s="24">
        <f>L123*L18</f>
        <v>2549.18666148993</v>
      </c>
      <c r="M122" s="24">
        <f>M123*M18</f>
        <v>2702.13786117933</v>
      </c>
    </row>
    <row r="123">
      <c r="A123" s="11" t="inlineStr">
        <is>
          <t xml:space="preserve">    % of Revenue</t>
        </is>
      </c>
      <c r="B123" s="15">
        <f>IF(B18=0,0,B122/B18)</f>
        <v>0.0300184423322457</v>
      </c>
      <c r="C123" s="15">
        <f>IF(C18=0,0,C122/C18)</f>
        <v>0.0269874476987448</v>
      </c>
      <c r="D123" s="15">
        <f>IF(D18=0,0,D122/D18)</f>
        <v>0.0275446737091519</v>
      </c>
      <c r="E123" s="15">
        <f>IF(E18=0,0,E122/E18)</f>
        <v>0.0275666291291291</v>
      </c>
      <c r="F123" s="29" t="n">
        <v>0.031</v>
      </c>
      <c r="G123" s="29" t="n">
        <v>0.031</v>
      </c>
      <c r="H123" s="29" t="n">
        <v>0.031</v>
      </c>
      <c r="I123" s="29" t="n">
        <v>0.031</v>
      </c>
      <c r="J123" s="29" t="n">
        <v>0.031</v>
      </c>
      <c r="K123" s="29" t="n">
        <v>0.031</v>
      </c>
      <c r="L123" s="29" t="n">
        <v>0.031</v>
      </c>
      <c r="M123" s="29" t="n">
        <v>0.031</v>
      </c>
    </row>
    <row r="125">
      <c r="A125" s="6" t="inlineStr">
        <is>
          <t xml:space="preserve">  Case 5 - Flat Case</t>
        </is>
      </c>
      <c r="B125" s="24">
        <f>B113</f>
        <v>1058</v>
      </c>
      <c r="C125" s="24">
        <f>C113</f>
        <v>1032</v>
      </c>
      <c r="D125" s="24">
        <f>D113</f>
        <v>1116</v>
      </c>
      <c r="E125" s="24">
        <f>E113</f>
        <v>1175</v>
      </c>
      <c r="F125" s="24">
        <f>F126*F21</f>
        <v>1108.224</v>
      </c>
      <c r="G125" s="24">
        <f>G126*G21</f>
        <v>1108.224</v>
      </c>
      <c r="H125" s="24">
        <f>H126*H21</f>
        <v>1108.224</v>
      </c>
      <c r="I125" s="24">
        <f>I126*I21</f>
        <v>1108.224</v>
      </c>
      <c r="J125" s="24">
        <f>J126*J21</f>
        <v>1108.224</v>
      </c>
      <c r="K125" s="24">
        <f>K126*K21</f>
        <v>1108.224</v>
      </c>
      <c r="L125" s="24">
        <f>L126*L21</f>
        <v>1108.224</v>
      </c>
      <c r="M125" s="24">
        <f>M126*M21</f>
        <v>1108.224</v>
      </c>
    </row>
    <row r="126">
      <c r="A126" s="11" t="inlineStr">
        <is>
          <t xml:space="preserve">    % of Revenue</t>
        </is>
      </c>
      <c r="B126" s="15">
        <f>IF(B21=0,0,B125/B21)</f>
        <v>0.0300184423322457</v>
      </c>
      <c r="C126" s="15">
        <f>IF(C21=0,0,C125/C21)</f>
        <v>0.0269874476987448</v>
      </c>
      <c r="D126" s="15">
        <f>IF(D21=0,0,D125/D21)</f>
        <v>0.0275446737091519</v>
      </c>
      <c r="E126" s="15">
        <f>IF(E21=0,0,E125/E21)</f>
        <v>0.0275666291291291</v>
      </c>
      <c r="F126" s="29" t="n">
        <v>0.026</v>
      </c>
      <c r="G126" s="29" t="n">
        <v>0.026</v>
      </c>
      <c r="H126" s="29" t="n">
        <v>0.026</v>
      </c>
      <c r="I126" s="29" t="n">
        <v>0.026</v>
      </c>
      <c r="J126" s="29" t="n">
        <v>0.026</v>
      </c>
      <c r="K126" s="29" t="n">
        <v>0.026</v>
      </c>
      <c r="L126" s="29" t="n">
        <v>0.026</v>
      </c>
      <c r="M126" s="29" t="n">
        <v>0.026</v>
      </c>
    </row>
    <row r="128">
      <c r="A128" s="17" t="inlineStr">
        <is>
          <t>Capital Expenditures (selected case)</t>
        </is>
      </c>
      <c r="B128" s="31">
        <f>CHOOSE(Assump_CapStructure!$K$5,B113,B116,B119,B122,B125)</f>
        <v>1058</v>
      </c>
      <c r="C128" s="31">
        <f>CHOOSE(Assump_CapStructure!$K$5,C113,C116,C119,C122,C125)</f>
        <v>1032</v>
      </c>
      <c r="D128" s="31">
        <f>CHOOSE(Assump_CapStructure!$K$5,D113,D116,D119,D122,D125)</f>
        <v>1116</v>
      </c>
      <c r="E128" s="31">
        <f>CHOOSE(Assump_CapStructure!$K$5,E113,E116,E119,E122,E125)</f>
        <v>1175</v>
      </c>
      <c r="F128" s="31">
        <f>CHOOSE(Assump_CapStructure!$K$5,F113,F116,F119,F122,F125)</f>
        <v>1288.94976</v>
      </c>
      <c r="G128" s="31">
        <f>CHOOSE(Assump_CapStructure!$K$5,G113,G116,G119,G122,G125)</f>
        <v>1381.75414272</v>
      </c>
      <c r="H128" s="31">
        <f>CHOOSE(Assump_CapStructure!$K$5,H113,H116,H119,H122,H125)</f>
        <v>1471.5681619968</v>
      </c>
      <c r="I128" s="31">
        <f>CHOOSE(Assump_CapStructure!$K$5,I113,I116,I119,I122,I125)</f>
        <v>1559.86225171661</v>
      </c>
      <c r="J128" s="31">
        <f>CHOOSE(Assump_CapStructure!$K$5,J113,J116,J119,J122,J125)</f>
        <v>1645.65467556102</v>
      </c>
      <c r="K128" s="31">
        <f>CHOOSE(Assump_CapStructure!$K$5,K113,K116,K119,K122,K125)</f>
        <v>1727.93740933907</v>
      </c>
      <c r="L128" s="31">
        <f>CHOOSE(Assump_CapStructure!$K$5,L113,L116,L119,L122,L125)</f>
        <v>1805.69459275933</v>
      </c>
      <c r="M128" s="31">
        <f>CHOOSE(Assump_CapStructure!$K$5,M113,M116,M119,M122,M125)</f>
        <v>1877.9223764697</v>
      </c>
    </row>
    <row r="129">
      <c r="A129" s="11" t="inlineStr">
        <is>
          <t xml:space="preserve">    % of Revenue</t>
        </is>
      </c>
      <c r="B129" s="15">
        <f>IF(B24=0,0,B128/B24)</f>
        <v>0.0300184423322457</v>
      </c>
      <c r="C129" s="15">
        <f>IF(C24=0,0,C128/C24)</f>
        <v>0.0269874476987448</v>
      </c>
      <c r="D129" s="15">
        <f>IF(D24=0,0,D128/D24)</f>
        <v>0.0275446737091519</v>
      </c>
      <c r="E129" s="15">
        <f>IF(E24=0,0,E128/E24)</f>
        <v>0.0275666291291291</v>
      </c>
      <c r="F129" s="15">
        <f>IF(F24=0,0,F128/F24)</f>
        <v>0.028</v>
      </c>
      <c r="G129" s="15">
        <f>IF(G24=0,0,G128/G24)</f>
        <v>0.028</v>
      </c>
      <c r="H129" s="15">
        <f>IF(H24=0,0,H128/H24)</f>
        <v>0.028</v>
      </c>
      <c r="I129" s="15">
        <f>IF(I24=0,0,I128/I24)</f>
        <v>0.028</v>
      </c>
      <c r="J129" s="15">
        <f>IF(J24=0,0,J128/J24)</f>
        <v>0.028</v>
      </c>
      <c r="K129" s="15">
        <f>IF(K24=0,0,K128/K24)</f>
        <v>0.028</v>
      </c>
      <c r="L129" s="15">
        <f>IF(L24=0,0,L128/L24)</f>
        <v>0.028</v>
      </c>
      <c r="M129" s="15">
        <f>IF(M24=0,0,M128/M24)</f>
        <v>0.028</v>
      </c>
    </row>
    <row r="131">
      <c r="A131" s="35" t="inlineStr">
        <is>
          <t>WORKING CAPITAL</t>
        </is>
      </c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</row>
    <row r="132">
      <c r="A132" s="17" t="inlineStr">
        <is>
          <t>ASSETS</t>
        </is>
      </c>
    </row>
    <row r="133">
      <c r="A133" s="17" t="inlineStr">
        <is>
          <t>Accounts Receivable</t>
        </is>
      </c>
      <c r="B133" s="30" t="n">
        <v>4427</v>
      </c>
      <c r="C133" s="30" t="n">
        <v>4758</v>
      </c>
      <c r="D133" s="30" t="n">
        <v>4841</v>
      </c>
      <c r="E133" s="30" t="n">
        <v>5092</v>
      </c>
      <c r="F133" s="24">
        <f>F134/365*F24</f>
        <v>5612.35463013699</v>
      </c>
      <c r="G133" s="24">
        <f>G134/365*G24</f>
        <v>5948.84366728767</v>
      </c>
      <c r="H133" s="24">
        <f>H134/365*H24</f>
        <v>6407.5130341348</v>
      </c>
      <c r="I133" s="24">
        <f>I134/365*I24</f>
        <v>6791.96381618288</v>
      </c>
      <c r="J133" s="24">
        <f>J134/365*J24</f>
        <v>7165.52182607294</v>
      </c>
      <c r="K133" s="24">
        <f>K134/365*K24</f>
        <v>7354.72380687374</v>
      </c>
      <c r="L133" s="24">
        <f>L134/365*L24</f>
        <v>7862.36882365854</v>
      </c>
      <c r="M133" s="24">
        <f>M134/365*M24</f>
        <v>8084.98870495763</v>
      </c>
    </row>
    <row r="134">
      <c r="A134" s="11" t="inlineStr">
        <is>
          <t xml:space="preserve">    Days</t>
        </is>
      </c>
      <c r="B134" s="56">
        <f>B133/B24*365</f>
        <v>45.8463611859838</v>
      </c>
      <c r="C134" s="56">
        <f>C133/C24*365</f>
        <v>45.4150104602511</v>
      </c>
      <c r="D134" s="56">
        <f>D133/D24*365</f>
        <v>43.6115361832363</v>
      </c>
      <c r="E134" s="56">
        <f>E133/E24*365</f>
        <v>43.6040728228228</v>
      </c>
      <c r="F134" s="57" t="n">
        <v>44.5</v>
      </c>
      <c r="G134" s="57" t="n">
        <v>44</v>
      </c>
      <c r="H134" s="57" t="n">
        <v>44.5</v>
      </c>
      <c r="I134" s="57" t="n">
        <v>44.5</v>
      </c>
      <c r="J134" s="57" t="n">
        <v>44.5</v>
      </c>
      <c r="K134" s="57" t="n">
        <v>43.5</v>
      </c>
      <c r="L134" s="57" t="n">
        <v>44.5</v>
      </c>
      <c r="M134" s="57" t="n">
        <v>44</v>
      </c>
    </row>
    <row r="135">
      <c r="A135" s="11" t="inlineStr">
        <is>
          <t xml:space="preserve">    % of Revenue</t>
        </is>
      </c>
      <c r="B135" s="15">
        <f>B133/B24</f>
        <v>0.125606469002695</v>
      </c>
      <c r="C135" s="15">
        <f>C133/C24</f>
        <v>0.124424686192469</v>
      </c>
      <c r="D135" s="15">
        <f>D133/D24</f>
        <v>0.11948366077599</v>
      </c>
      <c r="E135" s="15">
        <f>E133/E24</f>
        <v>0.119463213213213</v>
      </c>
      <c r="F135" s="15">
        <f>F133/F24</f>
        <v>0.121917808219178</v>
      </c>
      <c r="G135" s="15">
        <f>G133/G24</f>
        <v>0.120547945205479</v>
      </c>
      <c r="H135" s="15">
        <f>H133/H24</f>
        <v>0.121917808219178</v>
      </c>
      <c r="I135" s="15">
        <f>I133/I24</f>
        <v>0.121917808219178</v>
      </c>
      <c r="J135" s="15">
        <f>J133/J24</f>
        <v>0.121917808219178</v>
      </c>
      <c r="K135" s="15">
        <f>K133/K24</f>
        <v>0.119178082191781</v>
      </c>
      <c r="L135" s="15">
        <f>L133/L24</f>
        <v>0.121917808219178</v>
      </c>
      <c r="M135" s="15">
        <f>M133/M24</f>
        <v>0.120547945205479</v>
      </c>
    </row>
    <row r="136">
      <c r="A136" s="17" t="inlineStr">
        <is>
          <t>Inventory</t>
        </is>
      </c>
      <c r="B136" s="30" t="n">
        <v>3827</v>
      </c>
      <c r="C136" s="30" t="n">
        <v>4384</v>
      </c>
      <c r="D136" s="30" t="n">
        <v>4502</v>
      </c>
      <c r="E136" s="30" t="n">
        <v>4706</v>
      </c>
      <c r="F136" s="24">
        <f>F137/365*F43</f>
        <v>5082.64924931507</v>
      </c>
      <c r="G136" s="24">
        <f>G137/365*G43</f>
        <v>5388.02995065337</v>
      </c>
      <c r="H136" s="24">
        <f>H137/365*H43</f>
        <v>5767.04970883521</v>
      </c>
      <c r="I136" s="24">
        <f>I137/365*I43</f>
        <v>6152.83238966006</v>
      </c>
      <c r="J136" s="24">
        <f>J137/365*J43</f>
        <v>6481.17423594238</v>
      </c>
      <c r="K136" s="24">
        <f>K137/365*K43</f>
        <v>6805.2329477395</v>
      </c>
      <c r="L136" s="24">
        <f>L137/365*L43</f>
        <v>7043.62237132519</v>
      </c>
      <c r="M136" s="24">
        <f>M137/365*M43</f>
        <v>7266.29172370902</v>
      </c>
    </row>
    <row r="137">
      <c r="A137" s="11" t="inlineStr">
        <is>
          <t xml:space="preserve">    Days</t>
        </is>
      </c>
      <c r="B137" s="56">
        <f>B136/B43*365</f>
        <v>60.1056368330465</v>
      </c>
      <c r="C137" s="56">
        <f>C136/C43*365</f>
        <v>63.9399025013985</v>
      </c>
      <c r="D137" s="56">
        <f>D136/D43*365</f>
        <v>62.6613026235509</v>
      </c>
      <c r="E137" s="56">
        <f>E136/E43*365</f>
        <v>61.1321090469073</v>
      </c>
      <c r="F137" s="57" t="n">
        <v>62</v>
      </c>
      <c r="G137" s="57" t="n">
        <v>61.5</v>
      </c>
      <c r="H137" s="57" t="n">
        <v>62</v>
      </c>
      <c r="I137" s="57" t="n">
        <v>62.5</v>
      </c>
      <c r="J137" s="57" t="n">
        <v>62.5</v>
      </c>
      <c r="K137" s="57" t="n">
        <v>62.5</v>
      </c>
      <c r="L137" s="57" t="n">
        <v>62</v>
      </c>
      <c r="M137" s="57" t="n">
        <v>61.5</v>
      </c>
    </row>
    <row r="138">
      <c r="A138" s="11" t="inlineStr">
        <is>
          <t xml:space="preserve">    % of Revenue</t>
        </is>
      </c>
      <c r="B138" s="15">
        <f>B136/B24</f>
        <v>0.108582777698964</v>
      </c>
      <c r="C138" s="15">
        <f>C136/C24</f>
        <v>0.114644351464435</v>
      </c>
      <c r="D138" s="15">
        <f>D136/D24</f>
        <v>0.111116595912726</v>
      </c>
      <c r="E138" s="15">
        <f>E136/E24</f>
        <v>0.110407282282282</v>
      </c>
      <c r="F138" s="15">
        <f>F136/F24</f>
        <v>0.11041095890411</v>
      </c>
      <c r="G138" s="15">
        <f>G136/G24</f>
        <v>0.109183561643836</v>
      </c>
      <c r="H138" s="15">
        <f>H136/H24</f>
        <v>0.109731506849315</v>
      </c>
      <c r="I138" s="15">
        <f>I136/I24</f>
        <v>0.110445205479452</v>
      </c>
      <c r="J138" s="15">
        <f>J136/J24</f>
        <v>0.11027397260274</v>
      </c>
      <c r="K138" s="15">
        <f>K136/K24</f>
        <v>0.11027397260274</v>
      </c>
      <c r="L138" s="15">
        <f>L136/L24</f>
        <v>0.109221917808219</v>
      </c>
      <c r="M138" s="15">
        <f>M136/M24</f>
        <v>0.108341095890411</v>
      </c>
    </row>
    <row r="139">
      <c r="A139" s="17" t="inlineStr">
        <is>
          <t>Prepaid and Other Advances</t>
        </is>
      </c>
      <c r="B139" s="30" t="n">
        <v>483</v>
      </c>
      <c r="C139" s="30" t="n">
        <v>470</v>
      </c>
      <c r="D139" s="30" t="n">
        <v>531</v>
      </c>
      <c r="E139" s="30" t="n">
        <v>560</v>
      </c>
      <c r="F139" s="24">
        <f>F140*F24</f>
        <v>598.44096</v>
      </c>
      <c r="G139" s="24">
        <f>G140*G24</f>
        <v>641.52870912</v>
      </c>
      <c r="H139" s="24">
        <f>H140*H24</f>
        <v>683.2280752128</v>
      </c>
      <c r="I139" s="24">
        <f>I140*I24</f>
        <v>724.221759725568</v>
      </c>
      <c r="J139" s="24">
        <f>J140*J24</f>
        <v>764.053956510474</v>
      </c>
      <c r="K139" s="24">
        <f>K140*K24</f>
        <v>802.256654335998</v>
      </c>
      <c r="L139" s="24">
        <f>L140*L24</f>
        <v>838.358203781118</v>
      </c>
      <c r="M139" s="24">
        <f>M140*M24</f>
        <v>871.892531932363</v>
      </c>
    </row>
    <row r="140">
      <c r="A140" s="11" t="inlineStr">
        <is>
          <t xml:space="preserve">    % of Revenue</t>
        </is>
      </c>
      <c r="B140" s="15">
        <f>B139/B24</f>
        <v>0.0137040714995035</v>
      </c>
      <c r="C140" s="15">
        <f>C139/C24</f>
        <v>0.0122907949790795</v>
      </c>
      <c r="D140" s="15">
        <f>D139/D24</f>
        <v>0.0131059334583868</v>
      </c>
      <c r="E140" s="15">
        <f>E139/E24</f>
        <v>0.0131381381381381</v>
      </c>
      <c r="F140" s="29" t="n">
        <v>0.013</v>
      </c>
      <c r="G140" s="29" t="n">
        <v>0.013</v>
      </c>
      <c r="H140" s="29" t="n">
        <v>0.013</v>
      </c>
      <c r="I140" s="29" t="n">
        <v>0.013</v>
      </c>
      <c r="J140" s="29" t="n">
        <v>0.013</v>
      </c>
      <c r="K140" s="29" t="n">
        <v>0.013</v>
      </c>
      <c r="L140" s="29" t="n">
        <v>0.013</v>
      </c>
      <c r="M140" s="29" t="n">
        <v>0.013</v>
      </c>
    </row>
    <row r="141">
      <c r="A141" s="17" t="inlineStr">
        <is>
          <t>Other Current Assets</t>
        </is>
      </c>
      <c r="B141" s="30" t="n">
        <v>138</v>
      </c>
      <c r="C141" s="30" t="n">
        <v>158</v>
      </c>
      <c r="D141" s="30" t="n">
        <v>148</v>
      </c>
      <c r="E141" s="30" t="n">
        <v>167</v>
      </c>
      <c r="F141" s="24">
        <f>F142*F24</f>
        <v>184.13568</v>
      </c>
      <c r="G141" s="24">
        <f>G142*G24</f>
        <v>197.39344896</v>
      </c>
      <c r="H141" s="24">
        <f>H142*H24</f>
        <v>210.2240231424</v>
      </c>
      <c r="I141" s="24">
        <f>I142*I24</f>
        <v>222.837464530944</v>
      </c>
      <c r="J141" s="24">
        <f>J142*J24</f>
        <v>235.093525080146</v>
      </c>
      <c r="K141" s="24">
        <f>K142*K24</f>
        <v>246.848201334153</v>
      </c>
      <c r="L141" s="24">
        <f>L142*L24</f>
        <v>257.95637039419</v>
      </c>
      <c r="M141" s="24">
        <f>M142*M24</f>
        <v>268.274625209958</v>
      </c>
    </row>
    <row r="142">
      <c r="A142" s="11" t="inlineStr">
        <is>
          <t xml:space="preserve">    % of Revenue</t>
        </is>
      </c>
      <c r="B142" s="15">
        <f>B141/B24</f>
        <v>0.00391544899985814</v>
      </c>
      <c r="C142" s="15">
        <f>C141/C24</f>
        <v>0.00413179916317992</v>
      </c>
      <c r="D142" s="15">
        <f>D141/D24</f>
        <v>0.00365287787540725</v>
      </c>
      <c r="E142" s="15">
        <f>E141/E24</f>
        <v>0.00391798048048048</v>
      </c>
      <c r="F142" s="29" t="n">
        <v>0.004</v>
      </c>
      <c r="G142" s="29" t="n">
        <v>0.004</v>
      </c>
      <c r="H142" s="29" t="n">
        <v>0.004</v>
      </c>
      <c r="I142" s="29" t="n">
        <v>0.004</v>
      </c>
      <c r="J142" s="29" t="n">
        <v>0.004</v>
      </c>
      <c r="K142" s="29" t="n">
        <v>0.004</v>
      </c>
      <c r="L142" s="29" t="n">
        <v>0.004</v>
      </c>
      <c r="M142" s="29" t="n">
        <v>0.004</v>
      </c>
    </row>
    <row r="143">
      <c r="A143" s="17" t="inlineStr">
        <is>
          <t>LIABILITIES</t>
        </is>
      </c>
    </row>
    <row r="144">
      <c r="A144" s="17" t="inlineStr">
        <is>
          <t>Accounts Payable</t>
        </is>
      </c>
      <c r="B144" s="30" t="n">
        <v>1881</v>
      </c>
      <c r="C144" s="30" t="n">
        <v>2016</v>
      </c>
      <c r="D144" s="30" t="n">
        <v>2088</v>
      </c>
      <c r="E144" s="30" t="n">
        <v>2403</v>
      </c>
      <c r="F144" s="24">
        <f>F145/365*F43</f>
        <v>2541.32462465753</v>
      </c>
      <c r="G144" s="24">
        <f>G145/365*G43</f>
        <v>2672.11241455167</v>
      </c>
      <c r="H144" s="24">
        <f>H145/365*H43</f>
        <v>2883.5248544176</v>
      </c>
      <c r="I144" s="24">
        <f>I145/365*I43</f>
        <v>3051.80486527139</v>
      </c>
      <c r="J144" s="24">
        <f>J145/365*J43</f>
        <v>3162.81302713988</v>
      </c>
      <c r="K144" s="24">
        <f>K145/365*K43</f>
        <v>3375.39554207879</v>
      </c>
      <c r="L144" s="24">
        <f>L145/365*L43</f>
        <v>3521.8111856626</v>
      </c>
      <c r="M144" s="24">
        <f>M145/365*M43</f>
        <v>3662.6836330891</v>
      </c>
    </row>
    <row r="145">
      <c r="A145" s="11" t="inlineStr">
        <is>
          <t xml:space="preserve">    Days</t>
        </is>
      </c>
      <c r="B145" s="56">
        <f>B144/B43*365</f>
        <v>29.5423838209983</v>
      </c>
      <c r="C145" s="56">
        <f>C144/C43*365</f>
        <v>29.4030208583074</v>
      </c>
      <c r="D145" s="56">
        <f>D144/D43*365</f>
        <v>29.061928004881</v>
      </c>
      <c r="E145" s="56">
        <f>E144/E43*365</f>
        <v>31.2155669442665</v>
      </c>
      <c r="F145" s="57" t="n">
        <v>31</v>
      </c>
      <c r="G145" s="57" t="n">
        <v>30.5</v>
      </c>
      <c r="H145" s="57" t="n">
        <v>31</v>
      </c>
      <c r="I145" s="57" t="n">
        <v>31</v>
      </c>
      <c r="J145" s="57" t="n">
        <v>30.5</v>
      </c>
      <c r="K145" s="57" t="n">
        <v>31</v>
      </c>
      <c r="L145" s="57" t="n">
        <v>31</v>
      </c>
      <c r="M145" s="57" t="n">
        <v>31</v>
      </c>
    </row>
    <row r="146">
      <c r="A146" s="11" t="inlineStr">
        <is>
          <t xml:space="preserve">    % of Revenue</t>
        </is>
      </c>
      <c r="B146" s="15">
        <f>B144/B24</f>
        <v>0.0533692722371968</v>
      </c>
      <c r="C146" s="15">
        <f>C144/C24</f>
        <v>0.0527196652719665</v>
      </c>
      <c r="D146" s="15">
        <f>D144/D24</f>
        <v>0.0515351959719617</v>
      </c>
      <c r="E146" s="15">
        <f>E144/E24</f>
        <v>0.0563766891891892</v>
      </c>
      <c r="F146" s="15">
        <f>F144/F24</f>
        <v>0.0552054794520548</v>
      </c>
      <c r="G146" s="15">
        <f>G144/G24</f>
        <v>0.0541479452054795</v>
      </c>
      <c r="H146" s="15">
        <f>H144/H24</f>
        <v>0.0548657534246575</v>
      </c>
      <c r="I146" s="15">
        <f>I144/I24</f>
        <v>0.0547808219178082</v>
      </c>
      <c r="J146" s="15">
        <f>J144/J24</f>
        <v>0.053813698630137</v>
      </c>
      <c r="K146" s="15">
        <f>K144/K24</f>
        <v>0.0546958904109589</v>
      </c>
      <c r="L146" s="15">
        <f>L144/L24</f>
        <v>0.0546109589041096</v>
      </c>
      <c r="M146" s="15">
        <f>M144/M24</f>
        <v>0.0546109589041096</v>
      </c>
    </row>
    <row r="147">
      <c r="A147" s="17" t="inlineStr">
        <is>
          <t>Accrued Expenses</t>
        </is>
      </c>
      <c r="B147" s="30" t="n">
        <v>1910</v>
      </c>
      <c r="C147" s="30" t="n">
        <v>2059</v>
      </c>
      <c r="D147" s="30" t="n">
        <v>2238</v>
      </c>
      <c r="E147" s="30" t="n">
        <v>2286</v>
      </c>
      <c r="F147" s="24">
        <f>F148*F24</f>
        <v>2531.8656</v>
      </c>
      <c r="G147" s="24">
        <f>G148*G24</f>
        <v>2714.1599232</v>
      </c>
      <c r="H147" s="24">
        <f>H148*H24</f>
        <v>2890.580318208</v>
      </c>
      <c r="I147" s="24">
        <f>I148*I24</f>
        <v>3064.01513730048</v>
      </c>
      <c r="J147" s="24">
        <f>J148*J24</f>
        <v>3232.53596985201</v>
      </c>
      <c r="K147" s="24">
        <f>K148*K24</f>
        <v>3394.16276834461</v>
      </c>
      <c r="L147" s="24">
        <f>L148*L24</f>
        <v>3546.90009292011</v>
      </c>
      <c r="M147" s="24">
        <f>M148*M24</f>
        <v>3688.77609663692</v>
      </c>
    </row>
    <row r="148">
      <c r="A148" s="11" t="inlineStr">
        <is>
          <t xml:space="preserve">    % of Revenue</t>
        </is>
      </c>
      <c r="B148" s="15">
        <f>B147/B24</f>
        <v>0.0541920839835438</v>
      </c>
      <c r="C148" s="15">
        <f>C147/C24</f>
        <v>0.0538441422594142</v>
      </c>
      <c r="D148" s="15">
        <f>D147/D24</f>
        <v>0.0552374370619015</v>
      </c>
      <c r="E148" s="15">
        <f>E147/E24</f>
        <v>0.0536317567567568</v>
      </c>
      <c r="F148" s="29" t="n">
        <v>0.055</v>
      </c>
      <c r="G148" s="29" t="n">
        <v>0.055</v>
      </c>
      <c r="H148" s="29" t="n">
        <v>0.055</v>
      </c>
      <c r="I148" s="29" t="n">
        <v>0.055</v>
      </c>
      <c r="J148" s="29" t="n">
        <v>0.055</v>
      </c>
      <c r="K148" s="29" t="n">
        <v>0.055</v>
      </c>
      <c r="L148" s="29" t="n">
        <v>0.055</v>
      </c>
      <c r="M148" s="29" t="n">
        <v>0.055</v>
      </c>
    </row>
    <row r="149">
      <c r="A149" s="17" t="inlineStr">
        <is>
          <t>Accrued Product Liability</t>
        </is>
      </c>
      <c r="B149" s="30" t="n">
        <v>339</v>
      </c>
      <c r="C149" s="30" t="n">
        <v>375</v>
      </c>
      <c r="D149" s="30" t="n">
        <v>430</v>
      </c>
      <c r="E149" s="30" t="n">
        <v>423</v>
      </c>
      <c r="F149" s="24">
        <f>F150*F24</f>
        <v>460.3392</v>
      </c>
      <c r="G149" s="24">
        <f>G150*G24</f>
        <v>493.4836224</v>
      </c>
      <c r="H149" s="24">
        <f>H150*H24</f>
        <v>525.560057856</v>
      </c>
      <c r="I149" s="24">
        <f>I150*I24</f>
        <v>557.09366132736</v>
      </c>
      <c r="J149" s="24">
        <f>J150*J24</f>
        <v>587.733812700365</v>
      </c>
      <c r="K149" s="24">
        <f>K150*K24</f>
        <v>617.120503335383</v>
      </c>
      <c r="L149" s="24">
        <f>L150*L24</f>
        <v>644.890925985475</v>
      </c>
      <c r="M149" s="24">
        <f>M150*M24</f>
        <v>670.686563024894</v>
      </c>
    </row>
    <row r="150">
      <c r="A150" s="11" t="inlineStr">
        <is>
          <t xml:space="preserve">    % of Revenue</t>
        </is>
      </c>
      <c r="B150" s="15">
        <f>B149/B24</f>
        <v>0.00961838558660803</v>
      </c>
      <c r="C150" s="15">
        <f>C149/C24</f>
        <v>0.00980648535564854</v>
      </c>
      <c r="D150" s="15">
        <f>D149/D24</f>
        <v>0.010613091124494</v>
      </c>
      <c r="E150" s="15">
        <f>E149/E24</f>
        <v>0.00992398648648649</v>
      </c>
      <c r="F150" s="29" t="n">
        <v>0.01</v>
      </c>
      <c r="G150" s="29" t="n">
        <v>0.01</v>
      </c>
      <c r="H150" s="29" t="n">
        <v>0.01</v>
      </c>
      <c r="I150" s="29" t="n">
        <v>0.01</v>
      </c>
      <c r="J150" s="29" t="n">
        <v>0.01</v>
      </c>
      <c r="K150" s="29" t="n">
        <v>0.01</v>
      </c>
      <c r="L150" s="29" t="n">
        <v>0.01</v>
      </c>
      <c r="M150" s="29" t="n">
        <v>0.01</v>
      </c>
    </row>
    <row r="151">
      <c r="A151" s="17" t="inlineStr">
        <is>
          <t>Other Liabilities #3</t>
        </is>
      </c>
      <c r="B151" s="30" t="n">
        <v>210</v>
      </c>
      <c r="C151" s="30" t="n">
        <v>218</v>
      </c>
      <c r="D151" s="30" t="n">
        <v>213</v>
      </c>
      <c r="E151" s="30" t="n">
        <v>285</v>
      </c>
      <c r="F151" s="24">
        <f>F152*F24</f>
        <v>276.20352</v>
      </c>
      <c r="G151" s="24">
        <f>G152*G24</f>
        <v>296.09017344</v>
      </c>
      <c r="H151" s="24">
        <f>H152*H24</f>
        <v>315.3360347136</v>
      </c>
      <c r="I151" s="24">
        <f>I152*I24</f>
        <v>334.256196796416</v>
      </c>
      <c r="J151" s="24">
        <f>J152*J24</f>
        <v>352.640287620219</v>
      </c>
      <c r="K151" s="24">
        <f>K152*K24</f>
        <v>370.27230200123</v>
      </c>
      <c r="L151" s="24">
        <f>L152*L24</f>
        <v>386.934555591285</v>
      </c>
      <c r="M151" s="24">
        <f>M152*M24</f>
        <v>402.411937814937</v>
      </c>
    </row>
    <row r="152">
      <c r="A152" s="11" t="inlineStr">
        <is>
          <t xml:space="preserve">    % of Revenue</t>
        </is>
      </c>
      <c r="B152" s="15">
        <f>B151/B24</f>
        <v>0.00595829195630586</v>
      </c>
      <c r="C152" s="15">
        <f>C151/C24</f>
        <v>0.00570083682008368</v>
      </c>
      <c r="D152" s="15">
        <f>D151/D24</f>
        <v>0.00525718234771448</v>
      </c>
      <c r="E152" s="15">
        <f>E151/E24</f>
        <v>0.00668637387387387</v>
      </c>
      <c r="F152" s="29" t="n">
        <v>0.006</v>
      </c>
      <c r="G152" s="29" t="n">
        <v>0.006</v>
      </c>
      <c r="H152" s="29" t="n">
        <v>0.006</v>
      </c>
      <c r="I152" s="29" t="n">
        <v>0.006</v>
      </c>
      <c r="J152" s="29" t="n">
        <v>0.006</v>
      </c>
      <c r="K152" s="29" t="n">
        <v>0.006</v>
      </c>
      <c r="L152" s="29" t="n">
        <v>0.006</v>
      </c>
      <c r="M152" s="29" t="n">
        <v>0.006</v>
      </c>
    </row>
    <row r="154">
      <c r="A154" s="17" t="inlineStr">
        <is>
          <t>Net Working Assets</t>
        </is>
      </c>
      <c r="B154" s="58">
        <f>B133+B136+B139+B141</f>
        <v>8875</v>
      </c>
      <c r="C154" s="58">
        <f>C133+C136+C139+C141</f>
        <v>9770</v>
      </c>
      <c r="D154" s="58">
        <f>D133+D136+D139+D141</f>
        <v>10022</v>
      </c>
      <c r="E154" s="58">
        <f>E133+E136+E139+E141</f>
        <v>10525</v>
      </c>
      <c r="F154" s="58">
        <f>F133+F136+F139+F141</f>
        <v>11477.5805194521</v>
      </c>
      <c r="G154" s="58">
        <f>G133+G136+G139+G141</f>
        <v>12175.795776021</v>
      </c>
      <c r="H154" s="58">
        <f>H133+H136+H139+H141</f>
        <v>13068.0148413252</v>
      </c>
      <c r="I154" s="58">
        <f>I133+I136+I139+I141</f>
        <v>13891.8554300995</v>
      </c>
      <c r="J154" s="58">
        <f>J133+J136+J139+J141</f>
        <v>14645.8435436059</v>
      </c>
      <c r="K154" s="58">
        <f>K133+K136+K139+K141</f>
        <v>15209.0616102834</v>
      </c>
      <c r="L154" s="58">
        <f>L133+L136+L139+L141</f>
        <v>16002.305769159</v>
      </c>
      <c r="M154" s="58">
        <f>M133+M136+M139+M141</f>
        <v>16491.447585809</v>
      </c>
    </row>
    <row r="155">
      <c r="A155" s="17" t="inlineStr">
        <is>
          <t>Net Working Liabilities</t>
        </is>
      </c>
      <c r="B155" s="24">
        <f>B144+B147+B149+B151</f>
        <v>4340</v>
      </c>
      <c r="C155" s="24">
        <f>C144+C147+C149+C151</f>
        <v>4668</v>
      </c>
      <c r="D155" s="24">
        <f>D144+D147+D149+D151</f>
        <v>4969</v>
      </c>
      <c r="E155" s="24">
        <f>E144+E147+E149+E151</f>
        <v>5397</v>
      </c>
      <c r="F155" s="24">
        <f>F144+F147+F149+F151</f>
        <v>5809.73294465754</v>
      </c>
      <c r="G155" s="24">
        <f>G144+G147+G149+G151</f>
        <v>6175.84613359167</v>
      </c>
      <c r="H155" s="24">
        <f>H144+H147+H149+H151</f>
        <v>6615.00126519521</v>
      </c>
      <c r="I155" s="24">
        <f>I144+I147+I149+I151</f>
        <v>7007.16986069564</v>
      </c>
      <c r="J155" s="24">
        <f>J144+J147+J149+J151</f>
        <v>7335.72309731247</v>
      </c>
      <c r="K155" s="24">
        <f>K144+K147+K149+K151</f>
        <v>7756.95111576001</v>
      </c>
      <c r="L155" s="24">
        <f>L144+L147+L149+L151</f>
        <v>8100.53676015947</v>
      </c>
      <c r="M155" s="24">
        <f>M144+M147+M149+M151</f>
        <v>8424.55823056585</v>
      </c>
    </row>
    <row r="156">
      <c r="A156" s="17" t="inlineStr">
        <is>
          <t>Net Working Capital</t>
        </is>
      </c>
      <c r="B156" s="18">
        <f>B154-B155</f>
        <v>4535</v>
      </c>
      <c r="C156" s="18">
        <f>C154-C155</f>
        <v>5102</v>
      </c>
      <c r="D156" s="18">
        <f>D154-D155</f>
        <v>5053</v>
      </c>
      <c r="E156" s="18">
        <f>E154-E155</f>
        <v>5128</v>
      </c>
      <c r="F156" s="18">
        <f>F154-F155</f>
        <v>5667.84757479452</v>
      </c>
      <c r="G156" s="18">
        <f>G154-G155</f>
        <v>5999.94964242937</v>
      </c>
      <c r="H156" s="18">
        <f>H154-H155</f>
        <v>6453.01357613</v>
      </c>
      <c r="I156" s="18">
        <f>I154-I155</f>
        <v>6884.68556940381</v>
      </c>
      <c r="J156" s="18">
        <f>J154-J155</f>
        <v>7310.12044629347</v>
      </c>
      <c r="K156" s="18">
        <f>K154-K155</f>
        <v>7452.11049452338</v>
      </c>
      <c r="L156" s="18">
        <f>L154-L155</f>
        <v>7901.76900899957</v>
      </c>
      <c r="M156" s="18">
        <f>M154-M155</f>
        <v>8066.88935524312</v>
      </c>
    </row>
    <row r="157">
      <c r="A157" s="6" t="inlineStr">
        <is>
          <t>(Inc)/Dec in Net Working Capital</t>
        </is>
      </c>
      <c r="C157" s="24">
        <f>B156-C156</f>
        <v>-567</v>
      </c>
      <c r="D157" s="24">
        <f>C156-D156</f>
        <v>49</v>
      </c>
      <c r="E157" s="24">
        <f>D156-E156</f>
        <v>-75</v>
      </c>
      <c r="F157" s="24">
        <f>E156-F156</f>
        <v>-539.847574794519</v>
      </c>
      <c r="G157" s="24">
        <f>F156-G156</f>
        <v>-332.102067634854</v>
      </c>
      <c r="H157" s="24">
        <f>G156-H156</f>
        <v>-453.063933700628</v>
      </c>
      <c r="I157" s="24">
        <f>H156-I156</f>
        <v>-431.671993273807</v>
      </c>
      <c r="J157" s="24">
        <f>I156-J156</f>
        <v>-425.434876889663</v>
      </c>
      <c r="K157" s="24">
        <f>J156-K156</f>
        <v>-141.990048229909</v>
      </c>
      <c r="L157" s="24">
        <f>K156-L156</f>
        <v>-449.658514476186</v>
      </c>
      <c r="M157" s="24">
        <f>L156-M156</f>
        <v>-165.120346243559</v>
      </c>
    </row>
    <row r="160">
      <c r="A160" s="11" t="inlineStr">
        <is>
          <t>(1) Historical amounts are inputs from the Company's fiscal-year financials; projections driven by days / % of revenue inputs.</t>
        </is>
      </c>
    </row>
    <row r="161">
      <c r="A161" s="11" t="inlineStr">
        <is>
          <t>(2) Inventory and AP days computed on COGS (excl. D&amp;A); AR days on revenue.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Bid Materials --&gt;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7" t="inlineStr">
        <is>
          <t>Project Osprey</t>
        </is>
      </c>
    </row>
    <row r="3">
      <c r="B3" s="2" t="inlineStr">
        <is>
          <t>Financial and Returns Summary ($ in millions)</t>
        </is>
      </c>
    </row>
    <row r="5">
      <c r="B5" s="12" t="inlineStr">
        <is>
          <t>FYE December 31,</t>
        </is>
      </c>
      <c r="C5" s="28" t="inlineStr">
        <is>
          <t>2019A</t>
        </is>
      </c>
      <c r="D5" s="28" t="inlineStr">
        <is>
          <t>2020A</t>
        </is>
      </c>
      <c r="E5" s="28" t="inlineStr">
        <is>
          <t>2021A</t>
        </is>
      </c>
      <c r="F5" s="28" t="inlineStr">
        <is>
          <t>2022A</t>
        </is>
      </c>
      <c r="G5" s="28" t="inlineStr">
        <is>
          <t>2023E</t>
        </is>
      </c>
      <c r="H5" s="28" t="inlineStr">
        <is>
          <t>2024E</t>
        </is>
      </c>
      <c r="I5" s="28" t="inlineStr">
        <is>
          <t>2025E</t>
        </is>
      </c>
      <c r="J5" s="28" t="inlineStr">
        <is>
          <t>2026E</t>
        </is>
      </c>
      <c r="K5" s="28" t="inlineStr">
        <is>
          <t>2027E</t>
        </is>
      </c>
    </row>
    <row r="6">
      <c r="B6" s="17" t="inlineStr">
        <is>
          <t>Total Revenue</t>
        </is>
      </c>
      <c r="C6" s="57" t="n">
        <v>62.2</v>
      </c>
      <c r="D6" s="57" t="n">
        <v>66.40000000000001</v>
      </c>
      <c r="E6" s="57" t="n">
        <v>70.59999999999999</v>
      </c>
      <c r="F6" s="57" t="n">
        <v>76.3</v>
      </c>
      <c r="G6" s="57" t="n">
        <v>80.7</v>
      </c>
      <c r="H6" s="57" t="n">
        <v>87</v>
      </c>
      <c r="I6" s="57" t="n">
        <v>93.90000000000001</v>
      </c>
      <c r="J6" s="57" t="n">
        <v>98.8</v>
      </c>
      <c r="K6" s="57" t="n">
        <v>103.5</v>
      </c>
    </row>
    <row r="7">
      <c r="B7" s="6" t="inlineStr">
        <is>
          <t xml:space="preserve">   % growth</t>
        </is>
      </c>
      <c r="D7" s="29" t="n">
        <v>0.068</v>
      </c>
      <c r="E7" s="29" t="n">
        <v>0.063</v>
      </c>
      <c r="F7" s="29" t="n">
        <v>0.081</v>
      </c>
      <c r="G7" s="29" t="n">
        <v>0.058</v>
      </c>
      <c r="H7" s="29" t="n">
        <v>0.078</v>
      </c>
      <c r="I7" s="29" t="n">
        <v>0.079</v>
      </c>
      <c r="J7" s="29" t="n">
        <v>0.052</v>
      </c>
      <c r="K7" s="29" t="n">
        <v>0.048</v>
      </c>
    </row>
    <row r="8">
      <c r="B8" s="17" t="inlineStr">
        <is>
          <t>Gross Profit</t>
        </is>
      </c>
      <c r="C8" s="57" t="n">
        <v>23.5</v>
      </c>
      <c r="D8" s="57" t="n">
        <v>24.1</v>
      </c>
      <c r="E8" s="57" t="n">
        <v>27.3</v>
      </c>
      <c r="F8" s="57" t="n">
        <v>27.8</v>
      </c>
      <c r="G8" s="57" t="n">
        <v>30.9</v>
      </c>
      <c r="H8" s="57" t="n">
        <v>31.6</v>
      </c>
      <c r="I8" s="57" t="n">
        <v>34.4</v>
      </c>
      <c r="J8" s="57" t="n">
        <v>38.1</v>
      </c>
      <c r="K8" s="57" t="n">
        <v>39.5</v>
      </c>
    </row>
    <row r="9">
      <c r="B9" s="6" t="inlineStr">
        <is>
          <t xml:space="preserve">   % margin</t>
        </is>
      </c>
      <c r="C9" s="15">
        <f>C8/C6</f>
        <v>0.377813504823151</v>
      </c>
      <c r="D9" s="15">
        <f>D8/D6</f>
        <v>0.362951807228916</v>
      </c>
      <c r="E9" s="15">
        <f>E8/E6</f>
        <v>0.386685552407932</v>
      </c>
      <c r="F9" s="15">
        <f>F8/F6</f>
        <v>0.36435124508519</v>
      </c>
      <c r="G9" s="15">
        <f>G8/G6</f>
        <v>0.382899628252788</v>
      </c>
      <c r="H9" s="15">
        <f>H8/H6</f>
        <v>0.363218390804598</v>
      </c>
      <c r="I9" s="15">
        <f>I8/I6</f>
        <v>0.366347177848775</v>
      </c>
      <c r="J9" s="15">
        <f>J8/J6</f>
        <v>0.385627530364373</v>
      </c>
      <c r="K9" s="15">
        <f>K8/K6</f>
        <v>0.381642512077295</v>
      </c>
    </row>
    <row r="10">
      <c r="B10" s="17" t="inlineStr">
        <is>
          <t>Adj. EBITDA</t>
        </is>
      </c>
      <c r="C10" s="57" t="n">
        <v>9.800000000000001</v>
      </c>
      <c r="D10" s="57" t="n">
        <v>10.9</v>
      </c>
      <c r="E10" s="57" t="n">
        <v>11</v>
      </c>
      <c r="F10" s="57" t="n">
        <v>11.8</v>
      </c>
      <c r="G10" s="57" t="n">
        <v>12.7</v>
      </c>
      <c r="H10" s="57" t="n">
        <v>14</v>
      </c>
      <c r="I10" s="57" t="n">
        <v>14.5</v>
      </c>
      <c r="J10" s="57" t="n">
        <v>16</v>
      </c>
      <c r="K10" s="57" t="n">
        <v>17.6</v>
      </c>
    </row>
    <row r="11">
      <c r="B11" s="6" t="inlineStr">
        <is>
          <t xml:space="preserve">   % margin</t>
        </is>
      </c>
      <c r="C11" s="15">
        <f>C10/C6</f>
        <v>0.157556270096463</v>
      </c>
      <c r="D11" s="15">
        <f>D10/D6</f>
        <v>0.164156626506024</v>
      </c>
      <c r="E11" s="15">
        <f>E10/E6</f>
        <v>0.155807365439094</v>
      </c>
      <c r="F11" s="15">
        <f>F10/F6</f>
        <v>0.154652686762779</v>
      </c>
      <c r="G11" s="15">
        <f>G10/G6</f>
        <v>0.157372986369269</v>
      </c>
      <c r="H11" s="15">
        <f>H10/H6</f>
        <v>0.160919540229885</v>
      </c>
      <c r="I11" s="15">
        <f>I10/I6</f>
        <v>0.154419595314164</v>
      </c>
      <c r="J11" s="15">
        <f>J10/J6</f>
        <v>0.161943319838057</v>
      </c>
      <c r="K11" s="15">
        <f>K10/K6</f>
        <v>0.170048309178744</v>
      </c>
    </row>
    <row r="12">
      <c r="B12" s="17" t="inlineStr">
        <is>
          <t>Capex</t>
        </is>
      </c>
      <c r="C12" s="57" t="n">
        <v>1.6</v>
      </c>
      <c r="D12" s="57" t="n">
        <v>1.8</v>
      </c>
      <c r="E12" s="57" t="n">
        <v>1.8</v>
      </c>
      <c r="F12" s="57" t="n">
        <v>1.6</v>
      </c>
      <c r="G12" s="57" t="n">
        <v>1.7</v>
      </c>
      <c r="H12" s="57" t="n">
        <v>2.2</v>
      </c>
      <c r="I12" s="57" t="n">
        <v>2.6</v>
      </c>
      <c r="J12" s="57" t="n">
        <v>2.9</v>
      </c>
      <c r="K12" s="57" t="n">
        <v>2.3</v>
      </c>
    </row>
    <row r="13">
      <c r="B13" s="17" t="inlineStr">
        <is>
          <t>Unlevered FCF</t>
        </is>
      </c>
      <c r="C13" s="57" t="n">
        <v>6.2</v>
      </c>
      <c r="D13" s="57" t="n">
        <v>5.7</v>
      </c>
      <c r="E13" s="57" t="n">
        <v>5.8</v>
      </c>
      <c r="F13" s="57" t="n">
        <v>6.2</v>
      </c>
      <c r="G13" s="57" t="n">
        <v>7</v>
      </c>
      <c r="H13" s="57" t="n">
        <v>7</v>
      </c>
      <c r="I13" s="57" t="n">
        <v>8.800000000000001</v>
      </c>
      <c r="J13" s="57" t="n">
        <v>9.199999999999999</v>
      </c>
      <c r="K13" s="57" t="n">
        <v>9.199999999999999</v>
      </c>
    </row>
    <row r="16">
      <c r="B16" s="17" t="inlineStr">
        <is>
          <t>Working Capital Assumptions</t>
        </is>
      </c>
    </row>
    <row r="17">
      <c r="B17" s="6" t="inlineStr">
        <is>
          <t>AR days</t>
        </is>
      </c>
      <c r="C17" s="30" t="n">
        <v>52</v>
      </c>
    </row>
    <row r="18">
      <c r="B18" s="6" t="inlineStr">
        <is>
          <t>Inventory days</t>
        </is>
      </c>
      <c r="C18" s="30" t="n">
        <v>48</v>
      </c>
    </row>
    <row r="19">
      <c r="B19" s="6" t="inlineStr">
        <is>
          <t>AP days</t>
        </is>
      </c>
      <c r="C19" s="30" t="n">
        <v>35</v>
      </c>
    </row>
    <row r="20">
      <c r="B20" s="6" t="inlineStr">
        <is>
          <t>Accrued % of revenue</t>
        </is>
      </c>
      <c r="C20" s="29" t="n">
        <v>0.041</v>
      </c>
    </row>
    <row r="22">
      <c r="B22" s="17" t="inlineStr">
        <is>
          <t>5-year IRR (2023)</t>
        </is>
      </c>
      <c r="C22" s="29" t="n">
        <v>0.238</v>
      </c>
    </row>
    <row r="24">
      <c r="B24" s="17" t="inlineStr">
        <is>
          <t>Enterprise Value Purchase Price Multiples (EV / EBITDA)</t>
        </is>
      </c>
    </row>
    <row r="25">
      <c r="C25" s="28" t="inlineStr">
        <is>
          <t>Multiple</t>
        </is>
      </c>
      <c r="D25" s="28" t="inlineStr">
        <is>
          <t>% Premium</t>
        </is>
      </c>
      <c r="E25" s="28" t="inlineStr">
        <is>
          <t>3-Year Avg.</t>
        </is>
      </c>
    </row>
    <row r="26">
      <c r="B26" s="6" t="inlineStr">
        <is>
          <t>LTM</t>
        </is>
      </c>
      <c r="C26" s="25" t="n">
        <v>7.4</v>
      </c>
      <c r="D26" s="9" t="inlineStr">
        <is>
          <t>WRONG</t>
        </is>
      </c>
      <c r="E26" s="9" t="inlineStr">
        <is>
          <t>WRONG</t>
        </is>
      </c>
    </row>
    <row r="27">
      <c r="B27" s="6" t="inlineStr">
        <is>
          <t>NTM</t>
        </is>
      </c>
      <c r="C27" s="25" t="n">
        <v>6.9</v>
      </c>
      <c r="D27" s="9" t="inlineStr">
        <is>
          <t>WRONG</t>
        </is>
      </c>
      <c r="E27" s="9" t="inlineStr">
        <is>
          <t>WRONG</t>
        </is>
      </c>
    </row>
    <row r="28">
      <c r="B28" s="6" t="inlineStr">
        <is>
          <t>2-Yr Fwd</t>
        </is>
      </c>
      <c r="C28" s="25" t="n">
        <v>6.5</v>
      </c>
      <c r="D28" s="9" t="inlineStr">
        <is>
          <t>WRONG</t>
        </is>
      </c>
      <c r="E28" s="9" t="inlineStr">
        <is>
          <t>WRONG</t>
        </is>
      </c>
    </row>
    <row r="29">
      <c r="B29" s="6" t="inlineStr">
        <is>
          <t>Peer Median</t>
        </is>
      </c>
      <c r="C29" s="25" t="n">
        <v>8.1</v>
      </c>
      <c r="D29" s="9" t="inlineStr">
        <is>
          <t>WRONG</t>
        </is>
      </c>
      <c r="E29" s="9" t="inlineStr">
        <is>
          <t>WRONG</t>
        </is>
      </c>
    </row>
    <row r="30">
      <c r="B30" s="6" t="inlineStr">
        <is>
          <t>Precedent Median</t>
        </is>
      </c>
      <c r="C30" s="25" t="n">
        <v>7.8</v>
      </c>
      <c r="D30" s="9" t="inlineStr">
        <is>
          <t>WRONG</t>
        </is>
      </c>
      <c r="E30" s="9" t="inlineStr">
        <is>
          <t>WRONG</t>
        </is>
      </c>
    </row>
    <row r="32">
      <c r="B32" s="11" t="inlineStr">
        <is>
          <t>STALE - legacy Project Osprey summary carried over on the template; values are hard-coded and not linked. TO DELETE.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14" customWidth="1" min="8" max="8"/>
    <col width="14" customWidth="1" min="9" max="9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Current Ownership Group and Rollover Equity</t>
        </is>
      </c>
    </row>
    <row r="7">
      <c r="C7" s="28" t="inlineStr">
        <is>
          <t>Thomas</t>
        </is>
      </c>
      <c r="D7" s="28" t="inlineStr">
        <is>
          <t>Gregory</t>
        </is>
      </c>
      <c r="E7" s="28" t="inlineStr">
        <is>
          <t>Anne</t>
        </is>
      </c>
      <c r="F7" s="28" t="inlineStr">
        <is>
          <t>Total</t>
        </is>
      </c>
    </row>
    <row r="8">
      <c r="C8" s="32" t="inlineStr">
        <is>
          <t>Marlbeck</t>
        </is>
      </c>
      <c r="D8" s="32" t="inlineStr">
        <is>
          <t>Marlbeck</t>
        </is>
      </c>
      <c r="E8" s="32" t="inlineStr">
        <is>
          <t>Marlbeck-Holt</t>
        </is>
      </c>
    </row>
    <row r="9">
      <c r="B9" s="6" t="inlineStr">
        <is>
          <t>Current Ownership %</t>
        </is>
      </c>
      <c r="C9" s="10">
        <f>Consideration!C10</f>
        <v>0.55</v>
      </c>
      <c r="D9" s="10">
        <f>Consideration!D10</f>
        <v>0.3</v>
      </c>
      <c r="E9" s="10">
        <f>Consideration!E10</f>
        <v>0.15</v>
      </c>
      <c r="F9" s="15">
        <f>SUM(C9:E9)</f>
        <v>1</v>
      </c>
    </row>
    <row r="10">
      <c r="B10" s="6" t="inlineStr">
        <is>
          <t>Total cash consideration (ex seller note)</t>
        </is>
      </c>
      <c r="C10" s="24">
        <f>C9*$F$10</f>
        <v>24387.55</v>
      </c>
      <c r="D10" s="24">
        <f>D9*$F$10</f>
        <v>13302.3</v>
      </c>
      <c r="E10" s="24">
        <f>E9*$F$10</f>
        <v>6651.15</v>
      </c>
      <c r="F10" s="7">
        <f>Consideration!H11</f>
        <v>44341</v>
      </c>
    </row>
    <row r="12">
      <c r="B12" s="21" t="inlineStr">
        <is>
          <t>SPONSOR HIGH END</t>
        </is>
      </c>
      <c r="C12" s="22" t="n"/>
      <c r="D12" s="22" t="n"/>
      <c r="E12" s="22" t="n"/>
      <c r="F12" s="22" t="n"/>
    </row>
    <row r="13">
      <c r="B13" s="6" t="inlineStr">
        <is>
          <t>Rollover % of consideration</t>
        </is>
      </c>
      <c r="C13" s="29" t="n">
        <v>0.25</v>
      </c>
      <c r="D13" s="29" t="n">
        <v>0.25</v>
      </c>
      <c r="E13" s="29" t="n">
        <v>0.25</v>
      </c>
    </row>
    <row r="14">
      <c r="B14" s="6" t="inlineStr">
        <is>
          <t>Rollover $</t>
        </is>
      </c>
      <c r="C14" s="24">
        <f>C13*C$10</f>
        <v>6096.8875</v>
      </c>
      <c r="D14" s="24">
        <f>D13*D$10</f>
        <v>3325.575</v>
      </c>
      <c r="E14" s="24">
        <f>E13*E$10</f>
        <v>1662.7875</v>
      </c>
      <c r="F14" s="24">
        <f>SUM(C14:E14)</f>
        <v>11085.25</v>
      </c>
    </row>
    <row r="15">
      <c r="B15" s="6" t="inlineStr">
        <is>
          <t>New Equity Account</t>
        </is>
      </c>
      <c r="F15" s="7">
        <f>Model!$K$20-Model!$K$17+F14</f>
        <v>25324.05</v>
      </c>
    </row>
    <row r="16">
      <c r="B16" s="6" t="inlineStr">
        <is>
          <t>Sponsor Equity Check</t>
        </is>
      </c>
      <c r="F16" s="24">
        <f>F15-F14</f>
        <v>14238.8</v>
      </c>
    </row>
    <row r="17">
      <c r="B17" s="6" t="inlineStr">
        <is>
          <t>Newco Ownership %</t>
        </is>
      </c>
      <c r="C17" s="15">
        <f>C14/$F$15</f>
        <v>0.240754835818125</v>
      </c>
      <c r="D17" s="15">
        <f>D14/$F$15</f>
        <v>0.131320819537159</v>
      </c>
      <c r="E17" s="15">
        <f>E14/$F$15</f>
        <v>0.0656604097685797</v>
      </c>
      <c r="F17" s="15">
        <f>SUM(C17:E17)</f>
        <v>0.437736065123865</v>
      </c>
    </row>
    <row r="19">
      <c r="B19" s="21" t="inlineStr">
        <is>
          <t>SPONSOR LOW END</t>
        </is>
      </c>
      <c r="C19" s="22" t="n"/>
      <c r="D19" s="22" t="n"/>
      <c r="E19" s="22" t="n"/>
      <c r="F19" s="22" t="n"/>
    </row>
    <row r="20">
      <c r="B20" s="6" t="inlineStr">
        <is>
          <t>Rollover % of consideration</t>
        </is>
      </c>
      <c r="C20" s="29" t="n">
        <v>0.15</v>
      </c>
      <c r="D20" s="29" t="n">
        <v>0.15</v>
      </c>
      <c r="E20" s="29" t="n">
        <v>0.15</v>
      </c>
    </row>
    <row r="21">
      <c r="B21" s="6" t="inlineStr">
        <is>
          <t>Rollover $</t>
        </is>
      </c>
      <c r="C21" s="24">
        <f>C20*C$10</f>
        <v>3658.1325</v>
      </c>
      <c r="D21" s="24">
        <f>D20*D$10</f>
        <v>1995.345</v>
      </c>
      <c r="E21" s="24">
        <f>E20*E$10</f>
        <v>997.6725</v>
      </c>
      <c r="F21" s="24">
        <f>SUM(C21:E21)</f>
        <v>6651.15</v>
      </c>
    </row>
    <row r="22">
      <c r="B22" s="6" t="inlineStr">
        <is>
          <t>New Equity Account</t>
        </is>
      </c>
      <c r="F22" s="7">
        <f>Model!$K$20-Model!$K$17+F21</f>
        <v>20889.95</v>
      </c>
    </row>
    <row r="23">
      <c r="B23" s="6" t="inlineStr">
        <is>
          <t>Sponsor Equity Check</t>
        </is>
      </c>
      <c r="F23" s="24">
        <f>F22-F21</f>
        <v>14238.8</v>
      </c>
    </row>
    <row r="24">
      <c r="B24" s="6" t="inlineStr">
        <is>
          <t>Newco Ownership %</t>
        </is>
      </c>
      <c r="C24" s="15">
        <f>C21/$F$22</f>
        <v>0.175114468919265</v>
      </c>
      <c r="D24" s="15">
        <f>D21/$F$22</f>
        <v>0.0955169830468718</v>
      </c>
      <c r="E24" s="15">
        <f>E21/$F$22</f>
        <v>0.0477584915234359</v>
      </c>
      <c r="F24" s="15">
        <f>SUM(C24:E24)</f>
        <v>0.318389943489573</v>
      </c>
    </row>
    <row r="26">
      <c r="B26" s="21" t="inlineStr">
        <is>
          <t>MID RANGE</t>
        </is>
      </c>
      <c r="C26" s="22" t="n"/>
      <c r="D26" s="22" t="n"/>
      <c r="E26" s="22" t="n"/>
      <c r="F26" s="22" t="n"/>
    </row>
    <row r="27">
      <c r="B27" s="6" t="inlineStr">
        <is>
          <t>Rollover % of consideration</t>
        </is>
      </c>
      <c r="C27" s="29" t="n">
        <v>0.2</v>
      </c>
      <c r="D27" s="29" t="n">
        <v>0.2</v>
      </c>
      <c r="E27" s="29" t="n">
        <v>0.2</v>
      </c>
    </row>
    <row r="28">
      <c r="B28" s="6" t="inlineStr">
        <is>
          <t>Rollover $</t>
        </is>
      </c>
      <c r="C28" s="24">
        <f>C27*C$10</f>
        <v>4877.51</v>
      </c>
      <c r="D28" s="24">
        <f>D27*D$10</f>
        <v>2660.46</v>
      </c>
      <c r="E28" s="24">
        <f>E27*E$10</f>
        <v>1330.23</v>
      </c>
      <c r="F28" s="24">
        <f>SUM(C28:E28)</f>
        <v>8868.2</v>
      </c>
    </row>
    <row r="29">
      <c r="B29" s="6" t="inlineStr">
        <is>
          <t>New Equity Account</t>
        </is>
      </c>
      <c r="F29" s="7">
        <f>Model!$K$20-Model!$K$17+F28</f>
        <v>23107</v>
      </c>
    </row>
    <row r="30">
      <c r="B30" s="6" t="inlineStr">
        <is>
          <t>Sponsor Equity Check</t>
        </is>
      </c>
      <c r="F30" s="24">
        <f>F29-F28</f>
        <v>14238.8</v>
      </c>
    </row>
    <row r="31">
      <c r="B31" s="6" t="inlineStr">
        <is>
          <t>Newco Ownership %</t>
        </is>
      </c>
      <c r="C31" s="15">
        <f>C28/$F$29</f>
        <v>0.211083654303891</v>
      </c>
      <c r="D31" s="15">
        <f>D28/$F$29</f>
        <v>0.115136538711213</v>
      </c>
      <c r="E31" s="15">
        <f>E28/$F$29</f>
        <v>0.0575682693556065</v>
      </c>
      <c r="F31" s="15">
        <f>SUM(C31:E31)</f>
        <v>0.38378846237071</v>
      </c>
    </row>
    <row r="33">
      <c r="B33" s="21" t="inlineStr">
        <is>
          <t>SELLER PROPOSAL</t>
        </is>
      </c>
      <c r="C33" s="22" t="n"/>
      <c r="D33" s="22" t="n"/>
      <c r="E33" s="22" t="n"/>
      <c r="F33" s="22" t="n"/>
    </row>
    <row r="34">
      <c r="B34" s="6" t="inlineStr">
        <is>
          <t>Rollover % of consideration</t>
        </is>
      </c>
      <c r="C34" s="29" t="n">
        <v>0.3</v>
      </c>
      <c r="D34" s="29" t="n">
        <v>0.3</v>
      </c>
      <c r="E34" s="29" t="n">
        <v>0.3</v>
      </c>
    </row>
    <row r="35">
      <c r="B35" s="6" t="inlineStr">
        <is>
          <t>Rollover $</t>
        </is>
      </c>
      <c r="C35" s="24">
        <f>C34*C$10</f>
        <v>7316.265</v>
      </c>
      <c r="D35" s="24">
        <f>D34*D$10</f>
        <v>3990.69</v>
      </c>
      <c r="E35" s="24">
        <f>E34*E$10</f>
        <v>1995.345</v>
      </c>
      <c r="F35" s="24">
        <f>SUM(C35:E35)</f>
        <v>13302.3</v>
      </c>
    </row>
    <row r="36">
      <c r="B36" s="6" t="inlineStr">
        <is>
          <t>New Equity Account</t>
        </is>
      </c>
      <c r="F36" s="7">
        <f>Model!$K$20-Model!$K$17+F35</f>
        <v>27541.1</v>
      </c>
    </row>
    <row r="37">
      <c r="B37" s="6" t="inlineStr">
        <is>
          <t>Sponsor Equity Check</t>
        </is>
      </c>
      <c r="F37" s="24">
        <f>F36-F35</f>
        <v>14238.8</v>
      </c>
    </row>
    <row r="38">
      <c r="B38" s="6" t="inlineStr">
        <is>
          <t>Newco Ownership %</t>
        </is>
      </c>
      <c r="C38" s="15">
        <f>C35/$F$36</f>
        <v>0.265648975531115</v>
      </c>
      <c r="D38" s="15">
        <f>D35/$F$36</f>
        <v>0.14489944119879</v>
      </c>
      <c r="E38" s="15">
        <f>E35/$F$36</f>
        <v>0.0724497205993951</v>
      </c>
      <c r="F38" s="15">
        <f>SUM(C38:E38)</f>
        <v>0.482998137329301</v>
      </c>
    </row>
    <row r="40">
      <c r="B40" s="21" t="inlineStr">
        <is>
          <t>REVISED PROPOSAL</t>
        </is>
      </c>
      <c r="C40" s="22" t="n"/>
      <c r="D40" s="22" t="n"/>
      <c r="E40" s="22" t="n"/>
      <c r="F40" s="22" t="n"/>
    </row>
    <row r="41">
      <c r="B41" s="6" t="inlineStr">
        <is>
          <t>Rollover % of consideration</t>
        </is>
      </c>
      <c r="C41" s="29" t="n">
        <v>0.2</v>
      </c>
      <c r="D41" s="29" t="n">
        <v>0.2</v>
      </c>
      <c r="E41" s="29" t="n">
        <v>0.2</v>
      </c>
    </row>
    <row r="42">
      <c r="B42" s="6" t="inlineStr">
        <is>
          <t>Rollover $</t>
        </is>
      </c>
      <c r="C42" s="24">
        <f>C41*C$10</f>
        <v>4877.51</v>
      </c>
      <c r="D42" s="24">
        <f>D41*D$10</f>
        <v>2660.46</v>
      </c>
      <c r="E42" s="24">
        <f>E41*E$10</f>
        <v>1330.23</v>
      </c>
      <c r="F42" s="24">
        <f>SUM(C42:E42)</f>
        <v>8868.2</v>
      </c>
    </row>
    <row r="43">
      <c r="B43" s="6" t="inlineStr">
        <is>
          <t>New Equity Account</t>
        </is>
      </c>
      <c r="F43" s="7">
        <f>Model!$K$20-Model!$K$17+F42</f>
        <v>23107</v>
      </c>
    </row>
    <row r="44">
      <c r="B44" s="6" t="inlineStr">
        <is>
          <t>Sponsor Equity Check</t>
        </is>
      </c>
      <c r="F44" s="24">
        <f>F43-F42</f>
        <v>14238.8</v>
      </c>
    </row>
    <row r="45">
      <c r="B45" s="6" t="inlineStr">
        <is>
          <t>Newco Ownership %</t>
        </is>
      </c>
      <c r="C45" s="15">
        <f>C42/$F$43</f>
        <v>0.211083654303891</v>
      </c>
      <c r="D45" s="15">
        <f>D42/$F$43</f>
        <v>0.115136538711213</v>
      </c>
      <c r="E45" s="15">
        <f>E42/$F$43</f>
        <v>0.0575682693556065</v>
      </c>
      <c r="F45" s="15">
        <f>SUM(C45:E45)</f>
        <v>0.38378846237071</v>
      </c>
    </row>
    <row r="47">
      <c r="B47" s="12" t="inlineStr">
        <is>
          <t>Consideration Summary (Revised Proposal)</t>
        </is>
      </c>
      <c r="H47" s="28" t="inlineStr">
        <is>
          <t>Delta vs. LOI</t>
        </is>
      </c>
      <c r="I47" s="28" t="inlineStr">
        <is>
          <t>Delta vs. Seller Proposal</t>
        </is>
      </c>
    </row>
    <row r="48">
      <c r="B48" s="6" t="inlineStr">
        <is>
          <t>Cash proceeds</t>
        </is>
      </c>
      <c r="F48" s="24">
        <f>F10-F42</f>
        <v>35472.8</v>
      </c>
      <c r="H48" s="24">
        <f>F48-F60</f>
        <v>-4652.2</v>
      </c>
      <c r="I48" s="24">
        <f>F48-F54</f>
        <v>4434.1</v>
      </c>
    </row>
    <row r="49">
      <c r="B49" s="6" t="inlineStr">
        <is>
          <t>Rollover equity</t>
        </is>
      </c>
      <c r="F49" s="24">
        <f>F42</f>
        <v>8868.2</v>
      </c>
      <c r="H49" s="24">
        <f>F49-F61</f>
        <v>218.200000000001</v>
      </c>
      <c r="I49" s="24">
        <f>F49-F55</f>
        <v>-4434.1</v>
      </c>
    </row>
    <row r="50">
      <c r="B50" s="6" t="inlineStr">
        <is>
          <t>Seller Note</t>
        </is>
      </c>
      <c r="F50" s="7">
        <f>Model!$K$13</f>
        <v>4000</v>
      </c>
      <c r="H50" s="24">
        <f>F50-F62</f>
        <v>0</v>
      </c>
      <c r="I50" s="24">
        <f>F50-F56</f>
        <v>0</v>
      </c>
    </row>
    <row r="51">
      <c r="B51" s="17" t="inlineStr">
        <is>
          <t>Total</t>
        </is>
      </c>
      <c r="F51" s="18">
        <f>SUM(F48:F50)</f>
        <v>48341</v>
      </c>
      <c r="H51" s="24">
        <f>F51-F63</f>
        <v>-4434</v>
      </c>
      <c r="I51" s="24">
        <f>F51-F57</f>
        <v>0</v>
      </c>
    </row>
    <row r="53">
      <c r="B53" s="12" t="inlineStr">
        <is>
          <t>Seller Proposal Consideration Summary</t>
        </is>
      </c>
    </row>
    <row r="54">
      <c r="B54" s="6" t="inlineStr">
        <is>
          <t>Cash proceeds</t>
        </is>
      </c>
      <c r="F54" s="24">
        <f>F10-F35</f>
        <v>31038.7</v>
      </c>
    </row>
    <row r="55">
      <c r="B55" s="6" t="inlineStr">
        <is>
          <t>Rollover equity</t>
        </is>
      </c>
      <c r="F55" s="24">
        <f>F35</f>
        <v>13302.3</v>
      </c>
    </row>
    <row r="56">
      <c r="B56" s="6" t="inlineStr">
        <is>
          <t>Seller Note</t>
        </is>
      </c>
      <c r="F56" s="7">
        <f>Model!$K$13</f>
        <v>4000</v>
      </c>
    </row>
    <row r="57">
      <c r="B57" s="17" t="inlineStr">
        <is>
          <t>Total</t>
        </is>
      </c>
      <c r="F57" s="18">
        <f>SUM(F54:F56)</f>
        <v>48341</v>
      </c>
    </row>
    <row r="59">
      <c r="B59" s="12" t="inlineStr">
        <is>
          <t>LOI Consideration Summary</t>
        </is>
      </c>
    </row>
    <row r="60">
      <c r="B60" s="6" t="inlineStr">
        <is>
          <t>Cash proceeds</t>
        </is>
      </c>
      <c r="F60" s="30" t="n">
        <v>40125</v>
      </c>
    </row>
    <row r="61">
      <c r="B61" s="6" t="inlineStr">
        <is>
          <t>Rollover equity</t>
        </is>
      </c>
      <c r="F61" s="30" t="n">
        <v>8650</v>
      </c>
    </row>
    <row r="62">
      <c r="B62" s="6" t="inlineStr">
        <is>
          <t>Seller Note</t>
        </is>
      </c>
      <c r="F62" s="30" t="n">
        <v>4000</v>
      </c>
    </row>
    <row r="63">
      <c r="B63" s="17" t="inlineStr">
        <is>
          <t>Total</t>
        </is>
      </c>
      <c r="F63" s="18">
        <f>SUM(F60:F62)</f>
        <v>52775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3" customWidth="1" min="3" max="3"/>
    <col width="11" customWidth="1" min="4" max="4"/>
    <col width="3" customWidth="1" min="5" max="5"/>
    <col width="40" customWidth="1" min="6" max="6"/>
    <col width="13" customWidth="1" min="7" max="7"/>
    <col width="11" customWidth="1" min="8" max="8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Transaction Overview</t>
        </is>
      </c>
    </row>
    <row r="6">
      <c r="B6" s="12" t="inlineStr">
        <is>
          <t>Sources and Uses - [          ] Proposed Transaction</t>
        </is>
      </c>
    </row>
    <row r="8">
      <c r="B8" s="13" t="inlineStr">
        <is>
          <t>Uses</t>
        </is>
      </c>
      <c r="C8" s="13" t="inlineStr">
        <is>
          <t>$000s</t>
        </is>
      </c>
      <c r="D8" s="13" t="inlineStr">
        <is>
          <t>% Total</t>
        </is>
      </c>
      <c r="F8" s="13" t="inlineStr">
        <is>
          <t>Sources</t>
        </is>
      </c>
      <c r="G8" s="13" t="inlineStr">
        <is>
          <t>$000s</t>
        </is>
      </c>
      <c r="H8" s="13" t="inlineStr">
        <is>
          <t>% Total</t>
        </is>
      </c>
    </row>
    <row r="9">
      <c r="B9" s="6" t="inlineStr">
        <is>
          <t>Cash to Seller</t>
        </is>
      </c>
      <c r="C9" s="7">
        <f>Consideration!$H$22+Model!$D$8</f>
        <v>42314.8</v>
      </c>
      <c r="D9" s="15">
        <f>C9/$C$15</f>
        <v>0.722305105576703</v>
      </c>
      <c r="F9" s="6" t="inlineStr">
        <is>
          <t>Revolver (3)</t>
        </is>
      </c>
      <c r="G9" s="7">
        <f>Model!$K$7</f>
        <v>0</v>
      </c>
      <c r="H9" s="15">
        <f>G9/$G$15</f>
        <v>0</v>
      </c>
    </row>
    <row r="10">
      <c r="B10" s="6" t="inlineStr">
        <is>
          <t>Rollover</t>
        </is>
      </c>
      <c r="C10" s="7">
        <f>Model!$K$17</f>
        <v>8868.2</v>
      </c>
      <c r="D10" s="15">
        <f>C10/$C$15</f>
        <v>0.151378386221259</v>
      </c>
      <c r="F10" s="6" t="inlineStr">
        <is>
          <t>Term Loan</t>
        </is>
      </c>
      <c r="G10" s="7">
        <f>Model!$K$8</f>
        <v>23607</v>
      </c>
      <c r="H10" s="15">
        <f>G10/$G$15</f>
        <v>0.402966730962907</v>
      </c>
    </row>
    <row r="11">
      <c r="B11" s="6" t="inlineStr">
        <is>
          <t>Seller Note</t>
        </is>
      </c>
      <c r="C11" s="7">
        <f>Model!$K$13</f>
        <v>4000</v>
      </c>
      <c r="D11" s="15">
        <f>C11/$C$15</f>
        <v>0.0682791936227233</v>
      </c>
      <c r="F11" s="6" t="inlineStr">
        <is>
          <t>Mezzanine</t>
        </is>
      </c>
      <c r="G11" s="7">
        <f>Model!$K$12</f>
        <v>7869</v>
      </c>
      <c r="H11" s="15">
        <f>G11/$G$15</f>
        <v>0.134322243654302</v>
      </c>
    </row>
    <row r="12">
      <c r="B12" s="17" t="inlineStr">
        <is>
          <t>Total Enterprise Value before Warrant</t>
        </is>
      </c>
      <c r="C12" s="18">
        <f>SUM(C9:C11)</f>
        <v>55183</v>
      </c>
      <c r="D12" s="15">
        <f>C12/$C$15</f>
        <v>0.941962685420685</v>
      </c>
      <c r="F12" s="6" t="inlineStr">
        <is>
          <t>Seller Note</t>
        </is>
      </c>
      <c r="G12" s="7">
        <f>Model!$K$13</f>
        <v>4000</v>
      </c>
      <c r="H12" s="15">
        <f>G12/$G$15</f>
        <v>0.0682791936227233</v>
      </c>
    </row>
    <row r="13">
      <c r="B13" s="6" t="inlineStr">
        <is>
          <t>Transaction Expenses (4)</t>
        </is>
      </c>
      <c r="C13" s="7">
        <f>Model!$D$14</f>
        <v>2400</v>
      </c>
      <c r="D13" s="15">
        <f>C13/$C$15</f>
        <v>0.040967516173634</v>
      </c>
      <c r="F13" s="6" t="inlineStr">
        <is>
          <t>Rollover Equity</t>
        </is>
      </c>
      <c r="G13" s="7">
        <f>Model!$K$17</f>
        <v>8868.2</v>
      </c>
      <c r="H13" s="15">
        <f>G13/$G$15</f>
        <v>0.151378386221259</v>
      </c>
    </row>
    <row r="14">
      <c r="B14" s="6" t="inlineStr">
        <is>
          <t>Excess Cash on the Balance Sheet (5)</t>
        </is>
      </c>
      <c r="C14" s="7">
        <f>Model!$D$13</f>
        <v>1000</v>
      </c>
      <c r="D14" s="15">
        <f>C14/$C$15</f>
        <v>0.0170697984056808</v>
      </c>
      <c r="F14" s="6" t="inlineStr">
        <is>
          <t>New Equity (1)(2)</t>
        </is>
      </c>
      <c r="G14" s="7">
        <f>Model!$K$18+Model!$K$19</f>
        <v>14238.8</v>
      </c>
      <c r="H14" s="15">
        <f>G14/$G$15</f>
        <v>0.243053445538808</v>
      </c>
    </row>
    <row r="15">
      <c r="B15" s="17" t="inlineStr">
        <is>
          <t>Total Uses</t>
        </is>
      </c>
      <c r="C15" s="19">
        <f>C12+C13+C14</f>
        <v>58583</v>
      </c>
      <c r="D15" s="15">
        <f>C15/$C$15</f>
        <v>1</v>
      </c>
      <c r="F15" s="17" t="inlineStr">
        <is>
          <t>Total Sources</t>
        </is>
      </c>
      <c r="G15" s="19">
        <f>SUM(G9:G14)</f>
        <v>58583</v>
      </c>
      <c r="H15" s="15">
        <f>G15/$G$15</f>
        <v>1</v>
      </c>
    </row>
    <row r="17">
      <c r="B17" s="11" t="inlineStr">
        <is>
          <t>Check</t>
        </is>
      </c>
      <c r="C17" s="20">
        <f>G15-C15</f>
        <v>0</v>
      </c>
    </row>
    <row r="19">
      <c r="B19" s="12" t="inlineStr">
        <is>
          <t>Total Consideration:</t>
        </is>
      </c>
      <c r="F19" s="12" t="inlineStr">
        <is>
          <t>Net Debt:</t>
        </is>
      </c>
    </row>
    <row r="20">
      <c r="B20" s="6" t="inlineStr">
        <is>
          <t>TEV before Warrant</t>
        </is>
      </c>
      <c r="C20" s="24">
        <f>C12</f>
        <v>55183</v>
      </c>
      <c r="F20" s="6" t="inlineStr">
        <is>
          <t>Funded Debt</t>
        </is>
      </c>
      <c r="G20" s="24">
        <f>G10+G11+G12</f>
        <v>35476</v>
      </c>
    </row>
    <row r="21">
      <c r="B21" s="6" t="inlineStr">
        <is>
          <t>Implied Real Estate Value Left with Seller</t>
        </is>
      </c>
      <c r="C21" s="30" t="n">
        <v>3150</v>
      </c>
      <c r="F21" s="6" t="inlineStr">
        <is>
          <t>Cash</t>
        </is>
      </c>
      <c r="G21" s="7">
        <f>-Model!$E$116</f>
        <v>-1100</v>
      </c>
    </row>
    <row r="22">
      <c r="B22" s="6" t="inlineStr">
        <is>
          <t>Rollover Equity Incentive Warrant (7)</t>
        </is>
      </c>
      <c r="C22" s="7">
        <f>'Mgmt Equity'!$E$40</f>
        <v>5005.5025953919</v>
      </c>
      <c r="F22" s="17" t="inlineStr">
        <is>
          <t>Net Debt at Closing</t>
        </is>
      </c>
      <c r="G22" s="18">
        <f>G20+G21</f>
        <v>34376</v>
      </c>
    </row>
    <row r="23">
      <c r="B23" s="17" t="inlineStr">
        <is>
          <t>Total Consideration</t>
        </is>
      </c>
      <c r="C23" s="18">
        <f>SUM(C20:C22)</f>
        <v>63338.5025953919</v>
      </c>
    </row>
    <row r="25">
      <c r="B25" s="5" t="inlineStr">
        <is>
          <t>(1) New equity split 10% common / 90% preferred (8% accreting); seller rollover invested in the same classes.</t>
        </is>
      </c>
    </row>
    <row r="26">
      <c r="B26" s="5" t="inlineStr">
        <is>
          <t>(2) New equity may be syndicated to co-investors alongside Halvern.</t>
        </is>
      </c>
    </row>
    <row r="27">
      <c r="B27" s="5" t="inlineStr">
        <is>
          <t>(3) $8.0M revolver undrawn at close.</t>
        </is>
      </c>
    </row>
    <row r="28">
      <c r="B28" s="5" t="inlineStr">
        <is>
          <t>(4) Purchaser transaction expenses (bank, legal, diligence, financing fees).</t>
        </is>
      </c>
    </row>
    <row r="29">
      <c r="B29" s="5" t="inlineStr">
        <is>
          <t>(5) Excess cash left on the balance sheet for liquidity.</t>
        </is>
      </c>
    </row>
    <row r="30">
      <c r="B30" s="5" t="inlineStr">
        <is>
          <t>(6) Seller note 6% PIK, subordinated.</t>
        </is>
      </c>
    </row>
    <row r="31">
      <c r="B31" s="5" t="inlineStr">
        <is>
          <t>(7) Warrant value = present value midpoint at a 10% discount rate of an illustrative year-5 sale (see Mgmt Equity tab).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Capitalization Chart for Bid Letter ($ in millions)</t>
        </is>
      </c>
    </row>
    <row r="7">
      <c r="B7" s="12" t="inlineStr">
        <is>
          <t>Senior + Mezzanine Structure</t>
        </is>
      </c>
    </row>
    <row r="8">
      <c r="C8" s="14" t="inlineStr">
        <is>
          <t>Drawn</t>
        </is>
      </c>
      <c r="D8" s="14" t="inlineStr">
        <is>
          <t>Committed</t>
        </is>
      </c>
      <c r="E8" s="14" t="inlineStr">
        <is>
          <t>xEBITDA (1)</t>
        </is>
      </c>
    </row>
    <row r="9">
      <c r="B9" s="6" t="inlineStr">
        <is>
          <t>Revolving Credit Facility (2)</t>
        </is>
      </c>
      <c r="C9" s="49">
        <f>Model!$K$7/1000</f>
        <v>0</v>
      </c>
      <c r="D9" s="49">
        <f>Assump_CapStructure!$D$50/1000</f>
        <v>8</v>
      </c>
      <c r="E9" s="8">
        <f>D9/(Model!$E$85/1000)</f>
        <v>1.01664760452408</v>
      </c>
    </row>
    <row r="10">
      <c r="B10" s="6" t="inlineStr">
        <is>
          <t>Senior Term Loans (2)</t>
        </is>
      </c>
      <c r="C10" s="49">
        <f>Model!$K$8/1000+Model!$K$9/1000</f>
        <v>23.607</v>
      </c>
      <c r="D10" s="56">
        <f>C10</f>
        <v>23.607</v>
      </c>
      <c r="E10" s="8">
        <f>D10/(Model!$E$85/1000)</f>
        <v>3</v>
      </c>
    </row>
    <row r="11">
      <c r="B11" s="6" t="inlineStr">
        <is>
          <t>Mezzanine Loan</t>
        </is>
      </c>
      <c r="C11" s="49">
        <f>Model!$K$12/1000</f>
        <v>7.869</v>
      </c>
      <c r="D11" s="56">
        <f>C11</f>
        <v>7.869</v>
      </c>
      <c r="E11" s="8">
        <f>D11/(Model!$E$85/1000)</f>
        <v>1</v>
      </c>
    </row>
    <row r="12">
      <c r="B12" s="6" t="inlineStr">
        <is>
          <t>Equity: From Seller (rollover + seller note)</t>
        </is>
      </c>
      <c r="C12" s="49">
        <f>Model!$K$17/1000+Model!$K$13/1000</f>
        <v>12.8682</v>
      </c>
      <c r="D12" s="56">
        <f>C12</f>
        <v>12.8682</v>
      </c>
      <c r="E12" s="8">
        <f>D12/(Model!$E$85/1000)</f>
        <v>1.6353030880671</v>
      </c>
    </row>
    <row r="13">
      <c r="B13" s="6" t="inlineStr">
        <is>
          <t>Equity: From Purchaser</t>
        </is>
      </c>
      <c r="C13" s="49">
        <f>Model!$K$18/1000+Model!$K$19/1000</f>
        <v>14.2388</v>
      </c>
      <c r="D13" s="56">
        <f>C13</f>
        <v>14.2388</v>
      </c>
      <c r="E13" s="8">
        <f>D13/(Model!$E$85/1000)</f>
        <v>1.80948023891219</v>
      </c>
    </row>
    <row r="14">
      <c r="B14" s="17" t="inlineStr">
        <is>
          <t>Total Capitalization</t>
        </is>
      </c>
      <c r="C14" s="59">
        <f>SUM(C9:C13)</f>
        <v>58.583</v>
      </c>
      <c r="D14" s="59">
        <f>SUM(D9:D13)</f>
        <v>66.583</v>
      </c>
      <c r="E14" s="60">
        <f>D14/(Model!$E$85/1000)</f>
        <v>8.46143093150337</v>
      </c>
    </row>
    <row r="16">
      <c r="B16" s="12" t="inlineStr">
        <is>
          <t>% of Cap</t>
        </is>
      </c>
    </row>
    <row r="17">
      <c r="B17" s="6" t="inlineStr">
        <is>
          <t>Total Debt</t>
        </is>
      </c>
      <c r="C17" s="15">
        <f>SUM(C9:C11)/C14</f>
        <v>0.53728897461721</v>
      </c>
      <c r="D17" s="15">
        <f>SUM(D9:D11)/D14</f>
        <v>0.592884069507232</v>
      </c>
    </row>
    <row r="18">
      <c r="B18" s="6" t="inlineStr">
        <is>
          <t>Total Equity</t>
        </is>
      </c>
      <c r="C18" s="15">
        <f>SUM(C12:C13)/C14</f>
        <v>0.46271102538279</v>
      </c>
      <c r="D18" s="15">
        <f>SUM(D12:D13)/D14</f>
        <v>0.407115930492768</v>
      </c>
    </row>
    <row r="20">
      <c r="B20" s="12" t="inlineStr">
        <is>
          <t>Capitalization with Net Debt:</t>
        </is>
      </c>
    </row>
    <row r="21">
      <c r="B21" s="6" t="inlineStr">
        <is>
          <t>Cash on Balance Sheet</t>
        </is>
      </c>
      <c r="C21" s="49">
        <f>-Model!$E$116/1000</f>
        <v>-1.1</v>
      </c>
    </row>
    <row r="22">
      <c r="B22" s="17" t="inlineStr">
        <is>
          <t>Total Net Debt Capitalization</t>
        </is>
      </c>
      <c r="C22" s="59">
        <f>C14+C21</f>
        <v>57.483</v>
      </c>
    </row>
    <row r="23">
      <c r="B23" s="6" t="inlineStr">
        <is>
          <t>% of Cap using Net Debt - Debt</t>
        </is>
      </c>
      <c r="C23" s="15">
        <f>(SUM(C9:C11)+C21)/C22</f>
        <v>0.528434493676391</v>
      </c>
    </row>
    <row r="24">
      <c r="B24" s="6" t="inlineStr">
        <is>
          <t>% of Cap using Net Debt - Equity</t>
        </is>
      </c>
      <c r="C24" s="15">
        <f>SUM(C12:C13)/C22</f>
        <v>0.471565506323609</v>
      </c>
    </row>
    <row r="25">
      <c r="B25" s="6" t="inlineStr">
        <is>
          <t>Net Debt xEBITDA</t>
        </is>
      </c>
      <c r="C25" s="8">
        <f>(SUM(C9:C11)+C21)/(Model!$E$85/1000)</f>
        <v>3.86021095437794</v>
      </c>
    </row>
    <row r="27">
      <c r="B27" s="12" t="inlineStr">
        <is>
          <t>Committed Debt Ranges (per term sheets)</t>
        </is>
      </c>
    </row>
    <row r="28">
      <c r="C28" s="28" t="inlineStr">
        <is>
          <t>Low</t>
        </is>
      </c>
      <c r="D28" s="28" t="inlineStr">
        <is>
          <t>High</t>
        </is>
      </c>
    </row>
    <row r="29">
      <c r="B29" s="6" t="inlineStr">
        <is>
          <t>Senior Term Loans</t>
        </is>
      </c>
      <c r="C29" s="56">
        <f>C10*0.9</f>
        <v>21.2463</v>
      </c>
      <c r="D29" s="56">
        <f>C10*1.1</f>
        <v>25.9677</v>
      </c>
    </row>
    <row r="30">
      <c r="B30" s="6" t="inlineStr">
        <is>
          <t>Mezzanine Loan</t>
        </is>
      </c>
      <c r="C30" s="56">
        <f>C11*0.85</f>
        <v>6.68865</v>
      </c>
      <c r="D30" s="56">
        <f>C11*1.15</f>
        <v>9.04935</v>
      </c>
    </row>
    <row r="32">
      <c r="B32" s="5" t="str">
        <f>"(1) EBITDA basis is FY2025A adj. EBITDA of $"&amp;TEXT(Model!$E$85/1000,"0.0")&amp;"M."</f>
        <v>(1) EBITDA basis is FY2025A adj. EBITDA of $7.9M.</v>
      </c>
    </row>
    <row r="33">
      <c r="B33" s="5" t="inlineStr">
        <is>
          <t>(2) Per term sheets from the senior lender; revolver commitment $8.0M, undrawn at close.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3" customWidth="1" min="3" max="3"/>
    <col width="11" customWidth="1" min="4" max="4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Proposed Transaction Overview</t>
        </is>
      </c>
    </row>
    <row r="6">
      <c r="B6" s="12" t="inlineStr">
        <is>
          <t>Equity Ownership - Proposed Transaction (Pre-Warrant, Pre-Mgmt Equity)</t>
        </is>
      </c>
    </row>
    <row r="8">
      <c r="C8" s="14" t="inlineStr">
        <is>
          <t>$000s</t>
        </is>
      </c>
      <c r="D8" s="14" t="inlineStr">
        <is>
          <t>%</t>
        </is>
      </c>
    </row>
    <row r="9">
      <c r="B9" s="6" t="inlineStr">
        <is>
          <t>New Equity (1)</t>
        </is>
      </c>
      <c r="C9" s="7">
        <f>Model!$K$18+Model!$K$19</f>
        <v>14238.8</v>
      </c>
      <c r="D9" s="15">
        <f>C9/$C$13</f>
        <v>0.61621153762929</v>
      </c>
    </row>
    <row r="10">
      <c r="B10" s="6" t="inlineStr">
        <is>
          <t>Rollover Equity (1)(2)</t>
        </is>
      </c>
      <c r="C10" s="7">
        <f>Model!$K$17</f>
        <v>8868.2</v>
      </c>
      <c r="D10" s="15">
        <f>C10/$C$13</f>
        <v>0.38378846237071</v>
      </c>
    </row>
    <row r="11">
      <c r="B11" s="6" t="inlineStr">
        <is>
          <t>Rollover Equity Incentive Warrant (2)</t>
        </is>
      </c>
      <c r="C11" s="30" t="n">
        <v>0</v>
      </c>
      <c r="D11" s="15">
        <f>C11/$C$13</f>
        <v>0</v>
      </c>
    </row>
    <row r="12">
      <c r="B12" s="6" t="inlineStr">
        <is>
          <t>Management Equity Incentive (3)</t>
        </is>
      </c>
      <c r="C12" s="30" t="n">
        <v>0</v>
      </c>
      <c r="D12" s="15">
        <f>C12/$C$13</f>
        <v>0</v>
      </c>
    </row>
    <row r="13">
      <c r="B13" s="17" t="inlineStr">
        <is>
          <t>Total Equity Account</t>
        </is>
      </c>
      <c r="C13" s="18">
        <f>SUM(C9:C12)</f>
        <v>23107</v>
      </c>
      <c r="D13" s="45">
        <f>C13/$C$13</f>
        <v>1</v>
      </c>
    </row>
    <row r="15">
      <c r="B15" s="5" t="inlineStr">
        <is>
          <t>(1) New equity and rollover invested in the same classes: 90% preferred (8% accreting) / 10% common.</t>
        </is>
      </c>
    </row>
    <row r="16">
      <c r="B16" s="5" t="inlineStr">
        <is>
          <t>(2) Warrant issued to rollover holders, exercisable on a 3.0x return to new equity; shown at zero pre-exercise.</t>
        </is>
      </c>
    </row>
    <row r="17">
      <c r="B17" s="5" t="inlineStr">
        <is>
          <t>(3) MEIP up to 15% of common (10% assumed in the Model) based on a 3.0x return to new equity net of warrant.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3" customWidth="1" min="3" max="3"/>
    <col width="11" customWidth="1" min="4" max="4"/>
    <col width="13" customWidth="1" min="5" max="5"/>
    <col width="6" customWidth="1" min="6" max="6"/>
  </cols>
  <sheetData>
    <row r="1">
      <c r="A1" s="1" t="str">
        <f>Assump_CapStructure!$F$7</f>
        <v>Project Kestrel</v>
      </c>
    </row>
    <row r="2">
      <c r="A2" s="3" t="str">
        <f>"Prepared by: "&amp;Assump_CapStructure!$F$8</f>
        <v>Prepared by: Halvern</v>
      </c>
    </row>
    <row r="3">
      <c r="A3" s="3" t="str">
        <f>Assump_CapStructure!$F$11</f>
        <v>($ in 000s)</v>
      </c>
    </row>
    <row r="5">
      <c r="B5" s="2" t="inlineStr">
        <is>
          <t>ILLUSTRATIVE VALUE OF MANAGEMENT EQUITY INCENTIVE ($ in 000s)</t>
        </is>
      </c>
    </row>
    <row r="7">
      <c r="B7" s="6" t="inlineStr">
        <is>
          <t>MEIP Value at Exit (1)</t>
        </is>
      </c>
      <c r="C7" s="7">
        <f>Model!$F$230</f>
        <v>4030.7059924523</v>
      </c>
    </row>
    <row r="8">
      <c r="B8" s="6" t="inlineStr">
        <is>
          <t>Basis (2)</t>
        </is>
      </c>
      <c r="C8" s="30" t="n">
        <v>0</v>
      </c>
    </row>
    <row r="9">
      <c r="B9" s="17" t="inlineStr">
        <is>
          <t>Capital Gain</t>
        </is>
      </c>
      <c r="C9" s="18">
        <f>C7-C8</f>
        <v>4030.7059924523</v>
      </c>
    </row>
    <row r="11">
      <c r="B11" s="12" t="inlineStr">
        <is>
          <t>Profits-Interest Structure</t>
        </is>
      </c>
    </row>
    <row r="12">
      <c r="B12" s="6" t="inlineStr">
        <is>
          <t>Tax on Capital Gain (3)</t>
        </is>
      </c>
      <c r="C12" s="24">
        <f>-C9*D12</f>
        <v>-959.308026203648</v>
      </c>
      <c r="D12" s="29" t="n">
        <v>0.238</v>
      </c>
    </row>
    <row r="13">
      <c r="B13" s="17" t="inlineStr">
        <is>
          <t>Net Proceeds</t>
        </is>
      </c>
      <c r="C13" s="18">
        <f>C9+C12</f>
        <v>3071.39796624866</v>
      </c>
    </row>
    <row r="14">
      <c r="B14" s="6" t="inlineStr">
        <is>
          <t>Net Proceeds Per Point of MEIP</t>
        </is>
      </c>
      <c r="C14" s="7">
        <f>C13/(Assump_CapStructure!$F$29*100)</f>
        <v>307.139796624866</v>
      </c>
    </row>
    <row r="16">
      <c r="B16" s="12" t="inlineStr">
        <is>
          <t>Traditional Option Pool Structure</t>
        </is>
      </c>
    </row>
    <row r="17">
      <c r="B17" s="6" t="inlineStr">
        <is>
          <t>Ordinary Income Tax (4)</t>
        </is>
      </c>
      <c r="C17" s="24">
        <f>-C9*D17</f>
        <v>-1632.43592694318</v>
      </c>
      <c r="D17" s="29" t="n">
        <v>0.405</v>
      </c>
    </row>
    <row r="18">
      <c r="B18" s="17" t="inlineStr">
        <is>
          <t>Net Proceeds</t>
        </is>
      </c>
      <c r="C18" s="18">
        <f>C9+C17</f>
        <v>2398.27006550912</v>
      </c>
    </row>
    <row r="19">
      <c r="B19" s="6" t="inlineStr">
        <is>
          <t>Net Proceeds Per Point</t>
        </is>
      </c>
      <c r="C19" s="7">
        <f>C18/(Assump_CapStructure!$F$29*100)</f>
        <v>239.827006550912</v>
      </c>
    </row>
    <row r="21">
      <c r="B21" s="17" t="inlineStr">
        <is>
          <t>AFTER-TAX DIFFERENTIAL</t>
        </is>
      </c>
      <c r="C21" s="33">
        <f>C13-C18</f>
        <v>673.127900739535</v>
      </c>
    </row>
    <row r="22">
      <c r="B22" s="6" t="inlineStr">
        <is>
          <t>After-tax differential per point</t>
        </is>
      </c>
      <c r="C22" s="24">
        <f>C14-C19</f>
        <v>67.3127900739535</v>
      </c>
    </row>
    <row r="24">
      <c r="B24" s="5" t="inlineStr">
        <is>
          <t>(1) MEIP share of common profits at a 6.0x exit in FY2030E (Model, Gross Returns Summary).</t>
        </is>
      </c>
    </row>
    <row r="25">
      <c r="B25" s="5" t="inlineStr">
        <is>
          <t>(2) Profits interest issued at a zero basis (liquidation threshold equal to the closing equity value).</t>
        </is>
      </c>
    </row>
    <row r="26">
      <c r="B26" s="5" t="inlineStr">
        <is>
          <t>(3) 20% long-term capital gains rate plus 3.8% investment income surtax (illustrative).</t>
        </is>
      </c>
    </row>
    <row r="27">
      <c r="B27" s="5" t="inlineStr">
        <is>
          <t>(4) 37% top ordinary income rate plus 3.5% blended regional rate (illustrative).</t>
        </is>
      </c>
    </row>
    <row r="30">
      <c r="B30" s="12" t="inlineStr">
        <is>
          <t>Incentive Warrant and MEIP Common Equity Math ($ in 000s)</t>
        </is>
      </c>
    </row>
    <row r="31">
      <c r="C31" s="28" t="inlineStr">
        <is>
          <t>Assumptions</t>
        </is>
      </c>
      <c r="D31" s="28" t="inlineStr">
        <is>
          <t>Ref</t>
        </is>
      </c>
      <c r="E31" s="28" t="inlineStr">
        <is>
          <t>Amount</t>
        </is>
      </c>
    </row>
    <row r="32">
      <c r="B32" s="6" t="inlineStr">
        <is>
          <t>Equity Account (Sponsor + Rollover)</t>
        </is>
      </c>
      <c r="E32" s="7">
        <f>Model!$K$20</f>
        <v>23107</v>
      </c>
    </row>
    <row r="33">
      <c r="B33" s="6" t="inlineStr">
        <is>
          <t>Preferred Equity (90%) (1)</t>
        </is>
      </c>
      <c r="C33" s="10">
        <f>Assump_CapStructure!$F$31</f>
        <v>0.9</v>
      </c>
      <c r="E33" s="24">
        <f>E32*C33</f>
        <v>20796.3</v>
      </c>
    </row>
    <row r="34">
      <c r="B34" s="6" t="inlineStr">
        <is>
          <t>Common Equity (10%)</t>
        </is>
      </c>
      <c r="D34" s="4" t="inlineStr">
        <is>
          <t>a</t>
        </is>
      </c>
      <c r="E34" s="24">
        <f>E32-E33</f>
        <v>2310.7</v>
      </c>
    </row>
    <row r="35">
      <c r="B35" s="6" t="inlineStr">
        <is>
          <t>Common Equity w/ 20% Warrant Gross Up</t>
        </is>
      </c>
      <c r="C35" s="29" t="n">
        <v>0.2</v>
      </c>
      <c r="D35" s="4" t="inlineStr">
        <is>
          <t>b</t>
        </is>
      </c>
      <c r="E35" s="24">
        <f>E34/(1-C35)</f>
        <v>2888.375</v>
      </c>
    </row>
    <row r="36">
      <c r="B36" s="6" t="inlineStr">
        <is>
          <t>Warrant Common Equity</t>
        </is>
      </c>
      <c r="D36" s="4" t="inlineStr">
        <is>
          <t>c</t>
        </is>
      </c>
      <c r="E36" s="24">
        <f>E35-E34</f>
        <v>577.675</v>
      </c>
    </row>
    <row r="37">
      <c r="B37" s="6" t="inlineStr">
        <is>
          <t>Common Equity w/ 15% MEIP Gross Up (Final Amount)</t>
        </is>
      </c>
      <c r="C37" s="29" t="n">
        <v>0.15</v>
      </c>
      <c r="D37" s="4" t="inlineStr">
        <is>
          <t>d</t>
        </is>
      </c>
      <c r="E37" s="24">
        <f>E35/(1-C37)</f>
        <v>3398.08823529412</v>
      </c>
    </row>
    <row r="38">
      <c r="B38" s="6" t="inlineStr">
        <is>
          <t>MEIP Common Equity</t>
        </is>
      </c>
      <c r="D38" s="4" t="inlineStr">
        <is>
          <t>e</t>
        </is>
      </c>
      <c r="E38" s="24">
        <f>E37-E35</f>
        <v>509.713235294118</v>
      </c>
    </row>
    <row r="39">
      <c r="B39" s="6" t="inlineStr">
        <is>
          <t>1 point out of 15 points of MEIP Equity</t>
        </is>
      </c>
      <c r="D39" s="4" t="inlineStr">
        <is>
          <t>f</t>
        </is>
      </c>
      <c r="E39" s="24">
        <f>E38/15</f>
        <v>33.9808823529412</v>
      </c>
    </row>
    <row r="40">
      <c r="B40" s="6" t="inlineStr">
        <is>
          <t>Warrant PV (midpoint, 10% discount rate, illustrative year-5 sale)</t>
        </is>
      </c>
      <c r="C40" s="29" t="n">
        <v>0.1</v>
      </c>
      <c r="E40" s="7">
        <f>(Model!$F$226*C35)/(1+C40)^5</f>
        <v>5005.5025953919</v>
      </c>
    </row>
    <row r="42">
      <c r="B42" s="5" t="inlineStr">
        <is>
          <t>(1) Seller's rollover invested in the same classes (20% of both preferred and common).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Halvern Capital Partners</dc:creator>
  <dc:title xmlns:dc="http://purl.org/dc/elements/1.1/">Project Kestrel</dc:title>
  <dcterms:created xmlns:dcterms="http://purl.org/dc/terms/" xmlns:xsi="http://www.w3.org/2001/XMLSchema-instance" xsi:type="dcterms:W3CDTF">2026-09-10T23:49:01Z</dcterms:created>
  <dcterms:modified xmlns:dcterms="http://purl.org/dc/terms/" xmlns:xsi="http://www.w3.org/2001/XMLSchema-instance" xsi:type="dcterms:W3CDTF">2026-09-10T23:49:01Z</dcterms:modified>
  <cp:lastModifiedBy>Halvern Capital Partners</cp:lastModifiedBy>
</cp:coreProperties>
</file>